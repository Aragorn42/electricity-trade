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5600" windowHeight="10480" activeTab="2"/>
  </bookViews>
  <sheets>
    <sheet name="日前电价" sheetId="2" r:id="rId1"/>
    <sheet name="实时电价" sheetId="3" r:id="rId2"/>
    <sheet name="日前实时价差" sheetId="5" r:id="rId3"/>
    <sheet name="现货均价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<sst xmlns="http://schemas.openxmlformats.org/spreadsheetml/2006/main" count="865" uniqueCount="67">
  <si>
    <r>
      <rPr>
        <b/>
        <sz val="11"/>
        <color theme="1"/>
        <rFont val="黑体"/>
        <charset val="134"/>
      </rPr>
      <t>日期</t>
    </r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</si>
  <si>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</si>
  <si>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</si>
  <si>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</si>
  <si>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</si>
  <si>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</si>
  <si>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</si>
  <si>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</si>
  <si>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</si>
  <si>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</si>
  <si>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</si>
  <si>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</si>
  <si>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</si>
  <si>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</si>
  <si>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</si>
  <si>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</si>
  <si>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</si>
  <si>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</si>
  <si>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</si>
  <si>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</si>
  <si>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</si>
  <si>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</si>
  <si>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</si>
  <si>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</si>
  <si>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</si>
  <si>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日期类型</t>
  </si>
  <si>
    <r>
      <rPr>
        <b/>
        <sz val="11"/>
        <color theme="1"/>
        <rFont val="黑体"/>
        <charset val="134"/>
      </rPr>
      <t>最低价</t>
    </r>
  </si>
  <si>
    <r>
      <rPr>
        <b/>
        <sz val="11"/>
        <color theme="1"/>
        <rFont val="黑体"/>
        <charset val="134"/>
      </rPr>
      <t>平均价</t>
    </r>
  </si>
  <si>
    <t>峰均价</t>
  </si>
  <si>
    <t>平均价</t>
  </si>
  <si>
    <t>谷均价</t>
  </si>
  <si>
    <t>法定节假日</t>
  </si>
  <si>
    <t>工作日</t>
  </si>
  <si>
    <t>星期六</t>
  </si>
  <si>
    <t>星期日</t>
  </si>
  <si>
    <t>调休节假日</t>
  </si>
  <si>
    <t>周六</t>
  </si>
  <si>
    <t>周日</t>
  </si>
  <si>
    <r>
      <rPr>
        <b/>
        <sz val="11"/>
        <color theme="1"/>
        <rFont val="黑体"/>
        <charset val="134"/>
      </rPr>
      <t>最高价</t>
    </r>
  </si>
  <si>
    <t>376.91</t>
  </si>
  <si>
    <t>375.81</t>
  </si>
  <si>
    <t>362.47</t>
  </si>
  <si>
    <t>338.75</t>
  </si>
  <si>
    <t>338.02</t>
  </si>
  <si>
    <t>344.87</t>
  </si>
  <si>
    <t>363.69</t>
  </si>
  <si>
    <t>376.03</t>
  </si>
  <si>
    <t>403.26</t>
  </si>
  <si>
    <t>389.67</t>
  </si>
  <si>
    <t>370.46</t>
  </si>
  <si>
    <t>333.06</t>
  </si>
  <si>
    <t>192.29</t>
  </si>
  <si>
    <t>324.06</t>
  </si>
  <si>
    <t>364.8</t>
  </si>
  <si>
    <t>388.65</t>
  </si>
  <si>
    <t>450.85</t>
  </si>
  <si>
    <t>454.95</t>
  </si>
  <si>
    <t>436.27</t>
  </si>
  <si>
    <t>543.16</t>
  </si>
  <si>
    <t>420.92</t>
  </si>
  <si>
    <t>429.3</t>
  </si>
  <si>
    <t>461.48</t>
  </si>
  <si>
    <t>375.38</t>
  </si>
  <si>
    <t>最高价</t>
  </si>
  <si>
    <t>最低价</t>
  </si>
  <si>
    <t>全年均价</t>
  </si>
  <si>
    <t>工作日均价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</si>
</sst>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0"/>
  </numFmts>
  <fonts count="30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b/>
      <sz val="11"/>
      <color theme="1"/>
      <name val="Calibri"/>
      <charset val="134"/>
    </font>
    <font>
      <b/>
      <sz val="11"/>
      <name val="黑体"/>
      <charset val="134"/>
    </font>
    <font>
      <b/>
      <sz val="11"/>
      <color theme="1"/>
      <name val="黑体"/>
      <charset val="134"/>
    </font>
    <font>
      <sz val="11"/>
      <color theme="1"/>
      <name val="Calibri"/>
      <charset val="134"/>
    </font>
    <font>
      <sz val="11"/>
      <color indexed="8"/>
      <name val="Calibri"/>
      <charset val="134"/>
    </font>
    <font>
      <b/>
      <sz val="11"/>
      <name val="Calibri"/>
      <charset val="134"/>
    </font>
    <font>
      <b/>
      <sz val="11"/>
      <name val="宋体"/>
      <charset val="134"/>
    </font>
    <font>
      <sz val="11"/>
      <color theme="1"/>
      <name val="宋体"/>
      <charset val="134"/>
    </font>
    <font>
      <sz val="11"/>
      <color indexed="8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A3DB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3" borderId="3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14" borderId="6" applyNumberFormat="0" applyAlignment="0" applyProtection="0">
      <alignment vertical="center"/>
    </xf>
    <xf numFmtId="0" fontId="20" fillId="15" borderId="7" applyNumberFormat="0" applyAlignment="0" applyProtection="0">
      <alignment vertical="center"/>
    </xf>
    <xf numFmtId="0" fontId="21" fillId="15" borderId="6" applyNumberFormat="0" applyAlignment="0" applyProtection="0">
      <alignment vertical="center"/>
    </xf>
    <xf numFmtId="0" fontId="22" fillId="16" borderId="8" applyNumberFormat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0" xfId="0" applyFont="1" applyFill="1">
      <alignment vertical="center"/>
    </xf>
    <xf numFmtId="176" fontId="3" fillId="3" borderId="1" xfId="0" applyNumberFormat="1" applyFont="1" applyFill="1" applyBorder="1" applyAlignment="1">
      <alignment horizontal="center" vertical="center" wrapText="1"/>
    </xf>
    <xf numFmtId="0" fontId="4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  <xf numFmtId="176" fontId="1" fillId="0" borderId="0" xfId="0" applyNumberFormat="1" applyFont="1">
      <alignment vertical="center"/>
    </xf>
    <xf numFmtId="14" fontId="6" fillId="0" borderId="0" xfId="0" applyNumberFormat="1" applyFont="1" applyAlignment="1">
      <alignment horizontal="center" vertical="center"/>
    </xf>
    <xf numFmtId="2" fontId="1" fillId="0" borderId="0" xfId="0" applyNumberFormat="1" applyFont="1">
      <alignment vertical="center"/>
    </xf>
    <xf numFmtId="14" fontId="5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76" fontId="5" fillId="0" borderId="0" xfId="0" applyNumberFormat="1" applyFont="1">
      <alignment vertical="center"/>
    </xf>
    <xf numFmtId="176" fontId="7" fillId="3" borderId="1" xfId="0" applyNumberFormat="1" applyFont="1" applyFill="1" applyBorder="1" applyAlignment="1">
      <alignment horizontal="center" vertical="center" wrapText="1"/>
    </xf>
    <xf numFmtId="176" fontId="7" fillId="3" borderId="0" xfId="0" applyNumberFormat="1" applyFont="1" applyFill="1" applyAlignment="1">
      <alignment horizontal="center" vertical="center" wrapText="1"/>
    </xf>
    <xf numFmtId="0" fontId="2" fillId="4" borderId="0" xfId="0" applyFont="1" applyFill="1">
      <alignment vertical="center"/>
    </xf>
    <xf numFmtId="176" fontId="6" fillId="0" borderId="0" xfId="0" applyNumberFormat="1" applyFont="1" applyAlignment="1">
      <alignment horizontal="center" vertical="center"/>
    </xf>
    <xf numFmtId="2" fontId="5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6" fontId="8" fillId="3" borderId="0" xfId="0" applyNumberFormat="1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176" fontId="6" fillId="0" borderId="0" xfId="0" applyNumberFormat="1" applyFont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8" borderId="2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H727"/>
  <sheetViews>
    <sheetView workbookViewId="0">
      <pane ySplit="1" topLeftCell="A709" activePane="bottomLeft" state="frozen"/>
      <selection/>
      <selection pane="bottomLeft" activeCell="A728" sqref="$A728:$XFD734"/>
    </sheetView>
  </sheetViews>
  <sheetFormatPr defaultColWidth="9" defaultRowHeight="14.5"/>
  <cols>
    <col min="1" max="1" width="11.6272727272727" style="18" customWidth="1"/>
    <col min="2" max="12" width="9" style="19" customWidth="1"/>
    <col min="13" max="13" width="9.12727272727273" style="19" customWidth="1"/>
    <col min="14" max="25" width="9" style="19" customWidth="1"/>
    <col min="26" max="26" width="11.8727272727273" style="19" customWidth="1"/>
    <col min="27" max="30" width="9" style="18"/>
    <col min="31" max="31" width="12.8727272727273" style="18"/>
    <col min="32" max="16384" width="9" style="18"/>
  </cols>
  <sheetData>
    <row r="1" spans="1:31">
      <c r="A1" s="20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21" t="s">
        <v>25</v>
      </c>
      <c r="AA1" s="22" t="s">
        <v>26</v>
      </c>
      <c r="AB1" s="22" t="s">
        <v>27</v>
      </c>
      <c r="AC1" s="23" t="s">
        <v>28</v>
      </c>
      <c r="AD1" s="23" t="s">
        <v>29</v>
      </c>
      <c r="AE1" s="23" t="s">
        <v>30</v>
      </c>
    </row>
    <row r="2" spans="1:31">
      <c r="A2" s="8">
        <v>45292</v>
      </c>
      <c r="B2" s="16">
        <v>346.9264</v>
      </c>
      <c r="C2" s="16">
        <v>301.4217</v>
      </c>
      <c r="D2" s="16">
        <v>277.8762</v>
      </c>
      <c r="E2" s="16">
        <v>54.1571</v>
      </c>
      <c r="F2" s="16">
        <v>0</v>
      </c>
      <c r="G2" s="16">
        <v>0</v>
      </c>
      <c r="H2" s="16">
        <v>0.4341</v>
      </c>
      <c r="I2" s="16">
        <v>0</v>
      </c>
      <c r="J2" s="16">
        <v>0</v>
      </c>
      <c r="K2" s="16">
        <v>0</v>
      </c>
      <c r="L2" s="16">
        <v>0</v>
      </c>
      <c r="M2" s="16">
        <v>0</v>
      </c>
      <c r="N2" s="16">
        <v>31.7915</v>
      </c>
      <c r="O2" s="16">
        <v>40.5669</v>
      </c>
      <c r="P2" s="16">
        <v>0</v>
      </c>
      <c r="Q2" s="16">
        <v>0</v>
      </c>
      <c r="R2" s="16">
        <v>0</v>
      </c>
      <c r="S2" s="16">
        <v>112.1348</v>
      </c>
      <c r="T2" s="16">
        <v>321.9771</v>
      </c>
      <c r="U2" s="16">
        <v>335.3063</v>
      </c>
      <c r="V2" s="16">
        <v>332.4828</v>
      </c>
      <c r="W2" s="16">
        <v>319.98</v>
      </c>
      <c r="X2" s="16">
        <v>243.2337</v>
      </c>
      <c r="Y2" s="16">
        <v>21.171</v>
      </c>
      <c r="Z2" s="24" t="s">
        <v>31</v>
      </c>
      <c r="AA2" s="25">
        <f t="shared" ref="AA2:AA65" si="0">MIN($B2:$Y2)</f>
        <v>0</v>
      </c>
      <c r="AB2" s="25">
        <f t="shared" ref="AB2:AB65" si="1">AVERAGE($B2:$Y2)</f>
        <v>114.14415</v>
      </c>
      <c r="AE2" s="18">
        <f>ROUND(AVERAGE(B2:I2),3)</f>
        <v>122.602</v>
      </c>
    </row>
    <row r="3" spans="1:31">
      <c r="A3" s="8">
        <v>45293</v>
      </c>
      <c r="B3" s="16">
        <v>294.977</v>
      </c>
      <c r="C3" s="16">
        <v>282.9767</v>
      </c>
      <c r="D3" s="16">
        <v>277.5245</v>
      </c>
      <c r="E3" s="16">
        <v>243.3276</v>
      </c>
      <c r="F3" s="16">
        <v>47.7405</v>
      </c>
      <c r="G3" s="16">
        <v>192.6536</v>
      </c>
      <c r="H3" s="16">
        <v>317.5176</v>
      </c>
      <c r="I3" s="16">
        <v>381.4965</v>
      </c>
      <c r="J3" s="16">
        <v>448.1177</v>
      </c>
      <c r="K3" s="16">
        <v>542.8774</v>
      </c>
      <c r="L3" s="16">
        <v>568.9671</v>
      </c>
      <c r="M3" s="16">
        <v>549.0361</v>
      </c>
      <c r="N3" s="16">
        <v>396.6225</v>
      </c>
      <c r="O3" s="16">
        <v>446.7786</v>
      </c>
      <c r="P3" s="16">
        <v>498.1199</v>
      </c>
      <c r="Q3" s="16">
        <v>489.393</v>
      </c>
      <c r="R3" s="16">
        <v>505.2163</v>
      </c>
      <c r="S3" s="16">
        <v>521.7539</v>
      </c>
      <c r="T3" s="16">
        <v>507.2674</v>
      </c>
      <c r="U3" s="16">
        <v>501.144</v>
      </c>
      <c r="V3" s="16">
        <v>498.4496</v>
      </c>
      <c r="W3" s="16">
        <v>495.7037</v>
      </c>
      <c r="X3" s="16">
        <v>496.9859</v>
      </c>
      <c r="Y3" s="16">
        <v>430.6507</v>
      </c>
      <c r="Z3" s="26" t="s">
        <v>32</v>
      </c>
      <c r="AA3" s="25">
        <f t="shared" si="0"/>
        <v>47.7405</v>
      </c>
      <c r="AB3" s="25">
        <f t="shared" si="1"/>
        <v>413.970741666667</v>
      </c>
    </row>
    <row r="4" spans="1:31">
      <c r="A4" s="8">
        <v>45294</v>
      </c>
      <c r="B4" s="16">
        <v>427.0761</v>
      </c>
      <c r="C4" s="16">
        <v>410</v>
      </c>
      <c r="D4" s="16">
        <v>394</v>
      </c>
      <c r="E4" s="16">
        <v>384.75</v>
      </c>
      <c r="F4" s="16">
        <v>363.3008</v>
      </c>
      <c r="G4" s="16">
        <v>355.2365</v>
      </c>
      <c r="H4" s="16">
        <v>387.9304</v>
      </c>
      <c r="I4" s="16">
        <v>431.8039</v>
      </c>
      <c r="J4" s="16">
        <v>488.117</v>
      </c>
      <c r="K4" s="16">
        <v>504.1717</v>
      </c>
      <c r="L4" s="16">
        <v>526.5026</v>
      </c>
      <c r="M4" s="16">
        <v>509.3247</v>
      </c>
      <c r="N4" s="16">
        <v>375.5509</v>
      </c>
      <c r="O4" s="16">
        <v>420.3596</v>
      </c>
      <c r="P4" s="16">
        <v>460.0254</v>
      </c>
      <c r="Q4" s="16">
        <v>468.035</v>
      </c>
      <c r="R4" s="16">
        <v>487.4102</v>
      </c>
      <c r="S4" s="16">
        <v>497.844</v>
      </c>
      <c r="T4" s="16">
        <v>488.1551</v>
      </c>
      <c r="U4" s="16">
        <v>488.3526</v>
      </c>
      <c r="V4" s="16">
        <v>488.7522</v>
      </c>
      <c r="W4" s="16">
        <v>482.5983</v>
      </c>
      <c r="X4" s="16">
        <v>477.6237</v>
      </c>
      <c r="Y4" s="16">
        <v>422.8749</v>
      </c>
      <c r="Z4" s="26" t="s">
        <v>32</v>
      </c>
      <c r="AA4" s="25">
        <f t="shared" si="0"/>
        <v>355.2365</v>
      </c>
      <c r="AB4" s="25">
        <f t="shared" si="1"/>
        <v>447.491483333333</v>
      </c>
    </row>
    <row r="5" spans="1:31">
      <c r="A5" s="8">
        <v>45295</v>
      </c>
      <c r="B5" s="16">
        <v>400.3028</v>
      </c>
      <c r="C5" s="16">
        <v>384.3249</v>
      </c>
      <c r="D5" s="16">
        <v>380.9865</v>
      </c>
      <c r="E5" s="16">
        <v>374.4237</v>
      </c>
      <c r="F5" s="16">
        <v>366.0894</v>
      </c>
      <c r="G5" s="16">
        <v>371.5319</v>
      </c>
      <c r="H5" s="16">
        <v>404.2824</v>
      </c>
      <c r="I5" s="16">
        <v>444.9511</v>
      </c>
      <c r="J5" s="16">
        <v>487.8231</v>
      </c>
      <c r="K5" s="16">
        <v>492.3519</v>
      </c>
      <c r="L5" s="16">
        <v>505.2378</v>
      </c>
      <c r="M5" s="16">
        <v>483.0591</v>
      </c>
      <c r="N5" s="16">
        <v>276.1191</v>
      </c>
      <c r="O5" s="16">
        <v>315.1959</v>
      </c>
      <c r="P5" s="16">
        <v>412.7159</v>
      </c>
      <c r="Q5" s="16">
        <v>442.0727</v>
      </c>
      <c r="R5" s="16">
        <v>467.2725</v>
      </c>
      <c r="S5" s="16">
        <v>463.0713</v>
      </c>
      <c r="T5" s="16">
        <v>484.7477</v>
      </c>
      <c r="U5" s="16">
        <v>500.526</v>
      </c>
      <c r="V5" s="16">
        <v>495.6567</v>
      </c>
      <c r="W5" s="16">
        <v>494.887</v>
      </c>
      <c r="X5" s="16">
        <v>485</v>
      </c>
      <c r="Y5" s="16">
        <v>422</v>
      </c>
      <c r="Z5" s="26" t="s">
        <v>33</v>
      </c>
      <c r="AA5" s="25">
        <f t="shared" si="0"/>
        <v>276.1191</v>
      </c>
      <c r="AB5" s="25">
        <f t="shared" si="1"/>
        <v>431.442891666667</v>
      </c>
    </row>
    <row r="6" spans="1:31">
      <c r="A6" s="8">
        <v>45296</v>
      </c>
      <c r="B6" s="16">
        <v>434.3129</v>
      </c>
      <c r="C6" s="16">
        <v>422.2872</v>
      </c>
      <c r="D6" s="16">
        <v>421.25</v>
      </c>
      <c r="E6" s="16">
        <v>412.505</v>
      </c>
      <c r="F6" s="16">
        <v>407.87</v>
      </c>
      <c r="G6" s="16">
        <v>413.75</v>
      </c>
      <c r="H6" s="16">
        <v>456.25</v>
      </c>
      <c r="I6" s="16">
        <v>486.9826</v>
      </c>
      <c r="J6" s="16">
        <v>524.453</v>
      </c>
      <c r="K6" s="16">
        <v>544.6036</v>
      </c>
      <c r="L6" s="16">
        <v>534.3658</v>
      </c>
      <c r="M6" s="16">
        <v>516.5387</v>
      </c>
      <c r="N6" s="16">
        <v>571.1816</v>
      </c>
      <c r="O6" s="16">
        <v>632.5456</v>
      </c>
      <c r="P6" s="16">
        <v>526.4866</v>
      </c>
      <c r="Q6" s="16">
        <v>470.5289</v>
      </c>
      <c r="R6" s="16">
        <v>496.4133</v>
      </c>
      <c r="S6" s="16">
        <v>508.0997</v>
      </c>
      <c r="T6" s="16">
        <v>566.8049</v>
      </c>
      <c r="U6" s="16">
        <v>582.5061</v>
      </c>
      <c r="V6" s="16">
        <v>533.3125</v>
      </c>
      <c r="W6" s="16">
        <v>494.2596</v>
      </c>
      <c r="X6" s="16">
        <v>469.7721</v>
      </c>
      <c r="Y6" s="16">
        <v>419.0901</v>
      </c>
      <c r="Z6" s="26" t="s">
        <v>34</v>
      </c>
      <c r="AA6" s="25">
        <f t="shared" si="0"/>
        <v>407.87</v>
      </c>
      <c r="AB6" s="25">
        <f t="shared" si="1"/>
        <v>493.590408333333</v>
      </c>
    </row>
    <row r="7" spans="1:31">
      <c r="A7" s="8">
        <v>45297</v>
      </c>
      <c r="B7" s="16">
        <v>437.2596</v>
      </c>
      <c r="C7" s="16">
        <v>431.4575</v>
      </c>
      <c r="D7" s="16">
        <v>426.6229</v>
      </c>
      <c r="E7" s="16">
        <v>413.0432</v>
      </c>
      <c r="F7" s="16">
        <v>400.2812</v>
      </c>
      <c r="G7" s="16">
        <v>402.3562</v>
      </c>
      <c r="H7" s="16">
        <v>428.8327</v>
      </c>
      <c r="I7" s="16">
        <v>463.0707</v>
      </c>
      <c r="J7" s="16">
        <v>490.4395</v>
      </c>
      <c r="K7" s="16">
        <v>495.2047</v>
      </c>
      <c r="L7" s="16">
        <v>489.5744</v>
      </c>
      <c r="M7" s="16">
        <v>477.3165</v>
      </c>
      <c r="N7" s="16">
        <v>404.4693</v>
      </c>
      <c r="O7" s="16">
        <v>432.6051</v>
      </c>
      <c r="P7" s="16">
        <v>450.0439</v>
      </c>
      <c r="Q7" s="16">
        <v>481.6906</v>
      </c>
      <c r="R7" s="16">
        <v>496.3892</v>
      </c>
      <c r="S7" s="16">
        <v>502.4804</v>
      </c>
      <c r="T7" s="16">
        <v>502.8185</v>
      </c>
      <c r="U7" s="16">
        <v>496.1162</v>
      </c>
      <c r="V7" s="16">
        <v>492.4755</v>
      </c>
      <c r="W7" s="16">
        <v>490.9452</v>
      </c>
      <c r="X7" s="16">
        <v>475.0699</v>
      </c>
      <c r="Y7" s="16">
        <v>417.4363</v>
      </c>
      <c r="Z7" s="26" t="s">
        <v>32</v>
      </c>
      <c r="AA7" s="25">
        <f t="shared" si="0"/>
        <v>400.2812</v>
      </c>
      <c r="AB7" s="25">
        <f t="shared" si="1"/>
        <v>458.249966666667</v>
      </c>
    </row>
    <row r="8" spans="1:31">
      <c r="A8" s="8">
        <v>45298</v>
      </c>
      <c r="B8" s="16">
        <v>437.4371</v>
      </c>
      <c r="C8" s="16">
        <v>425.1821</v>
      </c>
      <c r="D8" s="16">
        <v>421.4873</v>
      </c>
      <c r="E8" s="16">
        <v>412.6661</v>
      </c>
      <c r="F8" s="16">
        <v>394.0814</v>
      </c>
      <c r="G8" s="16">
        <v>388.6075</v>
      </c>
      <c r="H8" s="16">
        <v>401.6078</v>
      </c>
      <c r="I8" s="16">
        <v>412.1047</v>
      </c>
      <c r="J8" s="16">
        <v>422.0332</v>
      </c>
      <c r="K8" s="16">
        <v>437.3021</v>
      </c>
      <c r="L8" s="16">
        <v>441.5901</v>
      </c>
      <c r="M8" s="16">
        <v>431.9633</v>
      </c>
      <c r="N8" s="16">
        <v>364.6695</v>
      </c>
      <c r="O8" s="16">
        <v>370.4792</v>
      </c>
      <c r="P8" s="16">
        <v>367.5245</v>
      </c>
      <c r="Q8" s="16">
        <v>412.7892</v>
      </c>
      <c r="R8" s="16">
        <v>438.9305</v>
      </c>
      <c r="S8" s="16">
        <v>455.5018</v>
      </c>
      <c r="T8" s="16">
        <v>459.4123</v>
      </c>
      <c r="U8" s="16">
        <v>457.5545</v>
      </c>
      <c r="V8" s="16">
        <v>432.687</v>
      </c>
      <c r="W8" s="16">
        <v>426.6127</v>
      </c>
      <c r="X8" s="16">
        <v>407.565</v>
      </c>
      <c r="Y8" s="16">
        <v>367.4628</v>
      </c>
      <c r="Z8" s="26" t="s">
        <v>32</v>
      </c>
      <c r="AA8" s="25">
        <f t="shared" si="0"/>
        <v>364.6695</v>
      </c>
      <c r="AB8" s="25">
        <f t="shared" si="1"/>
        <v>416.1354875</v>
      </c>
    </row>
    <row r="9" spans="1:31">
      <c r="A9" s="8">
        <v>45299</v>
      </c>
      <c r="B9" s="16">
        <v>385.0272</v>
      </c>
      <c r="C9" s="16">
        <v>369.0326</v>
      </c>
      <c r="D9" s="16">
        <v>355.3886</v>
      </c>
      <c r="E9" s="16">
        <v>337.9157</v>
      </c>
      <c r="F9" s="16">
        <v>328.1613</v>
      </c>
      <c r="G9" s="16">
        <v>337.6531</v>
      </c>
      <c r="H9" s="16">
        <v>380.6115</v>
      </c>
      <c r="I9" s="16">
        <v>412.0233</v>
      </c>
      <c r="J9" s="16">
        <v>463.3115</v>
      </c>
      <c r="K9" s="16">
        <v>472.537</v>
      </c>
      <c r="L9" s="16">
        <v>478.7556</v>
      </c>
      <c r="M9" s="16">
        <v>465.9815</v>
      </c>
      <c r="N9" s="16">
        <v>381.3328</v>
      </c>
      <c r="O9" s="16">
        <v>404.7045</v>
      </c>
      <c r="P9" s="16">
        <v>423.4427</v>
      </c>
      <c r="Q9" s="16">
        <v>444.5756</v>
      </c>
      <c r="R9" s="16">
        <v>460.6452</v>
      </c>
      <c r="S9" s="16">
        <v>459.9103</v>
      </c>
      <c r="T9" s="16">
        <v>464.7305</v>
      </c>
      <c r="U9" s="16">
        <v>470.9097</v>
      </c>
      <c r="V9" s="16">
        <v>463.7625</v>
      </c>
      <c r="W9" s="16">
        <v>455.5907</v>
      </c>
      <c r="X9" s="16">
        <v>435.1976</v>
      </c>
      <c r="Y9" s="16">
        <v>381.8597</v>
      </c>
      <c r="Z9" s="26" t="s">
        <v>32</v>
      </c>
      <c r="AA9" s="25">
        <f t="shared" si="0"/>
        <v>328.1613</v>
      </c>
      <c r="AB9" s="25">
        <f t="shared" si="1"/>
        <v>418.044195833333</v>
      </c>
    </row>
    <row r="10" spans="1:31">
      <c r="A10" s="8">
        <v>45300</v>
      </c>
      <c r="B10" s="16">
        <v>395.1847</v>
      </c>
      <c r="C10" s="16">
        <v>392.8286</v>
      </c>
      <c r="D10" s="16">
        <v>391.2556</v>
      </c>
      <c r="E10" s="16">
        <v>381.6124</v>
      </c>
      <c r="F10" s="16">
        <v>368.9725</v>
      </c>
      <c r="G10" s="16">
        <v>379.6787</v>
      </c>
      <c r="H10" s="16">
        <v>426.3755</v>
      </c>
      <c r="I10" s="16">
        <v>463.0224</v>
      </c>
      <c r="J10" s="16">
        <v>532.045</v>
      </c>
      <c r="K10" s="16">
        <v>550.4503</v>
      </c>
      <c r="L10" s="16">
        <v>522.9501</v>
      </c>
      <c r="M10" s="16">
        <v>481.9348</v>
      </c>
      <c r="N10" s="16">
        <v>415.4856</v>
      </c>
      <c r="O10" s="16">
        <v>450.056</v>
      </c>
      <c r="P10" s="16">
        <v>474.8023</v>
      </c>
      <c r="Q10" s="16">
        <v>506.1243</v>
      </c>
      <c r="R10" s="16">
        <v>543.0891</v>
      </c>
      <c r="S10" s="16">
        <v>502.703</v>
      </c>
      <c r="T10" s="16">
        <v>515.647</v>
      </c>
      <c r="U10" s="16">
        <v>524.1318</v>
      </c>
      <c r="V10" s="16">
        <v>507.8991</v>
      </c>
      <c r="W10" s="16">
        <v>497.5411</v>
      </c>
      <c r="X10" s="16">
        <v>469.692</v>
      </c>
      <c r="Y10" s="16">
        <v>411.665</v>
      </c>
      <c r="Z10" s="26" t="s">
        <v>32</v>
      </c>
      <c r="AA10" s="25">
        <f t="shared" si="0"/>
        <v>368.9725</v>
      </c>
      <c r="AB10" s="25">
        <f t="shared" si="1"/>
        <v>462.714454166667</v>
      </c>
    </row>
    <row r="11" spans="1:31">
      <c r="A11" s="8">
        <v>45301</v>
      </c>
      <c r="B11" s="16">
        <v>424.277</v>
      </c>
      <c r="C11" s="16">
        <v>425.6121</v>
      </c>
      <c r="D11" s="16">
        <v>417.3455</v>
      </c>
      <c r="E11" s="16">
        <v>403.7258</v>
      </c>
      <c r="F11" s="16">
        <v>389.985</v>
      </c>
      <c r="G11" s="16">
        <v>395.5</v>
      </c>
      <c r="H11" s="16">
        <v>430.5123</v>
      </c>
      <c r="I11" s="16">
        <v>458.2251</v>
      </c>
      <c r="J11" s="16">
        <v>492.6989</v>
      </c>
      <c r="K11" s="16">
        <v>487.6337</v>
      </c>
      <c r="L11" s="16">
        <v>489.9421</v>
      </c>
      <c r="M11" s="16">
        <v>483.9609</v>
      </c>
      <c r="N11" s="16">
        <v>415.0181</v>
      </c>
      <c r="O11" s="16">
        <v>441.0912</v>
      </c>
      <c r="P11" s="16">
        <v>472.631</v>
      </c>
      <c r="Q11" s="16">
        <v>480.2225</v>
      </c>
      <c r="R11" s="16">
        <v>484.6741</v>
      </c>
      <c r="S11" s="16">
        <v>478.9319</v>
      </c>
      <c r="T11" s="16">
        <v>481.1134</v>
      </c>
      <c r="U11" s="16">
        <v>490.3373</v>
      </c>
      <c r="V11" s="16">
        <v>494.171</v>
      </c>
      <c r="W11" s="16">
        <v>483.9053</v>
      </c>
      <c r="X11" s="16">
        <v>455.9145</v>
      </c>
      <c r="Y11" s="16">
        <v>396.5959</v>
      </c>
      <c r="Z11" s="26" t="s">
        <v>32</v>
      </c>
      <c r="AA11" s="25">
        <f t="shared" si="0"/>
        <v>389.985</v>
      </c>
      <c r="AB11" s="25">
        <f t="shared" si="1"/>
        <v>453.084358333333</v>
      </c>
    </row>
    <row r="12" spans="1:31">
      <c r="A12" s="8">
        <v>45302</v>
      </c>
      <c r="B12" s="16">
        <v>401.9325</v>
      </c>
      <c r="C12" s="16">
        <v>386.7688</v>
      </c>
      <c r="D12" s="16">
        <v>375.5537</v>
      </c>
      <c r="E12" s="16">
        <v>365.922</v>
      </c>
      <c r="F12" s="16">
        <v>353.368</v>
      </c>
      <c r="G12" s="16">
        <v>366.4662</v>
      </c>
      <c r="H12" s="16">
        <v>412.4801</v>
      </c>
      <c r="I12" s="16">
        <v>440.2461</v>
      </c>
      <c r="J12" s="16">
        <v>464.097</v>
      </c>
      <c r="K12" s="16">
        <v>476.1863</v>
      </c>
      <c r="L12" s="16">
        <v>477.6936</v>
      </c>
      <c r="M12" s="16">
        <v>453.2987</v>
      </c>
      <c r="N12" s="16">
        <v>397.582</v>
      </c>
      <c r="O12" s="16">
        <v>440.0142</v>
      </c>
      <c r="P12" s="16">
        <v>459.6272</v>
      </c>
      <c r="Q12" s="16">
        <v>467.3371</v>
      </c>
      <c r="R12" s="16">
        <v>468.8647</v>
      </c>
      <c r="S12" s="16">
        <v>464.3062</v>
      </c>
      <c r="T12" s="16">
        <v>483.8617</v>
      </c>
      <c r="U12" s="16">
        <v>511.6651</v>
      </c>
      <c r="V12" s="16">
        <v>513.0711</v>
      </c>
      <c r="W12" s="16">
        <v>496.3604</v>
      </c>
      <c r="X12" s="16">
        <v>465.1456</v>
      </c>
      <c r="Y12" s="16">
        <v>394.9635</v>
      </c>
      <c r="Z12" s="26" t="s">
        <v>33</v>
      </c>
      <c r="AA12" s="25">
        <f t="shared" si="0"/>
        <v>353.368</v>
      </c>
      <c r="AB12" s="25">
        <f t="shared" si="1"/>
        <v>439.033825</v>
      </c>
    </row>
    <row r="13" spans="1:31">
      <c r="A13" s="8">
        <v>45303</v>
      </c>
      <c r="B13" s="16">
        <v>415.965</v>
      </c>
      <c r="C13" s="16">
        <v>408.2434</v>
      </c>
      <c r="D13" s="16">
        <v>400.3752</v>
      </c>
      <c r="E13" s="16">
        <v>389.5194</v>
      </c>
      <c r="F13" s="16">
        <v>381.4625</v>
      </c>
      <c r="G13" s="16">
        <v>380.5032</v>
      </c>
      <c r="H13" s="16">
        <v>416.2462</v>
      </c>
      <c r="I13" s="16">
        <v>472.5629</v>
      </c>
      <c r="J13" s="16">
        <v>679.7605</v>
      </c>
      <c r="K13" s="16">
        <v>814.339</v>
      </c>
      <c r="L13" s="16">
        <v>736.6664</v>
      </c>
      <c r="M13" s="16">
        <v>544.7052</v>
      </c>
      <c r="N13" s="16">
        <v>384.8369</v>
      </c>
      <c r="O13" s="16">
        <v>437.219</v>
      </c>
      <c r="P13" s="16">
        <v>473.9086</v>
      </c>
      <c r="Q13" s="16">
        <v>549.5751</v>
      </c>
      <c r="R13" s="16">
        <v>566.129</v>
      </c>
      <c r="S13" s="16">
        <v>516.5954</v>
      </c>
      <c r="T13" s="16">
        <v>586.8268</v>
      </c>
      <c r="U13" s="16">
        <v>618.8043</v>
      </c>
      <c r="V13" s="16">
        <v>556.988</v>
      </c>
      <c r="W13" s="16">
        <v>478.4741</v>
      </c>
      <c r="X13" s="16">
        <v>438.0883</v>
      </c>
      <c r="Y13" s="16">
        <v>383.4279</v>
      </c>
      <c r="Z13" s="26" t="s">
        <v>34</v>
      </c>
      <c r="AA13" s="25">
        <f t="shared" si="0"/>
        <v>380.5032</v>
      </c>
      <c r="AB13" s="25">
        <f t="shared" si="1"/>
        <v>501.300929166667</v>
      </c>
    </row>
    <row r="14" spans="1:31">
      <c r="A14" s="8">
        <v>45304</v>
      </c>
      <c r="B14" s="16">
        <v>413.0077</v>
      </c>
      <c r="C14" s="16">
        <v>399.1961</v>
      </c>
      <c r="D14" s="16">
        <v>388.648</v>
      </c>
      <c r="E14" s="16">
        <v>381.375</v>
      </c>
      <c r="F14" s="16">
        <v>371.4369</v>
      </c>
      <c r="G14" s="16">
        <v>368.823</v>
      </c>
      <c r="H14" s="16">
        <v>383.8513</v>
      </c>
      <c r="I14" s="16">
        <v>429.9692</v>
      </c>
      <c r="J14" s="16">
        <v>549.5038</v>
      </c>
      <c r="K14" s="16">
        <v>746.2412</v>
      </c>
      <c r="L14" s="16">
        <v>614.2164</v>
      </c>
      <c r="M14" s="16">
        <v>497.1501</v>
      </c>
      <c r="N14" s="16">
        <v>372.5591</v>
      </c>
      <c r="O14" s="16">
        <v>422.9525</v>
      </c>
      <c r="P14" s="16">
        <v>451.9277</v>
      </c>
      <c r="Q14" s="16">
        <v>481.1384</v>
      </c>
      <c r="R14" s="16">
        <v>505.1811</v>
      </c>
      <c r="S14" s="16">
        <v>514.6406</v>
      </c>
      <c r="T14" s="16">
        <v>518.6906</v>
      </c>
      <c r="U14" s="16">
        <v>513.4311</v>
      </c>
      <c r="V14" s="16">
        <v>491.1719</v>
      </c>
      <c r="W14" s="16">
        <v>459.945</v>
      </c>
      <c r="X14" s="16">
        <v>432.9597</v>
      </c>
      <c r="Y14" s="16">
        <v>386.8677</v>
      </c>
      <c r="Z14" s="26" t="s">
        <v>32</v>
      </c>
      <c r="AA14" s="25">
        <f t="shared" si="0"/>
        <v>368.823</v>
      </c>
      <c r="AB14" s="25">
        <f t="shared" si="1"/>
        <v>462.2868375</v>
      </c>
    </row>
    <row r="15" spans="1:31">
      <c r="A15" s="8">
        <v>45305</v>
      </c>
      <c r="B15" s="16">
        <v>429.1706</v>
      </c>
      <c r="C15" s="16">
        <v>414.5472</v>
      </c>
      <c r="D15" s="16">
        <v>399.012</v>
      </c>
      <c r="E15" s="16">
        <v>389.2547</v>
      </c>
      <c r="F15" s="16">
        <v>379.0527</v>
      </c>
      <c r="G15" s="16">
        <v>381.4094</v>
      </c>
      <c r="H15" s="16">
        <v>391.9887</v>
      </c>
      <c r="I15" s="16">
        <v>404.3045</v>
      </c>
      <c r="J15" s="16">
        <v>426.6953</v>
      </c>
      <c r="K15" s="16">
        <v>433.0298</v>
      </c>
      <c r="L15" s="16">
        <v>426.5709</v>
      </c>
      <c r="M15" s="16">
        <v>407.843</v>
      </c>
      <c r="N15" s="16">
        <v>367.6961</v>
      </c>
      <c r="O15" s="16">
        <v>383.466</v>
      </c>
      <c r="P15" s="16">
        <v>387.2565</v>
      </c>
      <c r="Q15" s="16">
        <v>413.7823</v>
      </c>
      <c r="R15" s="16">
        <v>466.9067</v>
      </c>
      <c r="S15" s="16">
        <v>495.8953</v>
      </c>
      <c r="T15" s="16">
        <v>487.9556</v>
      </c>
      <c r="U15" s="16">
        <v>484.6347</v>
      </c>
      <c r="V15" s="16">
        <v>489.0113</v>
      </c>
      <c r="W15" s="16">
        <v>481.9259</v>
      </c>
      <c r="X15" s="16">
        <v>438.5685</v>
      </c>
      <c r="Y15" s="16">
        <v>397.0073</v>
      </c>
      <c r="Z15" s="26" t="s">
        <v>32</v>
      </c>
      <c r="AA15" s="25">
        <f t="shared" si="0"/>
        <v>367.6961</v>
      </c>
      <c r="AB15" s="25">
        <f t="shared" si="1"/>
        <v>424.041041666667</v>
      </c>
    </row>
    <row r="16" spans="1:31">
      <c r="A16" s="8">
        <v>45306</v>
      </c>
      <c r="B16" s="16">
        <v>402.0772</v>
      </c>
      <c r="C16" s="16">
        <v>403.5238</v>
      </c>
      <c r="D16" s="16">
        <v>401.2168</v>
      </c>
      <c r="E16" s="16">
        <v>379.7622</v>
      </c>
      <c r="F16" s="16">
        <v>367.1331</v>
      </c>
      <c r="G16" s="16">
        <v>372.6976</v>
      </c>
      <c r="H16" s="16">
        <v>414.3473</v>
      </c>
      <c r="I16" s="16">
        <v>448.6986</v>
      </c>
      <c r="J16" s="16">
        <v>598.4798</v>
      </c>
      <c r="K16" s="16">
        <v>678.9002</v>
      </c>
      <c r="L16" s="16">
        <v>549.0655</v>
      </c>
      <c r="M16" s="16">
        <v>469.9717</v>
      </c>
      <c r="N16" s="16">
        <v>358.9099</v>
      </c>
      <c r="O16" s="16">
        <v>398.3909</v>
      </c>
      <c r="P16" s="16">
        <v>420.7469</v>
      </c>
      <c r="Q16" s="16">
        <v>465.2947</v>
      </c>
      <c r="R16" s="16">
        <v>482.2375</v>
      </c>
      <c r="S16" s="16">
        <v>474.1576</v>
      </c>
      <c r="T16" s="16">
        <v>478.5403</v>
      </c>
      <c r="U16" s="16">
        <v>487.1511</v>
      </c>
      <c r="V16" s="16">
        <v>470.4691</v>
      </c>
      <c r="W16" s="16">
        <v>453.4174</v>
      </c>
      <c r="X16" s="16">
        <v>409.3825</v>
      </c>
      <c r="Y16" s="16">
        <v>357.1422</v>
      </c>
      <c r="Z16" s="26" t="s">
        <v>32</v>
      </c>
      <c r="AA16" s="25">
        <f t="shared" si="0"/>
        <v>357.1422</v>
      </c>
      <c r="AB16" s="25">
        <f t="shared" si="1"/>
        <v>447.5714125</v>
      </c>
    </row>
    <row r="17" spans="1:28">
      <c r="A17" s="8">
        <v>45307</v>
      </c>
      <c r="B17" s="16">
        <v>368.0494</v>
      </c>
      <c r="C17" s="16">
        <v>377.9573</v>
      </c>
      <c r="D17" s="16">
        <v>376.666</v>
      </c>
      <c r="E17" s="16">
        <v>356.7685</v>
      </c>
      <c r="F17" s="16">
        <v>339.1361</v>
      </c>
      <c r="G17" s="16">
        <v>340.4157</v>
      </c>
      <c r="H17" s="16">
        <v>379.8716</v>
      </c>
      <c r="I17" s="16">
        <v>416.4432</v>
      </c>
      <c r="J17" s="16">
        <v>474.0567</v>
      </c>
      <c r="K17" s="16">
        <v>468.1799</v>
      </c>
      <c r="L17" s="16">
        <v>452.8431</v>
      </c>
      <c r="M17" s="16">
        <v>418.4828</v>
      </c>
      <c r="N17" s="16">
        <v>296.8994</v>
      </c>
      <c r="O17" s="16">
        <v>347.9799</v>
      </c>
      <c r="P17" s="16">
        <v>388.718</v>
      </c>
      <c r="Q17" s="16">
        <v>425.5369</v>
      </c>
      <c r="R17" s="16">
        <v>439.8462</v>
      </c>
      <c r="S17" s="16">
        <v>453.3665</v>
      </c>
      <c r="T17" s="16">
        <v>477.5918</v>
      </c>
      <c r="U17" s="16">
        <v>479.059</v>
      </c>
      <c r="V17" s="16">
        <v>476.6304</v>
      </c>
      <c r="W17" s="16">
        <v>452.7437</v>
      </c>
      <c r="X17" s="16">
        <v>424.4726</v>
      </c>
      <c r="Y17" s="16">
        <v>376.0658</v>
      </c>
      <c r="Z17" s="26" t="s">
        <v>32</v>
      </c>
      <c r="AA17" s="25">
        <f t="shared" si="0"/>
        <v>296.8994</v>
      </c>
      <c r="AB17" s="25">
        <f t="shared" si="1"/>
        <v>408.657520833333</v>
      </c>
    </row>
    <row r="18" spans="1:28">
      <c r="A18" s="8">
        <v>45308</v>
      </c>
      <c r="B18" s="16">
        <v>382.1609</v>
      </c>
      <c r="C18" s="16">
        <v>379.7901</v>
      </c>
      <c r="D18" s="16">
        <v>374.5315</v>
      </c>
      <c r="E18" s="16">
        <v>353.4671</v>
      </c>
      <c r="F18" s="16">
        <v>335.783</v>
      </c>
      <c r="G18" s="16">
        <v>340.2905</v>
      </c>
      <c r="H18" s="16">
        <v>389.8727</v>
      </c>
      <c r="I18" s="16">
        <v>427.008</v>
      </c>
      <c r="J18" s="16">
        <v>475.6455</v>
      </c>
      <c r="K18" s="16">
        <v>454.5623</v>
      </c>
      <c r="L18" s="16">
        <v>456.0017</v>
      </c>
      <c r="M18" s="16">
        <v>423.7616</v>
      </c>
      <c r="N18" s="16">
        <v>327.3673</v>
      </c>
      <c r="O18" s="16">
        <v>378.3604</v>
      </c>
      <c r="P18" s="16">
        <v>403.616</v>
      </c>
      <c r="Q18" s="16">
        <v>428.566</v>
      </c>
      <c r="R18" s="16">
        <v>453.0192</v>
      </c>
      <c r="S18" s="16">
        <v>454.526</v>
      </c>
      <c r="T18" s="16">
        <v>475.1378</v>
      </c>
      <c r="U18" s="16">
        <v>477.6678</v>
      </c>
      <c r="V18" s="16">
        <v>474.4441</v>
      </c>
      <c r="W18" s="16">
        <v>460.665</v>
      </c>
      <c r="X18" s="16">
        <v>432.5336</v>
      </c>
      <c r="Y18" s="16">
        <v>396</v>
      </c>
      <c r="Z18" s="26" t="s">
        <v>32</v>
      </c>
      <c r="AA18" s="25">
        <f t="shared" si="0"/>
        <v>327.3673</v>
      </c>
      <c r="AB18" s="25">
        <f t="shared" si="1"/>
        <v>414.782420833333</v>
      </c>
    </row>
    <row r="19" spans="1:28">
      <c r="A19" s="8">
        <v>45309</v>
      </c>
      <c r="B19" s="16">
        <v>392.25</v>
      </c>
      <c r="C19" s="16">
        <v>395.2775</v>
      </c>
      <c r="D19" s="16">
        <v>385.615</v>
      </c>
      <c r="E19" s="16">
        <v>380</v>
      </c>
      <c r="F19" s="16">
        <v>370</v>
      </c>
      <c r="G19" s="16">
        <v>375.25</v>
      </c>
      <c r="H19" s="16">
        <v>402.5</v>
      </c>
      <c r="I19" s="16">
        <v>437</v>
      </c>
      <c r="J19" s="16">
        <v>501.1935</v>
      </c>
      <c r="K19" s="16">
        <v>485.4987</v>
      </c>
      <c r="L19" s="16">
        <v>477.9455</v>
      </c>
      <c r="M19" s="16">
        <v>444.0726</v>
      </c>
      <c r="N19" s="16">
        <v>363.3568</v>
      </c>
      <c r="O19" s="16">
        <v>386.5097</v>
      </c>
      <c r="P19" s="16">
        <v>403.5025</v>
      </c>
      <c r="Q19" s="16">
        <v>431.4329</v>
      </c>
      <c r="R19" s="16">
        <v>478.0171</v>
      </c>
      <c r="S19" s="16">
        <v>465.9951</v>
      </c>
      <c r="T19" s="16">
        <v>478.7894</v>
      </c>
      <c r="U19" s="16">
        <v>478.6224</v>
      </c>
      <c r="V19" s="16">
        <v>475.9437</v>
      </c>
      <c r="W19" s="16">
        <v>465.6377</v>
      </c>
      <c r="X19" s="16">
        <v>436.25</v>
      </c>
      <c r="Y19" s="16">
        <v>400.2775</v>
      </c>
      <c r="Z19" s="26" t="s">
        <v>33</v>
      </c>
      <c r="AA19" s="25">
        <f t="shared" si="0"/>
        <v>363.3568</v>
      </c>
      <c r="AB19" s="25">
        <f t="shared" si="1"/>
        <v>429.6224</v>
      </c>
    </row>
    <row r="20" spans="1:28">
      <c r="A20" s="8">
        <v>45310</v>
      </c>
      <c r="B20" s="16">
        <v>413.6727</v>
      </c>
      <c r="C20" s="16">
        <v>410.2256</v>
      </c>
      <c r="D20" s="16">
        <v>401.0913</v>
      </c>
      <c r="E20" s="16">
        <v>386.4555</v>
      </c>
      <c r="F20" s="16">
        <v>372.425</v>
      </c>
      <c r="G20" s="16">
        <v>376.1089</v>
      </c>
      <c r="H20" s="16">
        <v>405.2911</v>
      </c>
      <c r="I20" s="16">
        <v>436.934</v>
      </c>
      <c r="J20" s="16">
        <v>554.4734</v>
      </c>
      <c r="K20" s="16">
        <v>520.9441</v>
      </c>
      <c r="L20" s="16">
        <v>524.5774</v>
      </c>
      <c r="M20" s="16">
        <v>451.5036</v>
      </c>
      <c r="N20" s="16">
        <v>358.5815</v>
      </c>
      <c r="O20" s="16">
        <v>391.4904</v>
      </c>
      <c r="P20" s="16">
        <v>412.3987</v>
      </c>
      <c r="Q20" s="16">
        <v>440.8984</v>
      </c>
      <c r="R20" s="16">
        <v>481.2654</v>
      </c>
      <c r="S20" s="16">
        <v>469.3531</v>
      </c>
      <c r="T20" s="16">
        <v>477.5243</v>
      </c>
      <c r="U20" s="16">
        <v>475.3299</v>
      </c>
      <c r="V20" s="16">
        <v>466.04</v>
      </c>
      <c r="W20" s="16">
        <v>454.455</v>
      </c>
      <c r="X20" s="16">
        <v>420.8916</v>
      </c>
      <c r="Y20" s="16">
        <v>382.127</v>
      </c>
      <c r="Z20" s="26" t="s">
        <v>34</v>
      </c>
      <c r="AA20" s="25">
        <f t="shared" si="0"/>
        <v>358.5815</v>
      </c>
      <c r="AB20" s="25">
        <f t="shared" si="1"/>
        <v>436.835745833333</v>
      </c>
    </row>
    <row r="21" spans="1:28">
      <c r="A21" s="8">
        <v>45311</v>
      </c>
      <c r="B21" s="16">
        <v>402.2801</v>
      </c>
      <c r="C21" s="16">
        <v>401.5696</v>
      </c>
      <c r="D21" s="16">
        <v>396.5721</v>
      </c>
      <c r="E21" s="16">
        <v>379.8721</v>
      </c>
      <c r="F21" s="16">
        <v>371.3438</v>
      </c>
      <c r="G21" s="16">
        <v>369.6583</v>
      </c>
      <c r="H21" s="16">
        <v>387.3791</v>
      </c>
      <c r="I21" s="16">
        <v>417.2293</v>
      </c>
      <c r="J21" s="16">
        <v>478.1228</v>
      </c>
      <c r="K21" s="16">
        <v>498.9872</v>
      </c>
      <c r="L21" s="16">
        <v>494.2298</v>
      </c>
      <c r="M21" s="16">
        <v>450.1777</v>
      </c>
      <c r="N21" s="16">
        <v>397.0556</v>
      </c>
      <c r="O21" s="16">
        <v>416.7431</v>
      </c>
      <c r="P21" s="16">
        <v>439.815</v>
      </c>
      <c r="Q21" s="16">
        <v>457.8737</v>
      </c>
      <c r="R21" s="16">
        <v>493.8055</v>
      </c>
      <c r="S21" s="16">
        <v>512.0545</v>
      </c>
      <c r="T21" s="16">
        <v>484.2606</v>
      </c>
      <c r="U21" s="16">
        <v>471.1361</v>
      </c>
      <c r="V21" s="16">
        <v>465.5767</v>
      </c>
      <c r="W21" s="16">
        <v>455.189</v>
      </c>
      <c r="X21" s="16">
        <v>443.6698</v>
      </c>
      <c r="Y21" s="16">
        <v>395.2118</v>
      </c>
      <c r="Z21" s="26" t="s">
        <v>32</v>
      </c>
      <c r="AA21" s="25">
        <f t="shared" si="0"/>
        <v>369.6583</v>
      </c>
      <c r="AB21" s="25">
        <f t="shared" si="1"/>
        <v>436.6588875</v>
      </c>
    </row>
    <row r="22" spans="1:28">
      <c r="A22" s="8">
        <v>45312</v>
      </c>
      <c r="B22" s="16">
        <v>402.1874</v>
      </c>
      <c r="C22" s="16">
        <v>400.2303</v>
      </c>
      <c r="D22" s="16">
        <v>394.1127</v>
      </c>
      <c r="E22" s="16">
        <v>376.3008</v>
      </c>
      <c r="F22" s="16">
        <v>361.9365</v>
      </c>
      <c r="G22" s="16">
        <v>360.5741</v>
      </c>
      <c r="H22" s="16">
        <v>373.3025</v>
      </c>
      <c r="I22" s="16">
        <v>397.6518</v>
      </c>
      <c r="J22" s="16">
        <v>412.3068</v>
      </c>
      <c r="K22" s="16">
        <v>410.9172</v>
      </c>
      <c r="L22" s="16">
        <v>404.6815</v>
      </c>
      <c r="M22" s="16">
        <v>388.5525</v>
      </c>
      <c r="N22" s="16">
        <v>336.8623</v>
      </c>
      <c r="O22" s="16">
        <v>368.6046</v>
      </c>
      <c r="P22" s="16">
        <v>382.3661</v>
      </c>
      <c r="Q22" s="16">
        <v>406.596</v>
      </c>
      <c r="R22" s="16">
        <v>423.8876</v>
      </c>
      <c r="S22" s="16">
        <v>443.949</v>
      </c>
      <c r="T22" s="16">
        <v>442.6692</v>
      </c>
      <c r="U22" s="16">
        <v>430.9318</v>
      </c>
      <c r="V22" s="16">
        <v>430.1015</v>
      </c>
      <c r="W22" s="16">
        <v>420.6729</v>
      </c>
      <c r="X22" s="16">
        <v>412.207</v>
      </c>
      <c r="Y22" s="16">
        <v>372.6174</v>
      </c>
      <c r="Z22" s="26" t="s">
        <v>32</v>
      </c>
      <c r="AA22" s="25">
        <f t="shared" si="0"/>
        <v>336.8623</v>
      </c>
      <c r="AB22" s="25">
        <f t="shared" si="1"/>
        <v>398.092479166667</v>
      </c>
    </row>
    <row r="23" spans="1:28">
      <c r="A23" s="8">
        <v>45313</v>
      </c>
      <c r="B23" s="16">
        <v>370.4182</v>
      </c>
      <c r="C23" s="16">
        <v>359.028</v>
      </c>
      <c r="D23" s="16">
        <v>348.3294</v>
      </c>
      <c r="E23" s="16">
        <v>270.5515</v>
      </c>
      <c r="F23" s="16">
        <v>139.5381</v>
      </c>
      <c r="G23" s="16">
        <v>177.3695</v>
      </c>
      <c r="H23" s="16">
        <v>347.8908</v>
      </c>
      <c r="I23" s="16">
        <v>397.227</v>
      </c>
      <c r="J23" s="16">
        <v>450.6999</v>
      </c>
      <c r="K23" s="16">
        <v>470.987</v>
      </c>
      <c r="L23" s="16">
        <v>471.3797</v>
      </c>
      <c r="M23" s="16">
        <v>463.0079</v>
      </c>
      <c r="N23" s="16">
        <v>413.4098</v>
      </c>
      <c r="O23" s="16">
        <v>435.8714</v>
      </c>
      <c r="P23" s="16">
        <v>459.8566</v>
      </c>
      <c r="Q23" s="16">
        <v>479.9949</v>
      </c>
      <c r="R23" s="16">
        <v>506.7893</v>
      </c>
      <c r="S23" s="16">
        <v>491.3252</v>
      </c>
      <c r="T23" s="16">
        <v>485.747</v>
      </c>
      <c r="U23" s="16">
        <v>487.3533</v>
      </c>
      <c r="V23" s="16">
        <v>475.5801</v>
      </c>
      <c r="W23" s="16">
        <v>454.9418</v>
      </c>
      <c r="X23" s="16">
        <v>441.6315</v>
      </c>
      <c r="Y23" s="16">
        <v>389.1127</v>
      </c>
      <c r="Z23" s="26" t="s">
        <v>32</v>
      </c>
      <c r="AA23" s="25">
        <f t="shared" si="0"/>
        <v>139.5381</v>
      </c>
      <c r="AB23" s="25">
        <f t="shared" si="1"/>
        <v>407.835025</v>
      </c>
    </row>
    <row r="24" spans="1:28">
      <c r="A24" s="8">
        <v>45314</v>
      </c>
      <c r="B24" s="16">
        <v>390.4907</v>
      </c>
      <c r="C24" s="16">
        <v>385.4298</v>
      </c>
      <c r="D24" s="16">
        <v>375.6285</v>
      </c>
      <c r="E24" s="16">
        <v>344.0046</v>
      </c>
      <c r="F24" s="16">
        <v>325.9299</v>
      </c>
      <c r="G24" s="16">
        <v>335.5195</v>
      </c>
      <c r="H24" s="16">
        <v>380.6859</v>
      </c>
      <c r="I24" s="16">
        <v>417.3194</v>
      </c>
      <c r="J24" s="16">
        <v>515.2994</v>
      </c>
      <c r="K24" s="16">
        <v>546.4805</v>
      </c>
      <c r="L24" s="16">
        <v>488.6266</v>
      </c>
      <c r="M24" s="16">
        <v>470.7095</v>
      </c>
      <c r="N24" s="16">
        <v>413.6043</v>
      </c>
      <c r="O24" s="16">
        <v>435.3543</v>
      </c>
      <c r="P24" s="16">
        <v>450.904</v>
      </c>
      <c r="Q24" s="16">
        <v>459.9401</v>
      </c>
      <c r="R24" s="16">
        <v>481.0632</v>
      </c>
      <c r="S24" s="16">
        <v>477.8286</v>
      </c>
      <c r="T24" s="16">
        <v>471.4588</v>
      </c>
      <c r="U24" s="16">
        <v>473.8171</v>
      </c>
      <c r="V24" s="16">
        <v>472.169</v>
      </c>
      <c r="W24" s="16">
        <v>466.3338</v>
      </c>
      <c r="X24" s="16">
        <v>471.1255</v>
      </c>
      <c r="Y24" s="16">
        <v>413.4422</v>
      </c>
      <c r="Z24" s="27" t="s">
        <v>35</v>
      </c>
      <c r="AA24" s="25">
        <f t="shared" si="0"/>
        <v>325.9299</v>
      </c>
      <c r="AB24" s="25">
        <f t="shared" si="1"/>
        <v>435.965216666667</v>
      </c>
    </row>
    <row r="25" spans="1:28">
      <c r="A25" s="8">
        <v>45315</v>
      </c>
      <c r="B25" s="16">
        <v>434.9271</v>
      </c>
      <c r="C25" s="16">
        <v>431.8292</v>
      </c>
      <c r="D25" s="16">
        <v>418.8451</v>
      </c>
      <c r="E25" s="16">
        <v>404.5227</v>
      </c>
      <c r="F25" s="16">
        <v>395.617</v>
      </c>
      <c r="G25" s="16">
        <v>397.2264</v>
      </c>
      <c r="H25" s="16">
        <v>417.6491</v>
      </c>
      <c r="I25" s="16">
        <v>466.3907</v>
      </c>
      <c r="J25" s="16">
        <v>807.5246</v>
      </c>
      <c r="K25" s="16">
        <v>726.6116</v>
      </c>
      <c r="L25" s="16">
        <v>613.4769</v>
      </c>
      <c r="M25" s="16">
        <v>663.3122</v>
      </c>
      <c r="N25" s="16">
        <v>452.1717</v>
      </c>
      <c r="O25" s="16">
        <v>538.4995</v>
      </c>
      <c r="P25" s="16">
        <v>600.946</v>
      </c>
      <c r="Q25" s="16">
        <v>551.9802</v>
      </c>
      <c r="R25" s="16">
        <v>494.1548</v>
      </c>
      <c r="S25" s="16">
        <v>477.642</v>
      </c>
      <c r="T25" s="16">
        <v>480.1392</v>
      </c>
      <c r="U25" s="16">
        <v>517.7389</v>
      </c>
      <c r="V25" s="16">
        <v>502.2867</v>
      </c>
      <c r="W25" s="16">
        <v>494.8377</v>
      </c>
      <c r="X25" s="16">
        <v>602.097</v>
      </c>
      <c r="Y25" s="16">
        <v>447.3971</v>
      </c>
      <c r="Z25" s="27" t="s">
        <v>35</v>
      </c>
      <c r="AA25" s="25">
        <f t="shared" si="0"/>
        <v>395.617</v>
      </c>
      <c r="AB25" s="25">
        <f t="shared" si="1"/>
        <v>514.075975</v>
      </c>
    </row>
    <row r="26" spans="1:28">
      <c r="A26" s="8">
        <v>45316</v>
      </c>
      <c r="B26" s="16">
        <v>468.9743</v>
      </c>
      <c r="C26" s="16">
        <v>461.1808</v>
      </c>
      <c r="D26" s="16">
        <v>445.5234</v>
      </c>
      <c r="E26" s="16">
        <v>432.4566</v>
      </c>
      <c r="F26" s="16">
        <v>421.8491</v>
      </c>
      <c r="G26" s="16">
        <v>421.3212</v>
      </c>
      <c r="H26" s="16">
        <v>441.7742</v>
      </c>
      <c r="I26" s="16">
        <v>474.5923</v>
      </c>
      <c r="J26" s="16">
        <v>876.6496</v>
      </c>
      <c r="K26" s="16">
        <v>653.6818</v>
      </c>
      <c r="L26" s="16">
        <v>521.3026</v>
      </c>
      <c r="M26" s="16">
        <v>527.9063</v>
      </c>
      <c r="N26" s="16">
        <v>455.1578</v>
      </c>
      <c r="O26" s="16">
        <v>520.3684</v>
      </c>
      <c r="P26" s="16">
        <v>534.1171</v>
      </c>
      <c r="Q26" s="16">
        <v>533.8098</v>
      </c>
      <c r="R26" s="16">
        <v>548.9821</v>
      </c>
      <c r="S26" s="16">
        <v>536.9701</v>
      </c>
      <c r="T26" s="16">
        <v>512.9155</v>
      </c>
      <c r="U26" s="16">
        <v>581.7617</v>
      </c>
      <c r="V26" s="16">
        <v>506.4643</v>
      </c>
      <c r="W26" s="16">
        <v>505.4316</v>
      </c>
      <c r="X26" s="16">
        <v>507.2559</v>
      </c>
      <c r="Y26" s="16">
        <v>437.0406</v>
      </c>
      <c r="Z26" s="27" t="s">
        <v>35</v>
      </c>
      <c r="AA26" s="25">
        <f t="shared" si="0"/>
        <v>421.3212</v>
      </c>
      <c r="AB26" s="25">
        <f t="shared" si="1"/>
        <v>513.645295833333</v>
      </c>
    </row>
    <row r="27" spans="1:28">
      <c r="A27" s="8">
        <v>45317</v>
      </c>
      <c r="B27" s="16">
        <v>446.699</v>
      </c>
      <c r="C27" s="16">
        <v>433.6194</v>
      </c>
      <c r="D27" s="16">
        <v>418.1555</v>
      </c>
      <c r="E27" s="16">
        <v>409.1754</v>
      </c>
      <c r="F27" s="16">
        <v>401.4459</v>
      </c>
      <c r="G27" s="16">
        <v>400.2791</v>
      </c>
      <c r="H27" s="16">
        <v>405.4271</v>
      </c>
      <c r="I27" s="16">
        <v>423.6099</v>
      </c>
      <c r="J27" s="16">
        <v>465.1652</v>
      </c>
      <c r="K27" s="16">
        <v>467.7356</v>
      </c>
      <c r="L27" s="16">
        <v>459.9212</v>
      </c>
      <c r="M27" s="16">
        <v>454.4215</v>
      </c>
      <c r="N27" s="16">
        <v>441.2613</v>
      </c>
      <c r="O27" s="16">
        <v>456.6439</v>
      </c>
      <c r="P27" s="16">
        <v>463.0677</v>
      </c>
      <c r="Q27" s="16">
        <v>469.0516</v>
      </c>
      <c r="R27" s="16">
        <v>471.8136</v>
      </c>
      <c r="S27" s="16">
        <v>457.4463</v>
      </c>
      <c r="T27" s="16">
        <v>463.7718</v>
      </c>
      <c r="U27" s="16">
        <v>529.7631</v>
      </c>
      <c r="V27" s="16">
        <v>495.374</v>
      </c>
      <c r="W27" s="16">
        <v>488.1549</v>
      </c>
      <c r="X27" s="16">
        <v>473.3463</v>
      </c>
      <c r="Y27" s="16">
        <v>429.4003</v>
      </c>
      <c r="Z27" s="27" t="s">
        <v>35</v>
      </c>
      <c r="AA27" s="25">
        <f t="shared" si="0"/>
        <v>400.2791</v>
      </c>
      <c r="AB27" s="25">
        <f t="shared" si="1"/>
        <v>451.031233333333</v>
      </c>
    </row>
    <row r="28" spans="1:28">
      <c r="A28" s="8">
        <v>45318</v>
      </c>
      <c r="B28" s="16">
        <v>454.4052</v>
      </c>
      <c r="C28" s="16">
        <v>435.1919</v>
      </c>
      <c r="D28" s="16">
        <v>417.2996</v>
      </c>
      <c r="E28" s="16">
        <v>413.0442</v>
      </c>
      <c r="F28" s="16">
        <v>406.1135</v>
      </c>
      <c r="G28" s="16">
        <v>402.77</v>
      </c>
      <c r="H28" s="16">
        <v>409.0708</v>
      </c>
      <c r="I28" s="16">
        <v>417.6456</v>
      </c>
      <c r="J28" s="16">
        <v>474.2414</v>
      </c>
      <c r="K28" s="16">
        <v>562.5041</v>
      </c>
      <c r="L28" s="16">
        <v>615.5245</v>
      </c>
      <c r="M28" s="16">
        <v>677.5594</v>
      </c>
      <c r="N28" s="16">
        <v>455.6925</v>
      </c>
      <c r="O28" s="16">
        <v>489.5049</v>
      </c>
      <c r="P28" s="16">
        <v>493.7738</v>
      </c>
      <c r="Q28" s="16">
        <v>488.7953</v>
      </c>
      <c r="R28" s="16">
        <v>493.4451</v>
      </c>
      <c r="S28" s="16">
        <v>465.838</v>
      </c>
      <c r="T28" s="16">
        <v>457.0741</v>
      </c>
      <c r="U28" s="16">
        <v>467.7883</v>
      </c>
      <c r="V28" s="16">
        <v>471.5075</v>
      </c>
      <c r="W28" s="16">
        <v>491.1298</v>
      </c>
      <c r="X28" s="16">
        <v>498.7901</v>
      </c>
      <c r="Y28" s="16">
        <v>439.8212</v>
      </c>
      <c r="Z28" s="27" t="s">
        <v>35</v>
      </c>
      <c r="AA28" s="25">
        <f t="shared" si="0"/>
        <v>402.77</v>
      </c>
      <c r="AB28" s="25">
        <f t="shared" si="1"/>
        <v>474.938783333333</v>
      </c>
    </row>
    <row r="29" spans="1:28">
      <c r="A29" s="8">
        <v>45319</v>
      </c>
      <c r="B29" s="16">
        <v>450.0897</v>
      </c>
      <c r="C29" s="16">
        <v>426.5069</v>
      </c>
      <c r="D29" s="16">
        <v>413.9712</v>
      </c>
      <c r="E29" s="16">
        <v>402.9197</v>
      </c>
      <c r="F29" s="16">
        <v>397.458</v>
      </c>
      <c r="G29" s="16">
        <v>397.4707</v>
      </c>
      <c r="H29" s="16">
        <v>404.1195</v>
      </c>
      <c r="I29" s="16">
        <v>419.2999</v>
      </c>
      <c r="J29" s="16">
        <v>474.4209</v>
      </c>
      <c r="K29" s="16">
        <v>624.1373</v>
      </c>
      <c r="L29" s="16">
        <v>605.1272</v>
      </c>
      <c r="M29" s="16">
        <v>612.1028</v>
      </c>
      <c r="N29" s="16">
        <v>411.7742</v>
      </c>
      <c r="O29" s="16">
        <v>436.489</v>
      </c>
      <c r="P29" s="16">
        <v>448.8581</v>
      </c>
      <c r="Q29" s="16">
        <v>454.8809</v>
      </c>
      <c r="R29" s="16">
        <v>470.2219</v>
      </c>
      <c r="S29" s="16">
        <v>469.3422</v>
      </c>
      <c r="T29" s="16">
        <v>467.7144</v>
      </c>
      <c r="U29" s="16">
        <v>472.6528</v>
      </c>
      <c r="V29" s="16">
        <v>469.2397</v>
      </c>
      <c r="W29" s="16">
        <v>480.2476</v>
      </c>
      <c r="X29" s="16">
        <v>464.2274</v>
      </c>
      <c r="Y29" s="16">
        <v>426.8603</v>
      </c>
      <c r="Z29" s="24" t="s">
        <v>31</v>
      </c>
      <c r="AA29" s="25">
        <f t="shared" si="0"/>
        <v>397.458</v>
      </c>
      <c r="AB29" s="25">
        <f t="shared" si="1"/>
        <v>462.5055125</v>
      </c>
    </row>
    <row r="30" spans="1:28">
      <c r="A30" s="8">
        <v>45320</v>
      </c>
      <c r="B30" s="16">
        <v>421.5216</v>
      </c>
      <c r="C30" s="16">
        <v>406.5097</v>
      </c>
      <c r="D30" s="16">
        <v>403.3042</v>
      </c>
      <c r="E30" s="16">
        <v>395.8628</v>
      </c>
      <c r="F30" s="16">
        <v>382.2742</v>
      </c>
      <c r="G30" s="16">
        <v>390.3049</v>
      </c>
      <c r="H30" s="16">
        <v>403.3752</v>
      </c>
      <c r="I30" s="16">
        <v>419.7316</v>
      </c>
      <c r="J30" s="16">
        <v>608.3659</v>
      </c>
      <c r="K30" s="16">
        <v>754.3342</v>
      </c>
      <c r="L30" s="16">
        <v>758.7323</v>
      </c>
      <c r="M30" s="16">
        <v>665.1712</v>
      </c>
      <c r="N30" s="16">
        <v>447.752</v>
      </c>
      <c r="O30" s="16">
        <v>583.1087</v>
      </c>
      <c r="P30" s="16">
        <v>503.5263</v>
      </c>
      <c r="Q30" s="16">
        <v>544.9789</v>
      </c>
      <c r="R30" s="16">
        <v>718.2193</v>
      </c>
      <c r="S30" s="16">
        <v>562.719</v>
      </c>
      <c r="T30" s="16">
        <v>496.5824</v>
      </c>
      <c r="U30" s="16">
        <v>545.2553</v>
      </c>
      <c r="V30" s="16">
        <v>561.6812</v>
      </c>
      <c r="W30" s="16">
        <v>616.1129</v>
      </c>
      <c r="X30" s="16">
        <v>532.3347</v>
      </c>
      <c r="Y30" s="16">
        <v>438.5481</v>
      </c>
      <c r="Z30" s="24" t="s">
        <v>31</v>
      </c>
      <c r="AA30" s="25">
        <f t="shared" si="0"/>
        <v>382.2742</v>
      </c>
      <c r="AB30" s="25">
        <f t="shared" si="1"/>
        <v>523.346108333333</v>
      </c>
    </row>
    <row r="31" spans="1:28">
      <c r="A31" s="8">
        <v>45321</v>
      </c>
      <c r="B31" s="16">
        <v>418.7305</v>
      </c>
      <c r="C31" s="16">
        <v>413.2337</v>
      </c>
      <c r="D31" s="16">
        <v>407.9388</v>
      </c>
      <c r="E31" s="16">
        <v>401.844</v>
      </c>
      <c r="F31" s="16">
        <v>397.1302</v>
      </c>
      <c r="G31" s="16">
        <v>397.1196</v>
      </c>
      <c r="H31" s="16">
        <v>402.4214</v>
      </c>
      <c r="I31" s="16">
        <v>414.9875</v>
      </c>
      <c r="J31" s="16">
        <v>455.9905</v>
      </c>
      <c r="K31" s="16">
        <v>490.5994</v>
      </c>
      <c r="L31" s="16">
        <v>475.7466</v>
      </c>
      <c r="M31" s="16">
        <v>450.7936</v>
      </c>
      <c r="N31" s="16">
        <v>419.5478</v>
      </c>
      <c r="O31" s="16">
        <v>435.8325</v>
      </c>
      <c r="P31" s="16">
        <v>434.2452</v>
      </c>
      <c r="Q31" s="16">
        <v>443.5692</v>
      </c>
      <c r="R31" s="16">
        <v>456.0128</v>
      </c>
      <c r="S31" s="16">
        <v>456.7081</v>
      </c>
      <c r="T31" s="16">
        <v>458.2528</v>
      </c>
      <c r="U31" s="16">
        <v>460.6383</v>
      </c>
      <c r="V31" s="16">
        <v>460.1289</v>
      </c>
      <c r="W31" s="16">
        <v>476.249</v>
      </c>
      <c r="X31" s="16">
        <v>461.7759</v>
      </c>
      <c r="Y31" s="16">
        <v>420.7696</v>
      </c>
      <c r="Z31" s="24" t="s">
        <v>31</v>
      </c>
      <c r="AA31" s="25">
        <f t="shared" si="0"/>
        <v>397.1196</v>
      </c>
      <c r="AB31" s="25">
        <f t="shared" si="1"/>
        <v>437.927745833333</v>
      </c>
    </row>
    <row r="32" spans="1:28">
      <c r="A32" s="8">
        <v>45322</v>
      </c>
      <c r="B32" s="16">
        <v>416.218</v>
      </c>
      <c r="C32" s="16">
        <v>411.2447</v>
      </c>
      <c r="D32" s="16">
        <v>394.5861</v>
      </c>
      <c r="E32" s="16">
        <v>366.4034</v>
      </c>
      <c r="F32" s="16">
        <v>346.2405</v>
      </c>
      <c r="G32" s="16">
        <v>345.8826</v>
      </c>
      <c r="H32" s="16">
        <v>370.7541</v>
      </c>
      <c r="I32" s="16">
        <v>403.652</v>
      </c>
      <c r="J32" s="16">
        <v>431.1179</v>
      </c>
      <c r="K32" s="16">
        <v>437.6785</v>
      </c>
      <c r="L32" s="16">
        <v>439.1707</v>
      </c>
      <c r="M32" s="16">
        <v>419.6561</v>
      </c>
      <c r="N32" s="16">
        <v>402.1352</v>
      </c>
      <c r="O32" s="16">
        <v>404.6807</v>
      </c>
      <c r="P32" s="16">
        <v>410.2287</v>
      </c>
      <c r="Q32" s="16">
        <v>413.4978</v>
      </c>
      <c r="R32" s="16">
        <v>419.2581</v>
      </c>
      <c r="S32" s="16">
        <v>437.0463</v>
      </c>
      <c r="T32" s="16">
        <v>455.599</v>
      </c>
      <c r="U32" s="16">
        <v>456.1773</v>
      </c>
      <c r="V32" s="16">
        <v>458.4358</v>
      </c>
      <c r="W32" s="16">
        <v>444.0457</v>
      </c>
      <c r="X32" s="16">
        <v>425.6982</v>
      </c>
      <c r="Y32" s="16">
        <v>400.7128</v>
      </c>
      <c r="Z32" s="24" t="s">
        <v>31</v>
      </c>
      <c r="AA32" s="25">
        <f t="shared" si="0"/>
        <v>345.8826</v>
      </c>
      <c r="AB32" s="25">
        <f t="shared" si="1"/>
        <v>412.921675</v>
      </c>
    </row>
    <row r="33" spans="1:28">
      <c r="A33" s="8">
        <v>45323</v>
      </c>
      <c r="B33" s="16">
        <v>394.3448</v>
      </c>
      <c r="C33" s="16">
        <v>390.5812</v>
      </c>
      <c r="D33" s="16">
        <v>376.7995</v>
      </c>
      <c r="E33" s="16">
        <v>366.6642</v>
      </c>
      <c r="F33" s="16">
        <v>349.2589</v>
      </c>
      <c r="G33" s="16">
        <v>351.7671</v>
      </c>
      <c r="H33" s="16">
        <v>374.3592</v>
      </c>
      <c r="I33" s="16">
        <v>386.7035</v>
      </c>
      <c r="J33" s="16">
        <v>410.4447</v>
      </c>
      <c r="K33" s="16">
        <v>410.2287</v>
      </c>
      <c r="L33" s="16">
        <v>398.9712</v>
      </c>
      <c r="M33" s="16">
        <v>385.7517</v>
      </c>
      <c r="N33" s="16">
        <v>374.4687</v>
      </c>
      <c r="O33" s="16">
        <v>377.8093</v>
      </c>
      <c r="P33" s="16">
        <v>377.687</v>
      </c>
      <c r="Q33" s="16">
        <v>377.4021</v>
      </c>
      <c r="R33" s="16">
        <v>393.6971</v>
      </c>
      <c r="S33" s="16">
        <v>401.0492</v>
      </c>
      <c r="T33" s="16">
        <v>425.4138</v>
      </c>
      <c r="U33" s="16">
        <v>425.3958</v>
      </c>
      <c r="V33" s="16">
        <v>423.7949</v>
      </c>
      <c r="W33" s="16">
        <v>424.1074</v>
      </c>
      <c r="X33" s="16">
        <v>420.1787</v>
      </c>
      <c r="Y33" s="16">
        <v>388.9561</v>
      </c>
      <c r="Z33" s="27" t="s">
        <v>35</v>
      </c>
      <c r="AA33" s="25">
        <f t="shared" si="0"/>
        <v>349.2589</v>
      </c>
      <c r="AB33" s="25">
        <f t="shared" si="1"/>
        <v>391.909783333333</v>
      </c>
    </row>
    <row r="34" spans="1:28">
      <c r="A34" s="8">
        <v>45324</v>
      </c>
      <c r="B34" s="16">
        <v>371.1817</v>
      </c>
      <c r="C34" s="16">
        <v>358.1327</v>
      </c>
      <c r="D34" s="16">
        <v>342.5284</v>
      </c>
      <c r="E34" s="16">
        <v>334.2673</v>
      </c>
      <c r="F34" s="16">
        <v>327.9216</v>
      </c>
      <c r="G34" s="16">
        <v>321.6063</v>
      </c>
      <c r="H34" s="16">
        <v>332.6148</v>
      </c>
      <c r="I34" s="16">
        <v>345.9793</v>
      </c>
      <c r="J34" s="16">
        <v>354.8694</v>
      </c>
      <c r="K34" s="16">
        <v>357.75</v>
      </c>
      <c r="L34" s="16">
        <v>345.8208</v>
      </c>
      <c r="M34" s="16">
        <v>340.3894</v>
      </c>
      <c r="N34" s="16">
        <v>336.2363</v>
      </c>
      <c r="O34" s="16">
        <v>337.572</v>
      </c>
      <c r="P34" s="16">
        <v>338.6763</v>
      </c>
      <c r="Q34" s="16">
        <v>338.1173</v>
      </c>
      <c r="R34" s="16">
        <v>341.9517</v>
      </c>
      <c r="S34" s="16">
        <v>358.7521</v>
      </c>
      <c r="T34" s="16">
        <v>381.0453</v>
      </c>
      <c r="U34" s="16">
        <v>391.9288</v>
      </c>
      <c r="V34" s="16">
        <v>385.6818</v>
      </c>
      <c r="W34" s="16">
        <v>384.5768</v>
      </c>
      <c r="X34" s="16">
        <v>381.2423</v>
      </c>
      <c r="Y34" s="16">
        <v>342.7206</v>
      </c>
      <c r="Z34" s="27" t="s">
        <v>35</v>
      </c>
      <c r="AA34" s="25">
        <f t="shared" si="0"/>
        <v>321.6063</v>
      </c>
      <c r="AB34" s="25">
        <f t="shared" si="1"/>
        <v>352.148458333333</v>
      </c>
    </row>
    <row r="35" spans="1:28">
      <c r="A35" s="8">
        <v>45325</v>
      </c>
      <c r="B35" s="16">
        <v>336.6403</v>
      </c>
      <c r="C35" s="16">
        <v>206.7623</v>
      </c>
      <c r="D35" s="16">
        <v>0</v>
      </c>
      <c r="E35" s="16">
        <v>0</v>
      </c>
      <c r="F35" s="16">
        <v>0</v>
      </c>
      <c r="G35" s="16">
        <v>0</v>
      </c>
      <c r="H35" s="16">
        <v>0</v>
      </c>
      <c r="I35" s="16">
        <v>152.7403</v>
      </c>
      <c r="J35" s="16">
        <v>334.9414</v>
      </c>
      <c r="K35" s="16">
        <v>342.4641</v>
      </c>
      <c r="L35" s="16">
        <v>338.9133</v>
      </c>
      <c r="M35" s="16">
        <v>344.8818</v>
      </c>
      <c r="N35" s="16">
        <v>305.912</v>
      </c>
      <c r="O35" s="16">
        <v>74.1044</v>
      </c>
      <c r="P35" s="16">
        <v>0</v>
      </c>
      <c r="Q35" s="16">
        <v>280.3161</v>
      </c>
      <c r="R35" s="16">
        <v>343.0579</v>
      </c>
      <c r="S35" s="16">
        <v>361.9299</v>
      </c>
      <c r="T35" s="16">
        <v>366.8451</v>
      </c>
      <c r="U35" s="16">
        <v>365.7906</v>
      </c>
      <c r="V35" s="16">
        <v>362.974</v>
      </c>
      <c r="W35" s="16">
        <v>370.1547</v>
      </c>
      <c r="X35" s="16">
        <v>371.1085</v>
      </c>
      <c r="Y35" s="16">
        <v>333.4289</v>
      </c>
      <c r="Z35" s="27" t="s">
        <v>35</v>
      </c>
      <c r="AA35" s="25">
        <f t="shared" si="0"/>
        <v>0</v>
      </c>
      <c r="AB35" s="25">
        <f t="shared" si="1"/>
        <v>233.040233333333</v>
      </c>
    </row>
    <row r="36" spans="1:28">
      <c r="A36" s="8">
        <v>45326</v>
      </c>
      <c r="B36" s="16">
        <v>363.7636</v>
      </c>
      <c r="C36" s="16">
        <v>348.6414</v>
      </c>
      <c r="D36" s="16">
        <v>332.9855</v>
      </c>
      <c r="E36" s="16">
        <v>319.5137</v>
      </c>
      <c r="F36" s="16">
        <v>323.2274</v>
      </c>
      <c r="G36" s="16">
        <v>319.8319</v>
      </c>
      <c r="H36" s="16">
        <v>312.5302</v>
      </c>
      <c r="I36" s="16">
        <v>311.7569</v>
      </c>
      <c r="J36" s="16">
        <v>322.8742</v>
      </c>
      <c r="K36" s="16">
        <v>327.1255</v>
      </c>
      <c r="L36" s="16">
        <v>330.8759</v>
      </c>
      <c r="M36" s="16">
        <v>335.6891</v>
      </c>
      <c r="N36" s="16">
        <v>324.766</v>
      </c>
      <c r="O36" s="16">
        <v>311.6974</v>
      </c>
      <c r="P36" s="16">
        <v>298.237</v>
      </c>
      <c r="Q36" s="16">
        <v>310.4838</v>
      </c>
      <c r="R36" s="16">
        <v>338.1559</v>
      </c>
      <c r="S36" s="16">
        <v>339.2122</v>
      </c>
      <c r="T36" s="16">
        <v>364.5305</v>
      </c>
      <c r="U36" s="16">
        <v>376.4617</v>
      </c>
      <c r="V36" s="16">
        <v>366.5207</v>
      </c>
      <c r="W36" s="16">
        <v>368.673</v>
      </c>
      <c r="X36" s="16">
        <v>374.9608</v>
      </c>
      <c r="Y36" s="16">
        <v>338.8273</v>
      </c>
      <c r="Z36" s="27" t="s">
        <v>35</v>
      </c>
      <c r="AA36" s="25">
        <f t="shared" si="0"/>
        <v>298.237</v>
      </c>
      <c r="AB36" s="25">
        <f t="shared" si="1"/>
        <v>335.889233333333</v>
      </c>
    </row>
    <row r="37" spans="1:28">
      <c r="A37" s="8">
        <v>45327</v>
      </c>
      <c r="B37" s="16">
        <v>364.5847</v>
      </c>
      <c r="C37" s="16">
        <v>365.8423</v>
      </c>
      <c r="D37" s="16">
        <v>345.7538</v>
      </c>
      <c r="E37" s="16">
        <v>331.9426</v>
      </c>
      <c r="F37" s="16">
        <v>327.1889</v>
      </c>
      <c r="G37" s="16">
        <v>324.6337</v>
      </c>
      <c r="H37" s="16">
        <v>334.7683</v>
      </c>
      <c r="I37" s="16">
        <v>345.7352</v>
      </c>
      <c r="J37" s="16">
        <v>331.68</v>
      </c>
      <c r="K37" s="16">
        <v>330.7739</v>
      </c>
      <c r="L37" s="16">
        <v>315.5367</v>
      </c>
      <c r="M37" s="16">
        <v>313.4657</v>
      </c>
      <c r="N37" s="16">
        <v>310.726</v>
      </c>
      <c r="O37" s="16">
        <v>291.2922</v>
      </c>
      <c r="P37" s="16">
        <v>254.2069</v>
      </c>
      <c r="Q37" s="16">
        <v>299.1066</v>
      </c>
      <c r="R37" s="16">
        <v>260.7458</v>
      </c>
      <c r="S37" s="16">
        <v>270.5663</v>
      </c>
      <c r="T37" s="16">
        <v>344.3894</v>
      </c>
      <c r="U37" s="16">
        <v>343.6717</v>
      </c>
      <c r="V37" s="16">
        <v>335.866</v>
      </c>
      <c r="W37" s="16">
        <v>321.8059</v>
      </c>
      <c r="X37" s="16">
        <v>318.7702</v>
      </c>
      <c r="Y37" s="16">
        <v>228.4475</v>
      </c>
      <c r="Z37" s="27" t="s">
        <v>35</v>
      </c>
      <c r="AA37" s="25">
        <f t="shared" si="0"/>
        <v>228.4475</v>
      </c>
      <c r="AB37" s="25">
        <f t="shared" si="1"/>
        <v>317.145845833333</v>
      </c>
    </row>
    <row r="38" spans="1:28">
      <c r="A38" s="8">
        <v>45328</v>
      </c>
      <c r="B38" s="16">
        <v>230.11</v>
      </c>
      <c r="C38" s="16">
        <v>338.33</v>
      </c>
      <c r="D38" s="16">
        <v>348.7523</v>
      </c>
      <c r="E38" s="16">
        <v>341.945</v>
      </c>
      <c r="F38" s="16">
        <v>338.245</v>
      </c>
      <c r="G38" s="16">
        <v>339.245</v>
      </c>
      <c r="H38" s="16">
        <v>354.8362</v>
      </c>
      <c r="I38" s="16">
        <v>364.1028</v>
      </c>
      <c r="J38" s="16">
        <v>357.461</v>
      </c>
      <c r="K38" s="16">
        <v>344.8574</v>
      </c>
      <c r="L38" s="16">
        <v>305.05</v>
      </c>
      <c r="M38" s="16">
        <v>311.83</v>
      </c>
      <c r="N38" s="16">
        <v>332.5926</v>
      </c>
      <c r="O38" s="16">
        <v>315.611</v>
      </c>
      <c r="P38" s="16">
        <v>325.245</v>
      </c>
      <c r="Q38" s="16">
        <v>339.665</v>
      </c>
      <c r="R38" s="16">
        <v>337.9725</v>
      </c>
      <c r="S38" s="16">
        <v>321.7266</v>
      </c>
      <c r="T38" s="16">
        <v>333.1831</v>
      </c>
      <c r="U38" s="16">
        <v>342.3489</v>
      </c>
      <c r="V38" s="16">
        <v>326.6321</v>
      </c>
      <c r="W38" s="16">
        <v>308.3317</v>
      </c>
      <c r="X38" s="16">
        <v>304.8</v>
      </c>
      <c r="Y38" s="16">
        <v>224.33</v>
      </c>
      <c r="Z38" s="27" t="s">
        <v>35</v>
      </c>
      <c r="AA38" s="25">
        <f t="shared" si="0"/>
        <v>224.33</v>
      </c>
      <c r="AB38" s="25">
        <f t="shared" si="1"/>
        <v>324.4668</v>
      </c>
    </row>
    <row r="39" spans="1:28">
      <c r="A39" s="8">
        <v>45329</v>
      </c>
      <c r="B39" s="16">
        <v>311.58</v>
      </c>
      <c r="C39" s="16">
        <v>325.33</v>
      </c>
      <c r="D39" s="16">
        <v>329.0933</v>
      </c>
      <c r="E39" s="16">
        <v>316.4301</v>
      </c>
      <c r="F39" s="16">
        <v>311.69</v>
      </c>
      <c r="G39" s="16">
        <v>305.1873</v>
      </c>
      <c r="H39" s="16">
        <v>318.42</v>
      </c>
      <c r="I39" s="16">
        <v>326.08</v>
      </c>
      <c r="J39" s="16">
        <v>338.6754</v>
      </c>
      <c r="K39" s="16">
        <v>314.435</v>
      </c>
      <c r="L39" s="16">
        <v>297.5</v>
      </c>
      <c r="M39" s="16">
        <v>328.7801</v>
      </c>
      <c r="N39" s="16">
        <v>330.9975</v>
      </c>
      <c r="O39" s="16">
        <v>300.745</v>
      </c>
      <c r="P39" s="16">
        <v>301.165</v>
      </c>
      <c r="Q39" s="16">
        <v>329.025</v>
      </c>
      <c r="R39" s="16">
        <v>362.6039</v>
      </c>
      <c r="S39" s="16">
        <v>366.25</v>
      </c>
      <c r="T39" s="16">
        <v>356.25</v>
      </c>
      <c r="U39" s="16">
        <v>351.3609</v>
      </c>
      <c r="V39" s="16">
        <v>347.6617</v>
      </c>
      <c r="W39" s="16">
        <v>338.4245</v>
      </c>
      <c r="X39" s="16">
        <v>333.33</v>
      </c>
      <c r="Y39" s="16">
        <v>321.5575</v>
      </c>
      <c r="Z39" s="27" t="s">
        <v>35</v>
      </c>
      <c r="AA39" s="25">
        <f t="shared" si="0"/>
        <v>297.5</v>
      </c>
      <c r="AB39" s="25">
        <f t="shared" si="1"/>
        <v>327.607175</v>
      </c>
    </row>
    <row r="40" spans="1:28">
      <c r="A40" s="8">
        <v>45330</v>
      </c>
      <c r="B40" s="16">
        <v>438.8575</v>
      </c>
      <c r="C40" s="16">
        <v>409.275</v>
      </c>
      <c r="D40" s="16">
        <v>393.25</v>
      </c>
      <c r="E40" s="16">
        <v>365.75</v>
      </c>
      <c r="F40" s="16">
        <v>346.5</v>
      </c>
      <c r="G40" s="16">
        <v>335.605</v>
      </c>
      <c r="H40" s="16">
        <v>353.415</v>
      </c>
      <c r="I40" s="16">
        <v>324.385</v>
      </c>
      <c r="J40" s="16">
        <v>346.75</v>
      </c>
      <c r="K40" s="16">
        <v>316.8325</v>
      </c>
      <c r="L40" s="16">
        <v>322.5275</v>
      </c>
      <c r="M40" s="16">
        <v>361.245</v>
      </c>
      <c r="N40" s="16">
        <v>376.995</v>
      </c>
      <c r="O40" s="16">
        <v>353.9009</v>
      </c>
      <c r="P40" s="16">
        <v>331.2489</v>
      </c>
      <c r="Q40" s="16">
        <v>361.25</v>
      </c>
      <c r="R40" s="16">
        <v>400.0325</v>
      </c>
      <c r="S40" s="16">
        <v>388.25</v>
      </c>
      <c r="T40" s="16">
        <v>359.8005</v>
      </c>
      <c r="U40" s="16">
        <v>365.5832</v>
      </c>
      <c r="V40" s="16">
        <v>363.9398</v>
      </c>
      <c r="W40" s="16">
        <v>353.9605</v>
      </c>
      <c r="X40" s="16">
        <v>361.4224</v>
      </c>
      <c r="Y40" s="16">
        <v>346.2307</v>
      </c>
      <c r="Z40" s="27" t="s">
        <v>35</v>
      </c>
      <c r="AA40" s="25">
        <f t="shared" si="0"/>
        <v>316.8325</v>
      </c>
      <c r="AB40" s="25">
        <f t="shared" si="1"/>
        <v>361.541954166667</v>
      </c>
    </row>
    <row r="41" spans="1:28">
      <c r="A41" s="8">
        <v>45331</v>
      </c>
      <c r="B41" s="16">
        <v>402.5825</v>
      </c>
      <c r="C41" s="16">
        <v>390.0825</v>
      </c>
      <c r="D41" s="16">
        <v>380</v>
      </c>
      <c r="E41" s="16">
        <v>351.25</v>
      </c>
      <c r="F41" s="16">
        <v>332.9432</v>
      </c>
      <c r="G41" s="16">
        <v>325.5935</v>
      </c>
      <c r="H41" s="16">
        <v>336</v>
      </c>
      <c r="I41" s="16">
        <v>316.58</v>
      </c>
      <c r="J41" s="16">
        <v>346.025</v>
      </c>
      <c r="K41" s="16">
        <v>323.27</v>
      </c>
      <c r="L41" s="16">
        <v>314.105</v>
      </c>
      <c r="M41" s="16">
        <v>361.025</v>
      </c>
      <c r="N41" s="16">
        <v>410.165</v>
      </c>
      <c r="O41" s="16">
        <v>388.3535</v>
      </c>
      <c r="P41" s="16">
        <v>365.75</v>
      </c>
      <c r="Q41" s="16">
        <v>367.5575</v>
      </c>
      <c r="R41" s="16">
        <v>397.5</v>
      </c>
      <c r="S41" s="16">
        <v>401.5</v>
      </c>
      <c r="T41" s="16">
        <v>376.3075</v>
      </c>
      <c r="U41" s="16">
        <v>391.25</v>
      </c>
      <c r="V41" s="16">
        <v>372.5</v>
      </c>
      <c r="W41" s="16">
        <v>359.8325</v>
      </c>
      <c r="X41" s="16">
        <v>363.75</v>
      </c>
      <c r="Y41" s="16">
        <v>377.5</v>
      </c>
      <c r="Z41" s="27" t="s">
        <v>35</v>
      </c>
      <c r="AA41" s="25">
        <f t="shared" si="0"/>
        <v>314.105</v>
      </c>
      <c r="AB41" s="25">
        <f t="shared" si="1"/>
        <v>364.6426125</v>
      </c>
    </row>
    <row r="42" spans="1:28">
      <c r="A42" s="8">
        <v>45332</v>
      </c>
      <c r="B42" s="16">
        <v>373.75</v>
      </c>
      <c r="C42" s="16">
        <v>427.275</v>
      </c>
      <c r="D42" s="16">
        <v>408.75</v>
      </c>
      <c r="E42" s="16">
        <v>370</v>
      </c>
      <c r="F42" s="16">
        <v>341.5575</v>
      </c>
      <c r="G42" s="16">
        <v>331.555</v>
      </c>
      <c r="H42" s="16">
        <v>318.465</v>
      </c>
      <c r="I42" s="16">
        <v>351.5575</v>
      </c>
      <c r="J42" s="16">
        <v>321.19</v>
      </c>
      <c r="K42" s="16">
        <v>332.2775</v>
      </c>
      <c r="L42" s="16">
        <v>317.52</v>
      </c>
      <c r="M42" s="16">
        <v>334.915</v>
      </c>
      <c r="N42" s="16">
        <v>402.6228</v>
      </c>
      <c r="O42" s="16">
        <v>378.2061</v>
      </c>
      <c r="P42" s="16">
        <v>337.0025</v>
      </c>
      <c r="Q42" s="16">
        <v>353.5</v>
      </c>
      <c r="R42" s="16">
        <v>328.025</v>
      </c>
      <c r="S42" s="16">
        <v>367.4901</v>
      </c>
      <c r="T42" s="16">
        <v>361.025</v>
      </c>
      <c r="U42" s="16">
        <v>365.75</v>
      </c>
      <c r="V42" s="16">
        <v>365.75</v>
      </c>
      <c r="W42" s="16">
        <v>365</v>
      </c>
      <c r="X42" s="16">
        <v>375.0942</v>
      </c>
      <c r="Y42" s="16">
        <v>378.6182</v>
      </c>
      <c r="Z42" s="26" t="s">
        <v>32</v>
      </c>
      <c r="AA42" s="25">
        <f t="shared" si="0"/>
        <v>317.52</v>
      </c>
      <c r="AB42" s="25">
        <f t="shared" si="1"/>
        <v>358.620683333333</v>
      </c>
    </row>
    <row r="43" spans="1:28">
      <c r="A43" s="8">
        <v>45333</v>
      </c>
      <c r="B43" s="16">
        <v>297.5856</v>
      </c>
      <c r="C43" s="16">
        <v>352.585</v>
      </c>
      <c r="D43" s="16">
        <v>338.2975</v>
      </c>
      <c r="E43" s="16">
        <v>349.25</v>
      </c>
      <c r="F43" s="16">
        <v>341.25</v>
      </c>
      <c r="G43" s="16">
        <v>335.25</v>
      </c>
      <c r="H43" s="16">
        <v>348.25</v>
      </c>
      <c r="I43" s="16">
        <v>305.97</v>
      </c>
      <c r="J43" s="16">
        <v>307.3</v>
      </c>
      <c r="K43" s="16">
        <v>120.25</v>
      </c>
      <c r="L43" s="16">
        <v>217.33</v>
      </c>
      <c r="M43" s="16">
        <v>87.7754</v>
      </c>
      <c r="N43" s="16">
        <v>195.16</v>
      </c>
      <c r="O43" s="16">
        <v>0</v>
      </c>
      <c r="P43" s="16">
        <v>0</v>
      </c>
      <c r="Q43" s="16">
        <v>75.5</v>
      </c>
      <c r="R43" s="16">
        <v>326.4949</v>
      </c>
      <c r="S43" s="16">
        <v>338.775</v>
      </c>
      <c r="T43" s="16">
        <v>333.0325</v>
      </c>
      <c r="U43" s="16">
        <v>338.5</v>
      </c>
      <c r="V43" s="16">
        <v>324.19</v>
      </c>
      <c r="W43" s="16">
        <v>317.685</v>
      </c>
      <c r="X43" s="16">
        <v>370</v>
      </c>
      <c r="Y43" s="16">
        <v>366.5</v>
      </c>
      <c r="Z43" s="26" t="s">
        <v>32</v>
      </c>
      <c r="AA43" s="25">
        <f t="shared" si="0"/>
        <v>0</v>
      </c>
      <c r="AB43" s="25">
        <f t="shared" si="1"/>
        <v>266.122120833333</v>
      </c>
    </row>
    <row r="44" spans="1:28">
      <c r="A44" s="8">
        <v>45334</v>
      </c>
      <c r="B44" s="16">
        <v>201.165</v>
      </c>
      <c r="C44" s="16">
        <v>220.08</v>
      </c>
      <c r="D44" s="16">
        <v>157.687</v>
      </c>
      <c r="E44" s="16">
        <v>188.6435</v>
      </c>
      <c r="F44" s="16">
        <v>262.91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0.25</v>
      </c>
      <c r="Q44" s="16">
        <v>0</v>
      </c>
      <c r="R44" s="16">
        <v>0</v>
      </c>
      <c r="S44" s="16">
        <v>0</v>
      </c>
      <c r="T44" s="16">
        <v>130</v>
      </c>
      <c r="U44" s="16">
        <v>285.49</v>
      </c>
      <c r="V44" s="16">
        <v>65</v>
      </c>
      <c r="W44" s="16">
        <v>0</v>
      </c>
      <c r="X44" s="16">
        <v>122.665</v>
      </c>
      <c r="Y44" s="16">
        <v>0</v>
      </c>
      <c r="Z44" s="26" t="s">
        <v>32</v>
      </c>
      <c r="AA44" s="25">
        <f t="shared" si="0"/>
        <v>0</v>
      </c>
      <c r="AB44" s="25">
        <f t="shared" si="1"/>
        <v>68.0787708333333</v>
      </c>
    </row>
    <row r="45" spans="1:28">
      <c r="A45" s="8">
        <v>45335</v>
      </c>
      <c r="B45" s="16">
        <v>300.19</v>
      </c>
      <c r="C45" s="16">
        <v>332.555</v>
      </c>
      <c r="D45" s="16">
        <v>358.4631</v>
      </c>
      <c r="E45" s="16">
        <v>351.1484</v>
      </c>
      <c r="F45" s="16">
        <v>321.5875</v>
      </c>
      <c r="G45" s="16">
        <v>310.555</v>
      </c>
      <c r="H45" s="16">
        <v>330.0875</v>
      </c>
      <c r="I45" s="16">
        <v>330.61</v>
      </c>
      <c r="J45" s="16">
        <v>303.065</v>
      </c>
      <c r="K45" s="16">
        <v>0.25</v>
      </c>
      <c r="L45" s="16">
        <v>187.745</v>
      </c>
      <c r="M45" s="16">
        <v>145.16</v>
      </c>
      <c r="N45" s="16">
        <v>168.5825</v>
      </c>
      <c r="O45" s="16">
        <v>177.33</v>
      </c>
      <c r="P45" s="16">
        <v>150.49</v>
      </c>
      <c r="Q45" s="16">
        <v>344.9792</v>
      </c>
      <c r="R45" s="16">
        <v>360.6754</v>
      </c>
      <c r="S45" s="16">
        <v>316.555</v>
      </c>
      <c r="T45" s="16">
        <v>321.075</v>
      </c>
      <c r="U45" s="16">
        <v>356.1765</v>
      </c>
      <c r="V45" s="16">
        <v>358.1592</v>
      </c>
      <c r="W45" s="16">
        <v>361.1137</v>
      </c>
      <c r="X45" s="16">
        <v>386.5656</v>
      </c>
      <c r="Y45" s="16">
        <v>419.5236</v>
      </c>
      <c r="Z45" s="26" t="s">
        <v>32</v>
      </c>
      <c r="AA45" s="25">
        <f t="shared" si="0"/>
        <v>0.25</v>
      </c>
      <c r="AB45" s="25">
        <f t="shared" si="1"/>
        <v>291.360091666667</v>
      </c>
    </row>
    <row r="46" spans="1:28">
      <c r="A46" s="8">
        <v>45336</v>
      </c>
      <c r="B46" s="16">
        <v>351.245</v>
      </c>
      <c r="C46" s="16">
        <v>387.52</v>
      </c>
      <c r="D46" s="16">
        <v>397.2583</v>
      </c>
      <c r="E46" s="16">
        <v>393.7775</v>
      </c>
      <c r="F46" s="16">
        <v>397.5815</v>
      </c>
      <c r="G46" s="16">
        <v>386.25</v>
      </c>
      <c r="H46" s="16">
        <v>386.255</v>
      </c>
      <c r="I46" s="16">
        <v>375.5279</v>
      </c>
      <c r="J46" s="16">
        <v>364.25</v>
      </c>
      <c r="K46" s="16">
        <v>333.055</v>
      </c>
      <c r="L46" s="16">
        <v>358.555</v>
      </c>
      <c r="M46" s="16">
        <v>338</v>
      </c>
      <c r="N46" s="16">
        <v>353.858</v>
      </c>
      <c r="O46" s="16">
        <v>343.5175</v>
      </c>
      <c r="P46" s="16">
        <v>341.6425</v>
      </c>
      <c r="Q46" s="16">
        <v>362.8992</v>
      </c>
      <c r="R46" s="16">
        <v>377.5</v>
      </c>
      <c r="S46" s="16">
        <v>350.305</v>
      </c>
      <c r="T46" s="16">
        <v>351.75</v>
      </c>
      <c r="U46" s="16">
        <v>373.745</v>
      </c>
      <c r="V46" s="16">
        <v>368.83</v>
      </c>
      <c r="W46" s="16">
        <v>370.16</v>
      </c>
      <c r="X46" s="16">
        <v>388.75</v>
      </c>
      <c r="Y46" s="16">
        <v>441.3573</v>
      </c>
      <c r="Z46" s="26" t="s">
        <v>32</v>
      </c>
      <c r="AA46" s="25">
        <f t="shared" si="0"/>
        <v>333.055</v>
      </c>
      <c r="AB46" s="25">
        <f t="shared" si="1"/>
        <v>370.5662375</v>
      </c>
    </row>
    <row r="47" spans="1:28">
      <c r="A47" s="8">
        <v>45337</v>
      </c>
      <c r="B47" s="16">
        <v>403.4621</v>
      </c>
      <c r="C47" s="16">
        <v>461.368</v>
      </c>
      <c r="D47" s="16">
        <v>432.1186</v>
      </c>
      <c r="E47" s="16">
        <v>407.0825</v>
      </c>
      <c r="F47" s="16">
        <v>385.2775</v>
      </c>
      <c r="G47" s="16">
        <v>382.495</v>
      </c>
      <c r="H47" s="16">
        <v>395</v>
      </c>
      <c r="I47" s="16">
        <v>391.6762</v>
      </c>
      <c r="J47" s="16">
        <v>367.75</v>
      </c>
      <c r="K47" s="16">
        <v>313.9525</v>
      </c>
      <c r="L47" s="16">
        <v>339.5575</v>
      </c>
      <c r="M47" s="16">
        <v>362.58</v>
      </c>
      <c r="N47" s="16">
        <v>366.83</v>
      </c>
      <c r="O47" s="16">
        <v>358.11</v>
      </c>
      <c r="P47" s="16">
        <v>354.055</v>
      </c>
      <c r="Q47" s="16">
        <v>376.245</v>
      </c>
      <c r="R47" s="16">
        <v>398.085</v>
      </c>
      <c r="S47" s="16">
        <v>399.0825</v>
      </c>
      <c r="T47" s="16">
        <v>368</v>
      </c>
      <c r="U47" s="16">
        <v>367.5</v>
      </c>
      <c r="V47" s="16">
        <v>367</v>
      </c>
      <c r="W47" s="16">
        <v>365</v>
      </c>
      <c r="X47" s="16">
        <v>392.7725</v>
      </c>
      <c r="Y47" s="16">
        <v>427.7873</v>
      </c>
      <c r="Z47" s="26" t="s">
        <v>33</v>
      </c>
      <c r="AA47" s="25">
        <f t="shared" si="0"/>
        <v>313.9525</v>
      </c>
      <c r="AB47" s="25">
        <f t="shared" si="1"/>
        <v>382.616133333333</v>
      </c>
    </row>
    <row r="48" spans="1:28">
      <c r="A48" s="8">
        <v>45338</v>
      </c>
      <c r="B48" s="16">
        <v>382.5375</v>
      </c>
      <c r="C48" s="16">
        <v>390.12</v>
      </c>
      <c r="D48" s="16">
        <v>387.7162</v>
      </c>
      <c r="E48" s="16">
        <v>377.9315</v>
      </c>
      <c r="F48" s="16">
        <v>353.0034</v>
      </c>
      <c r="G48" s="16">
        <v>341.3075</v>
      </c>
      <c r="H48" s="16">
        <v>340.75</v>
      </c>
      <c r="I48" s="16">
        <v>342.0313</v>
      </c>
      <c r="J48" s="16">
        <v>322.7139</v>
      </c>
      <c r="K48" s="16">
        <v>322</v>
      </c>
      <c r="L48" s="16">
        <v>339.4176</v>
      </c>
      <c r="M48" s="16">
        <v>339.3075</v>
      </c>
      <c r="N48" s="16">
        <v>338.9718</v>
      </c>
      <c r="O48" s="16">
        <v>325.41</v>
      </c>
      <c r="P48" s="16">
        <v>317.745</v>
      </c>
      <c r="Q48" s="16">
        <v>260.2775</v>
      </c>
      <c r="R48" s="16">
        <v>307.825</v>
      </c>
      <c r="S48" s="16">
        <v>335</v>
      </c>
      <c r="T48" s="16">
        <v>269.9825</v>
      </c>
      <c r="U48" s="16">
        <v>292.7333</v>
      </c>
      <c r="V48" s="16">
        <v>117.58</v>
      </c>
      <c r="W48" s="16">
        <v>0</v>
      </c>
      <c r="X48" s="16">
        <v>0.1171</v>
      </c>
      <c r="Y48" s="16">
        <v>0</v>
      </c>
      <c r="Z48" s="26" t="s">
        <v>34</v>
      </c>
      <c r="AA48" s="25">
        <f t="shared" si="0"/>
        <v>0</v>
      </c>
      <c r="AB48" s="25">
        <f t="shared" si="1"/>
        <v>283.519941666667</v>
      </c>
    </row>
    <row r="49" spans="1:28">
      <c r="A49" s="8">
        <v>45339</v>
      </c>
      <c r="B49" s="16">
        <v>338.75</v>
      </c>
      <c r="C49" s="16">
        <v>339.58</v>
      </c>
      <c r="D49" s="16">
        <v>339</v>
      </c>
      <c r="E49" s="16">
        <v>336.5</v>
      </c>
      <c r="F49" s="16">
        <v>338.5</v>
      </c>
      <c r="G49" s="16">
        <v>336.58</v>
      </c>
      <c r="H49" s="16">
        <v>328.08</v>
      </c>
      <c r="I49" s="16">
        <v>325.715</v>
      </c>
      <c r="J49" s="16">
        <v>333.135</v>
      </c>
      <c r="K49" s="16">
        <v>341.9583</v>
      </c>
      <c r="L49" s="16">
        <v>340.08</v>
      </c>
      <c r="M49" s="16">
        <v>339</v>
      </c>
      <c r="N49" s="16">
        <v>338.4178</v>
      </c>
      <c r="O49" s="16">
        <v>324.69</v>
      </c>
      <c r="P49" s="16">
        <v>321.69</v>
      </c>
      <c r="Q49" s="16">
        <v>320.635</v>
      </c>
      <c r="R49" s="16">
        <v>334.8249</v>
      </c>
      <c r="S49" s="16">
        <v>344.2845</v>
      </c>
      <c r="T49" s="16">
        <v>345.4877</v>
      </c>
      <c r="U49" s="16">
        <v>357.66</v>
      </c>
      <c r="V49" s="16">
        <v>352.33</v>
      </c>
      <c r="W49" s="16">
        <v>345.0593</v>
      </c>
      <c r="X49" s="16">
        <v>335.16</v>
      </c>
      <c r="Y49" s="16">
        <v>321.4425</v>
      </c>
      <c r="Z49" s="26" t="s">
        <v>32</v>
      </c>
      <c r="AA49" s="25">
        <f t="shared" si="0"/>
        <v>320.635</v>
      </c>
      <c r="AB49" s="25">
        <f t="shared" si="1"/>
        <v>336.606666666667</v>
      </c>
    </row>
    <row r="50" spans="1:28">
      <c r="A50" s="8">
        <v>45340</v>
      </c>
      <c r="B50" s="16">
        <v>335.5</v>
      </c>
      <c r="C50" s="16">
        <v>341.5</v>
      </c>
      <c r="D50" s="16">
        <v>321.58</v>
      </c>
      <c r="E50" s="16">
        <v>321.715</v>
      </c>
      <c r="F50" s="16">
        <v>320.885</v>
      </c>
      <c r="G50" s="16">
        <v>321.66</v>
      </c>
      <c r="H50" s="16">
        <v>320</v>
      </c>
      <c r="I50" s="16">
        <v>324.25</v>
      </c>
      <c r="J50" s="16">
        <v>345.25</v>
      </c>
      <c r="K50" s="16">
        <v>350</v>
      </c>
      <c r="L50" s="16">
        <v>346.58</v>
      </c>
      <c r="M50" s="16">
        <v>344.75</v>
      </c>
      <c r="N50" s="16">
        <v>330.25</v>
      </c>
      <c r="O50" s="16">
        <v>320.25</v>
      </c>
      <c r="P50" s="16">
        <v>320</v>
      </c>
      <c r="Q50" s="16">
        <v>320.08</v>
      </c>
      <c r="R50" s="16">
        <v>332.5</v>
      </c>
      <c r="S50" s="16">
        <v>341.33</v>
      </c>
      <c r="T50" s="16">
        <v>351.5</v>
      </c>
      <c r="U50" s="16">
        <v>368.75</v>
      </c>
      <c r="V50" s="16">
        <v>350.5</v>
      </c>
      <c r="W50" s="16">
        <v>340</v>
      </c>
      <c r="X50" s="16">
        <v>321.5</v>
      </c>
      <c r="Y50" s="16">
        <v>235</v>
      </c>
      <c r="Z50" s="26" t="s">
        <v>32</v>
      </c>
      <c r="AA50" s="25">
        <f t="shared" si="0"/>
        <v>235</v>
      </c>
      <c r="AB50" s="25">
        <f t="shared" si="1"/>
        <v>330.222083333333</v>
      </c>
    </row>
    <row r="51" spans="1:28">
      <c r="A51" s="8">
        <v>45341</v>
      </c>
      <c r="B51" s="16">
        <v>346.75</v>
      </c>
      <c r="C51" s="16">
        <v>340</v>
      </c>
      <c r="D51" s="16">
        <v>340.75</v>
      </c>
      <c r="E51" s="16">
        <v>338.75</v>
      </c>
      <c r="F51" s="16">
        <v>333.25</v>
      </c>
      <c r="G51" s="16">
        <v>335.3075</v>
      </c>
      <c r="H51" s="16">
        <v>342.5</v>
      </c>
      <c r="I51" s="16">
        <v>352.5</v>
      </c>
      <c r="J51" s="16">
        <v>380</v>
      </c>
      <c r="K51" s="16">
        <v>386.005</v>
      </c>
      <c r="L51" s="16">
        <v>383.75</v>
      </c>
      <c r="M51" s="16">
        <v>377.2299</v>
      </c>
      <c r="N51" s="16">
        <v>358.6766</v>
      </c>
      <c r="O51" s="16">
        <v>358.5367</v>
      </c>
      <c r="P51" s="16">
        <v>357</v>
      </c>
      <c r="Q51" s="16">
        <v>359.5</v>
      </c>
      <c r="R51" s="16">
        <v>374.3725</v>
      </c>
      <c r="S51" s="16">
        <v>386.8282</v>
      </c>
      <c r="T51" s="16">
        <v>398.3936</v>
      </c>
      <c r="U51" s="16">
        <v>393.245</v>
      </c>
      <c r="V51" s="16">
        <v>389.7835</v>
      </c>
      <c r="W51" s="16">
        <v>380.7524</v>
      </c>
      <c r="X51" s="16">
        <v>376.2162</v>
      </c>
      <c r="Y51" s="16">
        <v>351</v>
      </c>
      <c r="Z51" s="26" t="s">
        <v>32</v>
      </c>
      <c r="AA51" s="25">
        <f t="shared" si="0"/>
        <v>333.25</v>
      </c>
      <c r="AB51" s="25">
        <f t="shared" si="1"/>
        <v>364.212379166667</v>
      </c>
    </row>
    <row r="52" spans="1:28">
      <c r="A52" s="8">
        <v>45342</v>
      </c>
      <c r="B52" s="16">
        <v>343</v>
      </c>
      <c r="C52" s="16">
        <v>344.5</v>
      </c>
      <c r="D52" s="16">
        <v>317.745</v>
      </c>
      <c r="E52" s="16">
        <v>307.3157</v>
      </c>
      <c r="F52" s="16">
        <v>300.2923</v>
      </c>
      <c r="G52" s="16">
        <v>303.3766</v>
      </c>
      <c r="H52" s="16">
        <v>327.4207</v>
      </c>
      <c r="I52" s="16">
        <v>363.25</v>
      </c>
      <c r="J52" s="16">
        <v>390.6981</v>
      </c>
      <c r="K52" s="16">
        <v>385.4666</v>
      </c>
      <c r="L52" s="16">
        <v>369.5485</v>
      </c>
      <c r="M52" s="16">
        <v>364.4332</v>
      </c>
      <c r="N52" s="16">
        <v>302.7029</v>
      </c>
      <c r="O52" s="16">
        <v>300.9647</v>
      </c>
      <c r="P52" s="16">
        <v>305.3535</v>
      </c>
      <c r="Q52" s="16">
        <v>329.08</v>
      </c>
      <c r="R52" s="16">
        <v>370.8664</v>
      </c>
      <c r="S52" s="16">
        <v>379.0322</v>
      </c>
      <c r="T52" s="16">
        <v>377.729</v>
      </c>
      <c r="U52" s="16">
        <v>386.7887</v>
      </c>
      <c r="V52" s="16">
        <v>379.9152</v>
      </c>
      <c r="W52" s="16">
        <v>385.8492</v>
      </c>
      <c r="X52" s="16">
        <v>377.5538</v>
      </c>
      <c r="Y52" s="16">
        <v>346.195</v>
      </c>
      <c r="Z52" s="26" t="s">
        <v>32</v>
      </c>
      <c r="AA52" s="25">
        <f t="shared" si="0"/>
        <v>300.2923</v>
      </c>
      <c r="AB52" s="25">
        <f t="shared" si="1"/>
        <v>348.2948875</v>
      </c>
    </row>
    <row r="53" spans="1:28">
      <c r="A53" s="8">
        <v>45343</v>
      </c>
      <c r="B53" s="16">
        <v>357.0575</v>
      </c>
      <c r="C53" s="16">
        <v>352.5369</v>
      </c>
      <c r="D53" s="16">
        <v>337.6136</v>
      </c>
      <c r="E53" s="16">
        <v>324.293</v>
      </c>
      <c r="F53" s="16">
        <v>317.5019</v>
      </c>
      <c r="G53" s="16">
        <v>318.1331</v>
      </c>
      <c r="H53" s="16">
        <v>350.301</v>
      </c>
      <c r="I53" s="16">
        <v>370.25</v>
      </c>
      <c r="J53" s="16">
        <v>393.8226</v>
      </c>
      <c r="K53" s="16">
        <v>401.2069</v>
      </c>
      <c r="L53" s="16">
        <v>390.5073</v>
      </c>
      <c r="M53" s="16">
        <v>373.6181</v>
      </c>
      <c r="N53" s="16">
        <v>337.7566</v>
      </c>
      <c r="O53" s="16">
        <v>327.9745</v>
      </c>
      <c r="P53" s="16">
        <v>332.9872</v>
      </c>
      <c r="Q53" s="16">
        <v>347.28</v>
      </c>
      <c r="R53" s="16">
        <v>384.7508</v>
      </c>
      <c r="S53" s="16">
        <v>388.4731</v>
      </c>
      <c r="T53" s="16">
        <v>396.5922</v>
      </c>
      <c r="U53" s="16">
        <v>405.4292</v>
      </c>
      <c r="V53" s="16">
        <v>402.8913</v>
      </c>
      <c r="W53" s="16">
        <v>403.3218</v>
      </c>
      <c r="X53" s="16">
        <v>389.2436</v>
      </c>
      <c r="Y53" s="16">
        <v>353.6317</v>
      </c>
      <c r="Z53" s="26" t="s">
        <v>32</v>
      </c>
      <c r="AA53" s="25">
        <f t="shared" si="0"/>
        <v>317.5019</v>
      </c>
      <c r="AB53" s="25">
        <f t="shared" si="1"/>
        <v>364.882245833333</v>
      </c>
    </row>
    <row r="54" spans="1:28">
      <c r="A54" s="8">
        <v>45344</v>
      </c>
      <c r="B54" s="16">
        <v>353.8973</v>
      </c>
      <c r="C54" s="16">
        <v>367.165</v>
      </c>
      <c r="D54" s="16">
        <v>361.915</v>
      </c>
      <c r="E54" s="16">
        <v>355</v>
      </c>
      <c r="F54" s="16">
        <v>348.5</v>
      </c>
      <c r="G54" s="16">
        <v>350.75</v>
      </c>
      <c r="H54" s="16">
        <v>370.25</v>
      </c>
      <c r="I54" s="16">
        <v>384.0803</v>
      </c>
      <c r="J54" s="16">
        <v>410.968</v>
      </c>
      <c r="K54" s="16">
        <v>418.3019</v>
      </c>
      <c r="L54" s="16">
        <v>410.402</v>
      </c>
      <c r="M54" s="16">
        <v>390.2211</v>
      </c>
      <c r="N54" s="16">
        <v>366.5201</v>
      </c>
      <c r="O54" s="16">
        <v>369.5499</v>
      </c>
      <c r="P54" s="16">
        <v>370</v>
      </c>
      <c r="Q54" s="16">
        <v>370</v>
      </c>
      <c r="R54" s="16">
        <v>380.6411</v>
      </c>
      <c r="S54" s="16">
        <v>386.2715</v>
      </c>
      <c r="T54" s="16">
        <v>399.1012</v>
      </c>
      <c r="U54" s="16">
        <v>409.6706</v>
      </c>
      <c r="V54" s="16">
        <v>400.6662</v>
      </c>
      <c r="W54" s="16">
        <v>393.7645</v>
      </c>
      <c r="X54" s="16">
        <v>369.943</v>
      </c>
      <c r="Y54" s="16">
        <v>350.25</v>
      </c>
      <c r="Z54" s="26" t="s">
        <v>33</v>
      </c>
      <c r="AA54" s="25">
        <f t="shared" si="0"/>
        <v>348.5</v>
      </c>
      <c r="AB54" s="25">
        <f t="shared" si="1"/>
        <v>378.659529166667</v>
      </c>
    </row>
    <row r="55" spans="1:28">
      <c r="A55" s="8">
        <v>45345</v>
      </c>
      <c r="B55" s="16">
        <v>356.9746</v>
      </c>
      <c r="C55" s="16">
        <v>354.7425</v>
      </c>
      <c r="D55" s="16">
        <v>342.25</v>
      </c>
      <c r="E55" s="16">
        <v>330.915</v>
      </c>
      <c r="F55" s="16">
        <v>323.995</v>
      </c>
      <c r="G55" s="16">
        <v>324.08</v>
      </c>
      <c r="H55" s="16">
        <v>342.53</v>
      </c>
      <c r="I55" s="16">
        <v>357.3232</v>
      </c>
      <c r="J55" s="16">
        <v>380.6037</v>
      </c>
      <c r="K55" s="16">
        <v>397.5078</v>
      </c>
      <c r="L55" s="16">
        <v>396.531</v>
      </c>
      <c r="M55" s="16">
        <v>379.4094</v>
      </c>
      <c r="N55" s="16">
        <v>347.3135</v>
      </c>
      <c r="O55" s="16">
        <v>359.5625</v>
      </c>
      <c r="P55" s="16">
        <v>368.5089</v>
      </c>
      <c r="Q55" s="16">
        <v>372.0668</v>
      </c>
      <c r="R55" s="16">
        <v>389.5049</v>
      </c>
      <c r="S55" s="16">
        <v>387.0916</v>
      </c>
      <c r="T55" s="16">
        <v>388.9568</v>
      </c>
      <c r="U55" s="16">
        <v>399.4594</v>
      </c>
      <c r="V55" s="16">
        <v>392.3861</v>
      </c>
      <c r="W55" s="16">
        <v>393.1033</v>
      </c>
      <c r="X55" s="16">
        <v>372.7621</v>
      </c>
      <c r="Y55" s="16">
        <v>345.1246</v>
      </c>
      <c r="Z55" s="26" t="s">
        <v>34</v>
      </c>
      <c r="AA55" s="25">
        <f t="shared" si="0"/>
        <v>323.995</v>
      </c>
      <c r="AB55" s="25">
        <f t="shared" si="1"/>
        <v>366.779279166667</v>
      </c>
    </row>
    <row r="56" spans="1:28">
      <c r="A56" s="8">
        <v>45346</v>
      </c>
      <c r="B56" s="16">
        <v>325.235</v>
      </c>
      <c r="C56" s="16">
        <v>323.5351</v>
      </c>
      <c r="D56" s="16">
        <v>323.3476</v>
      </c>
      <c r="E56" s="16">
        <v>316.58</v>
      </c>
      <c r="F56" s="16">
        <v>308.0725</v>
      </c>
      <c r="G56" s="16">
        <v>306.325</v>
      </c>
      <c r="H56" s="16">
        <v>320.665</v>
      </c>
      <c r="I56" s="16">
        <v>341.25</v>
      </c>
      <c r="J56" s="16">
        <v>363.9481</v>
      </c>
      <c r="K56" s="16">
        <v>370.888</v>
      </c>
      <c r="L56" s="16">
        <v>369.8303</v>
      </c>
      <c r="M56" s="16">
        <v>364.3871</v>
      </c>
      <c r="N56" s="16">
        <v>342.53</v>
      </c>
      <c r="O56" s="16">
        <v>355.0154</v>
      </c>
      <c r="P56" s="16">
        <v>365.055</v>
      </c>
      <c r="Q56" s="16">
        <v>367.805</v>
      </c>
      <c r="R56" s="16">
        <v>375.1372</v>
      </c>
      <c r="S56" s="16">
        <v>375.4381</v>
      </c>
      <c r="T56" s="16">
        <v>381.7568</v>
      </c>
      <c r="U56" s="16">
        <v>389.2297</v>
      </c>
      <c r="V56" s="16">
        <v>393.9821</v>
      </c>
      <c r="W56" s="16">
        <v>390.823</v>
      </c>
      <c r="X56" s="16">
        <v>368</v>
      </c>
      <c r="Y56" s="16">
        <v>348.75</v>
      </c>
      <c r="Z56" s="26" t="s">
        <v>32</v>
      </c>
      <c r="AA56" s="25">
        <f t="shared" si="0"/>
        <v>306.325</v>
      </c>
      <c r="AB56" s="25">
        <f t="shared" si="1"/>
        <v>353.649416666667</v>
      </c>
    </row>
    <row r="57" spans="1:28">
      <c r="A57" s="8">
        <v>45347</v>
      </c>
      <c r="B57" s="16">
        <v>358.0779</v>
      </c>
      <c r="C57" s="16">
        <v>347.53</v>
      </c>
      <c r="D57" s="16">
        <v>335</v>
      </c>
      <c r="E57" s="16">
        <v>324.0825</v>
      </c>
      <c r="F57" s="16">
        <v>309.7425</v>
      </c>
      <c r="G57" s="16">
        <v>304.6625</v>
      </c>
      <c r="H57" s="16">
        <v>324.165</v>
      </c>
      <c r="I57" s="16">
        <v>330</v>
      </c>
      <c r="J57" s="16">
        <v>350.25</v>
      </c>
      <c r="K57" s="16">
        <v>359</v>
      </c>
      <c r="L57" s="16">
        <v>360</v>
      </c>
      <c r="M57" s="16">
        <v>345</v>
      </c>
      <c r="N57" s="16">
        <v>321.653</v>
      </c>
      <c r="O57" s="16">
        <v>329</v>
      </c>
      <c r="P57" s="16">
        <v>330</v>
      </c>
      <c r="Q57" s="16">
        <v>333.2832</v>
      </c>
      <c r="R57" s="16">
        <v>349.4443</v>
      </c>
      <c r="S57" s="16">
        <v>361.9972</v>
      </c>
      <c r="T57" s="16">
        <v>367.4956</v>
      </c>
      <c r="U57" s="16">
        <v>368.842</v>
      </c>
      <c r="V57" s="16">
        <v>372.4909</v>
      </c>
      <c r="W57" s="16">
        <v>369.5999</v>
      </c>
      <c r="X57" s="16">
        <v>362.9676</v>
      </c>
      <c r="Y57" s="16">
        <v>329.8921</v>
      </c>
      <c r="Z57" s="26" t="s">
        <v>32</v>
      </c>
      <c r="AA57" s="25">
        <f t="shared" si="0"/>
        <v>304.6625</v>
      </c>
      <c r="AB57" s="25">
        <f t="shared" si="1"/>
        <v>343.507341666667</v>
      </c>
    </row>
    <row r="58" spans="1:28">
      <c r="A58" s="8">
        <v>45348</v>
      </c>
      <c r="B58" s="16">
        <v>352.2885</v>
      </c>
      <c r="C58" s="16">
        <v>344.75</v>
      </c>
      <c r="D58" s="16">
        <v>340.5</v>
      </c>
      <c r="E58" s="16">
        <v>330.5</v>
      </c>
      <c r="F58" s="16">
        <v>311.2325</v>
      </c>
      <c r="G58" s="16">
        <v>313.7525</v>
      </c>
      <c r="H58" s="16">
        <v>341.25</v>
      </c>
      <c r="I58" s="16">
        <v>360.5814</v>
      </c>
      <c r="J58" s="16">
        <v>384.6899</v>
      </c>
      <c r="K58" s="16">
        <v>396.1222</v>
      </c>
      <c r="L58" s="16">
        <v>390.9778</v>
      </c>
      <c r="M58" s="16">
        <v>375.4308</v>
      </c>
      <c r="N58" s="16">
        <v>337.9012</v>
      </c>
      <c r="O58" s="16">
        <v>344.3145</v>
      </c>
      <c r="P58" s="16">
        <v>348.7322</v>
      </c>
      <c r="Q58" s="16">
        <v>353.0608</v>
      </c>
      <c r="R58" s="16">
        <v>367.1809</v>
      </c>
      <c r="S58" s="16">
        <v>369.8803</v>
      </c>
      <c r="T58" s="16">
        <v>378.9333</v>
      </c>
      <c r="U58" s="16">
        <v>381.4365</v>
      </c>
      <c r="V58" s="16">
        <v>382.0482</v>
      </c>
      <c r="W58" s="16">
        <v>380.3126</v>
      </c>
      <c r="X58" s="16">
        <v>363.6657</v>
      </c>
      <c r="Y58" s="16">
        <v>327.9953</v>
      </c>
      <c r="Z58" s="26" t="s">
        <v>32</v>
      </c>
      <c r="AA58" s="25">
        <f t="shared" si="0"/>
        <v>311.2325</v>
      </c>
      <c r="AB58" s="25">
        <f t="shared" si="1"/>
        <v>357.397379166667</v>
      </c>
    </row>
    <row r="59" spans="1:28">
      <c r="A59" s="8">
        <v>45349</v>
      </c>
      <c r="B59" s="16">
        <v>364.6674</v>
      </c>
      <c r="C59" s="16">
        <v>355.4973</v>
      </c>
      <c r="D59" s="16">
        <v>350</v>
      </c>
      <c r="E59" s="16">
        <v>336.9934</v>
      </c>
      <c r="F59" s="16">
        <v>330.5</v>
      </c>
      <c r="G59" s="16">
        <v>331.5</v>
      </c>
      <c r="H59" s="16">
        <v>355.8204</v>
      </c>
      <c r="I59" s="16">
        <v>377.7412</v>
      </c>
      <c r="J59" s="16">
        <v>421.2391</v>
      </c>
      <c r="K59" s="16">
        <v>410.095</v>
      </c>
      <c r="L59" s="16">
        <v>397.1182</v>
      </c>
      <c r="M59" s="16">
        <v>396.99</v>
      </c>
      <c r="N59" s="16">
        <v>359.6146</v>
      </c>
      <c r="O59" s="16">
        <v>361.9141</v>
      </c>
      <c r="P59" s="16">
        <v>368.4606</v>
      </c>
      <c r="Q59" s="16">
        <v>372.283</v>
      </c>
      <c r="R59" s="16">
        <v>391.425</v>
      </c>
      <c r="S59" s="16">
        <v>399.6748</v>
      </c>
      <c r="T59" s="16">
        <v>400.7544</v>
      </c>
      <c r="U59" s="16">
        <v>407.153</v>
      </c>
      <c r="V59" s="16">
        <v>402.9364</v>
      </c>
      <c r="W59" s="16">
        <v>399.5301</v>
      </c>
      <c r="X59" s="16">
        <v>390.7662</v>
      </c>
      <c r="Y59" s="16">
        <v>359.5209</v>
      </c>
      <c r="Z59" s="26" t="s">
        <v>32</v>
      </c>
      <c r="AA59" s="25">
        <f t="shared" si="0"/>
        <v>330.5</v>
      </c>
      <c r="AB59" s="25">
        <f t="shared" si="1"/>
        <v>376.758129166667</v>
      </c>
    </row>
    <row r="60" spans="1:28">
      <c r="A60" s="8">
        <v>45350</v>
      </c>
      <c r="B60" s="16">
        <v>352.5924</v>
      </c>
      <c r="C60" s="16">
        <v>348.75</v>
      </c>
      <c r="D60" s="16">
        <v>338.25</v>
      </c>
      <c r="E60" s="16">
        <v>322.9025</v>
      </c>
      <c r="F60" s="16">
        <v>304.7975</v>
      </c>
      <c r="G60" s="16">
        <v>304.3</v>
      </c>
      <c r="H60" s="16">
        <v>342.5268</v>
      </c>
      <c r="I60" s="16">
        <v>373.6618</v>
      </c>
      <c r="J60" s="16">
        <v>404.7129</v>
      </c>
      <c r="K60" s="16">
        <v>405.8999</v>
      </c>
      <c r="L60" s="16">
        <v>399.4655</v>
      </c>
      <c r="M60" s="16">
        <v>394.9383</v>
      </c>
      <c r="N60" s="16">
        <v>358.3583</v>
      </c>
      <c r="O60" s="16">
        <v>365.9834</v>
      </c>
      <c r="P60" s="16">
        <v>371.3322</v>
      </c>
      <c r="Q60" s="16">
        <v>381.3158</v>
      </c>
      <c r="R60" s="16">
        <v>390.0267</v>
      </c>
      <c r="S60" s="16">
        <v>385.054</v>
      </c>
      <c r="T60" s="16">
        <v>392.0627</v>
      </c>
      <c r="U60" s="16">
        <v>401.226</v>
      </c>
      <c r="V60" s="16">
        <v>399.7643</v>
      </c>
      <c r="W60" s="16">
        <v>397.9536</v>
      </c>
      <c r="X60" s="16">
        <v>379.1301</v>
      </c>
      <c r="Y60" s="16">
        <v>349.2931</v>
      </c>
      <c r="Z60" s="26" t="s">
        <v>32</v>
      </c>
      <c r="AA60" s="25">
        <f t="shared" si="0"/>
        <v>304.3</v>
      </c>
      <c r="AB60" s="25">
        <f t="shared" si="1"/>
        <v>369.345741666667</v>
      </c>
    </row>
    <row r="61" spans="1:28">
      <c r="A61" s="8">
        <v>45351</v>
      </c>
      <c r="B61" s="16">
        <v>364.1535</v>
      </c>
      <c r="C61" s="16">
        <v>360.6203</v>
      </c>
      <c r="D61" s="16">
        <v>355.0356</v>
      </c>
      <c r="E61" s="16">
        <v>342.9539</v>
      </c>
      <c r="F61" s="16">
        <v>331</v>
      </c>
      <c r="G61" s="16">
        <v>336.78</v>
      </c>
      <c r="H61" s="16">
        <v>361.25</v>
      </c>
      <c r="I61" s="16">
        <v>379.2449</v>
      </c>
      <c r="J61" s="16">
        <v>410.3452</v>
      </c>
      <c r="K61" s="16">
        <v>409.1453</v>
      </c>
      <c r="L61" s="16">
        <v>405.7173</v>
      </c>
      <c r="M61" s="16">
        <v>398.7048</v>
      </c>
      <c r="N61" s="16">
        <v>367.3931</v>
      </c>
      <c r="O61" s="16">
        <v>364.0593</v>
      </c>
      <c r="P61" s="16">
        <v>368.8624</v>
      </c>
      <c r="Q61" s="16">
        <v>378.0787</v>
      </c>
      <c r="R61" s="16">
        <v>398.6081</v>
      </c>
      <c r="S61" s="16">
        <v>402.6847</v>
      </c>
      <c r="T61" s="16">
        <v>409.227</v>
      </c>
      <c r="U61" s="16">
        <v>416.6041</v>
      </c>
      <c r="V61" s="16">
        <v>423.684</v>
      </c>
      <c r="W61" s="16">
        <v>419.7447</v>
      </c>
      <c r="X61" s="16">
        <v>392.943</v>
      </c>
      <c r="Y61" s="16">
        <v>353.7368</v>
      </c>
      <c r="Z61" s="26" t="s">
        <v>33</v>
      </c>
      <c r="AA61" s="25">
        <f t="shared" si="0"/>
        <v>331</v>
      </c>
      <c r="AB61" s="25">
        <f t="shared" si="1"/>
        <v>381.274029166667</v>
      </c>
    </row>
    <row r="62" spans="1:28">
      <c r="A62" s="8">
        <v>45352</v>
      </c>
      <c r="B62" s="16">
        <v>356.0969</v>
      </c>
      <c r="C62" s="16">
        <v>352.25</v>
      </c>
      <c r="D62" s="16">
        <v>327.3922</v>
      </c>
      <c r="E62" s="16">
        <v>321.8202</v>
      </c>
      <c r="F62" s="16">
        <v>251.3069</v>
      </c>
      <c r="G62" s="16">
        <v>195.2067</v>
      </c>
      <c r="H62" s="16">
        <v>301.1779</v>
      </c>
      <c r="I62" s="16">
        <v>374.2892</v>
      </c>
      <c r="J62" s="16">
        <v>414.3593</v>
      </c>
      <c r="K62" s="16">
        <v>423.9571</v>
      </c>
      <c r="L62" s="16">
        <v>420.6212</v>
      </c>
      <c r="M62" s="16">
        <v>519.5971</v>
      </c>
      <c r="N62" s="16">
        <v>306.723</v>
      </c>
      <c r="O62" s="16">
        <v>330.7423</v>
      </c>
      <c r="P62" s="16">
        <v>393.5967</v>
      </c>
      <c r="Q62" s="16">
        <v>427.0613</v>
      </c>
      <c r="R62" s="16">
        <v>574.3786</v>
      </c>
      <c r="S62" s="16">
        <v>528.258</v>
      </c>
      <c r="T62" s="16">
        <v>527.2796</v>
      </c>
      <c r="U62" s="16">
        <v>607.1896</v>
      </c>
      <c r="V62" s="16">
        <v>465.6551</v>
      </c>
      <c r="W62" s="16">
        <v>433.6848</v>
      </c>
      <c r="X62" s="16">
        <v>392.3886</v>
      </c>
      <c r="Y62" s="16">
        <v>341.4879</v>
      </c>
      <c r="Z62" s="26" t="s">
        <v>34</v>
      </c>
      <c r="AA62" s="25">
        <f t="shared" si="0"/>
        <v>195.2067</v>
      </c>
      <c r="AB62" s="25">
        <f t="shared" si="1"/>
        <v>399.438341666667</v>
      </c>
    </row>
    <row r="63" spans="1:28">
      <c r="A63" s="8">
        <v>45353</v>
      </c>
      <c r="B63" s="16">
        <v>360.2449</v>
      </c>
      <c r="C63" s="16">
        <v>349.2641</v>
      </c>
      <c r="D63" s="16">
        <v>337.4998</v>
      </c>
      <c r="E63" s="16">
        <v>319.4489</v>
      </c>
      <c r="F63" s="16">
        <v>305.8766</v>
      </c>
      <c r="G63" s="16">
        <v>296.6059</v>
      </c>
      <c r="H63" s="16">
        <v>323.1539</v>
      </c>
      <c r="I63" s="16">
        <v>352.7953</v>
      </c>
      <c r="J63" s="16">
        <v>398.0678</v>
      </c>
      <c r="K63" s="16">
        <v>482.3709</v>
      </c>
      <c r="L63" s="16">
        <v>482.3405</v>
      </c>
      <c r="M63" s="16">
        <v>441.6502</v>
      </c>
      <c r="N63" s="16">
        <v>371.1342</v>
      </c>
      <c r="O63" s="16">
        <v>375.2351</v>
      </c>
      <c r="P63" s="16">
        <v>392.4564</v>
      </c>
      <c r="Q63" s="16">
        <v>411.1541</v>
      </c>
      <c r="R63" s="16">
        <v>426.5637</v>
      </c>
      <c r="S63" s="16">
        <v>443.4864</v>
      </c>
      <c r="T63" s="16">
        <v>442.7008</v>
      </c>
      <c r="U63" s="16">
        <v>459.9278</v>
      </c>
      <c r="V63" s="16">
        <v>441.879</v>
      </c>
      <c r="W63" s="16">
        <v>437.336</v>
      </c>
      <c r="X63" s="16">
        <v>404.4223</v>
      </c>
      <c r="Y63" s="16">
        <v>363.7357</v>
      </c>
      <c r="Z63" s="26" t="s">
        <v>32</v>
      </c>
      <c r="AA63" s="25">
        <f t="shared" si="0"/>
        <v>296.6059</v>
      </c>
      <c r="AB63" s="25">
        <f t="shared" si="1"/>
        <v>392.472929166667</v>
      </c>
    </row>
    <row r="64" spans="1:28">
      <c r="A64" s="8">
        <v>45354</v>
      </c>
      <c r="B64" s="16">
        <v>402.7401</v>
      </c>
      <c r="C64" s="16">
        <v>391.0619</v>
      </c>
      <c r="D64" s="16">
        <v>371.3924</v>
      </c>
      <c r="E64" s="16">
        <v>358.9976</v>
      </c>
      <c r="F64" s="16">
        <v>345.6438</v>
      </c>
      <c r="G64" s="16">
        <v>329.7986</v>
      </c>
      <c r="H64" s="16">
        <v>349.3514</v>
      </c>
      <c r="I64" s="16">
        <v>368.4366</v>
      </c>
      <c r="J64" s="16">
        <v>397.1373</v>
      </c>
      <c r="K64" s="16">
        <v>409.6754</v>
      </c>
      <c r="L64" s="16">
        <v>405.1445</v>
      </c>
      <c r="M64" s="16">
        <v>393.9094</v>
      </c>
      <c r="N64" s="16">
        <v>351.6416</v>
      </c>
      <c r="O64" s="16">
        <v>350.9413</v>
      </c>
      <c r="P64" s="16">
        <v>359.4453</v>
      </c>
      <c r="Q64" s="16">
        <v>369.376</v>
      </c>
      <c r="R64" s="16">
        <v>400.5181</v>
      </c>
      <c r="S64" s="16">
        <v>408.8991</v>
      </c>
      <c r="T64" s="16">
        <v>405.1478</v>
      </c>
      <c r="U64" s="16">
        <v>400.5276</v>
      </c>
      <c r="V64" s="16">
        <v>401.1643</v>
      </c>
      <c r="W64" s="16">
        <v>399.552</v>
      </c>
      <c r="X64" s="16">
        <v>393.3781</v>
      </c>
      <c r="Y64" s="16">
        <v>357.6821</v>
      </c>
      <c r="Z64" s="26" t="s">
        <v>32</v>
      </c>
      <c r="AA64" s="25">
        <f t="shared" si="0"/>
        <v>329.7986</v>
      </c>
      <c r="AB64" s="25">
        <f t="shared" si="1"/>
        <v>380.065095833333</v>
      </c>
    </row>
    <row r="65" spans="1:28">
      <c r="A65" s="8">
        <v>45355</v>
      </c>
      <c r="B65" s="16">
        <v>355.7818</v>
      </c>
      <c r="C65" s="16">
        <v>349.7934</v>
      </c>
      <c r="D65" s="16">
        <v>330.0142</v>
      </c>
      <c r="E65" s="16">
        <v>305.3903</v>
      </c>
      <c r="F65" s="16">
        <v>297.2816</v>
      </c>
      <c r="G65" s="16">
        <v>184.4291</v>
      </c>
      <c r="H65" s="16">
        <v>324.3925</v>
      </c>
      <c r="I65" s="16">
        <v>362.0602</v>
      </c>
      <c r="J65" s="16">
        <v>391.9525</v>
      </c>
      <c r="K65" s="16">
        <v>409.2582</v>
      </c>
      <c r="L65" s="16">
        <v>405.2677</v>
      </c>
      <c r="M65" s="16">
        <v>389.458</v>
      </c>
      <c r="N65" s="16">
        <v>334.9574</v>
      </c>
      <c r="O65" s="16">
        <v>341.9698</v>
      </c>
      <c r="P65" s="16">
        <v>363.3011</v>
      </c>
      <c r="Q65" s="16">
        <v>375.0346</v>
      </c>
      <c r="R65" s="16">
        <v>396.1042</v>
      </c>
      <c r="S65" s="16">
        <v>397.8412</v>
      </c>
      <c r="T65" s="16">
        <v>399.2408</v>
      </c>
      <c r="U65" s="16">
        <v>403.1548</v>
      </c>
      <c r="V65" s="16">
        <v>392.78</v>
      </c>
      <c r="W65" s="16">
        <v>378.6888</v>
      </c>
      <c r="X65" s="16">
        <v>369.5</v>
      </c>
      <c r="Y65" s="16">
        <v>335.315</v>
      </c>
      <c r="Z65" s="26" t="s">
        <v>32</v>
      </c>
      <c r="AA65" s="25">
        <f t="shared" si="0"/>
        <v>184.4291</v>
      </c>
      <c r="AB65" s="25">
        <f t="shared" si="1"/>
        <v>358.0403</v>
      </c>
    </row>
    <row r="66" spans="1:28">
      <c r="A66" s="8">
        <v>45356</v>
      </c>
      <c r="B66" s="16">
        <v>355.315</v>
      </c>
      <c r="C66" s="16">
        <v>351.4028</v>
      </c>
      <c r="D66" s="16">
        <v>348.3809</v>
      </c>
      <c r="E66" s="16">
        <v>339.75</v>
      </c>
      <c r="F66" s="16">
        <v>330.5775</v>
      </c>
      <c r="G66" s="16">
        <v>329.5775</v>
      </c>
      <c r="H66" s="16">
        <v>353.8325</v>
      </c>
      <c r="I66" s="16">
        <v>377.3978</v>
      </c>
      <c r="J66" s="16">
        <v>407.2349</v>
      </c>
      <c r="K66" s="16">
        <v>415.038</v>
      </c>
      <c r="L66" s="16">
        <v>400.5518</v>
      </c>
      <c r="M66" s="16">
        <v>391.9619</v>
      </c>
      <c r="N66" s="16">
        <v>329.173</v>
      </c>
      <c r="O66" s="16">
        <v>336.435</v>
      </c>
      <c r="P66" s="16">
        <v>349.8093</v>
      </c>
      <c r="Q66" s="16">
        <v>365.5561</v>
      </c>
      <c r="R66" s="16">
        <v>392.7986</v>
      </c>
      <c r="S66" s="16">
        <v>401.9158</v>
      </c>
      <c r="T66" s="16">
        <v>402.0764</v>
      </c>
      <c r="U66" s="16">
        <v>401.1072</v>
      </c>
      <c r="V66" s="16">
        <v>396.8317</v>
      </c>
      <c r="W66" s="16">
        <v>386.9473</v>
      </c>
      <c r="X66" s="16">
        <v>376.5243</v>
      </c>
      <c r="Y66" s="16">
        <v>361.3488</v>
      </c>
      <c r="Z66" s="26" t="s">
        <v>32</v>
      </c>
      <c r="AA66" s="25">
        <f t="shared" ref="AA66:AA129" si="2">MIN($B66:$Y66)</f>
        <v>329.173</v>
      </c>
      <c r="AB66" s="25">
        <f t="shared" ref="AB66:AB129" si="3">AVERAGE($B66:$Y66)</f>
        <v>370.897670833333</v>
      </c>
    </row>
    <row r="67" spans="1:28">
      <c r="A67" s="8">
        <v>45357</v>
      </c>
      <c r="B67" s="16">
        <v>375.8297</v>
      </c>
      <c r="C67" s="16">
        <v>373.0394</v>
      </c>
      <c r="D67" s="16">
        <v>360.815</v>
      </c>
      <c r="E67" s="16">
        <v>357.25</v>
      </c>
      <c r="F67" s="16">
        <v>350.0425</v>
      </c>
      <c r="G67" s="16">
        <v>350</v>
      </c>
      <c r="H67" s="16">
        <v>364.8811</v>
      </c>
      <c r="I67" s="16">
        <v>389.3277</v>
      </c>
      <c r="J67" s="16">
        <v>408.1193</v>
      </c>
      <c r="K67" s="16">
        <v>406.3757</v>
      </c>
      <c r="L67" s="16">
        <v>394.8541</v>
      </c>
      <c r="M67" s="16">
        <v>388.4869</v>
      </c>
      <c r="N67" s="16">
        <v>337.6407</v>
      </c>
      <c r="O67" s="16">
        <v>341.6206</v>
      </c>
      <c r="P67" s="16">
        <v>355.2107</v>
      </c>
      <c r="Q67" s="16">
        <v>361.2044</v>
      </c>
      <c r="R67" s="16">
        <v>389.9987</v>
      </c>
      <c r="S67" s="16">
        <v>393.536</v>
      </c>
      <c r="T67" s="16">
        <v>391.6529</v>
      </c>
      <c r="U67" s="16">
        <v>402.5319</v>
      </c>
      <c r="V67" s="16">
        <v>400.2374</v>
      </c>
      <c r="W67" s="16">
        <v>394.7735</v>
      </c>
      <c r="X67" s="16">
        <v>374.8489</v>
      </c>
      <c r="Y67" s="16">
        <v>329.2248</v>
      </c>
      <c r="Z67" s="26" t="s">
        <v>32</v>
      </c>
      <c r="AA67" s="25">
        <f t="shared" si="2"/>
        <v>329.2248</v>
      </c>
      <c r="AB67" s="25">
        <f t="shared" si="3"/>
        <v>374.6459125</v>
      </c>
    </row>
    <row r="68" spans="1:28">
      <c r="A68" s="8">
        <v>45358</v>
      </c>
      <c r="B68" s="16">
        <v>343.502</v>
      </c>
      <c r="C68" s="16">
        <v>345.4278</v>
      </c>
      <c r="D68" s="16">
        <v>327.9824</v>
      </c>
      <c r="E68" s="16">
        <v>316.37</v>
      </c>
      <c r="F68" s="16">
        <v>301.4631</v>
      </c>
      <c r="G68" s="16">
        <v>299.0237</v>
      </c>
      <c r="H68" s="16">
        <v>334.9226</v>
      </c>
      <c r="I68" s="16">
        <v>364.4896</v>
      </c>
      <c r="J68" s="16">
        <v>400.5984</v>
      </c>
      <c r="K68" s="16">
        <v>427.2152</v>
      </c>
      <c r="L68" s="16">
        <v>406.0083</v>
      </c>
      <c r="M68" s="16">
        <v>409.1623</v>
      </c>
      <c r="N68" s="16">
        <v>361.8823</v>
      </c>
      <c r="O68" s="16">
        <v>368.5893</v>
      </c>
      <c r="P68" s="16">
        <v>387.8375</v>
      </c>
      <c r="Q68" s="16">
        <v>395.7198</v>
      </c>
      <c r="R68" s="16">
        <v>413.0885</v>
      </c>
      <c r="S68" s="16">
        <v>397.4733</v>
      </c>
      <c r="T68" s="16">
        <v>396.9619</v>
      </c>
      <c r="U68" s="16">
        <v>414.5435</v>
      </c>
      <c r="V68" s="16">
        <v>411.3948</v>
      </c>
      <c r="W68" s="16">
        <v>405.5844</v>
      </c>
      <c r="X68" s="16">
        <v>388.2552</v>
      </c>
      <c r="Y68" s="16">
        <v>345.2097</v>
      </c>
      <c r="Z68" s="26" t="s">
        <v>33</v>
      </c>
      <c r="AA68" s="25">
        <f t="shared" si="2"/>
        <v>299.0237</v>
      </c>
      <c r="AB68" s="25">
        <f t="shared" si="3"/>
        <v>373.446066666667</v>
      </c>
    </row>
    <row r="69" spans="1:28">
      <c r="A69" s="8">
        <v>45359</v>
      </c>
      <c r="B69" s="16">
        <v>345.6549</v>
      </c>
      <c r="C69" s="16">
        <v>354.5363</v>
      </c>
      <c r="D69" s="16">
        <v>346.8861</v>
      </c>
      <c r="E69" s="16">
        <v>332.9835</v>
      </c>
      <c r="F69" s="16">
        <v>327.2232</v>
      </c>
      <c r="G69" s="16">
        <v>325.3296</v>
      </c>
      <c r="H69" s="16">
        <v>345.544</v>
      </c>
      <c r="I69" s="16">
        <v>367.3193</v>
      </c>
      <c r="J69" s="16">
        <v>397.5736</v>
      </c>
      <c r="K69" s="16">
        <v>423.8133</v>
      </c>
      <c r="L69" s="16">
        <v>405.5877</v>
      </c>
      <c r="M69" s="16">
        <v>401.4561</v>
      </c>
      <c r="N69" s="16">
        <v>346.4166</v>
      </c>
      <c r="O69" s="16">
        <v>362.6304</v>
      </c>
      <c r="P69" s="16">
        <v>386.374</v>
      </c>
      <c r="Q69" s="16">
        <v>387.4939</v>
      </c>
      <c r="R69" s="16">
        <v>400.9268</v>
      </c>
      <c r="S69" s="16">
        <v>392.4888</v>
      </c>
      <c r="T69" s="16">
        <v>391.0989</v>
      </c>
      <c r="U69" s="16">
        <v>400.7089</v>
      </c>
      <c r="V69" s="16">
        <v>395.1172</v>
      </c>
      <c r="W69" s="16">
        <v>386.8278</v>
      </c>
      <c r="X69" s="16">
        <v>378.5878</v>
      </c>
      <c r="Y69" s="16">
        <v>341.2901</v>
      </c>
      <c r="Z69" s="26" t="s">
        <v>34</v>
      </c>
      <c r="AA69" s="25">
        <f t="shared" si="2"/>
        <v>325.3296</v>
      </c>
      <c r="AB69" s="25">
        <f t="shared" si="3"/>
        <v>372.6612</v>
      </c>
    </row>
    <row r="70" spans="1:28">
      <c r="A70" s="8">
        <v>45360</v>
      </c>
      <c r="B70" s="16">
        <v>338.6879</v>
      </c>
      <c r="C70" s="16">
        <v>351.7576</v>
      </c>
      <c r="D70" s="16">
        <v>347.0407</v>
      </c>
      <c r="E70" s="16">
        <v>336.9052</v>
      </c>
      <c r="F70" s="16">
        <v>327.063</v>
      </c>
      <c r="G70" s="16">
        <v>325.2839</v>
      </c>
      <c r="H70" s="16">
        <v>337.759</v>
      </c>
      <c r="I70" s="16">
        <v>354.7388</v>
      </c>
      <c r="J70" s="16">
        <v>382.2628</v>
      </c>
      <c r="K70" s="16">
        <v>383.8582</v>
      </c>
      <c r="L70" s="16">
        <v>378.4309</v>
      </c>
      <c r="M70" s="16">
        <v>380.7202</v>
      </c>
      <c r="N70" s="16">
        <v>351.7561</v>
      </c>
      <c r="O70" s="16">
        <v>355.3408</v>
      </c>
      <c r="P70" s="16">
        <v>364.7957</v>
      </c>
      <c r="Q70" s="16">
        <v>373.5868</v>
      </c>
      <c r="R70" s="16">
        <v>392.2893</v>
      </c>
      <c r="S70" s="16">
        <v>386.9114</v>
      </c>
      <c r="T70" s="16">
        <v>382.223</v>
      </c>
      <c r="U70" s="16">
        <v>388.4103</v>
      </c>
      <c r="V70" s="16">
        <v>385.58</v>
      </c>
      <c r="W70" s="16">
        <v>372.0464</v>
      </c>
      <c r="X70" s="16">
        <v>359.2085</v>
      </c>
      <c r="Y70" s="16">
        <v>332.7393</v>
      </c>
      <c r="Z70" s="26" t="s">
        <v>32</v>
      </c>
      <c r="AA70" s="25">
        <f t="shared" si="2"/>
        <v>325.2839</v>
      </c>
      <c r="AB70" s="25">
        <f t="shared" si="3"/>
        <v>362.058158333333</v>
      </c>
    </row>
    <row r="71" spans="1:28">
      <c r="A71" s="8">
        <v>45361</v>
      </c>
      <c r="B71" s="16">
        <v>345.9545</v>
      </c>
      <c r="C71" s="16">
        <v>351.1996</v>
      </c>
      <c r="D71" s="16">
        <v>338.0172</v>
      </c>
      <c r="E71" s="16">
        <v>328.4525</v>
      </c>
      <c r="F71" s="16">
        <v>324.0331</v>
      </c>
      <c r="G71" s="16">
        <v>319.8692</v>
      </c>
      <c r="H71" s="16">
        <v>328.4713</v>
      </c>
      <c r="I71" s="16">
        <v>344.5904</v>
      </c>
      <c r="J71" s="16">
        <v>349.2022</v>
      </c>
      <c r="K71" s="16">
        <v>360.8037</v>
      </c>
      <c r="L71" s="16">
        <v>366.0492</v>
      </c>
      <c r="M71" s="16">
        <v>366.2539</v>
      </c>
      <c r="N71" s="16">
        <v>335.4612</v>
      </c>
      <c r="O71" s="16">
        <v>337.1525</v>
      </c>
      <c r="P71" s="16">
        <v>352.1247</v>
      </c>
      <c r="Q71" s="16">
        <v>360.5696</v>
      </c>
      <c r="R71" s="16">
        <v>373.1058</v>
      </c>
      <c r="S71" s="16">
        <v>374.1373</v>
      </c>
      <c r="T71" s="16">
        <v>371.0944</v>
      </c>
      <c r="U71" s="16">
        <v>379.5569</v>
      </c>
      <c r="V71" s="16">
        <v>380.1809</v>
      </c>
      <c r="W71" s="16">
        <v>369.3994</v>
      </c>
      <c r="X71" s="16">
        <v>359.4685</v>
      </c>
      <c r="Y71" s="16">
        <v>332.2181</v>
      </c>
      <c r="Z71" s="26" t="s">
        <v>32</v>
      </c>
      <c r="AA71" s="25">
        <f t="shared" si="2"/>
        <v>319.8692</v>
      </c>
      <c r="AB71" s="25">
        <f t="shared" si="3"/>
        <v>351.9735875</v>
      </c>
    </row>
    <row r="72" spans="1:28">
      <c r="A72" s="8">
        <v>45362</v>
      </c>
      <c r="B72" s="16">
        <v>350.6579</v>
      </c>
      <c r="C72" s="16">
        <v>351.9633</v>
      </c>
      <c r="D72" s="16">
        <v>346.3176</v>
      </c>
      <c r="E72" s="16">
        <v>337.7678</v>
      </c>
      <c r="F72" s="16">
        <v>334.1413</v>
      </c>
      <c r="G72" s="16">
        <v>335.1865</v>
      </c>
      <c r="H72" s="16">
        <v>356.2627</v>
      </c>
      <c r="I72" s="16">
        <v>376.9936</v>
      </c>
      <c r="J72" s="16">
        <v>401.9329</v>
      </c>
      <c r="K72" s="16">
        <v>425.5605</v>
      </c>
      <c r="L72" s="16">
        <v>413.8343</v>
      </c>
      <c r="M72" s="16">
        <v>446.7237</v>
      </c>
      <c r="N72" s="16">
        <v>370.743</v>
      </c>
      <c r="O72" s="16">
        <v>381.1829</v>
      </c>
      <c r="P72" s="16">
        <v>395.6152</v>
      </c>
      <c r="Q72" s="16">
        <v>414.1015</v>
      </c>
      <c r="R72" s="16">
        <v>447.2297</v>
      </c>
      <c r="S72" s="16">
        <v>406.3432</v>
      </c>
      <c r="T72" s="16">
        <v>395.3338</v>
      </c>
      <c r="U72" s="16">
        <v>415.1331</v>
      </c>
      <c r="V72" s="16">
        <v>423.4132</v>
      </c>
      <c r="W72" s="16">
        <v>416.792</v>
      </c>
      <c r="X72" s="16">
        <v>396.4701</v>
      </c>
      <c r="Y72" s="16">
        <v>364.235</v>
      </c>
      <c r="Z72" s="26" t="s">
        <v>32</v>
      </c>
      <c r="AA72" s="25">
        <f t="shared" si="2"/>
        <v>334.1413</v>
      </c>
      <c r="AB72" s="25">
        <f t="shared" si="3"/>
        <v>387.66395</v>
      </c>
    </row>
    <row r="73" spans="1:28">
      <c r="A73" s="8">
        <v>45363</v>
      </c>
      <c r="B73" s="16">
        <v>369.7502</v>
      </c>
      <c r="C73" s="16">
        <v>372.4467</v>
      </c>
      <c r="D73" s="16">
        <v>361.1125</v>
      </c>
      <c r="E73" s="16">
        <v>355.2793</v>
      </c>
      <c r="F73" s="16">
        <v>350.0019</v>
      </c>
      <c r="G73" s="16">
        <v>350</v>
      </c>
      <c r="H73" s="16">
        <v>359.4909</v>
      </c>
      <c r="I73" s="16">
        <v>372.3947</v>
      </c>
      <c r="J73" s="16">
        <v>398.9098</v>
      </c>
      <c r="K73" s="16">
        <v>404.013</v>
      </c>
      <c r="L73" s="16">
        <v>395.8192</v>
      </c>
      <c r="M73" s="16">
        <v>389.4358</v>
      </c>
      <c r="N73" s="16">
        <v>346.33</v>
      </c>
      <c r="O73" s="16">
        <v>352.5421</v>
      </c>
      <c r="P73" s="16">
        <v>361.2861</v>
      </c>
      <c r="Q73" s="16">
        <v>371.7878</v>
      </c>
      <c r="R73" s="16">
        <v>393.8675</v>
      </c>
      <c r="S73" s="16">
        <v>398.2463</v>
      </c>
      <c r="T73" s="16">
        <v>412.4985</v>
      </c>
      <c r="U73" s="16">
        <v>410.4669</v>
      </c>
      <c r="V73" s="16">
        <v>405.0782</v>
      </c>
      <c r="W73" s="16">
        <v>391.495</v>
      </c>
      <c r="X73" s="16">
        <v>377.4755</v>
      </c>
      <c r="Y73" s="16">
        <v>352.3518</v>
      </c>
      <c r="Z73" s="26" t="s">
        <v>32</v>
      </c>
      <c r="AA73" s="25">
        <f t="shared" si="2"/>
        <v>346.33</v>
      </c>
      <c r="AB73" s="25">
        <f t="shared" si="3"/>
        <v>377.1699875</v>
      </c>
    </row>
    <row r="74" spans="1:28">
      <c r="A74" s="8">
        <v>45364</v>
      </c>
      <c r="B74" s="16">
        <v>337.3334</v>
      </c>
      <c r="C74" s="16">
        <v>339.766</v>
      </c>
      <c r="D74" s="16">
        <v>326.2018</v>
      </c>
      <c r="E74" s="16">
        <v>313.5792</v>
      </c>
      <c r="F74" s="16">
        <v>290.8868</v>
      </c>
      <c r="G74" s="16">
        <v>289.7669</v>
      </c>
      <c r="H74" s="16">
        <v>319.563</v>
      </c>
      <c r="I74" s="16">
        <v>347.7211</v>
      </c>
      <c r="J74" s="16">
        <v>368.0587</v>
      </c>
      <c r="K74" s="16">
        <v>379.102</v>
      </c>
      <c r="L74" s="16">
        <v>389.1348</v>
      </c>
      <c r="M74" s="16">
        <v>383.5144</v>
      </c>
      <c r="N74" s="16">
        <v>324.1353</v>
      </c>
      <c r="O74" s="16">
        <v>325.6149</v>
      </c>
      <c r="P74" s="16">
        <v>386.7219</v>
      </c>
      <c r="Q74" s="16">
        <v>435.7785</v>
      </c>
      <c r="R74" s="16">
        <v>435.1962</v>
      </c>
      <c r="S74" s="16">
        <v>393.0039</v>
      </c>
      <c r="T74" s="16">
        <v>395.642</v>
      </c>
      <c r="U74" s="16">
        <v>410.6538</v>
      </c>
      <c r="V74" s="16">
        <v>428.8558</v>
      </c>
      <c r="W74" s="16">
        <v>401.0318</v>
      </c>
      <c r="X74" s="16">
        <v>374.0192</v>
      </c>
      <c r="Y74" s="16">
        <v>337.046</v>
      </c>
      <c r="Z74" s="26" t="s">
        <v>32</v>
      </c>
      <c r="AA74" s="25">
        <f t="shared" si="2"/>
        <v>289.7669</v>
      </c>
      <c r="AB74" s="25">
        <f t="shared" si="3"/>
        <v>363.846975</v>
      </c>
    </row>
    <row r="75" spans="1:28">
      <c r="A75" s="8">
        <v>45365</v>
      </c>
      <c r="B75" s="16">
        <v>318.9853</v>
      </c>
      <c r="C75" s="16">
        <v>324.3874</v>
      </c>
      <c r="D75" s="16">
        <v>315.6066</v>
      </c>
      <c r="E75" s="16">
        <v>310.7599</v>
      </c>
      <c r="F75" s="16">
        <v>306.8579</v>
      </c>
      <c r="G75" s="16">
        <v>306.7658</v>
      </c>
      <c r="H75" s="16">
        <v>326.1467</v>
      </c>
      <c r="I75" s="16">
        <v>349.6114</v>
      </c>
      <c r="J75" s="16">
        <v>371.3009</v>
      </c>
      <c r="K75" s="16">
        <v>395.0284</v>
      </c>
      <c r="L75" s="16">
        <v>393.6551</v>
      </c>
      <c r="M75" s="16">
        <v>390.9004</v>
      </c>
      <c r="N75" s="16">
        <v>324.2735</v>
      </c>
      <c r="O75" s="16">
        <v>337.1953</v>
      </c>
      <c r="P75" s="16">
        <v>357.2942</v>
      </c>
      <c r="Q75" s="16">
        <v>361.3945</v>
      </c>
      <c r="R75" s="16">
        <v>375.272</v>
      </c>
      <c r="S75" s="16">
        <v>378.1678</v>
      </c>
      <c r="T75" s="16">
        <v>375.2392</v>
      </c>
      <c r="U75" s="16">
        <v>372.6358</v>
      </c>
      <c r="V75" s="16">
        <v>371.704</v>
      </c>
      <c r="W75" s="16">
        <v>367.1078</v>
      </c>
      <c r="X75" s="16">
        <v>358.7503</v>
      </c>
      <c r="Y75" s="16">
        <v>337.0445</v>
      </c>
      <c r="Z75" s="26" t="s">
        <v>33</v>
      </c>
      <c r="AA75" s="25">
        <f t="shared" si="2"/>
        <v>306.7658</v>
      </c>
      <c r="AB75" s="25">
        <f t="shared" si="3"/>
        <v>351.0868625</v>
      </c>
    </row>
    <row r="76" spans="1:28">
      <c r="A76" s="8">
        <v>45366</v>
      </c>
      <c r="B76" s="16">
        <v>332.1219</v>
      </c>
      <c r="C76" s="16">
        <v>339.5828</v>
      </c>
      <c r="D76" s="16">
        <v>338.2428</v>
      </c>
      <c r="E76" s="16">
        <v>332.3672</v>
      </c>
      <c r="F76" s="16">
        <v>320.9239</v>
      </c>
      <c r="G76" s="16">
        <v>317.5602</v>
      </c>
      <c r="H76" s="16">
        <v>335.7804</v>
      </c>
      <c r="I76" s="16">
        <v>350.7116</v>
      </c>
      <c r="J76" s="16">
        <v>362.3981</v>
      </c>
      <c r="K76" s="16">
        <v>382.6468</v>
      </c>
      <c r="L76" s="16">
        <v>373.4694</v>
      </c>
      <c r="M76" s="16">
        <v>367.3325</v>
      </c>
      <c r="N76" s="16">
        <v>318.5676</v>
      </c>
      <c r="O76" s="16">
        <v>323.362</v>
      </c>
      <c r="P76" s="16">
        <v>336.2045</v>
      </c>
      <c r="Q76" s="16">
        <v>345.8887</v>
      </c>
      <c r="R76" s="16">
        <v>370.1662</v>
      </c>
      <c r="S76" s="16">
        <v>364.367</v>
      </c>
      <c r="T76" s="16">
        <v>359.2524</v>
      </c>
      <c r="U76" s="16">
        <v>360.3081</v>
      </c>
      <c r="V76" s="16">
        <v>352.32</v>
      </c>
      <c r="W76" s="16">
        <v>349.308</v>
      </c>
      <c r="X76" s="16">
        <v>350.6187</v>
      </c>
      <c r="Y76" s="16">
        <v>332.6653</v>
      </c>
      <c r="Z76" s="26" t="s">
        <v>34</v>
      </c>
      <c r="AA76" s="25">
        <f t="shared" si="2"/>
        <v>317.5602</v>
      </c>
      <c r="AB76" s="25">
        <f t="shared" si="3"/>
        <v>346.506920833333</v>
      </c>
    </row>
    <row r="77" spans="1:28">
      <c r="A77" s="8">
        <v>45367</v>
      </c>
      <c r="B77" s="16">
        <v>329.9216</v>
      </c>
      <c r="C77" s="16">
        <v>330.2002</v>
      </c>
      <c r="D77" s="16">
        <v>327.3369</v>
      </c>
      <c r="E77" s="16">
        <v>323.8366</v>
      </c>
      <c r="F77" s="16">
        <v>312.233</v>
      </c>
      <c r="G77" s="16">
        <v>310.6626</v>
      </c>
      <c r="H77" s="16">
        <v>326.8677</v>
      </c>
      <c r="I77" s="16">
        <v>337.2079</v>
      </c>
      <c r="J77" s="16">
        <v>348.126</v>
      </c>
      <c r="K77" s="16">
        <v>365.0544</v>
      </c>
      <c r="L77" s="16">
        <v>359.3158</v>
      </c>
      <c r="M77" s="16">
        <v>354.8812</v>
      </c>
      <c r="N77" s="16">
        <v>320.5631</v>
      </c>
      <c r="O77" s="16">
        <v>330.5854</v>
      </c>
      <c r="P77" s="16">
        <v>343.5335</v>
      </c>
      <c r="Q77" s="16">
        <v>358.118</v>
      </c>
      <c r="R77" s="16">
        <v>380.9932</v>
      </c>
      <c r="S77" s="16">
        <v>372.9657</v>
      </c>
      <c r="T77" s="16">
        <v>368.0684</v>
      </c>
      <c r="U77" s="16">
        <v>371.8891</v>
      </c>
      <c r="V77" s="16">
        <v>369.098</v>
      </c>
      <c r="W77" s="16">
        <v>367.3332</v>
      </c>
      <c r="X77" s="16">
        <v>368.825</v>
      </c>
      <c r="Y77" s="16">
        <v>344.2879</v>
      </c>
      <c r="Z77" s="26" t="s">
        <v>32</v>
      </c>
      <c r="AA77" s="25">
        <f t="shared" si="2"/>
        <v>310.6626</v>
      </c>
      <c r="AB77" s="25">
        <f t="shared" si="3"/>
        <v>346.746016666667</v>
      </c>
    </row>
    <row r="78" spans="1:28">
      <c r="A78" s="8">
        <v>45368</v>
      </c>
      <c r="B78" s="16">
        <v>363.8185</v>
      </c>
      <c r="C78" s="16">
        <v>363.4999</v>
      </c>
      <c r="D78" s="16">
        <v>354.079</v>
      </c>
      <c r="E78" s="16">
        <v>345.8893</v>
      </c>
      <c r="F78" s="16">
        <v>341.5347</v>
      </c>
      <c r="G78" s="16">
        <v>338.9486</v>
      </c>
      <c r="H78" s="16">
        <v>341.5174</v>
      </c>
      <c r="I78" s="16">
        <v>343.821</v>
      </c>
      <c r="J78" s="16">
        <v>343.5273</v>
      </c>
      <c r="K78" s="16">
        <v>359.2843</v>
      </c>
      <c r="L78" s="16">
        <v>355.7017</v>
      </c>
      <c r="M78" s="16">
        <v>355.6857</v>
      </c>
      <c r="N78" s="16">
        <v>312.3872</v>
      </c>
      <c r="O78" s="16">
        <v>315.9424</v>
      </c>
      <c r="P78" s="16">
        <v>327.6356</v>
      </c>
      <c r="Q78" s="16">
        <v>337.0589</v>
      </c>
      <c r="R78" s="16">
        <v>363.0939</v>
      </c>
      <c r="S78" s="16">
        <v>379.1502</v>
      </c>
      <c r="T78" s="16">
        <v>379.3811</v>
      </c>
      <c r="U78" s="16">
        <v>381.1003</v>
      </c>
      <c r="V78" s="16">
        <v>384.9844</v>
      </c>
      <c r="W78" s="16">
        <v>385.1609</v>
      </c>
      <c r="X78" s="16">
        <v>369.9069</v>
      </c>
      <c r="Y78" s="16">
        <v>359.4644</v>
      </c>
      <c r="Z78" s="26" t="s">
        <v>32</v>
      </c>
      <c r="AA78" s="25">
        <f t="shared" si="2"/>
        <v>312.3872</v>
      </c>
      <c r="AB78" s="25">
        <f t="shared" si="3"/>
        <v>354.2739</v>
      </c>
    </row>
    <row r="79" spans="1:28">
      <c r="A79" s="8">
        <v>45369</v>
      </c>
      <c r="B79" s="16">
        <v>347.4707</v>
      </c>
      <c r="C79" s="16">
        <v>353.7676</v>
      </c>
      <c r="D79" s="16">
        <v>342.1682</v>
      </c>
      <c r="E79" s="16">
        <v>338.3443</v>
      </c>
      <c r="F79" s="16">
        <v>327.5774</v>
      </c>
      <c r="G79" s="16">
        <v>325.4559</v>
      </c>
      <c r="H79" s="16">
        <v>338.337</v>
      </c>
      <c r="I79" s="16">
        <v>348.077</v>
      </c>
      <c r="J79" s="16">
        <v>376.1117</v>
      </c>
      <c r="K79" s="16">
        <v>386.8214</v>
      </c>
      <c r="L79" s="16">
        <v>379.0992</v>
      </c>
      <c r="M79" s="16">
        <v>374.1992</v>
      </c>
      <c r="N79" s="16">
        <v>322.8235</v>
      </c>
      <c r="O79" s="16">
        <v>333.4436</v>
      </c>
      <c r="P79" s="16">
        <v>347.9613</v>
      </c>
      <c r="Q79" s="16">
        <v>360.5963</v>
      </c>
      <c r="R79" s="16">
        <v>375.6078</v>
      </c>
      <c r="S79" s="16">
        <v>380.8992</v>
      </c>
      <c r="T79" s="16">
        <v>388.8663</v>
      </c>
      <c r="U79" s="16">
        <v>383.0151</v>
      </c>
      <c r="V79" s="16">
        <v>375.1114</v>
      </c>
      <c r="W79" s="16">
        <v>372.2486</v>
      </c>
      <c r="X79" s="16">
        <v>378.5332</v>
      </c>
      <c r="Y79" s="16">
        <v>348.5449</v>
      </c>
      <c r="Z79" s="26" t="s">
        <v>32</v>
      </c>
      <c r="AA79" s="25">
        <f t="shared" si="2"/>
        <v>322.8235</v>
      </c>
      <c r="AB79" s="25">
        <f t="shared" si="3"/>
        <v>358.545033333333</v>
      </c>
    </row>
    <row r="80" spans="1:28">
      <c r="A80" s="8">
        <v>45370</v>
      </c>
      <c r="B80" s="16">
        <v>356.1474</v>
      </c>
      <c r="C80" s="16">
        <v>350.6788</v>
      </c>
      <c r="D80" s="16">
        <v>338.9703</v>
      </c>
      <c r="E80" s="16">
        <v>333.773</v>
      </c>
      <c r="F80" s="16">
        <v>327.8484</v>
      </c>
      <c r="G80" s="16">
        <v>328.4363</v>
      </c>
      <c r="H80" s="16">
        <v>339.9316</v>
      </c>
      <c r="I80" s="16">
        <v>346.0055</v>
      </c>
      <c r="J80" s="16">
        <v>360.5084</v>
      </c>
      <c r="K80" s="16">
        <v>366.972</v>
      </c>
      <c r="L80" s="16">
        <v>366.4913</v>
      </c>
      <c r="M80" s="16">
        <v>358.8468</v>
      </c>
      <c r="N80" s="16">
        <v>329.2574</v>
      </c>
      <c r="O80" s="16">
        <v>334.1626</v>
      </c>
      <c r="P80" s="16">
        <v>334.1694</v>
      </c>
      <c r="Q80" s="16">
        <v>346.3092</v>
      </c>
      <c r="R80" s="16">
        <v>353.5081</v>
      </c>
      <c r="S80" s="16">
        <v>357.4443</v>
      </c>
      <c r="T80" s="16">
        <v>357.6009</v>
      </c>
      <c r="U80" s="16">
        <v>357.6799</v>
      </c>
      <c r="V80" s="16">
        <v>353.9754</v>
      </c>
      <c r="W80" s="16">
        <v>348.1957</v>
      </c>
      <c r="X80" s="16">
        <v>343.7481</v>
      </c>
      <c r="Y80" s="16">
        <v>324.4919</v>
      </c>
      <c r="Z80" s="26" t="s">
        <v>32</v>
      </c>
      <c r="AA80" s="25">
        <f t="shared" si="2"/>
        <v>324.4919</v>
      </c>
      <c r="AB80" s="25">
        <f t="shared" si="3"/>
        <v>346.464695833333</v>
      </c>
    </row>
    <row r="81" spans="1:28">
      <c r="A81" s="8">
        <v>45371</v>
      </c>
      <c r="B81" s="16">
        <v>337.4146</v>
      </c>
      <c r="C81" s="16">
        <v>343.473</v>
      </c>
      <c r="D81" s="16">
        <v>326.4704</v>
      </c>
      <c r="E81" s="16">
        <v>318.2237</v>
      </c>
      <c r="F81" s="16">
        <v>288.3473</v>
      </c>
      <c r="G81" s="16">
        <v>258.9458</v>
      </c>
      <c r="H81" s="16">
        <v>327.467</v>
      </c>
      <c r="I81" s="16">
        <v>337.4228</v>
      </c>
      <c r="J81" s="16">
        <v>346.3368</v>
      </c>
      <c r="K81" s="16">
        <v>342.63</v>
      </c>
      <c r="L81" s="16">
        <v>340.641</v>
      </c>
      <c r="M81" s="16">
        <v>339.3365</v>
      </c>
      <c r="N81" s="16">
        <v>297.6236</v>
      </c>
      <c r="O81" s="16">
        <v>315.6514</v>
      </c>
      <c r="P81" s="16">
        <v>333.5959</v>
      </c>
      <c r="Q81" s="16">
        <v>342.2306</v>
      </c>
      <c r="R81" s="16">
        <v>349.2734</v>
      </c>
      <c r="S81" s="16">
        <v>354.0272</v>
      </c>
      <c r="T81" s="16">
        <v>362.8057</v>
      </c>
      <c r="U81" s="16">
        <v>369.4488</v>
      </c>
      <c r="V81" s="16">
        <v>357.0298</v>
      </c>
      <c r="W81" s="16">
        <v>355.8549</v>
      </c>
      <c r="X81" s="16">
        <v>347.9437</v>
      </c>
      <c r="Y81" s="16">
        <v>328.7605</v>
      </c>
      <c r="Z81" s="26" t="s">
        <v>32</v>
      </c>
      <c r="AA81" s="25">
        <f t="shared" si="2"/>
        <v>258.9458</v>
      </c>
      <c r="AB81" s="25">
        <f t="shared" si="3"/>
        <v>334.206433333333</v>
      </c>
    </row>
    <row r="82" spans="1:28">
      <c r="A82" s="8">
        <v>45372</v>
      </c>
      <c r="B82" s="16">
        <v>338.0425</v>
      </c>
      <c r="C82" s="16">
        <v>334.3637</v>
      </c>
      <c r="D82" s="16">
        <v>325.5196</v>
      </c>
      <c r="E82" s="16">
        <v>323.9141</v>
      </c>
      <c r="F82" s="16">
        <v>321.3344</v>
      </c>
      <c r="G82" s="16">
        <v>322.342</v>
      </c>
      <c r="H82" s="16">
        <v>336.0961</v>
      </c>
      <c r="I82" s="16">
        <v>346.0322</v>
      </c>
      <c r="J82" s="16">
        <v>342.5923</v>
      </c>
      <c r="K82" s="16">
        <v>340.2018</v>
      </c>
      <c r="L82" s="16">
        <v>336.4714</v>
      </c>
      <c r="M82" s="16">
        <v>330.9377</v>
      </c>
      <c r="N82" s="16">
        <v>219.8968</v>
      </c>
      <c r="O82" s="16">
        <v>286.6132</v>
      </c>
      <c r="P82" s="16">
        <v>327.2477</v>
      </c>
      <c r="Q82" s="16">
        <v>343.2154</v>
      </c>
      <c r="R82" s="16">
        <v>357.6719</v>
      </c>
      <c r="S82" s="16">
        <v>355.0296</v>
      </c>
      <c r="T82" s="16">
        <v>361.0065</v>
      </c>
      <c r="U82" s="16">
        <v>371.8194</v>
      </c>
      <c r="V82" s="16">
        <v>360.4762</v>
      </c>
      <c r="W82" s="16">
        <v>359.1419</v>
      </c>
      <c r="X82" s="16">
        <v>356.4275</v>
      </c>
      <c r="Y82" s="16">
        <v>324.8325</v>
      </c>
      <c r="Z82" s="26" t="s">
        <v>33</v>
      </c>
      <c r="AA82" s="25">
        <f t="shared" si="2"/>
        <v>219.8968</v>
      </c>
      <c r="AB82" s="25">
        <f t="shared" si="3"/>
        <v>334.217766666667</v>
      </c>
    </row>
    <row r="83" spans="1:28">
      <c r="A83" s="8">
        <v>45373</v>
      </c>
      <c r="B83" s="16">
        <v>345.0435</v>
      </c>
      <c r="C83" s="16">
        <v>344.8984</v>
      </c>
      <c r="D83" s="16">
        <v>337.086</v>
      </c>
      <c r="E83" s="16">
        <v>321.417</v>
      </c>
      <c r="F83" s="16">
        <v>314.7713</v>
      </c>
      <c r="G83" s="16">
        <v>314.415</v>
      </c>
      <c r="H83" s="16">
        <v>335.3306</v>
      </c>
      <c r="I83" s="16">
        <v>344.744</v>
      </c>
      <c r="J83" s="16">
        <v>363.1727</v>
      </c>
      <c r="K83" s="16">
        <v>364.7866</v>
      </c>
      <c r="L83" s="16">
        <v>374.3539</v>
      </c>
      <c r="M83" s="16">
        <v>389.391</v>
      </c>
      <c r="N83" s="16">
        <v>320.295</v>
      </c>
      <c r="O83" s="16">
        <v>331.252</v>
      </c>
      <c r="P83" s="16">
        <v>367.8458</v>
      </c>
      <c r="Q83" s="16">
        <v>379.9254</v>
      </c>
      <c r="R83" s="16">
        <v>386.7945</v>
      </c>
      <c r="S83" s="16">
        <v>371.6469</v>
      </c>
      <c r="T83" s="16">
        <v>337.69</v>
      </c>
      <c r="U83" s="16">
        <v>358.9297</v>
      </c>
      <c r="V83" s="16">
        <v>355.0632</v>
      </c>
      <c r="W83" s="16">
        <v>352.769</v>
      </c>
      <c r="X83" s="16">
        <v>347.5418</v>
      </c>
      <c r="Y83" s="16">
        <v>319.5488</v>
      </c>
      <c r="Z83" s="26" t="s">
        <v>34</v>
      </c>
      <c r="AA83" s="25">
        <f t="shared" si="2"/>
        <v>314.415</v>
      </c>
      <c r="AB83" s="25">
        <f t="shared" si="3"/>
        <v>349.113004166667</v>
      </c>
    </row>
    <row r="84" spans="1:28">
      <c r="A84" s="8">
        <v>45374</v>
      </c>
      <c r="B84" s="16">
        <v>358.9345</v>
      </c>
      <c r="C84" s="16">
        <v>351.6442</v>
      </c>
      <c r="D84" s="16">
        <v>344.5849</v>
      </c>
      <c r="E84" s="16">
        <v>324.5234</v>
      </c>
      <c r="F84" s="16">
        <v>317.7436</v>
      </c>
      <c r="G84" s="16">
        <v>319.6572</v>
      </c>
      <c r="H84" s="16">
        <v>332.3105</v>
      </c>
      <c r="I84" s="16">
        <v>345.0908</v>
      </c>
      <c r="J84" s="16">
        <v>354.9969</v>
      </c>
      <c r="K84" s="16">
        <v>372.817</v>
      </c>
      <c r="L84" s="16">
        <v>374.5523</v>
      </c>
      <c r="M84" s="16">
        <v>407.5705</v>
      </c>
      <c r="N84" s="16">
        <v>291.7995</v>
      </c>
      <c r="O84" s="16">
        <v>294.1448</v>
      </c>
      <c r="P84" s="16">
        <v>334.6028</v>
      </c>
      <c r="Q84" s="16">
        <v>356.7083</v>
      </c>
      <c r="R84" s="16">
        <v>383.0839</v>
      </c>
      <c r="S84" s="16">
        <v>373.8979</v>
      </c>
      <c r="T84" s="16">
        <v>362.2884</v>
      </c>
      <c r="U84" s="16">
        <v>380.3377</v>
      </c>
      <c r="V84" s="16">
        <v>379.757</v>
      </c>
      <c r="W84" s="16">
        <v>363.3183</v>
      </c>
      <c r="X84" s="16">
        <v>361.0834</v>
      </c>
      <c r="Y84" s="16">
        <v>330.9485</v>
      </c>
      <c r="Z84" s="26" t="s">
        <v>32</v>
      </c>
      <c r="AA84" s="25">
        <f t="shared" si="2"/>
        <v>291.7995</v>
      </c>
      <c r="AB84" s="25">
        <f t="shared" si="3"/>
        <v>350.683179166667</v>
      </c>
    </row>
    <row r="85" spans="1:28">
      <c r="A85" s="8">
        <v>45375</v>
      </c>
      <c r="B85" s="16">
        <v>377.8375</v>
      </c>
      <c r="C85" s="16">
        <v>360.7596</v>
      </c>
      <c r="D85" s="16">
        <v>346.012</v>
      </c>
      <c r="E85" s="16">
        <v>331.9849</v>
      </c>
      <c r="F85" s="16">
        <v>323.5161</v>
      </c>
      <c r="G85" s="16">
        <v>326.3736</v>
      </c>
      <c r="H85" s="16">
        <v>331.9061</v>
      </c>
      <c r="I85" s="16">
        <v>337.6533</v>
      </c>
      <c r="J85" s="16">
        <v>338.0007</v>
      </c>
      <c r="K85" s="16">
        <v>342.7253</v>
      </c>
      <c r="L85" s="16">
        <v>340.5649</v>
      </c>
      <c r="M85" s="16">
        <v>341.1347</v>
      </c>
      <c r="N85" s="16">
        <v>307.3722</v>
      </c>
      <c r="O85" s="16">
        <v>328.5305</v>
      </c>
      <c r="P85" s="16">
        <v>336.9109</v>
      </c>
      <c r="Q85" s="16">
        <v>343.9094</v>
      </c>
      <c r="R85" s="16">
        <v>348.8958</v>
      </c>
      <c r="S85" s="16">
        <v>355.5317</v>
      </c>
      <c r="T85" s="16">
        <v>358.5338</v>
      </c>
      <c r="U85" s="16">
        <v>367.4689</v>
      </c>
      <c r="V85" s="16">
        <v>363.2629</v>
      </c>
      <c r="W85" s="16">
        <v>355.7054</v>
      </c>
      <c r="X85" s="16">
        <v>353.4281</v>
      </c>
      <c r="Y85" s="16">
        <v>332.8083</v>
      </c>
      <c r="Z85" s="26" t="s">
        <v>32</v>
      </c>
      <c r="AA85" s="25">
        <f t="shared" si="2"/>
        <v>307.3722</v>
      </c>
      <c r="AB85" s="25">
        <f t="shared" si="3"/>
        <v>343.784441666667</v>
      </c>
    </row>
    <row r="86" spans="1:28">
      <c r="A86" s="8">
        <v>45376</v>
      </c>
      <c r="B86" s="16">
        <v>369.1237</v>
      </c>
      <c r="C86" s="16">
        <v>395.584</v>
      </c>
      <c r="D86" s="16">
        <v>362.8225</v>
      </c>
      <c r="E86" s="16">
        <v>341.4465</v>
      </c>
      <c r="F86" s="16">
        <v>332.3671</v>
      </c>
      <c r="G86" s="16">
        <v>333.7612</v>
      </c>
      <c r="H86" s="16">
        <v>360.704</v>
      </c>
      <c r="I86" s="16">
        <v>375.8033</v>
      </c>
      <c r="J86" s="16">
        <v>516.1339</v>
      </c>
      <c r="K86" s="16">
        <v>618.3365</v>
      </c>
      <c r="L86" s="16">
        <v>674.9901</v>
      </c>
      <c r="M86" s="16">
        <v>599.3242</v>
      </c>
      <c r="N86" s="16">
        <v>393.5264</v>
      </c>
      <c r="O86" s="16">
        <v>464.3493</v>
      </c>
      <c r="P86" s="16">
        <v>639.8651</v>
      </c>
      <c r="Q86" s="16">
        <v>640.5772</v>
      </c>
      <c r="R86" s="16">
        <v>626.5682</v>
      </c>
      <c r="S86" s="16">
        <v>483.6027</v>
      </c>
      <c r="T86" s="16">
        <v>478.4542</v>
      </c>
      <c r="U86" s="16">
        <v>542.5286</v>
      </c>
      <c r="V86" s="16">
        <v>452.389</v>
      </c>
      <c r="W86" s="16">
        <v>462.1463</v>
      </c>
      <c r="X86" s="16">
        <v>437.0165</v>
      </c>
      <c r="Y86" s="16">
        <v>351.7397</v>
      </c>
      <c r="Z86" s="26" t="s">
        <v>32</v>
      </c>
      <c r="AA86" s="25">
        <f t="shared" si="2"/>
        <v>332.3671</v>
      </c>
      <c r="AB86" s="25">
        <f t="shared" si="3"/>
        <v>468.881675</v>
      </c>
    </row>
    <row r="87" spans="1:28">
      <c r="A87" s="8">
        <v>45377</v>
      </c>
      <c r="B87" s="16">
        <v>452.0591</v>
      </c>
      <c r="C87" s="16">
        <v>440.2675</v>
      </c>
      <c r="D87" s="16">
        <v>377.5876</v>
      </c>
      <c r="E87" s="16">
        <v>354.9736</v>
      </c>
      <c r="F87" s="16">
        <v>338.1779</v>
      </c>
      <c r="G87" s="16">
        <v>335.0237</v>
      </c>
      <c r="H87" s="16">
        <v>362.0184</v>
      </c>
      <c r="I87" s="16">
        <v>383.1654</v>
      </c>
      <c r="J87" s="16">
        <v>507.8821</v>
      </c>
      <c r="K87" s="16">
        <v>458.2664</v>
      </c>
      <c r="L87" s="16">
        <v>437.3187</v>
      </c>
      <c r="M87" s="16">
        <v>426.6629</v>
      </c>
      <c r="N87" s="16">
        <v>348.9268</v>
      </c>
      <c r="O87" s="16">
        <v>362.0039</v>
      </c>
      <c r="P87" s="16">
        <v>384.5634</v>
      </c>
      <c r="Q87" s="16">
        <v>396.7188</v>
      </c>
      <c r="R87" s="16">
        <v>415.0952</v>
      </c>
      <c r="S87" s="16">
        <v>408.6289</v>
      </c>
      <c r="T87" s="16">
        <v>415.297</v>
      </c>
      <c r="U87" s="16">
        <v>422.565</v>
      </c>
      <c r="V87" s="16">
        <v>407.0232</v>
      </c>
      <c r="W87" s="16">
        <v>408.8859</v>
      </c>
      <c r="X87" s="16">
        <v>376.9229</v>
      </c>
      <c r="Y87" s="16">
        <v>339.0307</v>
      </c>
      <c r="Z87" s="26" t="s">
        <v>32</v>
      </c>
      <c r="AA87" s="25">
        <f t="shared" si="2"/>
        <v>335.0237</v>
      </c>
      <c r="AB87" s="25">
        <f t="shared" si="3"/>
        <v>398.294375</v>
      </c>
    </row>
    <row r="88" spans="1:28">
      <c r="A88" s="8">
        <v>45378</v>
      </c>
      <c r="B88" s="16">
        <v>379.0477</v>
      </c>
      <c r="C88" s="16">
        <v>387.3025</v>
      </c>
      <c r="D88" s="16">
        <v>367.8289</v>
      </c>
      <c r="E88" s="16">
        <v>345.0152</v>
      </c>
      <c r="F88" s="16">
        <v>329.0348</v>
      </c>
      <c r="G88" s="16">
        <v>330.2223</v>
      </c>
      <c r="H88" s="16">
        <v>356.5618</v>
      </c>
      <c r="I88" s="16">
        <v>376.7379</v>
      </c>
      <c r="J88" s="16">
        <v>528.9478</v>
      </c>
      <c r="K88" s="16">
        <v>522.6024</v>
      </c>
      <c r="L88" s="16">
        <v>645.1031</v>
      </c>
      <c r="M88" s="16">
        <v>443.3702</v>
      </c>
      <c r="N88" s="16">
        <v>339.9812</v>
      </c>
      <c r="O88" s="16">
        <v>347.3742</v>
      </c>
      <c r="P88" s="16">
        <v>373.3544</v>
      </c>
      <c r="Q88" s="16">
        <v>392.6546</v>
      </c>
      <c r="R88" s="16">
        <v>375.6264</v>
      </c>
      <c r="S88" s="16">
        <v>355.9287</v>
      </c>
      <c r="T88" s="16">
        <v>374.2432</v>
      </c>
      <c r="U88" s="16">
        <v>400.3125</v>
      </c>
      <c r="V88" s="16">
        <v>431.1965</v>
      </c>
      <c r="W88" s="16">
        <v>443.8221</v>
      </c>
      <c r="X88" s="16">
        <v>407.0201</v>
      </c>
      <c r="Y88" s="16">
        <v>358.4579</v>
      </c>
      <c r="Z88" s="26" t="s">
        <v>32</v>
      </c>
      <c r="AA88" s="25">
        <f t="shared" si="2"/>
        <v>329.0348</v>
      </c>
      <c r="AB88" s="25">
        <f t="shared" si="3"/>
        <v>400.489433333333</v>
      </c>
    </row>
    <row r="89" spans="1:28">
      <c r="A89" s="8">
        <v>45379</v>
      </c>
      <c r="B89" s="16">
        <v>356.5683</v>
      </c>
      <c r="C89" s="16">
        <v>362.9312</v>
      </c>
      <c r="D89" s="16">
        <v>342.2461</v>
      </c>
      <c r="E89" s="16">
        <v>322.6564</v>
      </c>
      <c r="F89" s="16">
        <v>312.2747</v>
      </c>
      <c r="G89" s="16">
        <v>316.8213</v>
      </c>
      <c r="H89" s="16">
        <v>353.4913</v>
      </c>
      <c r="I89" s="16">
        <v>374.0783</v>
      </c>
      <c r="J89" s="16">
        <v>400.3195</v>
      </c>
      <c r="K89" s="16">
        <v>395.9162</v>
      </c>
      <c r="L89" s="16">
        <v>386.6438</v>
      </c>
      <c r="M89" s="16">
        <v>390.5117</v>
      </c>
      <c r="N89" s="16">
        <v>369.8511</v>
      </c>
      <c r="O89" s="16">
        <v>375.5126</v>
      </c>
      <c r="P89" s="16">
        <v>393.4422</v>
      </c>
      <c r="Q89" s="16">
        <v>407.8033</v>
      </c>
      <c r="R89" s="16">
        <v>420.9092</v>
      </c>
      <c r="S89" s="16">
        <v>424.9136</v>
      </c>
      <c r="T89" s="16">
        <v>437.9438</v>
      </c>
      <c r="U89" s="16">
        <v>458.3389</v>
      </c>
      <c r="V89" s="16">
        <v>439.0277</v>
      </c>
      <c r="W89" s="16">
        <v>430.0862</v>
      </c>
      <c r="X89" s="16">
        <v>425.0377</v>
      </c>
      <c r="Y89" s="16">
        <v>394.0068</v>
      </c>
      <c r="Z89" s="26" t="s">
        <v>33</v>
      </c>
      <c r="AA89" s="25">
        <f t="shared" si="2"/>
        <v>312.2747</v>
      </c>
      <c r="AB89" s="25">
        <f t="shared" si="3"/>
        <v>387.138829166667</v>
      </c>
    </row>
    <row r="90" spans="1:28">
      <c r="A90" s="8">
        <v>45380</v>
      </c>
      <c r="B90" s="16">
        <v>365.1702</v>
      </c>
      <c r="C90" s="16">
        <v>370.6597</v>
      </c>
      <c r="D90" s="16">
        <v>351.6482</v>
      </c>
      <c r="E90" s="16">
        <v>337.3685</v>
      </c>
      <c r="F90" s="16">
        <v>308.1866</v>
      </c>
      <c r="G90" s="16">
        <v>310.7355</v>
      </c>
      <c r="H90" s="16">
        <v>352.3682</v>
      </c>
      <c r="I90" s="16">
        <v>363.2702</v>
      </c>
      <c r="J90" s="16">
        <v>398.665</v>
      </c>
      <c r="K90" s="16">
        <v>416.8944</v>
      </c>
      <c r="L90" s="16">
        <v>393.3063</v>
      </c>
      <c r="M90" s="16">
        <v>378.5002</v>
      </c>
      <c r="N90" s="16">
        <v>336.1361</v>
      </c>
      <c r="O90" s="16">
        <v>344.8932</v>
      </c>
      <c r="P90" s="16">
        <v>358.1569</v>
      </c>
      <c r="Q90" s="16">
        <v>374.9103</v>
      </c>
      <c r="R90" s="16">
        <v>390.3672</v>
      </c>
      <c r="S90" s="16">
        <v>390.4278</v>
      </c>
      <c r="T90" s="16">
        <v>405.8779</v>
      </c>
      <c r="U90" s="16">
        <v>411.651</v>
      </c>
      <c r="V90" s="16">
        <v>404.6859</v>
      </c>
      <c r="W90" s="16">
        <v>399.4003</v>
      </c>
      <c r="X90" s="16">
        <v>391.3839</v>
      </c>
      <c r="Y90" s="16">
        <v>347.9346</v>
      </c>
      <c r="Z90" s="26" t="s">
        <v>34</v>
      </c>
      <c r="AA90" s="25">
        <f t="shared" si="2"/>
        <v>308.1866</v>
      </c>
      <c r="AB90" s="25">
        <f t="shared" si="3"/>
        <v>370.9415875</v>
      </c>
    </row>
    <row r="91" spans="1:28">
      <c r="A91" s="8">
        <v>45381</v>
      </c>
      <c r="B91" s="16">
        <v>375.1798</v>
      </c>
      <c r="C91" s="16">
        <v>388.5321</v>
      </c>
      <c r="D91" s="16">
        <v>358.415</v>
      </c>
      <c r="E91" s="16">
        <v>336.3708</v>
      </c>
      <c r="F91" s="16">
        <v>321.2398</v>
      </c>
      <c r="G91" s="16">
        <v>318.2693</v>
      </c>
      <c r="H91" s="16">
        <v>337.3036</v>
      </c>
      <c r="I91" s="16">
        <v>354.8858</v>
      </c>
      <c r="J91" s="16">
        <v>398.2662</v>
      </c>
      <c r="K91" s="16">
        <v>432.0728</v>
      </c>
      <c r="L91" s="16">
        <v>419.1912</v>
      </c>
      <c r="M91" s="16">
        <v>403.0932</v>
      </c>
      <c r="N91" s="16">
        <v>341.8792</v>
      </c>
      <c r="O91" s="16">
        <v>365.6553</v>
      </c>
      <c r="P91" s="16">
        <v>401.7707</v>
      </c>
      <c r="Q91" s="16">
        <v>413.9633</v>
      </c>
      <c r="R91" s="16">
        <v>428.2016</v>
      </c>
      <c r="S91" s="16">
        <v>418.7115</v>
      </c>
      <c r="T91" s="16">
        <v>406.4004</v>
      </c>
      <c r="U91" s="16">
        <v>415.0899</v>
      </c>
      <c r="V91" s="16">
        <v>387.514</v>
      </c>
      <c r="W91" s="16">
        <v>410.6002</v>
      </c>
      <c r="X91" s="16">
        <v>419.4582</v>
      </c>
      <c r="Y91" s="16">
        <v>383.8507</v>
      </c>
      <c r="Z91" s="26" t="s">
        <v>32</v>
      </c>
      <c r="AA91" s="25">
        <f t="shared" si="2"/>
        <v>318.2693</v>
      </c>
      <c r="AB91" s="25">
        <f t="shared" si="3"/>
        <v>384.829775</v>
      </c>
    </row>
    <row r="92" spans="1:28">
      <c r="A92" s="8">
        <v>45382</v>
      </c>
      <c r="B92" s="16">
        <v>352.0441</v>
      </c>
      <c r="C92" s="16">
        <v>351.8023</v>
      </c>
      <c r="D92" s="16">
        <v>335.5839</v>
      </c>
      <c r="E92" s="16">
        <v>322.6329</v>
      </c>
      <c r="F92" s="16">
        <v>274.5568</v>
      </c>
      <c r="G92" s="16">
        <v>263.9289</v>
      </c>
      <c r="H92" s="16">
        <v>303.197</v>
      </c>
      <c r="I92" s="16">
        <v>324.7183</v>
      </c>
      <c r="J92" s="16">
        <v>331.2153</v>
      </c>
      <c r="K92" s="16">
        <v>342.3724</v>
      </c>
      <c r="L92" s="16">
        <v>336.6897</v>
      </c>
      <c r="M92" s="16">
        <v>326.3364</v>
      </c>
      <c r="N92" s="16">
        <v>299.301</v>
      </c>
      <c r="O92" s="16">
        <v>309.4187</v>
      </c>
      <c r="P92" s="16">
        <v>326.6782</v>
      </c>
      <c r="Q92" s="16">
        <v>340.049</v>
      </c>
      <c r="R92" s="16">
        <v>355.4976</v>
      </c>
      <c r="S92" s="16">
        <v>375.1182</v>
      </c>
      <c r="T92" s="16">
        <v>382.3128</v>
      </c>
      <c r="U92" s="16">
        <v>381.8949</v>
      </c>
      <c r="V92" s="16">
        <v>379.6803</v>
      </c>
      <c r="W92" s="16">
        <v>383.8795</v>
      </c>
      <c r="X92" s="16">
        <v>361.5581</v>
      </c>
      <c r="Y92" s="16">
        <v>333.851</v>
      </c>
      <c r="Z92" s="26" t="s">
        <v>32</v>
      </c>
      <c r="AA92" s="25">
        <f t="shared" si="2"/>
        <v>263.9289</v>
      </c>
      <c r="AB92" s="25">
        <f t="shared" si="3"/>
        <v>337.263220833333</v>
      </c>
    </row>
    <row r="93" spans="1:28">
      <c r="A93" s="8">
        <v>45383</v>
      </c>
      <c r="B93" s="28">
        <v>348.99</v>
      </c>
      <c r="C93" s="28">
        <v>363.81</v>
      </c>
      <c r="D93" s="28">
        <v>345.51</v>
      </c>
      <c r="E93" s="28">
        <v>335.32</v>
      </c>
      <c r="F93" s="28">
        <v>328.98</v>
      </c>
      <c r="G93" s="28">
        <v>328.57</v>
      </c>
      <c r="H93" s="28">
        <v>344.61</v>
      </c>
      <c r="I93" s="28">
        <v>348.45</v>
      </c>
      <c r="J93" s="28">
        <v>384.16</v>
      </c>
      <c r="K93" s="28">
        <v>372.32</v>
      </c>
      <c r="L93" s="28">
        <v>360.23</v>
      </c>
      <c r="M93" s="28">
        <v>356.19</v>
      </c>
      <c r="N93" s="28">
        <v>301.67</v>
      </c>
      <c r="O93" s="28">
        <v>305.97</v>
      </c>
      <c r="P93" s="28">
        <v>324.46</v>
      </c>
      <c r="Q93" s="28">
        <v>336.97</v>
      </c>
      <c r="R93" s="28">
        <v>352.77</v>
      </c>
      <c r="S93" s="28">
        <v>353.32</v>
      </c>
      <c r="T93" s="28">
        <v>361.93</v>
      </c>
      <c r="U93" s="28">
        <v>365.88</v>
      </c>
      <c r="V93" s="28">
        <v>357.66</v>
      </c>
      <c r="W93" s="28">
        <v>365.98</v>
      </c>
      <c r="X93" s="28">
        <v>353.38</v>
      </c>
      <c r="Y93" s="28">
        <v>330.46</v>
      </c>
      <c r="Z93" s="26" t="s">
        <v>32</v>
      </c>
      <c r="AA93" s="25">
        <f t="shared" si="2"/>
        <v>301.67</v>
      </c>
      <c r="AB93" s="25">
        <f t="shared" si="3"/>
        <v>346.982916666667</v>
      </c>
    </row>
    <row r="94" spans="1:28">
      <c r="A94" s="8">
        <v>45384</v>
      </c>
      <c r="B94" s="16">
        <v>375.7517</v>
      </c>
      <c r="C94" s="16">
        <v>389.3743</v>
      </c>
      <c r="D94" s="16">
        <v>362.6623</v>
      </c>
      <c r="E94" s="16">
        <v>344.8243</v>
      </c>
      <c r="F94" s="16">
        <v>332.3479</v>
      </c>
      <c r="G94" s="16">
        <v>329.9848</v>
      </c>
      <c r="H94" s="16">
        <v>345.0524</v>
      </c>
      <c r="I94" s="16">
        <v>347.837</v>
      </c>
      <c r="J94" s="16">
        <v>365.9817</v>
      </c>
      <c r="K94" s="16">
        <v>402.6103</v>
      </c>
      <c r="L94" s="16">
        <v>426.9188</v>
      </c>
      <c r="M94" s="16">
        <v>421.7974</v>
      </c>
      <c r="N94" s="16">
        <v>357.1414</v>
      </c>
      <c r="O94" s="16">
        <v>368.3129</v>
      </c>
      <c r="P94" s="16">
        <v>416.1317</v>
      </c>
      <c r="Q94" s="16">
        <v>439.3</v>
      </c>
      <c r="R94" s="16">
        <v>448.5991</v>
      </c>
      <c r="S94" s="16">
        <v>403.3796</v>
      </c>
      <c r="T94" s="16">
        <v>377.5649</v>
      </c>
      <c r="U94" s="16">
        <v>390.7925</v>
      </c>
      <c r="V94" s="16">
        <v>381.072</v>
      </c>
      <c r="W94" s="16">
        <v>391.1749</v>
      </c>
      <c r="X94" s="16">
        <v>396.1725</v>
      </c>
      <c r="Y94" s="16">
        <v>359.5285</v>
      </c>
      <c r="Z94" s="26" t="s">
        <v>32</v>
      </c>
      <c r="AA94" s="25">
        <f t="shared" si="2"/>
        <v>329.9848</v>
      </c>
      <c r="AB94" s="25">
        <f t="shared" si="3"/>
        <v>382.2630375</v>
      </c>
    </row>
    <row r="95" spans="1:28">
      <c r="A95" s="8">
        <v>45385</v>
      </c>
      <c r="B95" s="16">
        <v>366.0914</v>
      </c>
      <c r="C95" s="16">
        <v>368.2938</v>
      </c>
      <c r="D95" s="16">
        <v>354.8055</v>
      </c>
      <c r="E95" s="16">
        <v>340.2336</v>
      </c>
      <c r="F95" s="16">
        <v>330.5494</v>
      </c>
      <c r="G95" s="16">
        <v>330.4736</v>
      </c>
      <c r="H95" s="16">
        <v>349.799</v>
      </c>
      <c r="I95" s="16">
        <v>346.9813</v>
      </c>
      <c r="J95" s="16">
        <v>373.417</v>
      </c>
      <c r="K95" s="16">
        <v>396.3301</v>
      </c>
      <c r="L95" s="16">
        <v>480.8573</v>
      </c>
      <c r="M95" s="16">
        <v>655.7497</v>
      </c>
      <c r="N95" s="16">
        <v>370.6076</v>
      </c>
      <c r="O95" s="16">
        <v>422.4206</v>
      </c>
      <c r="P95" s="16">
        <v>475.0598</v>
      </c>
      <c r="Q95" s="16">
        <v>484.1161</v>
      </c>
      <c r="R95" s="16">
        <v>428.6675</v>
      </c>
      <c r="S95" s="16">
        <v>397.3367</v>
      </c>
      <c r="T95" s="16">
        <v>372.4021</v>
      </c>
      <c r="U95" s="16">
        <v>374.9192</v>
      </c>
      <c r="V95" s="16">
        <v>376.0691</v>
      </c>
      <c r="W95" s="16">
        <v>384.7409</v>
      </c>
      <c r="X95" s="16">
        <v>380.0621</v>
      </c>
      <c r="Y95" s="16">
        <v>353.6404</v>
      </c>
      <c r="Z95" s="24" t="s">
        <v>31</v>
      </c>
      <c r="AA95" s="25">
        <f t="shared" si="2"/>
        <v>330.4736</v>
      </c>
      <c r="AB95" s="25">
        <f t="shared" si="3"/>
        <v>396.400991666667</v>
      </c>
    </row>
    <row r="96" spans="1:28">
      <c r="A96" s="8">
        <v>45386</v>
      </c>
      <c r="B96" s="16">
        <v>381.2812</v>
      </c>
      <c r="C96" s="16">
        <v>379.7854</v>
      </c>
      <c r="D96" s="16">
        <v>354.6256</v>
      </c>
      <c r="E96" s="16">
        <v>345.7985</v>
      </c>
      <c r="F96" s="16">
        <v>337.9767</v>
      </c>
      <c r="G96" s="16">
        <v>332.0564</v>
      </c>
      <c r="H96" s="16">
        <v>347.1219</v>
      </c>
      <c r="I96" s="16">
        <v>362.7027</v>
      </c>
      <c r="J96" s="16">
        <v>345.3156</v>
      </c>
      <c r="K96" s="16">
        <v>338.6522</v>
      </c>
      <c r="L96" s="16">
        <v>323.7936</v>
      </c>
      <c r="M96" s="16">
        <v>327.7415</v>
      </c>
      <c r="N96" s="16">
        <v>320.4312</v>
      </c>
      <c r="O96" s="16">
        <v>292.6746</v>
      </c>
      <c r="P96" s="16">
        <v>295.4758</v>
      </c>
      <c r="Q96" s="16">
        <v>310.4911</v>
      </c>
      <c r="R96" s="16">
        <v>320.5181</v>
      </c>
      <c r="S96" s="16">
        <v>341.8665</v>
      </c>
      <c r="T96" s="16">
        <v>344.6893</v>
      </c>
      <c r="U96" s="16">
        <v>352.9576</v>
      </c>
      <c r="V96" s="16">
        <v>358.9191</v>
      </c>
      <c r="W96" s="16">
        <v>359.708</v>
      </c>
      <c r="X96" s="16">
        <v>345.5</v>
      </c>
      <c r="Y96" s="16">
        <v>333.195</v>
      </c>
      <c r="Z96" s="27" t="s">
        <v>35</v>
      </c>
      <c r="AA96" s="25">
        <f t="shared" si="2"/>
        <v>292.6746</v>
      </c>
      <c r="AB96" s="25">
        <f t="shared" si="3"/>
        <v>339.7199</v>
      </c>
    </row>
    <row r="97" spans="1:28">
      <c r="A97" s="8">
        <v>45387</v>
      </c>
      <c r="B97" s="16">
        <v>370</v>
      </c>
      <c r="C97" s="16">
        <v>360.25</v>
      </c>
      <c r="D97" s="16">
        <v>350.6682</v>
      </c>
      <c r="E97" s="16">
        <v>321.2755</v>
      </c>
      <c r="F97" s="16">
        <v>295.9199</v>
      </c>
      <c r="G97" s="16">
        <v>297.7438</v>
      </c>
      <c r="H97" s="16">
        <v>312.8879</v>
      </c>
      <c r="I97" s="16">
        <v>341.4737</v>
      </c>
      <c r="J97" s="16">
        <v>374.0076</v>
      </c>
      <c r="K97" s="16">
        <v>384.8961</v>
      </c>
      <c r="L97" s="16">
        <v>419.0037</v>
      </c>
      <c r="M97" s="16">
        <v>425.4575</v>
      </c>
      <c r="N97" s="16">
        <v>359.1317</v>
      </c>
      <c r="O97" s="16">
        <v>364.7227</v>
      </c>
      <c r="P97" s="16">
        <v>393.4611</v>
      </c>
      <c r="Q97" s="16">
        <v>397.0469</v>
      </c>
      <c r="R97" s="16">
        <v>378.6207</v>
      </c>
      <c r="S97" s="16">
        <v>373.5126</v>
      </c>
      <c r="T97" s="16">
        <v>364.6374</v>
      </c>
      <c r="U97" s="16">
        <v>362.9026</v>
      </c>
      <c r="V97" s="16">
        <v>363.3923</v>
      </c>
      <c r="W97" s="16">
        <v>362.3788</v>
      </c>
      <c r="X97" s="16">
        <v>360.1475</v>
      </c>
      <c r="Y97" s="16">
        <v>329.6647</v>
      </c>
      <c r="Z97" s="27" t="s">
        <v>35</v>
      </c>
      <c r="AA97" s="25">
        <f t="shared" si="2"/>
        <v>295.9199</v>
      </c>
      <c r="AB97" s="25">
        <f t="shared" si="3"/>
        <v>360.9667875</v>
      </c>
    </row>
    <row r="98" spans="1:28">
      <c r="A98" s="8">
        <v>45388</v>
      </c>
      <c r="B98" s="16">
        <v>393.2679</v>
      </c>
      <c r="C98" s="16">
        <v>361.508</v>
      </c>
      <c r="D98" s="16">
        <v>354.2388</v>
      </c>
      <c r="E98" s="16">
        <v>352.3754</v>
      </c>
      <c r="F98" s="16">
        <v>342.1016</v>
      </c>
      <c r="G98" s="16">
        <v>336.5304</v>
      </c>
      <c r="H98" s="16">
        <v>347.9668</v>
      </c>
      <c r="I98" s="16">
        <v>382.2891</v>
      </c>
      <c r="J98" s="16">
        <v>400.6133</v>
      </c>
      <c r="K98" s="16">
        <v>429.5117</v>
      </c>
      <c r="L98" s="16">
        <v>546.0611</v>
      </c>
      <c r="M98" s="16">
        <v>591.546</v>
      </c>
      <c r="N98" s="16">
        <v>379.2563</v>
      </c>
      <c r="O98" s="16">
        <v>404.6893</v>
      </c>
      <c r="P98" s="16">
        <v>454.0344</v>
      </c>
      <c r="Q98" s="16">
        <v>459.4056</v>
      </c>
      <c r="R98" s="16">
        <v>422.8797</v>
      </c>
      <c r="S98" s="16">
        <v>404.4218</v>
      </c>
      <c r="T98" s="16">
        <v>395.2686</v>
      </c>
      <c r="U98" s="16">
        <v>404.5821</v>
      </c>
      <c r="V98" s="16">
        <v>398.0243</v>
      </c>
      <c r="W98" s="16">
        <v>395.4791</v>
      </c>
      <c r="X98" s="16">
        <v>375.8005</v>
      </c>
      <c r="Y98" s="16">
        <v>357.2908</v>
      </c>
      <c r="Z98" s="26" t="s">
        <v>32</v>
      </c>
      <c r="AA98" s="25">
        <f t="shared" si="2"/>
        <v>336.5304</v>
      </c>
      <c r="AB98" s="25">
        <f t="shared" si="3"/>
        <v>403.714275</v>
      </c>
    </row>
    <row r="99" spans="1:28">
      <c r="A99" s="8">
        <v>45389</v>
      </c>
      <c r="B99" s="16">
        <v>333.0418</v>
      </c>
      <c r="C99" s="16">
        <v>334.6096</v>
      </c>
      <c r="D99" s="16">
        <v>325.9062</v>
      </c>
      <c r="E99" s="16">
        <v>309.8053</v>
      </c>
      <c r="F99" s="16">
        <v>301.4846</v>
      </c>
      <c r="G99" s="16">
        <v>305.384</v>
      </c>
      <c r="H99" s="16">
        <v>322.3342</v>
      </c>
      <c r="I99" s="16">
        <v>341.9008</v>
      </c>
      <c r="J99" s="16">
        <v>360.0383</v>
      </c>
      <c r="K99" s="16">
        <v>379.1437</v>
      </c>
      <c r="L99" s="16">
        <v>420.8776</v>
      </c>
      <c r="M99" s="16">
        <v>421.8795</v>
      </c>
      <c r="N99" s="16">
        <v>345.5906</v>
      </c>
      <c r="O99" s="16">
        <v>351.269</v>
      </c>
      <c r="P99" s="16">
        <v>367.6057</v>
      </c>
      <c r="Q99" s="16">
        <v>366.073</v>
      </c>
      <c r="R99" s="16">
        <v>367.3905</v>
      </c>
      <c r="S99" s="16">
        <v>364.2085</v>
      </c>
      <c r="T99" s="16">
        <v>363.6213</v>
      </c>
      <c r="U99" s="16">
        <v>376.4418</v>
      </c>
      <c r="V99" s="16">
        <v>373.1729</v>
      </c>
      <c r="W99" s="16">
        <v>375.7416</v>
      </c>
      <c r="X99" s="16">
        <v>355.984</v>
      </c>
      <c r="Y99" s="16">
        <v>329.3823</v>
      </c>
      <c r="Z99" s="26" t="s">
        <v>32</v>
      </c>
      <c r="AA99" s="25">
        <f t="shared" si="2"/>
        <v>301.4846</v>
      </c>
      <c r="AB99" s="25">
        <f t="shared" si="3"/>
        <v>353.870283333333</v>
      </c>
    </row>
    <row r="100" spans="1:28">
      <c r="A100" s="8">
        <v>45390</v>
      </c>
      <c r="B100" s="16">
        <v>375.3673</v>
      </c>
      <c r="C100" s="16">
        <v>368.7196</v>
      </c>
      <c r="D100" s="16">
        <v>346.9301</v>
      </c>
      <c r="E100" s="16">
        <v>337.1493</v>
      </c>
      <c r="F100" s="16">
        <v>322.8123</v>
      </c>
      <c r="G100" s="16">
        <v>321.6491</v>
      </c>
      <c r="H100" s="16">
        <v>339.3053</v>
      </c>
      <c r="I100" s="16">
        <v>362.3417</v>
      </c>
      <c r="J100" s="16">
        <v>383.7119</v>
      </c>
      <c r="K100" s="16">
        <v>400.388</v>
      </c>
      <c r="L100" s="16">
        <v>410.2474</v>
      </c>
      <c r="M100" s="16">
        <v>398.7403</v>
      </c>
      <c r="N100" s="16">
        <v>384.3831</v>
      </c>
      <c r="O100" s="16">
        <v>399.9716</v>
      </c>
      <c r="P100" s="16">
        <v>418.3974</v>
      </c>
      <c r="Q100" s="16">
        <v>407.1365</v>
      </c>
      <c r="R100" s="16">
        <v>397.6999</v>
      </c>
      <c r="S100" s="16">
        <v>386.8853</v>
      </c>
      <c r="T100" s="16">
        <v>368.8807</v>
      </c>
      <c r="U100" s="16">
        <v>382.9159</v>
      </c>
      <c r="V100" s="16">
        <v>388.7579</v>
      </c>
      <c r="W100" s="16">
        <v>388.4681</v>
      </c>
      <c r="X100" s="16">
        <v>375.1168</v>
      </c>
      <c r="Y100" s="16">
        <v>353.7786</v>
      </c>
      <c r="Z100" s="26" t="s">
        <v>32</v>
      </c>
      <c r="AA100" s="25">
        <f t="shared" si="2"/>
        <v>321.6491</v>
      </c>
      <c r="AB100" s="25">
        <f t="shared" si="3"/>
        <v>375.8230875</v>
      </c>
    </row>
    <row r="101" spans="1:28">
      <c r="A101" s="8">
        <v>45391</v>
      </c>
      <c r="B101" s="16">
        <v>342.2355</v>
      </c>
      <c r="C101" s="16">
        <v>342.3795</v>
      </c>
      <c r="D101" s="16">
        <v>331.0618</v>
      </c>
      <c r="E101" s="16">
        <v>312.0926</v>
      </c>
      <c r="F101" s="16">
        <v>292.4021</v>
      </c>
      <c r="G101" s="16">
        <v>285.3057</v>
      </c>
      <c r="H101" s="16">
        <v>313.5438</v>
      </c>
      <c r="I101" s="16">
        <v>328.7736</v>
      </c>
      <c r="J101" s="16">
        <v>357.4859</v>
      </c>
      <c r="K101" s="16">
        <v>372.4656</v>
      </c>
      <c r="L101" s="16">
        <v>377.0864</v>
      </c>
      <c r="M101" s="16">
        <v>382.1845</v>
      </c>
      <c r="N101" s="16">
        <v>327.9541</v>
      </c>
      <c r="O101" s="16">
        <v>338.7975</v>
      </c>
      <c r="P101" s="16">
        <v>356.1047</v>
      </c>
      <c r="Q101" s="16">
        <v>366.896</v>
      </c>
      <c r="R101" s="16">
        <v>367.6486</v>
      </c>
      <c r="S101" s="16">
        <v>366.2347</v>
      </c>
      <c r="T101" s="16">
        <v>359.6611</v>
      </c>
      <c r="U101" s="16">
        <v>358.8343</v>
      </c>
      <c r="V101" s="16">
        <v>360.5938</v>
      </c>
      <c r="W101" s="16">
        <v>355.1427</v>
      </c>
      <c r="X101" s="16">
        <v>340.6011</v>
      </c>
      <c r="Y101" s="16">
        <v>306.5733</v>
      </c>
      <c r="Z101" s="26" t="s">
        <v>32</v>
      </c>
      <c r="AA101" s="25">
        <f t="shared" si="2"/>
        <v>285.3057</v>
      </c>
      <c r="AB101" s="25">
        <f t="shared" si="3"/>
        <v>343.419120833333</v>
      </c>
    </row>
    <row r="102" spans="1:28">
      <c r="A102" s="8">
        <v>45392</v>
      </c>
      <c r="B102" s="16">
        <v>217.6238</v>
      </c>
      <c r="C102" s="16">
        <v>282.0441</v>
      </c>
      <c r="D102" s="16">
        <v>270.522</v>
      </c>
      <c r="E102" s="16">
        <v>2.34</v>
      </c>
      <c r="F102" s="16">
        <v>0</v>
      </c>
      <c r="G102" s="16">
        <v>0</v>
      </c>
      <c r="H102" s="16">
        <v>271.9679</v>
      </c>
      <c r="I102" s="16">
        <v>292.392</v>
      </c>
      <c r="J102" s="16">
        <v>329.5531</v>
      </c>
      <c r="K102" s="16">
        <v>331.8987</v>
      </c>
      <c r="L102" s="16">
        <v>332.3947</v>
      </c>
      <c r="M102" s="16">
        <v>328.9</v>
      </c>
      <c r="N102" s="16">
        <v>301.1491</v>
      </c>
      <c r="O102" s="16">
        <v>307.7929</v>
      </c>
      <c r="P102" s="16">
        <v>325.5502</v>
      </c>
      <c r="Q102" s="16">
        <v>335.3022</v>
      </c>
      <c r="R102" s="16">
        <v>339.0041</v>
      </c>
      <c r="S102" s="16">
        <v>349.0099</v>
      </c>
      <c r="T102" s="16">
        <v>341.7994</v>
      </c>
      <c r="U102" s="16">
        <v>348.5525</v>
      </c>
      <c r="V102" s="16">
        <v>351.5277</v>
      </c>
      <c r="W102" s="16">
        <v>359.6686</v>
      </c>
      <c r="X102" s="16">
        <v>338.389</v>
      </c>
      <c r="Y102" s="16">
        <v>280.6161</v>
      </c>
      <c r="Z102" s="26" t="s">
        <v>32</v>
      </c>
      <c r="AA102" s="25">
        <f t="shared" si="2"/>
        <v>0</v>
      </c>
      <c r="AB102" s="25">
        <f t="shared" si="3"/>
        <v>276.58325</v>
      </c>
    </row>
    <row r="103" spans="1:28">
      <c r="A103" s="8">
        <v>45393</v>
      </c>
      <c r="B103" s="16">
        <v>302.3462</v>
      </c>
      <c r="C103" s="16">
        <v>303.0011</v>
      </c>
      <c r="D103" s="16">
        <v>299.8404</v>
      </c>
      <c r="E103" s="16">
        <v>283.3524</v>
      </c>
      <c r="F103" s="16">
        <v>245.5822</v>
      </c>
      <c r="G103" s="16">
        <v>228.2318</v>
      </c>
      <c r="H103" s="16">
        <v>299.0981</v>
      </c>
      <c r="I103" s="16">
        <v>306.9979</v>
      </c>
      <c r="J103" s="16">
        <v>337.3382</v>
      </c>
      <c r="K103" s="16">
        <v>340.3401</v>
      </c>
      <c r="L103" s="16">
        <v>332.4933</v>
      </c>
      <c r="M103" s="16">
        <v>327.2881</v>
      </c>
      <c r="N103" s="16">
        <v>266.5601</v>
      </c>
      <c r="O103" s="16">
        <v>265.3293</v>
      </c>
      <c r="P103" s="16">
        <v>321.7878</v>
      </c>
      <c r="Q103" s="16">
        <v>337.6152</v>
      </c>
      <c r="R103" s="16">
        <v>340.1367</v>
      </c>
      <c r="S103" s="16">
        <v>351.1876</v>
      </c>
      <c r="T103" s="16">
        <v>351.3151</v>
      </c>
      <c r="U103" s="16">
        <v>355.1021</v>
      </c>
      <c r="V103" s="16">
        <v>358.5214</v>
      </c>
      <c r="W103" s="16">
        <v>352.0672</v>
      </c>
      <c r="X103" s="16">
        <v>326.0697</v>
      </c>
      <c r="Y103" s="16">
        <v>284.9626</v>
      </c>
      <c r="Z103" s="26" t="s">
        <v>33</v>
      </c>
      <c r="AA103" s="25">
        <f t="shared" si="2"/>
        <v>228.2318</v>
      </c>
      <c r="AB103" s="25">
        <f t="shared" si="3"/>
        <v>313.190191666667</v>
      </c>
    </row>
    <row r="104" spans="1:28">
      <c r="A104" s="8">
        <v>45394</v>
      </c>
      <c r="B104" s="16">
        <v>326.2941</v>
      </c>
      <c r="C104" s="16">
        <v>340.3993</v>
      </c>
      <c r="D104" s="16">
        <v>333.0808</v>
      </c>
      <c r="E104" s="16">
        <v>311.808</v>
      </c>
      <c r="F104" s="16">
        <v>303.6962</v>
      </c>
      <c r="G104" s="16">
        <v>305.127</v>
      </c>
      <c r="H104" s="16">
        <v>330.5555</v>
      </c>
      <c r="I104" s="16">
        <v>348.3246</v>
      </c>
      <c r="J104" s="16">
        <v>372.953</v>
      </c>
      <c r="K104" s="16">
        <v>364.2688</v>
      </c>
      <c r="L104" s="16">
        <v>351.4543</v>
      </c>
      <c r="M104" s="16">
        <v>346.3387</v>
      </c>
      <c r="N104" s="16">
        <v>307.7512</v>
      </c>
      <c r="O104" s="16">
        <v>323.5109</v>
      </c>
      <c r="P104" s="16">
        <v>346.4403</v>
      </c>
      <c r="Q104" s="16">
        <v>345.7411</v>
      </c>
      <c r="R104" s="16">
        <v>344.5498</v>
      </c>
      <c r="S104" s="16">
        <v>343.1311</v>
      </c>
      <c r="T104" s="16">
        <v>341.306</v>
      </c>
      <c r="U104" s="16">
        <v>350.812</v>
      </c>
      <c r="V104" s="16">
        <v>353.8791</v>
      </c>
      <c r="W104" s="16">
        <v>352.491</v>
      </c>
      <c r="X104" s="16">
        <v>344.6981</v>
      </c>
      <c r="Y104" s="16">
        <v>308.8405</v>
      </c>
      <c r="Z104" s="26" t="s">
        <v>34</v>
      </c>
      <c r="AA104" s="25">
        <f t="shared" si="2"/>
        <v>303.6962</v>
      </c>
      <c r="AB104" s="25">
        <f t="shared" si="3"/>
        <v>337.393808333333</v>
      </c>
    </row>
    <row r="105" spans="1:28">
      <c r="A105" s="8">
        <v>45395</v>
      </c>
      <c r="B105" s="16">
        <v>334.0941</v>
      </c>
      <c r="C105" s="16">
        <v>337.4445</v>
      </c>
      <c r="D105" s="16">
        <v>324.4801</v>
      </c>
      <c r="E105" s="16">
        <v>306.5059</v>
      </c>
      <c r="F105" s="16">
        <v>290.9575</v>
      </c>
      <c r="G105" s="16">
        <v>289.8525</v>
      </c>
      <c r="H105" s="16">
        <v>308.0951</v>
      </c>
      <c r="I105" s="16">
        <v>309.3961</v>
      </c>
      <c r="J105" s="16">
        <v>330.7238</v>
      </c>
      <c r="K105" s="16">
        <v>338.5005</v>
      </c>
      <c r="L105" s="16">
        <v>325.9498</v>
      </c>
      <c r="M105" s="16">
        <v>324.8938</v>
      </c>
      <c r="N105" s="16">
        <v>231.9405</v>
      </c>
      <c r="O105" s="16">
        <v>295.7093</v>
      </c>
      <c r="P105" s="16">
        <v>335.3951</v>
      </c>
      <c r="Q105" s="16">
        <v>332.4368</v>
      </c>
      <c r="R105" s="16">
        <v>366.5521</v>
      </c>
      <c r="S105" s="16">
        <v>362.8449</v>
      </c>
      <c r="T105" s="16">
        <v>328.9974</v>
      </c>
      <c r="U105" s="16">
        <v>336.8659</v>
      </c>
      <c r="V105" s="16">
        <v>342.3354</v>
      </c>
      <c r="W105" s="16">
        <v>335.9543</v>
      </c>
      <c r="X105" s="16">
        <v>332.152</v>
      </c>
      <c r="Y105" s="16">
        <v>303.8501</v>
      </c>
      <c r="Z105" s="26" t="s">
        <v>32</v>
      </c>
      <c r="AA105" s="25">
        <f t="shared" si="2"/>
        <v>231.9405</v>
      </c>
      <c r="AB105" s="25">
        <f t="shared" si="3"/>
        <v>321.913645833333</v>
      </c>
    </row>
    <row r="106" spans="1:28">
      <c r="A106" s="8">
        <v>45396</v>
      </c>
      <c r="B106" s="16">
        <v>396.9721</v>
      </c>
      <c r="C106" s="16">
        <v>388.4806</v>
      </c>
      <c r="D106" s="16">
        <v>362.5093</v>
      </c>
      <c r="E106" s="16">
        <v>344.1965</v>
      </c>
      <c r="F106" s="16">
        <v>331.6733</v>
      </c>
      <c r="G106" s="16">
        <v>327.8323</v>
      </c>
      <c r="H106" s="16">
        <v>335.3959</v>
      </c>
      <c r="I106" s="16">
        <v>336.6027</v>
      </c>
      <c r="J106" s="16">
        <v>329.9021</v>
      </c>
      <c r="K106" s="16">
        <v>331.4144</v>
      </c>
      <c r="L106" s="16">
        <v>328.7984</v>
      </c>
      <c r="M106" s="16">
        <v>334.4905</v>
      </c>
      <c r="N106" s="16">
        <v>314.1772</v>
      </c>
      <c r="O106" s="16">
        <v>330.7507</v>
      </c>
      <c r="P106" s="16">
        <v>345.9365</v>
      </c>
      <c r="Q106" s="16">
        <v>339.4506</v>
      </c>
      <c r="R106" s="16">
        <v>335.9068</v>
      </c>
      <c r="S106" s="16">
        <v>347.6705</v>
      </c>
      <c r="T106" s="16">
        <v>340.7137</v>
      </c>
      <c r="U106" s="16">
        <v>349.6514</v>
      </c>
      <c r="V106" s="16">
        <v>352.1971</v>
      </c>
      <c r="W106" s="16">
        <v>356.2524</v>
      </c>
      <c r="X106" s="16">
        <v>350.8276</v>
      </c>
      <c r="Y106" s="16">
        <v>331.3946</v>
      </c>
      <c r="Z106" s="26" t="s">
        <v>32</v>
      </c>
      <c r="AA106" s="25">
        <f t="shared" si="2"/>
        <v>314.1772</v>
      </c>
      <c r="AB106" s="25">
        <f t="shared" si="3"/>
        <v>343.46655</v>
      </c>
    </row>
    <row r="107" spans="1:28">
      <c r="A107" s="8">
        <v>45397</v>
      </c>
      <c r="B107" s="16">
        <v>488.8766</v>
      </c>
      <c r="C107" s="16">
        <v>405.4541</v>
      </c>
      <c r="D107" s="16">
        <v>355.9395</v>
      </c>
      <c r="E107" s="16">
        <v>336.5483</v>
      </c>
      <c r="F107" s="16">
        <v>322.5026</v>
      </c>
      <c r="G107" s="16">
        <v>320.3063</v>
      </c>
      <c r="H107" s="16">
        <v>337.5842</v>
      </c>
      <c r="I107" s="16">
        <v>347.2054</v>
      </c>
      <c r="J107" s="16">
        <v>379.0131</v>
      </c>
      <c r="K107" s="16">
        <v>429.8442</v>
      </c>
      <c r="L107" s="16">
        <v>458.9005</v>
      </c>
      <c r="M107" s="16">
        <v>443.8536</v>
      </c>
      <c r="N107" s="16">
        <v>337.0883</v>
      </c>
      <c r="O107" s="16">
        <v>397.4055</v>
      </c>
      <c r="P107" s="16">
        <v>558.5399</v>
      </c>
      <c r="Q107" s="16">
        <v>404.7087</v>
      </c>
      <c r="R107" s="16">
        <v>366.0702</v>
      </c>
      <c r="S107" s="16">
        <v>359.5903</v>
      </c>
      <c r="T107" s="16">
        <v>356.0767</v>
      </c>
      <c r="U107" s="16">
        <v>367.3456</v>
      </c>
      <c r="V107" s="16">
        <v>376.8454</v>
      </c>
      <c r="W107" s="16">
        <v>391.483</v>
      </c>
      <c r="X107" s="16">
        <v>364.4978</v>
      </c>
      <c r="Y107" s="16">
        <v>336.7608</v>
      </c>
      <c r="Z107" s="26" t="s">
        <v>32</v>
      </c>
      <c r="AA107" s="25">
        <f t="shared" si="2"/>
        <v>320.3063</v>
      </c>
      <c r="AB107" s="25">
        <f t="shared" si="3"/>
        <v>385.101691666667</v>
      </c>
    </row>
    <row r="108" spans="1:28">
      <c r="A108" s="8">
        <v>45398</v>
      </c>
      <c r="B108" s="16">
        <v>366.6441</v>
      </c>
      <c r="C108" s="16">
        <v>367.7751</v>
      </c>
      <c r="D108" s="16">
        <v>351.6119</v>
      </c>
      <c r="E108" s="16">
        <v>336.3991</v>
      </c>
      <c r="F108" s="16">
        <v>324.5289</v>
      </c>
      <c r="G108" s="16">
        <v>320.8674</v>
      </c>
      <c r="H108" s="16">
        <v>339.2752</v>
      </c>
      <c r="I108" s="16">
        <v>341.8901</v>
      </c>
      <c r="J108" s="16">
        <v>376.126</v>
      </c>
      <c r="K108" s="16">
        <v>480.8337</v>
      </c>
      <c r="L108" s="16">
        <v>556.2089</v>
      </c>
      <c r="M108" s="16">
        <v>425.0478</v>
      </c>
      <c r="N108" s="16">
        <v>337.8545</v>
      </c>
      <c r="O108" s="16">
        <v>393.1575</v>
      </c>
      <c r="P108" s="16">
        <v>456.8854</v>
      </c>
      <c r="Q108" s="16">
        <v>374.5835</v>
      </c>
      <c r="R108" s="16">
        <v>361.7399</v>
      </c>
      <c r="S108" s="16">
        <v>353.212</v>
      </c>
      <c r="T108" s="16">
        <v>347.5801</v>
      </c>
      <c r="U108" s="16">
        <v>361.7724</v>
      </c>
      <c r="V108" s="16">
        <v>366.739</v>
      </c>
      <c r="W108" s="16">
        <v>378.9309</v>
      </c>
      <c r="X108" s="16">
        <v>363.3559</v>
      </c>
      <c r="Y108" s="16">
        <v>335.0054</v>
      </c>
      <c r="Z108" s="26" t="s">
        <v>32</v>
      </c>
      <c r="AA108" s="25">
        <f t="shared" si="2"/>
        <v>320.8674</v>
      </c>
      <c r="AB108" s="25">
        <f t="shared" si="3"/>
        <v>375.751029166667</v>
      </c>
    </row>
    <row r="109" spans="1:28">
      <c r="A109" s="8">
        <v>45399</v>
      </c>
      <c r="B109" s="16">
        <v>369.8514</v>
      </c>
      <c r="C109" s="16">
        <v>370.5756</v>
      </c>
      <c r="D109" s="16">
        <v>353.1333</v>
      </c>
      <c r="E109" s="16">
        <v>338.7273</v>
      </c>
      <c r="F109" s="16">
        <v>325.497</v>
      </c>
      <c r="G109" s="16">
        <v>326.2825</v>
      </c>
      <c r="H109" s="16">
        <v>339.4529</v>
      </c>
      <c r="I109" s="16">
        <v>338.205</v>
      </c>
      <c r="J109" s="16">
        <v>384.1795</v>
      </c>
      <c r="K109" s="16">
        <v>596.9537</v>
      </c>
      <c r="L109" s="16">
        <v>690.4887</v>
      </c>
      <c r="M109" s="16">
        <v>770.1743</v>
      </c>
      <c r="N109" s="16">
        <v>383.804</v>
      </c>
      <c r="O109" s="16">
        <v>523.9902</v>
      </c>
      <c r="P109" s="16">
        <v>610.6549</v>
      </c>
      <c r="Q109" s="16">
        <v>510.4957</v>
      </c>
      <c r="R109" s="16">
        <v>396.6951</v>
      </c>
      <c r="S109" s="16">
        <v>366.0294</v>
      </c>
      <c r="T109" s="16">
        <v>359.191</v>
      </c>
      <c r="U109" s="16">
        <v>380.4771</v>
      </c>
      <c r="V109" s="16">
        <v>391.2013</v>
      </c>
      <c r="W109" s="16">
        <v>432.6595</v>
      </c>
      <c r="X109" s="16">
        <v>378.1515</v>
      </c>
      <c r="Y109" s="16">
        <v>341.1342</v>
      </c>
      <c r="Z109" s="26" t="s">
        <v>32</v>
      </c>
      <c r="AA109" s="25">
        <f t="shared" si="2"/>
        <v>325.497</v>
      </c>
      <c r="AB109" s="25">
        <f t="shared" si="3"/>
        <v>428.2502125</v>
      </c>
    </row>
    <row r="110" spans="1:28">
      <c r="A110" s="8">
        <v>45400</v>
      </c>
      <c r="B110" s="16">
        <v>504.7957</v>
      </c>
      <c r="C110" s="16">
        <v>535.9729</v>
      </c>
      <c r="D110" s="16">
        <v>401.8365</v>
      </c>
      <c r="E110" s="16">
        <v>355.3908</v>
      </c>
      <c r="F110" s="16">
        <v>342.1543</v>
      </c>
      <c r="G110" s="16">
        <v>341.3358</v>
      </c>
      <c r="H110" s="16">
        <v>362.5502</v>
      </c>
      <c r="I110" s="16">
        <v>362.5328</v>
      </c>
      <c r="J110" s="16">
        <v>547.6124</v>
      </c>
      <c r="K110" s="16">
        <v>630.4907</v>
      </c>
      <c r="L110" s="16">
        <v>694.5717</v>
      </c>
      <c r="M110" s="16">
        <v>705.13</v>
      </c>
      <c r="N110" s="16">
        <v>507.2961</v>
      </c>
      <c r="O110" s="16">
        <v>586.6253</v>
      </c>
      <c r="P110" s="16">
        <v>660.807</v>
      </c>
      <c r="Q110" s="16">
        <v>677.326</v>
      </c>
      <c r="R110" s="16">
        <v>648.3797</v>
      </c>
      <c r="S110" s="16">
        <v>451.0901</v>
      </c>
      <c r="T110" s="16">
        <v>359.3537</v>
      </c>
      <c r="U110" s="16">
        <v>398.8281</v>
      </c>
      <c r="V110" s="16">
        <v>536.6674</v>
      </c>
      <c r="W110" s="16">
        <v>484.2089</v>
      </c>
      <c r="X110" s="16">
        <v>412.6949</v>
      </c>
      <c r="Y110" s="16">
        <v>350.5205</v>
      </c>
      <c r="Z110" s="26" t="s">
        <v>33</v>
      </c>
      <c r="AA110" s="25">
        <f t="shared" si="2"/>
        <v>341.3358</v>
      </c>
      <c r="AB110" s="25">
        <f t="shared" si="3"/>
        <v>494.090479166667</v>
      </c>
    </row>
    <row r="111" spans="1:28">
      <c r="A111" s="8">
        <v>45401</v>
      </c>
      <c r="B111" s="16">
        <v>389.3096</v>
      </c>
      <c r="C111" s="16">
        <v>386.9145</v>
      </c>
      <c r="D111" s="16">
        <v>364.4304</v>
      </c>
      <c r="E111" s="16">
        <v>347.6167</v>
      </c>
      <c r="F111" s="16">
        <v>331.3233</v>
      </c>
      <c r="G111" s="16">
        <v>326.7758</v>
      </c>
      <c r="H111" s="16">
        <v>343.1314</v>
      </c>
      <c r="I111" s="16">
        <v>349.3035</v>
      </c>
      <c r="J111" s="16">
        <v>410.1271</v>
      </c>
      <c r="K111" s="16">
        <v>459.1673</v>
      </c>
      <c r="L111" s="16">
        <v>442.4994</v>
      </c>
      <c r="M111" s="16">
        <v>463.9108</v>
      </c>
      <c r="N111" s="16">
        <v>365.1831</v>
      </c>
      <c r="O111" s="16">
        <v>433.1826</v>
      </c>
      <c r="P111" s="16">
        <v>520.0431</v>
      </c>
      <c r="Q111" s="16">
        <v>444.8351</v>
      </c>
      <c r="R111" s="16">
        <v>406.0095</v>
      </c>
      <c r="S111" s="16">
        <v>394.9031</v>
      </c>
      <c r="T111" s="16">
        <v>374.2398</v>
      </c>
      <c r="U111" s="16">
        <v>384.3384</v>
      </c>
      <c r="V111" s="16">
        <v>435.7612</v>
      </c>
      <c r="W111" s="16">
        <v>470.4645</v>
      </c>
      <c r="X111" s="16">
        <v>392.9309</v>
      </c>
      <c r="Y111" s="16">
        <v>353.7404</v>
      </c>
      <c r="Z111" s="26" t="s">
        <v>34</v>
      </c>
      <c r="AA111" s="25">
        <f t="shared" si="2"/>
        <v>326.7758</v>
      </c>
      <c r="AB111" s="25">
        <f t="shared" si="3"/>
        <v>399.589229166667</v>
      </c>
    </row>
    <row r="112" spans="1:28">
      <c r="A112" s="8">
        <v>45402</v>
      </c>
      <c r="B112" s="16">
        <v>368.6561</v>
      </c>
      <c r="C112" s="16">
        <v>374.7243</v>
      </c>
      <c r="D112" s="16">
        <v>361.4881</v>
      </c>
      <c r="E112" s="16">
        <v>346.2994</v>
      </c>
      <c r="F112" s="16">
        <v>334.8206</v>
      </c>
      <c r="G112" s="16">
        <v>332.7947</v>
      </c>
      <c r="H112" s="16">
        <v>346.0305</v>
      </c>
      <c r="I112" s="16">
        <v>343.2141</v>
      </c>
      <c r="J112" s="16">
        <v>375.3962</v>
      </c>
      <c r="K112" s="16">
        <v>405.6006</v>
      </c>
      <c r="L112" s="16">
        <v>434.3504</v>
      </c>
      <c r="M112" s="16">
        <v>431.0272</v>
      </c>
      <c r="N112" s="16">
        <v>359.1417</v>
      </c>
      <c r="O112" s="16">
        <v>376.2479</v>
      </c>
      <c r="P112" s="16">
        <v>383.2021</v>
      </c>
      <c r="Q112" s="16">
        <v>396.4045</v>
      </c>
      <c r="R112" s="16">
        <v>375.6576</v>
      </c>
      <c r="S112" s="16">
        <v>373.4641</v>
      </c>
      <c r="T112" s="16">
        <v>363.7881</v>
      </c>
      <c r="U112" s="16">
        <v>383.7123</v>
      </c>
      <c r="V112" s="16">
        <v>396.268</v>
      </c>
      <c r="W112" s="16">
        <v>394.7041</v>
      </c>
      <c r="X112" s="16">
        <v>386.1704</v>
      </c>
      <c r="Y112" s="16">
        <v>352.4945</v>
      </c>
      <c r="Z112" s="26" t="s">
        <v>32</v>
      </c>
      <c r="AA112" s="25">
        <f t="shared" si="2"/>
        <v>332.7947</v>
      </c>
      <c r="AB112" s="25">
        <f t="shared" si="3"/>
        <v>374.8190625</v>
      </c>
    </row>
    <row r="113" spans="1:28">
      <c r="A113" s="8">
        <v>45403</v>
      </c>
      <c r="B113" s="16">
        <v>423.6251</v>
      </c>
      <c r="C113" s="16">
        <v>423.611</v>
      </c>
      <c r="D113" s="16">
        <v>388.6591</v>
      </c>
      <c r="E113" s="16">
        <v>371.9531</v>
      </c>
      <c r="F113" s="16">
        <v>361.9905</v>
      </c>
      <c r="G113" s="16">
        <v>362.595</v>
      </c>
      <c r="H113" s="16">
        <v>365.7692</v>
      </c>
      <c r="I113" s="16">
        <v>365.4439</v>
      </c>
      <c r="J113" s="16">
        <v>365.1592</v>
      </c>
      <c r="K113" s="16">
        <v>383.1961</v>
      </c>
      <c r="L113" s="16">
        <v>392.0743</v>
      </c>
      <c r="M113" s="16">
        <v>401.2947</v>
      </c>
      <c r="N113" s="16">
        <v>371.1592</v>
      </c>
      <c r="O113" s="16">
        <v>387.1067</v>
      </c>
      <c r="P113" s="16">
        <v>385.6826</v>
      </c>
      <c r="Q113" s="16">
        <v>385.9182</v>
      </c>
      <c r="R113" s="16">
        <v>400.1581</v>
      </c>
      <c r="S113" s="16">
        <v>402.4438</v>
      </c>
      <c r="T113" s="16">
        <v>371.909</v>
      </c>
      <c r="U113" s="16">
        <v>380.4573</v>
      </c>
      <c r="V113" s="16">
        <v>382.1245</v>
      </c>
      <c r="W113" s="16">
        <v>380.9278</v>
      </c>
      <c r="X113" s="16">
        <v>375.1461</v>
      </c>
      <c r="Y113" s="16">
        <v>353.6127</v>
      </c>
      <c r="Z113" s="26" t="s">
        <v>32</v>
      </c>
      <c r="AA113" s="25">
        <f t="shared" si="2"/>
        <v>353.6127</v>
      </c>
      <c r="AB113" s="25">
        <f t="shared" si="3"/>
        <v>382.58405</v>
      </c>
    </row>
    <row r="114" spans="1:28">
      <c r="A114" s="8">
        <v>45404</v>
      </c>
      <c r="B114" s="16">
        <v>348.5524</v>
      </c>
      <c r="C114" s="16">
        <v>356.2433</v>
      </c>
      <c r="D114" s="16">
        <v>352.5058</v>
      </c>
      <c r="E114" s="16">
        <v>333.75</v>
      </c>
      <c r="F114" s="16">
        <v>323</v>
      </c>
      <c r="G114" s="16">
        <v>330.5</v>
      </c>
      <c r="H114" s="16">
        <v>360.2398</v>
      </c>
      <c r="I114" s="16">
        <v>364.3024</v>
      </c>
      <c r="J114" s="16">
        <v>388.1094</v>
      </c>
      <c r="K114" s="16">
        <v>375.6542</v>
      </c>
      <c r="L114" s="16">
        <v>370.0676</v>
      </c>
      <c r="M114" s="16">
        <v>365.0864</v>
      </c>
      <c r="N114" s="16">
        <v>349.6865</v>
      </c>
      <c r="O114" s="16">
        <v>352.3476</v>
      </c>
      <c r="P114" s="16">
        <v>368.5948</v>
      </c>
      <c r="Q114" s="16">
        <v>370.7756</v>
      </c>
      <c r="R114" s="16">
        <v>371.1811</v>
      </c>
      <c r="S114" s="16">
        <v>371.3608</v>
      </c>
      <c r="T114" s="16">
        <v>368.6373</v>
      </c>
      <c r="U114" s="16">
        <v>375.8907</v>
      </c>
      <c r="V114" s="16">
        <v>378.0182</v>
      </c>
      <c r="W114" s="16">
        <v>379.336</v>
      </c>
      <c r="X114" s="16">
        <v>367.8802</v>
      </c>
      <c r="Y114" s="16">
        <v>334.0035</v>
      </c>
      <c r="Z114" s="26" t="s">
        <v>32</v>
      </c>
      <c r="AA114" s="25">
        <f t="shared" si="2"/>
        <v>323</v>
      </c>
      <c r="AB114" s="25">
        <f t="shared" si="3"/>
        <v>360.65515</v>
      </c>
    </row>
    <row r="115" spans="1:28">
      <c r="A115" s="8">
        <v>45405</v>
      </c>
      <c r="B115" s="16">
        <v>369.5785</v>
      </c>
      <c r="C115" s="16">
        <v>375.2258</v>
      </c>
      <c r="D115" s="16">
        <v>366.4376</v>
      </c>
      <c r="E115" s="16">
        <v>356.7164</v>
      </c>
      <c r="F115" s="16">
        <v>351.9814</v>
      </c>
      <c r="G115" s="16">
        <v>351.5645</v>
      </c>
      <c r="H115" s="16">
        <v>363.2839</v>
      </c>
      <c r="I115" s="16">
        <v>369.6553</v>
      </c>
      <c r="J115" s="16">
        <v>398.7486</v>
      </c>
      <c r="K115" s="16">
        <v>435.1569</v>
      </c>
      <c r="L115" s="16">
        <v>391.4257</v>
      </c>
      <c r="M115" s="16">
        <v>376.3046</v>
      </c>
      <c r="N115" s="16">
        <v>367.8581</v>
      </c>
      <c r="O115" s="16">
        <v>388.1498</v>
      </c>
      <c r="P115" s="16">
        <v>433.5835</v>
      </c>
      <c r="Q115" s="16">
        <v>412.079</v>
      </c>
      <c r="R115" s="16">
        <v>393.9845</v>
      </c>
      <c r="S115" s="16">
        <v>394.578</v>
      </c>
      <c r="T115" s="16">
        <v>397.2093</v>
      </c>
      <c r="U115" s="16">
        <v>394.8816</v>
      </c>
      <c r="V115" s="16">
        <v>391.6836</v>
      </c>
      <c r="W115" s="16">
        <v>393.8346</v>
      </c>
      <c r="X115" s="16">
        <v>364.0192</v>
      </c>
      <c r="Y115" s="16">
        <v>328.083</v>
      </c>
      <c r="Z115" s="26" t="s">
        <v>32</v>
      </c>
      <c r="AA115" s="25">
        <f t="shared" si="2"/>
        <v>328.083</v>
      </c>
      <c r="AB115" s="25">
        <f t="shared" si="3"/>
        <v>381.917641666667</v>
      </c>
    </row>
    <row r="116" spans="1:28">
      <c r="A116" s="8">
        <v>45406</v>
      </c>
      <c r="B116" s="16">
        <v>356.3367</v>
      </c>
      <c r="C116" s="16">
        <v>368.5236</v>
      </c>
      <c r="D116" s="16">
        <v>353.7454</v>
      </c>
      <c r="E116" s="16">
        <v>345.7454</v>
      </c>
      <c r="F116" s="16">
        <v>337.8097</v>
      </c>
      <c r="G116" s="16">
        <v>339.3967</v>
      </c>
      <c r="H116" s="16">
        <v>360.2167</v>
      </c>
      <c r="I116" s="16">
        <v>367.6051</v>
      </c>
      <c r="J116" s="16">
        <v>410.739</v>
      </c>
      <c r="K116" s="16">
        <v>409.4258</v>
      </c>
      <c r="L116" s="16">
        <v>391.4126</v>
      </c>
      <c r="M116" s="16">
        <v>373.9576</v>
      </c>
      <c r="N116" s="16">
        <v>354.0496</v>
      </c>
      <c r="O116" s="16">
        <v>358.301</v>
      </c>
      <c r="P116" s="16">
        <v>373.778</v>
      </c>
      <c r="Q116" s="16">
        <v>380.0695</v>
      </c>
      <c r="R116" s="16">
        <v>387.1705</v>
      </c>
      <c r="S116" s="16">
        <v>391.8839</v>
      </c>
      <c r="T116" s="16">
        <v>385.5429</v>
      </c>
      <c r="U116" s="16">
        <v>386.1353</v>
      </c>
      <c r="V116" s="16">
        <v>384.3795</v>
      </c>
      <c r="W116" s="16">
        <v>381.9472</v>
      </c>
      <c r="X116" s="16">
        <v>365.41</v>
      </c>
      <c r="Y116" s="16">
        <v>327.8564</v>
      </c>
      <c r="Z116" s="26" t="s">
        <v>32</v>
      </c>
      <c r="AA116" s="25">
        <f t="shared" si="2"/>
        <v>327.8564</v>
      </c>
      <c r="AB116" s="25">
        <f t="shared" si="3"/>
        <v>370.4765875</v>
      </c>
    </row>
    <row r="117" spans="1:28">
      <c r="A117" s="8">
        <v>45407</v>
      </c>
      <c r="B117" s="16">
        <v>354.4594</v>
      </c>
      <c r="C117" s="16">
        <v>357.8058</v>
      </c>
      <c r="D117" s="16">
        <v>342.2632</v>
      </c>
      <c r="E117" s="16">
        <v>331.6346</v>
      </c>
      <c r="F117" s="16">
        <v>310.3867</v>
      </c>
      <c r="G117" s="16">
        <v>311.4027</v>
      </c>
      <c r="H117" s="16">
        <v>339.1112</v>
      </c>
      <c r="I117" s="16">
        <v>343.2109</v>
      </c>
      <c r="J117" s="16">
        <v>417.5618</v>
      </c>
      <c r="K117" s="16">
        <v>436.4487</v>
      </c>
      <c r="L117" s="16">
        <v>434.8746</v>
      </c>
      <c r="M117" s="16">
        <v>458.9434</v>
      </c>
      <c r="N117" s="16">
        <v>335.7846</v>
      </c>
      <c r="O117" s="16">
        <v>344.6334</v>
      </c>
      <c r="P117" s="16">
        <v>366.503</v>
      </c>
      <c r="Q117" s="16">
        <v>372.0942</v>
      </c>
      <c r="R117" s="16">
        <v>380.4193</v>
      </c>
      <c r="S117" s="16">
        <v>389.6335</v>
      </c>
      <c r="T117" s="16">
        <v>389.662</v>
      </c>
      <c r="U117" s="16">
        <v>388.9281</v>
      </c>
      <c r="V117" s="16">
        <v>385.7549</v>
      </c>
      <c r="W117" s="16">
        <v>396.7967</v>
      </c>
      <c r="X117" s="16">
        <v>374.645</v>
      </c>
      <c r="Y117" s="16">
        <v>334.8587</v>
      </c>
      <c r="Z117" s="26" t="s">
        <v>33</v>
      </c>
      <c r="AA117" s="25">
        <f t="shared" si="2"/>
        <v>310.3867</v>
      </c>
      <c r="AB117" s="25">
        <f t="shared" si="3"/>
        <v>370.74235</v>
      </c>
    </row>
    <row r="118" spans="1:28">
      <c r="A118" s="8">
        <v>45408</v>
      </c>
      <c r="B118" s="28">
        <v>366.71</v>
      </c>
      <c r="C118" s="28">
        <v>370.73</v>
      </c>
      <c r="D118" s="28">
        <v>356.25</v>
      </c>
      <c r="E118" s="28">
        <v>342.44</v>
      </c>
      <c r="F118" s="28">
        <v>336.32</v>
      </c>
      <c r="G118" s="28">
        <v>338.6</v>
      </c>
      <c r="H118" s="28">
        <v>354.3</v>
      </c>
      <c r="I118" s="28">
        <v>357.84</v>
      </c>
      <c r="J118" s="28">
        <v>396.37</v>
      </c>
      <c r="K118" s="28">
        <v>395.1</v>
      </c>
      <c r="L118" s="28">
        <v>379.94</v>
      </c>
      <c r="M118" s="28">
        <v>375.27</v>
      </c>
      <c r="N118" s="28">
        <v>336.92</v>
      </c>
      <c r="O118" s="28">
        <v>357</v>
      </c>
      <c r="P118" s="28">
        <v>374.45</v>
      </c>
      <c r="Q118" s="28">
        <v>380.98</v>
      </c>
      <c r="R118" s="28">
        <v>376.39</v>
      </c>
      <c r="S118" s="28">
        <v>382.6</v>
      </c>
      <c r="T118" s="28">
        <v>385.14</v>
      </c>
      <c r="U118" s="28">
        <v>396.55</v>
      </c>
      <c r="V118" s="28">
        <v>391.55</v>
      </c>
      <c r="W118" s="28">
        <v>393.88</v>
      </c>
      <c r="X118" s="28">
        <v>379.29</v>
      </c>
      <c r="Y118" s="28">
        <v>349.53</v>
      </c>
      <c r="Z118" s="29" t="s">
        <v>32</v>
      </c>
      <c r="AA118" s="25">
        <f t="shared" si="2"/>
        <v>336.32</v>
      </c>
      <c r="AB118" s="25">
        <f t="shared" si="3"/>
        <v>369.75625</v>
      </c>
    </row>
    <row r="119" spans="1:28">
      <c r="A119" s="8">
        <v>45409</v>
      </c>
      <c r="B119" s="16">
        <v>360.6997</v>
      </c>
      <c r="C119" s="16">
        <v>371.8355</v>
      </c>
      <c r="D119" s="16">
        <v>364.0809</v>
      </c>
      <c r="E119" s="16">
        <v>350.7807</v>
      </c>
      <c r="F119" s="16">
        <v>339.1589</v>
      </c>
      <c r="G119" s="16">
        <v>337.5294</v>
      </c>
      <c r="H119" s="16">
        <v>354.5587</v>
      </c>
      <c r="I119" s="16">
        <v>361.6632</v>
      </c>
      <c r="J119" s="16">
        <v>397.9811</v>
      </c>
      <c r="K119" s="16">
        <v>387.6307</v>
      </c>
      <c r="L119" s="16">
        <v>394.4277</v>
      </c>
      <c r="M119" s="16">
        <v>387.6591</v>
      </c>
      <c r="N119" s="16">
        <v>335.9069</v>
      </c>
      <c r="O119" s="16">
        <v>356.6524</v>
      </c>
      <c r="P119" s="16">
        <v>380.9209</v>
      </c>
      <c r="Q119" s="16">
        <v>386.5083</v>
      </c>
      <c r="R119" s="16">
        <v>403.4848</v>
      </c>
      <c r="S119" s="16">
        <v>398.4148</v>
      </c>
      <c r="T119" s="16">
        <v>381.0574</v>
      </c>
      <c r="U119" s="16">
        <v>405.8485</v>
      </c>
      <c r="V119" s="16">
        <v>431.6011</v>
      </c>
      <c r="W119" s="16">
        <v>420.3334</v>
      </c>
      <c r="X119" s="16">
        <v>401.8765</v>
      </c>
      <c r="Y119" s="16">
        <v>346.7081</v>
      </c>
      <c r="Z119" s="26" t="s">
        <v>32</v>
      </c>
      <c r="AA119" s="25">
        <f t="shared" si="2"/>
        <v>335.9069</v>
      </c>
      <c r="AB119" s="25">
        <f t="shared" si="3"/>
        <v>377.388279166667</v>
      </c>
    </row>
    <row r="120" spans="1:28">
      <c r="A120" s="8">
        <v>45410</v>
      </c>
      <c r="B120" s="16">
        <v>376.9859</v>
      </c>
      <c r="C120" s="16">
        <v>382.4216</v>
      </c>
      <c r="D120" s="16">
        <v>364.3454</v>
      </c>
      <c r="E120" s="16">
        <v>353.0918</v>
      </c>
      <c r="F120" s="16">
        <v>343.4798</v>
      </c>
      <c r="G120" s="16">
        <v>340.3677</v>
      </c>
      <c r="H120" s="16">
        <v>357.4344</v>
      </c>
      <c r="I120" s="16">
        <v>358.5431</v>
      </c>
      <c r="J120" s="16">
        <v>426.4848</v>
      </c>
      <c r="K120" s="16">
        <v>423.9379</v>
      </c>
      <c r="L120" s="16">
        <v>443.405</v>
      </c>
      <c r="M120" s="16">
        <v>426.3365</v>
      </c>
      <c r="N120" s="16">
        <v>329.4452</v>
      </c>
      <c r="O120" s="16">
        <v>367.0064</v>
      </c>
      <c r="P120" s="16">
        <v>401.5633</v>
      </c>
      <c r="Q120" s="16">
        <v>404.6794</v>
      </c>
      <c r="R120" s="16">
        <v>398.0052</v>
      </c>
      <c r="S120" s="16">
        <v>389.6388</v>
      </c>
      <c r="T120" s="16">
        <v>379.3063</v>
      </c>
      <c r="U120" s="16">
        <v>384.9139</v>
      </c>
      <c r="V120" s="16">
        <v>383.0624</v>
      </c>
      <c r="W120" s="16">
        <v>385.4064</v>
      </c>
      <c r="X120" s="16">
        <v>375.2342</v>
      </c>
      <c r="Y120" s="16">
        <v>353.3739</v>
      </c>
      <c r="Z120" s="26" t="s">
        <v>32</v>
      </c>
      <c r="AA120" s="25">
        <f t="shared" si="2"/>
        <v>329.4452</v>
      </c>
      <c r="AB120" s="25">
        <f t="shared" si="3"/>
        <v>381.186220833333</v>
      </c>
    </row>
    <row r="121" spans="1:28">
      <c r="A121" s="8">
        <v>45411</v>
      </c>
      <c r="B121" s="16">
        <v>350.8284</v>
      </c>
      <c r="C121" s="16">
        <v>359.2143</v>
      </c>
      <c r="D121" s="16">
        <v>342.7737</v>
      </c>
      <c r="E121" s="16">
        <v>315.8772</v>
      </c>
      <c r="F121" s="16">
        <v>308.4477</v>
      </c>
      <c r="G121" s="16">
        <v>309.9824</v>
      </c>
      <c r="H121" s="16">
        <v>342.8513</v>
      </c>
      <c r="I121" s="16">
        <v>358.8698</v>
      </c>
      <c r="J121" s="16">
        <v>391.6916</v>
      </c>
      <c r="K121" s="16">
        <v>389.2355</v>
      </c>
      <c r="L121" s="16">
        <v>411.0409</v>
      </c>
      <c r="M121" s="16">
        <v>406.824</v>
      </c>
      <c r="N121" s="16">
        <v>339.4628</v>
      </c>
      <c r="O121" s="16">
        <v>373.5126</v>
      </c>
      <c r="P121" s="16">
        <v>397.358</v>
      </c>
      <c r="Q121" s="16">
        <v>435.8814</v>
      </c>
      <c r="R121" s="16">
        <v>459.8407</v>
      </c>
      <c r="S121" s="16">
        <v>417.7129</v>
      </c>
      <c r="T121" s="16">
        <v>382.9896</v>
      </c>
      <c r="U121" s="16">
        <v>405.4291</v>
      </c>
      <c r="V121" s="16">
        <v>403.7751</v>
      </c>
      <c r="W121" s="16">
        <v>422.6189</v>
      </c>
      <c r="X121" s="16">
        <v>413.3703</v>
      </c>
      <c r="Y121" s="16">
        <v>367.668</v>
      </c>
      <c r="Z121" s="26" t="s">
        <v>32</v>
      </c>
      <c r="AA121" s="25">
        <f t="shared" si="2"/>
        <v>308.4477</v>
      </c>
      <c r="AB121" s="25">
        <f t="shared" si="3"/>
        <v>379.469008333333</v>
      </c>
    </row>
    <row r="122" spans="1:28">
      <c r="A122" s="8">
        <v>45412</v>
      </c>
      <c r="B122" s="16">
        <v>402.0751</v>
      </c>
      <c r="C122" s="16">
        <v>384.1726</v>
      </c>
      <c r="D122" s="16">
        <v>370.3321</v>
      </c>
      <c r="E122" s="16">
        <v>355.0275</v>
      </c>
      <c r="F122" s="16">
        <v>338.8861</v>
      </c>
      <c r="G122" s="16">
        <v>338.5945</v>
      </c>
      <c r="H122" s="16">
        <v>359.2394</v>
      </c>
      <c r="I122" s="16">
        <v>368.2267</v>
      </c>
      <c r="J122" s="16">
        <v>387.3388</v>
      </c>
      <c r="K122" s="16">
        <v>394.6669</v>
      </c>
      <c r="L122" s="16">
        <v>391.6293</v>
      </c>
      <c r="M122" s="16">
        <v>390.4248</v>
      </c>
      <c r="N122" s="16">
        <v>353.5177</v>
      </c>
      <c r="O122" s="16">
        <v>359.3383</v>
      </c>
      <c r="P122" s="16">
        <v>373.2443</v>
      </c>
      <c r="Q122" s="16">
        <v>374.3304</v>
      </c>
      <c r="R122" s="16">
        <v>381.5519</v>
      </c>
      <c r="S122" s="16">
        <v>386.6331</v>
      </c>
      <c r="T122" s="16">
        <v>382.34</v>
      </c>
      <c r="U122" s="16">
        <v>385.2289</v>
      </c>
      <c r="V122" s="16">
        <v>390.862</v>
      </c>
      <c r="W122" s="16">
        <v>411.8641</v>
      </c>
      <c r="X122" s="16">
        <v>387.8452</v>
      </c>
      <c r="Y122" s="16">
        <v>363.3467</v>
      </c>
      <c r="Z122" s="24" t="s">
        <v>31</v>
      </c>
      <c r="AA122" s="25">
        <f t="shared" si="2"/>
        <v>338.5945</v>
      </c>
      <c r="AB122" s="25">
        <f t="shared" si="3"/>
        <v>376.27985</v>
      </c>
    </row>
    <row r="123" spans="1:28">
      <c r="A123" s="8">
        <v>45413</v>
      </c>
      <c r="B123" s="16">
        <v>458.7735</v>
      </c>
      <c r="C123" s="16">
        <v>408.0505</v>
      </c>
      <c r="D123" s="16">
        <v>370.6251</v>
      </c>
      <c r="E123" s="16">
        <v>348.5974</v>
      </c>
      <c r="F123" s="16">
        <v>337.92</v>
      </c>
      <c r="G123" s="16">
        <v>319.9823</v>
      </c>
      <c r="H123" s="16">
        <v>332.1253</v>
      </c>
      <c r="I123" s="16">
        <v>314.2515</v>
      </c>
      <c r="J123" s="16">
        <v>268.9039</v>
      </c>
      <c r="K123" s="16">
        <v>124.8394</v>
      </c>
      <c r="L123" s="16">
        <v>170.4343</v>
      </c>
      <c r="M123" s="16">
        <v>223.205</v>
      </c>
      <c r="N123" s="16">
        <v>278.0509</v>
      </c>
      <c r="O123" s="16">
        <v>267.4447</v>
      </c>
      <c r="P123" s="16">
        <v>274.9437</v>
      </c>
      <c r="Q123" s="16">
        <v>283.9106</v>
      </c>
      <c r="R123" s="16">
        <v>279.7673</v>
      </c>
      <c r="S123" s="16">
        <v>278.703</v>
      </c>
      <c r="T123" s="16">
        <v>286.6048</v>
      </c>
      <c r="U123" s="16">
        <v>266.8014</v>
      </c>
      <c r="V123" s="16">
        <v>255.8501</v>
      </c>
      <c r="W123" s="16">
        <v>174.7917</v>
      </c>
      <c r="X123" s="16">
        <v>287.3237</v>
      </c>
      <c r="Y123" s="16">
        <v>141.8877</v>
      </c>
      <c r="Z123" s="24" t="s">
        <v>31</v>
      </c>
      <c r="AA123" s="25">
        <f t="shared" si="2"/>
        <v>124.8394</v>
      </c>
      <c r="AB123" s="25">
        <f t="shared" si="3"/>
        <v>281.407825</v>
      </c>
    </row>
    <row r="124" spans="1:28">
      <c r="A124" s="8">
        <v>45414</v>
      </c>
      <c r="B124" s="16">
        <v>211.5127</v>
      </c>
      <c r="C124" s="16">
        <v>152.914</v>
      </c>
      <c r="D124" s="16">
        <v>154.4544</v>
      </c>
      <c r="E124" s="16">
        <v>59.3842</v>
      </c>
      <c r="F124" s="16">
        <v>0</v>
      </c>
      <c r="G124" s="16">
        <v>0</v>
      </c>
      <c r="H124" s="16">
        <v>23.9896</v>
      </c>
      <c r="I124" s="16">
        <v>44.1731</v>
      </c>
      <c r="J124" s="16">
        <v>128.4201</v>
      </c>
      <c r="K124" s="16">
        <v>33.8063</v>
      </c>
      <c r="L124" s="16">
        <v>38.6363</v>
      </c>
      <c r="M124" s="16">
        <v>221.1973</v>
      </c>
      <c r="N124" s="16">
        <v>0.2689</v>
      </c>
      <c r="O124" s="16">
        <v>162.585</v>
      </c>
      <c r="P124" s="16">
        <v>191.6959</v>
      </c>
      <c r="Q124" s="16">
        <v>243.851</v>
      </c>
      <c r="R124" s="16">
        <v>271.1397</v>
      </c>
      <c r="S124" s="16">
        <v>267.1705</v>
      </c>
      <c r="T124" s="16">
        <v>292.3925</v>
      </c>
      <c r="U124" s="16">
        <v>312.4077</v>
      </c>
      <c r="V124" s="16">
        <v>299.7321</v>
      </c>
      <c r="W124" s="16">
        <v>270.3477</v>
      </c>
      <c r="X124" s="16">
        <v>281.5867</v>
      </c>
      <c r="Y124" s="16">
        <v>100.683</v>
      </c>
      <c r="Z124" s="27" t="s">
        <v>35</v>
      </c>
      <c r="AA124" s="25">
        <f t="shared" si="2"/>
        <v>0</v>
      </c>
      <c r="AB124" s="25">
        <f t="shared" si="3"/>
        <v>156.764529166667</v>
      </c>
    </row>
    <row r="125" spans="1:28">
      <c r="A125" s="8">
        <v>45415</v>
      </c>
      <c r="B125" s="16">
        <v>305.9734</v>
      </c>
      <c r="C125" s="16">
        <v>315.6257</v>
      </c>
      <c r="D125" s="16">
        <v>313.4391</v>
      </c>
      <c r="E125" s="16">
        <v>310.461</v>
      </c>
      <c r="F125" s="16">
        <v>295.5417</v>
      </c>
      <c r="G125" s="16">
        <v>292.3055</v>
      </c>
      <c r="H125" s="16">
        <v>310.8529</v>
      </c>
      <c r="I125" s="16">
        <v>320.5266</v>
      </c>
      <c r="J125" s="16">
        <v>360.123</v>
      </c>
      <c r="K125" s="16">
        <v>353.8022</v>
      </c>
      <c r="L125" s="16">
        <v>352.5621</v>
      </c>
      <c r="M125" s="16">
        <v>355.5818</v>
      </c>
      <c r="N125" s="16">
        <v>330.4017</v>
      </c>
      <c r="O125" s="16">
        <v>348.873</v>
      </c>
      <c r="P125" s="16">
        <v>354.5885</v>
      </c>
      <c r="Q125" s="16">
        <v>346.8064</v>
      </c>
      <c r="R125" s="16">
        <v>347.43</v>
      </c>
      <c r="S125" s="16">
        <v>345.5452</v>
      </c>
      <c r="T125" s="16">
        <v>337.971</v>
      </c>
      <c r="U125" s="16">
        <v>339.2356</v>
      </c>
      <c r="V125" s="16">
        <v>339.8293</v>
      </c>
      <c r="W125" s="16">
        <v>332.0553</v>
      </c>
      <c r="X125" s="16">
        <v>321.0514</v>
      </c>
      <c r="Y125" s="16">
        <v>303.4974</v>
      </c>
      <c r="Z125" s="27" t="s">
        <v>35</v>
      </c>
      <c r="AA125" s="25">
        <f t="shared" si="2"/>
        <v>292.3055</v>
      </c>
      <c r="AB125" s="25">
        <f t="shared" si="3"/>
        <v>330.586658333333</v>
      </c>
    </row>
    <row r="126" spans="1:28">
      <c r="A126" s="8">
        <v>45416</v>
      </c>
      <c r="B126" s="16">
        <v>338.2208</v>
      </c>
      <c r="C126" s="16">
        <v>340.8236</v>
      </c>
      <c r="D126" s="16">
        <v>332.3175</v>
      </c>
      <c r="E126" s="16">
        <v>326.1748</v>
      </c>
      <c r="F126" s="16">
        <v>317.2384</v>
      </c>
      <c r="G126" s="16">
        <v>317.7206</v>
      </c>
      <c r="H126" s="16">
        <v>330.7865</v>
      </c>
      <c r="I126" s="16">
        <v>336.4091</v>
      </c>
      <c r="J126" s="16">
        <v>363.949</v>
      </c>
      <c r="K126" s="16">
        <v>377.8499</v>
      </c>
      <c r="L126" s="16">
        <v>380.6939</v>
      </c>
      <c r="M126" s="16">
        <v>410.1359</v>
      </c>
      <c r="N126" s="16">
        <v>389.1548</v>
      </c>
      <c r="O126" s="16">
        <v>405.9656</v>
      </c>
      <c r="P126" s="16">
        <v>404.2838</v>
      </c>
      <c r="Q126" s="16">
        <v>385.9558</v>
      </c>
      <c r="R126" s="16">
        <v>437.5203</v>
      </c>
      <c r="S126" s="16">
        <v>423.7184</v>
      </c>
      <c r="T126" s="16">
        <v>379.5374</v>
      </c>
      <c r="U126" s="16">
        <v>442.525</v>
      </c>
      <c r="V126" s="16">
        <v>453.9593</v>
      </c>
      <c r="W126" s="16">
        <v>387.3223</v>
      </c>
      <c r="X126" s="16">
        <v>368.5241</v>
      </c>
      <c r="Y126" s="16">
        <v>350.0921</v>
      </c>
      <c r="Z126" s="27" t="s">
        <v>35</v>
      </c>
      <c r="AA126" s="25">
        <f t="shared" si="2"/>
        <v>317.2384</v>
      </c>
      <c r="AB126" s="25">
        <f t="shared" si="3"/>
        <v>375.036620833333</v>
      </c>
    </row>
    <row r="127" spans="1:28">
      <c r="A127" s="8">
        <v>45417</v>
      </c>
      <c r="B127" s="16">
        <v>369.9226</v>
      </c>
      <c r="C127" s="16">
        <v>375.6279</v>
      </c>
      <c r="D127" s="16">
        <v>369.628</v>
      </c>
      <c r="E127" s="16">
        <v>365.3268</v>
      </c>
      <c r="F127" s="16">
        <v>357.9167</v>
      </c>
      <c r="G127" s="16">
        <v>357.798</v>
      </c>
      <c r="H127" s="16">
        <v>362.6017</v>
      </c>
      <c r="I127" s="16">
        <v>363.8494</v>
      </c>
      <c r="J127" s="16">
        <v>393.1973</v>
      </c>
      <c r="K127" s="16">
        <v>415.1284</v>
      </c>
      <c r="L127" s="16">
        <v>416.428</v>
      </c>
      <c r="M127" s="16">
        <v>456.6238</v>
      </c>
      <c r="N127" s="16">
        <v>378.7891</v>
      </c>
      <c r="O127" s="16">
        <v>396.5978</v>
      </c>
      <c r="P127" s="16">
        <v>392.3528</v>
      </c>
      <c r="Q127" s="16">
        <v>381.9371</v>
      </c>
      <c r="R127" s="16">
        <v>391.2947</v>
      </c>
      <c r="S127" s="16">
        <v>379.654</v>
      </c>
      <c r="T127" s="16">
        <v>375.5712</v>
      </c>
      <c r="U127" s="16">
        <v>383.5094</v>
      </c>
      <c r="V127" s="16">
        <v>387.4167</v>
      </c>
      <c r="W127" s="16">
        <v>384.758</v>
      </c>
      <c r="X127" s="16">
        <v>380.9811</v>
      </c>
      <c r="Y127" s="16">
        <v>360.3699</v>
      </c>
      <c r="Z127" s="26" t="s">
        <v>32</v>
      </c>
      <c r="AA127" s="25">
        <f t="shared" si="2"/>
        <v>357.798</v>
      </c>
      <c r="AB127" s="25">
        <f t="shared" si="3"/>
        <v>383.220016666667</v>
      </c>
    </row>
    <row r="128" spans="1:28">
      <c r="A128" s="8">
        <v>45418</v>
      </c>
      <c r="B128" s="16">
        <v>359.7463</v>
      </c>
      <c r="C128" s="16">
        <v>363.0884</v>
      </c>
      <c r="D128" s="16">
        <v>356.6339</v>
      </c>
      <c r="E128" s="16">
        <v>349.1955</v>
      </c>
      <c r="F128" s="16">
        <v>341.4961</v>
      </c>
      <c r="G128" s="16">
        <v>341.0429</v>
      </c>
      <c r="H128" s="16">
        <v>351.4366</v>
      </c>
      <c r="I128" s="16">
        <v>362.1083</v>
      </c>
      <c r="J128" s="16">
        <v>404.7156</v>
      </c>
      <c r="K128" s="16">
        <v>445.9858</v>
      </c>
      <c r="L128" s="16">
        <v>503.1928</v>
      </c>
      <c r="M128" s="16">
        <v>460.6283</v>
      </c>
      <c r="N128" s="16">
        <v>371.6102</v>
      </c>
      <c r="O128" s="16">
        <v>481.9524</v>
      </c>
      <c r="P128" s="16">
        <v>475.842</v>
      </c>
      <c r="Q128" s="16">
        <v>428.2734</v>
      </c>
      <c r="R128" s="16">
        <v>458.2601</v>
      </c>
      <c r="S128" s="16">
        <v>401.7973</v>
      </c>
      <c r="T128" s="16">
        <v>391.9346</v>
      </c>
      <c r="U128" s="16">
        <v>416.0081</v>
      </c>
      <c r="V128" s="16">
        <v>418.3384</v>
      </c>
      <c r="W128" s="16">
        <v>397.8758</v>
      </c>
      <c r="X128" s="16">
        <v>382.6051</v>
      </c>
      <c r="Y128" s="16">
        <v>363.9479</v>
      </c>
      <c r="Z128" s="26" t="s">
        <v>32</v>
      </c>
      <c r="AA128" s="25">
        <f t="shared" si="2"/>
        <v>341.0429</v>
      </c>
      <c r="AB128" s="25">
        <f t="shared" si="3"/>
        <v>401.154825</v>
      </c>
    </row>
    <row r="129" spans="1:28">
      <c r="A129" s="8">
        <v>45419</v>
      </c>
      <c r="B129" s="16">
        <v>379.508</v>
      </c>
      <c r="C129" s="16">
        <v>375.3147</v>
      </c>
      <c r="D129" s="16">
        <v>367.0253</v>
      </c>
      <c r="E129" s="16">
        <v>361.6021</v>
      </c>
      <c r="F129" s="16">
        <v>353.9069</v>
      </c>
      <c r="G129" s="16">
        <v>353.8796</v>
      </c>
      <c r="H129" s="16">
        <v>362.1681</v>
      </c>
      <c r="I129" s="16">
        <v>370.0765</v>
      </c>
      <c r="J129" s="16">
        <v>398.8721</v>
      </c>
      <c r="K129" s="16">
        <v>408.4529</v>
      </c>
      <c r="L129" s="16">
        <v>403.8347</v>
      </c>
      <c r="M129" s="16">
        <v>394.2323</v>
      </c>
      <c r="N129" s="16">
        <v>370.4192</v>
      </c>
      <c r="O129" s="16">
        <v>395.9597</v>
      </c>
      <c r="P129" s="16">
        <v>456.3318</v>
      </c>
      <c r="Q129" s="16">
        <v>420.9958</v>
      </c>
      <c r="R129" s="16">
        <v>419.0742</v>
      </c>
      <c r="S129" s="16">
        <v>404.0934</v>
      </c>
      <c r="T129" s="16">
        <v>399.9276</v>
      </c>
      <c r="U129" s="16">
        <v>407.3584</v>
      </c>
      <c r="V129" s="16">
        <v>412.1932</v>
      </c>
      <c r="W129" s="16">
        <v>393.3535</v>
      </c>
      <c r="X129" s="16">
        <v>381.6744</v>
      </c>
      <c r="Y129" s="16">
        <v>370.7248</v>
      </c>
      <c r="Z129" s="26" t="s">
        <v>32</v>
      </c>
      <c r="AA129" s="25">
        <f t="shared" si="2"/>
        <v>353.8796</v>
      </c>
      <c r="AB129" s="25">
        <f t="shared" si="3"/>
        <v>390.0408</v>
      </c>
    </row>
    <row r="130" spans="1:28">
      <c r="A130" s="8">
        <v>45420</v>
      </c>
      <c r="B130" s="16">
        <v>369.8173</v>
      </c>
      <c r="C130" s="16">
        <v>370.0097</v>
      </c>
      <c r="D130" s="16">
        <v>364.1765</v>
      </c>
      <c r="E130" s="16">
        <v>357.0637</v>
      </c>
      <c r="F130" s="16">
        <v>349.689</v>
      </c>
      <c r="G130" s="16">
        <v>348.2066</v>
      </c>
      <c r="H130" s="16">
        <v>355.117</v>
      </c>
      <c r="I130" s="16">
        <v>362.0388</v>
      </c>
      <c r="J130" s="16">
        <v>388.0585</v>
      </c>
      <c r="K130" s="16">
        <v>393.6728</v>
      </c>
      <c r="L130" s="16">
        <v>391.1891</v>
      </c>
      <c r="M130" s="16">
        <v>376.7416</v>
      </c>
      <c r="N130" s="16">
        <v>361.5224</v>
      </c>
      <c r="O130" s="16">
        <v>376.1228</v>
      </c>
      <c r="P130" s="16">
        <v>392.185</v>
      </c>
      <c r="Q130" s="16">
        <v>388.9041</v>
      </c>
      <c r="R130" s="16">
        <v>389.1834</v>
      </c>
      <c r="S130" s="16">
        <v>384.0746</v>
      </c>
      <c r="T130" s="16">
        <v>376.6348</v>
      </c>
      <c r="U130" s="16">
        <v>383.7367</v>
      </c>
      <c r="V130" s="16">
        <v>384.7043</v>
      </c>
      <c r="W130" s="16">
        <v>372.5241</v>
      </c>
      <c r="X130" s="16">
        <v>353.2295</v>
      </c>
      <c r="Y130" s="16">
        <v>335.0198</v>
      </c>
      <c r="Z130" s="26" t="s">
        <v>32</v>
      </c>
      <c r="AA130" s="25">
        <f t="shared" ref="AA130:AA193" si="4">MIN($B130:$Y130)</f>
        <v>335.0198</v>
      </c>
      <c r="AB130" s="25">
        <f t="shared" ref="AB130:AB193" si="5">AVERAGE($B130:$Y130)</f>
        <v>371.8175875</v>
      </c>
    </row>
    <row r="131" spans="1:28">
      <c r="A131" s="8">
        <v>45421</v>
      </c>
      <c r="B131" s="16">
        <v>349.7088</v>
      </c>
      <c r="C131" s="16">
        <v>347.3145</v>
      </c>
      <c r="D131" s="16">
        <v>338.6731</v>
      </c>
      <c r="E131" s="16">
        <v>329.5429</v>
      </c>
      <c r="F131" s="16">
        <v>321.3042</v>
      </c>
      <c r="G131" s="16">
        <v>320.8406</v>
      </c>
      <c r="H131" s="16">
        <v>337.0263</v>
      </c>
      <c r="I131" s="16">
        <v>337.1936</v>
      </c>
      <c r="J131" s="16">
        <v>353.4674</v>
      </c>
      <c r="K131" s="16">
        <v>356.1924</v>
      </c>
      <c r="L131" s="16">
        <v>357.8701</v>
      </c>
      <c r="M131" s="16">
        <v>351.5039</v>
      </c>
      <c r="N131" s="16">
        <v>325.0972</v>
      </c>
      <c r="O131" s="16">
        <v>345.0966</v>
      </c>
      <c r="P131" s="16">
        <v>367.2732</v>
      </c>
      <c r="Q131" s="16">
        <v>373.0366</v>
      </c>
      <c r="R131" s="16">
        <v>378.2132</v>
      </c>
      <c r="S131" s="16">
        <v>366.4486</v>
      </c>
      <c r="T131" s="16">
        <v>366.1932</v>
      </c>
      <c r="U131" s="16">
        <v>373.9375</v>
      </c>
      <c r="V131" s="16">
        <v>374.7226</v>
      </c>
      <c r="W131" s="16">
        <v>355.9347</v>
      </c>
      <c r="X131" s="16">
        <v>347.1126</v>
      </c>
      <c r="Y131" s="16">
        <v>337.3774</v>
      </c>
      <c r="Z131" s="26" t="s">
        <v>33</v>
      </c>
      <c r="AA131" s="25">
        <f t="shared" si="4"/>
        <v>320.8406</v>
      </c>
      <c r="AB131" s="25">
        <f t="shared" si="5"/>
        <v>350.461716666667</v>
      </c>
    </row>
    <row r="132" spans="1:28">
      <c r="A132" s="8">
        <v>45422</v>
      </c>
      <c r="B132" s="16">
        <v>336.4991</v>
      </c>
      <c r="C132" s="16">
        <v>336.0673</v>
      </c>
      <c r="D132" s="16">
        <v>324.6924</v>
      </c>
      <c r="E132" s="16">
        <v>311.4934</v>
      </c>
      <c r="F132" s="16">
        <v>303.4821</v>
      </c>
      <c r="G132" s="16">
        <v>303.4264</v>
      </c>
      <c r="H132" s="16">
        <v>319.8662</v>
      </c>
      <c r="I132" s="16">
        <v>323.5071</v>
      </c>
      <c r="J132" s="16">
        <v>350.1068</v>
      </c>
      <c r="K132" s="16">
        <v>354.788</v>
      </c>
      <c r="L132" s="16">
        <v>354.1237</v>
      </c>
      <c r="M132" s="16">
        <v>353.6449</v>
      </c>
      <c r="N132" s="16">
        <v>332.9889</v>
      </c>
      <c r="O132" s="16">
        <v>351.2889</v>
      </c>
      <c r="P132" s="16">
        <v>359.7723</v>
      </c>
      <c r="Q132" s="16">
        <v>364.5745</v>
      </c>
      <c r="R132" s="16">
        <v>372.3305</v>
      </c>
      <c r="S132" s="16">
        <v>361.6497</v>
      </c>
      <c r="T132" s="16">
        <v>356.3548</v>
      </c>
      <c r="U132" s="16">
        <v>365.1222</v>
      </c>
      <c r="V132" s="16">
        <v>365.4636</v>
      </c>
      <c r="W132" s="16">
        <v>351.1348</v>
      </c>
      <c r="X132" s="16">
        <v>342.2608</v>
      </c>
      <c r="Y132" s="16">
        <v>333.0677</v>
      </c>
      <c r="Z132" s="26" t="s">
        <v>34</v>
      </c>
      <c r="AA132" s="25">
        <f t="shared" si="4"/>
        <v>303.4264</v>
      </c>
      <c r="AB132" s="25">
        <f t="shared" si="5"/>
        <v>342.8210875</v>
      </c>
    </row>
    <row r="133" spans="1:28">
      <c r="A133" s="8">
        <v>45423</v>
      </c>
      <c r="B133" s="16">
        <v>342.8178</v>
      </c>
      <c r="C133" s="16">
        <v>349.7031</v>
      </c>
      <c r="D133" s="16">
        <v>337.7256</v>
      </c>
      <c r="E133" s="16">
        <v>326.5639</v>
      </c>
      <c r="F133" s="16">
        <v>319.2416</v>
      </c>
      <c r="G133" s="16">
        <v>318.0458</v>
      </c>
      <c r="H133" s="16">
        <v>340.5</v>
      </c>
      <c r="I133" s="16">
        <v>341</v>
      </c>
      <c r="J133" s="16">
        <v>357.3979</v>
      </c>
      <c r="K133" s="16">
        <v>359.2533</v>
      </c>
      <c r="L133" s="16">
        <v>360.1322</v>
      </c>
      <c r="M133" s="16">
        <v>364.5171</v>
      </c>
      <c r="N133" s="16">
        <v>347.6522</v>
      </c>
      <c r="O133" s="16">
        <v>366.1316</v>
      </c>
      <c r="P133" s="16">
        <v>377.436</v>
      </c>
      <c r="Q133" s="16">
        <v>373.6755</v>
      </c>
      <c r="R133" s="16">
        <v>371.924</v>
      </c>
      <c r="S133" s="16">
        <v>361.7983</v>
      </c>
      <c r="T133" s="16">
        <v>358.8137</v>
      </c>
      <c r="U133" s="16">
        <v>372.0537</v>
      </c>
      <c r="V133" s="16">
        <v>375.2525</v>
      </c>
      <c r="W133" s="16">
        <v>372.139</v>
      </c>
      <c r="X133" s="16">
        <v>364.3269</v>
      </c>
      <c r="Y133" s="16">
        <v>352.8409</v>
      </c>
      <c r="Z133" s="26" t="s">
        <v>32</v>
      </c>
      <c r="AA133" s="25">
        <f t="shared" si="4"/>
        <v>318.0458</v>
      </c>
      <c r="AB133" s="25">
        <f t="shared" si="5"/>
        <v>354.622608333333</v>
      </c>
    </row>
    <row r="134" spans="1:28">
      <c r="A134" s="8">
        <v>45424</v>
      </c>
      <c r="B134" s="16">
        <v>367.183</v>
      </c>
      <c r="C134" s="16">
        <v>374.108</v>
      </c>
      <c r="D134" s="16">
        <v>366.7295</v>
      </c>
      <c r="E134" s="16">
        <v>351.2179</v>
      </c>
      <c r="F134" s="16">
        <v>346.0487</v>
      </c>
      <c r="G134" s="16">
        <v>340</v>
      </c>
      <c r="H134" s="16">
        <v>346.5992</v>
      </c>
      <c r="I134" s="16">
        <v>344.2694</v>
      </c>
      <c r="J134" s="16">
        <v>347.4216</v>
      </c>
      <c r="K134" s="16">
        <v>340.9034</v>
      </c>
      <c r="L134" s="16">
        <v>340.3706</v>
      </c>
      <c r="M134" s="16">
        <v>345.9095</v>
      </c>
      <c r="N134" s="16">
        <v>347.4782</v>
      </c>
      <c r="O134" s="16">
        <v>354.671</v>
      </c>
      <c r="P134" s="16">
        <v>361.5533</v>
      </c>
      <c r="Q134" s="16">
        <v>352.148</v>
      </c>
      <c r="R134" s="16">
        <v>352.0224</v>
      </c>
      <c r="S134" s="16">
        <v>354.9364</v>
      </c>
      <c r="T134" s="16">
        <v>347.6738</v>
      </c>
      <c r="U134" s="16">
        <v>348.7057</v>
      </c>
      <c r="V134" s="16">
        <v>355.8433</v>
      </c>
      <c r="W134" s="16">
        <v>358.7806</v>
      </c>
      <c r="X134" s="16">
        <v>357.3814</v>
      </c>
      <c r="Y134" s="16">
        <v>349.9173</v>
      </c>
      <c r="Z134" s="26" t="s">
        <v>32</v>
      </c>
      <c r="AA134" s="25">
        <f t="shared" si="4"/>
        <v>340</v>
      </c>
      <c r="AB134" s="25">
        <f t="shared" si="5"/>
        <v>352.161341666667</v>
      </c>
    </row>
    <row r="135" spans="1:28">
      <c r="A135" s="8">
        <v>45425</v>
      </c>
      <c r="B135" s="16">
        <v>347.949</v>
      </c>
      <c r="C135" s="16">
        <v>350.047</v>
      </c>
      <c r="D135" s="16">
        <v>344.5016</v>
      </c>
      <c r="E135" s="16">
        <v>331.9425</v>
      </c>
      <c r="F135" s="16">
        <v>322.2116</v>
      </c>
      <c r="G135" s="16">
        <v>315.6081</v>
      </c>
      <c r="H135" s="16">
        <v>333.137</v>
      </c>
      <c r="I135" s="16">
        <v>338.8531</v>
      </c>
      <c r="J135" s="16">
        <v>355.0093</v>
      </c>
      <c r="K135" s="16">
        <v>355.1847</v>
      </c>
      <c r="L135" s="16">
        <v>356.3417</v>
      </c>
      <c r="M135" s="16">
        <v>353.9458</v>
      </c>
      <c r="N135" s="16">
        <v>346.3989</v>
      </c>
      <c r="O135" s="16">
        <v>350.258</v>
      </c>
      <c r="P135" s="16">
        <v>362.0628</v>
      </c>
      <c r="Q135" s="16">
        <v>356.5769</v>
      </c>
      <c r="R135" s="16">
        <v>360.2531</v>
      </c>
      <c r="S135" s="16">
        <v>360.1701</v>
      </c>
      <c r="T135" s="16">
        <v>353.671</v>
      </c>
      <c r="U135" s="16">
        <v>366.1574</v>
      </c>
      <c r="V135" s="16">
        <v>369.2484</v>
      </c>
      <c r="W135" s="16">
        <v>353.7192</v>
      </c>
      <c r="X135" s="16">
        <v>346.1873</v>
      </c>
      <c r="Y135" s="16">
        <v>337.5617</v>
      </c>
      <c r="Z135" s="26" t="s">
        <v>32</v>
      </c>
      <c r="AA135" s="25">
        <f t="shared" si="4"/>
        <v>315.6081</v>
      </c>
      <c r="AB135" s="25">
        <f t="shared" si="5"/>
        <v>348.624841666667</v>
      </c>
    </row>
    <row r="136" spans="1:28">
      <c r="A136" s="8">
        <v>45426</v>
      </c>
      <c r="B136" s="16">
        <v>241.7515</v>
      </c>
      <c r="C136" s="16">
        <v>319.492</v>
      </c>
      <c r="D136" s="16">
        <v>315.9018</v>
      </c>
      <c r="E136" s="16">
        <v>289.3988</v>
      </c>
      <c r="F136" s="16">
        <v>45.9285</v>
      </c>
      <c r="G136" s="16">
        <v>45.4668</v>
      </c>
      <c r="H136" s="16">
        <v>310.6712</v>
      </c>
      <c r="I136" s="16">
        <v>312.5024</v>
      </c>
      <c r="J136" s="16">
        <v>329.7948</v>
      </c>
      <c r="K136" s="16">
        <v>334.1443</v>
      </c>
      <c r="L136" s="16">
        <v>325.079</v>
      </c>
      <c r="M136" s="16">
        <v>327.6993</v>
      </c>
      <c r="N136" s="16">
        <v>317.3869</v>
      </c>
      <c r="O136" s="16">
        <v>336.6493</v>
      </c>
      <c r="P136" s="16">
        <v>338.7065</v>
      </c>
      <c r="Q136" s="16">
        <v>333.9301</v>
      </c>
      <c r="R136" s="16">
        <v>336.6069</v>
      </c>
      <c r="S136" s="16">
        <v>344.9254</v>
      </c>
      <c r="T136" s="16">
        <v>339.7411</v>
      </c>
      <c r="U136" s="16">
        <v>353.4985</v>
      </c>
      <c r="V136" s="16">
        <v>351.8897</v>
      </c>
      <c r="W136" s="16">
        <v>345.882</v>
      </c>
      <c r="X136" s="16">
        <v>340.5082</v>
      </c>
      <c r="Y136" s="16">
        <v>331.3783</v>
      </c>
      <c r="Z136" s="26" t="s">
        <v>32</v>
      </c>
      <c r="AA136" s="25">
        <f t="shared" si="4"/>
        <v>45.4668</v>
      </c>
      <c r="AB136" s="25">
        <f t="shared" si="5"/>
        <v>302.872220833333</v>
      </c>
    </row>
    <row r="137" spans="1:28">
      <c r="A137" s="8">
        <v>45427</v>
      </c>
      <c r="B137" s="16">
        <v>331.25</v>
      </c>
      <c r="C137" s="16">
        <v>332.5</v>
      </c>
      <c r="D137" s="16">
        <v>326.335</v>
      </c>
      <c r="E137" s="16">
        <v>314.5</v>
      </c>
      <c r="F137" s="16">
        <v>294.535</v>
      </c>
      <c r="G137" s="16">
        <v>285.735</v>
      </c>
      <c r="H137" s="16">
        <v>318.5</v>
      </c>
      <c r="I137" s="16">
        <v>311.5349</v>
      </c>
      <c r="J137" s="16">
        <v>331.4238</v>
      </c>
      <c r="K137" s="16">
        <v>334.6367</v>
      </c>
      <c r="L137" s="16">
        <v>331.4673</v>
      </c>
      <c r="M137" s="16">
        <v>333.5771</v>
      </c>
      <c r="N137" s="16">
        <v>315.1563</v>
      </c>
      <c r="O137" s="16">
        <v>326.3407</v>
      </c>
      <c r="P137" s="16">
        <v>326.7555</v>
      </c>
      <c r="Q137" s="16">
        <v>329.3348</v>
      </c>
      <c r="R137" s="16">
        <v>338.9552</v>
      </c>
      <c r="S137" s="16">
        <v>343.434</v>
      </c>
      <c r="T137" s="16">
        <v>336.4987</v>
      </c>
      <c r="U137" s="16">
        <v>371.0941</v>
      </c>
      <c r="V137" s="16">
        <v>348.6977</v>
      </c>
      <c r="W137" s="16">
        <v>343.5846</v>
      </c>
      <c r="X137" s="16">
        <v>341.6476</v>
      </c>
      <c r="Y137" s="16">
        <v>331.4496</v>
      </c>
      <c r="Z137" s="26" t="s">
        <v>32</v>
      </c>
      <c r="AA137" s="25">
        <f t="shared" si="4"/>
        <v>285.735</v>
      </c>
      <c r="AB137" s="25">
        <f t="shared" si="5"/>
        <v>329.12265</v>
      </c>
    </row>
    <row r="138" spans="1:28">
      <c r="A138" s="8">
        <v>45428</v>
      </c>
      <c r="B138" s="16">
        <v>321.0738</v>
      </c>
      <c r="C138" s="16">
        <v>323.5191</v>
      </c>
      <c r="D138" s="16">
        <v>312.0744</v>
      </c>
      <c r="E138" s="16">
        <v>299.7947</v>
      </c>
      <c r="F138" s="16">
        <v>261.9048</v>
      </c>
      <c r="G138" s="16">
        <v>227.6842</v>
      </c>
      <c r="H138" s="16">
        <v>296.57</v>
      </c>
      <c r="I138" s="16">
        <v>295.3622</v>
      </c>
      <c r="J138" s="16">
        <v>304.4325</v>
      </c>
      <c r="K138" s="16">
        <v>308.1829</v>
      </c>
      <c r="L138" s="16">
        <v>302.6868</v>
      </c>
      <c r="M138" s="16">
        <v>249.235</v>
      </c>
      <c r="N138" s="16">
        <v>128.138</v>
      </c>
      <c r="O138" s="16">
        <v>263.67</v>
      </c>
      <c r="P138" s="16">
        <v>310.5125</v>
      </c>
      <c r="Q138" s="16">
        <v>306.0563</v>
      </c>
      <c r="R138" s="16">
        <v>310.1437</v>
      </c>
      <c r="S138" s="16">
        <v>285.0278</v>
      </c>
      <c r="T138" s="16">
        <v>303.3867</v>
      </c>
      <c r="U138" s="16">
        <v>320.8076</v>
      </c>
      <c r="V138" s="16">
        <v>321.654</v>
      </c>
      <c r="W138" s="16">
        <v>319.3132</v>
      </c>
      <c r="X138" s="16">
        <v>317.2239</v>
      </c>
      <c r="Y138" s="16">
        <v>305.4655</v>
      </c>
      <c r="Z138" s="26" t="s">
        <v>33</v>
      </c>
      <c r="AA138" s="25">
        <f t="shared" si="4"/>
        <v>128.138</v>
      </c>
      <c r="AB138" s="25">
        <f t="shared" si="5"/>
        <v>291.413316666667</v>
      </c>
    </row>
    <row r="139" spans="1:28">
      <c r="A139" s="8">
        <v>45429</v>
      </c>
      <c r="B139" s="16">
        <v>321.9474</v>
      </c>
      <c r="C139" s="16">
        <v>328.259</v>
      </c>
      <c r="D139" s="16">
        <v>320.3835</v>
      </c>
      <c r="E139" s="16">
        <v>303.076</v>
      </c>
      <c r="F139" s="16">
        <v>275.4884</v>
      </c>
      <c r="G139" s="16">
        <v>236.34</v>
      </c>
      <c r="H139" s="16">
        <v>305.8778</v>
      </c>
      <c r="I139" s="16">
        <v>300.7075</v>
      </c>
      <c r="J139" s="16">
        <v>319.75</v>
      </c>
      <c r="K139" s="16">
        <v>330.0018</v>
      </c>
      <c r="L139" s="16">
        <v>328.987</v>
      </c>
      <c r="M139" s="16">
        <v>332.6468</v>
      </c>
      <c r="N139" s="16">
        <v>321.667</v>
      </c>
      <c r="O139" s="16">
        <v>335.3847</v>
      </c>
      <c r="P139" s="16">
        <v>340.9766</v>
      </c>
      <c r="Q139" s="16">
        <v>341.366</v>
      </c>
      <c r="R139" s="16">
        <v>343.5428</v>
      </c>
      <c r="S139" s="16">
        <v>340.3222</v>
      </c>
      <c r="T139" s="16">
        <v>330.9857</v>
      </c>
      <c r="U139" s="16">
        <v>345.6857</v>
      </c>
      <c r="V139" s="16">
        <v>342.8466</v>
      </c>
      <c r="W139" s="16">
        <v>344.0316</v>
      </c>
      <c r="X139" s="16">
        <v>340.3578</v>
      </c>
      <c r="Y139" s="16">
        <v>331.3301</v>
      </c>
      <c r="Z139" s="26" t="s">
        <v>34</v>
      </c>
      <c r="AA139" s="25">
        <f t="shared" si="4"/>
        <v>236.34</v>
      </c>
      <c r="AB139" s="25">
        <f t="shared" si="5"/>
        <v>323.415083333333</v>
      </c>
    </row>
    <row r="140" spans="1:28">
      <c r="A140" s="8">
        <v>45430</v>
      </c>
      <c r="B140" s="16">
        <v>334.25</v>
      </c>
      <c r="C140" s="16">
        <v>340</v>
      </c>
      <c r="D140" s="16">
        <v>333.25</v>
      </c>
      <c r="E140" s="16">
        <v>322.03</v>
      </c>
      <c r="F140" s="16">
        <v>314.5</v>
      </c>
      <c r="G140" s="16">
        <v>306.5625</v>
      </c>
      <c r="H140" s="16">
        <v>315.7475</v>
      </c>
      <c r="I140" s="16">
        <v>304.68</v>
      </c>
      <c r="J140" s="16">
        <v>318.03</v>
      </c>
      <c r="K140" s="16">
        <v>325</v>
      </c>
      <c r="L140" s="16">
        <v>325.1925</v>
      </c>
      <c r="M140" s="16">
        <v>321.0354</v>
      </c>
      <c r="N140" s="16">
        <v>318.25</v>
      </c>
      <c r="O140" s="16">
        <v>325.7525</v>
      </c>
      <c r="P140" s="16">
        <v>337.5</v>
      </c>
      <c r="Q140" s="16">
        <v>333.335</v>
      </c>
      <c r="R140" s="16">
        <v>331.2522</v>
      </c>
      <c r="S140" s="16">
        <v>324.8137</v>
      </c>
      <c r="T140" s="16">
        <v>312.9567</v>
      </c>
      <c r="U140" s="16">
        <v>326.2294</v>
      </c>
      <c r="V140" s="16">
        <v>325.6167</v>
      </c>
      <c r="W140" s="16">
        <v>327.7469</v>
      </c>
      <c r="X140" s="16">
        <v>324.1925</v>
      </c>
      <c r="Y140" s="16">
        <v>315.59</v>
      </c>
      <c r="Z140" s="26" t="s">
        <v>32</v>
      </c>
      <c r="AA140" s="25">
        <f t="shared" si="4"/>
        <v>304.68</v>
      </c>
      <c r="AB140" s="25">
        <f t="shared" si="5"/>
        <v>323.479729166667</v>
      </c>
    </row>
    <row r="141" spans="1:28">
      <c r="A141" s="8">
        <v>45431</v>
      </c>
      <c r="B141" s="16">
        <v>342.015</v>
      </c>
      <c r="C141" s="16">
        <v>343</v>
      </c>
      <c r="D141" s="16">
        <v>341.875</v>
      </c>
      <c r="E141" s="16">
        <v>324.97</v>
      </c>
      <c r="F141" s="16">
        <v>312.9975</v>
      </c>
      <c r="G141" s="16">
        <v>310</v>
      </c>
      <c r="H141" s="16">
        <v>314.31</v>
      </c>
      <c r="I141" s="16">
        <v>310.25</v>
      </c>
      <c r="J141" s="16">
        <v>299.5471</v>
      </c>
      <c r="K141" s="16">
        <v>298.5344</v>
      </c>
      <c r="L141" s="16">
        <v>299.6144</v>
      </c>
      <c r="M141" s="16">
        <v>303.2985</v>
      </c>
      <c r="N141" s="16">
        <v>311.9339</v>
      </c>
      <c r="O141" s="16">
        <v>318.75</v>
      </c>
      <c r="P141" s="16">
        <v>315.181</v>
      </c>
      <c r="Q141" s="16">
        <v>309.2592</v>
      </c>
      <c r="R141" s="16">
        <v>302.3804</v>
      </c>
      <c r="S141" s="16">
        <v>303.695</v>
      </c>
      <c r="T141" s="16">
        <v>302.695</v>
      </c>
      <c r="U141" s="16">
        <v>310.6218</v>
      </c>
      <c r="V141" s="16">
        <v>311.2636</v>
      </c>
      <c r="W141" s="16">
        <v>313.7576</v>
      </c>
      <c r="X141" s="16">
        <v>315</v>
      </c>
      <c r="Y141" s="16">
        <v>302.71</v>
      </c>
      <c r="Z141" s="26" t="s">
        <v>32</v>
      </c>
      <c r="AA141" s="25">
        <f t="shared" si="4"/>
        <v>298.5344</v>
      </c>
      <c r="AB141" s="25">
        <f t="shared" si="5"/>
        <v>313.235808333333</v>
      </c>
    </row>
    <row r="142" spans="1:28">
      <c r="A142" s="8">
        <v>45432</v>
      </c>
      <c r="B142" s="16">
        <v>224.5517</v>
      </c>
      <c r="C142" s="16">
        <v>292.4246</v>
      </c>
      <c r="D142" s="16">
        <v>292.133</v>
      </c>
      <c r="E142" s="16">
        <v>68.2081</v>
      </c>
      <c r="F142" s="16">
        <v>0</v>
      </c>
      <c r="G142" s="16">
        <v>0</v>
      </c>
      <c r="H142" s="16">
        <v>219.9102</v>
      </c>
      <c r="I142" s="16">
        <v>294.625</v>
      </c>
      <c r="J142" s="16">
        <v>317.9099</v>
      </c>
      <c r="K142" s="16">
        <v>332.8857</v>
      </c>
      <c r="L142" s="16">
        <v>333.3439</v>
      </c>
      <c r="M142" s="16">
        <v>336.3315</v>
      </c>
      <c r="N142" s="16">
        <v>314.2274</v>
      </c>
      <c r="O142" s="16">
        <v>322.2617</v>
      </c>
      <c r="P142" s="16">
        <v>336.351</v>
      </c>
      <c r="Q142" s="16">
        <v>338.7981</v>
      </c>
      <c r="R142" s="16">
        <v>343.9057</v>
      </c>
      <c r="S142" s="16">
        <v>340.075</v>
      </c>
      <c r="T142" s="16">
        <v>340.0792</v>
      </c>
      <c r="U142" s="16">
        <v>343.7993</v>
      </c>
      <c r="V142" s="16">
        <v>340.828</v>
      </c>
      <c r="W142" s="16">
        <v>334.2354</v>
      </c>
      <c r="X142" s="16">
        <v>318.9228</v>
      </c>
      <c r="Y142" s="16">
        <v>296.797</v>
      </c>
      <c r="Z142" s="26" t="s">
        <v>32</v>
      </c>
      <c r="AA142" s="25">
        <f t="shared" si="4"/>
        <v>0</v>
      </c>
      <c r="AB142" s="25">
        <f t="shared" si="5"/>
        <v>278.441841666667</v>
      </c>
    </row>
    <row r="143" spans="1:28">
      <c r="A143" s="8">
        <v>45433</v>
      </c>
      <c r="B143" s="16">
        <v>299.7372</v>
      </c>
      <c r="C143" s="16">
        <v>302.8261</v>
      </c>
      <c r="D143" s="16">
        <v>298.9332</v>
      </c>
      <c r="E143" s="16">
        <v>282.0135</v>
      </c>
      <c r="F143" s="16">
        <v>46.6235</v>
      </c>
      <c r="G143" s="16">
        <v>54.4305</v>
      </c>
      <c r="H143" s="16">
        <v>289.0284</v>
      </c>
      <c r="I143" s="16">
        <v>295.5134</v>
      </c>
      <c r="J143" s="16">
        <v>319.5808</v>
      </c>
      <c r="K143" s="16">
        <v>340.6638</v>
      </c>
      <c r="L143" s="16">
        <v>341.7198</v>
      </c>
      <c r="M143" s="16">
        <v>332.1694</v>
      </c>
      <c r="N143" s="16">
        <v>300.9279</v>
      </c>
      <c r="O143" s="16">
        <v>308.423</v>
      </c>
      <c r="P143" s="16">
        <v>319.333</v>
      </c>
      <c r="Q143" s="16">
        <v>326.3842</v>
      </c>
      <c r="R143" s="16">
        <v>339.0952</v>
      </c>
      <c r="S143" s="16">
        <v>338.1502</v>
      </c>
      <c r="T143" s="16">
        <v>334.4077</v>
      </c>
      <c r="U143" s="16">
        <v>341.3402</v>
      </c>
      <c r="V143" s="16">
        <v>334.7936</v>
      </c>
      <c r="W143" s="16">
        <v>328.3416</v>
      </c>
      <c r="X143" s="16">
        <v>311.321</v>
      </c>
      <c r="Y143" s="16">
        <v>241.7393</v>
      </c>
      <c r="Z143" s="26" t="s">
        <v>32</v>
      </c>
      <c r="AA143" s="25">
        <f t="shared" si="4"/>
        <v>46.6235</v>
      </c>
      <c r="AB143" s="25">
        <f t="shared" si="5"/>
        <v>292.812354166667</v>
      </c>
    </row>
    <row r="144" spans="1:28">
      <c r="A144" s="8">
        <v>45434</v>
      </c>
      <c r="B144" s="16">
        <v>272.4338</v>
      </c>
      <c r="C144" s="16">
        <v>299.537</v>
      </c>
      <c r="D144" s="16">
        <v>296.7891</v>
      </c>
      <c r="E144" s="16">
        <v>295.3644</v>
      </c>
      <c r="F144" s="16">
        <v>285.6071</v>
      </c>
      <c r="G144" s="16">
        <v>278.7485</v>
      </c>
      <c r="H144" s="16">
        <v>298.4595</v>
      </c>
      <c r="I144" s="16">
        <v>303.8764</v>
      </c>
      <c r="J144" s="16">
        <v>325.6038</v>
      </c>
      <c r="K144" s="16">
        <v>334.616</v>
      </c>
      <c r="L144" s="16">
        <v>333.8472</v>
      </c>
      <c r="M144" s="16">
        <v>329.8301</v>
      </c>
      <c r="N144" s="16">
        <v>309.5783</v>
      </c>
      <c r="O144" s="16">
        <v>318.6452</v>
      </c>
      <c r="P144" s="16">
        <v>331.7791</v>
      </c>
      <c r="Q144" s="16">
        <v>335.1592</v>
      </c>
      <c r="R144" s="16">
        <v>353.0625</v>
      </c>
      <c r="S144" s="16">
        <v>342.6039</v>
      </c>
      <c r="T144" s="16">
        <v>346.2531</v>
      </c>
      <c r="U144" s="16">
        <v>352.0044</v>
      </c>
      <c r="V144" s="16">
        <v>340.6229</v>
      </c>
      <c r="W144" s="16">
        <v>330.5217</v>
      </c>
      <c r="X144" s="16">
        <v>311.7926</v>
      </c>
      <c r="Y144" s="16">
        <v>294.5514</v>
      </c>
      <c r="Z144" s="26" t="s">
        <v>32</v>
      </c>
      <c r="AA144" s="25">
        <f t="shared" si="4"/>
        <v>272.4338</v>
      </c>
      <c r="AB144" s="25">
        <f t="shared" si="5"/>
        <v>317.553633333333</v>
      </c>
    </row>
    <row r="145" spans="1:28">
      <c r="A145" s="8">
        <v>45435</v>
      </c>
      <c r="B145" s="16">
        <v>300.5355</v>
      </c>
      <c r="C145" s="16">
        <v>304.7203</v>
      </c>
      <c r="D145" s="16">
        <v>300.1813</v>
      </c>
      <c r="E145" s="16">
        <v>280.2911</v>
      </c>
      <c r="F145" s="16">
        <v>184.5625</v>
      </c>
      <c r="G145" s="16">
        <v>129.6259</v>
      </c>
      <c r="H145" s="16">
        <v>290.0613</v>
      </c>
      <c r="I145" s="16">
        <v>296.3261</v>
      </c>
      <c r="J145" s="16">
        <v>321.2761</v>
      </c>
      <c r="K145" s="16">
        <v>329.0952</v>
      </c>
      <c r="L145" s="16">
        <v>327.3282</v>
      </c>
      <c r="M145" s="16">
        <v>326.6921</v>
      </c>
      <c r="N145" s="16">
        <v>302.5406</v>
      </c>
      <c r="O145" s="16">
        <v>315.2705</v>
      </c>
      <c r="P145" s="16">
        <v>329.8546</v>
      </c>
      <c r="Q145" s="16">
        <v>324.784</v>
      </c>
      <c r="R145" s="16">
        <v>331.5345</v>
      </c>
      <c r="S145" s="16">
        <v>332.0723</v>
      </c>
      <c r="T145" s="16">
        <v>333.8595</v>
      </c>
      <c r="U145" s="16">
        <v>340.7814</v>
      </c>
      <c r="V145" s="16">
        <v>336.0184</v>
      </c>
      <c r="W145" s="16">
        <v>329.9995</v>
      </c>
      <c r="X145" s="16">
        <v>313.2169</v>
      </c>
      <c r="Y145" s="16">
        <v>288.5515</v>
      </c>
      <c r="Z145" s="26" t="s">
        <v>33</v>
      </c>
      <c r="AA145" s="25">
        <f t="shared" si="4"/>
        <v>129.6259</v>
      </c>
      <c r="AB145" s="25">
        <f t="shared" si="5"/>
        <v>302.882470833333</v>
      </c>
    </row>
    <row r="146" spans="1:28">
      <c r="A146" s="8">
        <v>45436</v>
      </c>
      <c r="B146" s="16">
        <v>316.7568</v>
      </c>
      <c r="C146" s="16">
        <v>318.9892</v>
      </c>
      <c r="D146" s="16">
        <v>308.959</v>
      </c>
      <c r="E146" s="16">
        <v>291.4552</v>
      </c>
      <c r="F146" s="16">
        <v>269.2196</v>
      </c>
      <c r="G146" s="16">
        <v>268.3097</v>
      </c>
      <c r="H146" s="16">
        <v>300.7692</v>
      </c>
      <c r="I146" s="16">
        <v>302.327</v>
      </c>
      <c r="J146" s="16">
        <v>329.8611</v>
      </c>
      <c r="K146" s="16">
        <v>341.6884</v>
      </c>
      <c r="L146" s="16">
        <v>341.1192</v>
      </c>
      <c r="M146" s="16">
        <v>343.3491</v>
      </c>
      <c r="N146" s="16">
        <v>317.2622</v>
      </c>
      <c r="O146" s="16">
        <v>328.2918</v>
      </c>
      <c r="P146" s="16">
        <v>344.0805</v>
      </c>
      <c r="Q146" s="16">
        <v>334.9004</v>
      </c>
      <c r="R146" s="16">
        <v>340.1159</v>
      </c>
      <c r="S146" s="16">
        <v>339.3484</v>
      </c>
      <c r="T146" s="16">
        <v>342.6353</v>
      </c>
      <c r="U146" s="16">
        <v>348.6338</v>
      </c>
      <c r="V146" s="16">
        <v>343.648</v>
      </c>
      <c r="W146" s="16">
        <v>338.0738</v>
      </c>
      <c r="X146" s="16">
        <v>323.3745</v>
      </c>
      <c r="Y146" s="16">
        <v>301.3527</v>
      </c>
      <c r="Z146" s="26" t="s">
        <v>34</v>
      </c>
      <c r="AA146" s="25">
        <f t="shared" si="4"/>
        <v>268.3097</v>
      </c>
      <c r="AB146" s="25">
        <f t="shared" si="5"/>
        <v>322.2717</v>
      </c>
    </row>
    <row r="147" spans="1:28">
      <c r="A147" s="8">
        <v>45437</v>
      </c>
      <c r="B147" s="16">
        <v>307.9315</v>
      </c>
      <c r="C147" s="16">
        <v>314.112</v>
      </c>
      <c r="D147" s="16">
        <v>306.0151</v>
      </c>
      <c r="E147" s="16">
        <v>285.3347</v>
      </c>
      <c r="F147" s="16">
        <v>272.1623</v>
      </c>
      <c r="G147" s="16">
        <v>269.3463</v>
      </c>
      <c r="H147" s="16">
        <v>276.5671</v>
      </c>
      <c r="I147" s="16">
        <v>275.3041</v>
      </c>
      <c r="J147" s="16">
        <v>304.2929</v>
      </c>
      <c r="K147" s="16">
        <v>312.7848</v>
      </c>
      <c r="L147" s="16">
        <v>310.0646</v>
      </c>
      <c r="M147" s="16">
        <v>320.2492</v>
      </c>
      <c r="N147" s="16">
        <v>306.1183</v>
      </c>
      <c r="O147" s="16">
        <v>324.2583</v>
      </c>
      <c r="P147" s="16">
        <v>336.3273</v>
      </c>
      <c r="Q147" s="16">
        <v>327.371</v>
      </c>
      <c r="R147" s="16">
        <v>334.5419</v>
      </c>
      <c r="S147" s="16">
        <v>331.6394</v>
      </c>
      <c r="T147" s="16">
        <v>335.8115</v>
      </c>
      <c r="U147" s="16">
        <v>339.3416</v>
      </c>
      <c r="V147" s="16">
        <v>332.7373</v>
      </c>
      <c r="W147" s="16">
        <v>329.8442</v>
      </c>
      <c r="X147" s="16">
        <v>318.8706</v>
      </c>
      <c r="Y147" s="16">
        <v>303.2122</v>
      </c>
      <c r="Z147" s="26" t="s">
        <v>32</v>
      </c>
      <c r="AA147" s="25">
        <f t="shared" si="4"/>
        <v>269.3463</v>
      </c>
      <c r="AB147" s="25">
        <f t="shared" si="5"/>
        <v>311.426591666667</v>
      </c>
    </row>
    <row r="148" spans="1:28">
      <c r="A148" s="8">
        <v>45438</v>
      </c>
      <c r="B148" s="16">
        <v>315.9636</v>
      </c>
      <c r="C148" s="16">
        <v>312.1106</v>
      </c>
      <c r="D148" s="16">
        <v>306.2775</v>
      </c>
      <c r="E148" s="16">
        <v>290.3425</v>
      </c>
      <c r="F148" s="16">
        <v>269.6071</v>
      </c>
      <c r="G148" s="16">
        <v>262.7329</v>
      </c>
      <c r="H148" s="16">
        <v>273.625</v>
      </c>
      <c r="I148" s="16">
        <v>269.7745</v>
      </c>
      <c r="J148" s="16">
        <v>276.707</v>
      </c>
      <c r="K148" s="16">
        <v>286.3031</v>
      </c>
      <c r="L148" s="16">
        <v>293.0569</v>
      </c>
      <c r="M148" s="16">
        <v>308.8715</v>
      </c>
      <c r="N148" s="16">
        <v>304.9225</v>
      </c>
      <c r="O148" s="16">
        <v>315.7561</v>
      </c>
      <c r="P148" s="16">
        <v>319.406</v>
      </c>
      <c r="Q148" s="16">
        <v>317.6639</v>
      </c>
      <c r="R148" s="16">
        <v>319.5823</v>
      </c>
      <c r="S148" s="16">
        <v>319.443</v>
      </c>
      <c r="T148" s="16">
        <v>317.2661</v>
      </c>
      <c r="U148" s="16">
        <v>320.5075</v>
      </c>
      <c r="V148" s="16">
        <v>319.8094</v>
      </c>
      <c r="W148" s="16">
        <v>320.8429</v>
      </c>
      <c r="X148" s="16">
        <v>316.833</v>
      </c>
      <c r="Y148" s="16">
        <v>305.8551</v>
      </c>
      <c r="Z148" s="26" t="s">
        <v>32</v>
      </c>
      <c r="AA148" s="25">
        <f t="shared" si="4"/>
        <v>262.7329</v>
      </c>
      <c r="AB148" s="25">
        <f t="shared" si="5"/>
        <v>302.635833333333</v>
      </c>
    </row>
    <row r="149" spans="1:28">
      <c r="A149" s="8">
        <v>45439</v>
      </c>
      <c r="B149" s="16">
        <v>213</v>
      </c>
      <c r="C149" s="16">
        <v>278.3725</v>
      </c>
      <c r="D149" s="16">
        <v>275.26</v>
      </c>
      <c r="E149" s="16">
        <v>130.085</v>
      </c>
      <c r="F149" s="16">
        <v>0</v>
      </c>
      <c r="G149" s="16">
        <v>0</v>
      </c>
      <c r="H149" s="16">
        <v>135.785</v>
      </c>
      <c r="I149" s="16">
        <v>266.8022</v>
      </c>
      <c r="J149" s="16">
        <v>317.2159</v>
      </c>
      <c r="K149" s="16">
        <v>336.0315</v>
      </c>
      <c r="L149" s="16">
        <v>330.5077</v>
      </c>
      <c r="M149" s="16">
        <v>332.8547</v>
      </c>
      <c r="N149" s="16">
        <v>311.7244</v>
      </c>
      <c r="O149" s="16">
        <v>322.6255</v>
      </c>
      <c r="P149" s="16">
        <v>331.7659</v>
      </c>
      <c r="Q149" s="16">
        <v>336.8025</v>
      </c>
      <c r="R149" s="16">
        <v>350.3164</v>
      </c>
      <c r="S149" s="16">
        <v>338.2677</v>
      </c>
      <c r="T149" s="16">
        <v>336.2705</v>
      </c>
      <c r="U149" s="16">
        <v>345.1218</v>
      </c>
      <c r="V149" s="16">
        <v>342.2039</v>
      </c>
      <c r="W149" s="16">
        <v>332.117</v>
      </c>
      <c r="X149" s="16">
        <v>322.4049</v>
      </c>
      <c r="Y149" s="16">
        <v>301.0025</v>
      </c>
      <c r="Z149" s="26" t="s">
        <v>32</v>
      </c>
      <c r="AA149" s="25">
        <f t="shared" si="4"/>
        <v>0</v>
      </c>
      <c r="AB149" s="25">
        <f t="shared" si="5"/>
        <v>274.4390625</v>
      </c>
    </row>
    <row r="150" spans="1:28">
      <c r="A150" s="8">
        <v>45440</v>
      </c>
      <c r="B150" s="16">
        <v>316.4269</v>
      </c>
      <c r="C150" s="16">
        <v>310.2476</v>
      </c>
      <c r="D150" s="16">
        <v>305.4225</v>
      </c>
      <c r="E150" s="16">
        <v>285.6681</v>
      </c>
      <c r="F150" s="16">
        <v>263.7312</v>
      </c>
      <c r="G150" s="16">
        <v>244.3929</v>
      </c>
      <c r="H150" s="16">
        <v>282.0517</v>
      </c>
      <c r="I150" s="16">
        <v>290.255</v>
      </c>
      <c r="J150" s="16">
        <v>327.5882</v>
      </c>
      <c r="K150" s="16">
        <v>344.1493</v>
      </c>
      <c r="L150" s="16">
        <v>345.6946</v>
      </c>
      <c r="M150" s="16">
        <v>343.5328</v>
      </c>
      <c r="N150" s="16">
        <v>325.2163</v>
      </c>
      <c r="O150" s="16">
        <v>334.1381</v>
      </c>
      <c r="P150" s="16">
        <v>345.271</v>
      </c>
      <c r="Q150" s="16">
        <v>342.7582</v>
      </c>
      <c r="R150" s="16">
        <v>343.5097</v>
      </c>
      <c r="S150" s="16">
        <v>335.2726</v>
      </c>
      <c r="T150" s="16">
        <v>328.9661</v>
      </c>
      <c r="U150" s="16">
        <v>340.2468</v>
      </c>
      <c r="V150" s="16">
        <v>338.569</v>
      </c>
      <c r="W150" s="16">
        <v>328.6954</v>
      </c>
      <c r="X150" s="16">
        <v>312.4898</v>
      </c>
      <c r="Y150" s="16">
        <v>287.3912</v>
      </c>
      <c r="Z150" s="26" t="s">
        <v>32</v>
      </c>
      <c r="AA150" s="25">
        <f t="shared" si="4"/>
        <v>244.3929</v>
      </c>
      <c r="AB150" s="25">
        <f t="shared" si="5"/>
        <v>317.570208333333</v>
      </c>
    </row>
    <row r="151" spans="1:28">
      <c r="A151" s="8">
        <v>45441</v>
      </c>
      <c r="B151" s="16">
        <v>295.4017</v>
      </c>
      <c r="C151" s="16">
        <v>297.6388</v>
      </c>
      <c r="D151" s="16">
        <v>285.2756</v>
      </c>
      <c r="E151" s="16">
        <v>248.3965</v>
      </c>
      <c r="F151" s="16">
        <v>2.5896</v>
      </c>
      <c r="G151" s="16">
        <v>2.6618</v>
      </c>
      <c r="H151" s="16">
        <v>190.5009</v>
      </c>
      <c r="I151" s="16">
        <v>221.4631</v>
      </c>
      <c r="J151" s="16">
        <v>321.8762</v>
      </c>
      <c r="K151" s="16">
        <v>344.6549</v>
      </c>
      <c r="L151" s="16">
        <v>345.5917</v>
      </c>
      <c r="M151" s="16">
        <v>336.8424</v>
      </c>
      <c r="N151" s="16">
        <v>313.9921</v>
      </c>
      <c r="O151" s="16">
        <v>325.4557</v>
      </c>
      <c r="P151" s="16">
        <v>342.114</v>
      </c>
      <c r="Q151" s="16">
        <v>340.7774</v>
      </c>
      <c r="R151" s="16">
        <v>338.1448</v>
      </c>
      <c r="S151" s="16">
        <v>334.5922</v>
      </c>
      <c r="T151" s="16">
        <v>330.3107</v>
      </c>
      <c r="U151" s="16">
        <v>340.1061</v>
      </c>
      <c r="V151" s="16">
        <v>336.8859</v>
      </c>
      <c r="W151" s="16">
        <v>326.3826</v>
      </c>
      <c r="X151" s="16">
        <v>295.8092</v>
      </c>
      <c r="Y151" s="16">
        <v>122.8316</v>
      </c>
      <c r="Z151" s="26" t="s">
        <v>32</v>
      </c>
      <c r="AA151" s="25">
        <f t="shared" si="4"/>
        <v>2.5896</v>
      </c>
      <c r="AB151" s="25">
        <f t="shared" si="5"/>
        <v>276.678979166667</v>
      </c>
    </row>
    <row r="152" spans="1:28">
      <c r="A152" s="8">
        <v>45442</v>
      </c>
      <c r="B152" s="16">
        <v>213.619</v>
      </c>
      <c r="C152" s="16">
        <v>275.3334</v>
      </c>
      <c r="D152" s="16">
        <v>264.1596</v>
      </c>
      <c r="E152" s="16">
        <v>208.6704</v>
      </c>
      <c r="F152" s="16">
        <v>2.4203</v>
      </c>
      <c r="G152" s="16">
        <v>2.3758</v>
      </c>
      <c r="H152" s="16">
        <v>165.4114</v>
      </c>
      <c r="I152" s="16">
        <v>175.707</v>
      </c>
      <c r="J152" s="16">
        <v>304.7287</v>
      </c>
      <c r="K152" s="16">
        <v>324.1128</v>
      </c>
      <c r="L152" s="16">
        <v>330.3681</v>
      </c>
      <c r="M152" s="16">
        <v>326.3014</v>
      </c>
      <c r="N152" s="16">
        <v>312.2784</v>
      </c>
      <c r="O152" s="16">
        <v>321.2564</v>
      </c>
      <c r="P152" s="16">
        <v>327.6137</v>
      </c>
      <c r="Q152" s="16">
        <v>327.6998</v>
      </c>
      <c r="R152" s="16">
        <v>324.2008</v>
      </c>
      <c r="S152" s="16">
        <v>331.0859</v>
      </c>
      <c r="T152" s="16">
        <v>322.8448</v>
      </c>
      <c r="U152" s="16">
        <v>329.8658</v>
      </c>
      <c r="V152" s="16">
        <v>326.9279</v>
      </c>
      <c r="W152" s="16">
        <v>320.6963</v>
      </c>
      <c r="X152" s="16">
        <v>306.3316</v>
      </c>
      <c r="Y152" s="16">
        <v>204.3405</v>
      </c>
      <c r="Z152" s="24" t="s">
        <v>31</v>
      </c>
      <c r="AA152" s="25">
        <f t="shared" si="4"/>
        <v>2.3758</v>
      </c>
      <c r="AB152" s="25">
        <f t="shared" si="5"/>
        <v>264.514575</v>
      </c>
    </row>
    <row r="153" spans="1:28">
      <c r="A153" s="8">
        <v>45443</v>
      </c>
      <c r="B153" s="16">
        <v>290.6597</v>
      </c>
      <c r="C153" s="16">
        <v>291.3396</v>
      </c>
      <c r="D153" s="16">
        <v>282.5999</v>
      </c>
      <c r="E153" s="16">
        <v>275.7445</v>
      </c>
      <c r="F153" s="16">
        <v>238.6032</v>
      </c>
      <c r="G153" s="16">
        <v>161.8611</v>
      </c>
      <c r="H153" s="16">
        <v>267.5475</v>
      </c>
      <c r="I153" s="16">
        <v>258.2823</v>
      </c>
      <c r="J153" s="16">
        <v>311.2812</v>
      </c>
      <c r="K153" s="16">
        <v>344.2796</v>
      </c>
      <c r="L153" s="16">
        <v>340.1746</v>
      </c>
      <c r="M153" s="16">
        <v>350.0664</v>
      </c>
      <c r="N153" s="16">
        <v>325.3812</v>
      </c>
      <c r="O153" s="16">
        <v>332.0922</v>
      </c>
      <c r="P153" s="16">
        <v>352.5468</v>
      </c>
      <c r="Q153" s="16">
        <v>349.2146</v>
      </c>
      <c r="R153" s="16">
        <v>353.5938</v>
      </c>
      <c r="S153" s="16">
        <v>345.4816</v>
      </c>
      <c r="T153" s="16">
        <v>342.4937</v>
      </c>
      <c r="U153" s="16">
        <v>349.0519</v>
      </c>
      <c r="V153" s="16">
        <v>344.6178</v>
      </c>
      <c r="W153" s="16">
        <v>325.6312</v>
      </c>
      <c r="X153" s="16">
        <v>306.0807</v>
      </c>
      <c r="Y153" s="16">
        <v>291.0361</v>
      </c>
      <c r="Z153" s="27" t="s">
        <v>35</v>
      </c>
      <c r="AA153" s="25">
        <f t="shared" si="4"/>
        <v>161.8611</v>
      </c>
      <c r="AB153" s="25">
        <f t="shared" si="5"/>
        <v>309.569216666667</v>
      </c>
    </row>
    <row r="154" spans="1:28">
      <c r="A154" s="8">
        <v>45444</v>
      </c>
      <c r="B154" s="16">
        <v>308.4527</v>
      </c>
      <c r="C154" s="16">
        <v>311.2747</v>
      </c>
      <c r="D154" s="16">
        <v>303.4953</v>
      </c>
      <c r="E154" s="16">
        <v>292.2525</v>
      </c>
      <c r="F154" s="16">
        <v>265.7075</v>
      </c>
      <c r="G154" s="16">
        <v>263.01</v>
      </c>
      <c r="H154" s="16">
        <v>287.5025</v>
      </c>
      <c r="I154" s="16">
        <v>280.755</v>
      </c>
      <c r="J154" s="16">
        <v>324.3925</v>
      </c>
      <c r="K154" s="16">
        <v>333.1496</v>
      </c>
      <c r="L154" s="16">
        <v>367.0938</v>
      </c>
      <c r="M154" s="16">
        <v>385.1901</v>
      </c>
      <c r="N154" s="16">
        <v>321.8285</v>
      </c>
      <c r="O154" s="16">
        <v>331.7539</v>
      </c>
      <c r="P154" s="16">
        <v>352.5823</v>
      </c>
      <c r="Q154" s="16">
        <v>350.4074</v>
      </c>
      <c r="R154" s="16">
        <v>355.8014</v>
      </c>
      <c r="S154" s="16">
        <v>348.9515</v>
      </c>
      <c r="T154" s="16">
        <v>338.2775</v>
      </c>
      <c r="U154" s="16">
        <v>358.2817</v>
      </c>
      <c r="V154" s="16">
        <v>356.8023</v>
      </c>
      <c r="W154" s="16">
        <v>334.7815</v>
      </c>
      <c r="X154" s="16">
        <v>321.4334</v>
      </c>
      <c r="Y154" s="16">
        <v>306.1345</v>
      </c>
      <c r="Z154" s="27" t="s">
        <v>35</v>
      </c>
      <c r="AA154" s="25">
        <f t="shared" si="4"/>
        <v>263.01</v>
      </c>
      <c r="AB154" s="25">
        <f t="shared" si="5"/>
        <v>324.9713375</v>
      </c>
    </row>
    <row r="155" spans="1:28">
      <c r="A155" s="8">
        <v>45445</v>
      </c>
      <c r="B155" s="16">
        <v>318.3831</v>
      </c>
      <c r="C155" s="16">
        <v>319.0963</v>
      </c>
      <c r="D155" s="16">
        <v>315.3769</v>
      </c>
      <c r="E155" s="16">
        <v>307.4082</v>
      </c>
      <c r="F155" s="16">
        <v>288.5</v>
      </c>
      <c r="G155" s="16">
        <v>278.59</v>
      </c>
      <c r="H155" s="16">
        <v>280.25</v>
      </c>
      <c r="I155" s="16">
        <v>184.3423</v>
      </c>
      <c r="J155" s="16">
        <v>71.0223</v>
      </c>
      <c r="K155" s="16">
        <v>203.2388</v>
      </c>
      <c r="L155" s="16">
        <v>278.3361</v>
      </c>
      <c r="M155" s="16">
        <v>288.7215</v>
      </c>
      <c r="N155" s="16">
        <v>268.1461</v>
      </c>
      <c r="O155" s="16">
        <v>287.3433</v>
      </c>
      <c r="P155" s="16">
        <v>300.4995</v>
      </c>
      <c r="Q155" s="16">
        <v>301.1306</v>
      </c>
      <c r="R155" s="16">
        <v>303.8164</v>
      </c>
      <c r="S155" s="16">
        <v>311.3824</v>
      </c>
      <c r="T155" s="16">
        <v>312.3321</v>
      </c>
      <c r="U155" s="16">
        <v>320.6125</v>
      </c>
      <c r="V155" s="16">
        <v>324.4599</v>
      </c>
      <c r="W155" s="16">
        <v>323.9325</v>
      </c>
      <c r="X155" s="16">
        <v>321.5396</v>
      </c>
      <c r="Y155" s="16">
        <v>306.3168</v>
      </c>
      <c r="Z155" s="26" t="s">
        <v>32</v>
      </c>
      <c r="AA155" s="25">
        <f t="shared" si="4"/>
        <v>71.0223</v>
      </c>
      <c r="AB155" s="25">
        <f t="shared" si="5"/>
        <v>283.94905</v>
      </c>
    </row>
    <row r="156" spans="1:28">
      <c r="A156" s="8">
        <v>45446</v>
      </c>
      <c r="B156" s="16">
        <v>315.1852</v>
      </c>
      <c r="C156" s="16">
        <v>315.1325</v>
      </c>
      <c r="D156" s="16">
        <v>301.75</v>
      </c>
      <c r="E156" s="16">
        <v>281.84</v>
      </c>
      <c r="F156" s="16">
        <v>257.68</v>
      </c>
      <c r="G156" s="16">
        <v>246.195</v>
      </c>
      <c r="H156" s="16">
        <v>293.75</v>
      </c>
      <c r="I156" s="16">
        <v>298.25</v>
      </c>
      <c r="J156" s="16">
        <v>347.9371</v>
      </c>
      <c r="K156" s="16">
        <v>381.4083</v>
      </c>
      <c r="L156" s="16">
        <v>388.0081</v>
      </c>
      <c r="M156" s="16">
        <v>387.018</v>
      </c>
      <c r="N156" s="16">
        <v>322.3899</v>
      </c>
      <c r="O156" s="16">
        <v>338.3567</v>
      </c>
      <c r="P156" s="16">
        <v>362.6493</v>
      </c>
      <c r="Q156" s="16">
        <v>364.434</v>
      </c>
      <c r="R156" s="16">
        <v>363.3826</v>
      </c>
      <c r="S156" s="16">
        <v>356.0042</v>
      </c>
      <c r="T156" s="16">
        <v>334.6203</v>
      </c>
      <c r="U156" s="16">
        <v>355.9745</v>
      </c>
      <c r="V156" s="16">
        <v>351.1249</v>
      </c>
      <c r="W156" s="16">
        <v>339.9532</v>
      </c>
      <c r="X156" s="16">
        <v>325.4755</v>
      </c>
      <c r="Y156" s="16">
        <v>304.0525</v>
      </c>
      <c r="Z156" s="26" t="s">
        <v>32</v>
      </c>
      <c r="AA156" s="25">
        <f t="shared" si="4"/>
        <v>246.195</v>
      </c>
      <c r="AB156" s="25">
        <f t="shared" si="5"/>
        <v>330.523825</v>
      </c>
    </row>
    <row r="157" spans="1:28">
      <c r="A157" s="8">
        <v>45447</v>
      </c>
      <c r="B157" s="16">
        <v>309.0439</v>
      </c>
      <c r="C157" s="16">
        <v>309.0222</v>
      </c>
      <c r="D157" s="16">
        <v>296.9225</v>
      </c>
      <c r="E157" s="16">
        <v>280.1517</v>
      </c>
      <c r="F157" s="16">
        <v>119.195</v>
      </c>
      <c r="G157" s="16">
        <v>130.145</v>
      </c>
      <c r="H157" s="16">
        <v>273.1375</v>
      </c>
      <c r="I157" s="16">
        <v>273.6325</v>
      </c>
      <c r="J157" s="16">
        <v>318.0848</v>
      </c>
      <c r="K157" s="16">
        <v>332.0198</v>
      </c>
      <c r="L157" s="16">
        <v>342.6072</v>
      </c>
      <c r="M157" s="16">
        <v>336.1112</v>
      </c>
      <c r="N157" s="16">
        <v>304.959</v>
      </c>
      <c r="O157" s="16">
        <v>317.6832</v>
      </c>
      <c r="P157" s="16">
        <v>330.0142</v>
      </c>
      <c r="Q157" s="16">
        <v>323.8773</v>
      </c>
      <c r="R157" s="16">
        <v>336.8598</v>
      </c>
      <c r="S157" s="16">
        <v>332.3001</v>
      </c>
      <c r="T157" s="16">
        <v>316.6231</v>
      </c>
      <c r="U157" s="16">
        <v>329.8676</v>
      </c>
      <c r="V157" s="16">
        <v>324.853</v>
      </c>
      <c r="W157" s="16">
        <v>316.2339</v>
      </c>
      <c r="X157" s="16">
        <v>309.0423</v>
      </c>
      <c r="Y157" s="16">
        <v>184.8566</v>
      </c>
      <c r="Z157" s="26" t="s">
        <v>32</v>
      </c>
      <c r="AA157" s="25">
        <f t="shared" si="4"/>
        <v>119.195</v>
      </c>
      <c r="AB157" s="25">
        <f t="shared" si="5"/>
        <v>293.635141666667</v>
      </c>
    </row>
    <row r="158" spans="1:28">
      <c r="A158" s="8">
        <v>45448</v>
      </c>
      <c r="B158" s="16">
        <v>282.53</v>
      </c>
      <c r="C158" s="16">
        <v>303.0325</v>
      </c>
      <c r="D158" s="16">
        <v>288.59</v>
      </c>
      <c r="E158" s="16">
        <v>270.4575</v>
      </c>
      <c r="F158" s="16">
        <v>47.5</v>
      </c>
      <c r="G158" s="16">
        <v>112.5</v>
      </c>
      <c r="H158" s="16">
        <v>272.7425</v>
      </c>
      <c r="I158" s="16">
        <v>279.3606</v>
      </c>
      <c r="J158" s="16">
        <v>324.6604</v>
      </c>
      <c r="K158" s="16">
        <v>359.0294</v>
      </c>
      <c r="L158" s="16">
        <v>412.725</v>
      </c>
      <c r="M158" s="16">
        <v>379.7413</v>
      </c>
      <c r="N158" s="16">
        <v>316.0248</v>
      </c>
      <c r="O158" s="16">
        <v>327.9126</v>
      </c>
      <c r="P158" s="16">
        <v>341.6089</v>
      </c>
      <c r="Q158" s="16">
        <v>347.6074</v>
      </c>
      <c r="R158" s="16">
        <v>404.2772</v>
      </c>
      <c r="S158" s="16">
        <v>370.5821</v>
      </c>
      <c r="T158" s="16">
        <v>326.659</v>
      </c>
      <c r="U158" s="16">
        <v>345.2515</v>
      </c>
      <c r="V158" s="16">
        <v>338.4409</v>
      </c>
      <c r="W158" s="16">
        <v>324.7486</v>
      </c>
      <c r="X158" s="16">
        <v>311.7804</v>
      </c>
      <c r="Y158" s="16">
        <v>207.7194</v>
      </c>
      <c r="Z158" s="26" t="s">
        <v>32</v>
      </c>
      <c r="AA158" s="25">
        <f t="shared" si="4"/>
        <v>47.5</v>
      </c>
      <c r="AB158" s="25">
        <f t="shared" si="5"/>
        <v>303.978416666667</v>
      </c>
    </row>
    <row r="159" spans="1:28">
      <c r="A159" s="8">
        <v>45449</v>
      </c>
      <c r="B159" s="16">
        <v>254.0615</v>
      </c>
      <c r="C159" s="16">
        <v>232.5552</v>
      </c>
      <c r="D159" s="16">
        <v>213.1001</v>
      </c>
      <c r="E159" s="16">
        <v>215.5813</v>
      </c>
      <c r="F159" s="16">
        <v>204.8049</v>
      </c>
      <c r="G159" s="16">
        <v>199.08</v>
      </c>
      <c r="H159" s="16">
        <v>216.8682</v>
      </c>
      <c r="I159" s="16">
        <v>218.9272</v>
      </c>
      <c r="J159" s="16">
        <v>306.6251</v>
      </c>
      <c r="K159" s="16">
        <v>376.6631</v>
      </c>
      <c r="L159" s="16">
        <v>426.8345</v>
      </c>
      <c r="M159" s="16">
        <v>399.169</v>
      </c>
      <c r="N159" s="16">
        <v>309.7131</v>
      </c>
      <c r="O159" s="16">
        <v>318.3411</v>
      </c>
      <c r="P159" s="16">
        <v>329.4936</v>
      </c>
      <c r="Q159" s="16">
        <v>343.8712</v>
      </c>
      <c r="R159" s="16">
        <v>404.4379</v>
      </c>
      <c r="S159" s="16">
        <v>394.9465</v>
      </c>
      <c r="T159" s="16">
        <v>357.4747</v>
      </c>
      <c r="U159" s="16">
        <v>380.1764</v>
      </c>
      <c r="V159" s="16">
        <v>388.4024</v>
      </c>
      <c r="W159" s="16">
        <v>339.6052</v>
      </c>
      <c r="X159" s="16">
        <v>308.8165</v>
      </c>
      <c r="Y159" s="16">
        <v>259.2186</v>
      </c>
      <c r="Z159" s="26" t="s">
        <v>33</v>
      </c>
      <c r="AA159" s="25">
        <f t="shared" si="4"/>
        <v>199.08</v>
      </c>
      <c r="AB159" s="25">
        <f t="shared" si="5"/>
        <v>308.281970833333</v>
      </c>
    </row>
    <row r="160" spans="1:28">
      <c r="A160" s="8">
        <v>45450</v>
      </c>
      <c r="B160" s="16">
        <v>275.9751</v>
      </c>
      <c r="C160" s="16">
        <v>274.2265</v>
      </c>
      <c r="D160" s="16">
        <v>268.2983</v>
      </c>
      <c r="E160" s="16">
        <v>264.8461</v>
      </c>
      <c r="F160" s="16">
        <v>261.6686</v>
      </c>
      <c r="G160" s="16">
        <v>260.9617</v>
      </c>
      <c r="H160" s="16">
        <v>268.8384</v>
      </c>
      <c r="I160" s="16">
        <v>269.438</v>
      </c>
      <c r="J160" s="16">
        <v>326.6909</v>
      </c>
      <c r="K160" s="16">
        <v>323.4856</v>
      </c>
      <c r="L160" s="16">
        <v>326.1136</v>
      </c>
      <c r="M160" s="16">
        <v>332.3485</v>
      </c>
      <c r="N160" s="16">
        <v>284.8765</v>
      </c>
      <c r="O160" s="16">
        <v>300.1791</v>
      </c>
      <c r="P160" s="16">
        <v>320.0985</v>
      </c>
      <c r="Q160" s="16">
        <v>329.2005</v>
      </c>
      <c r="R160" s="16">
        <v>353.2515</v>
      </c>
      <c r="S160" s="16">
        <v>359.6119</v>
      </c>
      <c r="T160" s="16">
        <v>349.3823</v>
      </c>
      <c r="U160" s="16">
        <v>374.3057</v>
      </c>
      <c r="V160" s="16">
        <v>354.5057</v>
      </c>
      <c r="W160" s="16">
        <v>339.7244</v>
      </c>
      <c r="X160" s="16">
        <v>335.178</v>
      </c>
      <c r="Y160" s="16">
        <v>291.2892</v>
      </c>
      <c r="Z160" s="26" t="s">
        <v>34</v>
      </c>
      <c r="AA160" s="25">
        <f t="shared" si="4"/>
        <v>260.9617</v>
      </c>
      <c r="AB160" s="25">
        <f t="shared" si="5"/>
        <v>310.187275</v>
      </c>
    </row>
    <row r="161" spans="1:28">
      <c r="A161" s="8">
        <v>45451</v>
      </c>
      <c r="B161" s="16">
        <v>232.835</v>
      </c>
      <c r="C161" s="16">
        <v>308.5</v>
      </c>
      <c r="D161" s="16">
        <v>303.78</v>
      </c>
      <c r="E161" s="16">
        <v>292.73</v>
      </c>
      <c r="F161" s="16">
        <v>268.77</v>
      </c>
      <c r="G161" s="16">
        <v>265.075</v>
      </c>
      <c r="H161" s="16">
        <v>287.75</v>
      </c>
      <c r="I161" s="16">
        <v>286.25</v>
      </c>
      <c r="J161" s="16">
        <v>314.8294</v>
      </c>
      <c r="K161" s="16">
        <v>320.2992</v>
      </c>
      <c r="L161" s="16">
        <v>324.2</v>
      </c>
      <c r="M161" s="16">
        <v>342.3094</v>
      </c>
      <c r="N161" s="16">
        <v>319.7911</v>
      </c>
      <c r="O161" s="16">
        <v>336.7613</v>
      </c>
      <c r="P161" s="16">
        <v>349.892</v>
      </c>
      <c r="Q161" s="16">
        <v>332.0371</v>
      </c>
      <c r="R161" s="16">
        <v>328.9604</v>
      </c>
      <c r="S161" s="16">
        <v>328.4878</v>
      </c>
      <c r="T161" s="16">
        <v>320.7472</v>
      </c>
      <c r="U161" s="16">
        <v>330.315</v>
      </c>
      <c r="V161" s="16">
        <v>329.2648</v>
      </c>
      <c r="W161" s="16">
        <v>318.1075</v>
      </c>
      <c r="X161" s="16">
        <v>315.2593</v>
      </c>
      <c r="Y161" s="16">
        <v>289.8476</v>
      </c>
      <c r="Z161" s="26" t="s">
        <v>32</v>
      </c>
      <c r="AA161" s="25">
        <f t="shared" si="4"/>
        <v>232.835</v>
      </c>
      <c r="AB161" s="25">
        <f t="shared" si="5"/>
        <v>310.283295833333</v>
      </c>
    </row>
    <row r="162" spans="1:28">
      <c r="A162" s="8">
        <v>45452</v>
      </c>
      <c r="B162" s="16">
        <v>268.8334</v>
      </c>
      <c r="C162" s="16">
        <v>303.0293</v>
      </c>
      <c r="D162" s="16">
        <v>299.8637</v>
      </c>
      <c r="E162" s="16">
        <v>292.5024</v>
      </c>
      <c r="F162" s="16">
        <v>267.2975</v>
      </c>
      <c r="G162" s="16">
        <v>262.47</v>
      </c>
      <c r="H162" s="16">
        <v>267.465</v>
      </c>
      <c r="I162" s="16">
        <v>264.3475</v>
      </c>
      <c r="J162" s="16">
        <v>261.325</v>
      </c>
      <c r="K162" s="16">
        <v>266.3498</v>
      </c>
      <c r="L162" s="16">
        <v>274.1883</v>
      </c>
      <c r="M162" s="16">
        <v>300.3434</v>
      </c>
      <c r="N162" s="16">
        <v>274.1862</v>
      </c>
      <c r="O162" s="16">
        <v>269.3609</v>
      </c>
      <c r="P162" s="16">
        <v>261.8178</v>
      </c>
      <c r="Q162" s="16">
        <v>270.495</v>
      </c>
      <c r="R162" s="16">
        <v>271.4436</v>
      </c>
      <c r="S162" s="16">
        <v>302.9</v>
      </c>
      <c r="T162" s="16">
        <v>300.4219</v>
      </c>
      <c r="U162" s="16">
        <v>306.8779</v>
      </c>
      <c r="V162" s="16">
        <v>312.15</v>
      </c>
      <c r="W162" s="16">
        <v>313.4705</v>
      </c>
      <c r="X162" s="16">
        <v>311.7058</v>
      </c>
      <c r="Y162" s="16">
        <v>250.8389</v>
      </c>
      <c r="Z162" s="26" t="s">
        <v>32</v>
      </c>
      <c r="AA162" s="25">
        <f t="shared" si="4"/>
        <v>250.8389</v>
      </c>
      <c r="AB162" s="25">
        <f t="shared" si="5"/>
        <v>282.236825</v>
      </c>
    </row>
    <row r="163" spans="1:28">
      <c r="A163" s="8">
        <v>45453</v>
      </c>
      <c r="B163" s="16">
        <v>206.175</v>
      </c>
      <c r="C163" s="16">
        <v>263.925</v>
      </c>
      <c r="D163" s="16">
        <v>65.145</v>
      </c>
      <c r="E163" s="16">
        <v>0</v>
      </c>
      <c r="F163" s="16">
        <v>0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0.601</v>
      </c>
      <c r="N163" s="16">
        <v>0.1702</v>
      </c>
      <c r="O163" s="16">
        <v>0.6814</v>
      </c>
      <c r="P163" s="16">
        <v>1.1223</v>
      </c>
      <c r="Q163" s="16">
        <v>0</v>
      </c>
      <c r="R163" s="16">
        <v>0</v>
      </c>
      <c r="S163" s="16">
        <v>8.2622</v>
      </c>
      <c r="T163" s="16">
        <v>11.3564</v>
      </c>
      <c r="U163" s="16">
        <v>11.9674</v>
      </c>
      <c r="V163" s="16">
        <v>200.2687</v>
      </c>
      <c r="W163" s="16">
        <v>265.3769</v>
      </c>
      <c r="X163" s="16">
        <v>272.6361</v>
      </c>
      <c r="Y163" s="16">
        <v>188.035</v>
      </c>
      <c r="Z163" s="26" t="s">
        <v>32</v>
      </c>
      <c r="AA163" s="25">
        <f t="shared" si="4"/>
        <v>0</v>
      </c>
      <c r="AB163" s="25">
        <f t="shared" si="5"/>
        <v>62.321775</v>
      </c>
    </row>
    <row r="164" spans="1:28">
      <c r="A164" s="8">
        <v>45454</v>
      </c>
      <c r="B164" s="16">
        <v>308.5</v>
      </c>
      <c r="C164" s="16">
        <v>316.75</v>
      </c>
      <c r="D164" s="16">
        <v>314.25</v>
      </c>
      <c r="E164" s="16">
        <v>294.73</v>
      </c>
      <c r="F164" s="16">
        <v>271.605</v>
      </c>
      <c r="G164" s="16">
        <v>185.035</v>
      </c>
      <c r="H164" s="16">
        <v>308.34</v>
      </c>
      <c r="I164" s="16">
        <v>316.25</v>
      </c>
      <c r="J164" s="16">
        <v>566.2587</v>
      </c>
      <c r="K164" s="16">
        <v>396.1172</v>
      </c>
      <c r="L164" s="16">
        <v>378.3852</v>
      </c>
      <c r="M164" s="16">
        <v>369.8229</v>
      </c>
      <c r="N164" s="16">
        <v>314.5593</v>
      </c>
      <c r="O164" s="16">
        <v>341.8057</v>
      </c>
      <c r="P164" s="16">
        <v>352.3992</v>
      </c>
      <c r="Q164" s="16">
        <v>345.9807</v>
      </c>
      <c r="R164" s="16">
        <v>346.9577</v>
      </c>
      <c r="S164" s="16">
        <v>353.9496</v>
      </c>
      <c r="T164" s="16">
        <v>329.104</v>
      </c>
      <c r="U164" s="16">
        <v>344.513</v>
      </c>
      <c r="V164" s="16">
        <v>356.2377</v>
      </c>
      <c r="W164" s="16">
        <v>351.7686</v>
      </c>
      <c r="X164" s="16">
        <v>330.8758</v>
      </c>
      <c r="Y164" s="16">
        <v>300.9391</v>
      </c>
      <c r="Z164" s="26" t="s">
        <v>32</v>
      </c>
      <c r="AA164" s="25">
        <f t="shared" si="4"/>
        <v>185.035</v>
      </c>
      <c r="AB164" s="25">
        <f t="shared" si="5"/>
        <v>337.297266666667</v>
      </c>
    </row>
    <row r="165" spans="1:28">
      <c r="A165" s="8">
        <v>45455</v>
      </c>
      <c r="B165" s="16">
        <v>343.7459</v>
      </c>
      <c r="C165" s="16">
        <v>336.62</v>
      </c>
      <c r="D165" s="16">
        <v>324.3075</v>
      </c>
      <c r="E165" s="16">
        <v>308.6579</v>
      </c>
      <c r="F165" s="16">
        <v>297.1391</v>
      </c>
      <c r="G165" s="16">
        <v>293.2544</v>
      </c>
      <c r="H165" s="16">
        <v>308.2815</v>
      </c>
      <c r="I165" s="16">
        <v>306.821</v>
      </c>
      <c r="J165" s="16">
        <v>342.283</v>
      </c>
      <c r="K165" s="16">
        <v>357.3204</v>
      </c>
      <c r="L165" s="16">
        <v>362.0535</v>
      </c>
      <c r="M165" s="16">
        <v>345.8306</v>
      </c>
      <c r="N165" s="16">
        <v>308.001</v>
      </c>
      <c r="O165" s="16">
        <v>337.8935</v>
      </c>
      <c r="P165" s="16">
        <v>352.7825</v>
      </c>
      <c r="Q165" s="16">
        <v>354.2432</v>
      </c>
      <c r="R165" s="16">
        <v>365.8586</v>
      </c>
      <c r="S165" s="16">
        <v>350.7722</v>
      </c>
      <c r="T165" s="16">
        <v>320.3319</v>
      </c>
      <c r="U165" s="16">
        <v>335.7434</v>
      </c>
      <c r="V165" s="16">
        <v>346.4167</v>
      </c>
      <c r="W165" s="16">
        <v>362.3984</v>
      </c>
      <c r="X165" s="16">
        <v>341.89</v>
      </c>
      <c r="Y165" s="16">
        <v>322.3988</v>
      </c>
      <c r="Z165" s="26" t="s">
        <v>32</v>
      </c>
      <c r="AA165" s="25">
        <f t="shared" si="4"/>
        <v>293.2544</v>
      </c>
      <c r="AB165" s="25">
        <f t="shared" si="5"/>
        <v>334.376875</v>
      </c>
    </row>
    <row r="166" spans="1:28">
      <c r="A166" s="8">
        <v>45456</v>
      </c>
      <c r="B166" s="16">
        <v>347.5176</v>
      </c>
      <c r="C166" s="16">
        <v>340.3461</v>
      </c>
      <c r="D166" s="16">
        <v>325.5163</v>
      </c>
      <c r="E166" s="16">
        <v>311.75</v>
      </c>
      <c r="F166" s="16">
        <v>300.5</v>
      </c>
      <c r="G166" s="16">
        <v>297.79</v>
      </c>
      <c r="H166" s="16">
        <v>304</v>
      </c>
      <c r="I166" s="16">
        <v>300.0828</v>
      </c>
      <c r="J166" s="16">
        <v>330.0283</v>
      </c>
      <c r="K166" s="16">
        <v>354.3702</v>
      </c>
      <c r="L166" s="16">
        <v>367.7107</v>
      </c>
      <c r="M166" s="16">
        <v>347.086</v>
      </c>
      <c r="N166" s="16">
        <v>314.7691</v>
      </c>
      <c r="O166" s="16">
        <v>337.7421</v>
      </c>
      <c r="P166" s="16">
        <v>350.8627</v>
      </c>
      <c r="Q166" s="16">
        <v>349.8824</v>
      </c>
      <c r="R166" s="16">
        <v>352.1093</v>
      </c>
      <c r="S166" s="16">
        <v>355.5697</v>
      </c>
      <c r="T166" s="16">
        <v>331.2639</v>
      </c>
      <c r="U166" s="16">
        <v>351.1808</v>
      </c>
      <c r="V166" s="16">
        <v>363.2834</v>
      </c>
      <c r="W166" s="16">
        <v>371.3364</v>
      </c>
      <c r="X166" s="16">
        <v>361.7775</v>
      </c>
      <c r="Y166" s="16">
        <v>343.2842</v>
      </c>
      <c r="Z166" s="26" t="s">
        <v>33</v>
      </c>
      <c r="AA166" s="25">
        <f t="shared" si="4"/>
        <v>297.79</v>
      </c>
      <c r="AB166" s="25">
        <f t="shared" si="5"/>
        <v>337.906645833333</v>
      </c>
    </row>
    <row r="167" spans="1:28">
      <c r="A167" s="8">
        <v>45457</v>
      </c>
      <c r="B167" s="16">
        <v>361.1671</v>
      </c>
      <c r="C167" s="16">
        <v>355.1048</v>
      </c>
      <c r="D167" s="16">
        <v>331.1338</v>
      </c>
      <c r="E167" s="16">
        <v>315.4961</v>
      </c>
      <c r="F167" s="16">
        <v>300.1056</v>
      </c>
      <c r="G167" s="16">
        <v>291.853</v>
      </c>
      <c r="H167" s="16">
        <v>298.5074</v>
      </c>
      <c r="I167" s="16">
        <v>292.8903</v>
      </c>
      <c r="J167" s="16">
        <v>334.5476</v>
      </c>
      <c r="K167" s="16">
        <v>368.8914</v>
      </c>
      <c r="L167" s="16">
        <v>376.3281</v>
      </c>
      <c r="M167" s="16">
        <v>362.9304</v>
      </c>
      <c r="N167" s="16">
        <v>307.0141</v>
      </c>
      <c r="O167" s="16">
        <v>329.3315</v>
      </c>
      <c r="P167" s="16">
        <v>344.4209</v>
      </c>
      <c r="Q167" s="16">
        <v>371.258</v>
      </c>
      <c r="R167" s="16">
        <v>364.3605</v>
      </c>
      <c r="S167" s="16">
        <v>339.6489</v>
      </c>
      <c r="T167" s="16">
        <v>326.6071</v>
      </c>
      <c r="U167" s="16">
        <v>358.8896</v>
      </c>
      <c r="V167" s="16">
        <v>364.5001</v>
      </c>
      <c r="W167" s="16">
        <v>368.5153</v>
      </c>
      <c r="X167" s="16">
        <v>364.5322</v>
      </c>
      <c r="Y167" s="16">
        <v>345.0853</v>
      </c>
      <c r="Z167" s="26" t="s">
        <v>34</v>
      </c>
      <c r="AA167" s="25">
        <f t="shared" si="4"/>
        <v>291.853</v>
      </c>
      <c r="AB167" s="25">
        <f t="shared" si="5"/>
        <v>340.546629166667</v>
      </c>
    </row>
    <row r="168" spans="1:28">
      <c r="A168" s="8">
        <v>45458</v>
      </c>
      <c r="B168" s="16">
        <v>370.3874</v>
      </c>
      <c r="C168" s="16">
        <v>376.1334</v>
      </c>
      <c r="D168" s="16">
        <v>357.8903</v>
      </c>
      <c r="E168" s="16">
        <v>335.6872</v>
      </c>
      <c r="F168" s="16">
        <v>322.0819</v>
      </c>
      <c r="G168" s="16">
        <v>311.25</v>
      </c>
      <c r="H168" s="16">
        <v>313.7048</v>
      </c>
      <c r="I168" s="16">
        <v>308.0362</v>
      </c>
      <c r="J168" s="16">
        <v>330.1991</v>
      </c>
      <c r="K168" s="16">
        <v>343.7788</v>
      </c>
      <c r="L168" s="16">
        <v>355.6445</v>
      </c>
      <c r="M168" s="16">
        <v>364.7195</v>
      </c>
      <c r="N168" s="16">
        <v>343.9694</v>
      </c>
      <c r="O168" s="16">
        <v>353.7282</v>
      </c>
      <c r="P168" s="16">
        <v>363.7159</v>
      </c>
      <c r="Q168" s="16">
        <v>368.8848</v>
      </c>
      <c r="R168" s="16">
        <v>374.4763</v>
      </c>
      <c r="S168" s="16">
        <v>369.6916</v>
      </c>
      <c r="T168" s="16">
        <v>342.5066</v>
      </c>
      <c r="U168" s="16">
        <v>358.8311</v>
      </c>
      <c r="V168" s="16">
        <v>361.764</v>
      </c>
      <c r="W168" s="16">
        <v>360.44</v>
      </c>
      <c r="X168" s="16">
        <v>356.7302</v>
      </c>
      <c r="Y168" s="16">
        <v>345.1358</v>
      </c>
      <c r="Z168" s="26" t="s">
        <v>32</v>
      </c>
      <c r="AA168" s="25">
        <f t="shared" si="4"/>
        <v>308.0362</v>
      </c>
      <c r="AB168" s="25">
        <f t="shared" si="5"/>
        <v>349.557791666667</v>
      </c>
    </row>
    <row r="169" spans="1:28">
      <c r="A169" s="8">
        <v>45459</v>
      </c>
      <c r="B169" s="16">
        <v>348.0404</v>
      </c>
      <c r="C169" s="16">
        <v>345.033</v>
      </c>
      <c r="D169" s="16">
        <v>325.5747</v>
      </c>
      <c r="E169" s="16">
        <v>310.1662</v>
      </c>
      <c r="F169" s="16">
        <v>292.1686</v>
      </c>
      <c r="G169" s="16">
        <v>277.183</v>
      </c>
      <c r="H169" s="16">
        <v>277.7316</v>
      </c>
      <c r="I169" s="16">
        <v>233.727</v>
      </c>
      <c r="J169" s="16">
        <v>92.1528</v>
      </c>
      <c r="K169" s="16">
        <v>75.1808</v>
      </c>
      <c r="L169" s="16">
        <v>114.7104</v>
      </c>
      <c r="M169" s="16">
        <v>259.7814</v>
      </c>
      <c r="N169" s="16">
        <v>289.0472</v>
      </c>
      <c r="O169" s="16">
        <v>314.5459</v>
      </c>
      <c r="P169" s="16">
        <v>306.6086</v>
      </c>
      <c r="Q169" s="16">
        <v>308.9542</v>
      </c>
      <c r="R169" s="16">
        <v>311.4414</v>
      </c>
      <c r="S169" s="16">
        <v>313.0294</v>
      </c>
      <c r="T169" s="16">
        <v>301.4457</v>
      </c>
      <c r="U169" s="16">
        <v>316.1271</v>
      </c>
      <c r="V169" s="16">
        <v>323.3108</v>
      </c>
      <c r="W169" s="16">
        <v>326.2168</v>
      </c>
      <c r="X169" s="16">
        <v>322.0645</v>
      </c>
      <c r="Y169" s="16">
        <v>318.6152</v>
      </c>
      <c r="Z169" s="26" t="s">
        <v>32</v>
      </c>
      <c r="AA169" s="25">
        <f t="shared" si="4"/>
        <v>75.1808</v>
      </c>
      <c r="AB169" s="25">
        <f t="shared" si="5"/>
        <v>279.285695833333</v>
      </c>
    </row>
    <row r="170" spans="1:28">
      <c r="A170" s="8">
        <v>45460</v>
      </c>
      <c r="B170" s="16">
        <v>310.9215</v>
      </c>
      <c r="C170" s="16">
        <v>308.1783</v>
      </c>
      <c r="D170" s="16">
        <v>290.3164</v>
      </c>
      <c r="E170" s="16">
        <v>246.262</v>
      </c>
      <c r="F170" s="16">
        <v>1.5075</v>
      </c>
      <c r="G170" s="16">
        <v>0</v>
      </c>
      <c r="H170" s="16">
        <v>90.6804</v>
      </c>
      <c r="I170" s="16">
        <v>254.6626</v>
      </c>
      <c r="J170" s="16">
        <v>319.3102</v>
      </c>
      <c r="K170" s="16">
        <v>340.4362</v>
      </c>
      <c r="L170" s="16">
        <v>327.8484</v>
      </c>
      <c r="M170" s="16">
        <v>348.3008</v>
      </c>
      <c r="N170" s="16">
        <v>309.0167</v>
      </c>
      <c r="O170" s="16">
        <v>334.0526</v>
      </c>
      <c r="P170" s="16">
        <v>346.3047</v>
      </c>
      <c r="Q170" s="16">
        <v>362.0499</v>
      </c>
      <c r="R170" s="16">
        <v>380.5124</v>
      </c>
      <c r="S170" s="16">
        <v>353.5168</v>
      </c>
      <c r="T170" s="16">
        <v>338.7681</v>
      </c>
      <c r="U170" s="16">
        <v>364.8389</v>
      </c>
      <c r="V170" s="16">
        <v>366.7392</v>
      </c>
      <c r="W170" s="16">
        <v>366.2003</v>
      </c>
      <c r="X170" s="16">
        <v>349.8292</v>
      </c>
      <c r="Y170" s="16">
        <v>331.8905</v>
      </c>
      <c r="Z170" s="26" t="s">
        <v>32</v>
      </c>
      <c r="AA170" s="25">
        <f t="shared" si="4"/>
        <v>0</v>
      </c>
      <c r="AB170" s="25">
        <f t="shared" si="5"/>
        <v>293.42265</v>
      </c>
    </row>
    <row r="171" spans="1:28">
      <c r="A171" s="8">
        <v>45461</v>
      </c>
      <c r="B171" s="16">
        <v>337.8242</v>
      </c>
      <c r="C171" s="16">
        <v>332.6143</v>
      </c>
      <c r="D171" s="16">
        <v>323.7618</v>
      </c>
      <c r="E171" s="16">
        <v>311.7101</v>
      </c>
      <c r="F171" s="16">
        <v>300.6704</v>
      </c>
      <c r="G171" s="16">
        <v>291.5261</v>
      </c>
      <c r="H171" s="16">
        <v>301.8499</v>
      </c>
      <c r="I171" s="16">
        <v>306.6034</v>
      </c>
      <c r="J171" s="16">
        <v>332.4766</v>
      </c>
      <c r="K171" s="16">
        <v>354.8782</v>
      </c>
      <c r="L171" s="16">
        <v>350.4523</v>
      </c>
      <c r="M171" s="16">
        <v>372.0419</v>
      </c>
      <c r="N171" s="16">
        <v>306.2926</v>
      </c>
      <c r="O171" s="16">
        <v>345.5137</v>
      </c>
      <c r="P171" s="16">
        <v>369.126</v>
      </c>
      <c r="Q171" s="16">
        <v>379.2791</v>
      </c>
      <c r="R171" s="16">
        <v>389.8132</v>
      </c>
      <c r="S171" s="16">
        <v>384.824</v>
      </c>
      <c r="T171" s="16">
        <v>359.2428</v>
      </c>
      <c r="U171" s="16">
        <v>389.5998</v>
      </c>
      <c r="V171" s="16">
        <v>380.3113</v>
      </c>
      <c r="W171" s="16">
        <v>380.7243</v>
      </c>
      <c r="X171" s="16">
        <v>368.8065</v>
      </c>
      <c r="Y171" s="16">
        <v>335.4762</v>
      </c>
      <c r="Z171" s="26" t="s">
        <v>32</v>
      </c>
      <c r="AA171" s="25">
        <f t="shared" si="4"/>
        <v>291.5261</v>
      </c>
      <c r="AB171" s="25">
        <f t="shared" si="5"/>
        <v>346.0591125</v>
      </c>
    </row>
    <row r="172" spans="1:28">
      <c r="A172" s="8">
        <v>45462</v>
      </c>
      <c r="B172" s="16">
        <v>334.9049</v>
      </c>
      <c r="C172" s="16">
        <v>331.0749</v>
      </c>
      <c r="D172" s="16">
        <v>318.5124</v>
      </c>
      <c r="E172" s="16">
        <v>307.3703</v>
      </c>
      <c r="F172" s="16">
        <v>285.5217</v>
      </c>
      <c r="G172" s="16">
        <v>271.9928</v>
      </c>
      <c r="H172" s="16">
        <v>273.0835</v>
      </c>
      <c r="I172" s="16">
        <v>272.064</v>
      </c>
      <c r="J172" s="16">
        <v>313.6081</v>
      </c>
      <c r="K172" s="16">
        <v>331.1202</v>
      </c>
      <c r="L172" s="16">
        <v>327.6862</v>
      </c>
      <c r="M172" s="16">
        <v>332.2523</v>
      </c>
      <c r="N172" s="16">
        <v>310.5276</v>
      </c>
      <c r="O172" s="16">
        <v>340.8144</v>
      </c>
      <c r="P172" s="16">
        <v>349.6767</v>
      </c>
      <c r="Q172" s="16">
        <v>336.2474</v>
      </c>
      <c r="R172" s="16">
        <v>339.5219</v>
      </c>
      <c r="S172" s="16">
        <v>335.7295</v>
      </c>
      <c r="T172" s="16">
        <v>329.7529</v>
      </c>
      <c r="U172" s="16">
        <v>353.6942</v>
      </c>
      <c r="V172" s="16">
        <v>348.8787</v>
      </c>
      <c r="W172" s="16">
        <v>342.6717</v>
      </c>
      <c r="X172" s="16">
        <v>332.8747</v>
      </c>
      <c r="Y172" s="16">
        <v>319.7301</v>
      </c>
      <c r="Z172" s="26" t="s">
        <v>32</v>
      </c>
      <c r="AA172" s="25">
        <f t="shared" si="4"/>
        <v>271.9928</v>
      </c>
      <c r="AB172" s="25">
        <f t="shared" si="5"/>
        <v>322.471295833333</v>
      </c>
    </row>
    <row r="173" spans="1:28">
      <c r="A173" s="8">
        <v>45463</v>
      </c>
      <c r="B173" s="16">
        <v>322.6025</v>
      </c>
      <c r="C173" s="16">
        <v>320.7362</v>
      </c>
      <c r="D173" s="16">
        <v>308.4857</v>
      </c>
      <c r="E173" s="16">
        <v>283.8402</v>
      </c>
      <c r="F173" s="16">
        <v>250.8776</v>
      </c>
      <c r="G173" s="16">
        <v>40.1454</v>
      </c>
      <c r="H173" s="16">
        <v>85.8911</v>
      </c>
      <c r="I173" s="16">
        <v>118.5688</v>
      </c>
      <c r="J173" s="16">
        <v>306.6085</v>
      </c>
      <c r="K173" s="16">
        <v>337.2575</v>
      </c>
      <c r="L173" s="16">
        <v>357.2792</v>
      </c>
      <c r="M173" s="16">
        <v>367.3172</v>
      </c>
      <c r="N173" s="16">
        <v>311.2183</v>
      </c>
      <c r="O173" s="16">
        <v>343.5317</v>
      </c>
      <c r="P173" s="16">
        <v>359.8424</v>
      </c>
      <c r="Q173" s="16">
        <v>354.4591</v>
      </c>
      <c r="R173" s="16">
        <v>357.3891</v>
      </c>
      <c r="S173" s="16">
        <v>345.9202</v>
      </c>
      <c r="T173" s="16">
        <v>325.5538</v>
      </c>
      <c r="U173" s="16">
        <v>360.9609</v>
      </c>
      <c r="V173" s="16">
        <v>357.7783</v>
      </c>
      <c r="W173" s="16">
        <v>354.8697</v>
      </c>
      <c r="X173" s="16">
        <v>342.4355</v>
      </c>
      <c r="Y173" s="16">
        <v>323.1403</v>
      </c>
      <c r="Z173" s="26" t="s">
        <v>33</v>
      </c>
      <c r="AA173" s="25">
        <f t="shared" si="4"/>
        <v>40.1454</v>
      </c>
      <c r="AB173" s="25">
        <f t="shared" si="5"/>
        <v>301.52955</v>
      </c>
    </row>
    <row r="174" spans="1:28">
      <c r="A174" s="8">
        <v>45464</v>
      </c>
      <c r="B174" s="16">
        <v>326.0228</v>
      </c>
      <c r="C174" s="16">
        <v>322.8023</v>
      </c>
      <c r="D174" s="16">
        <v>311.5871</v>
      </c>
      <c r="E174" s="16">
        <v>292.3679</v>
      </c>
      <c r="F174" s="16">
        <v>261.0708</v>
      </c>
      <c r="G174" s="16">
        <v>137.832</v>
      </c>
      <c r="H174" s="16">
        <v>102.6207</v>
      </c>
      <c r="I174" s="16">
        <v>70.1418</v>
      </c>
      <c r="J174" s="16">
        <v>302.6923</v>
      </c>
      <c r="K174" s="16">
        <v>322.5961</v>
      </c>
      <c r="L174" s="16">
        <v>327.6271</v>
      </c>
      <c r="M174" s="16">
        <v>323.5454</v>
      </c>
      <c r="N174" s="16">
        <v>288.5069</v>
      </c>
      <c r="O174" s="16">
        <v>322.2079</v>
      </c>
      <c r="P174" s="16">
        <v>333.2827</v>
      </c>
      <c r="Q174" s="16">
        <v>335.2277</v>
      </c>
      <c r="R174" s="16">
        <v>340.4061</v>
      </c>
      <c r="S174" s="16">
        <v>332.3673</v>
      </c>
      <c r="T174" s="16">
        <v>326.6273</v>
      </c>
      <c r="U174" s="16">
        <v>342.5289</v>
      </c>
      <c r="V174" s="16">
        <v>344.5524</v>
      </c>
      <c r="W174" s="16">
        <v>341.0608</v>
      </c>
      <c r="X174" s="16">
        <v>341.3282</v>
      </c>
      <c r="Y174" s="16">
        <v>331.7554</v>
      </c>
      <c r="Z174" s="26" t="s">
        <v>34</v>
      </c>
      <c r="AA174" s="25">
        <f t="shared" si="4"/>
        <v>70.1418</v>
      </c>
      <c r="AB174" s="25">
        <f t="shared" si="5"/>
        <v>295.031579166667</v>
      </c>
    </row>
    <row r="175" spans="1:28">
      <c r="A175" s="8">
        <v>45465</v>
      </c>
      <c r="B175" s="16">
        <v>367.5983</v>
      </c>
      <c r="C175" s="16">
        <v>359.7921</v>
      </c>
      <c r="D175" s="16">
        <v>337.6236</v>
      </c>
      <c r="E175" s="16">
        <v>317.0593</v>
      </c>
      <c r="F175" s="16">
        <v>302.9227</v>
      </c>
      <c r="G175" s="16">
        <v>290.9086</v>
      </c>
      <c r="H175" s="16">
        <v>288.5437</v>
      </c>
      <c r="I175" s="16">
        <v>258.2837</v>
      </c>
      <c r="J175" s="16">
        <v>279.0103</v>
      </c>
      <c r="K175" s="16">
        <v>300.1371</v>
      </c>
      <c r="L175" s="16">
        <v>304.3148</v>
      </c>
      <c r="M175" s="16">
        <v>302.9483</v>
      </c>
      <c r="N175" s="16">
        <v>274.784</v>
      </c>
      <c r="O175" s="16">
        <v>295.7874</v>
      </c>
      <c r="P175" s="16">
        <v>304.1111</v>
      </c>
      <c r="Q175" s="16">
        <v>310.5657</v>
      </c>
      <c r="R175" s="16">
        <v>315.1839</v>
      </c>
      <c r="S175" s="16">
        <v>324.8618</v>
      </c>
      <c r="T175" s="16">
        <v>326.4011</v>
      </c>
      <c r="U175" s="16">
        <v>345.2611</v>
      </c>
      <c r="V175" s="16">
        <v>355.1722</v>
      </c>
      <c r="W175" s="16">
        <v>361.0499</v>
      </c>
      <c r="X175" s="16">
        <v>362.8799</v>
      </c>
      <c r="Y175" s="16">
        <v>348.4661</v>
      </c>
      <c r="Z175" s="26" t="s">
        <v>32</v>
      </c>
      <c r="AA175" s="25">
        <f t="shared" si="4"/>
        <v>258.2837</v>
      </c>
      <c r="AB175" s="25">
        <f t="shared" si="5"/>
        <v>318.069445833333</v>
      </c>
    </row>
    <row r="176" spans="1:28">
      <c r="A176" s="8">
        <v>45466</v>
      </c>
      <c r="B176" s="16">
        <v>382.7756</v>
      </c>
      <c r="C176" s="16">
        <v>362.1653</v>
      </c>
      <c r="D176" s="16">
        <v>340.8375</v>
      </c>
      <c r="E176" s="16">
        <v>327.831</v>
      </c>
      <c r="F176" s="16">
        <v>315.0298</v>
      </c>
      <c r="G176" s="16">
        <v>304.5896</v>
      </c>
      <c r="H176" s="16">
        <v>297.2349</v>
      </c>
      <c r="I176" s="16">
        <v>269.0322</v>
      </c>
      <c r="J176" s="16">
        <v>248.3056</v>
      </c>
      <c r="K176" s="16">
        <v>227.9672</v>
      </c>
      <c r="L176" s="16">
        <v>209.3736</v>
      </c>
      <c r="M176" s="16">
        <v>182.775</v>
      </c>
      <c r="N176" s="16">
        <v>126.4397</v>
      </c>
      <c r="O176" s="16">
        <v>258.692</v>
      </c>
      <c r="P176" s="16">
        <v>277.0847</v>
      </c>
      <c r="Q176" s="16">
        <v>283.4369</v>
      </c>
      <c r="R176" s="16">
        <v>298.7252</v>
      </c>
      <c r="S176" s="16">
        <v>314.5438</v>
      </c>
      <c r="T176" s="16">
        <v>314.085</v>
      </c>
      <c r="U176" s="16">
        <v>330.8726</v>
      </c>
      <c r="V176" s="16">
        <v>334.619</v>
      </c>
      <c r="W176" s="16">
        <v>340.8681</v>
      </c>
      <c r="X176" s="16">
        <v>337.6973</v>
      </c>
      <c r="Y176" s="16">
        <v>332.7096</v>
      </c>
      <c r="Z176" s="26" t="s">
        <v>32</v>
      </c>
      <c r="AA176" s="25">
        <f t="shared" si="4"/>
        <v>126.4397</v>
      </c>
      <c r="AB176" s="25">
        <f t="shared" si="5"/>
        <v>292.4038</v>
      </c>
    </row>
    <row r="177" spans="1:28">
      <c r="A177" s="8">
        <v>45467</v>
      </c>
      <c r="B177" s="16">
        <v>329.4002</v>
      </c>
      <c r="C177" s="16">
        <v>312.5197</v>
      </c>
      <c r="D177" s="16">
        <v>301.6046</v>
      </c>
      <c r="E177" s="16">
        <v>294.293</v>
      </c>
      <c r="F177" s="16">
        <v>281.9932</v>
      </c>
      <c r="G177" s="16">
        <v>276.3922</v>
      </c>
      <c r="H177" s="16">
        <v>286.7846</v>
      </c>
      <c r="I177" s="16">
        <v>288.1235</v>
      </c>
      <c r="J177" s="16">
        <v>308.1621</v>
      </c>
      <c r="K177" s="16">
        <v>324.1259</v>
      </c>
      <c r="L177" s="16">
        <v>334.481</v>
      </c>
      <c r="M177" s="16">
        <v>337.049</v>
      </c>
      <c r="N177" s="16">
        <v>323.4591</v>
      </c>
      <c r="O177" s="16">
        <v>344.3547</v>
      </c>
      <c r="P177" s="16">
        <v>360.3201</v>
      </c>
      <c r="Q177" s="16">
        <v>358.863</v>
      </c>
      <c r="R177" s="16">
        <v>365.0488</v>
      </c>
      <c r="S177" s="16">
        <v>363.1898</v>
      </c>
      <c r="T177" s="16">
        <v>347.7762</v>
      </c>
      <c r="U177" s="16">
        <v>363.1685</v>
      </c>
      <c r="V177" s="16">
        <v>359.8234</v>
      </c>
      <c r="W177" s="16">
        <v>355.8469</v>
      </c>
      <c r="X177" s="16">
        <v>353.9815</v>
      </c>
      <c r="Y177" s="16">
        <v>349.9266</v>
      </c>
      <c r="Z177" s="26" t="s">
        <v>32</v>
      </c>
      <c r="AA177" s="25">
        <f t="shared" si="4"/>
        <v>276.3922</v>
      </c>
      <c r="AB177" s="25">
        <f t="shared" si="5"/>
        <v>330.02865</v>
      </c>
    </row>
    <row r="178" spans="1:28">
      <c r="A178" s="8">
        <v>45468</v>
      </c>
      <c r="B178" s="16">
        <v>293.4175</v>
      </c>
      <c r="C178" s="16">
        <v>266.1843</v>
      </c>
      <c r="D178" s="16">
        <v>254.6407</v>
      </c>
      <c r="E178" s="16">
        <v>250.6878</v>
      </c>
      <c r="F178" s="16">
        <v>246.6374</v>
      </c>
      <c r="G178" s="16">
        <v>245.0929</v>
      </c>
      <c r="H178" s="16">
        <v>244.0248</v>
      </c>
      <c r="I178" s="16">
        <v>245.4442</v>
      </c>
      <c r="J178" s="16">
        <v>292.4435</v>
      </c>
      <c r="K178" s="16">
        <v>369.3057</v>
      </c>
      <c r="L178" s="16">
        <v>384.0659</v>
      </c>
      <c r="M178" s="16">
        <v>373.9378</v>
      </c>
      <c r="N178" s="16">
        <v>304.6678</v>
      </c>
      <c r="O178" s="16">
        <v>367.0949</v>
      </c>
      <c r="P178" s="16">
        <v>386.5293</v>
      </c>
      <c r="Q178" s="16">
        <v>396.0392</v>
      </c>
      <c r="R178" s="16">
        <v>431.2767</v>
      </c>
      <c r="S178" s="16">
        <v>402.8556</v>
      </c>
      <c r="T178" s="16">
        <v>362.4394</v>
      </c>
      <c r="U178" s="16">
        <v>405.386</v>
      </c>
      <c r="V178" s="16">
        <v>388.9342</v>
      </c>
      <c r="W178" s="16">
        <v>381.1821</v>
      </c>
      <c r="X178" s="16">
        <v>360.3251</v>
      </c>
      <c r="Y178" s="16">
        <v>330.7142</v>
      </c>
      <c r="Z178" s="26" t="s">
        <v>32</v>
      </c>
      <c r="AA178" s="25">
        <f t="shared" si="4"/>
        <v>244.0248</v>
      </c>
      <c r="AB178" s="25">
        <f t="shared" si="5"/>
        <v>332.638625</v>
      </c>
    </row>
    <row r="179" spans="1:28">
      <c r="A179" s="8">
        <v>45469</v>
      </c>
      <c r="B179" s="16">
        <v>312.2391</v>
      </c>
      <c r="C179" s="16">
        <v>298.3028</v>
      </c>
      <c r="D179" s="16">
        <v>283.2967</v>
      </c>
      <c r="E179" s="16">
        <v>273.9444</v>
      </c>
      <c r="F179" s="16">
        <v>270.4619</v>
      </c>
      <c r="G179" s="16">
        <v>265.0635</v>
      </c>
      <c r="H179" s="16">
        <v>270.1669</v>
      </c>
      <c r="I179" s="16">
        <v>272.0036</v>
      </c>
      <c r="J179" s="16">
        <v>301.6697</v>
      </c>
      <c r="K179" s="16">
        <v>328.344</v>
      </c>
      <c r="L179" s="16">
        <v>337.2469</v>
      </c>
      <c r="M179" s="16">
        <v>341.8492</v>
      </c>
      <c r="N179" s="16">
        <v>315.2743</v>
      </c>
      <c r="O179" s="16">
        <v>323.7913</v>
      </c>
      <c r="P179" s="16">
        <v>333.0736</v>
      </c>
      <c r="Q179" s="16">
        <v>329.4103</v>
      </c>
      <c r="R179" s="16">
        <v>341.59</v>
      </c>
      <c r="S179" s="16">
        <v>346.601</v>
      </c>
      <c r="T179" s="16">
        <v>331.1946</v>
      </c>
      <c r="U179" s="16">
        <v>369.7088</v>
      </c>
      <c r="V179" s="16">
        <v>410.0698</v>
      </c>
      <c r="W179" s="16">
        <v>354.095</v>
      </c>
      <c r="X179" s="16">
        <v>341.89</v>
      </c>
      <c r="Y179" s="16">
        <v>327.892</v>
      </c>
      <c r="Z179" s="26" t="s">
        <v>32</v>
      </c>
      <c r="AA179" s="25">
        <f t="shared" si="4"/>
        <v>265.0635</v>
      </c>
      <c r="AB179" s="25">
        <f t="shared" si="5"/>
        <v>319.965808333333</v>
      </c>
    </row>
    <row r="180" spans="1:28">
      <c r="A180" s="8">
        <v>45470</v>
      </c>
      <c r="B180" s="16">
        <v>325.0591</v>
      </c>
      <c r="C180" s="16">
        <v>313.59</v>
      </c>
      <c r="D180" s="16">
        <v>304.2752</v>
      </c>
      <c r="E180" s="16">
        <v>298.4425</v>
      </c>
      <c r="F180" s="16">
        <v>295.9793</v>
      </c>
      <c r="G180" s="16">
        <v>294.2988</v>
      </c>
      <c r="H180" s="16">
        <v>295.5285</v>
      </c>
      <c r="I180" s="16">
        <v>294.8209</v>
      </c>
      <c r="J180" s="16">
        <v>317.0807</v>
      </c>
      <c r="K180" s="16">
        <v>353.2455</v>
      </c>
      <c r="L180" s="16">
        <v>360.0765</v>
      </c>
      <c r="M180" s="16">
        <v>362.0533</v>
      </c>
      <c r="N180" s="16">
        <v>324.2755</v>
      </c>
      <c r="O180" s="16">
        <v>353.1993</v>
      </c>
      <c r="P180" s="16">
        <v>357.8308</v>
      </c>
      <c r="Q180" s="16">
        <v>357.9554</v>
      </c>
      <c r="R180" s="16">
        <v>388.5172</v>
      </c>
      <c r="S180" s="16">
        <v>416.5346</v>
      </c>
      <c r="T180" s="16">
        <v>359.1867</v>
      </c>
      <c r="U180" s="16">
        <v>512.5288</v>
      </c>
      <c r="V180" s="16">
        <v>517.87</v>
      </c>
      <c r="W180" s="16">
        <v>415.8388</v>
      </c>
      <c r="X180" s="16">
        <v>369.7214</v>
      </c>
      <c r="Y180" s="16">
        <v>336.9561</v>
      </c>
      <c r="Z180" s="26" t="s">
        <v>33</v>
      </c>
      <c r="AA180" s="25">
        <f t="shared" si="4"/>
        <v>294.2988</v>
      </c>
      <c r="AB180" s="25">
        <f t="shared" si="5"/>
        <v>355.202704166667</v>
      </c>
    </row>
    <row r="181" spans="1:28">
      <c r="A181" s="8">
        <v>45471</v>
      </c>
      <c r="B181" s="16">
        <v>313.0096</v>
      </c>
      <c r="C181" s="16">
        <v>302.7504</v>
      </c>
      <c r="D181" s="16">
        <v>286.3311</v>
      </c>
      <c r="E181" s="16">
        <v>275.8197</v>
      </c>
      <c r="F181" s="16">
        <v>262.2705</v>
      </c>
      <c r="G181" s="16">
        <v>256.6422</v>
      </c>
      <c r="H181" s="16">
        <v>268.1498</v>
      </c>
      <c r="I181" s="16">
        <v>264.2507</v>
      </c>
      <c r="J181" s="16">
        <v>302.6403</v>
      </c>
      <c r="K181" s="16">
        <v>338.2266</v>
      </c>
      <c r="L181" s="16">
        <v>352.6936</v>
      </c>
      <c r="M181" s="16">
        <v>347.7945</v>
      </c>
      <c r="N181" s="16">
        <v>307.8577</v>
      </c>
      <c r="O181" s="16">
        <v>319.7338</v>
      </c>
      <c r="P181" s="16">
        <v>328.4011</v>
      </c>
      <c r="Q181" s="16">
        <v>332.4537</v>
      </c>
      <c r="R181" s="16">
        <v>341.5541</v>
      </c>
      <c r="S181" s="16">
        <v>334.4214</v>
      </c>
      <c r="T181" s="16">
        <v>329.1049</v>
      </c>
      <c r="U181" s="16">
        <v>343.377</v>
      </c>
      <c r="V181" s="16">
        <v>342.5647</v>
      </c>
      <c r="W181" s="16">
        <v>338.8572</v>
      </c>
      <c r="X181" s="16">
        <v>335.8297</v>
      </c>
      <c r="Y181" s="16">
        <v>320.9267</v>
      </c>
      <c r="Z181" s="26" t="s">
        <v>34</v>
      </c>
      <c r="AA181" s="25">
        <f t="shared" si="4"/>
        <v>256.6422</v>
      </c>
      <c r="AB181" s="25">
        <f t="shared" si="5"/>
        <v>314.402541666667</v>
      </c>
    </row>
    <row r="182" spans="1:28">
      <c r="A182" s="8">
        <v>45472</v>
      </c>
      <c r="B182" s="16">
        <v>339.6633</v>
      </c>
      <c r="C182" s="16">
        <v>318.3333</v>
      </c>
      <c r="D182" s="16">
        <v>305.6057</v>
      </c>
      <c r="E182" s="16">
        <v>300.6049</v>
      </c>
      <c r="F182" s="16">
        <v>290.6657</v>
      </c>
      <c r="G182" s="16">
        <v>269.526</v>
      </c>
      <c r="H182" s="16">
        <v>263.9804</v>
      </c>
      <c r="I182" s="16">
        <v>260.3666</v>
      </c>
      <c r="J182" s="16">
        <v>291.843</v>
      </c>
      <c r="K182" s="16">
        <v>318.6201</v>
      </c>
      <c r="L182" s="16">
        <v>329.4175</v>
      </c>
      <c r="M182" s="16">
        <v>331.9627</v>
      </c>
      <c r="N182" s="16">
        <v>310.1168</v>
      </c>
      <c r="O182" s="16">
        <v>343.4979</v>
      </c>
      <c r="P182" s="16">
        <v>362.5505</v>
      </c>
      <c r="Q182" s="16">
        <v>364.646</v>
      </c>
      <c r="R182" s="16">
        <v>388.9908</v>
      </c>
      <c r="S182" s="16">
        <v>368.0919</v>
      </c>
      <c r="T182" s="16">
        <v>334.6517</v>
      </c>
      <c r="U182" s="16">
        <v>345.8177</v>
      </c>
      <c r="V182" s="16">
        <v>352.1501</v>
      </c>
      <c r="W182" s="16">
        <v>359.2882</v>
      </c>
      <c r="X182" s="16">
        <v>353.4757</v>
      </c>
      <c r="Y182" s="16">
        <v>335.0066</v>
      </c>
      <c r="Z182" s="26" t="s">
        <v>32</v>
      </c>
      <c r="AA182" s="25">
        <f t="shared" si="4"/>
        <v>260.3666</v>
      </c>
      <c r="AB182" s="25">
        <f t="shared" si="5"/>
        <v>326.6197125</v>
      </c>
    </row>
    <row r="183" spans="1:28">
      <c r="A183" s="8">
        <v>45473</v>
      </c>
      <c r="B183" s="16">
        <v>328.8528</v>
      </c>
      <c r="C183" s="16">
        <v>310.7817</v>
      </c>
      <c r="D183" s="16">
        <v>299.2097</v>
      </c>
      <c r="E183" s="16">
        <v>285.6758</v>
      </c>
      <c r="F183" s="16">
        <v>270.1576</v>
      </c>
      <c r="G183" s="16">
        <v>258.4865</v>
      </c>
      <c r="H183" s="16">
        <v>255.1453</v>
      </c>
      <c r="I183" s="16">
        <v>246.3191</v>
      </c>
      <c r="J183" s="16">
        <v>230.2724</v>
      </c>
      <c r="K183" s="16">
        <v>248.9722</v>
      </c>
      <c r="L183" s="16">
        <v>253.1553</v>
      </c>
      <c r="M183" s="16">
        <v>258.0997</v>
      </c>
      <c r="N183" s="16">
        <v>258.1403</v>
      </c>
      <c r="O183" s="16">
        <v>275.8599</v>
      </c>
      <c r="P183" s="16">
        <v>275.4214</v>
      </c>
      <c r="Q183" s="16">
        <v>272.5599</v>
      </c>
      <c r="R183" s="16">
        <v>285.018</v>
      </c>
      <c r="S183" s="16">
        <v>299.1777</v>
      </c>
      <c r="T183" s="16">
        <v>293.2014</v>
      </c>
      <c r="U183" s="16">
        <v>300.1773</v>
      </c>
      <c r="V183" s="16">
        <v>317.2272</v>
      </c>
      <c r="W183" s="16">
        <v>330.6842</v>
      </c>
      <c r="X183" s="16">
        <v>329.0671</v>
      </c>
      <c r="Y183" s="16">
        <v>311.2476</v>
      </c>
      <c r="Z183" s="26" t="s">
        <v>32</v>
      </c>
      <c r="AA183" s="25">
        <f t="shared" si="4"/>
        <v>230.2724</v>
      </c>
      <c r="AB183" s="25">
        <f t="shared" si="5"/>
        <v>283.037920833333</v>
      </c>
    </row>
    <row r="184" spans="1:28">
      <c r="A184" s="8">
        <v>45474</v>
      </c>
      <c r="B184" s="16">
        <v>323.9088</v>
      </c>
      <c r="C184" s="16">
        <v>310.9552</v>
      </c>
      <c r="D184" s="16">
        <v>301.5559</v>
      </c>
      <c r="E184" s="16">
        <v>289.3937</v>
      </c>
      <c r="F184" s="16">
        <v>258.8428</v>
      </c>
      <c r="G184" s="16">
        <v>238.6319</v>
      </c>
      <c r="H184" s="16">
        <v>250.8192</v>
      </c>
      <c r="I184" s="16">
        <v>228.6586</v>
      </c>
      <c r="J184" s="16">
        <v>319.692</v>
      </c>
      <c r="K184" s="16">
        <v>350.4331</v>
      </c>
      <c r="L184" s="16">
        <v>351.7257</v>
      </c>
      <c r="M184" s="16">
        <v>362.0762</v>
      </c>
      <c r="N184" s="16">
        <v>298.0155</v>
      </c>
      <c r="O184" s="16">
        <v>352.756</v>
      </c>
      <c r="P184" s="16">
        <v>367.7514</v>
      </c>
      <c r="Q184" s="16">
        <v>362.8818</v>
      </c>
      <c r="R184" s="16">
        <v>379.478</v>
      </c>
      <c r="S184" s="16">
        <v>361.8299</v>
      </c>
      <c r="T184" s="16">
        <v>339.3493</v>
      </c>
      <c r="U184" s="16">
        <v>361.6626</v>
      </c>
      <c r="V184" s="16">
        <v>356.2243</v>
      </c>
      <c r="W184" s="16">
        <v>364.5547</v>
      </c>
      <c r="X184" s="16">
        <v>370.0723</v>
      </c>
      <c r="Y184" s="16">
        <v>339.5908</v>
      </c>
      <c r="Z184" s="26" t="s">
        <v>32</v>
      </c>
      <c r="AA184" s="25">
        <f t="shared" si="4"/>
        <v>228.6586</v>
      </c>
      <c r="AB184" s="25">
        <f t="shared" si="5"/>
        <v>326.7024875</v>
      </c>
    </row>
    <row r="185" spans="1:28">
      <c r="A185" s="8">
        <v>45475</v>
      </c>
      <c r="B185" s="16">
        <v>333.3878</v>
      </c>
      <c r="C185" s="16">
        <v>319.258</v>
      </c>
      <c r="D185" s="16">
        <v>306.5856</v>
      </c>
      <c r="E185" s="16">
        <v>300.6761</v>
      </c>
      <c r="F185" s="16">
        <v>293.4933</v>
      </c>
      <c r="G185" s="16">
        <v>288.4997</v>
      </c>
      <c r="H185" s="16">
        <v>288.4942</v>
      </c>
      <c r="I185" s="16">
        <v>282.5004</v>
      </c>
      <c r="J185" s="16">
        <v>311.7027</v>
      </c>
      <c r="K185" s="16">
        <v>344.869</v>
      </c>
      <c r="L185" s="16">
        <v>351.6256</v>
      </c>
      <c r="M185" s="16">
        <v>356.385</v>
      </c>
      <c r="N185" s="16">
        <v>303.7254</v>
      </c>
      <c r="O185" s="16">
        <v>372.6132</v>
      </c>
      <c r="P185" s="16">
        <v>362.9011</v>
      </c>
      <c r="Q185" s="16">
        <v>353.1868</v>
      </c>
      <c r="R185" s="16">
        <v>368.5127</v>
      </c>
      <c r="S185" s="16">
        <v>354.5498</v>
      </c>
      <c r="T185" s="16">
        <v>331.9491</v>
      </c>
      <c r="U185" s="16">
        <v>366.4828</v>
      </c>
      <c r="V185" s="16">
        <v>356.2048</v>
      </c>
      <c r="W185" s="16">
        <v>357.0431</v>
      </c>
      <c r="X185" s="16">
        <v>362.9342</v>
      </c>
      <c r="Y185" s="16">
        <v>341.4542</v>
      </c>
      <c r="Z185" s="26" t="s">
        <v>32</v>
      </c>
      <c r="AA185" s="25">
        <f t="shared" si="4"/>
        <v>282.5004</v>
      </c>
      <c r="AB185" s="25">
        <f t="shared" si="5"/>
        <v>333.709775</v>
      </c>
    </row>
    <row r="186" spans="1:28">
      <c r="A186" s="8">
        <v>45476</v>
      </c>
      <c r="B186" s="16">
        <v>401.7577</v>
      </c>
      <c r="C186" s="16">
        <v>361.2487</v>
      </c>
      <c r="D186" s="16">
        <v>338.0218</v>
      </c>
      <c r="E186" s="16">
        <v>323.8008</v>
      </c>
      <c r="F186" s="16">
        <v>311.5741</v>
      </c>
      <c r="G186" s="16">
        <v>306.791</v>
      </c>
      <c r="H186" s="16">
        <v>309.0892</v>
      </c>
      <c r="I186" s="16">
        <v>304.0683</v>
      </c>
      <c r="J186" s="16">
        <v>331.9242</v>
      </c>
      <c r="K186" s="16">
        <v>377.7017</v>
      </c>
      <c r="L186" s="16">
        <v>422.1106</v>
      </c>
      <c r="M186" s="16">
        <v>403.317</v>
      </c>
      <c r="N186" s="16">
        <v>357.2688</v>
      </c>
      <c r="O186" s="16">
        <v>392.9665</v>
      </c>
      <c r="P186" s="16">
        <v>401.5673</v>
      </c>
      <c r="Q186" s="16">
        <v>392.7989</v>
      </c>
      <c r="R186" s="16">
        <v>414.4374</v>
      </c>
      <c r="S186" s="16">
        <v>383.0435</v>
      </c>
      <c r="T186" s="16">
        <v>343.6567</v>
      </c>
      <c r="U186" s="16">
        <v>368.6122</v>
      </c>
      <c r="V186" s="16">
        <v>367.7129</v>
      </c>
      <c r="W186" s="16">
        <v>370.7737</v>
      </c>
      <c r="X186" s="16">
        <v>378.8061</v>
      </c>
      <c r="Y186" s="16">
        <v>364.7351</v>
      </c>
      <c r="Z186" s="26" t="s">
        <v>32</v>
      </c>
      <c r="AA186" s="25">
        <f t="shared" si="4"/>
        <v>304.0683</v>
      </c>
      <c r="AB186" s="25">
        <f t="shared" si="5"/>
        <v>363.657675</v>
      </c>
    </row>
    <row r="187" spans="1:28">
      <c r="A187" s="8">
        <v>45477</v>
      </c>
      <c r="B187" s="16">
        <v>330.7324</v>
      </c>
      <c r="C187" s="16">
        <v>326.0727</v>
      </c>
      <c r="D187" s="16">
        <v>317.0581</v>
      </c>
      <c r="E187" s="16">
        <v>310.6343</v>
      </c>
      <c r="F187" s="16">
        <v>307.2479</v>
      </c>
      <c r="G187" s="16">
        <v>302.6251</v>
      </c>
      <c r="H187" s="16">
        <v>304.7394</v>
      </c>
      <c r="I187" s="16">
        <v>299.7708</v>
      </c>
      <c r="J187" s="16">
        <v>317.582</v>
      </c>
      <c r="K187" s="16">
        <v>356.5389</v>
      </c>
      <c r="L187" s="16">
        <v>355.2677</v>
      </c>
      <c r="M187" s="16">
        <v>351.9659</v>
      </c>
      <c r="N187" s="16">
        <v>310.462</v>
      </c>
      <c r="O187" s="16">
        <v>343.3174</v>
      </c>
      <c r="P187" s="16">
        <v>347.6226</v>
      </c>
      <c r="Q187" s="16">
        <v>346.5787</v>
      </c>
      <c r="R187" s="16">
        <v>357.0415</v>
      </c>
      <c r="S187" s="16">
        <v>363.9838</v>
      </c>
      <c r="T187" s="16">
        <v>339.1314</v>
      </c>
      <c r="U187" s="16">
        <v>364.1278</v>
      </c>
      <c r="V187" s="16">
        <v>365.9635</v>
      </c>
      <c r="W187" s="16">
        <v>367.8916</v>
      </c>
      <c r="X187" s="16">
        <v>357.6662</v>
      </c>
      <c r="Y187" s="16">
        <v>338.3127</v>
      </c>
      <c r="Z187" s="26" t="s">
        <v>33</v>
      </c>
      <c r="AA187" s="25">
        <f t="shared" si="4"/>
        <v>299.7708</v>
      </c>
      <c r="AB187" s="25">
        <f t="shared" si="5"/>
        <v>336.763933333333</v>
      </c>
    </row>
    <row r="188" spans="1:28">
      <c r="A188" s="8">
        <v>45478</v>
      </c>
      <c r="B188" s="16">
        <v>385.4642</v>
      </c>
      <c r="C188" s="16">
        <v>361.082</v>
      </c>
      <c r="D188" s="16">
        <v>343.7902</v>
      </c>
      <c r="E188" s="16">
        <v>331.0385</v>
      </c>
      <c r="F188" s="16">
        <v>324.0348</v>
      </c>
      <c r="G188" s="16">
        <v>315.3683</v>
      </c>
      <c r="H188" s="16">
        <v>316.0326</v>
      </c>
      <c r="I188" s="16">
        <v>305.1253</v>
      </c>
      <c r="J188" s="16">
        <v>334.8229</v>
      </c>
      <c r="K188" s="16">
        <v>382.5157</v>
      </c>
      <c r="L188" s="16">
        <v>379.5733</v>
      </c>
      <c r="M188" s="16">
        <v>366.9497</v>
      </c>
      <c r="N188" s="16">
        <v>336.0928</v>
      </c>
      <c r="O188" s="16">
        <v>362.7958</v>
      </c>
      <c r="P188" s="16">
        <v>369.5679</v>
      </c>
      <c r="Q188" s="16">
        <v>374.0053</v>
      </c>
      <c r="R188" s="16">
        <v>380.4908</v>
      </c>
      <c r="S188" s="16">
        <v>369.6201</v>
      </c>
      <c r="T188" s="16">
        <v>345.1541</v>
      </c>
      <c r="U188" s="16">
        <v>372.0849</v>
      </c>
      <c r="V188" s="16">
        <v>363.3022</v>
      </c>
      <c r="W188" s="16">
        <v>358.3888</v>
      </c>
      <c r="X188" s="16">
        <v>373.8977</v>
      </c>
      <c r="Y188" s="16">
        <v>359.6054</v>
      </c>
      <c r="Z188" s="26" t="s">
        <v>34</v>
      </c>
      <c r="AA188" s="25">
        <f t="shared" si="4"/>
        <v>305.1253</v>
      </c>
      <c r="AB188" s="25">
        <f t="shared" si="5"/>
        <v>354.616804166667</v>
      </c>
    </row>
    <row r="189" spans="1:28">
      <c r="A189" s="8">
        <v>45479</v>
      </c>
      <c r="B189" s="16">
        <v>370.1605</v>
      </c>
      <c r="C189" s="16">
        <v>355.4837</v>
      </c>
      <c r="D189" s="16">
        <v>339.4732</v>
      </c>
      <c r="E189" s="16">
        <v>327.5993</v>
      </c>
      <c r="F189" s="16">
        <v>317.5819</v>
      </c>
      <c r="G189" s="16">
        <v>308.8857</v>
      </c>
      <c r="H189" s="16">
        <v>307.347</v>
      </c>
      <c r="I189" s="16">
        <v>298.6095</v>
      </c>
      <c r="J189" s="16">
        <v>312.8142</v>
      </c>
      <c r="K189" s="16">
        <v>338.9098</v>
      </c>
      <c r="L189" s="16">
        <v>349.1066</v>
      </c>
      <c r="M189" s="16">
        <v>353.7989</v>
      </c>
      <c r="N189" s="16">
        <v>315.0672</v>
      </c>
      <c r="O189" s="16">
        <v>351.0165</v>
      </c>
      <c r="P189" s="16">
        <v>364.0968</v>
      </c>
      <c r="Q189" s="16">
        <v>369.0502</v>
      </c>
      <c r="R189" s="16">
        <v>365.7998</v>
      </c>
      <c r="S189" s="16">
        <v>360.4599</v>
      </c>
      <c r="T189" s="16">
        <v>342.8432</v>
      </c>
      <c r="U189" s="16">
        <v>358.4551</v>
      </c>
      <c r="V189" s="16">
        <v>367.2164</v>
      </c>
      <c r="W189" s="16">
        <v>372.9591</v>
      </c>
      <c r="X189" s="16">
        <v>373.6325</v>
      </c>
      <c r="Y189" s="16">
        <v>361.1147</v>
      </c>
      <c r="Z189" s="26" t="s">
        <v>32</v>
      </c>
      <c r="AA189" s="25">
        <f t="shared" si="4"/>
        <v>298.6095</v>
      </c>
      <c r="AB189" s="25">
        <f t="shared" si="5"/>
        <v>345.0617375</v>
      </c>
    </row>
    <row r="190" spans="1:28">
      <c r="A190" s="8">
        <v>45480</v>
      </c>
      <c r="B190" s="16">
        <v>420.9639</v>
      </c>
      <c r="C190" s="16">
        <v>397.5912</v>
      </c>
      <c r="D190" s="16">
        <v>362.2812</v>
      </c>
      <c r="E190" s="16">
        <v>346.9995</v>
      </c>
      <c r="F190" s="16">
        <v>331.8376</v>
      </c>
      <c r="G190" s="16">
        <v>322.0558</v>
      </c>
      <c r="H190" s="16">
        <v>318.744</v>
      </c>
      <c r="I190" s="16">
        <v>309.4319</v>
      </c>
      <c r="J190" s="16">
        <v>311.2262</v>
      </c>
      <c r="K190" s="16">
        <v>324.601</v>
      </c>
      <c r="L190" s="16">
        <v>325.0899</v>
      </c>
      <c r="M190" s="16">
        <v>318.8599</v>
      </c>
      <c r="N190" s="16">
        <v>279.4239</v>
      </c>
      <c r="O190" s="16">
        <v>329.0777</v>
      </c>
      <c r="P190" s="16">
        <v>342.5201</v>
      </c>
      <c r="Q190" s="16">
        <v>340.1041</v>
      </c>
      <c r="R190" s="16">
        <v>340.8322</v>
      </c>
      <c r="S190" s="16">
        <v>343.5026</v>
      </c>
      <c r="T190" s="16">
        <v>332.2034</v>
      </c>
      <c r="U190" s="16">
        <v>342.5079</v>
      </c>
      <c r="V190" s="16">
        <v>350.3554</v>
      </c>
      <c r="W190" s="16">
        <v>372.9362</v>
      </c>
      <c r="X190" s="16">
        <v>366.2216</v>
      </c>
      <c r="Y190" s="16">
        <v>348.061</v>
      </c>
      <c r="Z190" s="26" t="s">
        <v>32</v>
      </c>
      <c r="AA190" s="25">
        <f t="shared" si="4"/>
        <v>279.4239</v>
      </c>
      <c r="AB190" s="25">
        <f t="shared" si="5"/>
        <v>340.726175</v>
      </c>
    </row>
    <row r="191" spans="1:28">
      <c r="A191" s="8">
        <v>45481</v>
      </c>
      <c r="B191" s="16">
        <v>426.2333</v>
      </c>
      <c r="C191" s="16">
        <v>378.1639</v>
      </c>
      <c r="D191" s="16">
        <v>360.5584</v>
      </c>
      <c r="E191" s="16">
        <v>345.049</v>
      </c>
      <c r="F191" s="16">
        <v>332.5098</v>
      </c>
      <c r="G191" s="16">
        <v>324.0195</v>
      </c>
      <c r="H191" s="16">
        <v>326.8548</v>
      </c>
      <c r="I191" s="16">
        <v>318.0139</v>
      </c>
      <c r="J191" s="16">
        <v>344.9611</v>
      </c>
      <c r="K191" s="16">
        <v>417.2033</v>
      </c>
      <c r="L191" s="16">
        <v>408.1245</v>
      </c>
      <c r="M191" s="16">
        <v>400.263</v>
      </c>
      <c r="N191" s="16">
        <v>362.6991</v>
      </c>
      <c r="O191" s="16">
        <v>417.866</v>
      </c>
      <c r="P191" s="16">
        <v>398.8835</v>
      </c>
      <c r="Q191" s="16">
        <v>392.7113</v>
      </c>
      <c r="R191" s="16">
        <v>402.6392</v>
      </c>
      <c r="S191" s="16">
        <v>381.3373</v>
      </c>
      <c r="T191" s="16">
        <v>354.6128</v>
      </c>
      <c r="U191" s="16">
        <v>371.1208</v>
      </c>
      <c r="V191" s="16">
        <v>373.6314</v>
      </c>
      <c r="W191" s="16">
        <v>375.6387</v>
      </c>
      <c r="X191" s="16">
        <v>387.3831</v>
      </c>
      <c r="Y191" s="16">
        <v>365.5049</v>
      </c>
      <c r="Z191" s="26" t="s">
        <v>32</v>
      </c>
      <c r="AA191" s="25">
        <f t="shared" si="4"/>
        <v>318.0139</v>
      </c>
      <c r="AB191" s="25">
        <f t="shared" si="5"/>
        <v>373.582608333333</v>
      </c>
    </row>
    <row r="192" spans="1:28">
      <c r="A192" s="8">
        <v>45482</v>
      </c>
      <c r="B192" s="16">
        <v>381.3851</v>
      </c>
      <c r="C192" s="16">
        <v>368.49</v>
      </c>
      <c r="D192" s="16">
        <v>348.9285</v>
      </c>
      <c r="E192" s="16">
        <v>336.4583</v>
      </c>
      <c r="F192" s="16">
        <v>324.8318</v>
      </c>
      <c r="G192" s="16">
        <v>316.7122</v>
      </c>
      <c r="H192" s="16">
        <v>318.1252</v>
      </c>
      <c r="I192" s="16">
        <v>308.5402</v>
      </c>
      <c r="J192" s="16">
        <v>333.4988</v>
      </c>
      <c r="K192" s="16">
        <v>395.5227</v>
      </c>
      <c r="L192" s="16">
        <v>371.4848</v>
      </c>
      <c r="M192" s="16">
        <v>367.4838</v>
      </c>
      <c r="N192" s="16">
        <v>322.144</v>
      </c>
      <c r="O192" s="16">
        <v>366.0508</v>
      </c>
      <c r="P192" s="16">
        <v>374.8629</v>
      </c>
      <c r="Q192" s="16">
        <v>372.5384</v>
      </c>
      <c r="R192" s="16">
        <v>378.209</v>
      </c>
      <c r="S192" s="16">
        <v>371.085</v>
      </c>
      <c r="T192" s="16">
        <v>356.2554</v>
      </c>
      <c r="U192" s="16">
        <v>373.0525</v>
      </c>
      <c r="V192" s="16">
        <v>373.0295</v>
      </c>
      <c r="W192" s="16">
        <v>363.9898</v>
      </c>
      <c r="X192" s="16">
        <v>374.1414</v>
      </c>
      <c r="Y192" s="16">
        <v>352.918</v>
      </c>
      <c r="Z192" s="26" t="s">
        <v>32</v>
      </c>
      <c r="AA192" s="25">
        <f t="shared" si="4"/>
        <v>308.5402</v>
      </c>
      <c r="AB192" s="25">
        <f t="shared" si="5"/>
        <v>356.2390875</v>
      </c>
    </row>
    <row r="193" spans="1:28">
      <c r="A193" s="8">
        <v>45483</v>
      </c>
      <c r="B193" s="16">
        <v>409.3563</v>
      </c>
      <c r="C193" s="16">
        <v>391.6077</v>
      </c>
      <c r="D193" s="16">
        <v>363.4429</v>
      </c>
      <c r="E193" s="16">
        <v>347.4068</v>
      </c>
      <c r="F193" s="16">
        <v>335.0869</v>
      </c>
      <c r="G193" s="16">
        <v>325.8784</v>
      </c>
      <c r="H193" s="16">
        <v>326.3726</v>
      </c>
      <c r="I193" s="16">
        <v>315.902</v>
      </c>
      <c r="J193" s="16">
        <v>330.1934</v>
      </c>
      <c r="K193" s="16">
        <v>399.3323</v>
      </c>
      <c r="L193" s="16">
        <v>386.6582</v>
      </c>
      <c r="M193" s="16">
        <v>371.1365</v>
      </c>
      <c r="N193" s="16">
        <v>330.1865</v>
      </c>
      <c r="O193" s="16">
        <v>363.4206</v>
      </c>
      <c r="P193" s="16">
        <v>371.9776</v>
      </c>
      <c r="Q193" s="16">
        <v>382.5715</v>
      </c>
      <c r="R193" s="16">
        <v>381.554</v>
      </c>
      <c r="S193" s="16">
        <v>377.0229</v>
      </c>
      <c r="T193" s="16">
        <v>365.8831</v>
      </c>
      <c r="U193" s="16">
        <v>377.5183</v>
      </c>
      <c r="V193" s="16">
        <v>380.5451</v>
      </c>
      <c r="W193" s="16">
        <v>382.3887</v>
      </c>
      <c r="X193" s="16">
        <v>395.0687</v>
      </c>
      <c r="Y193" s="16">
        <v>374.6772</v>
      </c>
      <c r="Z193" s="26" t="s">
        <v>32</v>
      </c>
      <c r="AA193" s="25">
        <f t="shared" si="4"/>
        <v>315.902</v>
      </c>
      <c r="AB193" s="25">
        <f t="shared" si="5"/>
        <v>366.049508333333</v>
      </c>
    </row>
    <row r="194" spans="1:28">
      <c r="A194" s="8">
        <v>45484</v>
      </c>
      <c r="B194" s="16">
        <v>429.9579</v>
      </c>
      <c r="C194" s="16">
        <v>413.5652</v>
      </c>
      <c r="D194" s="16">
        <v>393.1383</v>
      </c>
      <c r="E194" s="16">
        <v>362.9927</v>
      </c>
      <c r="F194" s="16">
        <v>347.6027</v>
      </c>
      <c r="G194" s="16">
        <v>340.2985</v>
      </c>
      <c r="H194" s="16">
        <v>340.4643</v>
      </c>
      <c r="I194" s="16">
        <v>330.3514</v>
      </c>
      <c r="J194" s="16">
        <v>345.0248</v>
      </c>
      <c r="K194" s="16">
        <v>371.0651</v>
      </c>
      <c r="L194" s="16">
        <v>371.4023</v>
      </c>
      <c r="M194" s="16">
        <v>370.6932</v>
      </c>
      <c r="N194" s="16">
        <v>340.8966</v>
      </c>
      <c r="O194" s="16">
        <v>365.3087</v>
      </c>
      <c r="P194" s="16">
        <v>381.7836</v>
      </c>
      <c r="Q194" s="16">
        <v>386.8516</v>
      </c>
      <c r="R194" s="16">
        <v>392.9116</v>
      </c>
      <c r="S194" s="16">
        <v>385.3039</v>
      </c>
      <c r="T194" s="16">
        <v>366.7613</v>
      </c>
      <c r="U194" s="16">
        <v>374.3844</v>
      </c>
      <c r="V194" s="16">
        <v>369.5625</v>
      </c>
      <c r="W194" s="16">
        <v>370.8312</v>
      </c>
      <c r="X194" s="16">
        <v>377.111</v>
      </c>
      <c r="Y194" s="16">
        <v>372.8965</v>
      </c>
      <c r="Z194" s="26" t="s">
        <v>33</v>
      </c>
      <c r="AA194" s="25">
        <f t="shared" ref="AA194:AA257" si="6">MIN($B194:$Y194)</f>
        <v>330.3514</v>
      </c>
      <c r="AB194" s="25">
        <f t="shared" ref="AB194:AB257" si="7">AVERAGE($B194:$Y194)</f>
        <v>370.8816375</v>
      </c>
    </row>
    <row r="195" spans="1:28">
      <c r="A195" s="8">
        <v>45485</v>
      </c>
      <c r="B195" s="16">
        <v>431.2835</v>
      </c>
      <c r="C195" s="16">
        <v>399.5035</v>
      </c>
      <c r="D195" s="16">
        <v>384.4495</v>
      </c>
      <c r="E195" s="16">
        <v>354.8439</v>
      </c>
      <c r="F195" s="16">
        <v>342.3533</v>
      </c>
      <c r="G195" s="16">
        <v>335.9358</v>
      </c>
      <c r="H195" s="16">
        <v>336.1933</v>
      </c>
      <c r="I195" s="16">
        <v>331.7118</v>
      </c>
      <c r="J195" s="16">
        <v>347.7375</v>
      </c>
      <c r="K195" s="16">
        <v>384.8023</v>
      </c>
      <c r="L195" s="16">
        <v>377.7167</v>
      </c>
      <c r="M195" s="16">
        <v>380.1968</v>
      </c>
      <c r="N195" s="16">
        <v>356.2128</v>
      </c>
      <c r="O195" s="16">
        <v>384.1273</v>
      </c>
      <c r="P195" s="16">
        <v>393.4284</v>
      </c>
      <c r="Q195" s="16">
        <v>388.0422</v>
      </c>
      <c r="R195" s="16">
        <v>379.918</v>
      </c>
      <c r="S195" s="16">
        <v>362.9471</v>
      </c>
      <c r="T195" s="16">
        <v>347.6551</v>
      </c>
      <c r="U195" s="16">
        <v>352.1513</v>
      </c>
      <c r="V195" s="16">
        <v>356.3784</v>
      </c>
      <c r="W195" s="16">
        <v>355.8815</v>
      </c>
      <c r="X195" s="16">
        <v>359.1504</v>
      </c>
      <c r="Y195" s="16">
        <v>359.4484</v>
      </c>
      <c r="Z195" s="26" t="s">
        <v>34</v>
      </c>
      <c r="AA195" s="25">
        <f t="shared" si="6"/>
        <v>331.7118</v>
      </c>
      <c r="AB195" s="25">
        <f t="shared" si="7"/>
        <v>366.752866666667</v>
      </c>
    </row>
    <row r="196" spans="1:28">
      <c r="A196" s="8">
        <v>45486</v>
      </c>
      <c r="B196" s="16">
        <v>465.2585</v>
      </c>
      <c r="C196" s="16">
        <v>414.2136</v>
      </c>
      <c r="D196" s="16">
        <v>391.0051</v>
      </c>
      <c r="E196" s="16">
        <v>359.7833</v>
      </c>
      <c r="F196" s="16">
        <v>343.961</v>
      </c>
      <c r="G196" s="16">
        <v>336.3265</v>
      </c>
      <c r="H196" s="16">
        <v>331.6545</v>
      </c>
      <c r="I196" s="16">
        <v>323.036</v>
      </c>
      <c r="J196" s="16">
        <v>335.4315</v>
      </c>
      <c r="K196" s="16">
        <v>354.0752</v>
      </c>
      <c r="L196" s="16">
        <v>360.383</v>
      </c>
      <c r="M196" s="16">
        <v>357.4937</v>
      </c>
      <c r="N196" s="16">
        <v>334.6426</v>
      </c>
      <c r="O196" s="16">
        <v>362.4204</v>
      </c>
      <c r="P196" s="16">
        <v>388.7749</v>
      </c>
      <c r="Q196" s="16">
        <v>383.7192</v>
      </c>
      <c r="R196" s="16">
        <v>403.3552</v>
      </c>
      <c r="S196" s="16">
        <v>406.9408</v>
      </c>
      <c r="T196" s="16">
        <v>354.6413</v>
      </c>
      <c r="U196" s="16">
        <v>381.0363</v>
      </c>
      <c r="V196" s="16">
        <v>377.3319</v>
      </c>
      <c r="W196" s="16">
        <v>383.7446</v>
      </c>
      <c r="X196" s="16">
        <v>374.3772</v>
      </c>
      <c r="Y196" s="16">
        <v>385.9597</v>
      </c>
      <c r="Z196" s="26" t="s">
        <v>32</v>
      </c>
      <c r="AA196" s="25">
        <f t="shared" si="6"/>
        <v>323.036</v>
      </c>
      <c r="AB196" s="25">
        <f t="shared" si="7"/>
        <v>371.231916666667</v>
      </c>
    </row>
    <row r="197" spans="1:28">
      <c r="A197" s="8">
        <v>45487</v>
      </c>
      <c r="B197" s="16">
        <v>423.3897</v>
      </c>
      <c r="C197" s="16">
        <v>380.3407</v>
      </c>
      <c r="D197" s="16">
        <v>370.723</v>
      </c>
      <c r="E197" s="16">
        <v>359.248</v>
      </c>
      <c r="F197" s="16">
        <v>341.6423</v>
      </c>
      <c r="G197" s="16">
        <v>330.0782</v>
      </c>
      <c r="H197" s="16">
        <v>322.5116</v>
      </c>
      <c r="I197" s="16">
        <v>309.1128</v>
      </c>
      <c r="J197" s="16">
        <v>305.1801</v>
      </c>
      <c r="K197" s="16">
        <v>311.5827</v>
      </c>
      <c r="L197" s="16">
        <v>308.3294</v>
      </c>
      <c r="M197" s="16">
        <v>308.8313</v>
      </c>
      <c r="N197" s="16">
        <v>306.5849</v>
      </c>
      <c r="O197" s="16">
        <v>326.0835</v>
      </c>
      <c r="P197" s="16">
        <v>320.5755</v>
      </c>
      <c r="Q197" s="16">
        <v>318.9637</v>
      </c>
      <c r="R197" s="16">
        <v>317.6972</v>
      </c>
      <c r="S197" s="16">
        <v>318.8191</v>
      </c>
      <c r="T197" s="16">
        <v>321.8642</v>
      </c>
      <c r="U197" s="16">
        <v>335.3726</v>
      </c>
      <c r="V197" s="16">
        <v>340.3099</v>
      </c>
      <c r="W197" s="16">
        <v>353.2392</v>
      </c>
      <c r="X197" s="16">
        <v>344.4572</v>
      </c>
      <c r="Y197" s="16">
        <v>342.3226</v>
      </c>
      <c r="Z197" s="26" t="s">
        <v>32</v>
      </c>
      <c r="AA197" s="25">
        <f t="shared" si="6"/>
        <v>305.1801</v>
      </c>
      <c r="AB197" s="25">
        <f t="shared" si="7"/>
        <v>334.052475</v>
      </c>
    </row>
    <row r="198" spans="1:28">
      <c r="A198" s="8">
        <v>45488</v>
      </c>
      <c r="B198" s="16">
        <v>336.7658</v>
      </c>
      <c r="C198" s="16">
        <v>334.706</v>
      </c>
      <c r="D198" s="16">
        <v>330.0917</v>
      </c>
      <c r="E198" s="16">
        <v>324.2961</v>
      </c>
      <c r="F198" s="16">
        <v>315.7548</v>
      </c>
      <c r="G198" s="16">
        <v>309.5928</v>
      </c>
      <c r="H198" s="16">
        <v>311.0535</v>
      </c>
      <c r="I198" s="16">
        <v>305.9238</v>
      </c>
      <c r="J198" s="16">
        <v>334.0306</v>
      </c>
      <c r="K198" s="16">
        <v>370.7843</v>
      </c>
      <c r="L198" s="16">
        <v>377.9</v>
      </c>
      <c r="M198" s="16">
        <v>368.8701</v>
      </c>
      <c r="N198" s="16">
        <v>348.1951</v>
      </c>
      <c r="O198" s="16">
        <v>378.7572</v>
      </c>
      <c r="P198" s="16">
        <v>388.7445</v>
      </c>
      <c r="Q198" s="16">
        <v>375.2339</v>
      </c>
      <c r="R198" s="16">
        <v>376.8077</v>
      </c>
      <c r="S198" s="16">
        <v>357.4855</v>
      </c>
      <c r="T198" s="16">
        <v>337.5617</v>
      </c>
      <c r="U198" s="16">
        <v>352.7816</v>
      </c>
      <c r="V198" s="16">
        <v>351.4957</v>
      </c>
      <c r="W198" s="16">
        <v>356.5093</v>
      </c>
      <c r="X198" s="16">
        <v>351.9321</v>
      </c>
      <c r="Y198" s="16">
        <v>344.7918</v>
      </c>
      <c r="Z198" s="26" t="s">
        <v>32</v>
      </c>
      <c r="AA198" s="25">
        <f t="shared" si="6"/>
        <v>305.9238</v>
      </c>
      <c r="AB198" s="25">
        <f t="shared" si="7"/>
        <v>347.502733333333</v>
      </c>
    </row>
    <row r="199" spans="1:28">
      <c r="A199" s="8">
        <v>45489</v>
      </c>
      <c r="B199" s="16">
        <v>363.5578</v>
      </c>
      <c r="C199" s="16">
        <v>354.26</v>
      </c>
      <c r="D199" s="16">
        <v>350.2748</v>
      </c>
      <c r="E199" s="16">
        <v>340.5424</v>
      </c>
      <c r="F199" s="16">
        <v>323.6561</v>
      </c>
      <c r="G199" s="16">
        <v>315.9272</v>
      </c>
      <c r="H199" s="16">
        <v>316.7471</v>
      </c>
      <c r="I199" s="16">
        <v>313.1575</v>
      </c>
      <c r="J199" s="16">
        <v>328.7136</v>
      </c>
      <c r="K199" s="16">
        <v>372.1792</v>
      </c>
      <c r="L199" s="16">
        <v>366.4604</v>
      </c>
      <c r="M199" s="16">
        <v>357.8453</v>
      </c>
      <c r="N199" s="16">
        <v>323.2279</v>
      </c>
      <c r="O199" s="16">
        <v>348.8933</v>
      </c>
      <c r="P199" s="16">
        <v>359.8713</v>
      </c>
      <c r="Q199" s="16">
        <v>359.8205</v>
      </c>
      <c r="R199" s="16">
        <v>438.7534</v>
      </c>
      <c r="S199" s="16">
        <v>421.8208</v>
      </c>
      <c r="T199" s="16">
        <v>342.221</v>
      </c>
      <c r="U199" s="16">
        <v>382.2415</v>
      </c>
      <c r="V199" s="16">
        <v>376.3888</v>
      </c>
      <c r="W199" s="16">
        <v>374.2399</v>
      </c>
      <c r="X199" s="16">
        <v>377.0799</v>
      </c>
      <c r="Y199" s="16">
        <v>356.091</v>
      </c>
      <c r="Z199" s="26" t="s">
        <v>32</v>
      </c>
      <c r="AA199" s="25">
        <f t="shared" si="6"/>
        <v>313.1575</v>
      </c>
      <c r="AB199" s="25">
        <f t="shared" si="7"/>
        <v>356.8321125</v>
      </c>
    </row>
    <row r="200" spans="1:28">
      <c r="A200" s="8">
        <v>45490</v>
      </c>
      <c r="B200" s="16">
        <v>363.1581</v>
      </c>
      <c r="C200" s="16">
        <v>346.4171</v>
      </c>
      <c r="D200" s="16">
        <v>339.2793</v>
      </c>
      <c r="E200" s="16">
        <v>328.3177</v>
      </c>
      <c r="F200" s="16">
        <v>318.8974</v>
      </c>
      <c r="G200" s="16">
        <v>312.9835</v>
      </c>
      <c r="H200" s="16">
        <v>312.7038</v>
      </c>
      <c r="I200" s="16">
        <v>310.854</v>
      </c>
      <c r="J200" s="16">
        <v>329.7339</v>
      </c>
      <c r="K200" s="16">
        <v>370.2594</v>
      </c>
      <c r="L200" s="16">
        <v>380.1357</v>
      </c>
      <c r="M200" s="16">
        <v>370.1027</v>
      </c>
      <c r="N200" s="16">
        <v>342.2569</v>
      </c>
      <c r="O200" s="16">
        <v>370.3345</v>
      </c>
      <c r="P200" s="16">
        <v>396.4673</v>
      </c>
      <c r="Q200" s="16">
        <v>377.5017</v>
      </c>
      <c r="R200" s="16">
        <v>361.6069</v>
      </c>
      <c r="S200" s="16">
        <v>345.0867</v>
      </c>
      <c r="T200" s="16">
        <v>328.4624</v>
      </c>
      <c r="U200" s="16">
        <v>347.863</v>
      </c>
      <c r="V200" s="16">
        <v>346.4496</v>
      </c>
      <c r="W200" s="16">
        <v>350.1454</v>
      </c>
      <c r="X200" s="16">
        <v>352.7384</v>
      </c>
      <c r="Y200" s="16">
        <v>337.2844</v>
      </c>
      <c r="Z200" s="26" t="s">
        <v>32</v>
      </c>
      <c r="AA200" s="25">
        <f t="shared" si="6"/>
        <v>310.854</v>
      </c>
      <c r="AB200" s="25">
        <f t="shared" si="7"/>
        <v>347.459991666667</v>
      </c>
    </row>
    <row r="201" spans="1:28">
      <c r="A201" s="8">
        <v>45491</v>
      </c>
      <c r="B201" s="16">
        <v>335.6642</v>
      </c>
      <c r="C201" s="16">
        <v>338.8778</v>
      </c>
      <c r="D201" s="16">
        <v>328.2947</v>
      </c>
      <c r="E201" s="16">
        <v>322.0974</v>
      </c>
      <c r="F201" s="16">
        <v>313.1534</v>
      </c>
      <c r="G201" s="16">
        <v>310.0383</v>
      </c>
      <c r="H201" s="16">
        <v>311.7988</v>
      </c>
      <c r="I201" s="16">
        <v>308.9039</v>
      </c>
      <c r="J201" s="16">
        <v>321.5974</v>
      </c>
      <c r="K201" s="16">
        <v>354.4499</v>
      </c>
      <c r="L201" s="16">
        <v>356.3924</v>
      </c>
      <c r="M201" s="16">
        <v>347.7829</v>
      </c>
      <c r="N201" s="16">
        <v>325.7176</v>
      </c>
      <c r="O201" s="16">
        <v>351.3901</v>
      </c>
      <c r="P201" s="16">
        <v>363.8825</v>
      </c>
      <c r="Q201" s="16">
        <v>349.8872</v>
      </c>
      <c r="R201" s="16">
        <v>361.186</v>
      </c>
      <c r="S201" s="16">
        <v>357.5148</v>
      </c>
      <c r="T201" s="16">
        <v>342.5443</v>
      </c>
      <c r="U201" s="16">
        <v>364.8535</v>
      </c>
      <c r="V201" s="16">
        <v>364.3901</v>
      </c>
      <c r="W201" s="16">
        <v>367.8008</v>
      </c>
      <c r="X201" s="16">
        <v>341.1931</v>
      </c>
      <c r="Y201" s="16">
        <v>326.3651</v>
      </c>
      <c r="Z201" s="26" t="s">
        <v>33</v>
      </c>
      <c r="AA201" s="25">
        <f t="shared" si="6"/>
        <v>308.9039</v>
      </c>
      <c r="AB201" s="25">
        <f t="shared" si="7"/>
        <v>340.240675</v>
      </c>
    </row>
    <row r="202" spans="1:28">
      <c r="A202" s="8">
        <v>45492</v>
      </c>
      <c r="B202" s="16">
        <v>375.464</v>
      </c>
      <c r="C202" s="16">
        <v>347.1488</v>
      </c>
      <c r="D202" s="16">
        <v>335.2827</v>
      </c>
      <c r="E202" s="16">
        <v>323.4321</v>
      </c>
      <c r="F202" s="16">
        <v>314.9913</v>
      </c>
      <c r="G202" s="16">
        <v>312.4597</v>
      </c>
      <c r="H202" s="16">
        <v>313.1267</v>
      </c>
      <c r="I202" s="16">
        <v>308.7039</v>
      </c>
      <c r="J202" s="16">
        <v>316.5857</v>
      </c>
      <c r="K202" s="16">
        <v>344.373</v>
      </c>
      <c r="L202" s="16">
        <v>346.6611</v>
      </c>
      <c r="M202" s="16">
        <v>340.7756</v>
      </c>
      <c r="N202" s="16">
        <v>313.1413</v>
      </c>
      <c r="O202" s="16">
        <v>336.886</v>
      </c>
      <c r="P202" s="16">
        <v>356.6288</v>
      </c>
      <c r="Q202" s="16">
        <v>356.4578</v>
      </c>
      <c r="R202" s="16">
        <v>397.0544</v>
      </c>
      <c r="S202" s="16">
        <v>414.9333</v>
      </c>
      <c r="T202" s="16">
        <v>331.114</v>
      </c>
      <c r="U202" s="16">
        <v>375.911</v>
      </c>
      <c r="V202" s="16">
        <v>379.2459</v>
      </c>
      <c r="W202" s="16">
        <v>381.2211</v>
      </c>
      <c r="X202" s="16">
        <v>386.5852</v>
      </c>
      <c r="Y202" s="16">
        <v>359.8284</v>
      </c>
      <c r="Z202" s="26" t="s">
        <v>34</v>
      </c>
      <c r="AA202" s="25">
        <f t="shared" si="6"/>
        <v>308.7039</v>
      </c>
      <c r="AB202" s="25">
        <f t="shared" si="7"/>
        <v>348.667158333333</v>
      </c>
    </row>
    <row r="203" spans="1:28">
      <c r="A203" s="8">
        <v>45493</v>
      </c>
      <c r="B203" s="16">
        <v>331.2648</v>
      </c>
      <c r="C203" s="16">
        <v>322.4074</v>
      </c>
      <c r="D203" s="16">
        <v>321.779</v>
      </c>
      <c r="E203" s="16">
        <v>320.4069</v>
      </c>
      <c r="F203" s="16">
        <v>313.0385</v>
      </c>
      <c r="G203" s="16">
        <v>310.4062</v>
      </c>
      <c r="H203" s="16">
        <v>309.4126</v>
      </c>
      <c r="I203" s="16">
        <v>306.644</v>
      </c>
      <c r="J203" s="16">
        <v>314.4723</v>
      </c>
      <c r="K203" s="16">
        <v>334.4671</v>
      </c>
      <c r="L203" s="16">
        <v>325.6917</v>
      </c>
      <c r="M203" s="16">
        <v>325.0474</v>
      </c>
      <c r="N203" s="16">
        <v>291.919</v>
      </c>
      <c r="O203" s="16">
        <v>330.3912</v>
      </c>
      <c r="P203" s="16">
        <v>345.1643</v>
      </c>
      <c r="Q203" s="16">
        <v>338.6162</v>
      </c>
      <c r="R203" s="16">
        <v>345.1184</v>
      </c>
      <c r="S203" s="16">
        <v>340.7036</v>
      </c>
      <c r="T203" s="16">
        <v>326.3454</v>
      </c>
      <c r="U203" s="16">
        <v>332.5022</v>
      </c>
      <c r="V203" s="16">
        <v>336.0948</v>
      </c>
      <c r="W203" s="16">
        <v>338.9672</v>
      </c>
      <c r="X203" s="16">
        <v>333.0291</v>
      </c>
      <c r="Y203" s="16">
        <v>327.4379</v>
      </c>
      <c r="Z203" s="26" t="s">
        <v>32</v>
      </c>
      <c r="AA203" s="25">
        <f t="shared" si="6"/>
        <v>291.919</v>
      </c>
      <c r="AB203" s="25">
        <f t="shared" si="7"/>
        <v>325.888633333333</v>
      </c>
    </row>
    <row r="204" spans="1:28">
      <c r="A204" s="8">
        <v>45494</v>
      </c>
      <c r="B204" s="16">
        <v>353.4595</v>
      </c>
      <c r="C204" s="16">
        <v>335.4137</v>
      </c>
      <c r="D204" s="16">
        <v>334.3604</v>
      </c>
      <c r="E204" s="16">
        <v>330.1512</v>
      </c>
      <c r="F204" s="16">
        <v>320.1976</v>
      </c>
      <c r="G204" s="16">
        <v>314.2569</v>
      </c>
      <c r="H204" s="16">
        <v>312.1636</v>
      </c>
      <c r="I204" s="16">
        <v>308.0834</v>
      </c>
      <c r="J204" s="16">
        <v>297.1816</v>
      </c>
      <c r="K204" s="16">
        <v>298.7787</v>
      </c>
      <c r="L204" s="16">
        <v>269.0312</v>
      </c>
      <c r="M204" s="16">
        <v>251.6312</v>
      </c>
      <c r="N204" s="16">
        <v>175.3758</v>
      </c>
      <c r="O204" s="16">
        <v>249.8341</v>
      </c>
      <c r="P204" s="16">
        <v>264.2359</v>
      </c>
      <c r="Q204" s="16">
        <v>276.9986</v>
      </c>
      <c r="R204" s="16">
        <v>292.8433</v>
      </c>
      <c r="S204" s="16">
        <v>305.4993</v>
      </c>
      <c r="T204" s="16">
        <v>302.8972</v>
      </c>
      <c r="U204" s="16">
        <v>314.969</v>
      </c>
      <c r="V204" s="16">
        <v>319.6624</v>
      </c>
      <c r="W204" s="16">
        <v>324.1673</v>
      </c>
      <c r="X204" s="16">
        <v>327.4073</v>
      </c>
      <c r="Y204" s="16">
        <v>316.1506</v>
      </c>
      <c r="Z204" s="26" t="s">
        <v>32</v>
      </c>
      <c r="AA204" s="25">
        <f t="shared" si="6"/>
        <v>175.3758</v>
      </c>
      <c r="AB204" s="25">
        <f t="shared" si="7"/>
        <v>299.781241666667</v>
      </c>
    </row>
    <row r="205" spans="1:28">
      <c r="A205" s="8">
        <v>45495</v>
      </c>
      <c r="B205" s="16">
        <v>309.3105</v>
      </c>
      <c r="C205" s="16">
        <v>308.3129</v>
      </c>
      <c r="D205" s="16">
        <v>308.1241</v>
      </c>
      <c r="E205" s="16">
        <v>305.9219</v>
      </c>
      <c r="F205" s="16">
        <v>298.7463</v>
      </c>
      <c r="G205" s="16">
        <v>291.7806</v>
      </c>
      <c r="H205" s="16">
        <v>295.803</v>
      </c>
      <c r="I205" s="16">
        <v>288.9205</v>
      </c>
      <c r="J205" s="16">
        <v>316.5199</v>
      </c>
      <c r="K205" s="16">
        <v>342.1011</v>
      </c>
      <c r="L205" s="16">
        <v>333.7305</v>
      </c>
      <c r="M205" s="16">
        <v>328.4491</v>
      </c>
      <c r="N205" s="16">
        <v>278.0575</v>
      </c>
      <c r="O205" s="16">
        <v>300.7586</v>
      </c>
      <c r="P205" s="16">
        <v>333.519</v>
      </c>
      <c r="Q205" s="16">
        <v>334.0314</v>
      </c>
      <c r="R205" s="16">
        <v>349.9674</v>
      </c>
      <c r="S205" s="16">
        <v>354.5522</v>
      </c>
      <c r="T205" s="16">
        <v>330.5605</v>
      </c>
      <c r="U205" s="16">
        <v>341.5424</v>
      </c>
      <c r="V205" s="16">
        <v>340.2783</v>
      </c>
      <c r="W205" s="16">
        <v>347.3765</v>
      </c>
      <c r="X205" s="16">
        <v>333.2455</v>
      </c>
      <c r="Y205" s="16">
        <v>319.5841</v>
      </c>
      <c r="Z205" s="26" t="s">
        <v>32</v>
      </c>
      <c r="AA205" s="25">
        <f t="shared" si="6"/>
        <v>278.0575</v>
      </c>
      <c r="AB205" s="25">
        <f t="shared" si="7"/>
        <v>320.466408333333</v>
      </c>
    </row>
    <row r="206" spans="1:28">
      <c r="A206" s="8">
        <v>45496</v>
      </c>
      <c r="B206" s="16">
        <v>331.3691</v>
      </c>
      <c r="C206" s="16">
        <v>326.9355</v>
      </c>
      <c r="D206" s="16">
        <v>322.1332</v>
      </c>
      <c r="E206" s="16">
        <v>320.0405</v>
      </c>
      <c r="F206" s="16">
        <v>311.7488</v>
      </c>
      <c r="G206" s="16">
        <v>308.8073</v>
      </c>
      <c r="H206" s="16">
        <v>313.7838</v>
      </c>
      <c r="I206" s="16">
        <v>310.7814</v>
      </c>
      <c r="J206" s="16">
        <v>330.8459</v>
      </c>
      <c r="K206" s="16">
        <v>370.6273</v>
      </c>
      <c r="L206" s="16">
        <v>368.0961</v>
      </c>
      <c r="M206" s="16">
        <v>376.9595</v>
      </c>
      <c r="N206" s="16">
        <v>336.784</v>
      </c>
      <c r="O206" s="16">
        <v>386.8426</v>
      </c>
      <c r="P206" s="16">
        <v>467.1472</v>
      </c>
      <c r="Q206" s="16">
        <v>439.0283</v>
      </c>
      <c r="R206" s="16">
        <v>451.4065</v>
      </c>
      <c r="S206" s="16">
        <v>410.5589</v>
      </c>
      <c r="T206" s="16">
        <v>345.7403</v>
      </c>
      <c r="U206" s="16">
        <v>367.0942</v>
      </c>
      <c r="V206" s="16">
        <v>363.2941</v>
      </c>
      <c r="W206" s="16">
        <v>366.8576</v>
      </c>
      <c r="X206" s="16">
        <v>365.8658</v>
      </c>
      <c r="Y206" s="16">
        <v>344.3272</v>
      </c>
      <c r="Z206" s="26" t="s">
        <v>32</v>
      </c>
      <c r="AA206" s="25">
        <f t="shared" si="6"/>
        <v>308.8073</v>
      </c>
      <c r="AB206" s="25">
        <f t="shared" si="7"/>
        <v>359.878129166667</v>
      </c>
    </row>
    <row r="207" spans="1:28">
      <c r="A207" s="8">
        <v>45497</v>
      </c>
      <c r="B207" s="16">
        <v>364.9131</v>
      </c>
      <c r="C207" s="16">
        <v>351.6173</v>
      </c>
      <c r="D207" s="16">
        <v>349.474</v>
      </c>
      <c r="E207" s="16">
        <v>339.089</v>
      </c>
      <c r="F207" s="16">
        <v>326.1825</v>
      </c>
      <c r="G207" s="16">
        <v>319.8829</v>
      </c>
      <c r="H207" s="16">
        <v>320.086</v>
      </c>
      <c r="I207" s="16">
        <v>319.1349</v>
      </c>
      <c r="J207" s="16">
        <v>342.7133</v>
      </c>
      <c r="K207" s="16">
        <v>367.1383</v>
      </c>
      <c r="L207" s="16">
        <v>365.2543</v>
      </c>
      <c r="M207" s="16">
        <v>363.9769</v>
      </c>
      <c r="N207" s="16">
        <v>331.3443</v>
      </c>
      <c r="O207" s="16">
        <v>366.6025</v>
      </c>
      <c r="P207" s="16">
        <v>402.8068</v>
      </c>
      <c r="Q207" s="16">
        <v>392.6799</v>
      </c>
      <c r="R207" s="16">
        <v>398.2208</v>
      </c>
      <c r="S207" s="16">
        <v>370.6882</v>
      </c>
      <c r="T207" s="16">
        <v>354.1425</v>
      </c>
      <c r="U207" s="16">
        <v>364.62</v>
      </c>
      <c r="V207" s="16">
        <v>359.77</v>
      </c>
      <c r="W207" s="16">
        <v>364.0008</v>
      </c>
      <c r="X207" s="16">
        <v>380.9859</v>
      </c>
      <c r="Y207" s="16">
        <v>362.8515</v>
      </c>
      <c r="Z207" s="26" t="s">
        <v>32</v>
      </c>
      <c r="AA207" s="25">
        <f t="shared" si="6"/>
        <v>319.1349</v>
      </c>
      <c r="AB207" s="25">
        <f t="shared" si="7"/>
        <v>357.4239875</v>
      </c>
    </row>
    <row r="208" spans="1:28">
      <c r="A208" s="8">
        <v>45498</v>
      </c>
      <c r="B208" s="16">
        <v>375.5106</v>
      </c>
      <c r="C208" s="16">
        <v>368.6828</v>
      </c>
      <c r="D208" s="16">
        <v>358.0147</v>
      </c>
      <c r="E208" s="16">
        <v>341.9751</v>
      </c>
      <c r="F208" s="16">
        <v>327.7666</v>
      </c>
      <c r="G208" s="16">
        <v>318.91</v>
      </c>
      <c r="H208" s="16">
        <v>317.1561</v>
      </c>
      <c r="I208" s="16">
        <v>312.8145</v>
      </c>
      <c r="J208" s="16">
        <v>355.7225</v>
      </c>
      <c r="K208" s="16">
        <v>399.3196</v>
      </c>
      <c r="L208" s="16">
        <v>399.8858</v>
      </c>
      <c r="M208" s="16">
        <v>430.7705</v>
      </c>
      <c r="N208" s="16">
        <v>350.8582</v>
      </c>
      <c r="O208" s="16">
        <v>423.2865</v>
      </c>
      <c r="P208" s="16">
        <v>512.5124</v>
      </c>
      <c r="Q208" s="16">
        <v>458.548</v>
      </c>
      <c r="R208" s="16">
        <v>483.9657</v>
      </c>
      <c r="S208" s="16">
        <v>435.3897</v>
      </c>
      <c r="T208" s="16">
        <v>356.831</v>
      </c>
      <c r="U208" s="16">
        <v>386.4997</v>
      </c>
      <c r="V208" s="16">
        <v>387.4186</v>
      </c>
      <c r="W208" s="16">
        <v>399.0263</v>
      </c>
      <c r="X208" s="16">
        <v>402.5432</v>
      </c>
      <c r="Y208" s="16">
        <v>363.0338</v>
      </c>
      <c r="Z208" s="26" t="s">
        <v>33</v>
      </c>
      <c r="AA208" s="25">
        <f t="shared" si="6"/>
        <v>312.8145</v>
      </c>
      <c r="AB208" s="25">
        <f t="shared" si="7"/>
        <v>386.101745833333</v>
      </c>
    </row>
    <row r="209" spans="1:28">
      <c r="A209" s="8">
        <v>45499</v>
      </c>
      <c r="B209" s="16">
        <v>399.5726</v>
      </c>
      <c r="C209" s="16">
        <v>369.6529</v>
      </c>
      <c r="D209" s="16">
        <v>364.3112</v>
      </c>
      <c r="E209" s="16">
        <v>350.7254</v>
      </c>
      <c r="F209" s="16">
        <v>330.5089</v>
      </c>
      <c r="G209" s="16">
        <v>319.6705</v>
      </c>
      <c r="H209" s="16">
        <v>316.9464</v>
      </c>
      <c r="I209" s="16">
        <v>314.5598</v>
      </c>
      <c r="J209" s="16">
        <v>357.0565</v>
      </c>
      <c r="K209" s="16">
        <v>413.046</v>
      </c>
      <c r="L209" s="16">
        <v>431.3653</v>
      </c>
      <c r="M209" s="16">
        <v>461.0657</v>
      </c>
      <c r="N209" s="16">
        <v>364.083</v>
      </c>
      <c r="O209" s="16">
        <v>456.3798</v>
      </c>
      <c r="P209" s="16">
        <v>560.2056</v>
      </c>
      <c r="Q209" s="16">
        <v>516.7781</v>
      </c>
      <c r="R209" s="16">
        <v>532.6089</v>
      </c>
      <c r="S209" s="16">
        <v>426.3167</v>
      </c>
      <c r="T209" s="16">
        <v>357.5943</v>
      </c>
      <c r="U209" s="16">
        <v>410.8674</v>
      </c>
      <c r="V209" s="16">
        <v>413.5996</v>
      </c>
      <c r="W209" s="16">
        <v>426.5956</v>
      </c>
      <c r="X209" s="16">
        <v>434.6687</v>
      </c>
      <c r="Y209" s="16">
        <v>364.9509</v>
      </c>
      <c r="Z209" s="26" t="s">
        <v>34</v>
      </c>
      <c r="AA209" s="25">
        <f t="shared" si="6"/>
        <v>314.5598</v>
      </c>
      <c r="AB209" s="25">
        <f t="shared" si="7"/>
        <v>403.880408333333</v>
      </c>
    </row>
    <row r="210" spans="1:28">
      <c r="A210" s="8">
        <v>45500</v>
      </c>
      <c r="B210" s="16">
        <v>370.2908</v>
      </c>
      <c r="C210" s="16">
        <v>359.8307</v>
      </c>
      <c r="D210" s="16">
        <v>352.7382</v>
      </c>
      <c r="E210" s="16">
        <v>340.1987</v>
      </c>
      <c r="F210" s="16">
        <v>324.5648</v>
      </c>
      <c r="G210" s="16">
        <v>311.2744</v>
      </c>
      <c r="H210" s="16">
        <v>310.3611</v>
      </c>
      <c r="I210" s="16">
        <v>309.7944</v>
      </c>
      <c r="J210" s="16">
        <v>329.0373</v>
      </c>
      <c r="K210" s="16">
        <v>364.4639</v>
      </c>
      <c r="L210" s="16">
        <v>365.3159</v>
      </c>
      <c r="M210" s="16">
        <v>360.2377</v>
      </c>
      <c r="N210" s="16">
        <v>323.0605</v>
      </c>
      <c r="O210" s="16">
        <v>369.4004</v>
      </c>
      <c r="P210" s="16">
        <v>450.8206</v>
      </c>
      <c r="Q210" s="16">
        <v>405.9552</v>
      </c>
      <c r="R210" s="16">
        <v>386.3509</v>
      </c>
      <c r="S210" s="16">
        <v>352.9215</v>
      </c>
      <c r="T210" s="16">
        <v>333.2169</v>
      </c>
      <c r="U210" s="16">
        <v>346.2763</v>
      </c>
      <c r="V210" s="16">
        <v>352.7169</v>
      </c>
      <c r="W210" s="16">
        <v>359.7585</v>
      </c>
      <c r="X210" s="16">
        <v>364.2509</v>
      </c>
      <c r="Y210" s="16">
        <v>340.9013</v>
      </c>
      <c r="Z210" s="26" t="s">
        <v>32</v>
      </c>
      <c r="AA210" s="25">
        <f t="shared" si="6"/>
        <v>309.7944</v>
      </c>
      <c r="AB210" s="25">
        <f t="shared" si="7"/>
        <v>353.489075</v>
      </c>
    </row>
    <row r="211" spans="1:28">
      <c r="A211" s="8">
        <v>45501</v>
      </c>
      <c r="B211" s="16">
        <v>233.2426</v>
      </c>
      <c r="C211" s="16">
        <v>307.3241</v>
      </c>
      <c r="D211" s="16">
        <v>305.4422</v>
      </c>
      <c r="E211" s="16">
        <v>298.1776</v>
      </c>
      <c r="F211" s="16">
        <v>283.9074</v>
      </c>
      <c r="G211" s="16">
        <v>259.6441</v>
      </c>
      <c r="H211" s="16">
        <v>217.4824</v>
      </c>
      <c r="I211" s="16">
        <v>194.8617</v>
      </c>
      <c r="J211" s="16">
        <v>203.7682</v>
      </c>
      <c r="K211" s="16">
        <v>270.703</v>
      </c>
      <c r="L211" s="16">
        <v>253.6234</v>
      </c>
      <c r="M211" s="16">
        <v>258.9002</v>
      </c>
      <c r="N211" s="16">
        <v>167.9189</v>
      </c>
      <c r="O211" s="16">
        <v>250.5713</v>
      </c>
      <c r="P211" s="16">
        <v>296.2214</v>
      </c>
      <c r="Q211" s="16">
        <v>295.0177</v>
      </c>
      <c r="R211" s="16">
        <v>278.8777</v>
      </c>
      <c r="S211" s="16">
        <v>270.23</v>
      </c>
      <c r="T211" s="16">
        <v>273.4082</v>
      </c>
      <c r="U211" s="16">
        <v>280.435</v>
      </c>
      <c r="V211" s="16">
        <v>290.5953</v>
      </c>
      <c r="W211" s="16">
        <v>294.0902</v>
      </c>
      <c r="X211" s="16">
        <v>292.9134</v>
      </c>
      <c r="Y211" s="16">
        <v>236.0964</v>
      </c>
      <c r="Z211" s="26" t="s">
        <v>32</v>
      </c>
      <c r="AA211" s="25">
        <f t="shared" si="6"/>
        <v>167.9189</v>
      </c>
      <c r="AB211" s="25">
        <f t="shared" si="7"/>
        <v>263.060516666667</v>
      </c>
    </row>
    <row r="212" spans="1:28">
      <c r="A212" s="8">
        <v>45502</v>
      </c>
      <c r="B212" s="16">
        <v>180.8391</v>
      </c>
      <c r="C212" s="16">
        <v>44.0026</v>
      </c>
      <c r="D212" s="16">
        <v>2.525</v>
      </c>
      <c r="E212" s="16">
        <v>0</v>
      </c>
      <c r="F212" s="16">
        <v>0</v>
      </c>
      <c r="G212" s="16">
        <v>0</v>
      </c>
      <c r="H212" s="16">
        <v>0</v>
      </c>
      <c r="I212" s="16">
        <v>136.779</v>
      </c>
      <c r="J212" s="16">
        <v>318.9267</v>
      </c>
      <c r="K212" s="16">
        <v>343.4113</v>
      </c>
      <c r="L212" s="16">
        <v>338.2294</v>
      </c>
      <c r="M212" s="16">
        <v>332.6025</v>
      </c>
      <c r="N212" s="16">
        <v>272.8039</v>
      </c>
      <c r="O212" s="16">
        <v>301.8022</v>
      </c>
      <c r="P212" s="16">
        <v>329.1968</v>
      </c>
      <c r="Q212" s="16">
        <v>330.3144</v>
      </c>
      <c r="R212" s="16">
        <v>338.8187</v>
      </c>
      <c r="S212" s="16">
        <v>330.9187</v>
      </c>
      <c r="T212" s="16">
        <v>324.7189</v>
      </c>
      <c r="U212" s="16">
        <v>340.0458</v>
      </c>
      <c r="V212" s="16">
        <v>335.0631</v>
      </c>
      <c r="W212" s="16">
        <v>322.0133</v>
      </c>
      <c r="X212" s="16">
        <v>307.5706</v>
      </c>
      <c r="Y212" s="16">
        <v>269.3479</v>
      </c>
      <c r="Z212" s="26" t="s">
        <v>32</v>
      </c>
      <c r="AA212" s="25">
        <f t="shared" si="6"/>
        <v>0</v>
      </c>
      <c r="AB212" s="25">
        <f t="shared" si="7"/>
        <v>229.163745833333</v>
      </c>
    </row>
    <row r="213" spans="1:28">
      <c r="A213" s="8">
        <v>45503</v>
      </c>
      <c r="B213" s="16">
        <v>292.6757</v>
      </c>
      <c r="C213" s="16">
        <v>293.8424</v>
      </c>
      <c r="D213" s="16">
        <v>287.9181</v>
      </c>
      <c r="E213" s="16">
        <v>278.12</v>
      </c>
      <c r="F213" s="16">
        <v>219.407</v>
      </c>
      <c r="G213" s="16">
        <v>126.1315</v>
      </c>
      <c r="H213" s="16">
        <v>262.4793</v>
      </c>
      <c r="I213" s="16">
        <v>289.4838</v>
      </c>
      <c r="J213" s="16">
        <v>322.1186</v>
      </c>
      <c r="K213" s="16">
        <v>356.9532</v>
      </c>
      <c r="L213" s="16">
        <v>364.7305</v>
      </c>
      <c r="M213" s="16">
        <v>346.6319</v>
      </c>
      <c r="N213" s="16">
        <v>297.5083</v>
      </c>
      <c r="O213" s="16">
        <v>319.0763</v>
      </c>
      <c r="P213" s="16">
        <v>344.594</v>
      </c>
      <c r="Q213" s="16">
        <v>343.9009</v>
      </c>
      <c r="R213" s="16">
        <v>350.6154</v>
      </c>
      <c r="S213" s="16">
        <v>344.4036</v>
      </c>
      <c r="T213" s="16">
        <v>327.4438</v>
      </c>
      <c r="U213" s="16">
        <v>346.667</v>
      </c>
      <c r="V213" s="16">
        <v>348.3181</v>
      </c>
      <c r="W213" s="16">
        <v>339.6171</v>
      </c>
      <c r="X213" s="16">
        <v>322.6933</v>
      </c>
      <c r="Y213" s="16">
        <v>286.3752</v>
      </c>
      <c r="Z213" s="26" t="s">
        <v>32</v>
      </c>
      <c r="AA213" s="25">
        <f t="shared" si="6"/>
        <v>126.1315</v>
      </c>
      <c r="AB213" s="25">
        <f t="shared" si="7"/>
        <v>308.821041666667</v>
      </c>
    </row>
    <row r="214" spans="1:28">
      <c r="A214" s="8">
        <v>45504</v>
      </c>
      <c r="B214" s="16">
        <v>223.0847</v>
      </c>
      <c r="C214" s="16">
        <v>283.7854</v>
      </c>
      <c r="D214" s="16">
        <v>279.8346</v>
      </c>
      <c r="E214" s="16">
        <v>266.2763</v>
      </c>
      <c r="F214" s="16">
        <v>218.6245</v>
      </c>
      <c r="G214" s="16">
        <v>0.1487</v>
      </c>
      <c r="H214" s="16">
        <v>153.75</v>
      </c>
      <c r="I214" s="16">
        <v>223.755</v>
      </c>
      <c r="J214" s="16">
        <v>295.659</v>
      </c>
      <c r="K214" s="16">
        <v>317.0276</v>
      </c>
      <c r="L214" s="16">
        <v>275.7843</v>
      </c>
      <c r="M214" s="16">
        <v>253.1109</v>
      </c>
      <c r="N214" s="16">
        <v>175.4729</v>
      </c>
      <c r="O214" s="16">
        <v>252.0616</v>
      </c>
      <c r="P214" s="16">
        <v>313.3783</v>
      </c>
      <c r="Q214" s="16">
        <v>320.8125</v>
      </c>
      <c r="R214" s="16">
        <v>331.224</v>
      </c>
      <c r="S214" s="16">
        <v>325.8786</v>
      </c>
      <c r="T214" s="16">
        <v>312.9367</v>
      </c>
      <c r="U214" s="16">
        <v>327.3244</v>
      </c>
      <c r="V214" s="16">
        <v>326.44</v>
      </c>
      <c r="W214" s="16">
        <v>323.3866</v>
      </c>
      <c r="X214" s="16">
        <v>308.9814</v>
      </c>
      <c r="Y214" s="16">
        <v>247.1396</v>
      </c>
      <c r="Z214" s="26" t="s">
        <v>32</v>
      </c>
      <c r="AA214" s="25">
        <f t="shared" si="6"/>
        <v>0.1487</v>
      </c>
      <c r="AB214" s="25">
        <f t="shared" si="7"/>
        <v>264.828233333333</v>
      </c>
    </row>
    <row r="215" spans="1:28">
      <c r="A215" s="8">
        <v>45505</v>
      </c>
      <c r="B215" s="16">
        <v>180.3207</v>
      </c>
      <c r="C215" s="16">
        <v>135.1432</v>
      </c>
      <c r="D215" s="16">
        <v>138.085</v>
      </c>
      <c r="E215" s="16">
        <v>18.75</v>
      </c>
      <c r="F215" s="16">
        <v>0</v>
      </c>
      <c r="G215" s="16">
        <v>0</v>
      </c>
      <c r="H215" s="16">
        <v>0</v>
      </c>
      <c r="I215" s="16">
        <v>0</v>
      </c>
      <c r="J215" s="16">
        <v>215.5026</v>
      </c>
      <c r="K215" s="16">
        <v>288.2041</v>
      </c>
      <c r="L215" s="16">
        <v>229.6887</v>
      </c>
      <c r="M215" s="16">
        <v>231.8743</v>
      </c>
      <c r="N215" s="16">
        <v>130.7387</v>
      </c>
      <c r="O215" s="16">
        <v>238.5839</v>
      </c>
      <c r="P215" s="16">
        <v>312.541</v>
      </c>
      <c r="Q215" s="16">
        <v>312.9992</v>
      </c>
      <c r="R215" s="16">
        <v>324.7154</v>
      </c>
      <c r="S215" s="16">
        <v>327.8909</v>
      </c>
      <c r="T215" s="16">
        <v>314.3507</v>
      </c>
      <c r="U215" s="16">
        <v>332.2933</v>
      </c>
      <c r="V215" s="16">
        <v>312.5407</v>
      </c>
      <c r="W215" s="16">
        <v>310.3553</v>
      </c>
      <c r="X215" s="16">
        <v>277.0782</v>
      </c>
      <c r="Y215" s="16">
        <v>103.3915</v>
      </c>
      <c r="Z215" s="26" t="s">
        <v>33</v>
      </c>
      <c r="AA215" s="25">
        <f t="shared" si="6"/>
        <v>0</v>
      </c>
      <c r="AB215" s="25">
        <f t="shared" si="7"/>
        <v>197.293641666667</v>
      </c>
    </row>
    <row r="216" spans="1:28">
      <c r="A216" s="8">
        <v>45506</v>
      </c>
      <c r="B216" s="16">
        <v>309.8317</v>
      </c>
      <c r="C216" s="16">
        <v>302.0139</v>
      </c>
      <c r="D216" s="16">
        <v>292.923</v>
      </c>
      <c r="E216" s="16">
        <v>285.1516</v>
      </c>
      <c r="F216" s="16">
        <v>262.9455</v>
      </c>
      <c r="G216" s="16">
        <v>200</v>
      </c>
      <c r="H216" s="16">
        <v>250.92</v>
      </c>
      <c r="I216" s="16">
        <v>277.6589</v>
      </c>
      <c r="J216" s="16">
        <v>300.1668</v>
      </c>
      <c r="K216" s="16">
        <v>314.7222</v>
      </c>
      <c r="L216" s="16">
        <v>306.6731</v>
      </c>
      <c r="M216" s="16">
        <v>307.1755</v>
      </c>
      <c r="N216" s="16">
        <v>219.0113</v>
      </c>
      <c r="O216" s="16">
        <v>272.4896</v>
      </c>
      <c r="P216" s="16">
        <v>330.088</v>
      </c>
      <c r="Q216" s="16">
        <v>346.3115</v>
      </c>
      <c r="R216" s="16">
        <v>355.5177</v>
      </c>
      <c r="S216" s="16">
        <v>343.3838</v>
      </c>
      <c r="T216" s="16">
        <v>324.9942</v>
      </c>
      <c r="U216" s="16">
        <v>347.9589</v>
      </c>
      <c r="V216" s="16">
        <v>352.664</v>
      </c>
      <c r="W216" s="16">
        <v>359.7236</v>
      </c>
      <c r="X216" s="16">
        <v>337.8944</v>
      </c>
      <c r="Y216" s="16">
        <v>309.8107</v>
      </c>
      <c r="Z216" s="26" t="s">
        <v>34</v>
      </c>
      <c r="AA216" s="25">
        <f t="shared" si="6"/>
        <v>200</v>
      </c>
      <c r="AB216" s="25">
        <f t="shared" si="7"/>
        <v>304.584579166667</v>
      </c>
    </row>
    <row r="217" spans="1:28">
      <c r="A217" s="8">
        <v>45507</v>
      </c>
      <c r="B217" s="16">
        <v>358.8087</v>
      </c>
      <c r="C217" s="16">
        <v>344.7095</v>
      </c>
      <c r="D217" s="16">
        <v>319.0264</v>
      </c>
      <c r="E217" s="16">
        <v>308.4414</v>
      </c>
      <c r="F217" s="16">
        <v>293.014</v>
      </c>
      <c r="G217" s="16">
        <v>281.3395</v>
      </c>
      <c r="H217" s="16">
        <v>283.5752</v>
      </c>
      <c r="I217" s="16">
        <v>285.0642</v>
      </c>
      <c r="J217" s="16">
        <v>285.8258</v>
      </c>
      <c r="K217" s="16">
        <v>298.1809</v>
      </c>
      <c r="L217" s="16">
        <v>287.3043</v>
      </c>
      <c r="M217" s="16">
        <v>261.4595</v>
      </c>
      <c r="N217" s="16">
        <v>215.8116</v>
      </c>
      <c r="O217" s="16">
        <v>271.6916</v>
      </c>
      <c r="P217" s="16">
        <v>325.5478</v>
      </c>
      <c r="Q217" s="16">
        <v>330.8224</v>
      </c>
      <c r="R217" s="16">
        <v>341.1033</v>
      </c>
      <c r="S217" s="16">
        <v>341.9574</v>
      </c>
      <c r="T217" s="16">
        <v>346.252</v>
      </c>
      <c r="U217" s="16">
        <v>359.2112</v>
      </c>
      <c r="V217" s="16">
        <v>382.59</v>
      </c>
      <c r="W217" s="16">
        <v>383.0962</v>
      </c>
      <c r="X217" s="16">
        <v>388.5899</v>
      </c>
      <c r="Y217" s="16">
        <v>343.7814</v>
      </c>
      <c r="Z217" s="26" t="s">
        <v>32</v>
      </c>
      <c r="AA217" s="25">
        <f t="shared" si="6"/>
        <v>215.8116</v>
      </c>
      <c r="AB217" s="25">
        <f t="shared" si="7"/>
        <v>318.216841666667</v>
      </c>
    </row>
    <row r="218" spans="1:28">
      <c r="A218" s="8">
        <v>45508</v>
      </c>
      <c r="B218" s="16">
        <v>371.3597</v>
      </c>
      <c r="C218" s="16">
        <v>374.0422</v>
      </c>
      <c r="D218" s="16">
        <v>336.4027</v>
      </c>
      <c r="E218" s="16">
        <v>322.5029</v>
      </c>
      <c r="F218" s="16">
        <v>306.2559</v>
      </c>
      <c r="G218" s="16">
        <v>296.4066</v>
      </c>
      <c r="H218" s="16">
        <v>295.2018</v>
      </c>
      <c r="I218" s="16">
        <v>285.4269</v>
      </c>
      <c r="J218" s="16">
        <v>206.0732</v>
      </c>
      <c r="K218" s="16">
        <v>152.8826</v>
      </c>
      <c r="L218" s="16">
        <v>177.2314</v>
      </c>
      <c r="M218" s="16">
        <v>196.1662</v>
      </c>
      <c r="N218" s="16">
        <v>189.1684</v>
      </c>
      <c r="O218" s="16">
        <v>226.6395</v>
      </c>
      <c r="P218" s="16">
        <v>283.1313</v>
      </c>
      <c r="Q218" s="16">
        <v>294.5951</v>
      </c>
      <c r="R218" s="16">
        <v>298.252</v>
      </c>
      <c r="S218" s="16">
        <v>320.1939</v>
      </c>
      <c r="T218" s="16">
        <v>337.2984</v>
      </c>
      <c r="U218" s="16">
        <v>367.8821</v>
      </c>
      <c r="V218" s="16">
        <v>367.558</v>
      </c>
      <c r="W218" s="16">
        <v>366.6927</v>
      </c>
      <c r="X218" s="16">
        <v>361.47</v>
      </c>
      <c r="Y218" s="16">
        <v>329.0761</v>
      </c>
      <c r="Z218" s="26" t="s">
        <v>32</v>
      </c>
      <c r="AA218" s="25">
        <f t="shared" si="6"/>
        <v>152.8826</v>
      </c>
      <c r="AB218" s="25">
        <f t="shared" si="7"/>
        <v>294.246233333333</v>
      </c>
    </row>
    <row r="219" spans="1:28">
      <c r="A219" s="8">
        <v>45509</v>
      </c>
      <c r="B219" s="16">
        <v>383.1722</v>
      </c>
      <c r="C219" s="16">
        <v>384.263</v>
      </c>
      <c r="D219" s="16">
        <v>372.44</v>
      </c>
      <c r="E219" s="16">
        <v>331.9314</v>
      </c>
      <c r="F219" s="16">
        <v>315.2222</v>
      </c>
      <c r="G219" s="16">
        <v>303.25</v>
      </c>
      <c r="H219" s="16">
        <v>303.84</v>
      </c>
      <c r="I219" s="16">
        <v>304.3256</v>
      </c>
      <c r="J219" s="16">
        <v>341.1859</v>
      </c>
      <c r="K219" s="16">
        <v>374.3252</v>
      </c>
      <c r="L219" s="16">
        <v>365.9559</v>
      </c>
      <c r="M219" s="16">
        <v>376.0346</v>
      </c>
      <c r="N219" s="16">
        <v>330.4264</v>
      </c>
      <c r="O219" s="16">
        <v>372.5425</v>
      </c>
      <c r="P219" s="16">
        <v>379.3194</v>
      </c>
      <c r="Q219" s="16">
        <v>357.0677</v>
      </c>
      <c r="R219" s="16">
        <v>359.4299</v>
      </c>
      <c r="S219" s="16">
        <v>358.963</v>
      </c>
      <c r="T219" s="16">
        <v>352.2747</v>
      </c>
      <c r="U219" s="16">
        <v>364.1966</v>
      </c>
      <c r="V219" s="16">
        <v>366.664</v>
      </c>
      <c r="W219" s="16">
        <v>375.8664</v>
      </c>
      <c r="X219" s="16">
        <v>373.4645</v>
      </c>
      <c r="Y219" s="16">
        <v>340.7498</v>
      </c>
      <c r="Z219" s="26" t="s">
        <v>32</v>
      </c>
      <c r="AA219" s="25">
        <f t="shared" si="6"/>
        <v>303.25</v>
      </c>
      <c r="AB219" s="25">
        <f t="shared" si="7"/>
        <v>353.6212875</v>
      </c>
    </row>
    <row r="220" spans="1:28">
      <c r="A220" s="8">
        <v>45510</v>
      </c>
      <c r="B220" s="16">
        <v>378.9747</v>
      </c>
      <c r="C220" s="16">
        <v>392.9814</v>
      </c>
      <c r="D220" s="16">
        <v>364.1454</v>
      </c>
      <c r="E220" s="16">
        <v>342.9109</v>
      </c>
      <c r="F220" s="16">
        <v>325.4155</v>
      </c>
      <c r="G220" s="16">
        <v>318.213</v>
      </c>
      <c r="H220" s="16">
        <v>314.936</v>
      </c>
      <c r="I220" s="16">
        <v>309.6667</v>
      </c>
      <c r="J220" s="16">
        <v>350.4584</v>
      </c>
      <c r="K220" s="16">
        <v>442.7888</v>
      </c>
      <c r="L220" s="16">
        <v>436.2253</v>
      </c>
      <c r="M220" s="16">
        <v>449.3125</v>
      </c>
      <c r="N220" s="16">
        <v>374.8112</v>
      </c>
      <c r="O220" s="16">
        <v>496.9696</v>
      </c>
      <c r="P220" s="16">
        <v>593.7529</v>
      </c>
      <c r="Q220" s="16">
        <v>563.9669</v>
      </c>
      <c r="R220" s="16">
        <v>565.0423</v>
      </c>
      <c r="S220" s="16">
        <v>470.6508</v>
      </c>
      <c r="T220" s="16">
        <v>374.2493</v>
      </c>
      <c r="U220" s="16">
        <v>400.4051</v>
      </c>
      <c r="V220" s="16">
        <v>411.6376</v>
      </c>
      <c r="W220" s="16">
        <v>432.8966</v>
      </c>
      <c r="X220" s="16">
        <v>471.3174</v>
      </c>
      <c r="Y220" s="16">
        <v>380.8084</v>
      </c>
      <c r="Z220" s="26" t="s">
        <v>32</v>
      </c>
      <c r="AA220" s="25">
        <f t="shared" si="6"/>
        <v>309.6667</v>
      </c>
      <c r="AB220" s="25">
        <f t="shared" si="7"/>
        <v>415.105695833333</v>
      </c>
    </row>
    <row r="221" spans="1:28">
      <c r="A221" s="8">
        <v>45511</v>
      </c>
      <c r="B221" s="16">
        <v>388.3589</v>
      </c>
      <c r="C221" s="16">
        <v>384.2514</v>
      </c>
      <c r="D221" s="16">
        <v>362.5261</v>
      </c>
      <c r="E221" s="16">
        <v>345.6307</v>
      </c>
      <c r="F221" s="16">
        <v>331.0047</v>
      </c>
      <c r="G221" s="16">
        <v>319.1326</v>
      </c>
      <c r="H221" s="16">
        <v>313.8379</v>
      </c>
      <c r="I221" s="16">
        <v>310.4527</v>
      </c>
      <c r="J221" s="16">
        <v>347.0202</v>
      </c>
      <c r="K221" s="16">
        <v>406.4955</v>
      </c>
      <c r="L221" s="16">
        <v>411.2377</v>
      </c>
      <c r="M221" s="16">
        <v>405.3571</v>
      </c>
      <c r="N221" s="16">
        <v>352.2179</v>
      </c>
      <c r="O221" s="16">
        <v>460.1529</v>
      </c>
      <c r="P221" s="16">
        <v>577.7148</v>
      </c>
      <c r="Q221" s="16">
        <v>561.9533</v>
      </c>
      <c r="R221" s="16">
        <v>561.2541</v>
      </c>
      <c r="S221" s="16">
        <v>449.006</v>
      </c>
      <c r="T221" s="16">
        <v>360.6974</v>
      </c>
      <c r="U221" s="16">
        <v>386.5917</v>
      </c>
      <c r="V221" s="16">
        <v>383.5846</v>
      </c>
      <c r="W221" s="16">
        <v>396.0632</v>
      </c>
      <c r="X221" s="16">
        <v>435.0899</v>
      </c>
      <c r="Y221" s="16">
        <v>384.0687</v>
      </c>
      <c r="Z221" s="26" t="s">
        <v>32</v>
      </c>
      <c r="AA221" s="25">
        <f t="shared" si="6"/>
        <v>310.4527</v>
      </c>
      <c r="AB221" s="25">
        <f t="shared" si="7"/>
        <v>401.404166666667</v>
      </c>
    </row>
    <row r="222" spans="1:28">
      <c r="A222" s="8">
        <v>45512</v>
      </c>
      <c r="B222" s="16">
        <v>343.3823</v>
      </c>
      <c r="C222" s="16">
        <v>338.9956</v>
      </c>
      <c r="D222" s="16">
        <v>340.0571</v>
      </c>
      <c r="E222" s="16">
        <v>322.8545</v>
      </c>
      <c r="F222" s="16">
        <v>311.0089</v>
      </c>
      <c r="G222" s="16">
        <v>303.4256</v>
      </c>
      <c r="H222" s="16">
        <v>302.3848</v>
      </c>
      <c r="I222" s="16">
        <v>299.3356</v>
      </c>
      <c r="J222" s="16">
        <v>317.7468</v>
      </c>
      <c r="K222" s="16">
        <v>354.1145</v>
      </c>
      <c r="L222" s="16">
        <v>353.0651</v>
      </c>
      <c r="M222" s="16">
        <v>349.7238</v>
      </c>
      <c r="N222" s="16">
        <v>324.319</v>
      </c>
      <c r="O222" s="16">
        <v>389.6206</v>
      </c>
      <c r="P222" s="16">
        <v>434.5656</v>
      </c>
      <c r="Q222" s="16">
        <v>427.7762</v>
      </c>
      <c r="R222" s="16">
        <v>424.4624</v>
      </c>
      <c r="S222" s="16">
        <v>379.9425</v>
      </c>
      <c r="T222" s="16">
        <v>337.1835</v>
      </c>
      <c r="U222" s="16">
        <v>357.2485</v>
      </c>
      <c r="V222" s="16">
        <v>357.3115</v>
      </c>
      <c r="W222" s="16">
        <v>358.3629</v>
      </c>
      <c r="X222" s="16">
        <v>370.616</v>
      </c>
      <c r="Y222" s="16">
        <v>356.2617</v>
      </c>
      <c r="Z222" s="26" t="s">
        <v>33</v>
      </c>
      <c r="AA222" s="25">
        <f t="shared" si="6"/>
        <v>299.3356</v>
      </c>
      <c r="AB222" s="25">
        <f t="shared" si="7"/>
        <v>352.240208333333</v>
      </c>
    </row>
    <row r="223" spans="1:28">
      <c r="A223" s="8">
        <v>45513</v>
      </c>
      <c r="B223" s="16">
        <v>370.7137</v>
      </c>
      <c r="C223" s="16">
        <v>357.5895</v>
      </c>
      <c r="D223" s="16">
        <v>340.7479</v>
      </c>
      <c r="E223" s="16">
        <v>328.6689</v>
      </c>
      <c r="F223" s="16">
        <v>313.3315</v>
      </c>
      <c r="G223" s="16">
        <v>304.242</v>
      </c>
      <c r="H223" s="16">
        <v>300.5351</v>
      </c>
      <c r="I223" s="16">
        <v>297.9614</v>
      </c>
      <c r="J223" s="16">
        <v>318.8935</v>
      </c>
      <c r="K223" s="16">
        <v>343.5841</v>
      </c>
      <c r="L223" s="16">
        <v>352.1466</v>
      </c>
      <c r="M223" s="16">
        <v>348.0906</v>
      </c>
      <c r="N223" s="16">
        <v>333.9741</v>
      </c>
      <c r="O223" s="16">
        <v>380.6725</v>
      </c>
      <c r="P223" s="16">
        <v>409.0614</v>
      </c>
      <c r="Q223" s="16">
        <v>385.732</v>
      </c>
      <c r="R223" s="16">
        <v>384.0971</v>
      </c>
      <c r="S223" s="16">
        <v>366.6624</v>
      </c>
      <c r="T223" s="16">
        <v>348.8448</v>
      </c>
      <c r="U223" s="16">
        <v>368.6327</v>
      </c>
      <c r="V223" s="16">
        <v>365.8459</v>
      </c>
      <c r="W223" s="16">
        <v>364.0229</v>
      </c>
      <c r="X223" s="16">
        <v>386.8011</v>
      </c>
      <c r="Y223" s="16">
        <v>360.8685</v>
      </c>
      <c r="Z223" s="26" t="s">
        <v>34</v>
      </c>
      <c r="AA223" s="25">
        <f t="shared" si="6"/>
        <v>297.9614</v>
      </c>
      <c r="AB223" s="25">
        <f t="shared" si="7"/>
        <v>351.321675</v>
      </c>
    </row>
    <row r="224" spans="1:28">
      <c r="A224" s="8">
        <v>45514</v>
      </c>
      <c r="B224" s="16">
        <v>342.8864</v>
      </c>
      <c r="C224" s="16">
        <v>344.242</v>
      </c>
      <c r="D224" s="16">
        <v>336.3825</v>
      </c>
      <c r="E224" s="16">
        <v>321.4821</v>
      </c>
      <c r="F224" s="16">
        <v>308.2991</v>
      </c>
      <c r="G224" s="16">
        <v>299.4482</v>
      </c>
      <c r="H224" s="16">
        <v>299.0271</v>
      </c>
      <c r="I224" s="16">
        <v>298.0976</v>
      </c>
      <c r="J224" s="16">
        <v>305.774</v>
      </c>
      <c r="K224" s="16">
        <v>316.2688</v>
      </c>
      <c r="L224" s="16">
        <v>310.9288</v>
      </c>
      <c r="M224" s="16">
        <v>320.4337</v>
      </c>
      <c r="N224" s="16">
        <v>285.9973</v>
      </c>
      <c r="O224" s="16">
        <v>363.4822</v>
      </c>
      <c r="P224" s="16">
        <v>418.5593</v>
      </c>
      <c r="Q224" s="16">
        <v>373.8129</v>
      </c>
      <c r="R224" s="16">
        <v>369.2183</v>
      </c>
      <c r="S224" s="16">
        <v>354.1302</v>
      </c>
      <c r="T224" s="16">
        <v>332.8567</v>
      </c>
      <c r="U224" s="16">
        <v>339.0294</v>
      </c>
      <c r="V224" s="16">
        <v>345.3318</v>
      </c>
      <c r="W224" s="16">
        <v>351.1465</v>
      </c>
      <c r="X224" s="16">
        <v>353.6165</v>
      </c>
      <c r="Y224" s="16">
        <v>342.5855</v>
      </c>
      <c r="Z224" s="26" t="s">
        <v>32</v>
      </c>
      <c r="AA224" s="25">
        <f t="shared" si="6"/>
        <v>285.9973</v>
      </c>
      <c r="AB224" s="25">
        <f t="shared" si="7"/>
        <v>334.709870833333</v>
      </c>
    </row>
    <row r="225" spans="1:28">
      <c r="A225" s="8">
        <v>45515</v>
      </c>
      <c r="B225" s="16">
        <v>375.7316</v>
      </c>
      <c r="C225" s="16">
        <v>381.0943</v>
      </c>
      <c r="D225" s="16">
        <v>365.1852</v>
      </c>
      <c r="E225" s="16">
        <v>341.98</v>
      </c>
      <c r="F225" s="16">
        <v>327.3306</v>
      </c>
      <c r="G225" s="16">
        <v>313.1254</v>
      </c>
      <c r="H225" s="16">
        <v>304.2684</v>
      </c>
      <c r="I225" s="16">
        <v>299.2355</v>
      </c>
      <c r="J225" s="16">
        <v>287.0911</v>
      </c>
      <c r="K225" s="16">
        <v>276.4865</v>
      </c>
      <c r="L225" s="16">
        <v>261.1693</v>
      </c>
      <c r="M225" s="16">
        <v>264.4061</v>
      </c>
      <c r="N225" s="16">
        <v>263.8378</v>
      </c>
      <c r="O225" s="16">
        <v>309.7078</v>
      </c>
      <c r="P225" s="16">
        <v>318.932</v>
      </c>
      <c r="Q225" s="16">
        <v>312.7413</v>
      </c>
      <c r="R225" s="16">
        <v>315.1089</v>
      </c>
      <c r="S225" s="16">
        <v>313.8243</v>
      </c>
      <c r="T225" s="16">
        <v>313.3458</v>
      </c>
      <c r="U225" s="16">
        <v>324.0103</v>
      </c>
      <c r="V225" s="16">
        <v>344.7212</v>
      </c>
      <c r="W225" s="16">
        <v>357.4134</v>
      </c>
      <c r="X225" s="16">
        <v>361.0894</v>
      </c>
      <c r="Y225" s="16">
        <v>345.342</v>
      </c>
      <c r="Z225" s="26" t="s">
        <v>32</v>
      </c>
      <c r="AA225" s="25">
        <f t="shared" si="6"/>
        <v>261.1693</v>
      </c>
      <c r="AB225" s="25">
        <f t="shared" si="7"/>
        <v>319.882425</v>
      </c>
    </row>
    <row r="226" spans="1:28">
      <c r="A226" s="8">
        <v>45516</v>
      </c>
      <c r="B226" s="16">
        <v>337.806</v>
      </c>
      <c r="C226" s="16">
        <v>326.7788</v>
      </c>
      <c r="D226" s="16">
        <v>320.7473</v>
      </c>
      <c r="E226" s="16">
        <v>310.2136</v>
      </c>
      <c r="F226" s="16">
        <v>297.8985</v>
      </c>
      <c r="G226" s="16">
        <v>289.8101</v>
      </c>
      <c r="H226" s="16">
        <v>292.5396</v>
      </c>
      <c r="I226" s="16">
        <v>289.4629</v>
      </c>
      <c r="J226" s="16">
        <v>311.4191</v>
      </c>
      <c r="K226" s="16">
        <v>328.0206</v>
      </c>
      <c r="L226" s="16">
        <v>334.0637</v>
      </c>
      <c r="M226" s="16">
        <v>340.4412</v>
      </c>
      <c r="N226" s="16">
        <v>320.8114</v>
      </c>
      <c r="O226" s="16">
        <v>340.087</v>
      </c>
      <c r="P226" s="16">
        <v>362.0278</v>
      </c>
      <c r="Q226" s="16">
        <v>356.1599</v>
      </c>
      <c r="R226" s="16">
        <v>360.4874</v>
      </c>
      <c r="S226" s="16">
        <v>339.7339</v>
      </c>
      <c r="T226" s="16">
        <v>326.3462</v>
      </c>
      <c r="U226" s="16">
        <v>335.3007</v>
      </c>
      <c r="V226" s="16">
        <v>343.1055</v>
      </c>
      <c r="W226" s="16">
        <v>345.4333</v>
      </c>
      <c r="X226" s="16">
        <v>345.6269</v>
      </c>
      <c r="Y226" s="16">
        <v>329.9796</v>
      </c>
      <c r="Z226" s="26" t="s">
        <v>32</v>
      </c>
      <c r="AA226" s="25">
        <f t="shared" si="6"/>
        <v>289.4629</v>
      </c>
      <c r="AB226" s="25">
        <f t="shared" si="7"/>
        <v>328.512541666667</v>
      </c>
    </row>
    <row r="227" spans="1:28">
      <c r="A227" s="8">
        <v>45517</v>
      </c>
      <c r="B227" s="16">
        <v>342.4361</v>
      </c>
      <c r="C227" s="16">
        <v>322.1931</v>
      </c>
      <c r="D227" s="16">
        <v>316.2092</v>
      </c>
      <c r="E227" s="16">
        <v>309.5765</v>
      </c>
      <c r="F227" s="16">
        <v>297.7701</v>
      </c>
      <c r="G227" s="16">
        <v>290.2819</v>
      </c>
      <c r="H227" s="16">
        <v>291.1128</v>
      </c>
      <c r="I227" s="16">
        <v>291.022</v>
      </c>
      <c r="J227" s="16">
        <v>311.3547</v>
      </c>
      <c r="K227" s="16">
        <v>333.8866</v>
      </c>
      <c r="L227" s="16">
        <v>332.1572</v>
      </c>
      <c r="M227" s="16">
        <v>329.961</v>
      </c>
      <c r="N227" s="16">
        <v>306.1871</v>
      </c>
      <c r="O227" s="16">
        <v>326.5391</v>
      </c>
      <c r="P227" s="16">
        <v>329.0268</v>
      </c>
      <c r="Q227" s="16">
        <v>335.5673</v>
      </c>
      <c r="R227" s="16">
        <v>347.4401</v>
      </c>
      <c r="S227" s="16">
        <v>335.8294</v>
      </c>
      <c r="T227" s="16">
        <v>322.5836</v>
      </c>
      <c r="U227" s="16">
        <v>338.6823</v>
      </c>
      <c r="V227" s="16">
        <v>344.1425</v>
      </c>
      <c r="W227" s="16">
        <v>333.8083</v>
      </c>
      <c r="X227" s="16">
        <v>330.7124</v>
      </c>
      <c r="Y227" s="16">
        <v>321.8864</v>
      </c>
      <c r="Z227" s="26" t="s">
        <v>32</v>
      </c>
      <c r="AA227" s="25">
        <f t="shared" si="6"/>
        <v>290.2819</v>
      </c>
      <c r="AB227" s="25">
        <f t="shared" si="7"/>
        <v>322.515270833333</v>
      </c>
    </row>
    <row r="228" spans="1:28">
      <c r="A228" s="8">
        <v>45518</v>
      </c>
      <c r="B228" s="16">
        <v>310.4088</v>
      </c>
      <c r="C228" s="16">
        <v>313.3287</v>
      </c>
      <c r="D228" s="16">
        <v>303.5282</v>
      </c>
      <c r="E228" s="16">
        <v>298.0926</v>
      </c>
      <c r="F228" s="16">
        <v>290.7496</v>
      </c>
      <c r="G228" s="16">
        <v>286.296</v>
      </c>
      <c r="H228" s="16">
        <v>286.2354</v>
      </c>
      <c r="I228" s="16">
        <v>285.3416</v>
      </c>
      <c r="J228" s="16">
        <v>309.4244</v>
      </c>
      <c r="K228" s="16">
        <v>333.5707</v>
      </c>
      <c r="L228" s="16">
        <v>325.7223</v>
      </c>
      <c r="M228" s="16">
        <v>328.9526</v>
      </c>
      <c r="N228" s="16">
        <v>284.6097</v>
      </c>
      <c r="O228" s="16">
        <v>347.3614</v>
      </c>
      <c r="P228" s="16">
        <v>388.3064</v>
      </c>
      <c r="Q228" s="16">
        <v>376.3479</v>
      </c>
      <c r="R228" s="16">
        <v>367.8272</v>
      </c>
      <c r="S228" s="16">
        <v>340.8112</v>
      </c>
      <c r="T228" s="16">
        <v>313.9766</v>
      </c>
      <c r="U228" s="16">
        <v>328.3328</v>
      </c>
      <c r="V228" s="16">
        <v>323.9515</v>
      </c>
      <c r="W228" s="16">
        <v>326.3647</v>
      </c>
      <c r="X228" s="16">
        <v>315.1872</v>
      </c>
      <c r="Y228" s="16">
        <v>305.272</v>
      </c>
      <c r="Z228" s="26" t="s">
        <v>32</v>
      </c>
      <c r="AA228" s="25">
        <f t="shared" si="6"/>
        <v>284.6097</v>
      </c>
      <c r="AB228" s="25">
        <f t="shared" si="7"/>
        <v>320.416645833333</v>
      </c>
    </row>
    <row r="229" spans="1:28">
      <c r="A229" s="8">
        <v>45519</v>
      </c>
      <c r="B229" s="16">
        <v>306.7112</v>
      </c>
      <c r="C229" s="16">
        <v>301.6353</v>
      </c>
      <c r="D229" s="16">
        <v>298.7964</v>
      </c>
      <c r="E229" s="16">
        <v>293.8656</v>
      </c>
      <c r="F229" s="16">
        <v>287.0712</v>
      </c>
      <c r="G229" s="16">
        <v>285.2131</v>
      </c>
      <c r="H229" s="16">
        <v>287.7571</v>
      </c>
      <c r="I229" s="16">
        <v>287.7539</v>
      </c>
      <c r="J229" s="16">
        <v>307.6311</v>
      </c>
      <c r="K229" s="16">
        <v>331.0455</v>
      </c>
      <c r="L229" s="16">
        <v>326.0821</v>
      </c>
      <c r="M229" s="16">
        <v>315.71</v>
      </c>
      <c r="N229" s="16">
        <v>268.9071</v>
      </c>
      <c r="O229" s="16">
        <v>323.2133</v>
      </c>
      <c r="P229" s="16">
        <v>328.7458</v>
      </c>
      <c r="Q229" s="16">
        <v>334.8747</v>
      </c>
      <c r="R229" s="16">
        <v>336.2411</v>
      </c>
      <c r="S229" s="16">
        <v>324.1064</v>
      </c>
      <c r="T229" s="16">
        <v>306.6445</v>
      </c>
      <c r="U229" s="16">
        <v>328.6253</v>
      </c>
      <c r="V229" s="16">
        <v>328.7292</v>
      </c>
      <c r="W229" s="16">
        <v>320.3359</v>
      </c>
      <c r="X229" s="16">
        <v>314.0552</v>
      </c>
      <c r="Y229" s="16">
        <v>305.3521</v>
      </c>
      <c r="Z229" s="26" t="s">
        <v>33</v>
      </c>
      <c r="AA229" s="25">
        <f t="shared" si="6"/>
        <v>268.9071</v>
      </c>
      <c r="AB229" s="25">
        <f t="shared" si="7"/>
        <v>310.379295833333</v>
      </c>
    </row>
    <row r="230" spans="1:28">
      <c r="A230" s="8">
        <v>45520</v>
      </c>
      <c r="B230" s="16">
        <v>296.1404</v>
      </c>
      <c r="C230" s="16">
        <v>299.5878</v>
      </c>
      <c r="D230" s="16">
        <v>295.7202</v>
      </c>
      <c r="E230" s="16">
        <v>285.8626</v>
      </c>
      <c r="F230" s="16">
        <v>279.81</v>
      </c>
      <c r="G230" s="16">
        <v>277.2733</v>
      </c>
      <c r="H230" s="16">
        <v>279.6012</v>
      </c>
      <c r="I230" s="16">
        <v>281.1993</v>
      </c>
      <c r="J230" s="16">
        <v>303.7837</v>
      </c>
      <c r="K230" s="16">
        <v>338.0105</v>
      </c>
      <c r="L230" s="16">
        <v>330.46</v>
      </c>
      <c r="M230" s="16">
        <v>327.0725</v>
      </c>
      <c r="N230" s="16">
        <v>282.6068</v>
      </c>
      <c r="O230" s="16">
        <v>305.0893</v>
      </c>
      <c r="P230" s="16">
        <v>312.135</v>
      </c>
      <c r="Q230" s="16">
        <v>310.2213</v>
      </c>
      <c r="R230" s="16">
        <v>314.5214</v>
      </c>
      <c r="S230" s="16">
        <v>309.3394</v>
      </c>
      <c r="T230" s="16">
        <v>303.4631</v>
      </c>
      <c r="U230" s="16">
        <v>311.0306</v>
      </c>
      <c r="V230" s="16">
        <v>312.0472</v>
      </c>
      <c r="W230" s="16">
        <v>307.6091</v>
      </c>
      <c r="X230" s="16">
        <v>304.1677</v>
      </c>
      <c r="Y230" s="16">
        <v>293.5329</v>
      </c>
      <c r="Z230" s="26" t="s">
        <v>34</v>
      </c>
      <c r="AA230" s="25">
        <f t="shared" si="6"/>
        <v>277.2733</v>
      </c>
      <c r="AB230" s="25">
        <f t="shared" si="7"/>
        <v>302.5118875</v>
      </c>
    </row>
    <row r="231" spans="1:28">
      <c r="A231" s="8">
        <v>45521</v>
      </c>
      <c r="B231" s="16">
        <v>280.7989</v>
      </c>
      <c r="C231" s="16">
        <v>287.53</v>
      </c>
      <c r="D231" s="16">
        <v>284.81</v>
      </c>
      <c r="E231" s="16">
        <v>279.4208</v>
      </c>
      <c r="F231" s="16">
        <v>274.6175</v>
      </c>
      <c r="G231" s="16">
        <v>270.535</v>
      </c>
      <c r="H231" s="16">
        <v>273.78</v>
      </c>
      <c r="I231" s="16">
        <v>275.3125</v>
      </c>
      <c r="J231" s="16">
        <v>284.1454</v>
      </c>
      <c r="K231" s="16">
        <v>297.1033</v>
      </c>
      <c r="L231" s="16">
        <v>297.5373</v>
      </c>
      <c r="M231" s="16">
        <v>293.5847</v>
      </c>
      <c r="N231" s="16">
        <v>263.3686</v>
      </c>
      <c r="O231" s="16">
        <v>293.6106</v>
      </c>
      <c r="P231" s="16">
        <v>306.4602</v>
      </c>
      <c r="Q231" s="16">
        <v>299.2604</v>
      </c>
      <c r="R231" s="16">
        <v>295.408</v>
      </c>
      <c r="S231" s="16">
        <v>292.5556</v>
      </c>
      <c r="T231" s="16">
        <v>283.0374</v>
      </c>
      <c r="U231" s="16">
        <v>290.3475</v>
      </c>
      <c r="V231" s="16">
        <v>290.1726</v>
      </c>
      <c r="W231" s="16">
        <v>290.041</v>
      </c>
      <c r="X231" s="16">
        <v>287.4165</v>
      </c>
      <c r="Y231" s="16">
        <v>277.6955</v>
      </c>
      <c r="Z231" s="26" t="s">
        <v>32</v>
      </c>
      <c r="AA231" s="25">
        <f t="shared" si="6"/>
        <v>263.3686</v>
      </c>
      <c r="AB231" s="25">
        <f t="shared" si="7"/>
        <v>286.189554166667</v>
      </c>
    </row>
    <row r="232" spans="1:28">
      <c r="A232" s="8">
        <v>45522</v>
      </c>
      <c r="B232" s="16">
        <v>295.4634</v>
      </c>
      <c r="C232" s="16">
        <v>284.28</v>
      </c>
      <c r="D232" s="16">
        <v>280.3001</v>
      </c>
      <c r="E232" s="16">
        <v>272.9923</v>
      </c>
      <c r="F232" s="16">
        <v>259.42</v>
      </c>
      <c r="G232" s="16">
        <v>251.3641</v>
      </c>
      <c r="H232" s="16">
        <v>230.335</v>
      </c>
      <c r="I232" s="16">
        <v>187.75</v>
      </c>
      <c r="J232" s="16">
        <v>164.1432</v>
      </c>
      <c r="K232" s="16">
        <v>45.2947</v>
      </c>
      <c r="L232" s="16">
        <v>10.2246</v>
      </c>
      <c r="M232" s="16">
        <v>74.4468</v>
      </c>
      <c r="N232" s="16">
        <v>43.8207</v>
      </c>
      <c r="O232" s="16">
        <v>148.0742</v>
      </c>
      <c r="P232" s="16">
        <v>93.8512</v>
      </c>
      <c r="Q232" s="16">
        <v>54.0108</v>
      </c>
      <c r="R232" s="16">
        <v>37.672</v>
      </c>
      <c r="S232" s="16">
        <v>192.598</v>
      </c>
      <c r="T232" s="16">
        <v>204.6926</v>
      </c>
      <c r="U232" s="16">
        <v>271.8601</v>
      </c>
      <c r="V232" s="16">
        <v>281.4511</v>
      </c>
      <c r="W232" s="16">
        <v>283.7175</v>
      </c>
      <c r="X232" s="16">
        <v>280.0234</v>
      </c>
      <c r="Y232" s="16">
        <v>251.012</v>
      </c>
      <c r="Z232" s="26" t="s">
        <v>32</v>
      </c>
      <c r="AA232" s="25">
        <f t="shared" si="6"/>
        <v>10.2246</v>
      </c>
      <c r="AB232" s="25">
        <f t="shared" si="7"/>
        <v>187.449908333333</v>
      </c>
    </row>
    <row r="233" spans="1:28">
      <c r="A233" s="8">
        <v>45523</v>
      </c>
      <c r="B233" s="16">
        <v>205.5643</v>
      </c>
      <c r="C233" s="16">
        <v>262.3889</v>
      </c>
      <c r="D233" s="16">
        <v>223.3326</v>
      </c>
      <c r="E233" s="16">
        <v>12.411</v>
      </c>
      <c r="F233" s="16">
        <v>0</v>
      </c>
      <c r="G233" s="16">
        <v>0</v>
      </c>
      <c r="H233" s="16">
        <v>0</v>
      </c>
      <c r="I233" s="16">
        <v>119.0305</v>
      </c>
      <c r="J233" s="16">
        <v>282.3505</v>
      </c>
      <c r="K233" s="16">
        <v>303.305</v>
      </c>
      <c r="L233" s="16">
        <v>304.6092</v>
      </c>
      <c r="M233" s="16">
        <v>310.5467</v>
      </c>
      <c r="N233" s="16">
        <v>277.242</v>
      </c>
      <c r="O233" s="16">
        <v>294.4889</v>
      </c>
      <c r="P233" s="16">
        <v>296.5777</v>
      </c>
      <c r="Q233" s="16">
        <v>297.513</v>
      </c>
      <c r="R233" s="16">
        <v>297.4992</v>
      </c>
      <c r="S233" s="16">
        <v>291.9554</v>
      </c>
      <c r="T233" s="16">
        <v>288.3524</v>
      </c>
      <c r="U233" s="16">
        <v>304.6052</v>
      </c>
      <c r="V233" s="16">
        <v>312.6352</v>
      </c>
      <c r="W233" s="16">
        <v>308.2734</v>
      </c>
      <c r="X233" s="16">
        <v>291.3876</v>
      </c>
      <c r="Y233" s="16">
        <v>266.5365</v>
      </c>
      <c r="Z233" s="26" t="s">
        <v>32</v>
      </c>
      <c r="AA233" s="25">
        <f t="shared" si="6"/>
        <v>0</v>
      </c>
      <c r="AB233" s="25">
        <f t="shared" si="7"/>
        <v>231.275216666667</v>
      </c>
    </row>
    <row r="234" spans="1:28">
      <c r="A234" s="8">
        <v>45524</v>
      </c>
      <c r="B234" s="16">
        <v>278.4298</v>
      </c>
      <c r="C234" s="16">
        <v>278.2892</v>
      </c>
      <c r="D234" s="16">
        <v>274.5599</v>
      </c>
      <c r="E234" s="16">
        <v>254.1629</v>
      </c>
      <c r="F234" s="16">
        <v>212.7427</v>
      </c>
      <c r="G234" s="16">
        <v>189.5556</v>
      </c>
      <c r="H234" s="16">
        <v>223.6822</v>
      </c>
      <c r="I234" s="16">
        <v>235.3641</v>
      </c>
      <c r="J234" s="16">
        <v>286.9505</v>
      </c>
      <c r="K234" s="16">
        <v>329.3821</v>
      </c>
      <c r="L234" s="16">
        <v>319.7297</v>
      </c>
      <c r="M234" s="16">
        <v>337.5323</v>
      </c>
      <c r="N234" s="16">
        <v>288.9278</v>
      </c>
      <c r="O234" s="16">
        <v>305.9617</v>
      </c>
      <c r="P234" s="16">
        <v>317.1327</v>
      </c>
      <c r="Q234" s="16">
        <v>312.81</v>
      </c>
      <c r="R234" s="16">
        <v>316.9261</v>
      </c>
      <c r="S234" s="16">
        <v>311.1262</v>
      </c>
      <c r="T234" s="16">
        <v>301.8179</v>
      </c>
      <c r="U234" s="16">
        <v>317.8711</v>
      </c>
      <c r="V234" s="16">
        <v>342.5707</v>
      </c>
      <c r="W234" s="16">
        <v>348.8702</v>
      </c>
      <c r="X234" s="16">
        <v>305.6077</v>
      </c>
      <c r="Y234" s="16">
        <v>283.8683</v>
      </c>
      <c r="Z234" s="26" t="s">
        <v>32</v>
      </c>
      <c r="AA234" s="25">
        <f t="shared" si="6"/>
        <v>189.5556</v>
      </c>
      <c r="AB234" s="25">
        <f t="shared" si="7"/>
        <v>290.577975</v>
      </c>
    </row>
    <row r="235" spans="1:28">
      <c r="A235" s="8">
        <v>45525</v>
      </c>
      <c r="B235" s="16">
        <v>300.4692</v>
      </c>
      <c r="C235" s="16">
        <v>292.5296</v>
      </c>
      <c r="D235" s="16">
        <v>281.6577</v>
      </c>
      <c r="E235" s="16">
        <v>275.78</v>
      </c>
      <c r="F235" s="16">
        <v>251.585</v>
      </c>
      <c r="G235" s="16">
        <v>232.885</v>
      </c>
      <c r="H235" s="16">
        <v>253.0575</v>
      </c>
      <c r="I235" s="16">
        <v>256</v>
      </c>
      <c r="J235" s="16">
        <v>302.7944</v>
      </c>
      <c r="K235" s="16">
        <v>357.1571</v>
      </c>
      <c r="L235" s="16">
        <v>352.8893</v>
      </c>
      <c r="M235" s="16">
        <v>347.2276</v>
      </c>
      <c r="N235" s="16">
        <v>293.3648</v>
      </c>
      <c r="O235" s="16">
        <v>305.8961</v>
      </c>
      <c r="P235" s="16">
        <v>323.3804</v>
      </c>
      <c r="Q235" s="16">
        <v>340.1185</v>
      </c>
      <c r="R235" s="16">
        <v>322.6349</v>
      </c>
      <c r="S235" s="16">
        <v>317.3014</v>
      </c>
      <c r="T235" s="16">
        <v>309.194</v>
      </c>
      <c r="U235" s="16">
        <v>330.5894</v>
      </c>
      <c r="V235" s="16">
        <v>344.781</v>
      </c>
      <c r="W235" s="16">
        <v>347.9952</v>
      </c>
      <c r="X235" s="16">
        <v>331.9368</v>
      </c>
      <c r="Y235" s="16">
        <v>290.9297</v>
      </c>
      <c r="Z235" s="26" t="s">
        <v>32</v>
      </c>
      <c r="AA235" s="25">
        <f t="shared" si="6"/>
        <v>232.885</v>
      </c>
      <c r="AB235" s="25">
        <f t="shared" si="7"/>
        <v>306.756441666667</v>
      </c>
    </row>
    <row r="236" spans="1:28">
      <c r="A236" s="8">
        <v>45526</v>
      </c>
      <c r="B236" s="16">
        <v>181.9989</v>
      </c>
      <c r="C236" s="16">
        <v>158.3481</v>
      </c>
      <c r="D236" s="16">
        <v>149.5176</v>
      </c>
      <c r="E236" s="16">
        <v>137.1642</v>
      </c>
      <c r="F236" s="16">
        <v>99.88</v>
      </c>
      <c r="G236" s="16">
        <v>108.71</v>
      </c>
      <c r="H236" s="16">
        <v>141.0958</v>
      </c>
      <c r="I236" s="16">
        <v>136.2513</v>
      </c>
      <c r="J236" s="16">
        <v>297.3186</v>
      </c>
      <c r="K236" s="16">
        <v>335.2945</v>
      </c>
      <c r="L236" s="16">
        <v>351.5531</v>
      </c>
      <c r="M236" s="16">
        <v>324.0927</v>
      </c>
      <c r="N236" s="16">
        <v>291.7606</v>
      </c>
      <c r="O236" s="16">
        <v>304.6617</v>
      </c>
      <c r="P236" s="16">
        <v>356.099</v>
      </c>
      <c r="Q236" s="16">
        <v>364.2691</v>
      </c>
      <c r="R236" s="16">
        <v>397.0498</v>
      </c>
      <c r="S236" s="16">
        <v>377.0913</v>
      </c>
      <c r="T236" s="16">
        <v>342.1993</v>
      </c>
      <c r="U236" s="16">
        <v>356.4739</v>
      </c>
      <c r="V236" s="16">
        <v>371.8988</v>
      </c>
      <c r="W236" s="16">
        <v>367.2646</v>
      </c>
      <c r="X236" s="16">
        <v>280.1049</v>
      </c>
      <c r="Y236" s="16">
        <v>308.3294</v>
      </c>
      <c r="Z236" s="26" t="s">
        <v>33</v>
      </c>
      <c r="AA236" s="25">
        <f t="shared" si="6"/>
        <v>99.88</v>
      </c>
      <c r="AB236" s="25">
        <f t="shared" si="7"/>
        <v>272.434466666667</v>
      </c>
    </row>
    <row r="237" spans="1:28">
      <c r="A237" s="8">
        <v>45527</v>
      </c>
      <c r="B237" s="16">
        <v>327.6456</v>
      </c>
      <c r="C237" s="16">
        <v>326.4418</v>
      </c>
      <c r="D237" s="16">
        <v>71.8908</v>
      </c>
      <c r="E237" s="16">
        <v>349.4715</v>
      </c>
      <c r="F237" s="16">
        <v>172.1095</v>
      </c>
      <c r="G237" s="16">
        <v>186.5164</v>
      </c>
      <c r="H237" s="16">
        <v>203.3653</v>
      </c>
      <c r="I237" s="16">
        <v>247.528</v>
      </c>
      <c r="J237" s="16">
        <v>290.6489</v>
      </c>
      <c r="K237" s="16">
        <v>365.1933</v>
      </c>
      <c r="L237" s="16">
        <v>399.503</v>
      </c>
      <c r="M237" s="16">
        <v>352.2098</v>
      </c>
      <c r="N237" s="16">
        <v>305.9716</v>
      </c>
      <c r="O237" s="16">
        <v>280.4797</v>
      </c>
      <c r="P237" s="16">
        <v>398.2541</v>
      </c>
      <c r="Q237" s="16">
        <v>366.114</v>
      </c>
      <c r="R237" s="16">
        <v>392.523</v>
      </c>
      <c r="S237" s="16">
        <v>386.2128</v>
      </c>
      <c r="T237" s="16">
        <v>351.4182</v>
      </c>
      <c r="U237" s="16">
        <v>510.5657</v>
      </c>
      <c r="V237" s="16">
        <v>378.4434</v>
      </c>
      <c r="W237" s="16">
        <v>459.9931</v>
      </c>
      <c r="X237" s="16">
        <v>413.3959</v>
      </c>
      <c r="Y237" s="16">
        <v>368.8613</v>
      </c>
      <c r="Z237" s="26" t="s">
        <v>34</v>
      </c>
      <c r="AA237" s="25">
        <f t="shared" si="6"/>
        <v>71.8908</v>
      </c>
      <c r="AB237" s="25">
        <f t="shared" si="7"/>
        <v>329.3648625</v>
      </c>
    </row>
    <row r="238" spans="1:28">
      <c r="A238" s="8">
        <v>45528</v>
      </c>
      <c r="B238" s="16">
        <v>263.2413</v>
      </c>
      <c r="C238" s="16">
        <v>313.3047</v>
      </c>
      <c r="D238" s="16">
        <v>293.4431</v>
      </c>
      <c r="E238" s="16">
        <v>281.4358</v>
      </c>
      <c r="F238" s="16">
        <v>276.8574</v>
      </c>
      <c r="G238" s="16">
        <v>273.2053</v>
      </c>
      <c r="H238" s="16">
        <v>273.6727</v>
      </c>
      <c r="I238" s="16">
        <v>273.9932</v>
      </c>
      <c r="J238" s="16">
        <v>275.3059</v>
      </c>
      <c r="K238" s="16">
        <v>280.3064</v>
      </c>
      <c r="L238" s="16">
        <v>264.9735</v>
      </c>
      <c r="M238" s="16">
        <v>271.1676</v>
      </c>
      <c r="N238" s="16">
        <v>269.3147</v>
      </c>
      <c r="O238" s="16">
        <v>290.536</v>
      </c>
      <c r="P238" s="16">
        <v>304.0814</v>
      </c>
      <c r="Q238" s="16">
        <v>345.7026</v>
      </c>
      <c r="R238" s="16">
        <v>367.9333</v>
      </c>
      <c r="S238" s="16">
        <v>672.0659</v>
      </c>
      <c r="T238" s="16">
        <v>322.1917</v>
      </c>
      <c r="U238" s="16">
        <v>824.1919</v>
      </c>
      <c r="V238" s="16">
        <v>484.9188</v>
      </c>
      <c r="W238" s="16">
        <v>453.9476</v>
      </c>
      <c r="X238" s="16">
        <v>414.7816</v>
      </c>
      <c r="Y238" s="16">
        <v>375.3844</v>
      </c>
      <c r="Z238" s="26" t="s">
        <v>32</v>
      </c>
      <c r="AA238" s="25">
        <f t="shared" si="6"/>
        <v>263.2413</v>
      </c>
      <c r="AB238" s="25">
        <f t="shared" si="7"/>
        <v>352.7482</v>
      </c>
    </row>
    <row r="239" spans="1:28">
      <c r="A239" s="8">
        <v>45529</v>
      </c>
      <c r="B239" s="16">
        <v>282.5186</v>
      </c>
      <c r="C239" s="16">
        <v>269.1529</v>
      </c>
      <c r="D239" s="16">
        <v>243.2062</v>
      </c>
      <c r="E239" s="16">
        <v>227.4978</v>
      </c>
      <c r="F239" s="16">
        <v>209.2053</v>
      </c>
      <c r="G239" s="16">
        <v>205.0981</v>
      </c>
      <c r="H239" s="16">
        <v>205.3227</v>
      </c>
      <c r="I239" s="16">
        <v>202.6092</v>
      </c>
      <c r="J239" s="16">
        <v>196.7883</v>
      </c>
      <c r="K239" s="16">
        <v>198.3985</v>
      </c>
      <c r="L239" s="16">
        <v>196.0939</v>
      </c>
      <c r="M239" s="16">
        <v>190.9435</v>
      </c>
      <c r="N239" s="16">
        <v>175.6309</v>
      </c>
      <c r="O239" s="16">
        <v>204.8136</v>
      </c>
      <c r="P239" s="16">
        <v>205.5021</v>
      </c>
      <c r="Q239" s="16">
        <v>226.8311</v>
      </c>
      <c r="R239" s="16">
        <v>242.7988</v>
      </c>
      <c r="S239" s="16">
        <v>255.1687</v>
      </c>
      <c r="T239" s="16">
        <v>288.6527</v>
      </c>
      <c r="U239" s="16">
        <v>301.4045</v>
      </c>
      <c r="V239" s="16">
        <v>321.164</v>
      </c>
      <c r="W239" s="16">
        <v>345.7307</v>
      </c>
      <c r="X239" s="16">
        <v>345.9373</v>
      </c>
      <c r="Y239" s="16">
        <v>317.2394</v>
      </c>
      <c r="Z239" s="26" t="s">
        <v>32</v>
      </c>
      <c r="AA239" s="25">
        <f t="shared" si="6"/>
        <v>175.6309</v>
      </c>
      <c r="AB239" s="25">
        <f t="shared" si="7"/>
        <v>244.0712</v>
      </c>
    </row>
    <row r="240" spans="1:28">
      <c r="A240" s="8">
        <v>45530</v>
      </c>
      <c r="B240" s="16">
        <v>240.7577</v>
      </c>
      <c r="C240" s="16">
        <v>225.4528</v>
      </c>
      <c r="D240" s="16">
        <v>215.4304</v>
      </c>
      <c r="E240" s="16">
        <v>209.356</v>
      </c>
      <c r="F240" s="16">
        <v>200.3635</v>
      </c>
      <c r="G240" s="16">
        <v>196.7843</v>
      </c>
      <c r="H240" s="16">
        <v>200.7136</v>
      </c>
      <c r="I240" s="16">
        <v>201.068</v>
      </c>
      <c r="J240" s="16">
        <v>259.8402</v>
      </c>
      <c r="K240" s="16">
        <v>310.486</v>
      </c>
      <c r="L240" s="16">
        <v>341.6451</v>
      </c>
      <c r="M240" s="16">
        <v>340.6748</v>
      </c>
      <c r="N240" s="16">
        <v>280.2427</v>
      </c>
      <c r="O240" s="16">
        <v>330.6651</v>
      </c>
      <c r="P240" s="16">
        <v>201.4345</v>
      </c>
      <c r="Q240" s="16">
        <v>259.0476</v>
      </c>
      <c r="R240" s="16">
        <v>381.5022</v>
      </c>
      <c r="S240" s="16">
        <v>449.1422</v>
      </c>
      <c r="T240" s="16">
        <v>272.7441</v>
      </c>
      <c r="U240" s="16">
        <v>423.4912</v>
      </c>
      <c r="V240" s="16">
        <v>448.205</v>
      </c>
      <c r="W240" s="16">
        <v>390.9016</v>
      </c>
      <c r="X240" s="16">
        <v>345.8816</v>
      </c>
      <c r="Y240" s="16">
        <v>311.6487</v>
      </c>
      <c r="Z240" s="26" t="s">
        <v>32</v>
      </c>
      <c r="AA240" s="25">
        <f t="shared" si="6"/>
        <v>196.7843</v>
      </c>
      <c r="AB240" s="25">
        <f t="shared" si="7"/>
        <v>293.2282875</v>
      </c>
    </row>
    <row r="241" spans="1:28">
      <c r="A241" s="8">
        <v>45531</v>
      </c>
      <c r="B241" s="16">
        <v>300.5831</v>
      </c>
      <c r="C241" s="16">
        <v>290.9618</v>
      </c>
      <c r="D241" s="16">
        <v>280.6047</v>
      </c>
      <c r="E241" s="16">
        <v>277.7566</v>
      </c>
      <c r="F241" s="16">
        <v>270.4902</v>
      </c>
      <c r="G241" s="16">
        <v>265.4912</v>
      </c>
      <c r="H241" s="16">
        <v>268.6616</v>
      </c>
      <c r="I241" s="16">
        <v>266.5652</v>
      </c>
      <c r="J241" s="16">
        <v>275.8186</v>
      </c>
      <c r="K241" s="16">
        <v>301.0629</v>
      </c>
      <c r="L241" s="16">
        <v>307.1628</v>
      </c>
      <c r="M241" s="16">
        <v>310.7404</v>
      </c>
      <c r="N241" s="16">
        <v>295.0035</v>
      </c>
      <c r="O241" s="16">
        <v>320.5475</v>
      </c>
      <c r="P241" s="16">
        <v>315.5475</v>
      </c>
      <c r="Q241" s="16">
        <v>328.708</v>
      </c>
      <c r="R241" s="16">
        <v>369.9058</v>
      </c>
      <c r="S241" s="16">
        <v>359.8862</v>
      </c>
      <c r="T241" s="16">
        <v>332.2784</v>
      </c>
      <c r="U241" s="16">
        <v>362.5692</v>
      </c>
      <c r="V241" s="16">
        <v>370.9454</v>
      </c>
      <c r="W241" s="16">
        <v>362.1588</v>
      </c>
      <c r="X241" s="16">
        <v>345.6676</v>
      </c>
      <c r="Y241" s="16">
        <v>318.6447</v>
      </c>
      <c r="Z241" s="26" t="s">
        <v>32</v>
      </c>
      <c r="AA241" s="25">
        <f t="shared" si="6"/>
        <v>265.4912</v>
      </c>
      <c r="AB241" s="25">
        <f t="shared" si="7"/>
        <v>312.4067375</v>
      </c>
    </row>
    <row r="242" spans="1:28">
      <c r="A242" s="8">
        <v>45532</v>
      </c>
      <c r="B242" s="16">
        <v>371.8237</v>
      </c>
      <c r="C242" s="16">
        <v>346.3355</v>
      </c>
      <c r="D242" s="16">
        <v>323.1373</v>
      </c>
      <c r="E242" s="16">
        <v>310.8428</v>
      </c>
      <c r="F242" s="16">
        <v>298.78</v>
      </c>
      <c r="G242" s="16">
        <v>293.256</v>
      </c>
      <c r="H242" s="16">
        <v>293.0838</v>
      </c>
      <c r="I242" s="16">
        <v>288.2187</v>
      </c>
      <c r="J242" s="16">
        <v>303.586</v>
      </c>
      <c r="K242" s="16">
        <v>324.4933</v>
      </c>
      <c r="L242" s="16">
        <v>342.3605</v>
      </c>
      <c r="M242" s="16">
        <v>328.4184</v>
      </c>
      <c r="N242" s="16">
        <v>293.6544</v>
      </c>
      <c r="O242" s="16">
        <v>322.0837</v>
      </c>
      <c r="P242" s="16">
        <v>371.5079</v>
      </c>
      <c r="Q242" s="16">
        <v>335.4003</v>
      </c>
      <c r="R242" s="16">
        <v>353.5762</v>
      </c>
      <c r="S242" s="16">
        <v>356.3718</v>
      </c>
      <c r="T242" s="16">
        <v>336.7512</v>
      </c>
      <c r="U242" s="16">
        <v>418.7194</v>
      </c>
      <c r="V242" s="16">
        <v>380.8739</v>
      </c>
      <c r="W242" s="16">
        <v>370.9647</v>
      </c>
      <c r="X242" s="16">
        <v>372.7971</v>
      </c>
      <c r="Y242" s="16">
        <v>342.2962</v>
      </c>
      <c r="Z242" s="26" t="s">
        <v>32</v>
      </c>
      <c r="AA242" s="25">
        <f t="shared" si="6"/>
        <v>288.2187</v>
      </c>
      <c r="AB242" s="25">
        <f t="shared" si="7"/>
        <v>336.638866666667</v>
      </c>
    </row>
    <row r="243" spans="1:28">
      <c r="A243" s="8">
        <v>45533</v>
      </c>
      <c r="B243" s="16">
        <v>388.134</v>
      </c>
      <c r="C243" s="16">
        <v>355.0409</v>
      </c>
      <c r="D243" s="16">
        <v>344.3128</v>
      </c>
      <c r="E243" s="16">
        <v>335.5</v>
      </c>
      <c r="F243" s="16">
        <v>328.6219</v>
      </c>
      <c r="G243" s="16">
        <v>322.1059</v>
      </c>
      <c r="H243" s="16">
        <v>321.4036</v>
      </c>
      <c r="I243" s="16">
        <v>319.9037</v>
      </c>
      <c r="J243" s="16">
        <v>332.2795</v>
      </c>
      <c r="K243" s="16">
        <v>349.0073</v>
      </c>
      <c r="L243" s="16">
        <v>355.7254</v>
      </c>
      <c r="M243" s="16">
        <v>347.6278</v>
      </c>
      <c r="N243" s="16">
        <v>321.929</v>
      </c>
      <c r="O243" s="16">
        <v>359.832</v>
      </c>
      <c r="P243" s="16">
        <v>373.3318</v>
      </c>
      <c r="Q243" s="16">
        <v>360.3657</v>
      </c>
      <c r="R243" s="16">
        <v>366.5235</v>
      </c>
      <c r="S243" s="16">
        <v>364.9111</v>
      </c>
      <c r="T243" s="16">
        <v>357.3331</v>
      </c>
      <c r="U243" s="16">
        <v>466.6123</v>
      </c>
      <c r="V243" s="16">
        <v>460.1679</v>
      </c>
      <c r="W243" s="16">
        <v>421.3152</v>
      </c>
      <c r="X243" s="16">
        <v>384.1396</v>
      </c>
      <c r="Y243" s="16">
        <v>358.4481</v>
      </c>
      <c r="Z243" s="26" t="s">
        <v>33</v>
      </c>
      <c r="AA243" s="25">
        <f t="shared" si="6"/>
        <v>319.9037</v>
      </c>
      <c r="AB243" s="25">
        <f t="shared" si="7"/>
        <v>362.2738375</v>
      </c>
    </row>
    <row r="244" spans="1:28">
      <c r="A244" s="8">
        <v>45534</v>
      </c>
      <c r="B244" s="16">
        <v>336.0195</v>
      </c>
      <c r="C244" s="16">
        <v>326.8263</v>
      </c>
      <c r="D244" s="16">
        <v>313.7279</v>
      </c>
      <c r="E244" s="16">
        <v>308.1415</v>
      </c>
      <c r="F244" s="16">
        <v>300.8402</v>
      </c>
      <c r="G244" s="16">
        <v>299.8179</v>
      </c>
      <c r="H244" s="16">
        <v>302.1313</v>
      </c>
      <c r="I244" s="16">
        <v>301.7003</v>
      </c>
      <c r="J244" s="16">
        <v>312.2706</v>
      </c>
      <c r="K244" s="16">
        <v>330.3444</v>
      </c>
      <c r="L244" s="16">
        <v>330.482</v>
      </c>
      <c r="M244" s="16">
        <v>329.6119</v>
      </c>
      <c r="N244" s="16">
        <v>308.8711</v>
      </c>
      <c r="O244" s="16">
        <v>324.0982</v>
      </c>
      <c r="P244" s="16">
        <v>350.6406</v>
      </c>
      <c r="Q244" s="16">
        <v>358.0578</v>
      </c>
      <c r="R244" s="16">
        <v>375.0765</v>
      </c>
      <c r="S244" s="16">
        <v>394.2153</v>
      </c>
      <c r="T244" s="16">
        <v>346.1876</v>
      </c>
      <c r="U244" s="16">
        <v>425.09</v>
      </c>
      <c r="V244" s="16">
        <v>419.7956</v>
      </c>
      <c r="W244" s="16">
        <v>374.5409</v>
      </c>
      <c r="X244" s="16">
        <v>353.2056</v>
      </c>
      <c r="Y244" s="16">
        <v>342.7569</v>
      </c>
      <c r="Z244" s="26" t="s">
        <v>34</v>
      </c>
      <c r="AA244" s="25">
        <f t="shared" si="6"/>
        <v>299.8179</v>
      </c>
      <c r="AB244" s="25">
        <f t="shared" si="7"/>
        <v>340.1854125</v>
      </c>
    </row>
    <row r="245" spans="1:28">
      <c r="A245" s="8">
        <v>45535</v>
      </c>
      <c r="B245" s="16">
        <v>394.4706</v>
      </c>
      <c r="C245" s="16">
        <v>356.4085</v>
      </c>
      <c r="D245" s="16">
        <v>338.794</v>
      </c>
      <c r="E245" s="16">
        <v>330.6652</v>
      </c>
      <c r="F245" s="16">
        <v>321.3302</v>
      </c>
      <c r="G245" s="16">
        <v>312.0331</v>
      </c>
      <c r="H245" s="16">
        <v>318.8761</v>
      </c>
      <c r="I245" s="16">
        <v>318.0761</v>
      </c>
      <c r="J245" s="16">
        <v>325.166</v>
      </c>
      <c r="K245" s="16">
        <v>335.1135</v>
      </c>
      <c r="L245" s="16">
        <v>331.7568</v>
      </c>
      <c r="M245" s="16">
        <v>332.2878</v>
      </c>
      <c r="N245" s="16">
        <v>314.7152</v>
      </c>
      <c r="O245" s="16">
        <v>345.0292</v>
      </c>
      <c r="P245" s="16">
        <v>345.3694</v>
      </c>
      <c r="Q245" s="16">
        <v>347.6689</v>
      </c>
      <c r="R245" s="16">
        <v>359.9891</v>
      </c>
      <c r="S245" s="16">
        <v>370.5553</v>
      </c>
      <c r="T245" s="16">
        <v>367.2584</v>
      </c>
      <c r="U245" s="16">
        <v>389.3906</v>
      </c>
      <c r="V245" s="16">
        <v>401.1149</v>
      </c>
      <c r="W245" s="16">
        <v>388.6844</v>
      </c>
      <c r="X245" s="16">
        <v>377.2726</v>
      </c>
      <c r="Y245" s="16">
        <v>361.2075</v>
      </c>
      <c r="Z245" s="26" t="s">
        <v>32</v>
      </c>
      <c r="AA245" s="25">
        <f t="shared" si="6"/>
        <v>312.0331</v>
      </c>
      <c r="AB245" s="25">
        <f t="shared" si="7"/>
        <v>349.301391666667</v>
      </c>
    </row>
    <row r="246" spans="1:28">
      <c r="A246" s="8">
        <v>45536</v>
      </c>
      <c r="B246" s="16">
        <v>385.0861</v>
      </c>
      <c r="C246" s="16">
        <v>391.6934</v>
      </c>
      <c r="D246" s="16">
        <v>380.6884</v>
      </c>
      <c r="E246" s="16">
        <v>367.0849</v>
      </c>
      <c r="F246" s="16">
        <v>340.3665</v>
      </c>
      <c r="G246" s="16">
        <v>333.6997</v>
      </c>
      <c r="H246" s="16">
        <v>329.9646</v>
      </c>
      <c r="I246" s="16">
        <v>305.1983</v>
      </c>
      <c r="J246" s="16">
        <v>294.9821</v>
      </c>
      <c r="K246" s="16">
        <v>290.326</v>
      </c>
      <c r="L246" s="16">
        <v>287.7492</v>
      </c>
      <c r="M246" s="16">
        <v>291.9039</v>
      </c>
      <c r="N246" s="16">
        <v>301.7254</v>
      </c>
      <c r="O246" s="16">
        <v>318.1204</v>
      </c>
      <c r="P246" s="16">
        <v>331.4804</v>
      </c>
      <c r="Q246" s="16">
        <v>323.3105</v>
      </c>
      <c r="R246" s="16">
        <v>324.5374</v>
      </c>
      <c r="S246" s="16">
        <v>333.7145</v>
      </c>
      <c r="T246" s="16">
        <v>342.1293</v>
      </c>
      <c r="U246" s="16">
        <v>374.6917</v>
      </c>
      <c r="V246" s="16">
        <v>381.083</v>
      </c>
      <c r="W246" s="16">
        <v>367.1426</v>
      </c>
      <c r="X246" s="16">
        <v>366.3942</v>
      </c>
      <c r="Y246" s="16">
        <v>355.0211</v>
      </c>
      <c r="Z246" s="26" t="s">
        <v>32</v>
      </c>
      <c r="AA246" s="25">
        <f t="shared" si="6"/>
        <v>287.7492</v>
      </c>
      <c r="AB246" s="25">
        <f t="shared" si="7"/>
        <v>338.2539</v>
      </c>
    </row>
    <row r="247" spans="1:28">
      <c r="A247" s="8">
        <v>45537</v>
      </c>
      <c r="B247" s="16">
        <v>344.6345</v>
      </c>
      <c r="C247" s="16">
        <v>342.9537</v>
      </c>
      <c r="D247" s="16">
        <v>328.3121</v>
      </c>
      <c r="E247" s="16">
        <v>310.4025</v>
      </c>
      <c r="F247" s="16">
        <v>300.2296</v>
      </c>
      <c r="G247" s="16">
        <v>300.0651</v>
      </c>
      <c r="H247" s="16">
        <v>300.1973</v>
      </c>
      <c r="I247" s="16">
        <v>297.0832</v>
      </c>
      <c r="J247" s="16">
        <v>347.5219</v>
      </c>
      <c r="K247" s="16">
        <v>394.1373</v>
      </c>
      <c r="L247" s="16">
        <v>377.8766</v>
      </c>
      <c r="M247" s="16">
        <v>377.3586</v>
      </c>
      <c r="N247" s="16">
        <v>353.5338</v>
      </c>
      <c r="O247" s="16">
        <v>405.7894</v>
      </c>
      <c r="P247" s="16">
        <v>437.3886</v>
      </c>
      <c r="Q247" s="16">
        <v>421.9389</v>
      </c>
      <c r="R247" s="16">
        <v>419.9496</v>
      </c>
      <c r="S247" s="16">
        <v>411.1223</v>
      </c>
      <c r="T247" s="16">
        <v>373.2264</v>
      </c>
      <c r="U247" s="16">
        <v>430.4593</v>
      </c>
      <c r="V247" s="16">
        <v>420.3862</v>
      </c>
      <c r="W247" s="16">
        <v>392.5609</v>
      </c>
      <c r="X247" s="16">
        <v>388.0774</v>
      </c>
      <c r="Y247" s="16">
        <v>366.2602</v>
      </c>
      <c r="Z247" s="26" t="s">
        <v>32</v>
      </c>
      <c r="AA247" s="25">
        <f t="shared" si="6"/>
        <v>297.0832</v>
      </c>
      <c r="AB247" s="25">
        <f t="shared" si="7"/>
        <v>368.394391666667</v>
      </c>
    </row>
    <row r="248" spans="1:28">
      <c r="A248" s="8">
        <v>45538</v>
      </c>
      <c r="B248" s="16">
        <v>620.8992</v>
      </c>
      <c r="C248" s="16">
        <v>464.6566</v>
      </c>
      <c r="D248" s="16">
        <v>405.455</v>
      </c>
      <c r="E248" s="16">
        <v>393.4807</v>
      </c>
      <c r="F248" s="16">
        <v>360.8261</v>
      </c>
      <c r="G248" s="16">
        <v>348.8854</v>
      </c>
      <c r="H248" s="16">
        <v>342.7377</v>
      </c>
      <c r="I248" s="16">
        <v>331.6066</v>
      </c>
      <c r="J248" s="16">
        <v>376.0867</v>
      </c>
      <c r="K248" s="16">
        <v>394.1317</v>
      </c>
      <c r="L248" s="16">
        <v>380.603</v>
      </c>
      <c r="M248" s="16">
        <v>369.6633</v>
      </c>
      <c r="N248" s="16">
        <v>350.5289</v>
      </c>
      <c r="O248" s="16">
        <v>400.2419</v>
      </c>
      <c r="P248" s="16">
        <v>406.9225</v>
      </c>
      <c r="Q248" s="16">
        <v>389.2824</v>
      </c>
      <c r="R248" s="16">
        <v>400.4818</v>
      </c>
      <c r="S248" s="16">
        <v>415.7757</v>
      </c>
      <c r="T248" s="16">
        <v>399.9142</v>
      </c>
      <c r="U248" s="16">
        <v>403.2281</v>
      </c>
      <c r="V248" s="16">
        <v>414.4747</v>
      </c>
      <c r="W248" s="16">
        <v>437.9963</v>
      </c>
      <c r="X248" s="16">
        <v>440.4058</v>
      </c>
      <c r="Y248" s="16">
        <v>404.3056</v>
      </c>
      <c r="Z248" s="26" t="s">
        <v>32</v>
      </c>
      <c r="AA248" s="25">
        <f t="shared" si="6"/>
        <v>331.6066</v>
      </c>
      <c r="AB248" s="25">
        <f t="shared" si="7"/>
        <v>402.191245833333</v>
      </c>
    </row>
    <row r="249" spans="1:28">
      <c r="A249" s="8">
        <v>45539</v>
      </c>
      <c r="B249" s="16">
        <v>413.7874</v>
      </c>
      <c r="C249" s="16">
        <v>409.0968</v>
      </c>
      <c r="D249" s="16">
        <v>402.0576</v>
      </c>
      <c r="E249" s="16">
        <v>383.4224</v>
      </c>
      <c r="F249" s="16">
        <v>358.0903</v>
      </c>
      <c r="G249" s="16">
        <v>353.678</v>
      </c>
      <c r="H249" s="16">
        <v>362.5385</v>
      </c>
      <c r="I249" s="16">
        <v>348.7023</v>
      </c>
      <c r="J249" s="16">
        <v>354.7652</v>
      </c>
      <c r="K249" s="16">
        <v>359.449</v>
      </c>
      <c r="L249" s="16">
        <v>358.3695</v>
      </c>
      <c r="M249" s="16">
        <v>357.8135</v>
      </c>
      <c r="N249" s="16">
        <v>356.9213</v>
      </c>
      <c r="O249" s="16">
        <v>392.7873</v>
      </c>
      <c r="P249" s="16">
        <v>382.5353</v>
      </c>
      <c r="Q249" s="16">
        <v>370.6731</v>
      </c>
      <c r="R249" s="16">
        <v>377.18</v>
      </c>
      <c r="S249" s="16">
        <v>406.8154</v>
      </c>
      <c r="T249" s="16">
        <v>395.7329</v>
      </c>
      <c r="U249" s="16">
        <v>405.9358</v>
      </c>
      <c r="V249" s="16">
        <v>380.3979</v>
      </c>
      <c r="W249" s="16">
        <v>406.7164</v>
      </c>
      <c r="X249" s="16">
        <v>429.2141</v>
      </c>
      <c r="Y249" s="16">
        <v>395.7489</v>
      </c>
      <c r="Z249" s="26" t="s">
        <v>32</v>
      </c>
      <c r="AA249" s="25">
        <f t="shared" si="6"/>
        <v>348.7023</v>
      </c>
      <c r="AB249" s="25">
        <f t="shared" si="7"/>
        <v>381.767870833333</v>
      </c>
    </row>
    <row r="250" spans="1:28">
      <c r="A250" s="8">
        <v>45540</v>
      </c>
      <c r="B250" s="16">
        <v>437.9342</v>
      </c>
      <c r="C250" s="16">
        <v>416.4983</v>
      </c>
      <c r="D250" s="16">
        <v>413.4435</v>
      </c>
      <c r="E250" s="16">
        <v>384.6299</v>
      </c>
      <c r="F250" s="16">
        <v>355.7995</v>
      </c>
      <c r="G250" s="16">
        <v>347.2388</v>
      </c>
      <c r="H250" s="16">
        <v>352.6723</v>
      </c>
      <c r="I250" s="16">
        <v>327.1788</v>
      </c>
      <c r="J250" s="16">
        <v>349.4571</v>
      </c>
      <c r="K250" s="16">
        <v>367.2056</v>
      </c>
      <c r="L250" s="16">
        <v>358.1394</v>
      </c>
      <c r="M250" s="16">
        <v>356.6846</v>
      </c>
      <c r="N250" s="16">
        <v>344.1434</v>
      </c>
      <c r="O250" s="16">
        <v>394.7427</v>
      </c>
      <c r="P250" s="16">
        <v>410.2888</v>
      </c>
      <c r="Q250" s="16">
        <v>401.5215</v>
      </c>
      <c r="R250" s="16">
        <v>405.3454</v>
      </c>
      <c r="S250" s="16">
        <v>392.6523</v>
      </c>
      <c r="T250" s="16">
        <v>384.7894</v>
      </c>
      <c r="U250" s="16">
        <v>392.341</v>
      </c>
      <c r="V250" s="16">
        <v>382.147</v>
      </c>
      <c r="W250" s="16">
        <v>406.8351</v>
      </c>
      <c r="X250" s="16">
        <v>400.8926</v>
      </c>
      <c r="Y250" s="16">
        <v>354.5142</v>
      </c>
      <c r="Z250" s="26" t="s">
        <v>33</v>
      </c>
      <c r="AA250" s="25">
        <f t="shared" si="6"/>
        <v>327.1788</v>
      </c>
      <c r="AB250" s="25">
        <f t="shared" si="7"/>
        <v>380.712308333333</v>
      </c>
    </row>
    <row r="251" spans="1:28">
      <c r="A251" s="8">
        <v>45541</v>
      </c>
      <c r="B251" s="16">
        <v>465.3778</v>
      </c>
      <c r="C251" s="16">
        <v>468.2943</v>
      </c>
      <c r="D251" s="16">
        <v>455.9206</v>
      </c>
      <c r="E251" s="16">
        <v>408.7776</v>
      </c>
      <c r="F251" s="16">
        <v>365.3574</v>
      </c>
      <c r="G251" s="16">
        <v>350.4488</v>
      </c>
      <c r="H251" s="16">
        <v>360.1968</v>
      </c>
      <c r="I251" s="16">
        <v>336.5718</v>
      </c>
      <c r="J251" s="16">
        <v>378.8452</v>
      </c>
      <c r="K251" s="16">
        <v>453.7766</v>
      </c>
      <c r="L251" s="16">
        <v>397.831</v>
      </c>
      <c r="M251" s="16">
        <v>395.2453</v>
      </c>
      <c r="N251" s="16">
        <v>366.8585</v>
      </c>
      <c r="O251" s="16">
        <v>411.089</v>
      </c>
      <c r="P251" s="16">
        <v>447.6238</v>
      </c>
      <c r="Q251" s="16">
        <v>430.3912</v>
      </c>
      <c r="R251" s="16">
        <v>418.5675</v>
      </c>
      <c r="S251" s="16">
        <v>412.3621</v>
      </c>
      <c r="T251" s="16">
        <v>387.1301</v>
      </c>
      <c r="U251" s="16">
        <v>406.0299</v>
      </c>
      <c r="V251" s="16">
        <v>395.2397</v>
      </c>
      <c r="W251" s="16">
        <v>388.3554</v>
      </c>
      <c r="X251" s="16">
        <v>388.2786</v>
      </c>
      <c r="Y251" s="16">
        <v>365.7618</v>
      </c>
      <c r="Z251" s="26" t="s">
        <v>34</v>
      </c>
      <c r="AA251" s="25">
        <f t="shared" si="6"/>
        <v>336.5718</v>
      </c>
      <c r="AB251" s="25">
        <f t="shared" si="7"/>
        <v>402.263783333333</v>
      </c>
    </row>
    <row r="252" spans="1:28">
      <c r="A252" s="8">
        <v>45542</v>
      </c>
      <c r="B252" s="16">
        <v>363.2116</v>
      </c>
      <c r="C252" s="16">
        <v>364.3059</v>
      </c>
      <c r="D252" s="16">
        <v>370.5936</v>
      </c>
      <c r="E252" s="16">
        <v>354.266</v>
      </c>
      <c r="F252" s="16">
        <v>335.0053</v>
      </c>
      <c r="G252" s="16">
        <v>327.1798</v>
      </c>
      <c r="H252" s="16">
        <v>341.1361</v>
      </c>
      <c r="I252" s="16">
        <v>333.2614</v>
      </c>
      <c r="J252" s="16">
        <v>346.5305</v>
      </c>
      <c r="K252" s="16">
        <v>379.5101</v>
      </c>
      <c r="L252" s="16">
        <v>359.9576</v>
      </c>
      <c r="M252" s="16">
        <v>357.7506</v>
      </c>
      <c r="N252" s="16">
        <v>339.7868</v>
      </c>
      <c r="O252" s="16">
        <v>363.4403</v>
      </c>
      <c r="P252" s="16">
        <v>377.7127</v>
      </c>
      <c r="Q252" s="16">
        <v>374.703</v>
      </c>
      <c r="R252" s="16">
        <v>379.9843</v>
      </c>
      <c r="S252" s="16">
        <v>390.2313</v>
      </c>
      <c r="T252" s="16">
        <v>389.5906</v>
      </c>
      <c r="U252" s="16">
        <v>403.6063</v>
      </c>
      <c r="V252" s="16">
        <v>393.6868</v>
      </c>
      <c r="W252" s="16">
        <v>388.5654</v>
      </c>
      <c r="X252" s="16">
        <v>401.3996</v>
      </c>
      <c r="Y252" s="16">
        <v>376.0765</v>
      </c>
      <c r="Z252" s="26" t="s">
        <v>32</v>
      </c>
      <c r="AA252" s="25">
        <f t="shared" si="6"/>
        <v>327.1798</v>
      </c>
      <c r="AB252" s="25">
        <f t="shared" si="7"/>
        <v>367.145504166667</v>
      </c>
    </row>
    <row r="253" spans="1:28">
      <c r="A253" s="8">
        <v>45543</v>
      </c>
      <c r="B253" s="16">
        <v>371.4592</v>
      </c>
      <c r="C253" s="16">
        <v>381.4275</v>
      </c>
      <c r="D253" s="16">
        <v>380.6674</v>
      </c>
      <c r="E253" s="16">
        <v>365.0898</v>
      </c>
      <c r="F253" s="16">
        <v>351.7681</v>
      </c>
      <c r="G253" s="16">
        <v>341.0547</v>
      </c>
      <c r="H253" s="16">
        <v>350.4367</v>
      </c>
      <c r="I253" s="16">
        <v>336.493</v>
      </c>
      <c r="J253" s="16">
        <v>318.1234</v>
      </c>
      <c r="K253" s="16">
        <v>337.4222</v>
      </c>
      <c r="L253" s="16">
        <v>321.0255</v>
      </c>
      <c r="M253" s="16">
        <v>317.3657</v>
      </c>
      <c r="N253" s="16">
        <v>326.5664</v>
      </c>
      <c r="O253" s="16">
        <v>350.9363</v>
      </c>
      <c r="P253" s="16">
        <v>345.9358</v>
      </c>
      <c r="Q253" s="16">
        <v>345.5983</v>
      </c>
      <c r="R253" s="16">
        <v>349.5059</v>
      </c>
      <c r="S253" s="16">
        <v>354.4948</v>
      </c>
      <c r="T253" s="16">
        <v>354.3527</v>
      </c>
      <c r="U253" s="16">
        <v>360.6012</v>
      </c>
      <c r="V253" s="16">
        <v>366.3934</v>
      </c>
      <c r="W253" s="16">
        <v>374.8801</v>
      </c>
      <c r="X253" s="16">
        <v>373.7296</v>
      </c>
      <c r="Y253" s="16">
        <v>357.8429</v>
      </c>
      <c r="Z253" s="26" t="s">
        <v>32</v>
      </c>
      <c r="AA253" s="25">
        <f t="shared" si="6"/>
        <v>317.3657</v>
      </c>
      <c r="AB253" s="25">
        <f t="shared" si="7"/>
        <v>351.382108333333</v>
      </c>
    </row>
    <row r="254" spans="1:28">
      <c r="A254" s="8">
        <v>45544</v>
      </c>
      <c r="B254" s="16">
        <v>356.8096</v>
      </c>
      <c r="C254" s="16">
        <v>342.8114</v>
      </c>
      <c r="D254" s="16">
        <v>332.87</v>
      </c>
      <c r="E254" s="16">
        <v>322.54</v>
      </c>
      <c r="F254" s="16">
        <v>306.7122</v>
      </c>
      <c r="G254" s="16">
        <v>299.9526</v>
      </c>
      <c r="H254" s="16">
        <v>307.5782</v>
      </c>
      <c r="I254" s="16">
        <v>300.5722</v>
      </c>
      <c r="J254" s="16">
        <v>331.4396</v>
      </c>
      <c r="K254" s="16">
        <v>368.0412</v>
      </c>
      <c r="L254" s="16">
        <v>364.8546</v>
      </c>
      <c r="M254" s="16">
        <v>367.1841</v>
      </c>
      <c r="N254" s="16">
        <v>337.6005</v>
      </c>
      <c r="O254" s="16">
        <v>367.1017</v>
      </c>
      <c r="P254" s="16">
        <v>385.5395</v>
      </c>
      <c r="Q254" s="16">
        <v>380.2978</v>
      </c>
      <c r="R254" s="16">
        <v>383.1073</v>
      </c>
      <c r="S254" s="16">
        <v>381.7582</v>
      </c>
      <c r="T254" s="16">
        <v>381.7846</v>
      </c>
      <c r="U254" s="16">
        <v>384.5319</v>
      </c>
      <c r="V254" s="16">
        <v>377.9444</v>
      </c>
      <c r="W254" s="16">
        <v>376.2776</v>
      </c>
      <c r="X254" s="16">
        <v>381.7382</v>
      </c>
      <c r="Y254" s="16">
        <v>356.6305</v>
      </c>
      <c r="Z254" s="26" t="s">
        <v>32</v>
      </c>
      <c r="AA254" s="25">
        <f t="shared" si="6"/>
        <v>299.9526</v>
      </c>
      <c r="AB254" s="25">
        <f t="shared" si="7"/>
        <v>353.986579166667</v>
      </c>
    </row>
    <row r="255" spans="1:28">
      <c r="A255" s="8">
        <v>45545</v>
      </c>
      <c r="B255" s="16">
        <v>368.71</v>
      </c>
      <c r="C255" s="16">
        <v>360.3457</v>
      </c>
      <c r="D255" s="16">
        <v>356.2915</v>
      </c>
      <c r="E255" s="16">
        <v>339.1394</v>
      </c>
      <c r="F255" s="16">
        <v>322.4466</v>
      </c>
      <c r="G255" s="16">
        <v>320.025</v>
      </c>
      <c r="H255" s="16">
        <v>335.8341</v>
      </c>
      <c r="I255" s="16">
        <v>324.6443</v>
      </c>
      <c r="J255" s="16">
        <v>350.4664</v>
      </c>
      <c r="K255" s="16">
        <v>368.9036</v>
      </c>
      <c r="L255" s="16">
        <v>351.3653</v>
      </c>
      <c r="M255" s="16">
        <v>360.0046</v>
      </c>
      <c r="N255" s="16">
        <v>346.846</v>
      </c>
      <c r="O255" s="16">
        <v>365.3194</v>
      </c>
      <c r="P255" s="16">
        <v>368.8838</v>
      </c>
      <c r="Q255" s="16">
        <v>357.9331</v>
      </c>
      <c r="R255" s="16">
        <v>362.3351</v>
      </c>
      <c r="S255" s="16">
        <v>385.7392</v>
      </c>
      <c r="T255" s="16">
        <v>398.0828</v>
      </c>
      <c r="U255" s="16">
        <v>402.9495</v>
      </c>
      <c r="V255" s="16">
        <v>407.583</v>
      </c>
      <c r="W255" s="16">
        <v>411.1413</v>
      </c>
      <c r="X255" s="16">
        <v>401.3157</v>
      </c>
      <c r="Y255" s="16">
        <v>353.9033</v>
      </c>
      <c r="Z255" s="26" t="s">
        <v>32</v>
      </c>
      <c r="AA255" s="25">
        <f t="shared" si="6"/>
        <v>320.025</v>
      </c>
      <c r="AB255" s="25">
        <f t="shared" si="7"/>
        <v>363.342029166667</v>
      </c>
    </row>
    <row r="256" spans="1:28">
      <c r="A256" s="8">
        <v>45546</v>
      </c>
      <c r="B256" s="16">
        <v>346.5579</v>
      </c>
      <c r="C256" s="16">
        <v>342.1686</v>
      </c>
      <c r="D256" s="16">
        <v>337.591</v>
      </c>
      <c r="E256" s="16">
        <v>323.0134</v>
      </c>
      <c r="F256" s="16">
        <v>307.2223</v>
      </c>
      <c r="G256" s="16">
        <v>298.3638</v>
      </c>
      <c r="H256" s="16">
        <v>304.3567</v>
      </c>
      <c r="I256" s="16">
        <v>300.7694</v>
      </c>
      <c r="J256" s="16">
        <v>321.8694</v>
      </c>
      <c r="K256" s="16">
        <v>341.1523</v>
      </c>
      <c r="L256" s="16">
        <v>335.1175</v>
      </c>
      <c r="M256" s="16">
        <v>344.7962</v>
      </c>
      <c r="N256" s="16">
        <v>320.2873</v>
      </c>
      <c r="O256" s="16">
        <v>345.9232</v>
      </c>
      <c r="P256" s="16">
        <v>353.8096</v>
      </c>
      <c r="Q256" s="16">
        <v>360.0936</v>
      </c>
      <c r="R256" s="16">
        <v>354.6911</v>
      </c>
      <c r="S256" s="16">
        <v>372.3548</v>
      </c>
      <c r="T256" s="16">
        <v>360.5456</v>
      </c>
      <c r="U256" s="16">
        <v>348.1591</v>
      </c>
      <c r="V256" s="16">
        <v>348.6547</v>
      </c>
      <c r="W256" s="16">
        <v>357.502</v>
      </c>
      <c r="X256" s="16">
        <v>348.7106</v>
      </c>
      <c r="Y256" s="16">
        <v>321.92</v>
      </c>
      <c r="Z256" s="26" t="s">
        <v>32</v>
      </c>
      <c r="AA256" s="25">
        <f t="shared" si="6"/>
        <v>298.3638</v>
      </c>
      <c r="AB256" s="25">
        <f t="shared" si="7"/>
        <v>337.317920833333</v>
      </c>
    </row>
    <row r="257" spans="1:28">
      <c r="A257" s="8">
        <v>45547</v>
      </c>
      <c r="B257" s="16">
        <v>344.8851</v>
      </c>
      <c r="C257" s="16">
        <v>338.6251</v>
      </c>
      <c r="D257" s="16">
        <v>333.1547</v>
      </c>
      <c r="E257" s="16">
        <v>315.53</v>
      </c>
      <c r="F257" s="16">
        <v>305.2885</v>
      </c>
      <c r="G257" s="16">
        <v>304.0594</v>
      </c>
      <c r="H257" s="16">
        <v>302.5665</v>
      </c>
      <c r="I257" s="16">
        <v>296.8063</v>
      </c>
      <c r="J257" s="16">
        <v>320.7931</v>
      </c>
      <c r="K257" s="16">
        <v>332.9609</v>
      </c>
      <c r="L257" s="16">
        <v>319.3355</v>
      </c>
      <c r="M257" s="16">
        <v>337.435</v>
      </c>
      <c r="N257" s="16">
        <v>324.8319</v>
      </c>
      <c r="O257" s="16">
        <v>342.8049</v>
      </c>
      <c r="P257" s="16">
        <v>344.3817</v>
      </c>
      <c r="Q257" s="16">
        <v>356.2286</v>
      </c>
      <c r="R257" s="16">
        <v>350.6101</v>
      </c>
      <c r="S257" s="16">
        <v>364.4763</v>
      </c>
      <c r="T257" s="16">
        <v>367.4851</v>
      </c>
      <c r="U257" s="16">
        <v>359.7144</v>
      </c>
      <c r="V257" s="16">
        <v>359.1898</v>
      </c>
      <c r="W257" s="16">
        <v>356.1112</v>
      </c>
      <c r="X257" s="16">
        <v>360.4924</v>
      </c>
      <c r="Y257" s="16">
        <v>338.8303</v>
      </c>
      <c r="Z257" s="26" t="s">
        <v>33</v>
      </c>
      <c r="AA257" s="25">
        <f t="shared" si="6"/>
        <v>296.8063</v>
      </c>
      <c r="AB257" s="25">
        <f t="shared" si="7"/>
        <v>336.524866666667</v>
      </c>
    </row>
    <row r="258" spans="1:28">
      <c r="A258" s="8">
        <v>45548</v>
      </c>
      <c r="B258" s="16">
        <v>370.2244</v>
      </c>
      <c r="C258" s="16">
        <v>371.0029</v>
      </c>
      <c r="D258" s="16">
        <v>359.6163</v>
      </c>
      <c r="E258" s="16">
        <v>344.9771</v>
      </c>
      <c r="F258" s="16">
        <v>330.7774</v>
      </c>
      <c r="G258" s="16">
        <v>326.5293</v>
      </c>
      <c r="H258" s="16">
        <v>323.4293</v>
      </c>
      <c r="I258" s="16">
        <v>305.5199</v>
      </c>
      <c r="J258" s="16">
        <v>331.4828</v>
      </c>
      <c r="K258" s="16">
        <v>349.2205</v>
      </c>
      <c r="L258" s="16">
        <v>328.0569</v>
      </c>
      <c r="M258" s="16">
        <v>340.9342</v>
      </c>
      <c r="N258" s="16">
        <v>329.7392</v>
      </c>
      <c r="O258" s="16">
        <v>337.1613</v>
      </c>
      <c r="P258" s="16">
        <v>342.7978</v>
      </c>
      <c r="Q258" s="16">
        <v>347.1452</v>
      </c>
      <c r="R258" s="16">
        <v>340.3889</v>
      </c>
      <c r="S258" s="16">
        <v>347.8511</v>
      </c>
      <c r="T258" s="16">
        <v>352.2389</v>
      </c>
      <c r="U258" s="16">
        <v>358.1427</v>
      </c>
      <c r="V258" s="16">
        <v>350.7445</v>
      </c>
      <c r="W258" s="16">
        <v>345.0986</v>
      </c>
      <c r="X258" s="16">
        <v>349.1398</v>
      </c>
      <c r="Y258" s="16">
        <v>332.8623</v>
      </c>
      <c r="Z258" s="26" t="s">
        <v>34</v>
      </c>
      <c r="AA258" s="25">
        <f t="shared" ref="AA258:AA321" si="8">MIN($B258:$Y258)</f>
        <v>305.5199</v>
      </c>
      <c r="AB258" s="25">
        <f t="shared" ref="AB258:AB321" si="9">AVERAGE($B258:$Y258)</f>
        <v>342.295054166667</v>
      </c>
    </row>
    <row r="259" spans="1:28">
      <c r="A259" s="8">
        <v>45549</v>
      </c>
      <c r="B259" s="16">
        <v>350.4465</v>
      </c>
      <c r="C259" s="16">
        <v>352.5864</v>
      </c>
      <c r="D259" s="16">
        <v>353.8697</v>
      </c>
      <c r="E259" s="16">
        <v>338.8076</v>
      </c>
      <c r="F259" s="16">
        <v>330.493</v>
      </c>
      <c r="G259" s="16">
        <v>324.7084</v>
      </c>
      <c r="H259" s="16">
        <v>322.1799</v>
      </c>
      <c r="I259" s="16">
        <v>300.8977</v>
      </c>
      <c r="J259" s="16">
        <v>324.1711</v>
      </c>
      <c r="K259" s="16">
        <v>339.0253</v>
      </c>
      <c r="L259" s="16">
        <v>318.2245</v>
      </c>
      <c r="M259" s="16">
        <v>317.3086</v>
      </c>
      <c r="N259" s="16">
        <v>308.113</v>
      </c>
      <c r="O259" s="16">
        <v>318.713</v>
      </c>
      <c r="P259" s="16">
        <v>320.1004</v>
      </c>
      <c r="Q259" s="16">
        <v>326.6536</v>
      </c>
      <c r="R259" s="16">
        <v>334.7797</v>
      </c>
      <c r="S259" s="16">
        <v>353.1952</v>
      </c>
      <c r="T259" s="16">
        <v>351.1763</v>
      </c>
      <c r="U259" s="16">
        <v>349.5449</v>
      </c>
      <c r="V259" s="16">
        <v>348.5603</v>
      </c>
      <c r="W259" s="16">
        <v>345.6629</v>
      </c>
      <c r="X259" s="16">
        <v>335.0196</v>
      </c>
      <c r="Y259" s="16">
        <v>322.6033</v>
      </c>
      <c r="Z259" s="26" t="s">
        <v>32</v>
      </c>
      <c r="AA259" s="25">
        <f t="shared" si="8"/>
        <v>300.8977</v>
      </c>
      <c r="AB259" s="25">
        <f t="shared" si="9"/>
        <v>332.7850375</v>
      </c>
    </row>
    <row r="260" spans="1:28">
      <c r="A260" s="8">
        <v>45550</v>
      </c>
      <c r="B260" s="16">
        <v>453.1934</v>
      </c>
      <c r="C260" s="16">
        <v>468.4392</v>
      </c>
      <c r="D260" s="16">
        <v>490.7359</v>
      </c>
      <c r="E260" s="16">
        <v>393.5975</v>
      </c>
      <c r="F260" s="16">
        <v>357.9965</v>
      </c>
      <c r="G260" s="16">
        <v>338.3728</v>
      </c>
      <c r="H260" s="16">
        <v>341.233</v>
      </c>
      <c r="I260" s="16">
        <v>319.915</v>
      </c>
      <c r="J260" s="16">
        <v>321.0339</v>
      </c>
      <c r="K260" s="16">
        <v>334.1516</v>
      </c>
      <c r="L260" s="16">
        <v>326.2589</v>
      </c>
      <c r="M260" s="16">
        <v>335.6219</v>
      </c>
      <c r="N260" s="16">
        <v>321.7549</v>
      </c>
      <c r="O260" s="16">
        <v>336.5342</v>
      </c>
      <c r="P260" s="16">
        <v>342.5966</v>
      </c>
      <c r="Q260" s="16">
        <v>338.7072</v>
      </c>
      <c r="R260" s="16">
        <v>334.0007</v>
      </c>
      <c r="S260" s="16">
        <v>367.3037</v>
      </c>
      <c r="T260" s="16">
        <v>382.2612</v>
      </c>
      <c r="U260" s="16">
        <v>383.3963</v>
      </c>
      <c r="V260" s="16">
        <v>376.9325</v>
      </c>
      <c r="W260" s="16">
        <v>378.9398</v>
      </c>
      <c r="X260" s="16">
        <v>415.2815</v>
      </c>
      <c r="Y260" s="16">
        <v>384.2134</v>
      </c>
      <c r="Z260" s="26" t="s">
        <v>32</v>
      </c>
      <c r="AA260" s="25">
        <f t="shared" si="8"/>
        <v>319.915</v>
      </c>
      <c r="AB260" s="25">
        <f t="shared" si="9"/>
        <v>368.436316666667</v>
      </c>
    </row>
    <row r="261" spans="1:28">
      <c r="A261" s="8">
        <v>45551</v>
      </c>
      <c r="B261" s="16">
        <v>450.3125</v>
      </c>
      <c r="C261" s="16">
        <v>446.3564</v>
      </c>
      <c r="D261" s="16">
        <v>411.7039</v>
      </c>
      <c r="E261" s="16">
        <v>391.7181</v>
      </c>
      <c r="F261" s="16">
        <v>365.5763</v>
      </c>
      <c r="G261" s="16">
        <v>351.967</v>
      </c>
      <c r="H261" s="16">
        <v>348.5708</v>
      </c>
      <c r="I261" s="16">
        <v>326.4856</v>
      </c>
      <c r="J261" s="16">
        <v>318.144</v>
      </c>
      <c r="K261" s="16">
        <v>323.909</v>
      </c>
      <c r="L261" s="16">
        <v>304.7309</v>
      </c>
      <c r="M261" s="16">
        <v>301.0199</v>
      </c>
      <c r="N261" s="16">
        <v>302.9768</v>
      </c>
      <c r="O261" s="16">
        <v>326.5953</v>
      </c>
      <c r="P261" s="16">
        <v>332.6655</v>
      </c>
      <c r="Q261" s="16">
        <v>330.2615</v>
      </c>
      <c r="R261" s="16">
        <v>323.6251</v>
      </c>
      <c r="S261" s="16">
        <v>337.8347</v>
      </c>
      <c r="T261" s="16">
        <v>335.7836</v>
      </c>
      <c r="U261" s="16">
        <v>339.3466</v>
      </c>
      <c r="V261" s="16">
        <v>334.2272</v>
      </c>
      <c r="W261" s="16">
        <v>336.751</v>
      </c>
      <c r="X261" s="16">
        <v>339.6322</v>
      </c>
      <c r="Y261" s="16">
        <v>323.0472</v>
      </c>
      <c r="Z261" s="26" t="s">
        <v>32</v>
      </c>
      <c r="AA261" s="25">
        <f t="shared" si="8"/>
        <v>301.0199</v>
      </c>
      <c r="AB261" s="25">
        <f t="shared" si="9"/>
        <v>345.968379166667</v>
      </c>
    </row>
    <row r="262" spans="1:28">
      <c r="A262" s="8">
        <v>45552</v>
      </c>
      <c r="B262" s="16">
        <v>377.5061</v>
      </c>
      <c r="C262" s="16">
        <v>402.3281</v>
      </c>
      <c r="D262" s="16">
        <v>392.3515</v>
      </c>
      <c r="E262" s="16">
        <v>364.5286</v>
      </c>
      <c r="F262" s="16">
        <v>334.3876</v>
      </c>
      <c r="G262" s="16">
        <v>317.5762</v>
      </c>
      <c r="H262" s="16">
        <v>302.2341</v>
      </c>
      <c r="I262" s="16">
        <v>274.2041</v>
      </c>
      <c r="J262" s="16">
        <v>8.9865</v>
      </c>
      <c r="K262" s="16">
        <v>10.507</v>
      </c>
      <c r="L262" s="16">
        <v>10.3156</v>
      </c>
      <c r="M262" s="16">
        <v>9.914</v>
      </c>
      <c r="N262" s="16">
        <v>18.2701</v>
      </c>
      <c r="O262" s="16">
        <v>26.1672</v>
      </c>
      <c r="P262" s="16">
        <v>11.8154</v>
      </c>
      <c r="Q262" s="16">
        <v>12.5791</v>
      </c>
      <c r="R262" s="16">
        <v>15.1344</v>
      </c>
      <c r="S262" s="16">
        <v>15.287</v>
      </c>
      <c r="T262" s="16">
        <v>16.2745</v>
      </c>
      <c r="U262" s="16">
        <v>19.6851</v>
      </c>
      <c r="V262" s="16">
        <v>19.5868</v>
      </c>
      <c r="W262" s="16">
        <v>65.0478</v>
      </c>
      <c r="X262" s="16">
        <v>242.3757</v>
      </c>
      <c r="Y262" s="16">
        <v>256.1207</v>
      </c>
      <c r="Z262" s="26" t="s">
        <v>32</v>
      </c>
      <c r="AA262" s="25">
        <f t="shared" si="8"/>
        <v>8.9865</v>
      </c>
      <c r="AB262" s="25">
        <f t="shared" si="9"/>
        <v>146.7993</v>
      </c>
    </row>
    <row r="263" spans="1:28">
      <c r="A263" s="8">
        <v>45553</v>
      </c>
      <c r="B263" s="16">
        <v>350.9201</v>
      </c>
      <c r="C263" s="16">
        <v>366.2447</v>
      </c>
      <c r="D263" s="16">
        <v>341.3667</v>
      </c>
      <c r="E263" s="16">
        <v>319.7354</v>
      </c>
      <c r="F263" s="16">
        <v>306.6663</v>
      </c>
      <c r="G263" s="16">
        <v>296.6194</v>
      </c>
      <c r="H263" s="16">
        <v>303.5389</v>
      </c>
      <c r="I263" s="16">
        <v>291.3404</v>
      </c>
      <c r="J263" s="16">
        <v>330.0996</v>
      </c>
      <c r="K263" s="16">
        <v>369.7409</v>
      </c>
      <c r="L263" s="16">
        <v>369.7081</v>
      </c>
      <c r="M263" s="16">
        <v>378.1791</v>
      </c>
      <c r="N263" s="16">
        <v>328.9816</v>
      </c>
      <c r="O263" s="16">
        <v>374.5604</v>
      </c>
      <c r="P263" s="16">
        <v>379.8234</v>
      </c>
      <c r="Q263" s="16">
        <v>374.8316</v>
      </c>
      <c r="R263" s="16">
        <v>371.2951</v>
      </c>
      <c r="S263" s="16">
        <v>353.4061</v>
      </c>
      <c r="T263" s="16">
        <v>331.2061</v>
      </c>
      <c r="U263" s="16">
        <v>380.514</v>
      </c>
      <c r="V263" s="16">
        <v>384.584</v>
      </c>
      <c r="W263" s="16">
        <v>376.2256</v>
      </c>
      <c r="X263" s="16">
        <v>377.7141</v>
      </c>
      <c r="Y263" s="16">
        <v>341.0886</v>
      </c>
      <c r="Z263" s="26" t="s">
        <v>32</v>
      </c>
      <c r="AA263" s="25">
        <f t="shared" si="8"/>
        <v>291.3404</v>
      </c>
      <c r="AB263" s="25">
        <f t="shared" si="9"/>
        <v>349.932925</v>
      </c>
    </row>
    <row r="264" spans="1:28">
      <c r="A264" s="8">
        <v>45554</v>
      </c>
      <c r="B264" s="16">
        <v>351.2148</v>
      </c>
      <c r="C264" s="16">
        <v>369.1753</v>
      </c>
      <c r="D264" s="16">
        <v>355.4717</v>
      </c>
      <c r="E264" s="16">
        <v>332.5218</v>
      </c>
      <c r="F264" s="16">
        <v>322.6848</v>
      </c>
      <c r="G264" s="16">
        <v>315.3765</v>
      </c>
      <c r="H264" s="16">
        <v>325.9396</v>
      </c>
      <c r="I264" s="16">
        <v>318.2763</v>
      </c>
      <c r="J264" s="16">
        <v>324.1492</v>
      </c>
      <c r="K264" s="16">
        <v>352.5099</v>
      </c>
      <c r="L264" s="16">
        <v>354.7489</v>
      </c>
      <c r="M264" s="16">
        <v>348.4949</v>
      </c>
      <c r="N264" s="16">
        <v>340.1806</v>
      </c>
      <c r="O264" s="16">
        <v>366.9462</v>
      </c>
      <c r="P264" s="16">
        <v>377.3522</v>
      </c>
      <c r="Q264" s="16">
        <v>375.0635</v>
      </c>
      <c r="R264" s="16">
        <v>376.7712</v>
      </c>
      <c r="S264" s="16">
        <v>362.8706</v>
      </c>
      <c r="T264" s="16">
        <v>348.66</v>
      </c>
      <c r="U264" s="16">
        <v>379.9057</v>
      </c>
      <c r="V264" s="16">
        <v>375.7057</v>
      </c>
      <c r="W264" s="16">
        <v>368.2611</v>
      </c>
      <c r="X264" s="16">
        <v>372.2935</v>
      </c>
      <c r="Y264" s="16">
        <v>349.3425</v>
      </c>
      <c r="Z264" s="26" t="s">
        <v>33</v>
      </c>
      <c r="AA264" s="25">
        <f t="shared" si="8"/>
        <v>315.3765</v>
      </c>
      <c r="AB264" s="25">
        <f t="shared" si="9"/>
        <v>352.6631875</v>
      </c>
    </row>
    <row r="265" spans="1:28">
      <c r="A265" s="8">
        <v>45555</v>
      </c>
      <c r="B265" s="16">
        <v>386.3088</v>
      </c>
      <c r="C265" s="16">
        <v>415.3124</v>
      </c>
      <c r="D265" s="16">
        <v>586.1</v>
      </c>
      <c r="E265" s="16">
        <v>380.5333</v>
      </c>
      <c r="F265" s="16">
        <v>344.921</v>
      </c>
      <c r="G265" s="16">
        <v>335.2483</v>
      </c>
      <c r="H265" s="16">
        <v>341.2945</v>
      </c>
      <c r="I265" s="16">
        <v>334.1596</v>
      </c>
      <c r="J265" s="16">
        <v>366.102</v>
      </c>
      <c r="K265" s="16">
        <v>541.428</v>
      </c>
      <c r="L265" s="16">
        <v>555.7579</v>
      </c>
      <c r="M265" s="16">
        <v>519.4195</v>
      </c>
      <c r="N265" s="16">
        <v>381.7409</v>
      </c>
      <c r="O265" s="16">
        <v>553.13</v>
      </c>
      <c r="P265" s="16">
        <v>602.2059</v>
      </c>
      <c r="Q265" s="16">
        <v>586.9844</v>
      </c>
      <c r="R265" s="16">
        <v>611.2215</v>
      </c>
      <c r="S265" s="16">
        <v>544.4265</v>
      </c>
      <c r="T265" s="16">
        <v>371.2865</v>
      </c>
      <c r="U265" s="16">
        <v>497.8233</v>
      </c>
      <c r="V265" s="16">
        <v>492.1874</v>
      </c>
      <c r="W265" s="16">
        <v>451.5436</v>
      </c>
      <c r="X265" s="16">
        <v>483.3478</v>
      </c>
      <c r="Y265" s="16">
        <v>411.7032</v>
      </c>
      <c r="Z265" s="26" t="s">
        <v>34</v>
      </c>
      <c r="AA265" s="25">
        <f t="shared" si="8"/>
        <v>334.1596</v>
      </c>
      <c r="AB265" s="25">
        <f t="shared" si="9"/>
        <v>462.2577625</v>
      </c>
    </row>
    <row r="266" spans="1:28">
      <c r="A266" s="8">
        <v>45556</v>
      </c>
      <c r="B266" s="16">
        <v>387.218</v>
      </c>
      <c r="C266" s="16">
        <v>372.3362</v>
      </c>
      <c r="D266" s="16">
        <v>352.2835</v>
      </c>
      <c r="E266" s="16">
        <v>343.0604</v>
      </c>
      <c r="F266" s="16">
        <v>328.0092</v>
      </c>
      <c r="G266" s="16">
        <v>320.0061</v>
      </c>
      <c r="H266" s="16">
        <v>321.9483</v>
      </c>
      <c r="I266" s="16">
        <v>315.6153</v>
      </c>
      <c r="J266" s="16">
        <v>327.8568</v>
      </c>
      <c r="K266" s="16">
        <v>350.2608</v>
      </c>
      <c r="L266" s="16">
        <v>346.6462</v>
      </c>
      <c r="M266" s="16">
        <v>352.0913</v>
      </c>
      <c r="N266" s="16">
        <v>334.3133</v>
      </c>
      <c r="O266" s="16">
        <v>364.5098</v>
      </c>
      <c r="P266" s="16">
        <v>432.9902</v>
      </c>
      <c r="Q266" s="16">
        <v>433.9646</v>
      </c>
      <c r="R266" s="16">
        <v>381.4538</v>
      </c>
      <c r="S266" s="16">
        <v>373.2428</v>
      </c>
      <c r="T266" s="16">
        <v>353.3566</v>
      </c>
      <c r="U266" s="16">
        <v>387.1432</v>
      </c>
      <c r="V266" s="16">
        <v>372.909</v>
      </c>
      <c r="W266" s="16">
        <v>364.7938</v>
      </c>
      <c r="X266" s="16">
        <v>346.2157</v>
      </c>
      <c r="Y266" s="16">
        <v>329.477</v>
      </c>
      <c r="Z266" s="26" t="s">
        <v>32</v>
      </c>
      <c r="AA266" s="25">
        <f t="shared" si="8"/>
        <v>315.6153</v>
      </c>
      <c r="AB266" s="25">
        <f t="shared" si="9"/>
        <v>357.987579166667</v>
      </c>
    </row>
    <row r="267" spans="1:28">
      <c r="A267" s="8">
        <v>45557</v>
      </c>
      <c r="B267" s="16">
        <v>322.9915</v>
      </c>
      <c r="C267" s="16">
        <v>328.7001</v>
      </c>
      <c r="D267" s="16">
        <v>326.1595</v>
      </c>
      <c r="E267" s="16">
        <v>319.0961</v>
      </c>
      <c r="F267" s="16">
        <v>305.8499</v>
      </c>
      <c r="G267" s="16">
        <v>299.4527</v>
      </c>
      <c r="H267" s="16">
        <v>296.8091</v>
      </c>
      <c r="I267" s="16">
        <v>271.2798</v>
      </c>
      <c r="J267" s="16">
        <v>240.256</v>
      </c>
      <c r="K267" s="16">
        <v>273.2784</v>
      </c>
      <c r="L267" s="16">
        <v>221.6945</v>
      </c>
      <c r="M267" s="16">
        <v>293.8855</v>
      </c>
      <c r="N267" s="16">
        <v>286.3197</v>
      </c>
      <c r="O267" s="16">
        <v>301.1336</v>
      </c>
      <c r="P267" s="16">
        <v>313.1702</v>
      </c>
      <c r="Q267" s="16">
        <v>306.8954</v>
      </c>
      <c r="R267" s="16">
        <v>295.7751</v>
      </c>
      <c r="S267" s="16">
        <v>287.9226</v>
      </c>
      <c r="T267" s="16">
        <v>280.7058</v>
      </c>
      <c r="U267" s="16">
        <v>296.0599</v>
      </c>
      <c r="V267" s="16">
        <v>290.2047</v>
      </c>
      <c r="W267" s="16">
        <v>280.4333</v>
      </c>
      <c r="X267" s="16">
        <v>258.2014</v>
      </c>
      <c r="Y267" s="16">
        <v>200.4876</v>
      </c>
      <c r="Z267" s="26" t="s">
        <v>32</v>
      </c>
      <c r="AA267" s="25">
        <f t="shared" si="8"/>
        <v>200.4876</v>
      </c>
      <c r="AB267" s="25">
        <f t="shared" si="9"/>
        <v>287.3651</v>
      </c>
    </row>
    <row r="268" spans="1:28">
      <c r="A268" s="8">
        <v>45558</v>
      </c>
      <c r="B268" s="16">
        <v>244.4309</v>
      </c>
      <c r="C268" s="16">
        <v>260.064</v>
      </c>
      <c r="D268" s="16">
        <v>173.7397</v>
      </c>
      <c r="E268" s="16">
        <v>1.5204</v>
      </c>
      <c r="F268" s="16">
        <v>0</v>
      </c>
      <c r="G268" s="16">
        <v>0</v>
      </c>
      <c r="H268" s="16">
        <v>6.3674</v>
      </c>
      <c r="I268" s="16">
        <v>0.5058</v>
      </c>
      <c r="J268" s="16">
        <v>287.4167</v>
      </c>
      <c r="K268" s="16">
        <v>309.0404</v>
      </c>
      <c r="L268" s="16">
        <v>306.6062</v>
      </c>
      <c r="M268" s="16">
        <v>321.0163</v>
      </c>
      <c r="N268" s="16">
        <v>310.1538</v>
      </c>
      <c r="O268" s="16">
        <v>327.4406</v>
      </c>
      <c r="P268" s="16">
        <v>343.1586</v>
      </c>
      <c r="Q268" s="16">
        <v>340.1793</v>
      </c>
      <c r="R268" s="16">
        <v>336.8434</v>
      </c>
      <c r="S268" s="16">
        <v>329.0106</v>
      </c>
      <c r="T268" s="16">
        <v>320.8921</v>
      </c>
      <c r="U268" s="16">
        <v>342.1538</v>
      </c>
      <c r="V268" s="16">
        <v>330.0438</v>
      </c>
      <c r="W268" s="16">
        <v>310.5386</v>
      </c>
      <c r="X268" s="16">
        <v>293.5518</v>
      </c>
      <c r="Y268" s="16">
        <v>182.686</v>
      </c>
      <c r="Z268" s="26" t="s">
        <v>32</v>
      </c>
      <c r="AA268" s="25">
        <f t="shared" si="8"/>
        <v>0</v>
      </c>
      <c r="AB268" s="25">
        <f t="shared" si="9"/>
        <v>236.556675</v>
      </c>
    </row>
    <row r="269" spans="1:28">
      <c r="A269" s="8">
        <v>45559</v>
      </c>
      <c r="B269" s="16">
        <v>116.9095</v>
      </c>
      <c r="C269" s="16">
        <v>106.0215</v>
      </c>
      <c r="D269" s="16">
        <v>2.6151</v>
      </c>
      <c r="E269" s="16">
        <v>0.8919</v>
      </c>
      <c r="F269" s="16">
        <v>0</v>
      </c>
      <c r="G269" s="16">
        <v>0</v>
      </c>
      <c r="H269" s="16">
        <v>91.5076</v>
      </c>
      <c r="I269" s="16">
        <v>206.0424</v>
      </c>
      <c r="J269" s="16">
        <v>284.3797</v>
      </c>
      <c r="K269" s="16">
        <v>323.8523</v>
      </c>
      <c r="L269" s="16">
        <v>318.4849</v>
      </c>
      <c r="M269" s="16">
        <v>326.7091</v>
      </c>
      <c r="N269" s="16">
        <v>329.3649</v>
      </c>
      <c r="O269" s="16">
        <v>343.2929</v>
      </c>
      <c r="P269" s="16">
        <v>348.3712</v>
      </c>
      <c r="Q269" s="16">
        <v>341.0667</v>
      </c>
      <c r="R269" s="16">
        <v>331.9993</v>
      </c>
      <c r="S269" s="16">
        <v>324.0959</v>
      </c>
      <c r="T269" s="16">
        <v>313.769</v>
      </c>
      <c r="U269" s="16">
        <v>334.9678</v>
      </c>
      <c r="V269" s="16">
        <v>333.3367</v>
      </c>
      <c r="W269" s="16">
        <v>321.5397</v>
      </c>
      <c r="X269" s="16">
        <v>292.1826</v>
      </c>
      <c r="Y269" s="16">
        <v>69.3986</v>
      </c>
      <c r="Z269" s="26" t="s">
        <v>32</v>
      </c>
      <c r="AA269" s="25">
        <f t="shared" si="8"/>
        <v>0</v>
      </c>
      <c r="AB269" s="25">
        <f t="shared" si="9"/>
        <v>227.533304166667</v>
      </c>
    </row>
    <row r="270" spans="1:28">
      <c r="A270" s="8">
        <v>45560</v>
      </c>
      <c r="B270" s="16">
        <v>316.8269</v>
      </c>
      <c r="C270" s="16">
        <v>312.5521</v>
      </c>
      <c r="D270" s="16">
        <v>309.829</v>
      </c>
      <c r="E270" s="16">
        <v>307.2919</v>
      </c>
      <c r="F270" s="16">
        <v>298.6268</v>
      </c>
      <c r="G270" s="16">
        <v>296.6796</v>
      </c>
      <c r="H270" s="16">
        <v>309.4866</v>
      </c>
      <c r="I270" s="16">
        <v>300.9491</v>
      </c>
      <c r="J270" s="16">
        <v>307.8451</v>
      </c>
      <c r="K270" s="16">
        <v>331.359</v>
      </c>
      <c r="L270" s="16">
        <v>331.1811</v>
      </c>
      <c r="M270" s="16">
        <v>342.0171</v>
      </c>
      <c r="N270" s="16">
        <v>334.0464</v>
      </c>
      <c r="O270" s="16">
        <v>348.4265</v>
      </c>
      <c r="P270" s="16">
        <v>383.9607</v>
      </c>
      <c r="Q270" s="16">
        <v>372.7975</v>
      </c>
      <c r="R270" s="16">
        <v>335.278</v>
      </c>
      <c r="S270" s="16">
        <v>329.1315</v>
      </c>
      <c r="T270" s="16">
        <v>328.8075</v>
      </c>
      <c r="U270" s="16">
        <v>357.2042</v>
      </c>
      <c r="V270" s="16">
        <v>349.4608</v>
      </c>
      <c r="W270" s="16">
        <v>342.7949</v>
      </c>
      <c r="X270" s="16">
        <v>331.5016</v>
      </c>
      <c r="Y270" s="16">
        <v>300.2545</v>
      </c>
      <c r="Z270" s="26" t="s">
        <v>32</v>
      </c>
      <c r="AA270" s="25">
        <f t="shared" si="8"/>
        <v>296.6796</v>
      </c>
      <c r="AB270" s="25">
        <f t="shared" si="9"/>
        <v>328.26285</v>
      </c>
    </row>
    <row r="271" spans="1:28">
      <c r="A271" s="8">
        <v>45561</v>
      </c>
      <c r="B271" s="16">
        <v>329.1721</v>
      </c>
      <c r="C271" s="16">
        <v>329.6917</v>
      </c>
      <c r="D271" s="16">
        <v>321.4056</v>
      </c>
      <c r="E271" s="16">
        <v>316.1175</v>
      </c>
      <c r="F271" s="16">
        <v>307.3583</v>
      </c>
      <c r="G271" s="16">
        <v>304.0633</v>
      </c>
      <c r="H271" s="16">
        <v>315.6739</v>
      </c>
      <c r="I271" s="16">
        <v>308.1654</v>
      </c>
      <c r="J271" s="16">
        <v>317.9654</v>
      </c>
      <c r="K271" s="16">
        <v>335.7255</v>
      </c>
      <c r="L271" s="16">
        <v>333.4077</v>
      </c>
      <c r="M271" s="16">
        <v>338.5291</v>
      </c>
      <c r="N271" s="16">
        <v>323.9002</v>
      </c>
      <c r="O271" s="16">
        <v>346.9638</v>
      </c>
      <c r="P271" s="16">
        <v>371.8369</v>
      </c>
      <c r="Q271" s="16">
        <v>363.6836</v>
      </c>
      <c r="R271" s="16">
        <v>354.6122</v>
      </c>
      <c r="S271" s="16">
        <v>349.7786</v>
      </c>
      <c r="T271" s="16">
        <v>335.1428</v>
      </c>
      <c r="U271" s="16">
        <v>363.0329</v>
      </c>
      <c r="V271" s="16">
        <v>359.2477</v>
      </c>
      <c r="W271" s="16">
        <v>348.2581</v>
      </c>
      <c r="X271" s="16">
        <v>346.5416</v>
      </c>
      <c r="Y271" s="16">
        <v>318.5115</v>
      </c>
      <c r="Z271" s="26" t="s">
        <v>33</v>
      </c>
      <c r="AA271" s="25">
        <f t="shared" si="8"/>
        <v>304.0633</v>
      </c>
      <c r="AB271" s="25">
        <f t="shared" si="9"/>
        <v>334.949391666667</v>
      </c>
    </row>
    <row r="272" spans="1:28">
      <c r="A272" s="8">
        <v>45562</v>
      </c>
      <c r="B272" s="16">
        <v>364.8331</v>
      </c>
      <c r="C272" s="16">
        <v>350.0164</v>
      </c>
      <c r="D272" s="16">
        <v>335.058</v>
      </c>
      <c r="E272" s="16">
        <v>328.4871</v>
      </c>
      <c r="F272" s="16">
        <v>318.346</v>
      </c>
      <c r="G272" s="16">
        <v>313.2237</v>
      </c>
      <c r="H272" s="16">
        <v>328.7921</v>
      </c>
      <c r="I272" s="16">
        <v>327.9798</v>
      </c>
      <c r="J272" s="16">
        <v>344.2593</v>
      </c>
      <c r="K272" s="16">
        <v>349.5375</v>
      </c>
      <c r="L272" s="16">
        <v>338.1326</v>
      </c>
      <c r="M272" s="16">
        <v>344.4795</v>
      </c>
      <c r="N272" s="16">
        <v>329.1325</v>
      </c>
      <c r="O272" s="16">
        <v>349.157</v>
      </c>
      <c r="P272" s="16">
        <v>375.1612</v>
      </c>
      <c r="Q272" s="16">
        <v>355.8027</v>
      </c>
      <c r="R272" s="16">
        <v>364.4128</v>
      </c>
      <c r="S272" s="16">
        <v>370.3063</v>
      </c>
      <c r="T272" s="16">
        <v>358.6365</v>
      </c>
      <c r="U272" s="16">
        <v>380.5505</v>
      </c>
      <c r="V272" s="16">
        <v>378.1097</v>
      </c>
      <c r="W272" s="16">
        <v>366.2814</v>
      </c>
      <c r="X272" s="16">
        <v>367.3863</v>
      </c>
      <c r="Y272" s="16">
        <v>346.1667</v>
      </c>
      <c r="Z272" s="29" t="s">
        <v>32</v>
      </c>
      <c r="AA272" s="25">
        <f t="shared" si="8"/>
        <v>313.2237</v>
      </c>
      <c r="AB272" s="25">
        <f t="shared" si="9"/>
        <v>349.343695833333</v>
      </c>
    </row>
    <row r="273" spans="1:28">
      <c r="A273" s="8">
        <v>45563</v>
      </c>
      <c r="B273" s="16">
        <v>418.6373</v>
      </c>
      <c r="C273" s="16">
        <v>380.2747</v>
      </c>
      <c r="D273" s="16">
        <v>359.5838</v>
      </c>
      <c r="E273" s="16">
        <v>343.8705</v>
      </c>
      <c r="F273" s="16">
        <v>329.5881</v>
      </c>
      <c r="G273" s="16">
        <v>323.4699</v>
      </c>
      <c r="H273" s="16">
        <v>334.3016</v>
      </c>
      <c r="I273" s="16">
        <v>326.5692</v>
      </c>
      <c r="J273" s="16">
        <v>333.2237</v>
      </c>
      <c r="K273" s="16">
        <v>352.6089</v>
      </c>
      <c r="L273" s="16">
        <v>344.4034</v>
      </c>
      <c r="M273" s="16">
        <v>349.5293</v>
      </c>
      <c r="N273" s="16">
        <v>330.5194</v>
      </c>
      <c r="O273" s="16">
        <v>353.7666</v>
      </c>
      <c r="P273" s="16">
        <v>372.9826</v>
      </c>
      <c r="Q273" s="16">
        <v>356.1413</v>
      </c>
      <c r="R273" s="16">
        <v>361.2127</v>
      </c>
      <c r="S273" s="16">
        <v>360.9573</v>
      </c>
      <c r="T273" s="16">
        <v>354.9801</v>
      </c>
      <c r="U273" s="16">
        <v>375.3271</v>
      </c>
      <c r="V273" s="16">
        <v>372.1163</v>
      </c>
      <c r="W273" s="16">
        <v>384.3233</v>
      </c>
      <c r="X273" s="16">
        <v>369.5535</v>
      </c>
      <c r="Y273" s="16">
        <v>334.3336</v>
      </c>
      <c r="Z273" s="26" t="s">
        <v>32</v>
      </c>
      <c r="AA273" s="25">
        <f t="shared" si="8"/>
        <v>323.4699</v>
      </c>
      <c r="AB273" s="25">
        <f t="shared" si="9"/>
        <v>355.094758333333</v>
      </c>
    </row>
    <row r="274" spans="1:28">
      <c r="A274" s="8">
        <v>45564</v>
      </c>
      <c r="B274" s="16">
        <v>363.679</v>
      </c>
      <c r="C274" s="16">
        <v>440.6033</v>
      </c>
      <c r="D274" s="16">
        <v>441.0657</v>
      </c>
      <c r="E274" s="16">
        <v>381.688</v>
      </c>
      <c r="F274" s="16">
        <v>345.6057</v>
      </c>
      <c r="G274" s="16">
        <v>340.167</v>
      </c>
      <c r="H274" s="16">
        <v>353.1302</v>
      </c>
      <c r="I274" s="16">
        <v>338.5275</v>
      </c>
      <c r="J274" s="16">
        <v>352.7548</v>
      </c>
      <c r="K274" s="16">
        <v>387.3278</v>
      </c>
      <c r="L274" s="16">
        <v>363.2351</v>
      </c>
      <c r="M274" s="16">
        <v>366.2216</v>
      </c>
      <c r="N274" s="16">
        <v>352.921</v>
      </c>
      <c r="O274" s="16">
        <v>411.5464</v>
      </c>
      <c r="P274" s="16">
        <v>509.4841</v>
      </c>
      <c r="Q274" s="16">
        <v>461.5514</v>
      </c>
      <c r="R274" s="16">
        <v>383.182</v>
      </c>
      <c r="S274" s="16">
        <v>378.0477</v>
      </c>
      <c r="T274" s="16">
        <v>369.037</v>
      </c>
      <c r="U274" s="16">
        <v>410.8774</v>
      </c>
      <c r="V274" s="16">
        <v>407.9024</v>
      </c>
      <c r="W274" s="16">
        <v>476.9234</v>
      </c>
      <c r="X274" s="16">
        <v>445.2188</v>
      </c>
      <c r="Y274" s="16">
        <v>367.4478</v>
      </c>
      <c r="Z274" s="26" t="s">
        <v>32</v>
      </c>
      <c r="AA274" s="25">
        <f t="shared" si="8"/>
        <v>338.5275</v>
      </c>
      <c r="AB274" s="25">
        <f t="shared" si="9"/>
        <v>393.6727125</v>
      </c>
    </row>
    <row r="275" spans="1:28">
      <c r="A275" s="8">
        <v>45565</v>
      </c>
      <c r="B275" s="16">
        <v>407.2308</v>
      </c>
      <c r="C275" s="16">
        <v>414.3388</v>
      </c>
      <c r="D275" s="16">
        <v>440.5654</v>
      </c>
      <c r="E275" s="16">
        <v>395.8758</v>
      </c>
      <c r="F275" s="16">
        <v>363.512</v>
      </c>
      <c r="G275" s="16">
        <v>348.9612</v>
      </c>
      <c r="H275" s="16">
        <v>348.7882</v>
      </c>
      <c r="I275" s="16">
        <v>339.4317</v>
      </c>
      <c r="J275" s="16">
        <v>349.1831</v>
      </c>
      <c r="K275" s="16">
        <v>400.0412</v>
      </c>
      <c r="L275" s="16">
        <v>391.0196</v>
      </c>
      <c r="M275" s="16">
        <v>381.8589</v>
      </c>
      <c r="N275" s="16">
        <v>347.4219</v>
      </c>
      <c r="O275" s="16">
        <v>379.1367</v>
      </c>
      <c r="P275" s="16">
        <v>397.1886</v>
      </c>
      <c r="Q275" s="16">
        <v>386.3236</v>
      </c>
      <c r="R275" s="16">
        <v>387.1306</v>
      </c>
      <c r="S275" s="16">
        <v>378.2965</v>
      </c>
      <c r="T275" s="16">
        <v>360.6493</v>
      </c>
      <c r="U275" s="16">
        <v>384.2533</v>
      </c>
      <c r="V275" s="16">
        <v>373.2107</v>
      </c>
      <c r="W275" s="16">
        <v>391.6241</v>
      </c>
      <c r="X275" s="16">
        <v>389.2805</v>
      </c>
      <c r="Y275" s="16">
        <v>353.605</v>
      </c>
      <c r="Z275" s="24" t="s">
        <v>31</v>
      </c>
      <c r="AA275" s="25">
        <f t="shared" si="8"/>
        <v>339.4317</v>
      </c>
      <c r="AB275" s="25">
        <f t="shared" si="9"/>
        <v>379.538645833333</v>
      </c>
    </row>
    <row r="276" spans="1:28">
      <c r="A276" s="8">
        <v>45566</v>
      </c>
      <c r="B276" s="16">
        <v>546.6442</v>
      </c>
      <c r="C276" s="16">
        <v>616.548</v>
      </c>
      <c r="D276" s="16">
        <v>512.0526</v>
      </c>
      <c r="E276" s="16">
        <v>370.4015</v>
      </c>
      <c r="F276" s="16">
        <v>334.2408</v>
      </c>
      <c r="G276" s="16">
        <v>314.57</v>
      </c>
      <c r="H276" s="16">
        <v>312.065</v>
      </c>
      <c r="I276" s="16">
        <v>305.815</v>
      </c>
      <c r="J276" s="16">
        <v>290.815</v>
      </c>
      <c r="K276" s="16">
        <v>287.1463</v>
      </c>
      <c r="L276" s="16">
        <v>269.6753</v>
      </c>
      <c r="M276" s="16">
        <v>264.7191</v>
      </c>
      <c r="N276" s="16">
        <v>235.2864</v>
      </c>
      <c r="O276" s="16">
        <v>178.1869</v>
      </c>
      <c r="P276" s="16">
        <v>191.47</v>
      </c>
      <c r="Q276" s="16">
        <v>273.195</v>
      </c>
      <c r="R276" s="16">
        <v>260.1866</v>
      </c>
      <c r="S276" s="16">
        <v>297.8778</v>
      </c>
      <c r="T276" s="16">
        <v>304.503</v>
      </c>
      <c r="U276" s="16">
        <v>327.4883</v>
      </c>
      <c r="V276" s="16">
        <v>328.5909</v>
      </c>
      <c r="W276" s="16">
        <v>313.9804</v>
      </c>
      <c r="X276" s="16">
        <v>309.558</v>
      </c>
      <c r="Y276" s="16">
        <v>293.5677</v>
      </c>
      <c r="Z276" s="24" t="s">
        <v>31</v>
      </c>
      <c r="AA276" s="25">
        <f t="shared" si="8"/>
        <v>178.1869</v>
      </c>
      <c r="AB276" s="25">
        <f t="shared" si="9"/>
        <v>322.440991666667</v>
      </c>
    </row>
    <row r="277" spans="1:28">
      <c r="A277" s="8">
        <v>45567</v>
      </c>
      <c r="B277" s="16">
        <v>203.7398</v>
      </c>
      <c r="C277" s="16">
        <v>183.5231</v>
      </c>
      <c r="D277" s="16">
        <v>32.9559</v>
      </c>
      <c r="E277" s="16">
        <v>0</v>
      </c>
      <c r="F277" s="16">
        <v>0</v>
      </c>
      <c r="G277" s="16">
        <v>0</v>
      </c>
      <c r="H277" s="16">
        <v>0</v>
      </c>
      <c r="I277" s="16">
        <v>0</v>
      </c>
      <c r="J277" s="16">
        <v>0</v>
      </c>
      <c r="K277" s="16">
        <v>0</v>
      </c>
      <c r="L277" s="16">
        <v>0.1537</v>
      </c>
      <c r="M277" s="16">
        <v>1.6981</v>
      </c>
      <c r="N277" s="16">
        <v>0</v>
      </c>
      <c r="O277" s="16">
        <v>0.3859</v>
      </c>
      <c r="P277" s="16">
        <v>0.3247</v>
      </c>
      <c r="Q277" s="16">
        <v>0</v>
      </c>
      <c r="R277" s="16">
        <v>103.6769</v>
      </c>
      <c r="S277" s="16">
        <v>280.1734</v>
      </c>
      <c r="T277" s="16">
        <v>294.6142</v>
      </c>
      <c r="U277" s="16">
        <v>298.021</v>
      </c>
      <c r="V277" s="16">
        <v>293.0243</v>
      </c>
      <c r="W277" s="16">
        <v>288.9719</v>
      </c>
      <c r="X277" s="16">
        <v>276.6751</v>
      </c>
      <c r="Y277" s="16">
        <v>194.4859</v>
      </c>
      <c r="Z277" s="24" t="s">
        <v>31</v>
      </c>
      <c r="AA277" s="25">
        <f t="shared" si="8"/>
        <v>0</v>
      </c>
      <c r="AB277" s="25">
        <f t="shared" si="9"/>
        <v>102.184329166667</v>
      </c>
    </row>
    <row r="278" spans="1:28">
      <c r="A278" s="8">
        <v>45568</v>
      </c>
      <c r="B278" s="16">
        <v>57.5114</v>
      </c>
      <c r="C278" s="16">
        <v>0</v>
      </c>
      <c r="D278" s="16">
        <v>7.4322</v>
      </c>
      <c r="E278" s="16">
        <v>0</v>
      </c>
      <c r="F278" s="16">
        <v>12.1981</v>
      </c>
      <c r="G278" s="16">
        <v>17.9697</v>
      </c>
      <c r="H278" s="16">
        <v>102.1376</v>
      </c>
      <c r="I278" s="16">
        <v>177.4803</v>
      </c>
      <c r="J278" s="16">
        <v>42.2178</v>
      </c>
      <c r="K278" s="16">
        <v>26.6267</v>
      </c>
      <c r="L278" s="16">
        <v>81.0757</v>
      </c>
      <c r="M278" s="16">
        <v>106.919</v>
      </c>
      <c r="N278" s="16">
        <v>95.8247</v>
      </c>
      <c r="O278" s="16">
        <v>186.3149</v>
      </c>
      <c r="P278" s="16">
        <v>85.6989</v>
      </c>
      <c r="Q278" s="16">
        <v>120.3912</v>
      </c>
      <c r="R278" s="16">
        <v>131.8923</v>
      </c>
      <c r="S278" s="16">
        <v>209.8539</v>
      </c>
      <c r="T278" s="16">
        <v>274.6057</v>
      </c>
      <c r="U278" s="16">
        <v>263.4716</v>
      </c>
      <c r="V278" s="16">
        <v>246.1053</v>
      </c>
      <c r="W278" s="16">
        <v>241.8598</v>
      </c>
      <c r="X278" s="16">
        <v>90.6604</v>
      </c>
      <c r="Y278" s="16">
        <v>0</v>
      </c>
      <c r="Z278" s="27" t="s">
        <v>35</v>
      </c>
      <c r="AA278" s="25">
        <f t="shared" si="8"/>
        <v>0</v>
      </c>
      <c r="AB278" s="25">
        <f t="shared" si="9"/>
        <v>107.426966666667</v>
      </c>
    </row>
    <row r="279" spans="1:28">
      <c r="A279" s="8">
        <v>45569</v>
      </c>
      <c r="B279" s="16">
        <v>263.82</v>
      </c>
      <c r="C279" s="16">
        <v>232.5</v>
      </c>
      <c r="D279" s="16">
        <v>182.5775</v>
      </c>
      <c r="E279" s="16">
        <v>169.28</v>
      </c>
      <c r="F279" s="16">
        <v>158.4029</v>
      </c>
      <c r="G279" s="16">
        <v>121.9424</v>
      </c>
      <c r="H279" s="16">
        <v>255.6807</v>
      </c>
      <c r="I279" s="16">
        <v>231.055</v>
      </c>
      <c r="J279" s="16">
        <v>161.5714</v>
      </c>
      <c r="K279" s="16">
        <v>48.9785</v>
      </c>
      <c r="L279" s="16">
        <v>58.1124</v>
      </c>
      <c r="M279" s="16">
        <v>147.2202</v>
      </c>
      <c r="N279" s="16">
        <v>189.8263</v>
      </c>
      <c r="O279" s="16">
        <v>215.1507</v>
      </c>
      <c r="P279" s="16">
        <v>197.0769</v>
      </c>
      <c r="Q279" s="16">
        <v>246.8101</v>
      </c>
      <c r="R279" s="16">
        <v>320.033</v>
      </c>
      <c r="S279" s="16">
        <v>322.9046</v>
      </c>
      <c r="T279" s="16">
        <v>324.7151</v>
      </c>
      <c r="U279" s="16">
        <v>340.7014</v>
      </c>
      <c r="V279" s="16">
        <v>328.7466</v>
      </c>
      <c r="W279" s="16">
        <v>325.1588</v>
      </c>
      <c r="X279" s="16">
        <v>329.0943</v>
      </c>
      <c r="Y279" s="16">
        <v>306.37</v>
      </c>
      <c r="Z279" s="27" t="s">
        <v>35</v>
      </c>
      <c r="AA279" s="25">
        <f t="shared" si="8"/>
        <v>48.9785</v>
      </c>
      <c r="AB279" s="25">
        <f t="shared" si="9"/>
        <v>228.2387</v>
      </c>
    </row>
    <row r="280" spans="1:28">
      <c r="A280" s="8">
        <v>45570</v>
      </c>
      <c r="B280" s="16">
        <v>330.6792</v>
      </c>
      <c r="C280" s="16">
        <v>319.9876</v>
      </c>
      <c r="D280" s="16">
        <v>314.5</v>
      </c>
      <c r="E280" s="16">
        <v>311.9942</v>
      </c>
      <c r="F280" s="16">
        <v>308.6584</v>
      </c>
      <c r="G280" s="16">
        <v>307.7001</v>
      </c>
      <c r="H280" s="16">
        <v>310.8495</v>
      </c>
      <c r="I280" s="16">
        <v>309.6948</v>
      </c>
      <c r="J280" s="16">
        <v>309.0782</v>
      </c>
      <c r="K280" s="16">
        <v>341.8632</v>
      </c>
      <c r="L280" s="16">
        <v>396.9334</v>
      </c>
      <c r="M280" s="16">
        <v>379.5763</v>
      </c>
      <c r="N280" s="16">
        <v>334.945</v>
      </c>
      <c r="O280" s="16">
        <v>408.4951</v>
      </c>
      <c r="P280" s="16">
        <v>446.4011</v>
      </c>
      <c r="Q280" s="16">
        <v>326.8076</v>
      </c>
      <c r="R280" s="16">
        <v>344.8477</v>
      </c>
      <c r="S280" s="16">
        <v>343.4701</v>
      </c>
      <c r="T280" s="16">
        <v>344.0515</v>
      </c>
      <c r="U280" s="16">
        <v>359.0278</v>
      </c>
      <c r="V280" s="16">
        <v>350.9476</v>
      </c>
      <c r="W280" s="16">
        <v>347.9384</v>
      </c>
      <c r="X280" s="16">
        <v>332.2874</v>
      </c>
      <c r="Y280" s="16">
        <v>311.5729</v>
      </c>
      <c r="Z280" s="24" t="s">
        <v>31</v>
      </c>
      <c r="AA280" s="25">
        <f t="shared" si="8"/>
        <v>307.7001</v>
      </c>
      <c r="AB280" s="25">
        <f t="shared" si="9"/>
        <v>341.346129166667</v>
      </c>
    </row>
    <row r="281" spans="1:28">
      <c r="A281" s="8">
        <v>45571</v>
      </c>
      <c r="B281" s="16">
        <v>344.2989</v>
      </c>
      <c r="C281" s="16">
        <v>336.6384</v>
      </c>
      <c r="D281" s="16">
        <v>325.7588</v>
      </c>
      <c r="E281" s="16">
        <v>318.75</v>
      </c>
      <c r="F281" s="16">
        <v>315.0825</v>
      </c>
      <c r="G281" s="16">
        <v>314.5</v>
      </c>
      <c r="H281" s="16">
        <v>326.5416</v>
      </c>
      <c r="I281" s="16">
        <v>326.0595</v>
      </c>
      <c r="J281" s="16">
        <v>330.9832</v>
      </c>
      <c r="K281" s="16">
        <v>346.8386</v>
      </c>
      <c r="L281" s="16">
        <v>340.1186</v>
      </c>
      <c r="M281" s="16">
        <v>343.1277</v>
      </c>
      <c r="N281" s="16">
        <v>330.9527</v>
      </c>
      <c r="O281" s="16">
        <v>346.1178</v>
      </c>
      <c r="P281" s="16">
        <v>356.1978</v>
      </c>
      <c r="Q281" s="16">
        <v>366.3063</v>
      </c>
      <c r="R281" s="16">
        <v>378.5968</v>
      </c>
      <c r="S281" s="16">
        <v>373.889</v>
      </c>
      <c r="T281" s="16">
        <v>381.6725</v>
      </c>
      <c r="U281" s="16">
        <v>380.1069</v>
      </c>
      <c r="V281" s="16">
        <v>369.8885</v>
      </c>
      <c r="W281" s="16">
        <v>378.8524</v>
      </c>
      <c r="X281" s="16">
        <v>371.6648</v>
      </c>
      <c r="Y281" s="16">
        <v>337.1952</v>
      </c>
      <c r="Z281" s="27" t="s">
        <v>35</v>
      </c>
      <c r="AA281" s="25">
        <f t="shared" si="8"/>
        <v>314.5</v>
      </c>
      <c r="AB281" s="25">
        <f t="shared" si="9"/>
        <v>347.505770833333</v>
      </c>
    </row>
    <row r="282" spans="1:28">
      <c r="A282" s="8">
        <v>45572</v>
      </c>
      <c r="B282" s="16">
        <v>374.4652</v>
      </c>
      <c r="C282" s="16">
        <v>363.2408</v>
      </c>
      <c r="D282" s="16">
        <v>351.8043</v>
      </c>
      <c r="E282" s="16">
        <v>348.75</v>
      </c>
      <c r="F282" s="16">
        <v>340.75</v>
      </c>
      <c r="G282" s="16">
        <v>337.58</v>
      </c>
      <c r="H282" s="16">
        <v>349.5825</v>
      </c>
      <c r="I282" s="16">
        <v>347.4978</v>
      </c>
      <c r="J282" s="16">
        <v>361.3968</v>
      </c>
      <c r="K282" s="16">
        <v>382.4553</v>
      </c>
      <c r="L282" s="16">
        <v>364.1752</v>
      </c>
      <c r="M282" s="16">
        <v>367.3967</v>
      </c>
      <c r="N282" s="16">
        <v>343.9599</v>
      </c>
      <c r="O282" s="16">
        <v>369.9255</v>
      </c>
      <c r="P282" s="16">
        <v>386.1324</v>
      </c>
      <c r="Q282" s="16">
        <v>391.0856</v>
      </c>
      <c r="R282" s="16">
        <v>386.4105</v>
      </c>
      <c r="S282" s="16">
        <v>384.6359</v>
      </c>
      <c r="T282" s="16">
        <v>384.6633</v>
      </c>
      <c r="U282" s="16">
        <v>379.4868</v>
      </c>
      <c r="V282" s="16">
        <v>377.3411</v>
      </c>
      <c r="W282" s="16">
        <v>380.4839</v>
      </c>
      <c r="X282" s="16">
        <v>380.8204</v>
      </c>
      <c r="Y282" s="16">
        <v>351.4328</v>
      </c>
      <c r="Z282" s="27" t="s">
        <v>35</v>
      </c>
      <c r="AA282" s="25">
        <f t="shared" si="8"/>
        <v>337.58</v>
      </c>
      <c r="AB282" s="25">
        <f t="shared" si="9"/>
        <v>366.894695833333</v>
      </c>
    </row>
    <row r="283" spans="1:28">
      <c r="A283" s="8">
        <v>45573</v>
      </c>
      <c r="B283" s="16">
        <v>414.7029</v>
      </c>
      <c r="C283" s="16">
        <v>388.7992</v>
      </c>
      <c r="D283" s="16">
        <v>367.9705</v>
      </c>
      <c r="E283" s="16">
        <v>354.8522</v>
      </c>
      <c r="F283" s="16">
        <v>339.0076</v>
      </c>
      <c r="G283" s="16">
        <v>339.1544</v>
      </c>
      <c r="H283" s="16">
        <v>360.0045</v>
      </c>
      <c r="I283" s="16">
        <v>356.7746</v>
      </c>
      <c r="J283" s="16">
        <v>410.9922</v>
      </c>
      <c r="K283" s="16">
        <v>447.7749</v>
      </c>
      <c r="L283" s="16">
        <v>407.1682</v>
      </c>
      <c r="M283" s="16">
        <v>406.0954</v>
      </c>
      <c r="N283" s="16">
        <v>335.8045</v>
      </c>
      <c r="O283" s="16">
        <v>377.0034</v>
      </c>
      <c r="P283" s="16">
        <v>422.0753</v>
      </c>
      <c r="Q283" s="16">
        <v>429.0828</v>
      </c>
      <c r="R283" s="16">
        <v>413.7801</v>
      </c>
      <c r="S283" s="16">
        <v>397.1934</v>
      </c>
      <c r="T283" s="16">
        <v>391.9366</v>
      </c>
      <c r="U283" s="16">
        <v>401.7025</v>
      </c>
      <c r="V283" s="16">
        <v>389.6778</v>
      </c>
      <c r="W283" s="16">
        <v>397.6651</v>
      </c>
      <c r="X283" s="16">
        <v>377.0127</v>
      </c>
      <c r="Y283" s="16">
        <v>339.4911</v>
      </c>
      <c r="Z283" s="26" t="s">
        <v>32</v>
      </c>
      <c r="AA283" s="25">
        <f t="shared" si="8"/>
        <v>335.8045</v>
      </c>
      <c r="AB283" s="25">
        <f t="shared" si="9"/>
        <v>386.071745833333</v>
      </c>
    </row>
    <row r="284" spans="1:28">
      <c r="A284" s="8">
        <v>45574</v>
      </c>
      <c r="B284" s="16">
        <v>396.6286</v>
      </c>
      <c r="C284" s="16">
        <v>369.0002</v>
      </c>
      <c r="D284" s="16">
        <v>365.1444</v>
      </c>
      <c r="E284" s="16">
        <v>349.8144</v>
      </c>
      <c r="F284" s="16">
        <v>332.6286</v>
      </c>
      <c r="G284" s="16">
        <v>328.8342</v>
      </c>
      <c r="H284" s="16">
        <v>339.2074</v>
      </c>
      <c r="I284" s="16">
        <v>334.3981</v>
      </c>
      <c r="J284" s="16">
        <v>367.0742</v>
      </c>
      <c r="K284" s="16">
        <v>410.058</v>
      </c>
      <c r="L284" s="16">
        <v>351.9367</v>
      </c>
      <c r="M284" s="16">
        <v>353.1705</v>
      </c>
      <c r="N284" s="16">
        <v>326.3124</v>
      </c>
      <c r="O284" s="16">
        <v>357.6739</v>
      </c>
      <c r="P284" s="16">
        <v>397.0115</v>
      </c>
      <c r="Q284" s="16">
        <v>396.4536</v>
      </c>
      <c r="R284" s="16">
        <v>386.6224</v>
      </c>
      <c r="S284" s="16">
        <v>372.3995</v>
      </c>
      <c r="T284" s="16">
        <v>375.3092</v>
      </c>
      <c r="U284" s="16">
        <v>381.7308</v>
      </c>
      <c r="V284" s="16">
        <v>383.9047</v>
      </c>
      <c r="W284" s="16">
        <v>369.2675</v>
      </c>
      <c r="X284" s="16">
        <v>374.0706</v>
      </c>
      <c r="Y284" s="16">
        <v>339.1588</v>
      </c>
      <c r="Z284" s="26" t="s">
        <v>32</v>
      </c>
      <c r="AA284" s="25">
        <f t="shared" si="8"/>
        <v>326.3124</v>
      </c>
      <c r="AB284" s="25">
        <f t="shared" si="9"/>
        <v>364.908758333333</v>
      </c>
    </row>
    <row r="285" spans="1:28">
      <c r="A285" s="8">
        <v>45575</v>
      </c>
      <c r="B285" s="16">
        <v>367.1447</v>
      </c>
      <c r="C285" s="16">
        <v>349.9893</v>
      </c>
      <c r="D285" s="16">
        <v>336.4633</v>
      </c>
      <c r="E285" s="16">
        <v>322.7184</v>
      </c>
      <c r="F285" s="16">
        <v>299.1222</v>
      </c>
      <c r="G285" s="16">
        <v>300.3924</v>
      </c>
      <c r="H285" s="16">
        <v>322.5929</v>
      </c>
      <c r="I285" s="16">
        <v>321.5076</v>
      </c>
      <c r="J285" s="16">
        <v>330.8727</v>
      </c>
      <c r="K285" s="16">
        <v>343.4659</v>
      </c>
      <c r="L285" s="16">
        <v>333.4304</v>
      </c>
      <c r="M285" s="16">
        <v>327.6688</v>
      </c>
      <c r="N285" s="16">
        <v>305.6284</v>
      </c>
      <c r="O285" s="16">
        <v>331.1872</v>
      </c>
      <c r="P285" s="16">
        <v>367.9409</v>
      </c>
      <c r="Q285" s="16">
        <v>375.5234</v>
      </c>
      <c r="R285" s="16">
        <v>382.8001</v>
      </c>
      <c r="S285" s="16">
        <v>395.3197</v>
      </c>
      <c r="T285" s="16">
        <v>398.829</v>
      </c>
      <c r="U285" s="16">
        <v>391.9064</v>
      </c>
      <c r="V285" s="16">
        <v>380.3482</v>
      </c>
      <c r="W285" s="16">
        <v>367.6999</v>
      </c>
      <c r="X285" s="16">
        <v>358.4138</v>
      </c>
      <c r="Y285" s="16">
        <v>336.9105</v>
      </c>
      <c r="Z285" s="29" t="s">
        <v>32</v>
      </c>
      <c r="AA285" s="25">
        <f t="shared" si="8"/>
        <v>299.1222</v>
      </c>
      <c r="AB285" s="25">
        <f t="shared" si="9"/>
        <v>347.828170833333</v>
      </c>
    </row>
    <row r="286" spans="1:28">
      <c r="A286" s="8">
        <v>45576</v>
      </c>
      <c r="B286" s="16">
        <v>329.8414</v>
      </c>
      <c r="C286" s="16">
        <v>328.8392</v>
      </c>
      <c r="D286" s="16">
        <v>315.5293</v>
      </c>
      <c r="E286" s="16">
        <v>297.7846</v>
      </c>
      <c r="F286" s="16">
        <v>282.7655</v>
      </c>
      <c r="G286" s="16">
        <v>284.5315</v>
      </c>
      <c r="H286" s="16">
        <v>304.6355</v>
      </c>
      <c r="I286" s="16">
        <v>299.6192</v>
      </c>
      <c r="J286" s="16">
        <v>316.0117</v>
      </c>
      <c r="K286" s="16">
        <v>325.5316</v>
      </c>
      <c r="L286" s="16">
        <v>310.4568</v>
      </c>
      <c r="M286" s="16">
        <v>310.7738</v>
      </c>
      <c r="N286" s="16">
        <v>283.4407</v>
      </c>
      <c r="O286" s="16">
        <v>313.269</v>
      </c>
      <c r="P286" s="16">
        <v>337.8114</v>
      </c>
      <c r="Q286" s="16">
        <v>345.2859</v>
      </c>
      <c r="R286" s="16">
        <v>358.0118</v>
      </c>
      <c r="S286" s="16">
        <v>356.7382</v>
      </c>
      <c r="T286" s="16">
        <v>352.8364</v>
      </c>
      <c r="U286" s="16">
        <v>350.8912</v>
      </c>
      <c r="V286" s="16">
        <v>344.0066</v>
      </c>
      <c r="W286" s="16">
        <v>327.4714</v>
      </c>
      <c r="X286" s="16">
        <v>329.5937</v>
      </c>
      <c r="Y286" s="16">
        <v>304.7892</v>
      </c>
      <c r="Z286" s="26" t="s">
        <v>34</v>
      </c>
      <c r="AA286" s="25">
        <f t="shared" si="8"/>
        <v>282.7655</v>
      </c>
      <c r="AB286" s="25">
        <f t="shared" si="9"/>
        <v>321.2694</v>
      </c>
    </row>
    <row r="287" spans="1:28">
      <c r="A287" s="8">
        <v>45577</v>
      </c>
      <c r="B287" s="16">
        <v>295.0237</v>
      </c>
      <c r="C287" s="16">
        <v>306.0119</v>
      </c>
      <c r="D287" s="16">
        <v>305.4128</v>
      </c>
      <c r="E287" s="16">
        <v>268.4402</v>
      </c>
      <c r="F287" s="16">
        <v>268.1479</v>
      </c>
      <c r="G287" s="16">
        <v>271.5435</v>
      </c>
      <c r="H287" s="16">
        <v>291.1288</v>
      </c>
      <c r="I287" s="16">
        <v>284.4292</v>
      </c>
      <c r="J287" s="16">
        <v>288.9452</v>
      </c>
      <c r="K287" s="16">
        <v>292.6286</v>
      </c>
      <c r="L287" s="16">
        <v>271.5052</v>
      </c>
      <c r="M287" s="16">
        <v>275.3091</v>
      </c>
      <c r="N287" s="16">
        <v>149.4182</v>
      </c>
      <c r="O287" s="16">
        <v>268.3123</v>
      </c>
      <c r="P287" s="16">
        <v>326.7283</v>
      </c>
      <c r="Q287" s="16">
        <v>341.3119</v>
      </c>
      <c r="R287" s="16">
        <v>345.4172</v>
      </c>
      <c r="S287" s="16">
        <v>352.1719</v>
      </c>
      <c r="T287" s="16">
        <v>346.9154</v>
      </c>
      <c r="U287" s="16">
        <v>347.8229</v>
      </c>
      <c r="V287" s="16">
        <v>343.4114</v>
      </c>
      <c r="W287" s="16">
        <v>338.5743</v>
      </c>
      <c r="X287" s="16">
        <v>330.1831</v>
      </c>
      <c r="Y287" s="16">
        <v>309.3687</v>
      </c>
      <c r="Z287" s="26" t="s">
        <v>32</v>
      </c>
      <c r="AA287" s="25">
        <f t="shared" si="8"/>
        <v>149.4182</v>
      </c>
      <c r="AB287" s="25">
        <f t="shared" si="9"/>
        <v>300.7567375</v>
      </c>
    </row>
    <row r="288" spans="1:28">
      <c r="A288" s="8">
        <v>45578</v>
      </c>
      <c r="B288" s="16">
        <v>229.5632</v>
      </c>
      <c r="C288" s="16">
        <v>287.1541</v>
      </c>
      <c r="D288" s="16">
        <v>293.2048</v>
      </c>
      <c r="E288" s="16">
        <v>275.757</v>
      </c>
      <c r="F288" s="16">
        <v>272.2877</v>
      </c>
      <c r="G288" s="16">
        <v>264.715</v>
      </c>
      <c r="H288" s="16">
        <v>278.5169</v>
      </c>
      <c r="I288" s="16">
        <v>273.3386</v>
      </c>
      <c r="J288" s="16">
        <v>241.6774</v>
      </c>
      <c r="K288" s="16">
        <v>238.367</v>
      </c>
      <c r="L288" s="16">
        <v>129.4102</v>
      </c>
      <c r="M288" s="16">
        <v>245.3405</v>
      </c>
      <c r="N288" s="16">
        <v>106.5213</v>
      </c>
      <c r="O288" s="16">
        <v>242.9972</v>
      </c>
      <c r="P288" s="16">
        <v>292.8061</v>
      </c>
      <c r="Q288" s="16">
        <v>314.9318</v>
      </c>
      <c r="R288" s="16">
        <v>320.1348</v>
      </c>
      <c r="S288" s="16">
        <v>329.8398</v>
      </c>
      <c r="T288" s="16">
        <v>341.2019</v>
      </c>
      <c r="U288" s="16">
        <v>346.6115</v>
      </c>
      <c r="V288" s="16">
        <v>333.6517</v>
      </c>
      <c r="W288" s="16">
        <v>326.3505</v>
      </c>
      <c r="X288" s="16">
        <v>321.0803</v>
      </c>
      <c r="Y288" s="16">
        <v>295.9759</v>
      </c>
      <c r="Z288" s="26" t="s">
        <v>32</v>
      </c>
      <c r="AA288" s="25">
        <f t="shared" si="8"/>
        <v>106.5213</v>
      </c>
      <c r="AB288" s="25">
        <f t="shared" si="9"/>
        <v>275.0598</v>
      </c>
    </row>
    <row r="289" spans="1:28">
      <c r="A289" s="8">
        <v>45579</v>
      </c>
      <c r="B289" s="16">
        <v>316.0595</v>
      </c>
      <c r="C289" s="16">
        <v>319.6847</v>
      </c>
      <c r="D289" s="16">
        <v>320.5459</v>
      </c>
      <c r="E289" s="16">
        <v>312.5705</v>
      </c>
      <c r="F289" s="16">
        <v>294.9154</v>
      </c>
      <c r="G289" s="16">
        <v>295.501</v>
      </c>
      <c r="H289" s="16">
        <v>311.3184</v>
      </c>
      <c r="I289" s="16">
        <v>314.8445</v>
      </c>
      <c r="J289" s="16">
        <v>332.6699</v>
      </c>
      <c r="K289" s="16">
        <v>343.1995</v>
      </c>
      <c r="L289" s="16">
        <v>345.6093</v>
      </c>
      <c r="M289" s="16">
        <v>350.507</v>
      </c>
      <c r="N289" s="16">
        <v>313.8569</v>
      </c>
      <c r="O289" s="16">
        <v>358.7875</v>
      </c>
      <c r="P289" s="16">
        <v>377.9397</v>
      </c>
      <c r="Q289" s="16">
        <v>362.9295</v>
      </c>
      <c r="R289" s="16">
        <v>359.8523</v>
      </c>
      <c r="S289" s="16">
        <v>354.0279</v>
      </c>
      <c r="T289" s="16">
        <v>358.9154</v>
      </c>
      <c r="U289" s="16">
        <v>366.4088</v>
      </c>
      <c r="V289" s="16">
        <v>369.8417</v>
      </c>
      <c r="W289" s="16">
        <v>370.1057</v>
      </c>
      <c r="X289" s="16">
        <v>361.7129</v>
      </c>
      <c r="Y289" s="16">
        <v>334.3117</v>
      </c>
      <c r="Z289" s="26" t="s">
        <v>32</v>
      </c>
      <c r="AA289" s="25">
        <f t="shared" si="8"/>
        <v>294.9154</v>
      </c>
      <c r="AB289" s="25">
        <f t="shared" si="9"/>
        <v>339.421483333333</v>
      </c>
    </row>
    <row r="290" spans="1:28">
      <c r="A290" s="8">
        <v>45580</v>
      </c>
      <c r="B290" s="16">
        <v>369.2016</v>
      </c>
      <c r="C290" s="16">
        <v>360.764</v>
      </c>
      <c r="D290" s="16">
        <v>419.5032</v>
      </c>
      <c r="E290" s="16">
        <v>357.0713</v>
      </c>
      <c r="F290" s="16">
        <v>337.0848</v>
      </c>
      <c r="G290" s="16">
        <v>332.9992</v>
      </c>
      <c r="H290" s="16">
        <v>347.6478</v>
      </c>
      <c r="I290" s="16">
        <v>341.0133</v>
      </c>
      <c r="J290" s="16">
        <v>371.7344</v>
      </c>
      <c r="K290" s="16">
        <v>369.962</v>
      </c>
      <c r="L290" s="16">
        <v>335.8304</v>
      </c>
      <c r="M290" s="16">
        <v>335.4505</v>
      </c>
      <c r="N290" s="16">
        <v>327.274</v>
      </c>
      <c r="O290" s="16">
        <v>365.7697</v>
      </c>
      <c r="P290" s="16">
        <v>387.2038</v>
      </c>
      <c r="Q290" s="16">
        <v>366.0515</v>
      </c>
      <c r="R290" s="16">
        <v>355.4582</v>
      </c>
      <c r="S290" s="16">
        <v>359.8106</v>
      </c>
      <c r="T290" s="16">
        <v>357.3726</v>
      </c>
      <c r="U290" s="16">
        <v>363.8474</v>
      </c>
      <c r="V290" s="16">
        <v>363.3738</v>
      </c>
      <c r="W290" s="16">
        <v>372.0634</v>
      </c>
      <c r="X290" s="16">
        <v>371.3968</v>
      </c>
      <c r="Y290" s="16">
        <v>357.8299</v>
      </c>
      <c r="Z290" s="26" t="s">
        <v>32</v>
      </c>
      <c r="AA290" s="25">
        <f t="shared" si="8"/>
        <v>327.274</v>
      </c>
      <c r="AB290" s="25">
        <f t="shared" si="9"/>
        <v>359.404758333333</v>
      </c>
    </row>
    <row r="291" spans="1:28">
      <c r="A291" s="8">
        <v>45581</v>
      </c>
      <c r="B291" s="16">
        <v>501.3055</v>
      </c>
      <c r="C291" s="16">
        <v>392.9191</v>
      </c>
      <c r="D291" s="16">
        <v>366.5872</v>
      </c>
      <c r="E291" s="16">
        <v>353.5624</v>
      </c>
      <c r="F291" s="16">
        <v>328.2978</v>
      </c>
      <c r="G291" s="16">
        <v>320.8826</v>
      </c>
      <c r="H291" s="16">
        <v>332.5835</v>
      </c>
      <c r="I291" s="16">
        <v>328.7052</v>
      </c>
      <c r="J291" s="16">
        <v>377.1776</v>
      </c>
      <c r="K291" s="16">
        <v>363.167</v>
      </c>
      <c r="L291" s="16">
        <v>341.8958</v>
      </c>
      <c r="M291" s="16">
        <v>348.6669</v>
      </c>
      <c r="N291" s="16">
        <v>336.7131</v>
      </c>
      <c r="O291" s="16">
        <v>370.7044</v>
      </c>
      <c r="P291" s="16">
        <v>375.808</v>
      </c>
      <c r="Q291" s="16">
        <v>367.6625</v>
      </c>
      <c r="R291" s="16">
        <v>367.6547</v>
      </c>
      <c r="S291" s="16">
        <v>368.8223</v>
      </c>
      <c r="T291" s="16">
        <v>369.1976</v>
      </c>
      <c r="U291" s="16">
        <v>370.2962</v>
      </c>
      <c r="V291" s="16">
        <v>359.1112</v>
      </c>
      <c r="W291" s="16">
        <v>362.5643</v>
      </c>
      <c r="X291" s="16">
        <v>358.8942</v>
      </c>
      <c r="Y291" s="16">
        <v>335.5069</v>
      </c>
      <c r="Z291" s="26" t="s">
        <v>32</v>
      </c>
      <c r="AA291" s="25">
        <f t="shared" si="8"/>
        <v>320.8826</v>
      </c>
      <c r="AB291" s="25">
        <f t="shared" si="9"/>
        <v>362.44525</v>
      </c>
    </row>
    <row r="292" spans="1:28">
      <c r="A292" s="8">
        <v>45582</v>
      </c>
      <c r="B292" s="16">
        <v>377.8829</v>
      </c>
      <c r="C292" s="16">
        <v>356.7711</v>
      </c>
      <c r="D292" s="16">
        <v>350.8109</v>
      </c>
      <c r="E292" s="16">
        <v>342.1073</v>
      </c>
      <c r="F292" s="16">
        <v>328.8854</v>
      </c>
      <c r="G292" s="16">
        <v>325.2263</v>
      </c>
      <c r="H292" s="16">
        <v>334.5497</v>
      </c>
      <c r="I292" s="16">
        <v>331.1329</v>
      </c>
      <c r="J292" s="16">
        <v>371.793</v>
      </c>
      <c r="K292" s="16">
        <v>377.268</v>
      </c>
      <c r="L292" s="16">
        <v>353.6751</v>
      </c>
      <c r="M292" s="16">
        <v>382.4559</v>
      </c>
      <c r="N292" s="16">
        <v>353.2018</v>
      </c>
      <c r="O292" s="16">
        <v>386.6441</v>
      </c>
      <c r="P292" s="16">
        <v>375.4307</v>
      </c>
      <c r="Q292" s="16">
        <v>368.7303</v>
      </c>
      <c r="R292" s="16">
        <v>372.6218</v>
      </c>
      <c r="S292" s="16">
        <v>379.135</v>
      </c>
      <c r="T292" s="16">
        <v>375.9929</v>
      </c>
      <c r="U292" s="16">
        <v>371.595</v>
      </c>
      <c r="V292" s="16">
        <v>366.2425</v>
      </c>
      <c r="W292" s="16">
        <v>369.5914</v>
      </c>
      <c r="X292" s="16">
        <v>376.9049</v>
      </c>
      <c r="Y292" s="16">
        <v>362.3855</v>
      </c>
      <c r="Z292" s="26" t="s">
        <v>33</v>
      </c>
      <c r="AA292" s="25">
        <f t="shared" si="8"/>
        <v>325.2263</v>
      </c>
      <c r="AB292" s="25">
        <f t="shared" si="9"/>
        <v>362.126433333333</v>
      </c>
    </row>
    <row r="293" spans="1:28">
      <c r="A293" s="8">
        <v>45583</v>
      </c>
      <c r="B293" s="16">
        <v>375.9115</v>
      </c>
      <c r="C293" s="16">
        <v>354.4472</v>
      </c>
      <c r="D293" s="16">
        <v>352.2816</v>
      </c>
      <c r="E293" s="16">
        <v>338.5913</v>
      </c>
      <c r="F293" s="16">
        <v>326.7882</v>
      </c>
      <c r="G293" s="16">
        <v>325.4898</v>
      </c>
      <c r="H293" s="16">
        <v>337.054</v>
      </c>
      <c r="I293" s="16">
        <v>335.5969</v>
      </c>
      <c r="J293" s="16">
        <v>367.9474</v>
      </c>
      <c r="K293" s="16">
        <v>395.4336</v>
      </c>
      <c r="L293" s="16">
        <v>378.8992</v>
      </c>
      <c r="M293" s="16">
        <v>398.3703</v>
      </c>
      <c r="N293" s="16">
        <v>354.9384</v>
      </c>
      <c r="O293" s="16">
        <v>404.9179</v>
      </c>
      <c r="P293" s="16">
        <v>398.2888</v>
      </c>
      <c r="Q293" s="16">
        <v>392.2593</v>
      </c>
      <c r="R293" s="16">
        <v>405.8671</v>
      </c>
      <c r="S293" s="16">
        <v>375.7239</v>
      </c>
      <c r="T293" s="16">
        <v>373.6311</v>
      </c>
      <c r="U293" s="16">
        <v>371.5402</v>
      </c>
      <c r="V293" s="16">
        <v>373.7989</v>
      </c>
      <c r="W293" s="16">
        <v>381.8474</v>
      </c>
      <c r="X293" s="16">
        <v>385.3376</v>
      </c>
      <c r="Y293" s="16">
        <v>360.9461</v>
      </c>
      <c r="Z293" s="26" t="s">
        <v>34</v>
      </c>
      <c r="AA293" s="25">
        <f t="shared" si="8"/>
        <v>325.4898</v>
      </c>
      <c r="AB293" s="25">
        <f t="shared" si="9"/>
        <v>369.412820833333</v>
      </c>
    </row>
    <row r="294" spans="1:28">
      <c r="A294" s="8">
        <v>45584</v>
      </c>
      <c r="B294" s="16">
        <v>406.2104</v>
      </c>
      <c r="C294" s="16">
        <v>375.7185</v>
      </c>
      <c r="D294" s="16">
        <v>373.5073</v>
      </c>
      <c r="E294" s="16">
        <v>353.4984</v>
      </c>
      <c r="F294" s="16">
        <v>335.2694</v>
      </c>
      <c r="G294" s="16">
        <v>329.606</v>
      </c>
      <c r="H294" s="16">
        <v>336.795</v>
      </c>
      <c r="I294" s="16">
        <v>335.9897</v>
      </c>
      <c r="J294" s="16">
        <v>363.9295</v>
      </c>
      <c r="K294" s="16">
        <v>388.5216</v>
      </c>
      <c r="L294" s="16">
        <v>373.9822</v>
      </c>
      <c r="M294" s="16">
        <v>365.7202</v>
      </c>
      <c r="N294" s="16">
        <v>328.1953</v>
      </c>
      <c r="O294" s="16">
        <v>360.9808</v>
      </c>
      <c r="P294" s="16">
        <v>381.0887</v>
      </c>
      <c r="Q294" s="16">
        <v>379.7563</v>
      </c>
      <c r="R294" s="16">
        <v>388.5409</v>
      </c>
      <c r="S294" s="16">
        <v>380.389</v>
      </c>
      <c r="T294" s="16">
        <v>378.1875</v>
      </c>
      <c r="U294" s="16">
        <v>376.9186</v>
      </c>
      <c r="V294" s="16">
        <v>379.0934</v>
      </c>
      <c r="W294" s="16">
        <v>388.0608</v>
      </c>
      <c r="X294" s="16">
        <v>365.7666</v>
      </c>
      <c r="Y294" s="16">
        <v>337.9574</v>
      </c>
      <c r="Z294" s="26" t="s">
        <v>32</v>
      </c>
      <c r="AA294" s="25">
        <f t="shared" si="8"/>
        <v>328.1953</v>
      </c>
      <c r="AB294" s="25">
        <f t="shared" si="9"/>
        <v>365.9868125</v>
      </c>
    </row>
    <row r="295" spans="1:28">
      <c r="A295" s="8">
        <v>45585</v>
      </c>
      <c r="B295" s="16">
        <v>380.5435</v>
      </c>
      <c r="C295" s="16">
        <v>356.6656</v>
      </c>
      <c r="D295" s="16">
        <v>347.0665</v>
      </c>
      <c r="E295" s="16">
        <v>324.8125</v>
      </c>
      <c r="F295" s="16">
        <v>303.5647</v>
      </c>
      <c r="G295" s="16">
        <v>291.1999</v>
      </c>
      <c r="H295" s="16">
        <v>289.5545</v>
      </c>
      <c r="I295" s="16">
        <v>278.5346</v>
      </c>
      <c r="J295" s="16">
        <v>289.8382</v>
      </c>
      <c r="K295" s="16">
        <v>301.0977</v>
      </c>
      <c r="L295" s="16">
        <v>292.4205</v>
      </c>
      <c r="M295" s="16">
        <v>313.2128</v>
      </c>
      <c r="N295" s="16">
        <v>294.2309</v>
      </c>
      <c r="O295" s="16">
        <v>320.8085</v>
      </c>
      <c r="P295" s="16">
        <v>351.6358</v>
      </c>
      <c r="Q295" s="16">
        <v>357.9889</v>
      </c>
      <c r="R295" s="16">
        <v>361.6211</v>
      </c>
      <c r="S295" s="16">
        <v>370.173</v>
      </c>
      <c r="T295" s="16">
        <v>342.8492</v>
      </c>
      <c r="U295" s="16">
        <v>341.5713</v>
      </c>
      <c r="V295" s="16">
        <v>344.1622</v>
      </c>
      <c r="W295" s="16">
        <v>341.2416</v>
      </c>
      <c r="X295" s="16">
        <v>330.9732</v>
      </c>
      <c r="Y295" s="16">
        <v>322.2038</v>
      </c>
      <c r="Z295" s="26" t="s">
        <v>32</v>
      </c>
      <c r="AA295" s="25">
        <f t="shared" si="8"/>
        <v>278.5346</v>
      </c>
      <c r="AB295" s="25">
        <f t="shared" si="9"/>
        <v>326.998770833333</v>
      </c>
    </row>
    <row r="296" spans="1:28">
      <c r="A296" s="8">
        <v>45586</v>
      </c>
      <c r="B296" s="16">
        <v>324.4064</v>
      </c>
      <c r="C296" s="16">
        <v>299.4988</v>
      </c>
      <c r="D296" s="16">
        <v>282.0884</v>
      </c>
      <c r="E296" s="16">
        <v>258.1039</v>
      </c>
      <c r="F296" s="16">
        <v>221.853</v>
      </c>
      <c r="G296" s="16">
        <v>209.1207</v>
      </c>
      <c r="H296" s="16">
        <v>258.6218</v>
      </c>
      <c r="I296" s="16">
        <v>259.1255</v>
      </c>
      <c r="J296" s="16">
        <v>329.7489</v>
      </c>
      <c r="K296" s="16">
        <v>386.6853</v>
      </c>
      <c r="L296" s="16">
        <v>381.22</v>
      </c>
      <c r="M296" s="16">
        <v>366.169</v>
      </c>
      <c r="N296" s="16">
        <v>302.7341</v>
      </c>
      <c r="O296" s="16">
        <v>355.099</v>
      </c>
      <c r="P296" s="16">
        <v>415.7591</v>
      </c>
      <c r="Q296" s="16">
        <v>403.3754</v>
      </c>
      <c r="R296" s="16">
        <v>405.4225</v>
      </c>
      <c r="S296" s="16">
        <v>385.7377</v>
      </c>
      <c r="T296" s="16">
        <v>367.4538</v>
      </c>
      <c r="U296" s="16">
        <v>369.4116</v>
      </c>
      <c r="V296" s="16">
        <v>388.6578</v>
      </c>
      <c r="W296" s="16">
        <v>381.6226</v>
      </c>
      <c r="X296" s="16">
        <v>356.723</v>
      </c>
      <c r="Y296" s="16">
        <v>327.886</v>
      </c>
      <c r="Z296" s="26" t="s">
        <v>32</v>
      </c>
      <c r="AA296" s="25">
        <f t="shared" si="8"/>
        <v>209.1207</v>
      </c>
      <c r="AB296" s="25">
        <f t="shared" si="9"/>
        <v>334.855179166667</v>
      </c>
    </row>
    <row r="297" spans="1:28">
      <c r="A297" s="8">
        <v>45587</v>
      </c>
      <c r="B297" s="16">
        <v>347.55</v>
      </c>
      <c r="C297" s="16">
        <v>328.0442</v>
      </c>
      <c r="D297" s="16">
        <v>325.4821</v>
      </c>
      <c r="E297" s="16">
        <v>317.7666</v>
      </c>
      <c r="F297" s="16">
        <v>301.2067</v>
      </c>
      <c r="G297" s="16">
        <v>298.6565</v>
      </c>
      <c r="H297" s="16">
        <v>312.4314</v>
      </c>
      <c r="I297" s="16">
        <v>311.6471</v>
      </c>
      <c r="J297" s="16">
        <v>337.0512</v>
      </c>
      <c r="K297" s="16">
        <v>362.4327</v>
      </c>
      <c r="L297" s="16">
        <v>338.4622</v>
      </c>
      <c r="M297" s="16">
        <v>330.5722</v>
      </c>
      <c r="N297" s="16">
        <v>283.9318</v>
      </c>
      <c r="O297" s="16">
        <v>312.12</v>
      </c>
      <c r="P297" s="16">
        <v>352.812</v>
      </c>
      <c r="Q297" s="16">
        <v>351.3396</v>
      </c>
      <c r="R297" s="16">
        <v>356.9819</v>
      </c>
      <c r="S297" s="16">
        <v>353.7647</v>
      </c>
      <c r="T297" s="16">
        <v>337.9343</v>
      </c>
      <c r="U297" s="16">
        <v>343.0189</v>
      </c>
      <c r="V297" s="16">
        <v>350.6957</v>
      </c>
      <c r="W297" s="16">
        <v>354.7043</v>
      </c>
      <c r="X297" s="16">
        <v>336.3005</v>
      </c>
      <c r="Y297" s="16">
        <v>291.9742</v>
      </c>
      <c r="Z297" s="26" t="s">
        <v>32</v>
      </c>
      <c r="AA297" s="25">
        <f t="shared" si="8"/>
        <v>283.9318</v>
      </c>
      <c r="AB297" s="25">
        <f t="shared" si="9"/>
        <v>330.703366666667</v>
      </c>
    </row>
    <row r="298" spans="1:28">
      <c r="A298" s="8">
        <v>45588</v>
      </c>
      <c r="B298" s="16">
        <v>307.9398</v>
      </c>
      <c r="C298" s="16">
        <v>286.6587</v>
      </c>
      <c r="D298" s="16">
        <v>290.3154</v>
      </c>
      <c r="E298" s="16">
        <v>261.7056</v>
      </c>
      <c r="F298" s="16">
        <v>233.5037</v>
      </c>
      <c r="G298" s="16">
        <v>217.8265</v>
      </c>
      <c r="H298" s="16">
        <v>264.6637</v>
      </c>
      <c r="I298" s="16">
        <v>274.4636</v>
      </c>
      <c r="J298" s="16">
        <v>311.6233</v>
      </c>
      <c r="K298" s="16">
        <v>288.8209</v>
      </c>
      <c r="L298" s="16">
        <v>328.7087</v>
      </c>
      <c r="M298" s="16">
        <v>342.4818</v>
      </c>
      <c r="N298" s="16">
        <v>177.5578</v>
      </c>
      <c r="O298" s="16">
        <v>282.9915</v>
      </c>
      <c r="P298" s="16">
        <v>305.649</v>
      </c>
      <c r="Q298" s="16">
        <v>312.8613</v>
      </c>
      <c r="R298" s="16">
        <v>320.4587</v>
      </c>
      <c r="S298" s="16">
        <v>337.8716</v>
      </c>
      <c r="T298" s="16">
        <v>341.3119</v>
      </c>
      <c r="U298" s="16">
        <v>335.4991</v>
      </c>
      <c r="V298" s="16">
        <v>333.3128</v>
      </c>
      <c r="W298" s="16">
        <v>337.3057</v>
      </c>
      <c r="X298" s="16">
        <v>316.6142</v>
      </c>
      <c r="Y298" s="16">
        <v>292.0988</v>
      </c>
      <c r="Z298" s="26" t="s">
        <v>32</v>
      </c>
      <c r="AA298" s="25">
        <f t="shared" si="8"/>
        <v>177.5578</v>
      </c>
      <c r="AB298" s="25">
        <f t="shared" si="9"/>
        <v>295.9268375</v>
      </c>
    </row>
    <row r="299" spans="1:28">
      <c r="A299" s="8">
        <v>45589</v>
      </c>
      <c r="B299" s="16">
        <v>180.1464</v>
      </c>
      <c r="C299" s="16">
        <v>9.4221</v>
      </c>
      <c r="D299" s="16">
        <v>120.8058</v>
      </c>
      <c r="E299" s="16">
        <v>71.7663</v>
      </c>
      <c r="F299" s="16">
        <v>0</v>
      </c>
      <c r="G299" s="16">
        <v>0</v>
      </c>
      <c r="H299" s="16">
        <v>139.7837</v>
      </c>
      <c r="I299" s="16">
        <v>262.3294</v>
      </c>
      <c r="J299" s="16">
        <v>281.6341</v>
      </c>
      <c r="K299" s="16">
        <v>220.2253</v>
      </c>
      <c r="L299" s="16">
        <v>146.3064</v>
      </c>
      <c r="M299" s="16">
        <v>148.9764</v>
      </c>
      <c r="N299" s="16">
        <v>20.6659</v>
      </c>
      <c r="O299" s="16">
        <v>181.6298</v>
      </c>
      <c r="P299" s="16">
        <v>289.2052</v>
      </c>
      <c r="Q299" s="16">
        <v>301.104</v>
      </c>
      <c r="R299" s="16">
        <v>308.6687</v>
      </c>
      <c r="S299" s="16">
        <v>314.6061</v>
      </c>
      <c r="T299" s="16">
        <v>314.3798</v>
      </c>
      <c r="U299" s="16">
        <v>315.0158</v>
      </c>
      <c r="V299" s="16">
        <v>303.0623</v>
      </c>
      <c r="W299" s="16">
        <v>308.1321</v>
      </c>
      <c r="X299" s="16">
        <v>276.4791</v>
      </c>
      <c r="Y299" s="16">
        <v>111.454</v>
      </c>
      <c r="Z299" s="26" t="s">
        <v>33</v>
      </c>
      <c r="AA299" s="25">
        <f t="shared" si="8"/>
        <v>0</v>
      </c>
      <c r="AB299" s="25">
        <f t="shared" si="9"/>
        <v>192.7416125</v>
      </c>
    </row>
    <row r="300" spans="1:28">
      <c r="A300" s="8">
        <v>45590</v>
      </c>
      <c r="B300" s="16">
        <v>11.4911</v>
      </c>
      <c r="C300" s="16">
        <v>8.7122</v>
      </c>
      <c r="D300" s="16">
        <v>82.7321</v>
      </c>
      <c r="E300" s="16">
        <v>0.2207</v>
      </c>
      <c r="F300" s="16">
        <v>0</v>
      </c>
      <c r="G300" s="16">
        <v>0</v>
      </c>
      <c r="H300" s="16">
        <v>0.0025</v>
      </c>
      <c r="I300" s="16">
        <v>2.8132</v>
      </c>
      <c r="J300" s="16">
        <v>263.0655</v>
      </c>
      <c r="K300" s="16">
        <v>172.4766</v>
      </c>
      <c r="L300" s="16">
        <v>99.8409</v>
      </c>
      <c r="M300" s="16">
        <v>202.0595</v>
      </c>
      <c r="N300" s="16">
        <v>26.9178</v>
      </c>
      <c r="O300" s="16">
        <v>199.3164</v>
      </c>
      <c r="P300" s="16">
        <v>307.9011</v>
      </c>
      <c r="Q300" s="16">
        <v>290.0228</v>
      </c>
      <c r="R300" s="16">
        <v>297.083</v>
      </c>
      <c r="S300" s="16">
        <v>297.5365</v>
      </c>
      <c r="T300" s="16">
        <v>299.8861</v>
      </c>
      <c r="U300" s="16">
        <v>300.6881</v>
      </c>
      <c r="V300" s="16">
        <v>291.5237</v>
      </c>
      <c r="W300" s="16">
        <v>302.6261</v>
      </c>
      <c r="X300" s="16">
        <v>230.5006</v>
      </c>
      <c r="Y300" s="16">
        <v>0.2391</v>
      </c>
      <c r="Z300" s="26" t="s">
        <v>34</v>
      </c>
      <c r="AA300" s="25">
        <f t="shared" si="8"/>
        <v>0</v>
      </c>
      <c r="AB300" s="25">
        <f t="shared" si="9"/>
        <v>153.652316666667</v>
      </c>
    </row>
    <row r="301" spans="1:28">
      <c r="A301" s="8">
        <v>45591</v>
      </c>
      <c r="B301" s="16">
        <v>222.3564</v>
      </c>
      <c r="C301" s="16">
        <v>270.1141</v>
      </c>
      <c r="D301" s="16">
        <v>278.6602</v>
      </c>
      <c r="E301" s="16">
        <v>270.2798</v>
      </c>
      <c r="F301" s="16">
        <v>254.9055</v>
      </c>
      <c r="G301" s="16">
        <v>250.932</v>
      </c>
      <c r="H301" s="16">
        <v>261.0133</v>
      </c>
      <c r="I301" s="16">
        <v>258.8532</v>
      </c>
      <c r="J301" s="16">
        <v>288.102</v>
      </c>
      <c r="K301" s="16">
        <v>288.4078</v>
      </c>
      <c r="L301" s="16">
        <v>248.0394</v>
      </c>
      <c r="M301" s="16">
        <v>258.1546</v>
      </c>
      <c r="N301" s="16">
        <v>130.0418</v>
      </c>
      <c r="O301" s="16">
        <v>280.8906</v>
      </c>
      <c r="P301" s="16">
        <v>334.9305</v>
      </c>
      <c r="Q301" s="16">
        <v>314.2348</v>
      </c>
      <c r="R301" s="16">
        <v>322.0396</v>
      </c>
      <c r="S301" s="16">
        <v>311.4035</v>
      </c>
      <c r="T301" s="16">
        <v>305.8803</v>
      </c>
      <c r="U301" s="16">
        <v>305.0193</v>
      </c>
      <c r="V301" s="16">
        <v>298.9847</v>
      </c>
      <c r="W301" s="16">
        <v>312.5448</v>
      </c>
      <c r="X301" s="16">
        <v>296.7402</v>
      </c>
      <c r="Y301" s="16">
        <v>269.8827</v>
      </c>
      <c r="Z301" s="26" t="s">
        <v>32</v>
      </c>
      <c r="AA301" s="25">
        <f t="shared" si="8"/>
        <v>130.0418</v>
      </c>
      <c r="AB301" s="25">
        <f t="shared" si="9"/>
        <v>276.3504625</v>
      </c>
    </row>
    <row r="302" spans="1:28">
      <c r="A302" s="8">
        <v>45592</v>
      </c>
      <c r="B302" s="16">
        <v>320.1418</v>
      </c>
      <c r="C302" s="16">
        <v>321.122</v>
      </c>
      <c r="D302" s="16">
        <v>334.4972</v>
      </c>
      <c r="E302" s="16">
        <v>327.9906</v>
      </c>
      <c r="F302" s="16">
        <v>316.3522</v>
      </c>
      <c r="G302" s="16">
        <v>312.4081</v>
      </c>
      <c r="H302" s="16">
        <v>308.1661</v>
      </c>
      <c r="I302" s="16">
        <v>308.2042</v>
      </c>
      <c r="J302" s="16">
        <v>304.4423</v>
      </c>
      <c r="K302" s="16">
        <v>313.1587</v>
      </c>
      <c r="L302" s="16">
        <v>304.3857</v>
      </c>
      <c r="M302" s="16">
        <v>306.162</v>
      </c>
      <c r="N302" s="16">
        <v>287.767</v>
      </c>
      <c r="O302" s="16">
        <v>309.4232</v>
      </c>
      <c r="P302" s="16">
        <v>323.7247</v>
      </c>
      <c r="Q302" s="16">
        <v>315.6237</v>
      </c>
      <c r="R302" s="16">
        <v>306.7789</v>
      </c>
      <c r="S302" s="16">
        <v>309.6423</v>
      </c>
      <c r="T302" s="16">
        <v>310.0501</v>
      </c>
      <c r="U302" s="16">
        <v>317.4456</v>
      </c>
      <c r="V302" s="16">
        <v>314.5952</v>
      </c>
      <c r="W302" s="16">
        <v>326.3889</v>
      </c>
      <c r="X302" s="16">
        <v>328.2583</v>
      </c>
      <c r="Y302" s="16">
        <v>304.2625</v>
      </c>
      <c r="Z302" s="26" t="s">
        <v>32</v>
      </c>
      <c r="AA302" s="25">
        <f t="shared" si="8"/>
        <v>287.767</v>
      </c>
      <c r="AB302" s="25">
        <f t="shared" si="9"/>
        <v>313.791304166667</v>
      </c>
    </row>
    <row r="303" spans="1:28">
      <c r="A303" s="8">
        <v>45593</v>
      </c>
      <c r="B303" s="16">
        <v>304.6783</v>
      </c>
      <c r="C303" s="16">
        <v>295.8955</v>
      </c>
      <c r="D303" s="16">
        <v>298.1724</v>
      </c>
      <c r="E303" s="16">
        <v>292.655</v>
      </c>
      <c r="F303" s="16">
        <v>278.3435</v>
      </c>
      <c r="G303" s="16">
        <v>280.3907</v>
      </c>
      <c r="H303" s="16">
        <v>299.6988</v>
      </c>
      <c r="I303" s="16">
        <v>306.0499</v>
      </c>
      <c r="J303" s="16">
        <v>320.3834</v>
      </c>
      <c r="K303" s="16">
        <v>316.4031</v>
      </c>
      <c r="L303" s="16">
        <v>310.1842</v>
      </c>
      <c r="M303" s="16">
        <v>308.4307</v>
      </c>
      <c r="N303" s="16">
        <v>258.6292</v>
      </c>
      <c r="O303" s="16">
        <v>289.5976</v>
      </c>
      <c r="P303" s="16">
        <v>313.9969</v>
      </c>
      <c r="Q303" s="16">
        <v>309.7848</v>
      </c>
      <c r="R303" s="16">
        <v>309.421</v>
      </c>
      <c r="S303" s="16">
        <v>303.9072</v>
      </c>
      <c r="T303" s="16">
        <v>315.7611</v>
      </c>
      <c r="U303" s="16">
        <v>317.9955</v>
      </c>
      <c r="V303" s="16">
        <v>305.4413</v>
      </c>
      <c r="W303" s="16">
        <v>310.3875</v>
      </c>
      <c r="X303" s="16">
        <v>301.3619</v>
      </c>
      <c r="Y303" s="16">
        <v>245.9797</v>
      </c>
      <c r="Z303" s="26" t="s">
        <v>32</v>
      </c>
      <c r="AA303" s="25">
        <f t="shared" si="8"/>
        <v>245.9797</v>
      </c>
      <c r="AB303" s="25">
        <f t="shared" si="9"/>
        <v>299.731216666667</v>
      </c>
    </row>
    <row r="304" spans="1:28">
      <c r="A304" s="8">
        <v>45594</v>
      </c>
      <c r="B304" s="16">
        <v>255.0147</v>
      </c>
      <c r="C304" s="16">
        <v>274.0962</v>
      </c>
      <c r="D304" s="16">
        <v>275.4609</v>
      </c>
      <c r="E304" s="16">
        <v>270.4049</v>
      </c>
      <c r="F304" s="16">
        <v>242.066</v>
      </c>
      <c r="G304" s="16">
        <v>241.168</v>
      </c>
      <c r="H304" s="16">
        <v>272.47</v>
      </c>
      <c r="I304" s="16">
        <v>272.0248</v>
      </c>
      <c r="J304" s="16">
        <v>279.0575</v>
      </c>
      <c r="K304" s="16">
        <v>278.0202</v>
      </c>
      <c r="L304" s="16">
        <v>206.1581</v>
      </c>
      <c r="M304" s="16">
        <v>229.4583</v>
      </c>
      <c r="N304" s="16">
        <v>35.6827</v>
      </c>
      <c r="O304" s="16">
        <v>236.3681</v>
      </c>
      <c r="P304" s="16">
        <v>287.7349</v>
      </c>
      <c r="Q304" s="16">
        <v>293.4567</v>
      </c>
      <c r="R304" s="16">
        <v>295.8969</v>
      </c>
      <c r="S304" s="16">
        <v>303.6808</v>
      </c>
      <c r="T304" s="16">
        <v>311.7341</v>
      </c>
      <c r="U304" s="16">
        <v>314.409</v>
      </c>
      <c r="V304" s="16">
        <v>309.9288</v>
      </c>
      <c r="W304" s="16">
        <v>306.1459</v>
      </c>
      <c r="X304" s="16">
        <v>285.4954</v>
      </c>
      <c r="Y304" s="16">
        <v>195.845</v>
      </c>
      <c r="Z304" s="26" t="s">
        <v>32</v>
      </c>
      <c r="AA304" s="25">
        <f t="shared" si="8"/>
        <v>35.6827</v>
      </c>
      <c r="AB304" s="25">
        <f t="shared" si="9"/>
        <v>261.324079166667</v>
      </c>
    </row>
    <row r="305" spans="1:28">
      <c r="A305" s="8">
        <v>45595</v>
      </c>
      <c r="B305" s="16">
        <v>290.5741</v>
      </c>
      <c r="C305" s="16">
        <v>290.5697</v>
      </c>
      <c r="D305" s="16">
        <v>291.624</v>
      </c>
      <c r="E305" s="16">
        <v>288.3309</v>
      </c>
      <c r="F305" s="16">
        <v>279.7521</v>
      </c>
      <c r="G305" s="16">
        <v>282.1099</v>
      </c>
      <c r="H305" s="16">
        <v>299.5429</v>
      </c>
      <c r="I305" s="16">
        <v>300.108</v>
      </c>
      <c r="J305" s="16">
        <v>305.1378</v>
      </c>
      <c r="K305" s="16">
        <v>306.0002</v>
      </c>
      <c r="L305" s="16">
        <v>301.3406</v>
      </c>
      <c r="M305" s="16">
        <v>306.3968</v>
      </c>
      <c r="N305" s="16">
        <v>260.9842</v>
      </c>
      <c r="O305" s="16">
        <v>311.1986</v>
      </c>
      <c r="P305" s="16">
        <v>332.772</v>
      </c>
      <c r="Q305" s="16">
        <v>336.8086</v>
      </c>
      <c r="R305" s="16">
        <v>337.8632</v>
      </c>
      <c r="S305" s="16">
        <v>345.0549</v>
      </c>
      <c r="T305" s="16">
        <v>348.4226</v>
      </c>
      <c r="U305" s="16">
        <v>350.6232</v>
      </c>
      <c r="V305" s="16">
        <v>353.3591</v>
      </c>
      <c r="W305" s="16">
        <v>349.534</v>
      </c>
      <c r="X305" s="16">
        <v>347.5636</v>
      </c>
      <c r="Y305" s="16">
        <v>301.3992</v>
      </c>
      <c r="Z305" s="26" t="s">
        <v>32</v>
      </c>
      <c r="AA305" s="25">
        <f t="shared" si="8"/>
        <v>260.9842</v>
      </c>
      <c r="AB305" s="25">
        <f t="shared" si="9"/>
        <v>313.211258333333</v>
      </c>
    </row>
    <row r="306" spans="1:28">
      <c r="A306" s="8">
        <v>45596</v>
      </c>
      <c r="B306" s="16">
        <v>314.5594</v>
      </c>
      <c r="C306" s="16">
        <v>305.3175</v>
      </c>
      <c r="D306" s="16">
        <v>299.8755</v>
      </c>
      <c r="E306" s="16">
        <v>295.4847</v>
      </c>
      <c r="F306" s="16">
        <v>283.9805</v>
      </c>
      <c r="G306" s="16">
        <v>283.3454</v>
      </c>
      <c r="H306" s="16">
        <v>298.3549</v>
      </c>
      <c r="I306" s="16">
        <v>290.6925</v>
      </c>
      <c r="J306" s="16">
        <v>290.013</v>
      </c>
      <c r="K306" s="16">
        <v>292.1454</v>
      </c>
      <c r="L306" s="16">
        <v>270.3782</v>
      </c>
      <c r="M306" s="16">
        <v>239.7667</v>
      </c>
      <c r="N306" s="16">
        <v>132.2501</v>
      </c>
      <c r="O306" s="16">
        <v>233.4167</v>
      </c>
      <c r="P306" s="16">
        <v>295.4389</v>
      </c>
      <c r="Q306" s="16">
        <v>308.6439</v>
      </c>
      <c r="R306" s="16">
        <v>317.0754</v>
      </c>
      <c r="S306" s="16">
        <v>321.9909</v>
      </c>
      <c r="T306" s="16">
        <v>322.5228</v>
      </c>
      <c r="U306" s="16">
        <v>322.4569</v>
      </c>
      <c r="V306" s="16">
        <v>311.3511</v>
      </c>
      <c r="W306" s="16">
        <v>308.8478</v>
      </c>
      <c r="X306" s="16">
        <v>307.5712</v>
      </c>
      <c r="Y306" s="16">
        <v>276.2721</v>
      </c>
      <c r="Z306" s="26" t="s">
        <v>33</v>
      </c>
      <c r="AA306" s="25">
        <f t="shared" si="8"/>
        <v>132.2501</v>
      </c>
      <c r="AB306" s="25">
        <f t="shared" si="9"/>
        <v>288.4063125</v>
      </c>
    </row>
    <row r="307" spans="1:28">
      <c r="A307" s="8">
        <v>45597</v>
      </c>
      <c r="B307" s="16">
        <v>318.1067</v>
      </c>
      <c r="C307" s="16">
        <v>310.5</v>
      </c>
      <c r="D307" s="16">
        <v>304.83</v>
      </c>
      <c r="E307" s="16">
        <v>300.65</v>
      </c>
      <c r="F307" s="16">
        <v>297.83</v>
      </c>
      <c r="G307" s="16">
        <v>298.15</v>
      </c>
      <c r="H307" s="16">
        <v>307.1017</v>
      </c>
      <c r="I307" s="16">
        <v>315.737</v>
      </c>
      <c r="J307" s="16">
        <v>328.7436</v>
      </c>
      <c r="K307" s="16">
        <v>334.78</v>
      </c>
      <c r="L307" s="16">
        <v>317.3807</v>
      </c>
      <c r="M307" s="16">
        <v>309.7941</v>
      </c>
      <c r="N307" s="16">
        <v>284.4161</v>
      </c>
      <c r="O307" s="16">
        <v>299.7466</v>
      </c>
      <c r="P307" s="16">
        <v>311.9826</v>
      </c>
      <c r="Q307" s="16">
        <v>317.6469</v>
      </c>
      <c r="R307" s="16">
        <v>342.9808</v>
      </c>
      <c r="S307" s="16">
        <v>463.127</v>
      </c>
      <c r="T307" s="16">
        <v>427.5</v>
      </c>
      <c r="U307" s="16">
        <v>456.8653</v>
      </c>
      <c r="V307" s="16">
        <v>411.8353</v>
      </c>
      <c r="W307" s="16">
        <v>372.8737</v>
      </c>
      <c r="X307" s="16">
        <v>343.7561</v>
      </c>
      <c r="Y307" s="16">
        <v>318.4823</v>
      </c>
      <c r="Z307" s="26" t="s">
        <v>34</v>
      </c>
      <c r="AA307" s="25">
        <f t="shared" si="8"/>
        <v>284.4161</v>
      </c>
      <c r="AB307" s="25">
        <f t="shared" si="9"/>
        <v>337.284020833333</v>
      </c>
    </row>
    <row r="308" spans="1:28">
      <c r="A308" s="8">
        <v>45598</v>
      </c>
      <c r="B308" s="16">
        <v>333.2313</v>
      </c>
      <c r="C308" s="16">
        <v>318.74</v>
      </c>
      <c r="D308" s="16">
        <v>312.2055</v>
      </c>
      <c r="E308" s="16">
        <v>308.14</v>
      </c>
      <c r="F308" s="16">
        <v>304.9549</v>
      </c>
      <c r="G308" s="16">
        <v>300.8147</v>
      </c>
      <c r="H308" s="16">
        <v>308.6036</v>
      </c>
      <c r="I308" s="16">
        <v>311.25</v>
      </c>
      <c r="J308" s="16">
        <v>325.175</v>
      </c>
      <c r="K308" s="16">
        <v>328.8813</v>
      </c>
      <c r="L308" s="16">
        <v>316.4638</v>
      </c>
      <c r="M308" s="16">
        <v>308.9553</v>
      </c>
      <c r="N308" s="16">
        <v>283.2242</v>
      </c>
      <c r="O308" s="16">
        <v>296.738</v>
      </c>
      <c r="P308" s="16">
        <v>311.0217</v>
      </c>
      <c r="Q308" s="16">
        <v>318.9398</v>
      </c>
      <c r="R308" s="16">
        <v>342.8382</v>
      </c>
      <c r="S308" s="16">
        <v>497.918</v>
      </c>
      <c r="T308" s="16">
        <v>450.5973</v>
      </c>
      <c r="U308" s="16">
        <v>443.0815</v>
      </c>
      <c r="V308" s="16">
        <v>422.9432</v>
      </c>
      <c r="W308" s="16">
        <v>377.8888</v>
      </c>
      <c r="X308" s="16">
        <v>353.5065</v>
      </c>
      <c r="Y308" s="16">
        <v>330.7015</v>
      </c>
      <c r="Z308" s="26" t="s">
        <v>32</v>
      </c>
      <c r="AA308" s="25">
        <f t="shared" si="8"/>
        <v>283.2242</v>
      </c>
      <c r="AB308" s="25">
        <f t="shared" si="9"/>
        <v>341.9505875</v>
      </c>
    </row>
    <row r="309" spans="1:28">
      <c r="A309" s="8">
        <v>45599</v>
      </c>
      <c r="B309" s="16">
        <v>318.0502</v>
      </c>
      <c r="C309" s="16">
        <v>308.5003</v>
      </c>
      <c r="D309" s="16">
        <v>303.121</v>
      </c>
      <c r="E309" s="16">
        <v>300.5053</v>
      </c>
      <c r="F309" s="16">
        <v>296.221</v>
      </c>
      <c r="G309" s="16">
        <v>294.847</v>
      </c>
      <c r="H309" s="16">
        <v>297.334</v>
      </c>
      <c r="I309" s="16">
        <v>301.5409</v>
      </c>
      <c r="J309" s="16">
        <v>300.4572</v>
      </c>
      <c r="K309" s="16">
        <v>303.2559</v>
      </c>
      <c r="L309" s="16">
        <v>293.1536</v>
      </c>
      <c r="M309" s="16">
        <v>293.0972</v>
      </c>
      <c r="N309" s="16">
        <v>230.338</v>
      </c>
      <c r="O309" s="16">
        <v>268.2649</v>
      </c>
      <c r="P309" s="16">
        <v>300.5731</v>
      </c>
      <c r="Q309" s="16">
        <v>310.4189</v>
      </c>
      <c r="R309" s="16">
        <v>330.6223</v>
      </c>
      <c r="S309" s="16">
        <v>361.9766</v>
      </c>
      <c r="T309" s="16">
        <v>386.0723</v>
      </c>
      <c r="U309" s="16">
        <v>392.1295</v>
      </c>
      <c r="V309" s="16">
        <v>368.4718</v>
      </c>
      <c r="W309" s="16">
        <v>358.0023</v>
      </c>
      <c r="X309" s="16">
        <v>335.7154</v>
      </c>
      <c r="Y309" s="16">
        <v>314.1648</v>
      </c>
      <c r="Z309" s="26" t="s">
        <v>32</v>
      </c>
      <c r="AA309" s="25">
        <f t="shared" si="8"/>
        <v>230.338</v>
      </c>
      <c r="AB309" s="25">
        <f t="shared" si="9"/>
        <v>315.284729166667</v>
      </c>
    </row>
    <row r="310" spans="1:28">
      <c r="A310" s="8">
        <v>45600</v>
      </c>
      <c r="B310" s="16">
        <v>354.857</v>
      </c>
      <c r="C310" s="16">
        <v>341.4242</v>
      </c>
      <c r="D310" s="16">
        <v>324.0164</v>
      </c>
      <c r="E310" s="16">
        <v>316.0674</v>
      </c>
      <c r="F310" s="16">
        <v>308.7875</v>
      </c>
      <c r="G310" s="16">
        <v>308.5716</v>
      </c>
      <c r="H310" s="16">
        <v>328.5316</v>
      </c>
      <c r="I310" s="16">
        <v>365.8116</v>
      </c>
      <c r="J310" s="16">
        <v>398.3373</v>
      </c>
      <c r="K310" s="16">
        <v>418.0082</v>
      </c>
      <c r="L310" s="16">
        <v>396.345</v>
      </c>
      <c r="M310" s="16">
        <v>370.4021</v>
      </c>
      <c r="N310" s="16">
        <v>324.228</v>
      </c>
      <c r="O310" s="16">
        <v>339.2504</v>
      </c>
      <c r="P310" s="16">
        <v>367.3755</v>
      </c>
      <c r="Q310" s="16">
        <v>387.5982</v>
      </c>
      <c r="R310" s="16">
        <v>431.0245</v>
      </c>
      <c r="S310" s="16">
        <v>433.3718</v>
      </c>
      <c r="T310" s="16">
        <v>536.8913</v>
      </c>
      <c r="U310" s="16">
        <v>522.9706</v>
      </c>
      <c r="V310" s="16">
        <v>460.2972</v>
      </c>
      <c r="W310" s="16">
        <v>420.6216</v>
      </c>
      <c r="X310" s="16">
        <v>371.5104</v>
      </c>
      <c r="Y310" s="16">
        <v>347.2352</v>
      </c>
      <c r="Z310" s="26" t="s">
        <v>32</v>
      </c>
      <c r="AA310" s="25">
        <f t="shared" si="8"/>
        <v>308.5716</v>
      </c>
      <c r="AB310" s="25">
        <f t="shared" si="9"/>
        <v>382.230608333333</v>
      </c>
    </row>
    <row r="311" spans="1:28">
      <c r="A311" s="8">
        <v>45601</v>
      </c>
      <c r="B311" s="16">
        <v>326.6548</v>
      </c>
      <c r="C311" s="16">
        <v>320.079</v>
      </c>
      <c r="D311" s="16">
        <v>315.6585</v>
      </c>
      <c r="E311" s="16">
        <v>311.3153</v>
      </c>
      <c r="F311" s="16">
        <v>305.518</v>
      </c>
      <c r="G311" s="16">
        <v>305.7327</v>
      </c>
      <c r="H311" s="16">
        <v>319.5583</v>
      </c>
      <c r="I311" s="16">
        <v>332.5431</v>
      </c>
      <c r="J311" s="16">
        <v>338.7963</v>
      </c>
      <c r="K311" s="16">
        <v>343.2529</v>
      </c>
      <c r="L311" s="16">
        <v>328.6905</v>
      </c>
      <c r="M311" s="16">
        <v>314.8966</v>
      </c>
      <c r="N311" s="16">
        <v>291.9212</v>
      </c>
      <c r="O311" s="16">
        <v>303.1001</v>
      </c>
      <c r="P311" s="16">
        <v>317.7289</v>
      </c>
      <c r="Q311" s="16">
        <v>332.1337</v>
      </c>
      <c r="R311" s="16">
        <v>355.7379</v>
      </c>
      <c r="S311" s="16">
        <v>365.6234</v>
      </c>
      <c r="T311" s="16">
        <v>388.1087</v>
      </c>
      <c r="U311" s="16">
        <v>391.7277</v>
      </c>
      <c r="V311" s="16">
        <v>355.8163</v>
      </c>
      <c r="W311" s="16">
        <v>355.0462</v>
      </c>
      <c r="X311" s="16">
        <v>333.808</v>
      </c>
      <c r="Y311" s="16">
        <v>314.804</v>
      </c>
      <c r="Z311" s="26" t="s">
        <v>32</v>
      </c>
      <c r="AA311" s="25">
        <f t="shared" si="8"/>
        <v>291.9212</v>
      </c>
      <c r="AB311" s="25">
        <f t="shared" si="9"/>
        <v>332.010504166667</v>
      </c>
    </row>
    <row r="312" spans="1:28">
      <c r="A312" s="8">
        <v>45602</v>
      </c>
      <c r="B312" s="16">
        <v>310.2524</v>
      </c>
      <c r="C312" s="16">
        <v>299.1187</v>
      </c>
      <c r="D312" s="16">
        <v>291.784</v>
      </c>
      <c r="E312" s="16">
        <v>288.7857</v>
      </c>
      <c r="F312" s="16">
        <v>283.6285</v>
      </c>
      <c r="G312" s="16">
        <v>282.5857</v>
      </c>
      <c r="H312" s="16">
        <v>293.0191</v>
      </c>
      <c r="I312" s="16">
        <v>308.3745</v>
      </c>
      <c r="J312" s="16">
        <v>316.699</v>
      </c>
      <c r="K312" s="16">
        <v>322.0631</v>
      </c>
      <c r="L312" s="16">
        <v>314.7182</v>
      </c>
      <c r="M312" s="16">
        <v>305.9554</v>
      </c>
      <c r="N312" s="16">
        <v>285.7617</v>
      </c>
      <c r="O312" s="16">
        <v>295.4989</v>
      </c>
      <c r="P312" s="16">
        <v>311.9534</v>
      </c>
      <c r="Q312" s="16">
        <v>325.6835</v>
      </c>
      <c r="R312" s="16">
        <v>345.8957</v>
      </c>
      <c r="S312" s="16">
        <v>350.4713</v>
      </c>
      <c r="T312" s="16">
        <v>372.317</v>
      </c>
      <c r="U312" s="16">
        <v>376.7661</v>
      </c>
      <c r="V312" s="16">
        <v>346.4892</v>
      </c>
      <c r="W312" s="16">
        <v>337.8838</v>
      </c>
      <c r="X312" s="16">
        <v>321.8638</v>
      </c>
      <c r="Y312" s="16">
        <v>302.4016</v>
      </c>
      <c r="Z312" s="26" t="s">
        <v>32</v>
      </c>
      <c r="AA312" s="25">
        <f t="shared" si="8"/>
        <v>282.5857</v>
      </c>
      <c r="AB312" s="25">
        <f t="shared" si="9"/>
        <v>316.2487625</v>
      </c>
    </row>
    <row r="313" spans="1:28">
      <c r="A313" s="8">
        <v>45603</v>
      </c>
      <c r="B313" s="16">
        <v>302.2636</v>
      </c>
      <c r="C313" s="16">
        <v>293.9336</v>
      </c>
      <c r="D313" s="16">
        <v>289.6075</v>
      </c>
      <c r="E313" s="16">
        <v>284.7454</v>
      </c>
      <c r="F313" s="16">
        <v>282.1623</v>
      </c>
      <c r="G313" s="16">
        <v>282.3095</v>
      </c>
      <c r="H313" s="16">
        <v>292.8332</v>
      </c>
      <c r="I313" s="16">
        <v>303.6354</v>
      </c>
      <c r="J313" s="16">
        <v>312.5872</v>
      </c>
      <c r="K313" s="16">
        <v>318.0589</v>
      </c>
      <c r="L313" s="16">
        <v>306.9904</v>
      </c>
      <c r="M313" s="16">
        <v>300.1293</v>
      </c>
      <c r="N313" s="16">
        <v>283.0821</v>
      </c>
      <c r="O313" s="16">
        <v>292.5944</v>
      </c>
      <c r="P313" s="16">
        <v>308.9132</v>
      </c>
      <c r="Q313" s="16">
        <v>318.0988</v>
      </c>
      <c r="R313" s="16">
        <v>339.7017</v>
      </c>
      <c r="S313" s="16">
        <v>366.4871</v>
      </c>
      <c r="T313" s="16">
        <v>435.8201</v>
      </c>
      <c r="U313" s="16">
        <v>424.041</v>
      </c>
      <c r="V313" s="16">
        <v>350.4111</v>
      </c>
      <c r="W313" s="16">
        <v>347.5948</v>
      </c>
      <c r="X313" s="16">
        <v>322.2777</v>
      </c>
      <c r="Y313" s="16">
        <v>306.0052</v>
      </c>
      <c r="Z313" s="26" t="s">
        <v>33</v>
      </c>
      <c r="AA313" s="25">
        <f t="shared" si="8"/>
        <v>282.1623</v>
      </c>
      <c r="AB313" s="25">
        <f t="shared" si="9"/>
        <v>319.345145833333</v>
      </c>
    </row>
    <row r="314" spans="1:28">
      <c r="A314" s="8">
        <v>45604</v>
      </c>
      <c r="B314" s="16">
        <v>309.1447</v>
      </c>
      <c r="C314" s="16">
        <v>302.93</v>
      </c>
      <c r="D314" s="16">
        <v>299.7828</v>
      </c>
      <c r="E314" s="16">
        <v>297.4109</v>
      </c>
      <c r="F314" s="16">
        <v>296.8204</v>
      </c>
      <c r="G314" s="16">
        <v>296.5104</v>
      </c>
      <c r="H314" s="16">
        <v>304.9516</v>
      </c>
      <c r="I314" s="16">
        <v>315.4374</v>
      </c>
      <c r="J314" s="16">
        <v>325.4077</v>
      </c>
      <c r="K314" s="16">
        <v>327.6812</v>
      </c>
      <c r="L314" s="16">
        <v>313.384</v>
      </c>
      <c r="M314" s="16">
        <v>304.9766</v>
      </c>
      <c r="N314" s="16">
        <v>285.8341</v>
      </c>
      <c r="O314" s="16">
        <v>291.802</v>
      </c>
      <c r="P314" s="16">
        <v>304.7632</v>
      </c>
      <c r="Q314" s="16">
        <v>317.6012</v>
      </c>
      <c r="R314" s="16">
        <v>335.9711</v>
      </c>
      <c r="S314" s="16">
        <v>350.4341</v>
      </c>
      <c r="T314" s="16">
        <v>414.1588</v>
      </c>
      <c r="U314" s="16">
        <v>615.4297</v>
      </c>
      <c r="V314" s="16">
        <v>354.7781</v>
      </c>
      <c r="W314" s="16">
        <v>353.2583</v>
      </c>
      <c r="X314" s="16">
        <v>333.2411</v>
      </c>
      <c r="Y314" s="16">
        <v>316.1516</v>
      </c>
      <c r="Z314" s="26" t="s">
        <v>34</v>
      </c>
      <c r="AA314" s="25">
        <f t="shared" si="8"/>
        <v>285.8341</v>
      </c>
      <c r="AB314" s="25">
        <f t="shared" si="9"/>
        <v>331.994208333333</v>
      </c>
    </row>
    <row r="315" spans="1:28">
      <c r="A315" s="8">
        <v>45605</v>
      </c>
      <c r="B315" s="16">
        <v>319.7077</v>
      </c>
      <c r="C315" s="16">
        <v>311.1756</v>
      </c>
      <c r="D315" s="16">
        <v>305.7938</v>
      </c>
      <c r="E315" s="16">
        <v>299.4325</v>
      </c>
      <c r="F315" s="16">
        <v>290.9591</v>
      </c>
      <c r="G315" s="16">
        <v>292.1118</v>
      </c>
      <c r="H315" s="16">
        <v>303.0811</v>
      </c>
      <c r="I315" s="16">
        <v>319.2779</v>
      </c>
      <c r="J315" s="16">
        <v>328.7854</v>
      </c>
      <c r="K315" s="16">
        <v>332.0533</v>
      </c>
      <c r="L315" s="16">
        <v>314.9516</v>
      </c>
      <c r="M315" s="16">
        <v>290.9724</v>
      </c>
      <c r="N315" s="16">
        <v>133.7299</v>
      </c>
      <c r="O315" s="16">
        <v>228.2532</v>
      </c>
      <c r="P315" s="16">
        <v>291.1423</v>
      </c>
      <c r="Q315" s="16">
        <v>305.5476</v>
      </c>
      <c r="R315" s="16">
        <v>335.8934</v>
      </c>
      <c r="S315" s="16">
        <v>404.8401</v>
      </c>
      <c r="T315" s="16">
        <v>580.3862</v>
      </c>
      <c r="U315" s="16">
        <v>426.7445</v>
      </c>
      <c r="V315" s="16">
        <v>381.6854</v>
      </c>
      <c r="W315" s="16">
        <v>355.3733</v>
      </c>
      <c r="X315" s="16">
        <v>333.7204</v>
      </c>
      <c r="Y315" s="16">
        <v>312.0526</v>
      </c>
      <c r="Z315" s="26" t="s">
        <v>32</v>
      </c>
      <c r="AA315" s="25">
        <f t="shared" si="8"/>
        <v>133.7299</v>
      </c>
      <c r="AB315" s="25">
        <f t="shared" si="9"/>
        <v>324.9029625</v>
      </c>
    </row>
    <row r="316" spans="1:28">
      <c r="A316" s="8">
        <v>45606</v>
      </c>
      <c r="B316" s="16">
        <v>311.7784</v>
      </c>
      <c r="C316" s="16">
        <v>299.4515</v>
      </c>
      <c r="D316" s="16">
        <v>290.2846</v>
      </c>
      <c r="E316" s="16">
        <v>285.7063</v>
      </c>
      <c r="F316" s="16">
        <v>281.848</v>
      </c>
      <c r="G316" s="16">
        <v>281.3701</v>
      </c>
      <c r="H316" s="16">
        <v>284.1344</v>
      </c>
      <c r="I316" s="16">
        <v>286.07</v>
      </c>
      <c r="J316" s="16">
        <v>283.6947</v>
      </c>
      <c r="K316" s="16">
        <v>282.3142</v>
      </c>
      <c r="L316" s="16">
        <v>271.623</v>
      </c>
      <c r="M316" s="16">
        <v>195.6458</v>
      </c>
      <c r="N316" s="16">
        <v>14.0912</v>
      </c>
      <c r="O316" s="16">
        <v>149.9936</v>
      </c>
      <c r="P316" s="16">
        <v>257.4438</v>
      </c>
      <c r="Q316" s="16">
        <v>274.8645</v>
      </c>
      <c r="R316" s="16">
        <v>291.034</v>
      </c>
      <c r="S316" s="16">
        <v>311.2232</v>
      </c>
      <c r="T316" s="16">
        <v>316.1324</v>
      </c>
      <c r="U316" s="16">
        <v>316.1962</v>
      </c>
      <c r="V316" s="16">
        <v>315.9755</v>
      </c>
      <c r="W316" s="16">
        <v>315.4918</v>
      </c>
      <c r="X316" s="16">
        <v>307.0054</v>
      </c>
      <c r="Y316" s="16">
        <v>293.7425</v>
      </c>
      <c r="Z316" s="26" t="s">
        <v>32</v>
      </c>
      <c r="AA316" s="25">
        <f t="shared" si="8"/>
        <v>14.0912</v>
      </c>
      <c r="AB316" s="25">
        <f t="shared" si="9"/>
        <v>271.5464625</v>
      </c>
    </row>
    <row r="317" spans="1:28">
      <c r="A317" s="8">
        <v>45607</v>
      </c>
      <c r="B317" s="16">
        <v>315.0923</v>
      </c>
      <c r="C317" s="16">
        <v>308.5292</v>
      </c>
      <c r="D317" s="16">
        <v>302.9491</v>
      </c>
      <c r="E317" s="16">
        <v>293.1318</v>
      </c>
      <c r="F317" s="16">
        <v>284.083</v>
      </c>
      <c r="G317" s="16">
        <v>283.5345</v>
      </c>
      <c r="H317" s="16">
        <v>309.331</v>
      </c>
      <c r="I317" s="16">
        <v>340.8536</v>
      </c>
      <c r="J317" s="16">
        <v>362.1097</v>
      </c>
      <c r="K317" s="16">
        <v>358.8802</v>
      </c>
      <c r="L317" s="16">
        <v>340.9221</v>
      </c>
      <c r="M317" s="16">
        <v>324.526</v>
      </c>
      <c r="N317" s="16">
        <v>282.1175</v>
      </c>
      <c r="O317" s="16">
        <v>305.4484</v>
      </c>
      <c r="P317" s="16">
        <v>325.8688</v>
      </c>
      <c r="Q317" s="16">
        <v>348.5327</v>
      </c>
      <c r="R317" s="16">
        <v>419.0761</v>
      </c>
      <c r="S317" s="16">
        <v>423.8351</v>
      </c>
      <c r="T317" s="16">
        <v>587.4472</v>
      </c>
      <c r="U317" s="16">
        <v>713.9383</v>
      </c>
      <c r="V317" s="16">
        <v>390.6146</v>
      </c>
      <c r="W317" s="16">
        <v>391.0236</v>
      </c>
      <c r="X317" s="16">
        <v>365.6046</v>
      </c>
      <c r="Y317" s="16">
        <v>336.7844</v>
      </c>
      <c r="Z317" s="26" t="s">
        <v>32</v>
      </c>
      <c r="AA317" s="25">
        <f t="shared" si="8"/>
        <v>282.1175</v>
      </c>
      <c r="AB317" s="25">
        <f t="shared" si="9"/>
        <v>363.093075</v>
      </c>
    </row>
    <row r="318" spans="1:28">
      <c r="A318" s="8">
        <v>45608</v>
      </c>
      <c r="B318" s="16">
        <v>336.3691</v>
      </c>
      <c r="C318" s="16">
        <v>328.1203</v>
      </c>
      <c r="D318" s="16">
        <v>321.5205</v>
      </c>
      <c r="E318" s="16">
        <v>312.3421</v>
      </c>
      <c r="F318" s="16">
        <v>305.0541</v>
      </c>
      <c r="G318" s="16">
        <v>308.1312</v>
      </c>
      <c r="H318" s="16">
        <v>328.6254</v>
      </c>
      <c r="I318" s="16">
        <v>337.9852</v>
      </c>
      <c r="J318" s="16">
        <v>339.7946</v>
      </c>
      <c r="K318" s="16">
        <v>358.1273</v>
      </c>
      <c r="L318" s="16">
        <v>333.7737</v>
      </c>
      <c r="M318" s="16">
        <v>313.6263</v>
      </c>
      <c r="N318" s="16">
        <v>276.6299</v>
      </c>
      <c r="O318" s="16">
        <v>289.6596</v>
      </c>
      <c r="P318" s="16">
        <v>317.6641</v>
      </c>
      <c r="Q318" s="16">
        <v>341.6154</v>
      </c>
      <c r="R318" s="16">
        <v>420.6109</v>
      </c>
      <c r="S318" s="16">
        <v>474.6469</v>
      </c>
      <c r="T318" s="16">
        <v>467.6928</v>
      </c>
      <c r="U318" s="16">
        <v>502.8321</v>
      </c>
      <c r="V318" s="16">
        <v>429.5471</v>
      </c>
      <c r="W318" s="16">
        <v>388.6356</v>
      </c>
      <c r="X318" s="16">
        <v>364.4838</v>
      </c>
      <c r="Y318" s="16">
        <v>337.0437</v>
      </c>
      <c r="Z318" s="26" t="s">
        <v>32</v>
      </c>
      <c r="AA318" s="25">
        <f t="shared" si="8"/>
        <v>276.6299</v>
      </c>
      <c r="AB318" s="25">
        <f t="shared" si="9"/>
        <v>355.6054875</v>
      </c>
    </row>
    <row r="319" spans="1:28">
      <c r="A319" s="8">
        <v>45609</v>
      </c>
      <c r="B319" s="16">
        <v>328.4738</v>
      </c>
      <c r="C319" s="16">
        <v>324.6797</v>
      </c>
      <c r="D319" s="16">
        <v>320.0774</v>
      </c>
      <c r="E319" s="16">
        <v>311.8368</v>
      </c>
      <c r="F319" s="16">
        <v>307.1169</v>
      </c>
      <c r="G319" s="16">
        <v>302.9573</v>
      </c>
      <c r="H319" s="16">
        <v>316.9584</v>
      </c>
      <c r="I319" s="16">
        <v>331.5781</v>
      </c>
      <c r="J319" s="16">
        <v>332.4034</v>
      </c>
      <c r="K319" s="16">
        <v>331.7776</v>
      </c>
      <c r="L319" s="16">
        <v>314.6316</v>
      </c>
      <c r="M319" s="16">
        <v>277.3919</v>
      </c>
      <c r="N319" s="16">
        <v>223.5158</v>
      </c>
      <c r="O319" s="16">
        <v>248.1867</v>
      </c>
      <c r="P319" s="16">
        <v>302.2515</v>
      </c>
      <c r="Q319" s="16">
        <v>324.8375</v>
      </c>
      <c r="R319" s="16">
        <v>412.8281</v>
      </c>
      <c r="S319" s="16">
        <v>493.7773</v>
      </c>
      <c r="T319" s="16">
        <v>728.9881</v>
      </c>
      <c r="U319" s="16">
        <v>907.2814</v>
      </c>
      <c r="V319" s="16">
        <v>472.9118</v>
      </c>
      <c r="W319" s="16">
        <v>420.6923</v>
      </c>
      <c r="X319" s="16">
        <v>361.398</v>
      </c>
      <c r="Y319" s="16">
        <v>329.9897</v>
      </c>
      <c r="Z319" s="26" t="s">
        <v>32</v>
      </c>
      <c r="AA319" s="25">
        <f t="shared" si="8"/>
        <v>223.5158</v>
      </c>
      <c r="AB319" s="25">
        <f t="shared" si="9"/>
        <v>376.105879166667</v>
      </c>
    </row>
    <row r="320" spans="1:28">
      <c r="A320" s="8">
        <v>45610</v>
      </c>
      <c r="B320" s="16">
        <v>344.5866</v>
      </c>
      <c r="C320" s="16">
        <v>334.5273</v>
      </c>
      <c r="D320" s="16">
        <v>326.662</v>
      </c>
      <c r="E320" s="16">
        <v>317.2475</v>
      </c>
      <c r="F320" s="16">
        <v>304.4878</v>
      </c>
      <c r="G320" s="16">
        <v>303.7868</v>
      </c>
      <c r="H320" s="16">
        <v>330.3446</v>
      </c>
      <c r="I320" s="16">
        <v>349.1368</v>
      </c>
      <c r="J320" s="16">
        <v>357.5775</v>
      </c>
      <c r="K320" s="16">
        <v>376.0957</v>
      </c>
      <c r="L320" s="16">
        <v>366.7156</v>
      </c>
      <c r="M320" s="16">
        <v>344.7073</v>
      </c>
      <c r="N320" s="16">
        <v>292.8289</v>
      </c>
      <c r="O320" s="16">
        <v>311.3629</v>
      </c>
      <c r="P320" s="16">
        <v>344.3087</v>
      </c>
      <c r="Q320" s="16">
        <v>359.9358</v>
      </c>
      <c r="R320" s="16">
        <v>443.2583</v>
      </c>
      <c r="S320" s="16">
        <v>496.9316</v>
      </c>
      <c r="T320" s="16">
        <v>445.5341</v>
      </c>
      <c r="U320" s="16">
        <v>749.6139</v>
      </c>
      <c r="V320" s="16">
        <v>398.6791</v>
      </c>
      <c r="W320" s="16">
        <v>378.9775</v>
      </c>
      <c r="X320" s="16">
        <v>367.5068</v>
      </c>
      <c r="Y320" s="16">
        <v>347.3645</v>
      </c>
      <c r="Z320" s="26" t="s">
        <v>33</v>
      </c>
      <c r="AA320" s="25">
        <f t="shared" si="8"/>
        <v>292.8289</v>
      </c>
      <c r="AB320" s="25">
        <f t="shared" si="9"/>
        <v>374.674066666667</v>
      </c>
    </row>
    <row r="321" spans="1:28">
      <c r="A321" s="8">
        <v>45611</v>
      </c>
      <c r="B321" s="16">
        <v>354.4739</v>
      </c>
      <c r="C321" s="16">
        <v>340.0374</v>
      </c>
      <c r="D321" s="16">
        <v>332.8305</v>
      </c>
      <c r="E321" s="16">
        <v>324.2103</v>
      </c>
      <c r="F321" s="16">
        <v>317.3806</v>
      </c>
      <c r="G321" s="16">
        <v>320.1892</v>
      </c>
      <c r="H321" s="16">
        <v>346.144</v>
      </c>
      <c r="I321" s="16">
        <v>369.3374</v>
      </c>
      <c r="J321" s="16">
        <v>383.2979</v>
      </c>
      <c r="K321" s="16">
        <v>408.4143</v>
      </c>
      <c r="L321" s="16">
        <v>406.9042</v>
      </c>
      <c r="M321" s="16">
        <v>401.6601</v>
      </c>
      <c r="N321" s="16">
        <v>311.1676</v>
      </c>
      <c r="O321" s="16">
        <v>341.018</v>
      </c>
      <c r="P321" s="16">
        <v>373.5117</v>
      </c>
      <c r="Q321" s="16">
        <v>394.4009</v>
      </c>
      <c r="R321" s="16">
        <v>501.5284</v>
      </c>
      <c r="S321" s="16">
        <v>550.6476</v>
      </c>
      <c r="T321" s="16">
        <v>492.2864</v>
      </c>
      <c r="U321" s="16">
        <v>527.0111</v>
      </c>
      <c r="V321" s="16">
        <v>407.8303</v>
      </c>
      <c r="W321" s="16">
        <v>388.6028</v>
      </c>
      <c r="X321" s="16">
        <v>380.1974</v>
      </c>
      <c r="Y321" s="16">
        <v>365.1942</v>
      </c>
      <c r="Z321" s="26" t="s">
        <v>34</v>
      </c>
      <c r="AA321" s="25">
        <f t="shared" si="8"/>
        <v>311.1676</v>
      </c>
      <c r="AB321" s="25">
        <f t="shared" si="9"/>
        <v>389.094841666667</v>
      </c>
    </row>
    <row r="322" spans="1:28">
      <c r="A322" s="8">
        <v>45612</v>
      </c>
      <c r="B322" s="16">
        <v>381.4158</v>
      </c>
      <c r="C322" s="16">
        <v>372.7961</v>
      </c>
      <c r="D322" s="16">
        <v>359.2325</v>
      </c>
      <c r="E322" s="16">
        <v>349.4565</v>
      </c>
      <c r="F322" s="16">
        <v>337.0179</v>
      </c>
      <c r="G322" s="16">
        <v>336.5133</v>
      </c>
      <c r="H322" s="16">
        <v>354.2942</v>
      </c>
      <c r="I322" s="16">
        <v>379.9702</v>
      </c>
      <c r="J322" s="16">
        <v>415.0275</v>
      </c>
      <c r="K322" s="16">
        <v>445.8987</v>
      </c>
      <c r="L322" s="16">
        <v>424.9029</v>
      </c>
      <c r="M322" s="16">
        <v>423.6456</v>
      </c>
      <c r="N322" s="16">
        <v>329.1289</v>
      </c>
      <c r="O322" s="16">
        <v>345.1763</v>
      </c>
      <c r="P322" s="16">
        <v>381.3835</v>
      </c>
      <c r="Q322" s="16">
        <v>398.6672</v>
      </c>
      <c r="R322" s="16">
        <v>447.6638</v>
      </c>
      <c r="S322" s="16">
        <v>556.8362</v>
      </c>
      <c r="T322" s="16">
        <v>571.7628</v>
      </c>
      <c r="U322" s="16">
        <v>576.2801</v>
      </c>
      <c r="V322" s="16">
        <v>469.0966</v>
      </c>
      <c r="W322" s="16">
        <v>429.6116</v>
      </c>
      <c r="X322" s="16">
        <v>421.6446</v>
      </c>
      <c r="Y322" s="16">
        <v>401.3932</v>
      </c>
      <c r="Z322" s="26" t="s">
        <v>32</v>
      </c>
      <c r="AA322" s="25">
        <f t="shared" ref="AA322:AA368" si="10">MIN($B322:$Y322)</f>
        <v>329.1289</v>
      </c>
      <c r="AB322" s="25">
        <f t="shared" ref="AB322:AB368" si="11">AVERAGE($B322:$Y322)</f>
        <v>412.867333333333</v>
      </c>
    </row>
    <row r="323" spans="1:28">
      <c r="A323" s="8">
        <v>45613</v>
      </c>
      <c r="B323" s="16">
        <v>357.1325</v>
      </c>
      <c r="C323" s="16">
        <v>342.2153</v>
      </c>
      <c r="D323" s="16">
        <v>337.3605</v>
      </c>
      <c r="E323" s="16">
        <v>335.0839</v>
      </c>
      <c r="F323" s="16">
        <v>333.6116</v>
      </c>
      <c r="G323" s="16">
        <v>332.6991</v>
      </c>
      <c r="H323" s="16">
        <v>334.3989</v>
      </c>
      <c r="I323" s="16">
        <v>335.1082</v>
      </c>
      <c r="J323" s="16">
        <v>335.2803</v>
      </c>
      <c r="K323" s="16">
        <v>332.3986</v>
      </c>
      <c r="L323" s="16">
        <v>317.8441</v>
      </c>
      <c r="M323" s="16">
        <v>307.517</v>
      </c>
      <c r="N323" s="16">
        <v>272.9629</v>
      </c>
      <c r="O323" s="16">
        <v>292.7645</v>
      </c>
      <c r="P323" s="16">
        <v>308.8481</v>
      </c>
      <c r="Q323" s="16">
        <v>322.6551</v>
      </c>
      <c r="R323" s="16">
        <v>342.6834</v>
      </c>
      <c r="S323" s="16">
        <v>377.4734</v>
      </c>
      <c r="T323" s="16">
        <v>380.8789</v>
      </c>
      <c r="U323" s="16">
        <v>378.3703</v>
      </c>
      <c r="V323" s="16">
        <v>375.0819</v>
      </c>
      <c r="W323" s="16">
        <v>370.328</v>
      </c>
      <c r="X323" s="16">
        <v>354.5857</v>
      </c>
      <c r="Y323" s="16">
        <v>332.7739</v>
      </c>
      <c r="Z323" s="26" t="s">
        <v>32</v>
      </c>
      <c r="AA323" s="25">
        <f t="shared" si="10"/>
        <v>272.9629</v>
      </c>
      <c r="AB323" s="25">
        <f t="shared" si="11"/>
        <v>337.919004166667</v>
      </c>
    </row>
    <row r="324" spans="1:28">
      <c r="A324" s="8">
        <v>45614</v>
      </c>
      <c r="B324" s="16">
        <v>296.5383</v>
      </c>
      <c r="C324" s="16">
        <v>284.2238</v>
      </c>
      <c r="D324" s="16">
        <v>275.2286</v>
      </c>
      <c r="E324" s="16">
        <v>266.6283</v>
      </c>
      <c r="F324" s="16">
        <v>263.4047</v>
      </c>
      <c r="G324" s="16">
        <v>264.75</v>
      </c>
      <c r="H324" s="16">
        <v>280.48</v>
      </c>
      <c r="I324" s="16">
        <v>298.4003</v>
      </c>
      <c r="J324" s="16">
        <v>311.553</v>
      </c>
      <c r="K324" s="16">
        <v>325.2056</v>
      </c>
      <c r="L324" s="16">
        <v>268.7189</v>
      </c>
      <c r="M324" s="16">
        <v>286.245</v>
      </c>
      <c r="N324" s="16">
        <v>175.0585</v>
      </c>
      <c r="O324" s="16">
        <v>196.7898</v>
      </c>
      <c r="P324" s="16">
        <v>291.9831</v>
      </c>
      <c r="Q324" s="16">
        <v>316.5051</v>
      </c>
      <c r="R324" s="16">
        <v>352.4594</v>
      </c>
      <c r="S324" s="16">
        <v>368.4962</v>
      </c>
      <c r="T324" s="16">
        <v>369.6121</v>
      </c>
      <c r="U324" s="16">
        <v>415.0289</v>
      </c>
      <c r="V324" s="16">
        <v>341.6993</v>
      </c>
      <c r="W324" s="16">
        <v>321.5489</v>
      </c>
      <c r="X324" s="16">
        <v>305.0254</v>
      </c>
      <c r="Y324" s="16">
        <v>294.0483</v>
      </c>
      <c r="Z324" s="26" t="s">
        <v>32</v>
      </c>
      <c r="AA324" s="25">
        <f t="shared" si="10"/>
        <v>175.0585</v>
      </c>
      <c r="AB324" s="25">
        <f t="shared" si="11"/>
        <v>298.734645833333</v>
      </c>
    </row>
    <row r="325" spans="1:28">
      <c r="A325" s="8">
        <v>45615</v>
      </c>
      <c r="B325" s="16">
        <v>282.9995</v>
      </c>
      <c r="C325" s="16">
        <v>269.3643</v>
      </c>
      <c r="D325" s="16">
        <v>263.7575</v>
      </c>
      <c r="E325" s="16">
        <v>258.4028</v>
      </c>
      <c r="F325" s="16">
        <v>256.8343</v>
      </c>
      <c r="G325" s="16">
        <v>257.7949</v>
      </c>
      <c r="H325" s="16">
        <v>270.5448</v>
      </c>
      <c r="I325" s="16">
        <v>289.0727</v>
      </c>
      <c r="J325" s="16">
        <v>301.305</v>
      </c>
      <c r="K325" s="16">
        <v>305.2874</v>
      </c>
      <c r="L325" s="16">
        <v>291.438</v>
      </c>
      <c r="M325" s="16">
        <v>267.4244</v>
      </c>
      <c r="N325" s="16">
        <v>16.6219</v>
      </c>
      <c r="O325" s="16">
        <v>140.737</v>
      </c>
      <c r="P325" s="16">
        <v>268.0569</v>
      </c>
      <c r="Q325" s="16">
        <v>284.1228</v>
      </c>
      <c r="R325" s="16">
        <v>309.9527</v>
      </c>
      <c r="S325" s="16">
        <v>321.4695</v>
      </c>
      <c r="T325" s="16">
        <v>328.5414</v>
      </c>
      <c r="U325" s="16">
        <v>338.082</v>
      </c>
      <c r="V325" s="16">
        <v>329.579</v>
      </c>
      <c r="W325" s="16">
        <v>320.1323</v>
      </c>
      <c r="X325" s="16">
        <v>306.3146</v>
      </c>
      <c r="Y325" s="16">
        <v>291.9895</v>
      </c>
      <c r="Z325" s="26" t="s">
        <v>32</v>
      </c>
      <c r="AA325" s="25">
        <f t="shared" si="10"/>
        <v>16.6219</v>
      </c>
      <c r="AB325" s="25">
        <f t="shared" si="11"/>
        <v>273.742716666667</v>
      </c>
    </row>
    <row r="326" spans="1:28">
      <c r="A326" s="8">
        <v>45616</v>
      </c>
      <c r="B326" s="16">
        <v>270.7783</v>
      </c>
      <c r="C326" s="16">
        <v>264.5039</v>
      </c>
      <c r="D326" s="16">
        <v>262.6617</v>
      </c>
      <c r="E326" s="16">
        <v>260.8308</v>
      </c>
      <c r="F326" s="16">
        <v>249.5024</v>
      </c>
      <c r="G326" s="16">
        <v>250.6455</v>
      </c>
      <c r="H326" s="16">
        <v>262.5941</v>
      </c>
      <c r="I326" s="16">
        <v>273.7519</v>
      </c>
      <c r="J326" s="16">
        <v>299.191</v>
      </c>
      <c r="K326" s="16">
        <v>315.2079</v>
      </c>
      <c r="L326" s="16">
        <v>310.3822</v>
      </c>
      <c r="M326" s="16">
        <v>308.7444</v>
      </c>
      <c r="N326" s="16">
        <v>264.7608</v>
      </c>
      <c r="O326" s="16">
        <v>275.0999</v>
      </c>
      <c r="P326" s="16">
        <v>289.5191</v>
      </c>
      <c r="Q326" s="16">
        <v>302.7681</v>
      </c>
      <c r="R326" s="16">
        <v>320.4574</v>
      </c>
      <c r="S326" s="16">
        <v>327.4243</v>
      </c>
      <c r="T326" s="16">
        <v>342.5727</v>
      </c>
      <c r="U326" s="16">
        <v>344.3962</v>
      </c>
      <c r="V326" s="16">
        <v>321.4942</v>
      </c>
      <c r="W326" s="16">
        <v>313.3798</v>
      </c>
      <c r="X326" s="16">
        <v>299.171</v>
      </c>
      <c r="Y326" s="16">
        <v>276.6547</v>
      </c>
      <c r="Z326" s="26" t="s">
        <v>32</v>
      </c>
      <c r="AA326" s="25">
        <f t="shared" si="10"/>
        <v>249.5024</v>
      </c>
      <c r="AB326" s="25">
        <f t="shared" si="11"/>
        <v>291.937179166667</v>
      </c>
    </row>
    <row r="327" spans="1:28">
      <c r="A327" s="8">
        <v>45617</v>
      </c>
      <c r="B327" s="16">
        <v>298.4385</v>
      </c>
      <c r="C327" s="16">
        <v>296.7589</v>
      </c>
      <c r="D327" s="16">
        <v>294.2378</v>
      </c>
      <c r="E327" s="16">
        <v>288.2081</v>
      </c>
      <c r="F327" s="16">
        <v>278.2075</v>
      </c>
      <c r="G327" s="16">
        <v>279.5423</v>
      </c>
      <c r="H327" s="16">
        <v>293.1188</v>
      </c>
      <c r="I327" s="16">
        <v>308.7101</v>
      </c>
      <c r="J327" s="16">
        <v>325.322</v>
      </c>
      <c r="K327" s="16">
        <v>335.5828</v>
      </c>
      <c r="L327" s="16">
        <v>327.0095</v>
      </c>
      <c r="M327" s="16">
        <v>320.4544</v>
      </c>
      <c r="N327" s="16">
        <v>275.5528</v>
      </c>
      <c r="O327" s="16">
        <v>285.5917</v>
      </c>
      <c r="P327" s="16">
        <v>307.5412</v>
      </c>
      <c r="Q327" s="16">
        <v>312.6904</v>
      </c>
      <c r="R327" s="16">
        <v>328.4566</v>
      </c>
      <c r="S327" s="16">
        <v>338.1978</v>
      </c>
      <c r="T327" s="16">
        <v>360.5465</v>
      </c>
      <c r="U327" s="16">
        <v>355.0333</v>
      </c>
      <c r="V327" s="16">
        <v>343.8261</v>
      </c>
      <c r="W327" s="16">
        <v>338.453</v>
      </c>
      <c r="X327" s="16">
        <v>329.2978</v>
      </c>
      <c r="Y327" s="16">
        <v>307.4439</v>
      </c>
      <c r="Z327" s="26" t="s">
        <v>33</v>
      </c>
      <c r="AA327" s="25">
        <f t="shared" si="10"/>
        <v>275.5528</v>
      </c>
      <c r="AB327" s="25">
        <f t="shared" si="11"/>
        <v>313.675908333333</v>
      </c>
    </row>
    <row r="328" spans="1:28">
      <c r="A328" s="8">
        <v>45618</v>
      </c>
      <c r="B328" s="16">
        <v>281.9393</v>
      </c>
      <c r="C328" s="16">
        <v>272.1912</v>
      </c>
      <c r="D328" s="16">
        <v>268.1333</v>
      </c>
      <c r="E328" s="16">
        <v>263.2423</v>
      </c>
      <c r="F328" s="16">
        <v>259.2567</v>
      </c>
      <c r="G328" s="16">
        <v>256.9075</v>
      </c>
      <c r="H328" s="16">
        <v>276.5737</v>
      </c>
      <c r="I328" s="16">
        <v>291.7088</v>
      </c>
      <c r="J328" s="16">
        <v>301.3637</v>
      </c>
      <c r="K328" s="16">
        <v>303.03</v>
      </c>
      <c r="L328" s="16">
        <v>293.314</v>
      </c>
      <c r="M328" s="16">
        <v>279.3406</v>
      </c>
      <c r="N328" s="16">
        <v>240.2157</v>
      </c>
      <c r="O328" s="16">
        <v>256.7656</v>
      </c>
      <c r="P328" s="16">
        <v>282.3678</v>
      </c>
      <c r="Q328" s="16">
        <v>295.8695</v>
      </c>
      <c r="R328" s="16">
        <v>313.2425</v>
      </c>
      <c r="S328" s="16">
        <v>328.8619</v>
      </c>
      <c r="T328" s="16">
        <v>344.7335</v>
      </c>
      <c r="U328" s="16">
        <v>338.9222</v>
      </c>
      <c r="V328" s="16">
        <v>331.8315</v>
      </c>
      <c r="W328" s="16">
        <v>322.2245</v>
      </c>
      <c r="X328" s="16">
        <v>307.6614</v>
      </c>
      <c r="Y328" s="16">
        <v>294.1838</v>
      </c>
      <c r="Z328" s="26" t="s">
        <v>34</v>
      </c>
      <c r="AA328" s="25">
        <f t="shared" si="10"/>
        <v>240.2157</v>
      </c>
      <c r="AB328" s="25">
        <f t="shared" si="11"/>
        <v>291.828375</v>
      </c>
    </row>
    <row r="329" spans="1:28">
      <c r="A329" s="8">
        <v>45619</v>
      </c>
      <c r="B329" s="16">
        <v>287.9912</v>
      </c>
      <c r="C329" s="16">
        <v>279.7335</v>
      </c>
      <c r="D329" s="16">
        <v>272.2617</v>
      </c>
      <c r="E329" s="16">
        <v>260.4668</v>
      </c>
      <c r="F329" s="16">
        <v>249.922</v>
      </c>
      <c r="G329" s="16">
        <v>230.9578</v>
      </c>
      <c r="H329" s="16">
        <v>259.5149</v>
      </c>
      <c r="I329" s="16">
        <v>274.3351</v>
      </c>
      <c r="J329" s="16">
        <v>291.059</v>
      </c>
      <c r="K329" s="16">
        <v>296.4154</v>
      </c>
      <c r="L329" s="16">
        <v>277.7448</v>
      </c>
      <c r="M329" s="16">
        <v>264.6763</v>
      </c>
      <c r="N329" s="16">
        <v>92.6926</v>
      </c>
      <c r="O329" s="16">
        <v>154.6794</v>
      </c>
      <c r="P329" s="16">
        <v>264.7527</v>
      </c>
      <c r="Q329" s="16">
        <v>271.2973</v>
      </c>
      <c r="R329" s="16">
        <v>297.6055</v>
      </c>
      <c r="S329" s="16">
        <v>318.8701</v>
      </c>
      <c r="T329" s="16">
        <v>345.7873</v>
      </c>
      <c r="U329" s="16">
        <v>440.1644</v>
      </c>
      <c r="V329" s="16">
        <v>336.9761</v>
      </c>
      <c r="W329" s="16">
        <v>332.0188</v>
      </c>
      <c r="X329" s="16">
        <v>312.4476</v>
      </c>
      <c r="Y329" s="16">
        <v>281.5819</v>
      </c>
      <c r="Z329" s="26" t="s">
        <v>32</v>
      </c>
      <c r="AA329" s="25">
        <f t="shared" si="10"/>
        <v>92.6926</v>
      </c>
      <c r="AB329" s="25">
        <f t="shared" si="11"/>
        <v>278.914675</v>
      </c>
    </row>
    <row r="330" spans="1:28">
      <c r="A330" s="8">
        <v>45620</v>
      </c>
      <c r="B330" s="16">
        <v>266.38</v>
      </c>
      <c r="C330" s="16">
        <v>251.76</v>
      </c>
      <c r="D330" s="16">
        <v>246.27</v>
      </c>
      <c r="E330" s="16">
        <v>238.92</v>
      </c>
      <c r="F330" s="16">
        <v>213.91</v>
      </c>
      <c r="G330" s="16">
        <v>211.89</v>
      </c>
      <c r="H330" s="16">
        <v>227</v>
      </c>
      <c r="I330" s="16">
        <v>239.3163</v>
      </c>
      <c r="J330" s="16">
        <v>244.8009</v>
      </c>
      <c r="K330" s="16">
        <v>247.67</v>
      </c>
      <c r="L330" s="16">
        <v>184.7584</v>
      </c>
      <c r="M330" s="16">
        <v>23.7508</v>
      </c>
      <c r="N330" s="16">
        <v>0.0579</v>
      </c>
      <c r="O330" s="16">
        <v>0.0338</v>
      </c>
      <c r="P330" s="16">
        <v>0.3343</v>
      </c>
      <c r="Q330" s="16">
        <v>93.0892</v>
      </c>
      <c r="R330" s="16">
        <v>245.3901</v>
      </c>
      <c r="S330" s="16">
        <v>279.1501</v>
      </c>
      <c r="T330" s="16">
        <v>285.1563</v>
      </c>
      <c r="U330" s="16">
        <v>285.4413</v>
      </c>
      <c r="V330" s="16">
        <v>287.0142</v>
      </c>
      <c r="W330" s="16">
        <v>282.509</v>
      </c>
      <c r="X330" s="16">
        <v>274.7615</v>
      </c>
      <c r="Y330" s="16">
        <v>237.1797</v>
      </c>
      <c r="Z330" s="26" t="s">
        <v>32</v>
      </c>
      <c r="AA330" s="25">
        <f t="shared" si="10"/>
        <v>0.0338</v>
      </c>
      <c r="AB330" s="25">
        <f t="shared" si="11"/>
        <v>202.772658333333</v>
      </c>
    </row>
    <row r="331" spans="1:28">
      <c r="A331" s="8">
        <v>45621</v>
      </c>
      <c r="B331" s="16">
        <v>256.1257</v>
      </c>
      <c r="C331" s="16">
        <v>227.8825</v>
      </c>
      <c r="D331" s="16">
        <v>213.2</v>
      </c>
      <c r="E331" s="16">
        <v>187.2388</v>
      </c>
      <c r="F331" s="16">
        <v>131.2944</v>
      </c>
      <c r="G331" s="16">
        <v>133.9614</v>
      </c>
      <c r="H331" s="16">
        <v>239.9285</v>
      </c>
      <c r="I331" s="16">
        <v>274.4443</v>
      </c>
      <c r="J331" s="16">
        <v>294.1487</v>
      </c>
      <c r="K331" s="16">
        <v>303.6584</v>
      </c>
      <c r="L331" s="16">
        <v>289.8474</v>
      </c>
      <c r="M331" s="16">
        <v>281.4739</v>
      </c>
      <c r="N331" s="16">
        <v>221.6655</v>
      </c>
      <c r="O331" s="16">
        <v>246.4745</v>
      </c>
      <c r="P331" s="16">
        <v>279.3395</v>
      </c>
      <c r="Q331" s="16">
        <v>288.8799</v>
      </c>
      <c r="R331" s="16">
        <v>305.9288</v>
      </c>
      <c r="S331" s="16">
        <v>319.832</v>
      </c>
      <c r="T331" s="16">
        <v>376.3077</v>
      </c>
      <c r="U331" s="16">
        <v>386.8502</v>
      </c>
      <c r="V331" s="16">
        <v>350.9276</v>
      </c>
      <c r="W331" s="16">
        <v>328.2915</v>
      </c>
      <c r="X331" s="16">
        <v>303.3018</v>
      </c>
      <c r="Y331" s="16">
        <v>276.5071</v>
      </c>
      <c r="Z331" s="26" t="s">
        <v>32</v>
      </c>
      <c r="AA331" s="25">
        <f t="shared" si="10"/>
        <v>131.2944</v>
      </c>
      <c r="AB331" s="25">
        <f t="shared" si="11"/>
        <v>271.562920833333</v>
      </c>
    </row>
    <row r="332" spans="1:28">
      <c r="A332" s="8">
        <v>45622</v>
      </c>
      <c r="B332" s="16">
        <v>280.1254</v>
      </c>
      <c r="C332" s="16">
        <v>272.1777</v>
      </c>
      <c r="D332" s="16">
        <v>264.0603</v>
      </c>
      <c r="E332" s="16">
        <v>253.2734</v>
      </c>
      <c r="F332" s="16">
        <v>234.8017</v>
      </c>
      <c r="G332" s="16">
        <v>220.5642</v>
      </c>
      <c r="H332" s="16">
        <v>254.7382</v>
      </c>
      <c r="I332" s="16">
        <v>277.2025</v>
      </c>
      <c r="J332" s="16">
        <v>292.4664</v>
      </c>
      <c r="K332" s="16">
        <v>332.6519</v>
      </c>
      <c r="L332" s="16">
        <v>304.9147</v>
      </c>
      <c r="M332" s="16">
        <v>283.1584</v>
      </c>
      <c r="N332" s="16">
        <v>172.9646</v>
      </c>
      <c r="O332" s="16">
        <v>209.07</v>
      </c>
      <c r="P332" s="16">
        <v>265.6081</v>
      </c>
      <c r="Q332" s="16">
        <v>283.0605</v>
      </c>
      <c r="R332" s="16">
        <v>329.4354</v>
      </c>
      <c r="S332" s="16">
        <v>368.9299</v>
      </c>
      <c r="T332" s="16">
        <v>374.6789</v>
      </c>
      <c r="U332" s="16">
        <v>376.929</v>
      </c>
      <c r="V332" s="16">
        <v>341.6642</v>
      </c>
      <c r="W332" s="16">
        <v>313.5999</v>
      </c>
      <c r="X332" s="16">
        <v>293.1726</v>
      </c>
      <c r="Y332" s="16">
        <v>273.5624</v>
      </c>
      <c r="Z332" s="26" t="s">
        <v>32</v>
      </c>
      <c r="AA332" s="25">
        <f t="shared" si="10"/>
        <v>172.9646</v>
      </c>
      <c r="AB332" s="25">
        <f t="shared" si="11"/>
        <v>286.367095833333</v>
      </c>
    </row>
    <row r="333" spans="1:28">
      <c r="A333" s="8">
        <v>45623</v>
      </c>
      <c r="B333" s="16">
        <v>242.045</v>
      </c>
      <c r="C333" s="16">
        <v>230.3817</v>
      </c>
      <c r="D333" s="16">
        <v>222.9598</v>
      </c>
      <c r="E333" s="16">
        <v>157.1755</v>
      </c>
      <c r="F333" s="16">
        <v>80.5962</v>
      </c>
      <c r="G333" s="16">
        <v>107.6098</v>
      </c>
      <c r="H333" s="16">
        <v>234.4715</v>
      </c>
      <c r="I333" s="16">
        <v>253.2546</v>
      </c>
      <c r="J333" s="16">
        <v>254.1347</v>
      </c>
      <c r="K333" s="16">
        <v>257.2242</v>
      </c>
      <c r="L333" s="16">
        <v>240.4475</v>
      </c>
      <c r="M333" s="16">
        <v>161.1982</v>
      </c>
      <c r="N333" s="16">
        <v>0.0003</v>
      </c>
      <c r="O333" s="16">
        <v>10.6716</v>
      </c>
      <c r="P333" s="16">
        <v>137.5563</v>
      </c>
      <c r="Q333" s="16">
        <v>201.8255</v>
      </c>
      <c r="R333" s="16">
        <v>260.1893</v>
      </c>
      <c r="S333" s="16">
        <v>289.9446</v>
      </c>
      <c r="T333" s="16">
        <v>302.3607</v>
      </c>
      <c r="U333" s="16">
        <v>303.0142</v>
      </c>
      <c r="V333" s="16">
        <v>296.2287</v>
      </c>
      <c r="W333" s="16">
        <v>290.4716</v>
      </c>
      <c r="X333" s="16">
        <v>263.2238</v>
      </c>
      <c r="Y333" s="16">
        <v>248.979</v>
      </c>
      <c r="Z333" s="26" t="s">
        <v>32</v>
      </c>
      <c r="AA333" s="25">
        <f t="shared" si="10"/>
        <v>0.0003</v>
      </c>
      <c r="AB333" s="25">
        <f t="shared" si="11"/>
        <v>210.2485125</v>
      </c>
    </row>
    <row r="334" spans="1:28">
      <c r="A334" s="8">
        <v>45624</v>
      </c>
      <c r="B334" s="16">
        <v>267.4268</v>
      </c>
      <c r="C334" s="16">
        <v>257.0439</v>
      </c>
      <c r="D334" s="16">
        <v>251.0096</v>
      </c>
      <c r="E334" s="16">
        <v>243.9176</v>
      </c>
      <c r="F334" s="16">
        <v>231.8232</v>
      </c>
      <c r="G334" s="16">
        <v>233.8679</v>
      </c>
      <c r="H334" s="16">
        <v>260.3232</v>
      </c>
      <c r="I334" s="16">
        <v>268.8817</v>
      </c>
      <c r="J334" s="16">
        <v>280.1739</v>
      </c>
      <c r="K334" s="16">
        <v>275.1435</v>
      </c>
      <c r="L334" s="16">
        <v>260.1463</v>
      </c>
      <c r="M334" s="16">
        <v>211.264</v>
      </c>
      <c r="N334" s="16">
        <v>8.9716</v>
      </c>
      <c r="O334" s="16">
        <v>86.6806</v>
      </c>
      <c r="P334" s="16">
        <v>229.4128</v>
      </c>
      <c r="Q334" s="16">
        <v>257.527</v>
      </c>
      <c r="R334" s="16">
        <v>289.2501</v>
      </c>
      <c r="S334" s="16">
        <v>341.1964</v>
      </c>
      <c r="T334" s="16">
        <v>458.2746</v>
      </c>
      <c r="U334" s="16">
        <v>472.1857</v>
      </c>
      <c r="V334" s="16">
        <v>371.8112</v>
      </c>
      <c r="W334" s="16">
        <v>333.2365</v>
      </c>
      <c r="X334" s="16">
        <v>295.9785</v>
      </c>
      <c r="Y334" s="16">
        <v>266.1266</v>
      </c>
      <c r="Z334" s="26" t="s">
        <v>33</v>
      </c>
      <c r="AA334" s="25">
        <f t="shared" si="10"/>
        <v>8.9716</v>
      </c>
      <c r="AB334" s="25">
        <f t="shared" si="11"/>
        <v>268.819716666667</v>
      </c>
    </row>
    <row r="335" spans="1:28">
      <c r="A335" s="8">
        <v>45625</v>
      </c>
      <c r="B335" s="16">
        <v>301.8357</v>
      </c>
      <c r="C335" s="16">
        <v>288.3392</v>
      </c>
      <c r="D335" s="16">
        <v>278.6633</v>
      </c>
      <c r="E335" s="16">
        <v>271.7248</v>
      </c>
      <c r="F335" s="16">
        <v>265.7284</v>
      </c>
      <c r="G335" s="16">
        <v>268.3978</v>
      </c>
      <c r="H335" s="16">
        <v>292.3917</v>
      </c>
      <c r="I335" s="16">
        <v>315.4918</v>
      </c>
      <c r="J335" s="16">
        <v>322.3476</v>
      </c>
      <c r="K335" s="16">
        <v>312.8171</v>
      </c>
      <c r="L335" s="16">
        <v>273.8292</v>
      </c>
      <c r="M335" s="16">
        <v>220.775</v>
      </c>
      <c r="N335" s="16">
        <v>15.5709</v>
      </c>
      <c r="O335" s="16">
        <v>104.5082</v>
      </c>
      <c r="P335" s="16">
        <v>245.3304</v>
      </c>
      <c r="Q335" s="16">
        <v>290.5566</v>
      </c>
      <c r="R335" s="16">
        <v>334.4941</v>
      </c>
      <c r="S335" s="16">
        <v>392.2372</v>
      </c>
      <c r="T335" s="16">
        <v>519.92</v>
      </c>
      <c r="U335" s="16">
        <v>506.394</v>
      </c>
      <c r="V335" s="16">
        <v>447.1121</v>
      </c>
      <c r="W335" s="16">
        <v>403.9196</v>
      </c>
      <c r="X335" s="16">
        <v>357.3742</v>
      </c>
      <c r="Y335" s="16">
        <v>323.2353</v>
      </c>
      <c r="Z335" s="26" t="s">
        <v>34</v>
      </c>
      <c r="AA335" s="25">
        <f t="shared" si="10"/>
        <v>15.5709</v>
      </c>
      <c r="AB335" s="25">
        <f t="shared" si="11"/>
        <v>306.374758333333</v>
      </c>
    </row>
    <row r="336" spans="1:28">
      <c r="A336" s="8">
        <v>45626</v>
      </c>
      <c r="B336" s="16">
        <v>341.8656</v>
      </c>
      <c r="C336" s="16">
        <v>325.1186</v>
      </c>
      <c r="D336" s="16">
        <v>320.6117</v>
      </c>
      <c r="E336" s="16">
        <v>308.6391</v>
      </c>
      <c r="F336" s="16">
        <v>301.0762</v>
      </c>
      <c r="G336" s="16">
        <v>303.4578</v>
      </c>
      <c r="H336" s="16">
        <v>321.7528</v>
      </c>
      <c r="I336" s="16">
        <v>335.1762</v>
      </c>
      <c r="J336" s="16">
        <v>341.0756</v>
      </c>
      <c r="K336" s="16">
        <v>322.0853</v>
      </c>
      <c r="L336" s="16">
        <v>276.1489</v>
      </c>
      <c r="M336" s="16">
        <v>218.7129</v>
      </c>
      <c r="N336" s="16">
        <v>40.2753</v>
      </c>
      <c r="O336" s="16">
        <v>114.9828</v>
      </c>
      <c r="P336" s="16">
        <v>185.9201</v>
      </c>
      <c r="Q336" s="16">
        <v>265.4529</v>
      </c>
      <c r="R336" s="16">
        <v>337.016</v>
      </c>
      <c r="S336" s="16">
        <v>416.2534</v>
      </c>
      <c r="T336" s="16">
        <v>511.7477</v>
      </c>
      <c r="U336" s="16">
        <v>659.1838</v>
      </c>
      <c r="V336" s="16">
        <v>461.6127</v>
      </c>
      <c r="W336" s="16">
        <v>417.4602</v>
      </c>
      <c r="X336" s="16">
        <v>379.3554</v>
      </c>
      <c r="Y336" s="16">
        <v>334.0976</v>
      </c>
      <c r="Z336" s="26" t="s">
        <v>32</v>
      </c>
      <c r="AA336" s="25">
        <f t="shared" si="10"/>
        <v>40.2753</v>
      </c>
      <c r="AB336" s="25">
        <f t="shared" si="11"/>
        <v>326.628275</v>
      </c>
    </row>
    <row r="337" spans="1:28">
      <c r="A337" s="8">
        <v>45627</v>
      </c>
      <c r="B337" s="16">
        <v>434.9418</v>
      </c>
      <c r="C337" s="16">
        <v>428.885</v>
      </c>
      <c r="D337" s="16">
        <v>465.8946</v>
      </c>
      <c r="E337" s="16">
        <v>389.7696</v>
      </c>
      <c r="F337" s="16">
        <v>347.3528</v>
      </c>
      <c r="G337" s="16">
        <v>342.9245</v>
      </c>
      <c r="H337" s="16">
        <v>360.3542</v>
      </c>
      <c r="I337" s="16">
        <v>342.1939</v>
      </c>
      <c r="J337" s="16">
        <v>308.5043</v>
      </c>
      <c r="K337" s="16">
        <v>286.32</v>
      </c>
      <c r="L337" s="16">
        <v>3.175</v>
      </c>
      <c r="M337" s="16">
        <v>0</v>
      </c>
      <c r="N337" s="16">
        <v>1.1922</v>
      </c>
      <c r="O337" s="16">
        <v>0.8917</v>
      </c>
      <c r="P337" s="16">
        <v>0</v>
      </c>
      <c r="Q337" s="16">
        <v>136.28</v>
      </c>
      <c r="R337" s="16">
        <v>312.5562</v>
      </c>
      <c r="S337" s="16">
        <v>341.1136</v>
      </c>
      <c r="T337" s="16">
        <v>382.0599</v>
      </c>
      <c r="U337" s="16">
        <v>371.1683</v>
      </c>
      <c r="V337" s="16">
        <v>350.7106</v>
      </c>
      <c r="W337" s="16">
        <v>388.819</v>
      </c>
      <c r="X337" s="16">
        <v>371.0595</v>
      </c>
      <c r="Y337" s="16">
        <v>305.8812</v>
      </c>
      <c r="Z337" s="26" t="s">
        <v>32</v>
      </c>
      <c r="AA337" s="25">
        <f t="shared" si="10"/>
        <v>0</v>
      </c>
      <c r="AB337" s="25">
        <f t="shared" si="11"/>
        <v>278.001995833333</v>
      </c>
    </row>
    <row r="338" spans="1:28">
      <c r="A338" s="8">
        <v>45628</v>
      </c>
      <c r="B338" s="16">
        <v>319.2931</v>
      </c>
      <c r="C338" s="16">
        <v>323.3089</v>
      </c>
      <c r="D338" s="16">
        <v>322.2903</v>
      </c>
      <c r="E338" s="16">
        <v>313.288</v>
      </c>
      <c r="F338" s="16">
        <v>299.8679</v>
      </c>
      <c r="G338" s="16">
        <v>306.1154</v>
      </c>
      <c r="H338" s="16">
        <v>378.4812</v>
      </c>
      <c r="I338" s="16">
        <v>425.855</v>
      </c>
      <c r="J338" s="16">
        <v>573.5196</v>
      </c>
      <c r="K338" s="16">
        <v>486.5661</v>
      </c>
      <c r="L338" s="16">
        <v>326.1782</v>
      </c>
      <c r="M338" s="16">
        <v>293.0432</v>
      </c>
      <c r="N338" s="16">
        <v>0</v>
      </c>
      <c r="O338" s="16">
        <v>67.4635</v>
      </c>
      <c r="P338" s="16">
        <v>289.2809</v>
      </c>
      <c r="Q338" s="16">
        <v>305.2667</v>
      </c>
      <c r="R338" s="16">
        <v>343.7537</v>
      </c>
      <c r="S338" s="16">
        <v>350.9746</v>
      </c>
      <c r="T338" s="16">
        <v>374.861</v>
      </c>
      <c r="U338" s="16">
        <v>407.6467</v>
      </c>
      <c r="V338" s="16">
        <v>437.5537</v>
      </c>
      <c r="W338" s="16">
        <v>567.7418</v>
      </c>
      <c r="X338" s="16">
        <v>515.3038</v>
      </c>
      <c r="Y338" s="16">
        <v>312.7293</v>
      </c>
      <c r="Z338" s="26" t="s">
        <v>32</v>
      </c>
      <c r="AA338" s="25">
        <f t="shared" si="10"/>
        <v>0</v>
      </c>
      <c r="AB338" s="25">
        <f t="shared" si="11"/>
        <v>347.515941666667</v>
      </c>
    </row>
    <row r="339" spans="1:28">
      <c r="A339" s="8">
        <v>45629</v>
      </c>
      <c r="B339" s="16">
        <v>459.2259</v>
      </c>
      <c r="C339" s="16">
        <v>410.7416</v>
      </c>
      <c r="D339" s="16">
        <v>342.4249</v>
      </c>
      <c r="E339" s="16">
        <v>316.3286</v>
      </c>
      <c r="F339" s="16">
        <v>297.8499</v>
      </c>
      <c r="G339" s="16">
        <v>298.6767</v>
      </c>
      <c r="H339" s="16">
        <v>353.7158</v>
      </c>
      <c r="I339" s="16">
        <v>426.5011</v>
      </c>
      <c r="J339" s="16">
        <v>382.3776</v>
      </c>
      <c r="K339" s="16">
        <v>348.1726</v>
      </c>
      <c r="L339" s="16">
        <v>295.1077</v>
      </c>
      <c r="M339" s="16">
        <v>219.515</v>
      </c>
      <c r="N339" s="16">
        <v>0</v>
      </c>
      <c r="O339" s="16">
        <v>63.1563</v>
      </c>
      <c r="P339" s="16">
        <v>252.1561</v>
      </c>
      <c r="Q339" s="16">
        <v>280.6183</v>
      </c>
      <c r="R339" s="16">
        <v>324.9405</v>
      </c>
      <c r="S339" s="16">
        <v>320.6196</v>
      </c>
      <c r="T339" s="16">
        <v>411.2341</v>
      </c>
      <c r="U339" s="16">
        <v>431.6398</v>
      </c>
      <c r="V339" s="16">
        <v>425.1573</v>
      </c>
      <c r="W339" s="16">
        <v>475.7322</v>
      </c>
      <c r="X339" s="16">
        <v>383.6814</v>
      </c>
      <c r="Y339" s="16">
        <v>289.3743</v>
      </c>
      <c r="Z339" s="26" t="s">
        <v>32</v>
      </c>
      <c r="AA339" s="25">
        <f t="shared" si="10"/>
        <v>0</v>
      </c>
      <c r="AB339" s="25">
        <f t="shared" si="11"/>
        <v>325.372804166667</v>
      </c>
    </row>
    <row r="340" spans="1:28">
      <c r="A340" s="8">
        <v>45630</v>
      </c>
      <c r="B340" s="16">
        <v>335.9627</v>
      </c>
      <c r="C340" s="16">
        <v>349.7886</v>
      </c>
      <c r="D340" s="16">
        <v>380.6836</v>
      </c>
      <c r="E340" s="16">
        <v>339.8173</v>
      </c>
      <c r="F340" s="16">
        <v>316.4871</v>
      </c>
      <c r="G340" s="16">
        <v>321.5841</v>
      </c>
      <c r="H340" s="16">
        <v>377.8305</v>
      </c>
      <c r="I340" s="16">
        <v>409.7202</v>
      </c>
      <c r="J340" s="16">
        <v>392.2719</v>
      </c>
      <c r="K340" s="16">
        <v>369.9982</v>
      </c>
      <c r="L340" s="16">
        <v>307.5147</v>
      </c>
      <c r="M340" s="16">
        <v>286.8288</v>
      </c>
      <c r="N340" s="16">
        <v>23.3698</v>
      </c>
      <c r="O340" s="16">
        <v>124.5664</v>
      </c>
      <c r="P340" s="16">
        <v>279.2441</v>
      </c>
      <c r="Q340" s="16">
        <v>309.0931</v>
      </c>
      <c r="R340" s="16">
        <v>343.2582</v>
      </c>
      <c r="S340" s="16">
        <v>345.4119</v>
      </c>
      <c r="T340" s="16">
        <v>355.0561</v>
      </c>
      <c r="U340" s="16">
        <v>372.8521</v>
      </c>
      <c r="V340" s="16">
        <v>360.206</v>
      </c>
      <c r="W340" s="16">
        <v>375.5746</v>
      </c>
      <c r="X340" s="16">
        <v>341.5626</v>
      </c>
      <c r="Y340" s="16">
        <v>301.3516</v>
      </c>
      <c r="Z340" s="26" t="s">
        <v>32</v>
      </c>
      <c r="AA340" s="25">
        <f t="shared" si="10"/>
        <v>23.3698</v>
      </c>
      <c r="AB340" s="25">
        <f t="shared" si="11"/>
        <v>321.668091666667</v>
      </c>
    </row>
    <row r="341" spans="1:28">
      <c r="A341" s="8">
        <v>45631</v>
      </c>
      <c r="B341" s="16">
        <v>301.8014</v>
      </c>
      <c r="C341" s="16">
        <v>315.4147</v>
      </c>
      <c r="D341" s="16">
        <v>351.4164</v>
      </c>
      <c r="E341" s="16">
        <v>328.7515</v>
      </c>
      <c r="F341" s="16">
        <v>295.1508</v>
      </c>
      <c r="G341" s="16">
        <v>254.6672</v>
      </c>
      <c r="H341" s="16">
        <v>385.5548</v>
      </c>
      <c r="I341" s="16">
        <v>385.5009</v>
      </c>
      <c r="J341" s="16">
        <v>375.9258</v>
      </c>
      <c r="K341" s="16">
        <v>362.6209</v>
      </c>
      <c r="L341" s="16">
        <v>267.2871</v>
      </c>
      <c r="M341" s="16">
        <v>229.5593</v>
      </c>
      <c r="N341" s="16">
        <v>0</v>
      </c>
      <c r="O341" s="16">
        <v>79.9457</v>
      </c>
      <c r="P341" s="16">
        <v>245.0463</v>
      </c>
      <c r="Q341" s="16">
        <v>284.3623</v>
      </c>
      <c r="R341" s="16">
        <v>317.6121</v>
      </c>
      <c r="S341" s="16">
        <v>316.9992</v>
      </c>
      <c r="T341" s="16">
        <v>334.2191</v>
      </c>
      <c r="U341" s="16">
        <v>340.276</v>
      </c>
      <c r="V341" s="16">
        <v>339.6655</v>
      </c>
      <c r="W341" s="16">
        <v>348.812</v>
      </c>
      <c r="X341" s="16">
        <v>312.2771</v>
      </c>
      <c r="Y341" s="16">
        <v>264.4523</v>
      </c>
      <c r="Z341" s="26" t="s">
        <v>33</v>
      </c>
      <c r="AA341" s="25">
        <f t="shared" si="10"/>
        <v>0</v>
      </c>
      <c r="AB341" s="25">
        <f t="shared" si="11"/>
        <v>293.2216</v>
      </c>
    </row>
    <row r="342" spans="1:28">
      <c r="A342" s="8">
        <v>45632</v>
      </c>
      <c r="B342" s="16">
        <v>285.4407</v>
      </c>
      <c r="C342" s="16">
        <v>289.6618</v>
      </c>
      <c r="D342" s="16">
        <v>336.9488</v>
      </c>
      <c r="E342" s="16">
        <v>310.43</v>
      </c>
      <c r="F342" s="16">
        <v>279.4429</v>
      </c>
      <c r="G342" s="16">
        <v>277.6671</v>
      </c>
      <c r="H342" s="16">
        <v>342.0077</v>
      </c>
      <c r="I342" s="16">
        <v>392.1332</v>
      </c>
      <c r="J342" s="16">
        <v>523.0087</v>
      </c>
      <c r="K342" s="16">
        <v>530.4144</v>
      </c>
      <c r="L342" s="16">
        <v>344.9163</v>
      </c>
      <c r="M342" s="16">
        <v>290.5538</v>
      </c>
      <c r="N342" s="16">
        <v>210.2606</v>
      </c>
      <c r="O342" s="16">
        <v>254.2177</v>
      </c>
      <c r="P342" s="16">
        <v>307.8894</v>
      </c>
      <c r="Q342" s="16">
        <v>324.8003</v>
      </c>
      <c r="R342" s="16">
        <v>331.727</v>
      </c>
      <c r="S342" s="16">
        <v>334.5304</v>
      </c>
      <c r="T342" s="16">
        <v>363.3455</v>
      </c>
      <c r="U342" s="16">
        <v>386.5445</v>
      </c>
      <c r="V342" s="16">
        <v>391.9888</v>
      </c>
      <c r="W342" s="16">
        <v>416.301</v>
      </c>
      <c r="X342" s="16">
        <v>344.6587</v>
      </c>
      <c r="Y342" s="16">
        <v>283.1289</v>
      </c>
      <c r="Z342" s="26" t="s">
        <v>34</v>
      </c>
      <c r="AA342" s="25">
        <f t="shared" si="10"/>
        <v>210.2606</v>
      </c>
      <c r="AB342" s="25">
        <f t="shared" si="11"/>
        <v>339.667425</v>
      </c>
    </row>
    <row r="343" spans="1:28">
      <c r="A343" s="8">
        <v>45633</v>
      </c>
      <c r="B343" s="16">
        <v>299.8843</v>
      </c>
      <c r="C343" s="16">
        <v>306.6489</v>
      </c>
      <c r="D343" s="16">
        <v>351.0025</v>
      </c>
      <c r="E343" s="16">
        <v>327.2278</v>
      </c>
      <c r="F343" s="16">
        <v>300.3803</v>
      </c>
      <c r="G343" s="16">
        <v>297.3962</v>
      </c>
      <c r="H343" s="16">
        <v>325.3981</v>
      </c>
      <c r="I343" s="16">
        <v>365.5846</v>
      </c>
      <c r="J343" s="16">
        <v>436.84</v>
      </c>
      <c r="K343" s="16">
        <v>425.2967</v>
      </c>
      <c r="L343" s="16">
        <v>334.3995</v>
      </c>
      <c r="M343" s="16">
        <v>306.4484</v>
      </c>
      <c r="N343" s="16">
        <v>248.3109</v>
      </c>
      <c r="O343" s="16">
        <v>288.3449</v>
      </c>
      <c r="P343" s="16">
        <v>339.6081</v>
      </c>
      <c r="Q343" s="16">
        <v>359.2079</v>
      </c>
      <c r="R343" s="16">
        <v>343.3545</v>
      </c>
      <c r="S343" s="16">
        <v>340.1327</v>
      </c>
      <c r="T343" s="16">
        <v>372.9763</v>
      </c>
      <c r="U343" s="16">
        <v>367.8055</v>
      </c>
      <c r="V343" s="16">
        <v>364.0463</v>
      </c>
      <c r="W343" s="16">
        <v>368.9545</v>
      </c>
      <c r="X343" s="16">
        <v>332.749</v>
      </c>
      <c r="Y343" s="16">
        <v>281.4725</v>
      </c>
      <c r="Z343" s="26" t="s">
        <v>32</v>
      </c>
      <c r="AA343" s="25">
        <f t="shared" si="10"/>
        <v>248.3109</v>
      </c>
      <c r="AB343" s="25">
        <f t="shared" si="11"/>
        <v>336.811266666667</v>
      </c>
    </row>
    <row r="344" spans="1:28">
      <c r="A344" s="8">
        <v>45634</v>
      </c>
      <c r="B344" s="16">
        <v>410.3747</v>
      </c>
      <c r="C344" s="16">
        <v>322.5126</v>
      </c>
      <c r="D344" s="16">
        <v>322.6673</v>
      </c>
      <c r="E344" s="16">
        <v>269.6215</v>
      </c>
      <c r="F344" s="16">
        <v>203.923</v>
      </c>
      <c r="G344" s="16">
        <v>199.4891</v>
      </c>
      <c r="H344" s="16">
        <v>252.959</v>
      </c>
      <c r="I344" s="16">
        <v>301.7623</v>
      </c>
      <c r="J344" s="16">
        <v>226.082</v>
      </c>
      <c r="K344" s="16">
        <v>191.9035</v>
      </c>
      <c r="L344" s="16">
        <v>102.656</v>
      </c>
      <c r="M344" s="16">
        <v>23.0412</v>
      </c>
      <c r="N344" s="16">
        <v>22.2197</v>
      </c>
      <c r="O344" s="16">
        <v>60.4891</v>
      </c>
      <c r="P344" s="16">
        <v>84.7249</v>
      </c>
      <c r="Q344" s="16">
        <v>225.9023</v>
      </c>
      <c r="R344" s="16">
        <v>261.1615</v>
      </c>
      <c r="S344" s="16">
        <v>297.3552</v>
      </c>
      <c r="T344" s="16">
        <v>337.9301</v>
      </c>
      <c r="U344" s="16">
        <v>336.5398</v>
      </c>
      <c r="V344" s="16">
        <v>340.9372</v>
      </c>
      <c r="W344" s="16">
        <v>342.4126</v>
      </c>
      <c r="X344" s="16">
        <v>300.6153</v>
      </c>
      <c r="Y344" s="16">
        <v>269.3505</v>
      </c>
      <c r="Z344" s="26" t="s">
        <v>32</v>
      </c>
      <c r="AA344" s="25">
        <f t="shared" si="10"/>
        <v>22.2197</v>
      </c>
      <c r="AB344" s="25">
        <f t="shared" si="11"/>
        <v>237.776266666667</v>
      </c>
    </row>
    <row r="345" spans="1:28">
      <c r="A345" s="8">
        <v>45635</v>
      </c>
      <c r="B345" s="16">
        <v>287.3744</v>
      </c>
      <c r="C345" s="16">
        <v>282.5288</v>
      </c>
      <c r="D345" s="16">
        <v>281.5664</v>
      </c>
      <c r="E345" s="16">
        <v>261.5751</v>
      </c>
      <c r="F345" s="16">
        <v>245.6675</v>
      </c>
      <c r="G345" s="16">
        <v>246.318</v>
      </c>
      <c r="H345" s="16">
        <v>288.0691</v>
      </c>
      <c r="I345" s="16">
        <v>322.8111</v>
      </c>
      <c r="J345" s="16">
        <v>428.9823</v>
      </c>
      <c r="K345" s="16">
        <v>462.33</v>
      </c>
      <c r="L345" s="16">
        <v>366.1668</v>
      </c>
      <c r="M345" s="16">
        <v>298.0246</v>
      </c>
      <c r="N345" s="16">
        <v>143.2253</v>
      </c>
      <c r="O345" s="16">
        <v>200.0959</v>
      </c>
      <c r="P345" s="16">
        <v>259.5467</v>
      </c>
      <c r="Q345" s="16">
        <v>270.8984</v>
      </c>
      <c r="R345" s="16">
        <v>325.6801</v>
      </c>
      <c r="S345" s="16">
        <v>361.2613</v>
      </c>
      <c r="T345" s="16">
        <v>386.8273</v>
      </c>
      <c r="U345" s="16">
        <v>390.7339</v>
      </c>
      <c r="V345" s="16">
        <v>391.2285</v>
      </c>
      <c r="W345" s="16">
        <v>383.6246</v>
      </c>
      <c r="X345" s="16">
        <v>341.2696</v>
      </c>
      <c r="Y345" s="16">
        <v>270.2443</v>
      </c>
      <c r="Z345" s="26" t="s">
        <v>32</v>
      </c>
      <c r="AA345" s="25">
        <f t="shared" si="10"/>
        <v>143.2253</v>
      </c>
      <c r="AB345" s="25">
        <f t="shared" si="11"/>
        <v>312.335416666667</v>
      </c>
    </row>
    <row r="346" spans="1:28">
      <c r="A346" s="8">
        <v>45636</v>
      </c>
      <c r="B346" s="16">
        <v>450.1034</v>
      </c>
      <c r="C346" s="16">
        <v>378.2679</v>
      </c>
      <c r="D346" s="16">
        <v>388.4342</v>
      </c>
      <c r="E346" s="16">
        <v>352.9452</v>
      </c>
      <c r="F346" s="16">
        <v>316.5151</v>
      </c>
      <c r="G346" s="16">
        <v>315.4248</v>
      </c>
      <c r="H346" s="16">
        <v>426.6782</v>
      </c>
      <c r="I346" s="16">
        <v>482.3957</v>
      </c>
      <c r="J346" s="16">
        <v>452.7196</v>
      </c>
      <c r="K346" s="16">
        <v>461.7406</v>
      </c>
      <c r="L346" s="16">
        <v>371.9972</v>
      </c>
      <c r="M346" s="16">
        <v>330.7026</v>
      </c>
      <c r="N346" s="16">
        <v>209.2324</v>
      </c>
      <c r="O346" s="16">
        <v>255.1196</v>
      </c>
      <c r="P346" s="16">
        <v>298.1101</v>
      </c>
      <c r="Q346" s="16">
        <v>334.904</v>
      </c>
      <c r="R346" s="16">
        <v>376.8833</v>
      </c>
      <c r="S346" s="16">
        <v>388.7307</v>
      </c>
      <c r="T346" s="16">
        <v>417.1161</v>
      </c>
      <c r="U346" s="16">
        <v>416.899</v>
      </c>
      <c r="V346" s="16">
        <v>401.093</v>
      </c>
      <c r="W346" s="16">
        <v>417.3145</v>
      </c>
      <c r="X346" s="16">
        <v>400.8257</v>
      </c>
      <c r="Y346" s="16">
        <v>308.4735</v>
      </c>
      <c r="Z346" s="26" t="s">
        <v>32</v>
      </c>
      <c r="AA346" s="25">
        <f t="shared" si="10"/>
        <v>209.2324</v>
      </c>
      <c r="AB346" s="25">
        <f t="shared" si="11"/>
        <v>373.0261</v>
      </c>
    </row>
    <row r="347" spans="1:28">
      <c r="A347" s="8">
        <v>45637</v>
      </c>
      <c r="B347" s="16">
        <v>319.4129</v>
      </c>
      <c r="C347" s="16">
        <v>332.4747</v>
      </c>
      <c r="D347" s="16">
        <v>356.4224</v>
      </c>
      <c r="E347" s="16">
        <v>346.5086</v>
      </c>
      <c r="F347" s="16">
        <v>319.1634</v>
      </c>
      <c r="G347" s="16">
        <v>319.7702</v>
      </c>
      <c r="H347" s="16">
        <v>415.0938</v>
      </c>
      <c r="I347" s="16">
        <v>418.8537</v>
      </c>
      <c r="J347" s="16">
        <v>444.5493</v>
      </c>
      <c r="K347" s="16">
        <v>487.8412</v>
      </c>
      <c r="L347" s="16">
        <v>378.5059</v>
      </c>
      <c r="M347" s="16">
        <v>346.6138</v>
      </c>
      <c r="N347" s="16">
        <v>252.5705</v>
      </c>
      <c r="O347" s="16">
        <v>279.0497</v>
      </c>
      <c r="P347" s="16">
        <v>308.2519</v>
      </c>
      <c r="Q347" s="16">
        <v>342.7078</v>
      </c>
      <c r="R347" s="16">
        <v>372.2229</v>
      </c>
      <c r="S347" s="16">
        <v>390.6024</v>
      </c>
      <c r="T347" s="16">
        <v>413.4903</v>
      </c>
      <c r="U347" s="16">
        <v>431.5104</v>
      </c>
      <c r="V347" s="16">
        <v>398.0852</v>
      </c>
      <c r="W347" s="16">
        <v>427.7915</v>
      </c>
      <c r="X347" s="16">
        <v>428.4698</v>
      </c>
      <c r="Y347" s="16">
        <v>321.2601</v>
      </c>
      <c r="Z347" s="26" t="s">
        <v>32</v>
      </c>
      <c r="AA347" s="25">
        <f t="shared" si="10"/>
        <v>252.5705</v>
      </c>
      <c r="AB347" s="25">
        <f t="shared" si="11"/>
        <v>368.800933333333</v>
      </c>
    </row>
    <row r="348" spans="1:28">
      <c r="A348" s="8">
        <v>45638</v>
      </c>
      <c r="B348" s="16">
        <v>326.2879</v>
      </c>
      <c r="C348" s="16">
        <v>321.9656</v>
      </c>
      <c r="D348" s="16">
        <v>306.5065</v>
      </c>
      <c r="E348" s="16">
        <v>300.8687</v>
      </c>
      <c r="F348" s="16">
        <v>285.232</v>
      </c>
      <c r="G348" s="16">
        <v>287.4963</v>
      </c>
      <c r="H348" s="16">
        <v>352.8065</v>
      </c>
      <c r="I348" s="16">
        <v>339.5544</v>
      </c>
      <c r="J348" s="16">
        <v>358.3285</v>
      </c>
      <c r="K348" s="16">
        <v>365.5834</v>
      </c>
      <c r="L348" s="16">
        <v>305.9382</v>
      </c>
      <c r="M348" s="16">
        <v>302.751</v>
      </c>
      <c r="N348" s="16">
        <v>26.6394</v>
      </c>
      <c r="O348" s="16">
        <v>123.5234</v>
      </c>
      <c r="P348" s="16">
        <v>263.2164</v>
      </c>
      <c r="Q348" s="16">
        <v>306.3232</v>
      </c>
      <c r="R348" s="16">
        <v>348.9658</v>
      </c>
      <c r="S348" s="16">
        <v>369.0459</v>
      </c>
      <c r="T348" s="16">
        <v>380.9536</v>
      </c>
      <c r="U348" s="16">
        <v>400.776</v>
      </c>
      <c r="V348" s="16">
        <v>371.9667</v>
      </c>
      <c r="W348" s="16">
        <v>405.0468</v>
      </c>
      <c r="X348" s="16">
        <v>383.8625</v>
      </c>
      <c r="Y348" s="16">
        <v>304.3703</v>
      </c>
      <c r="Z348" s="26" t="s">
        <v>33</v>
      </c>
      <c r="AA348" s="25">
        <f t="shared" si="10"/>
        <v>26.6394</v>
      </c>
      <c r="AB348" s="25">
        <f t="shared" si="11"/>
        <v>314.083708333333</v>
      </c>
    </row>
    <row r="349" spans="1:28">
      <c r="A349" s="8">
        <v>45639</v>
      </c>
      <c r="B349" s="16">
        <v>316.2336</v>
      </c>
      <c r="C349" s="16">
        <v>326.6845</v>
      </c>
      <c r="D349" s="16">
        <v>289.9052</v>
      </c>
      <c r="E349" s="16">
        <v>277.3676</v>
      </c>
      <c r="F349" s="16">
        <v>258.7487</v>
      </c>
      <c r="G349" s="16">
        <v>261.1117</v>
      </c>
      <c r="H349" s="16">
        <v>330.469</v>
      </c>
      <c r="I349" s="16">
        <v>368.1108</v>
      </c>
      <c r="J349" s="16">
        <v>379.0312</v>
      </c>
      <c r="K349" s="16">
        <v>419.6614</v>
      </c>
      <c r="L349" s="16">
        <v>361.9969</v>
      </c>
      <c r="M349" s="16">
        <v>352.2278</v>
      </c>
      <c r="N349" s="16">
        <v>276.468</v>
      </c>
      <c r="O349" s="16">
        <v>289.7528</v>
      </c>
      <c r="P349" s="16">
        <v>321.156</v>
      </c>
      <c r="Q349" s="16">
        <v>347.7813</v>
      </c>
      <c r="R349" s="16">
        <v>380.9846</v>
      </c>
      <c r="S349" s="16">
        <v>398.6537</v>
      </c>
      <c r="T349" s="16">
        <v>395.0071</v>
      </c>
      <c r="U349" s="16">
        <v>403.8103</v>
      </c>
      <c r="V349" s="16">
        <v>388.8373</v>
      </c>
      <c r="W349" s="16">
        <v>407.4876</v>
      </c>
      <c r="X349" s="16">
        <v>369.6355</v>
      </c>
      <c r="Y349" s="16">
        <v>289.7512</v>
      </c>
      <c r="Z349" s="26" t="s">
        <v>34</v>
      </c>
      <c r="AA349" s="25">
        <f t="shared" si="10"/>
        <v>258.7487</v>
      </c>
      <c r="AB349" s="25">
        <f t="shared" si="11"/>
        <v>342.119741666667</v>
      </c>
    </row>
    <row r="350" spans="1:28">
      <c r="A350" s="8">
        <v>45640</v>
      </c>
      <c r="B350" s="16">
        <v>314.9613</v>
      </c>
      <c r="C350" s="16">
        <v>281.9712</v>
      </c>
      <c r="D350" s="16">
        <v>264.752</v>
      </c>
      <c r="E350" s="16">
        <v>251.4871</v>
      </c>
      <c r="F350" s="16">
        <v>225.2457</v>
      </c>
      <c r="G350" s="16">
        <v>207.2354</v>
      </c>
      <c r="H350" s="16">
        <v>250.2338</v>
      </c>
      <c r="I350" s="16">
        <v>257.6999</v>
      </c>
      <c r="J350" s="16">
        <v>297.4895</v>
      </c>
      <c r="K350" s="16">
        <v>310.2257</v>
      </c>
      <c r="L350" s="16">
        <v>271.7403</v>
      </c>
      <c r="M350" s="16">
        <v>267.8791</v>
      </c>
      <c r="N350" s="16">
        <v>136.9368</v>
      </c>
      <c r="O350" s="16">
        <v>186.9991</v>
      </c>
      <c r="P350" s="16">
        <v>267.6622</v>
      </c>
      <c r="Q350" s="16">
        <v>282.4186</v>
      </c>
      <c r="R350" s="16">
        <v>319.5967</v>
      </c>
      <c r="S350" s="16">
        <v>374.3558</v>
      </c>
      <c r="T350" s="16">
        <v>376.2875</v>
      </c>
      <c r="U350" s="16">
        <v>376.4301</v>
      </c>
      <c r="V350" s="16">
        <v>359.7455</v>
      </c>
      <c r="W350" s="16">
        <v>367.0526</v>
      </c>
      <c r="X350" s="16">
        <v>351.834</v>
      </c>
      <c r="Y350" s="16">
        <v>292.1078</v>
      </c>
      <c r="Z350" s="26" t="s">
        <v>32</v>
      </c>
      <c r="AA350" s="25">
        <f t="shared" si="10"/>
        <v>136.9368</v>
      </c>
      <c r="AB350" s="25">
        <f t="shared" si="11"/>
        <v>287.181154166667</v>
      </c>
    </row>
    <row r="351" spans="1:28">
      <c r="A351" s="8">
        <v>45641</v>
      </c>
      <c r="B351" s="16">
        <v>361.1742</v>
      </c>
      <c r="C351" s="16">
        <v>346.0438</v>
      </c>
      <c r="D351" s="16">
        <v>325.1742</v>
      </c>
      <c r="E351" s="16">
        <v>306.0943</v>
      </c>
      <c r="F351" s="16">
        <v>284.8333</v>
      </c>
      <c r="G351" s="16">
        <v>281.4162</v>
      </c>
      <c r="H351" s="16">
        <v>305.2579</v>
      </c>
      <c r="I351" s="16">
        <v>290.7426</v>
      </c>
      <c r="J351" s="16">
        <v>291.2123</v>
      </c>
      <c r="K351" s="16">
        <v>272.1124</v>
      </c>
      <c r="L351" s="16">
        <v>241.973</v>
      </c>
      <c r="M351" s="16">
        <v>242.759</v>
      </c>
      <c r="N351" s="16">
        <v>21.2218</v>
      </c>
      <c r="O351" s="16">
        <v>158.3113</v>
      </c>
      <c r="P351" s="16">
        <v>257.7919</v>
      </c>
      <c r="Q351" s="16">
        <v>273.5902</v>
      </c>
      <c r="R351" s="16">
        <v>344.1356</v>
      </c>
      <c r="S351" s="16">
        <v>380.1124</v>
      </c>
      <c r="T351" s="16">
        <v>375.761</v>
      </c>
      <c r="U351" s="16">
        <v>379.5839</v>
      </c>
      <c r="V351" s="16">
        <v>377.8162</v>
      </c>
      <c r="W351" s="16">
        <v>381.5299</v>
      </c>
      <c r="X351" s="16">
        <v>406.7792</v>
      </c>
      <c r="Y351" s="16">
        <v>323.9668</v>
      </c>
      <c r="Z351" s="26" t="s">
        <v>32</v>
      </c>
      <c r="AA351" s="25">
        <f t="shared" si="10"/>
        <v>21.2218</v>
      </c>
      <c r="AB351" s="25">
        <f t="shared" si="11"/>
        <v>301.224725</v>
      </c>
    </row>
    <row r="352" spans="1:28">
      <c r="A352" s="8">
        <v>45642</v>
      </c>
      <c r="B352" s="16">
        <v>316.7751</v>
      </c>
      <c r="C352" s="16">
        <v>311.4834</v>
      </c>
      <c r="D352" s="16">
        <v>285.7149</v>
      </c>
      <c r="E352" s="16">
        <v>268.43</v>
      </c>
      <c r="F352" s="16">
        <v>255.3367</v>
      </c>
      <c r="G352" s="16">
        <v>256.9095</v>
      </c>
      <c r="H352" s="16">
        <v>300.8283</v>
      </c>
      <c r="I352" s="16">
        <v>343.2457</v>
      </c>
      <c r="J352" s="16">
        <v>437.3003</v>
      </c>
      <c r="K352" s="16">
        <v>468.2404</v>
      </c>
      <c r="L352" s="16">
        <v>404.4175</v>
      </c>
      <c r="M352" s="16">
        <v>366.6023</v>
      </c>
      <c r="N352" s="16">
        <v>80.3571</v>
      </c>
      <c r="O352" s="16">
        <v>152.1821</v>
      </c>
      <c r="P352" s="16">
        <v>272.3235</v>
      </c>
      <c r="Q352" s="16">
        <v>337.5839</v>
      </c>
      <c r="R352" s="16">
        <v>395.7315</v>
      </c>
      <c r="S352" s="16">
        <v>423.4305</v>
      </c>
      <c r="T352" s="16">
        <v>421.1091</v>
      </c>
      <c r="U352" s="16">
        <v>423.0661</v>
      </c>
      <c r="V352" s="16">
        <v>412.5272</v>
      </c>
      <c r="W352" s="16">
        <v>398.9869</v>
      </c>
      <c r="X352" s="16">
        <v>381.9901</v>
      </c>
      <c r="Y352" s="16">
        <v>304.6159</v>
      </c>
      <c r="Z352" s="26" t="s">
        <v>32</v>
      </c>
      <c r="AA352" s="25">
        <f t="shared" si="10"/>
        <v>80.3571</v>
      </c>
      <c r="AB352" s="25">
        <f t="shared" si="11"/>
        <v>334.132833333333</v>
      </c>
    </row>
    <row r="353" spans="1:28">
      <c r="A353" s="8">
        <v>45643</v>
      </c>
      <c r="B353" s="16">
        <v>321.855</v>
      </c>
      <c r="C353" s="16">
        <v>299.6322</v>
      </c>
      <c r="D353" s="16">
        <v>289.6291</v>
      </c>
      <c r="E353" s="16">
        <v>276.7301</v>
      </c>
      <c r="F353" s="16">
        <v>266.8857</v>
      </c>
      <c r="G353" s="16">
        <v>271.3119</v>
      </c>
      <c r="H353" s="16">
        <v>306.2035</v>
      </c>
      <c r="I353" s="16">
        <v>329.1732</v>
      </c>
      <c r="J353" s="16">
        <v>357.3655</v>
      </c>
      <c r="K353" s="16">
        <v>329.2113</v>
      </c>
      <c r="L353" s="16">
        <v>285.2937</v>
      </c>
      <c r="M353" s="16">
        <v>271.18</v>
      </c>
      <c r="N353" s="16">
        <v>132.7922</v>
      </c>
      <c r="O353" s="16">
        <v>196.4346</v>
      </c>
      <c r="P353" s="16">
        <v>266.8124</v>
      </c>
      <c r="Q353" s="16">
        <v>298.076</v>
      </c>
      <c r="R353" s="16">
        <v>361.7892</v>
      </c>
      <c r="S353" s="16">
        <v>378.1163</v>
      </c>
      <c r="T353" s="16">
        <v>385.8275</v>
      </c>
      <c r="U353" s="16">
        <v>381.3311</v>
      </c>
      <c r="V353" s="16">
        <v>366.9943</v>
      </c>
      <c r="W353" s="16">
        <v>367.4867</v>
      </c>
      <c r="X353" s="16">
        <v>347.9182</v>
      </c>
      <c r="Y353" s="16">
        <v>296.8159</v>
      </c>
      <c r="Z353" s="26" t="s">
        <v>32</v>
      </c>
      <c r="AA353" s="25">
        <f t="shared" si="10"/>
        <v>132.7922</v>
      </c>
      <c r="AB353" s="25">
        <f t="shared" si="11"/>
        <v>307.702733333333</v>
      </c>
    </row>
    <row r="354" spans="1:28">
      <c r="A354" s="8">
        <v>45644</v>
      </c>
      <c r="B354" s="16">
        <v>293.3819</v>
      </c>
      <c r="C354" s="16">
        <v>275.9828</v>
      </c>
      <c r="D354" s="16">
        <v>268.1753</v>
      </c>
      <c r="E354" s="16">
        <v>263.7854</v>
      </c>
      <c r="F354" s="16">
        <v>248.9533</v>
      </c>
      <c r="G354" s="16">
        <v>246.595</v>
      </c>
      <c r="H354" s="16">
        <v>278.2517</v>
      </c>
      <c r="I354" s="16">
        <v>320.1075</v>
      </c>
      <c r="J354" s="16">
        <v>368.3351</v>
      </c>
      <c r="K354" s="16">
        <v>359.1955</v>
      </c>
      <c r="L354" s="16">
        <v>283.105</v>
      </c>
      <c r="M354" s="16">
        <v>270.4204</v>
      </c>
      <c r="N354" s="16">
        <v>42.1318</v>
      </c>
      <c r="O354" s="16">
        <v>104.2408</v>
      </c>
      <c r="P354" s="16">
        <v>258.0309</v>
      </c>
      <c r="Q354" s="16">
        <v>310.1897</v>
      </c>
      <c r="R354" s="16">
        <v>351.7671</v>
      </c>
      <c r="S354" s="16">
        <v>343.9847</v>
      </c>
      <c r="T354" s="16">
        <v>341.98</v>
      </c>
      <c r="U354" s="16">
        <v>363.4575</v>
      </c>
      <c r="V354" s="16">
        <v>348.1392</v>
      </c>
      <c r="W354" s="16">
        <v>332.2582</v>
      </c>
      <c r="X354" s="16">
        <v>319.0268</v>
      </c>
      <c r="Y354" s="16">
        <v>272.6937</v>
      </c>
      <c r="Z354" s="26" t="s">
        <v>32</v>
      </c>
      <c r="AA354" s="25">
        <f t="shared" si="10"/>
        <v>42.1318</v>
      </c>
      <c r="AB354" s="25">
        <f t="shared" si="11"/>
        <v>286.0078875</v>
      </c>
    </row>
    <row r="355" spans="1:28">
      <c r="A355" s="8">
        <v>45645</v>
      </c>
      <c r="B355" s="16">
        <v>264.224</v>
      </c>
      <c r="C355" s="16">
        <v>271.9287</v>
      </c>
      <c r="D355" s="16">
        <v>259.9642</v>
      </c>
      <c r="E355" s="16">
        <v>229.3192</v>
      </c>
      <c r="F355" s="16">
        <v>131.9329</v>
      </c>
      <c r="G355" s="16">
        <v>170.269</v>
      </c>
      <c r="H355" s="16">
        <v>278.9295</v>
      </c>
      <c r="I355" s="16">
        <v>324.6644</v>
      </c>
      <c r="J355" s="16">
        <v>326.3765</v>
      </c>
      <c r="K355" s="16">
        <v>330.8276</v>
      </c>
      <c r="L355" s="16">
        <v>261.5001</v>
      </c>
      <c r="M355" s="16">
        <v>247.5191</v>
      </c>
      <c r="N355" s="16">
        <v>82.6699</v>
      </c>
      <c r="O355" s="16">
        <v>161.4056</v>
      </c>
      <c r="P355" s="16">
        <v>286.2992</v>
      </c>
      <c r="Q355" s="16">
        <v>313.3246</v>
      </c>
      <c r="R355" s="16">
        <v>368.8956</v>
      </c>
      <c r="S355" s="16">
        <v>362.059</v>
      </c>
      <c r="T355" s="16">
        <v>360.8495</v>
      </c>
      <c r="U355" s="16">
        <v>363.1813</v>
      </c>
      <c r="V355" s="16">
        <v>359.7951</v>
      </c>
      <c r="W355" s="16">
        <v>350.6343</v>
      </c>
      <c r="X355" s="16">
        <v>352.9886</v>
      </c>
      <c r="Y355" s="16">
        <v>303.6731</v>
      </c>
      <c r="Z355" s="26" t="s">
        <v>33</v>
      </c>
      <c r="AA355" s="25">
        <f t="shared" si="10"/>
        <v>82.6699</v>
      </c>
      <c r="AB355" s="25">
        <f t="shared" si="11"/>
        <v>281.801291666667</v>
      </c>
    </row>
    <row r="356" spans="1:28">
      <c r="A356" s="8">
        <v>45646</v>
      </c>
      <c r="B356" s="16">
        <v>332.7552</v>
      </c>
      <c r="C356" s="16">
        <v>315.2882</v>
      </c>
      <c r="D356" s="16">
        <v>310.3431</v>
      </c>
      <c r="E356" s="16">
        <v>302.2249</v>
      </c>
      <c r="F356" s="16">
        <v>286.6381</v>
      </c>
      <c r="G356" s="16">
        <v>286.8146</v>
      </c>
      <c r="H356" s="16">
        <v>329.5525</v>
      </c>
      <c r="I356" s="16">
        <v>370.2298</v>
      </c>
      <c r="J356" s="16">
        <v>392.0973</v>
      </c>
      <c r="K356" s="16">
        <v>403.4881</v>
      </c>
      <c r="L356" s="16">
        <v>332.1709</v>
      </c>
      <c r="M356" s="16">
        <v>255.176</v>
      </c>
      <c r="N356" s="16">
        <v>142.7534</v>
      </c>
      <c r="O356" s="16">
        <v>182.5485</v>
      </c>
      <c r="P356" s="16">
        <v>296.2031</v>
      </c>
      <c r="Q356" s="16">
        <v>329.6641</v>
      </c>
      <c r="R356" s="16">
        <v>398.8461</v>
      </c>
      <c r="S356" s="16">
        <v>378.7029</v>
      </c>
      <c r="T356" s="16">
        <v>384.4019</v>
      </c>
      <c r="U356" s="16">
        <v>413.6964</v>
      </c>
      <c r="V356" s="16">
        <v>398.403</v>
      </c>
      <c r="W356" s="16">
        <v>387.3907</v>
      </c>
      <c r="X356" s="16">
        <v>378.1702</v>
      </c>
      <c r="Y356" s="16">
        <v>323.4252</v>
      </c>
      <c r="Z356" s="26" t="s">
        <v>34</v>
      </c>
      <c r="AA356" s="25">
        <f t="shared" si="10"/>
        <v>142.7534</v>
      </c>
      <c r="AB356" s="25">
        <f t="shared" si="11"/>
        <v>330.457675</v>
      </c>
    </row>
    <row r="357" spans="1:28">
      <c r="A357" s="8">
        <v>45647</v>
      </c>
      <c r="B357" s="16">
        <v>413.439</v>
      </c>
      <c r="C357" s="16">
        <v>373.3296</v>
      </c>
      <c r="D357" s="16">
        <v>366.0306</v>
      </c>
      <c r="E357" s="16">
        <v>337.3137</v>
      </c>
      <c r="F357" s="16">
        <v>325.2283</v>
      </c>
      <c r="G357" s="16">
        <v>319.3654</v>
      </c>
      <c r="H357" s="16">
        <v>336.4162</v>
      </c>
      <c r="I357" s="16">
        <v>358.3788</v>
      </c>
      <c r="J357" s="16">
        <v>360.1877</v>
      </c>
      <c r="K357" s="16">
        <v>346.6416</v>
      </c>
      <c r="L357" s="16">
        <v>314.9993</v>
      </c>
      <c r="M357" s="16">
        <v>259.0446</v>
      </c>
      <c r="N357" s="16">
        <v>83.8295</v>
      </c>
      <c r="O357" s="16">
        <v>181.5721</v>
      </c>
      <c r="P357" s="16">
        <v>286.2275</v>
      </c>
      <c r="Q357" s="16">
        <v>322.1318</v>
      </c>
      <c r="R357" s="16">
        <v>374.9011</v>
      </c>
      <c r="S357" s="16">
        <v>379.6584</v>
      </c>
      <c r="T357" s="16">
        <v>382.6641</v>
      </c>
      <c r="U357" s="16">
        <v>378.4186</v>
      </c>
      <c r="V357" s="16">
        <v>354.6446</v>
      </c>
      <c r="W357" s="16">
        <v>354.805</v>
      </c>
      <c r="X357" s="16">
        <v>347.1545</v>
      </c>
      <c r="Y357" s="16">
        <v>289.4504</v>
      </c>
      <c r="Z357" s="26" t="s">
        <v>32</v>
      </c>
      <c r="AA357" s="25">
        <f t="shared" si="10"/>
        <v>83.8295</v>
      </c>
      <c r="AB357" s="25">
        <f t="shared" si="11"/>
        <v>326.909683333333</v>
      </c>
    </row>
    <row r="358" spans="1:28">
      <c r="A358" s="8">
        <v>45648</v>
      </c>
      <c r="B358" s="16">
        <v>360.1856</v>
      </c>
      <c r="C358" s="16">
        <v>318.4215</v>
      </c>
      <c r="D358" s="16">
        <v>299.2966</v>
      </c>
      <c r="E358" s="16">
        <v>281.9385</v>
      </c>
      <c r="F358" s="16">
        <v>266.6497</v>
      </c>
      <c r="G358" s="16">
        <v>258.3745</v>
      </c>
      <c r="H358" s="16">
        <v>261.8556</v>
      </c>
      <c r="I358" s="16">
        <v>275.3846</v>
      </c>
      <c r="J358" s="16">
        <v>255.3318</v>
      </c>
      <c r="K358" s="16">
        <v>161.0491</v>
      </c>
      <c r="L358" s="16">
        <v>67.7997</v>
      </c>
      <c r="M358" s="16">
        <v>17.9603</v>
      </c>
      <c r="N358" s="16">
        <v>0</v>
      </c>
      <c r="O358" s="16">
        <v>23.6433</v>
      </c>
      <c r="P358" s="16">
        <v>9.9649</v>
      </c>
      <c r="Q358" s="16">
        <v>223.8247</v>
      </c>
      <c r="R358" s="16">
        <v>304.1732</v>
      </c>
      <c r="S358" s="16">
        <v>332.2763</v>
      </c>
      <c r="T358" s="16">
        <v>340.0071</v>
      </c>
      <c r="U358" s="16">
        <v>338.8147</v>
      </c>
      <c r="V358" s="16">
        <v>357.1618</v>
      </c>
      <c r="W358" s="16">
        <v>360.6848</v>
      </c>
      <c r="X358" s="16">
        <v>332.8261</v>
      </c>
      <c r="Y358" s="16">
        <v>289.7626</v>
      </c>
      <c r="Z358" s="26" t="s">
        <v>32</v>
      </c>
      <c r="AA358" s="25">
        <f t="shared" si="10"/>
        <v>0</v>
      </c>
      <c r="AB358" s="25">
        <f t="shared" si="11"/>
        <v>239.057791666667</v>
      </c>
    </row>
    <row r="359" spans="1:28">
      <c r="A359" s="8">
        <v>45649</v>
      </c>
      <c r="B359" s="28">
        <v>270.96</v>
      </c>
      <c r="C359" s="28">
        <v>250.68</v>
      </c>
      <c r="D359" s="28">
        <v>245.97</v>
      </c>
      <c r="E359" s="28">
        <v>232</v>
      </c>
      <c r="F359" s="28">
        <v>187.24</v>
      </c>
      <c r="G359" s="28">
        <v>174.7</v>
      </c>
      <c r="H359" s="28">
        <v>246.69</v>
      </c>
      <c r="I359" s="28">
        <v>293.95</v>
      </c>
      <c r="J359" s="28">
        <v>342.65</v>
      </c>
      <c r="K359" s="28">
        <v>365</v>
      </c>
      <c r="L359" s="28">
        <v>372.79</v>
      </c>
      <c r="M359" s="28">
        <v>357.21</v>
      </c>
      <c r="N359" s="28">
        <v>283.72</v>
      </c>
      <c r="O359" s="28">
        <v>301.94</v>
      </c>
      <c r="P359" s="28">
        <v>330.69</v>
      </c>
      <c r="Q359" s="28">
        <v>324.29</v>
      </c>
      <c r="R359" s="28">
        <v>369.19</v>
      </c>
      <c r="S359" s="28">
        <v>366.52</v>
      </c>
      <c r="T359" s="28">
        <v>357.23</v>
      </c>
      <c r="U359" s="28">
        <v>394.27</v>
      </c>
      <c r="V359" s="28">
        <v>379.11</v>
      </c>
      <c r="W359" s="28">
        <v>405.05</v>
      </c>
      <c r="X359" s="28">
        <v>395.93</v>
      </c>
      <c r="Y359" s="28">
        <v>303.74</v>
      </c>
      <c r="Z359" s="26" t="s">
        <v>32</v>
      </c>
      <c r="AA359" s="25">
        <f t="shared" si="10"/>
        <v>174.7</v>
      </c>
      <c r="AB359" s="25">
        <f t="shared" si="11"/>
        <v>314.646666666667</v>
      </c>
    </row>
    <row r="360" spans="1:28">
      <c r="A360" s="8">
        <v>45650</v>
      </c>
      <c r="B360" s="28">
        <v>314.75</v>
      </c>
      <c r="C360" s="28">
        <v>269.88</v>
      </c>
      <c r="D360" s="28">
        <v>278.2</v>
      </c>
      <c r="E360" s="28">
        <v>269.95</v>
      </c>
      <c r="F360" s="28">
        <v>263.18</v>
      </c>
      <c r="G360" s="28">
        <v>265.37</v>
      </c>
      <c r="H360" s="28">
        <v>301.19</v>
      </c>
      <c r="I360" s="28">
        <v>343.98</v>
      </c>
      <c r="J360" s="28">
        <v>362.39</v>
      </c>
      <c r="K360" s="28">
        <v>363.27</v>
      </c>
      <c r="L360" s="28">
        <v>350.32</v>
      </c>
      <c r="M360" s="28">
        <v>278.57</v>
      </c>
      <c r="N360" s="28">
        <v>151.12</v>
      </c>
      <c r="O360" s="28">
        <v>220.54</v>
      </c>
      <c r="P360" s="28">
        <v>265.48</v>
      </c>
      <c r="Q360" s="28">
        <v>297.57</v>
      </c>
      <c r="R360" s="28">
        <v>331.94</v>
      </c>
      <c r="S360" s="28">
        <v>330.9</v>
      </c>
      <c r="T360" s="28">
        <v>331.78</v>
      </c>
      <c r="U360" s="28">
        <v>340.03</v>
      </c>
      <c r="V360" s="28">
        <v>340.93</v>
      </c>
      <c r="W360" s="28">
        <v>345.94</v>
      </c>
      <c r="X360" s="28">
        <v>343.38</v>
      </c>
      <c r="Y360" s="28">
        <v>310.58</v>
      </c>
      <c r="Z360" s="26" t="s">
        <v>32</v>
      </c>
      <c r="AA360" s="25">
        <f t="shared" si="10"/>
        <v>151.12</v>
      </c>
      <c r="AB360" s="25">
        <f t="shared" si="11"/>
        <v>302.968333333333</v>
      </c>
    </row>
    <row r="361" spans="1:28">
      <c r="A361" s="8">
        <v>45651</v>
      </c>
      <c r="B361" s="28">
        <v>352.59</v>
      </c>
      <c r="C361" s="28">
        <v>291.28</v>
      </c>
      <c r="D361" s="28">
        <v>280.63</v>
      </c>
      <c r="E361" s="28">
        <v>249.94</v>
      </c>
      <c r="F361" s="28">
        <v>239.64</v>
      </c>
      <c r="G361" s="28">
        <v>246.31</v>
      </c>
      <c r="H361" s="28">
        <v>297.17</v>
      </c>
      <c r="I361" s="28">
        <v>356.33</v>
      </c>
      <c r="J361" s="28">
        <v>372.89</v>
      </c>
      <c r="K361" s="28">
        <v>321.36</v>
      </c>
      <c r="L361" s="28">
        <v>269.32</v>
      </c>
      <c r="M361" s="28">
        <v>214.71</v>
      </c>
      <c r="N361" s="28">
        <v>20.9</v>
      </c>
      <c r="O361" s="28">
        <v>32.14</v>
      </c>
      <c r="P361" s="28">
        <v>73.75</v>
      </c>
      <c r="Q361" s="28">
        <v>216.71</v>
      </c>
      <c r="R361" s="28">
        <v>282.27</v>
      </c>
      <c r="S361" s="28">
        <v>305.84</v>
      </c>
      <c r="T361" s="28">
        <v>321.92</v>
      </c>
      <c r="U361" s="28">
        <v>342.23</v>
      </c>
      <c r="V361" s="28">
        <v>318.61</v>
      </c>
      <c r="W361" s="28">
        <v>332.76</v>
      </c>
      <c r="X361" s="28">
        <v>328.68</v>
      </c>
      <c r="Y361" s="28">
        <v>274.33</v>
      </c>
      <c r="Z361" s="26" t="s">
        <v>32</v>
      </c>
      <c r="AA361" s="25">
        <f t="shared" si="10"/>
        <v>20.9</v>
      </c>
      <c r="AB361" s="25">
        <f t="shared" si="11"/>
        <v>264.262916666667</v>
      </c>
    </row>
    <row r="362" spans="1:28">
      <c r="A362" s="8">
        <v>45652</v>
      </c>
      <c r="B362" s="28">
        <v>307.5</v>
      </c>
      <c r="C362" s="28">
        <v>286.43</v>
      </c>
      <c r="D362" s="28">
        <v>279.36</v>
      </c>
      <c r="E362" s="28">
        <v>267.43</v>
      </c>
      <c r="F362" s="28">
        <v>260.81</v>
      </c>
      <c r="G362" s="28">
        <v>261.8</v>
      </c>
      <c r="H362" s="28">
        <v>290.79</v>
      </c>
      <c r="I362" s="28">
        <v>335.57</v>
      </c>
      <c r="J362" s="28">
        <v>363.69</v>
      </c>
      <c r="K362" s="28">
        <v>343.58</v>
      </c>
      <c r="L362" s="28">
        <v>326.41</v>
      </c>
      <c r="M362" s="28">
        <v>300.24</v>
      </c>
      <c r="N362" s="28">
        <v>189.21</v>
      </c>
      <c r="O362" s="28">
        <v>139.9</v>
      </c>
      <c r="P362" s="28">
        <v>268.5</v>
      </c>
      <c r="Q362" s="28">
        <v>277.65</v>
      </c>
      <c r="R362" s="28">
        <v>304.23</v>
      </c>
      <c r="S362" s="28">
        <v>317.1</v>
      </c>
      <c r="T362" s="28">
        <v>326.58</v>
      </c>
      <c r="U362" s="28">
        <v>337.45</v>
      </c>
      <c r="V362" s="28">
        <v>340.51</v>
      </c>
      <c r="W362" s="28">
        <v>340.86</v>
      </c>
      <c r="X362" s="28">
        <v>327.11</v>
      </c>
      <c r="Y362" s="28">
        <v>295.27</v>
      </c>
      <c r="Z362" s="26" t="s">
        <v>33</v>
      </c>
      <c r="AA362" s="25">
        <f t="shared" si="10"/>
        <v>139.9</v>
      </c>
      <c r="AB362" s="25">
        <f t="shared" si="11"/>
        <v>295.3325</v>
      </c>
    </row>
    <row r="363" spans="1:28">
      <c r="A363" s="8">
        <v>45653</v>
      </c>
      <c r="B363" s="28">
        <v>324.14</v>
      </c>
      <c r="C363" s="28">
        <v>293.48</v>
      </c>
      <c r="D363" s="28">
        <v>273.57</v>
      </c>
      <c r="E363" s="28">
        <v>255.57</v>
      </c>
      <c r="F363" s="28">
        <v>242.95</v>
      </c>
      <c r="G363" s="28">
        <v>242.56</v>
      </c>
      <c r="H363" s="28">
        <v>275.73</v>
      </c>
      <c r="I363" s="28">
        <v>322.6</v>
      </c>
      <c r="J363" s="28">
        <v>401.95</v>
      </c>
      <c r="K363" s="28">
        <v>410</v>
      </c>
      <c r="L363" s="28">
        <v>327.45</v>
      </c>
      <c r="M363" s="28">
        <v>304.48</v>
      </c>
      <c r="N363" s="28">
        <v>251.38</v>
      </c>
      <c r="O363" s="28">
        <v>268.34</v>
      </c>
      <c r="P363" s="28">
        <v>290.52</v>
      </c>
      <c r="Q363" s="28">
        <v>304.69</v>
      </c>
      <c r="R363" s="28">
        <v>364.85</v>
      </c>
      <c r="S363" s="28">
        <v>392.53</v>
      </c>
      <c r="T363" s="28">
        <v>399.64</v>
      </c>
      <c r="U363" s="28">
        <v>433.82</v>
      </c>
      <c r="V363" s="28">
        <v>441.75</v>
      </c>
      <c r="W363" s="28">
        <v>436.09</v>
      </c>
      <c r="X363" s="28">
        <v>413.51</v>
      </c>
      <c r="Y363" s="28">
        <v>305.44</v>
      </c>
      <c r="Z363" s="26" t="s">
        <v>34</v>
      </c>
      <c r="AA363" s="25">
        <f t="shared" si="10"/>
        <v>242.56</v>
      </c>
      <c r="AB363" s="25">
        <f t="shared" si="11"/>
        <v>332.376666666667</v>
      </c>
    </row>
    <row r="364" spans="1:28">
      <c r="A364" s="8">
        <v>45654</v>
      </c>
      <c r="B364" s="28">
        <v>305.29</v>
      </c>
      <c r="C364" s="28">
        <v>288.89</v>
      </c>
      <c r="D364" s="28">
        <v>284.52</v>
      </c>
      <c r="E364" s="28">
        <v>271.72</v>
      </c>
      <c r="F364" s="28">
        <v>256.88</v>
      </c>
      <c r="G364" s="28">
        <v>250.12</v>
      </c>
      <c r="H364" s="28">
        <v>275.65</v>
      </c>
      <c r="I364" s="28">
        <v>300.57</v>
      </c>
      <c r="J364" s="28">
        <v>324.84</v>
      </c>
      <c r="K364" s="28">
        <v>326.59</v>
      </c>
      <c r="L364" s="28">
        <v>211.7</v>
      </c>
      <c r="M364" s="28">
        <v>168.38</v>
      </c>
      <c r="N364" s="28">
        <v>29.55</v>
      </c>
      <c r="O364" s="28">
        <v>107.87</v>
      </c>
      <c r="P364" s="28">
        <v>149</v>
      </c>
      <c r="Q364" s="28">
        <v>219.63</v>
      </c>
      <c r="R364" s="28">
        <v>309.18</v>
      </c>
      <c r="S364" s="28">
        <v>330.92</v>
      </c>
      <c r="T364" s="28">
        <v>337.92</v>
      </c>
      <c r="U364" s="28">
        <v>345.72</v>
      </c>
      <c r="V364" s="28">
        <v>346.84</v>
      </c>
      <c r="W364" s="28">
        <v>369.96</v>
      </c>
      <c r="X364" s="28">
        <v>376.21</v>
      </c>
      <c r="Y364" s="28">
        <v>313.01</v>
      </c>
      <c r="Z364" s="26" t="s">
        <v>32</v>
      </c>
      <c r="AA364" s="25">
        <f t="shared" si="10"/>
        <v>29.55</v>
      </c>
      <c r="AB364" s="25">
        <f t="shared" si="11"/>
        <v>270.873333333333</v>
      </c>
    </row>
    <row r="365" spans="1:28">
      <c r="A365" s="8">
        <v>45655</v>
      </c>
      <c r="B365" s="28">
        <v>319.28</v>
      </c>
      <c r="C365" s="28">
        <v>307.68</v>
      </c>
      <c r="D365" s="28">
        <v>299.2</v>
      </c>
      <c r="E365" s="28">
        <v>290.81</v>
      </c>
      <c r="F365" s="28">
        <v>271.66</v>
      </c>
      <c r="G365" s="28">
        <v>270.72</v>
      </c>
      <c r="H365" s="28">
        <v>287.71</v>
      </c>
      <c r="I365" s="28">
        <v>305.77</v>
      </c>
      <c r="J365" s="28">
        <v>310.03</v>
      </c>
      <c r="K365" s="28">
        <v>280.17</v>
      </c>
      <c r="L365" s="28">
        <v>74.81</v>
      </c>
      <c r="M365" s="28">
        <v>15.77</v>
      </c>
      <c r="N365" s="28">
        <v>10.91</v>
      </c>
      <c r="O365" s="28">
        <v>15.18</v>
      </c>
      <c r="P365" s="28">
        <v>14.27</v>
      </c>
      <c r="Q365" s="28">
        <v>59.05</v>
      </c>
      <c r="R365" s="28">
        <v>293.2</v>
      </c>
      <c r="S365" s="28">
        <v>317.22</v>
      </c>
      <c r="T365" s="28">
        <v>340.71</v>
      </c>
      <c r="U365" s="28">
        <v>352.2</v>
      </c>
      <c r="V365" s="28">
        <v>352.17</v>
      </c>
      <c r="W365" s="28">
        <v>359.08</v>
      </c>
      <c r="X365" s="28">
        <v>355.42</v>
      </c>
      <c r="Y365" s="28">
        <v>302.39</v>
      </c>
      <c r="Z365" s="26" t="s">
        <v>32</v>
      </c>
      <c r="AA365" s="25">
        <f t="shared" si="10"/>
        <v>10.91</v>
      </c>
      <c r="AB365" s="25">
        <f t="shared" si="11"/>
        <v>241.892083333333</v>
      </c>
    </row>
    <row r="366" spans="1:28">
      <c r="A366" s="8">
        <v>45656</v>
      </c>
      <c r="B366" s="28">
        <v>375.29</v>
      </c>
      <c r="C366" s="28">
        <v>348.01</v>
      </c>
      <c r="D366" s="28">
        <v>323.82</v>
      </c>
      <c r="E366" s="28">
        <v>303.41</v>
      </c>
      <c r="F366" s="28">
        <v>291.32</v>
      </c>
      <c r="G366" s="28">
        <v>300.86</v>
      </c>
      <c r="H366" s="28">
        <v>350.99</v>
      </c>
      <c r="I366" s="28">
        <v>507.9</v>
      </c>
      <c r="J366" s="28">
        <v>470.13</v>
      </c>
      <c r="K366" s="28">
        <v>441.26</v>
      </c>
      <c r="L366" s="28">
        <v>343.83</v>
      </c>
      <c r="M366" s="28">
        <v>311.37</v>
      </c>
      <c r="N366" s="28">
        <v>219.26</v>
      </c>
      <c r="O366" s="28">
        <v>201.11</v>
      </c>
      <c r="P366" s="28">
        <v>265.98</v>
      </c>
      <c r="Q366" s="28">
        <v>319.85</v>
      </c>
      <c r="R366" s="28">
        <v>406.66</v>
      </c>
      <c r="S366" s="28">
        <v>440.73</v>
      </c>
      <c r="T366" s="28">
        <v>426.47</v>
      </c>
      <c r="U366" s="28">
        <v>457.93</v>
      </c>
      <c r="V366" s="28">
        <v>452.14</v>
      </c>
      <c r="W366" s="28">
        <v>451.04</v>
      </c>
      <c r="X366" s="28">
        <v>478.08</v>
      </c>
      <c r="Y366" s="28">
        <v>420.48</v>
      </c>
      <c r="Z366" s="26" t="s">
        <v>32</v>
      </c>
      <c r="AA366" s="25">
        <f t="shared" si="10"/>
        <v>201.11</v>
      </c>
      <c r="AB366" s="25">
        <f t="shared" si="11"/>
        <v>371.163333333333</v>
      </c>
    </row>
    <row r="367" ht="15.25" spans="1:28">
      <c r="A367" s="8">
        <v>45657</v>
      </c>
      <c r="B367" s="28">
        <v>510.28</v>
      </c>
      <c r="C367" s="28">
        <v>445.08</v>
      </c>
      <c r="D367" s="28">
        <v>388.94</v>
      </c>
      <c r="E367" s="28">
        <v>354.85</v>
      </c>
      <c r="F367" s="28">
        <v>325.85</v>
      </c>
      <c r="G367" s="28">
        <v>324.05</v>
      </c>
      <c r="H367" s="28">
        <v>346.23</v>
      </c>
      <c r="I367" s="28">
        <v>380.78</v>
      </c>
      <c r="J367" s="28">
        <v>401.09</v>
      </c>
      <c r="K367" s="28">
        <v>389.09</v>
      </c>
      <c r="L367" s="28">
        <v>326.81</v>
      </c>
      <c r="M367" s="28">
        <v>297.54</v>
      </c>
      <c r="N367" s="28">
        <v>142.18</v>
      </c>
      <c r="O367" s="28">
        <v>193.3</v>
      </c>
      <c r="P367" s="28">
        <v>291.8</v>
      </c>
      <c r="Q367" s="28">
        <v>309.89</v>
      </c>
      <c r="R367" s="28">
        <v>377.52</v>
      </c>
      <c r="S367" s="28">
        <v>422.02</v>
      </c>
      <c r="T367" s="28">
        <v>439.38</v>
      </c>
      <c r="U367" s="28">
        <v>434.62</v>
      </c>
      <c r="V367" s="28">
        <v>401.01</v>
      </c>
      <c r="W367" s="28">
        <v>380.88</v>
      </c>
      <c r="X367" s="28">
        <v>365.74</v>
      </c>
      <c r="Y367" s="28">
        <v>326.9</v>
      </c>
      <c r="Z367" s="26" t="s">
        <v>32</v>
      </c>
      <c r="AA367" s="25">
        <f t="shared" si="10"/>
        <v>142.18</v>
      </c>
      <c r="AB367" s="25">
        <f t="shared" si="11"/>
        <v>357.32625</v>
      </c>
    </row>
    <row r="368" spans="1:28">
      <c r="A368" s="30">
        <v>45658</v>
      </c>
      <c r="B368" s="19">
        <v>223.1</v>
      </c>
      <c r="C368" s="19">
        <v>291.36</v>
      </c>
      <c r="D368" s="19">
        <v>293.13</v>
      </c>
      <c r="E368" s="19">
        <v>288.92</v>
      </c>
      <c r="F368" s="19">
        <v>234.62</v>
      </c>
      <c r="G368" s="19">
        <v>209.53</v>
      </c>
      <c r="H368" s="19">
        <v>270.8</v>
      </c>
      <c r="I368" s="19">
        <v>270.75</v>
      </c>
      <c r="J368" s="19">
        <v>0</v>
      </c>
      <c r="K368" s="19">
        <v>0</v>
      </c>
      <c r="L368" s="19">
        <v>7.87</v>
      </c>
      <c r="M368" s="19">
        <v>0.26</v>
      </c>
      <c r="N368" s="19">
        <v>19.18</v>
      </c>
      <c r="O368" s="19">
        <v>11.9</v>
      </c>
      <c r="P368" s="19">
        <v>0</v>
      </c>
      <c r="Q368" s="19">
        <v>131.71</v>
      </c>
      <c r="R368" s="19">
        <v>1.65</v>
      </c>
      <c r="S368" s="19">
        <v>201.51</v>
      </c>
      <c r="T368" s="19">
        <v>296.89</v>
      </c>
      <c r="U368" s="19">
        <v>303.3</v>
      </c>
      <c r="V368" s="19">
        <v>308.11</v>
      </c>
      <c r="W368" s="19">
        <v>314.72</v>
      </c>
      <c r="X368" s="19">
        <v>311.78</v>
      </c>
      <c r="Y368" s="19">
        <v>269.36</v>
      </c>
      <c r="Z368" s="31" t="s">
        <v>31</v>
      </c>
      <c r="AA368" s="25">
        <f t="shared" si="10"/>
        <v>0</v>
      </c>
      <c r="AB368" s="25">
        <f t="shared" si="11"/>
        <v>177.51875</v>
      </c>
    </row>
    <row r="369" spans="1:28">
      <c r="A369" s="30">
        <v>45659</v>
      </c>
      <c r="B369" s="19">
        <v>343.68</v>
      </c>
      <c r="C369" s="19">
        <v>323.34</v>
      </c>
      <c r="D369" s="19">
        <v>319.94</v>
      </c>
      <c r="E369" s="19">
        <v>309.37</v>
      </c>
      <c r="F369" s="19">
        <v>298.66</v>
      </c>
      <c r="G369" s="19">
        <v>297.03</v>
      </c>
      <c r="H369" s="19">
        <v>322.7</v>
      </c>
      <c r="I369" s="19">
        <v>351.49</v>
      </c>
      <c r="J369" s="19">
        <v>358.57</v>
      </c>
      <c r="K369" s="19">
        <v>358.23</v>
      </c>
      <c r="L369" s="19">
        <v>329.64</v>
      </c>
      <c r="M369" s="19">
        <v>317.84</v>
      </c>
      <c r="N369" s="19">
        <v>297.64</v>
      </c>
      <c r="O369" s="19">
        <v>313.23</v>
      </c>
      <c r="P369" s="19">
        <v>331.09</v>
      </c>
      <c r="Q369" s="19">
        <v>349.82</v>
      </c>
      <c r="R369" s="19">
        <v>347.06</v>
      </c>
      <c r="S369" s="19">
        <v>381.48</v>
      </c>
      <c r="T369" s="19">
        <v>385.65</v>
      </c>
      <c r="U369" s="19">
        <v>388.78</v>
      </c>
      <c r="V369" s="19">
        <v>383.89</v>
      </c>
      <c r="W369" s="19">
        <v>386.5</v>
      </c>
      <c r="X369" s="19">
        <v>380.85</v>
      </c>
      <c r="Y369" s="19">
        <v>359.14</v>
      </c>
      <c r="Z369" s="32" t="s">
        <v>32</v>
      </c>
      <c r="AA369" s="25">
        <f>MIN($B$369:$Y$369)</f>
        <v>297.03</v>
      </c>
      <c r="AB369" s="25">
        <f>AVERAGE($B$369:$Y$369)</f>
        <v>343.150833333333</v>
      </c>
    </row>
    <row r="370" spans="1:28">
      <c r="A370" s="30">
        <v>45660</v>
      </c>
      <c r="B370" s="19">
        <v>402.35</v>
      </c>
      <c r="C370" s="19">
        <v>370.68</v>
      </c>
      <c r="D370" s="19">
        <v>362.31</v>
      </c>
      <c r="E370" s="19">
        <v>360.93</v>
      </c>
      <c r="F370" s="19">
        <v>342.71</v>
      </c>
      <c r="G370" s="19">
        <v>337.91</v>
      </c>
      <c r="H370" s="19">
        <v>382.16</v>
      </c>
      <c r="I370" s="19">
        <v>441.71</v>
      </c>
      <c r="J370" s="19">
        <v>360.64</v>
      </c>
      <c r="K370" s="19">
        <v>361.48</v>
      </c>
      <c r="L370" s="19">
        <v>347.07</v>
      </c>
      <c r="M370" s="19">
        <v>353.68</v>
      </c>
      <c r="N370" s="19">
        <v>225.98</v>
      </c>
      <c r="O370" s="19">
        <v>278.64</v>
      </c>
      <c r="P370" s="19">
        <v>335.54</v>
      </c>
      <c r="Q370" s="19">
        <v>347.29</v>
      </c>
      <c r="R370" s="19">
        <v>351.07</v>
      </c>
      <c r="S370" s="19">
        <v>379.46</v>
      </c>
      <c r="T370" s="19">
        <v>387.35</v>
      </c>
      <c r="U370" s="19">
        <v>403.67</v>
      </c>
      <c r="V370" s="19">
        <v>386.28</v>
      </c>
      <c r="W370" s="19">
        <v>394.16</v>
      </c>
      <c r="X370" s="19">
        <v>381.25</v>
      </c>
      <c r="Y370" s="19">
        <v>345.58</v>
      </c>
      <c r="Z370" s="33" t="s">
        <v>32</v>
      </c>
      <c r="AA370" s="25">
        <f>MIN($B$370:$Y$370)</f>
        <v>225.98</v>
      </c>
      <c r="AB370" s="25">
        <f>AVERAGE($B$370:$Y$370)</f>
        <v>359.995833333333</v>
      </c>
    </row>
    <row r="371" spans="1:28">
      <c r="A371" s="30">
        <v>45661</v>
      </c>
      <c r="B371" s="19">
        <v>369.03</v>
      </c>
      <c r="C371" s="19">
        <v>351.57</v>
      </c>
      <c r="D371" s="19">
        <v>347.68</v>
      </c>
      <c r="E371" s="19">
        <v>345.52</v>
      </c>
      <c r="F371" s="19">
        <v>332.07</v>
      </c>
      <c r="G371" s="19">
        <v>328.95</v>
      </c>
      <c r="H371" s="19">
        <v>344.81</v>
      </c>
      <c r="I371" s="19">
        <v>348.16</v>
      </c>
      <c r="J371" s="19">
        <v>352.61</v>
      </c>
      <c r="K371" s="19">
        <v>352.62</v>
      </c>
      <c r="L371" s="19">
        <v>332.6</v>
      </c>
      <c r="M371" s="19">
        <v>327.12</v>
      </c>
      <c r="N371" s="19">
        <v>303.67</v>
      </c>
      <c r="O371" s="19">
        <v>321.84</v>
      </c>
      <c r="P371" s="19">
        <v>339.16</v>
      </c>
      <c r="Q371" s="19">
        <v>335.49</v>
      </c>
      <c r="R371" s="19">
        <v>364.14</v>
      </c>
      <c r="S371" s="19">
        <v>391.2</v>
      </c>
      <c r="T371" s="19">
        <v>400.57</v>
      </c>
      <c r="U371" s="19">
        <v>404.54</v>
      </c>
      <c r="V371" s="19">
        <v>392.75</v>
      </c>
      <c r="W371" s="19">
        <v>385.69</v>
      </c>
      <c r="X371" s="19">
        <v>377.54</v>
      </c>
      <c r="Y371" s="19">
        <v>349.87</v>
      </c>
      <c r="Z371" s="34" t="s">
        <v>36</v>
      </c>
      <c r="AA371" s="25">
        <f>MIN($B$371:$Y$371)</f>
        <v>303.67</v>
      </c>
      <c r="AB371" s="25">
        <f>AVERAGE($B$371:$Y$371)</f>
        <v>354.133333333333</v>
      </c>
    </row>
    <row r="372" spans="1:28">
      <c r="A372" s="30">
        <v>45662</v>
      </c>
      <c r="B372" s="19">
        <v>399.07</v>
      </c>
      <c r="C372" s="19">
        <v>387.11</v>
      </c>
      <c r="D372" s="19">
        <v>382.01</v>
      </c>
      <c r="E372" s="19">
        <v>377.1</v>
      </c>
      <c r="F372" s="19">
        <v>354.69</v>
      </c>
      <c r="G372" s="19">
        <v>353.66</v>
      </c>
      <c r="H372" s="19">
        <v>371.39</v>
      </c>
      <c r="I372" s="19">
        <v>378.98</v>
      </c>
      <c r="J372" s="19">
        <v>383.56</v>
      </c>
      <c r="K372" s="19">
        <v>394.84</v>
      </c>
      <c r="L372" s="19">
        <v>376.16</v>
      </c>
      <c r="M372" s="19">
        <v>345.87</v>
      </c>
      <c r="N372" s="19">
        <v>325.43</v>
      </c>
      <c r="O372" s="19">
        <v>338.2</v>
      </c>
      <c r="P372" s="19">
        <v>347.53</v>
      </c>
      <c r="Q372" s="19">
        <v>355.12</v>
      </c>
      <c r="R372" s="19">
        <v>371.32</v>
      </c>
      <c r="S372" s="19">
        <v>408.07</v>
      </c>
      <c r="T372" s="19">
        <v>430.4</v>
      </c>
      <c r="U372" s="19">
        <v>435.51</v>
      </c>
      <c r="V372" s="19">
        <v>439.53</v>
      </c>
      <c r="W372" s="19">
        <v>436.6</v>
      </c>
      <c r="X372" s="19">
        <v>412.45</v>
      </c>
      <c r="Y372" s="19">
        <v>362.69</v>
      </c>
      <c r="Z372" s="35" t="s">
        <v>37</v>
      </c>
      <c r="AA372" s="25">
        <f>MIN($B$372:$Y$372)</f>
        <v>325.43</v>
      </c>
      <c r="AB372" s="25">
        <f>AVERAGE($B$372:$Y$372)</f>
        <v>381.970416666667</v>
      </c>
    </row>
    <row r="373" spans="1:28">
      <c r="A373" s="30">
        <v>45663</v>
      </c>
      <c r="B373" s="19">
        <v>404.02</v>
      </c>
      <c r="C373" s="19">
        <v>371.59</v>
      </c>
      <c r="D373" s="19">
        <v>362.61</v>
      </c>
      <c r="E373" s="19">
        <v>365.2</v>
      </c>
      <c r="F373" s="19">
        <v>339.85</v>
      </c>
      <c r="G373" s="19">
        <v>334.75</v>
      </c>
      <c r="H373" s="19">
        <v>361.55</v>
      </c>
      <c r="I373" s="19">
        <v>370.86</v>
      </c>
      <c r="J373" s="19">
        <v>382.97</v>
      </c>
      <c r="K373" s="19">
        <v>372.08</v>
      </c>
      <c r="L373" s="19">
        <v>338.45</v>
      </c>
      <c r="M373" s="19">
        <v>323.63</v>
      </c>
      <c r="N373" s="19">
        <v>272.41</v>
      </c>
      <c r="O373" s="19">
        <v>300.56</v>
      </c>
      <c r="P373" s="19">
        <v>329.75</v>
      </c>
      <c r="Q373" s="19">
        <v>342.56</v>
      </c>
      <c r="R373" s="19">
        <v>370.26</v>
      </c>
      <c r="S373" s="19">
        <v>394.26</v>
      </c>
      <c r="T373" s="19">
        <v>414.7</v>
      </c>
      <c r="U373" s="19">
        <v>461.08</v>
      </c>
      <c r="V373" s="19">
        <v>451.25</v>
      </c>
      <c r="W373" s="19">
        <v>443.84</v>
      </c>
      <c r="X373" s="19">
        <v>414.21</v>
      </c>
      <c r="Y373" s="19">
        <v>362.55</v>
      </c>
      <c r="Z373" s="32" t="s">
        <v>32</v>
      </c>
      <c r="AA373" s="25">
        <f>MIN($B$373:$Y$373)</f>
        <v>272.41</v>
      </c>
      <c r="AB373" s="25">
        <f>AVERAGE($B$373:$Y$373)</f>
        <v>370.207916666667</v>
      </c>
    </row>
    <row r="374" spans="1:28">
      <c r="A374" s="30">
        <v>45664</v>
      </c>
      <c r="B374" s="19">
        <v>363.28</v>
      </c>
      <c r="C374" s="19">
        <v>350.58</v>
      </c>
      <c r="D374" s="19">
        <v>345.31</v>
      </c>
      <c r="E374" s="19">
        <v>347.36</v>
      </c>
      <c r="F374" s="19">
        <v>332.22</v>
      </c>
      <c r="G374" s="19">
        <v>330.35</v>
      </c>
      <c r="H374" s="19">
        <v>375.84</v>
      </c>
      <c r="I374" s="19">
        <v>390.03</v>
      </c>
      <c r="J374" s="19">
        <v>389.2</v>
      </c>
      <c r="K374" s="19">
        <v>404.29</v>
      </c>
      <c r="L374" s="19">
        <v>330.23</v>
      </c>
      <c r="M374" s="19">
        <v>383.96</v>
      </c>
      <c r="N374" s="19">
        <v>272.48</v>
      </c>
      <c r="O374" s="19">
        <v>331.72</v>
      </c>
      <c r="P374" s="19">
        <v>354.93</v>
      </c>
      <c r="Q374" s="19">
        <v>356.64</v>
      </c>
      <c r="R374" s="19">
        <v>374.71</v>
      </c>
      <c r="S374" s="19">
        <v>397.03</v>
      </c>
      <c r="T374" s="19">
        <v>441.48</v>
      </c>
      <c r="U374" s="19">
        <v>467.36</v>
      </c>
      <c r="V374" s="19">
        <v>435.73</v>
      </c>
      <c r="W374" s="19">
        <v>428.55</v>
      </c>
      <c r="X374" s="19">
        <v>383.43</v>
      </c>
      <c r="Y374" s="19">
        <v>333.11</v>
      </c>
      <c r="Z374" s="33" t="s">
        <v>32</v>
      </c>
      <c r="AA374" s="25">
        <f>MIN($B$374:$Y$374)</f>
        <v>272.48</v>
      </c>
      <c r="AB374" s="25">
        <f>AVERAGE($B$374:$Y$374)</f>
        <v>371.659166666667</v>
      </c>
    </row>
    <row r="375" spans="1:28">
      <c r="A375" s="30">
        <v>45665</v>
      </c>
      <c r="B375" s="19">
        <v>387.31</v>
      </c>
      <c r="C375" s="19">
        <v>369.91</v>
      </c>
      <c r="D375" s="19">
        <v>356.84</v>
      </c>
      <c r="E375" s="19">
        <v>347.29</v>
      </c>
      <c r="F375" s="19">
        <v>332.2</v>
      </c>
      <c r="G375" s="19">
        <v>337.89</v>
      </c>
      <c r="H375" s="19">
        <v>375.42</v>
      </c>
      <c r="I375" s="19">
        <v>431.15</v>
      </c>
      <c r="J375" s="19">
        <v>417.05</v>
      </c>
      <c r="K375" s="19">
        <v>409.8</v>
      </c>
      <c r="L375" s="19">
        <v>380.61</v>
      </c>
      <c r="M375" s="19">
        <v>365.3</v>
      </c>
      <c r="N375" s="19">
        <v>320.43</v>
      </c>
      <c r="O375" s="19">
        <v>381.58</v>
      </c>
      <c r="P375" s="19">
        <v>387.04</v>
      </c>
      <c r="Q375" s="19">
        <v>390.22</v>
      </c>
      <c r="R375" s="19">
        <v>394.66</v>
      </c>
      <c r="S375" s="19">
        <v>389.29</v>
      </c>
      <c r="T375" s="19">
        <v>408.48</v>
      </c>
      <c r="U375" s="19">
        <v>431.72</v>
      </c>
      <c r="V375" s="19">
        <v>430.75</v>
      </c>
      <c r="W375" s="19">
        <v>417.64</v>
      </c>
      <c r="X375" s="19">
        <v>406.22</v>
      </c>
      <c r="Y375" s="19">
        <v>357.47</v>
      </c>
      <c r="Z375" s="32" t="s">
        <v>32</v>
      </c>
      <c r="AA375" s="25">
        <f>MIN($B$375:$Y$375)</f>
        <v>320.43</v>
      </c>
      <c r="AB375" s="25">
        <f>AVERAGE($B$375:$Y$375)</f>
        <v>384.427916666667</v>
      </c>
    </row>
    <row r="376" spans="1:28">
      <c r="A376" s="30">
        <v>45666</v>
      </c>
      <c r="B376" s="19">
        <v>403.54</v>
      </c>
      <c r="C376" s="19">
        <v>380.55</v>
      </c>
      <c r="D376" s="19">
        <v>352.67</v>
      </c>
      <c r="E376" s="19">
        <v>354.94</v>
      </c>
      <c r="F376" s="19">
        <v>343.42</v>
      </c>
      <c r="G376" s="19">
        <v>344.73</v>
      </c>
      <c r="H376" s="19">
        <v>359.6</v>
      </c>
      <c r="I376" s="19">
        <v>404.16</v>
      </c>
      <c r="J376" s="19">
        <v>438.51</v>
      </c>
      <c r="K376" s="19">
        <v>459.14</v>
      </c>
      <c r="L376" s="19">
        <v>421.16</v>
      </c>
      <c r="M376" s="19">
        <v>401.92</v>
      </c>
      <c r="N376" s="19">
        <v>324.96</v>
      </c>
      <c r="O376" s="19">
        <v>368.03</v>
      </c>
      <c r="P376" s="19">
        <v>372.29</v>
      </c>
      <c r="Q376" s="19">
        <v>380.27</v>
      </c>
      <c r="R376" s="19">
        <v>427.34</v>
      </c>
      <c r="S376" s="19">
        <v>412.88</v>
      </c>
      <c r="T376" s="19">
        <v>385.61</v>
      </c>
      <c r="U376" s="19">
        <v>415.97</v>
      </c>
      <c r="V376" s="19">
        <v>427.76</v>
      </c>
      <c r="W376" s="19">
        <v>410.27</v>
      </c>
      <c r="X376" s="19">
        <v>394</v>
      </c>
      <c r="Y376" s="19">
        <v>334.41</v>
      </c>
      <c r="Z376" s="33" t="s">
        <v>32</v>
      </c>
      <c r="AA376" s="25">
        <f>MIN($B$376:$Y$376)</f>
        <v>324.96</v>
      </c>
      <c r="AB376" s="25">
        <f>AVERAGE($B$376:$Y$376)</f>
        <v>388.255416666667</v>
      </c>
    </row>
    <row r="377" spans="1:28">
      <c r="A377" s="30">
        <v>45667</v>
      </c>
      <c r="B377" s="19">
        <v>353.97</v>
      </c>
      <c r="C377" s="19">
        <v>352.28</v>
      </c>
      <c r="D377" s="19">
        <v>335.18</v>
      </c>
      <c r="E377" s="19">
        <v>281.77</v>
      </c>
      <c r="F377" s="19">
        <v>270.61</v>
      </c>
      <c r="G377" s="19">
        <v>286.36</v>
      </c>
      <c r="H377" s="19">
        <v>368.63</v>
      </c>
      <c r="I377" s="19">
        <v>405.37</v>
      </c>
      <c r="J377" s="19">
        <v>475.33</v>
      </c>
      <c r="K377" s="19">
        <v>507.94</v>
      </c>
      <c r="L377" s="19">
        <v>436.3</v>
      </c>
      <c r="M377" s="19">
        <v>398.8</v>
      </c>
      <c r="N377" s="19">
        <v>299.88</v>
      </c>
      <c r="O377" s="19">
        <v>351.2</v>
      </c>
      <c r="P377" s="19">
        <v>368.93</v>
      </c>
      <c r="Q377" s="19">
        <v>389.1</v>
      </c>
      <c r="R377" s="19">
        <v>430.17</v>
      </c>
      <c r="S377" s="19">
        <v>427.18</v>
      </c>
      <c r="T377" s="19">
        <v>432.75</v>
      </c>
      <c r="U377" s="19">
        <v>444.77</v>
      </c>
      <c r="V377" s="19">
        <v>439.21</v>
      </c>
      <c r="W377" s="19">
        <v>453.54</v>
      </c>
      <c r="X377" s="19">
        <v>466.56</v>
      </c>
      <c r="Y377" s="19">
        <v>353.58</v>
      </c>
      <c r="Z377" s="32" t="s">
        <v>32</v>
      </c>
      <c r="AA377" s="25">
        <f>MIN($B$377:$Y$377)</f>
        <v>270.61</v>
      </c>
      <c r="AB377" s="25">
        <f>AVERAGE($B$377:$Y$377)</f>
        <v>388.725416666667</v>
      </c>
    </row>
    <row r="378" spans="1:28">
      <c r="A378" s="30">
        <v>45668</v>
      </c>
      <c r="B378" s="19">
        <v>425.44</v>
      </c>
      <c r="C378" s="19">
        <v>394.64</v>
      </c>
      <c r="D378" s="19">
        <v>373.49</v>
      </c>
      <c r="E378" s="19">
        <v>343.49</v>
      </c>
      <c r="F378" s="19">
        <v>329.69</v>
      </c>
      <c r="G378" s="19">
        <v>326.85</v>
      </c>
      <c r="H378" s="19">
        <v>348.7</v>
      </c>
      <c r="I378" s="19">
        <v>382.67</v>
      </c>
      <c r="J378" s="19">
        <v>551.67</v>
      </c>
      <c r="K378" s="19">
        <v>540.35</v>
      </c>
      <c r="L378" s="19">
        <v>427.68</v>
      </c>
      <c r="M378" s="19">
        <v>357.24</v>
      </c>
      <c r="N378" s="19">
        <v>306.57</v>
      </c>
      <c r="O378" s="19">
        <v>336.45</v>
      </c>
      <c r="P378" s="19">
        <v>231.36</v>
      </c>
      <c r="Q378" s="19">
        <v>295.25</v>
      </c>
      <c r="R378" s="19">
        <v>371.8</v>
      </c>
      <c r="S378" s="19">
        <v>391.66</v>
      </c>
      <c r="T378" s="19">
        <v>387.19</v>
      </c>
      <c r="U378" s="19">
        <v>396.46</v>
      </c>
      <c r="V378" s="19">
        <v>405.03</v>
      </c>
      <c r="W378" s="19">
        <v>394.37</v>
      </c>
      <c r="X378" s="19">
        <v>415.5</v>
      </c>
      <c r="Y378" s="19">
        <v>388.68</v>
      </c>
      <c r="Z378" s="36" t="s">
        <v>36</v>
      </c>
      <c r="AA378" s="25">
        <f>MIN($B$378:$Y$378)</f>
        <v>231.36</v>
      </c>
      <c r="AB378" s="25">
        <f>AVERAGE($B$378:$Y$378)</f>
        <v>380.092916666667</v>
      </c>
    </row>
    <row r="379" spans="1:28">
      <c r="A379" s="30">
        <v>45669</v>
      </c>
      <c r="B379" s="19">
        <v>489.26</v>
      </c>
      <c r="C379" s="19">
        <v>409.59</v>
      </c>
      <c r="D379" s="19">
        <v>370.09</v>
      </c>
      <c r="E379" s="19">
        <v>350.42</v>
      </c>
      <c r="F379" s="19">
        <v>343.47</v>
      </c>
      <c r="G379" s="19">
        <v>343.03</v>
      </c>
      <c r="H379" s="19">
        <v>349.04</v>
      </c>
      <c r="I379" s="19">
        <v>358.27</v>
      </c>
      <c r="J379" s="19">
        <v>392.5</v>
      </c>
      <c r="K379" s="19">
        <v>359.92</v>
      </c>
      <c r="L379" s="19">
        <v>335</v>
      </c>
      <c r="M379" s="19">
        <v>334.04</v>
      </c>
      <c r="N379" s="19">
        <v>265.74</v>
      </c>
      <c r="O379" s="19">
        <v>278.86</v>
      </c>
      <c r="P379" s="19">
        <v>313.31</v>
      </c>
      <c r="Q379" s="19">
        <v>332</v>
      </c>
      <c r="R379" s="19">
        <v>365.07</v>
      </c>
      <c r="S379" s="19">
        <v>400.71</v>
      </c>
      <c r="T379" s="19">
        <v>387.01</v>
      </c>
      <c r="U379" s="19">
        <v>391.42</v>
      </c>
      <c r="V379" s="19">
        <v>391.98</v>
      </c>
      <c r="W379" s="19">
        <v>403.65</v>
      </c>
      <c r="X379" s="19">
        <v>413.64</v>
      </c>
      <c r="Y379" s="19">
        <v>339.87</v>
      </c>
      <c r="Z379" s="37" t="s">
        <v>37</v>
      </c>
      <c r="AA379" s="25">
        <f>MIN($B$379:$Y$379)</f>
        <v>265.74</v>
      </c>
      <c r="AB379" s="25">
        <f>AVERAGE($B$379:$Y$379)</f>
        <v>363.245416666667</v>
      </c>
    </row>
    <row r="380" spans="1:28">
      <c r="A380" s="30">
        <v>45670</v>
      </c>
      <c r="B380" s="19">
        <v>405.46</v>
      </c>
      <c r="C380" s="19">
        <v>357.32</v>
      </c>
      <c r="D380" s="19">
        <v>340.14</v>
      </c>
      <c r="E380" s="19">
        <v>329.17</v>
      </c>
      <c r="F380" s="19">
        <v>324.5</v>
      </c>
      <c r="G380" s="19">
        <v>326.24</v>
      </c>
      <c r="H380" s="19">
        <v>351.81</v>
      </c>
      <c r="I380" s="19">
        <v>547.15</v>
      </c>
      <c r="J380" s="19">
        <v>462.97</v>
      </c>
      <c r="K380" s="19">
        <v>534.26</v>
      </c>
      <c r="L380" s="19">
        <v>610.68</v>
      </c>
      <c r="M380" s="19">
        <v>359.82</v>
      </c>
      <c r="N380" s="19">
        <v>284.46</v>
      </c>
      <c r="O380" s="19">
        <v>298.46</v>
      </c>
      <c r="P380" s="19">
        <v>307.36</v>
      </c>
      <c r="Q380" s="19">
        <v>359.53</v>
      </c>
      <c r="R380" s="19">
        <v>423.28</v>
      </c>
      <c r="S380" s="19">
        <v>487.16</v>
      </c>
      <c r="T380" s="19">
        <v>484.22</v>
      </c>
      <c r="U380" s="19">
        <v>516.22</v>
      </c>
      <c r="V380" s="19">
        <v>505.29</v>
      </c>
      <c r="W380" s="19">
        <v>485.88</v>
      </c>
      <c r="X380" s="19">
        <v>511.54</v>
      </c>
      <c r="Y380" s="19">
        <v>386.76</v>
      </c>
      <c r="Z380" s="33" t="s">
        <v>32</v>
      </c>
      <c r="AA380" s="25">
        <f>MIN($B$380:$Y$380)</f>
        <v>284.46</v>
      </c>
      <c r="AB380" s="25">
        <f>AVERAGE($B$380:$Y$380)</f>
        <v>416.653333333333</v>
      </c>
    </row>
    <row r="381" spans="1:28">
      <c r="A381" s="30">
        <v>45671</v>
      </c>
      <c r="B381" s="19">
        <v>367.02</v>
      </c>
      <c r="C381" s="19">
        <v>342.24</v>
      </c>
      <c r="D381" s="19">
        <v>329.36</v>
      </c>
      <c r="E381" s="19">
        <v>310.58</v>
      </c>
      <c r="F381" s="19">
        <v>305.24</v>
      </c>
      <c r="G381" s="19">
        <v>305.42</v>
      </c>
      <c r="H381" s="19">
        <v>330.51</v>
      </c>
      <c r="I381" s="19">
        <v>356.75</v>
      </c>
      <c r="J381" s="19">
        <v>407.31</v>
      </c>
      <c r="K381" s="19">
        <v>458.32</v>
      </c>
      <c r="L381" s="19">
        <v>393.3</v>
      </c>
      <c r="M381" s="19">
        <v>374.11</v>
      </c>
      <c r="N381" s="19">
        <v>322.35</v>
      </c>
      <c r="O381" s="19">
        <v>332.19</v>
      </c>
      <c r="P381" s="19">
        <v>352.22</v>
      </c>
      <c r="Q381" s="19">
        <v>357.37</v>
      </c>
      <c r="R381" s="19">
        <v>420.11</v>
      </c>
      <c r="S381" s="19">
        <v>435.06</v>
      </c>
      <c r="T381" s="19">
        <v>424.01</v>
      </c>
      <c r="U381" s="19">
        <v>449.79</v>
      </c>
      <c r="V381" s="19">
        <v>421.62</v>
      </c>
      <c r="W381" s="19">
        <v>388.7</v>
      </c>
      <c r="X381" s="19">
        <v>372.64</v>
      </c>
      <c r="Y381" s="19">
        <v>321.28</v>
      </c>
      <c r="Z381" s="32" t="s">
        <v>32</v>
      </c>
      <c r="AA381" s="25">
        <f>MIN($B$381:$Y$381)</f>
        <v>305.24</v>
      </c>
      <c r="AB381" s="25">
        <f>AVERAGE($B$381:$Y$381)</f>
        <v>369.895833333333</v>
      </c>
    </row>
    <row r="382" spans="1:28">
      <c r="A382" s="30">
        <v>45672</v>
      </c>
      <c r="B382" s="19">
        <v>361.99</v>
      </c>
      <c r="C382" s="19">
        <v>340.22</v>
      </c>
      <c r="D382" s="19">
        <v>319.22</v>
      </c>
      <c r="E382" s="19">
        <v>298.03</v>
      </c>
      <c r="F382" s="19">
        <v>294.66</v>
      </c>
      <c r="G382" s="19">
        <v>294.13</v>
      </c>
      <c r="H382" s="19">
        <v>310.64</v>
      </c>
      <c r="I382" s="19">
        <v>338.92</v>
      </c>
      <c r="J382" s="19">
        <v>442.54</v>
      </c>
      <c r="K382" s="19">
        <v>565.24</v>
      </c>
      <c r="L382" s="19">
        <v>436.91</v>
      </c>
      <c r="M382" s="19">
        <v>378.89</v>
      </c>
      <c r="N382" s="19">
        <v>304.06</v>
      </c>
      <c r="O382" s="19">
        <v>303.39</v>
      </c>
      <c r="P382" s="19">
        <v>314.47</v>
      </c>
      <c r="Q382" s="19">
        <v>320.77</v>
      </c>
      <c r="R382" s="19">
        <v>353.67</v>
      </c>
      <c r="S382" s="19">
        <v>380.92</v>
      </c>
      <c r="T382" s="19">
        <v>423.21</v>
      </c>
      <c r="U382" s="19">
        <v>459.74</v>
      </c>
      <c r="V382" s="19">
        <v>399.3</v>
      </c>
      <c r="W382" s="19">
        <v>365.6</v>
      </c>
      <c r="X382" s="19">
        <v>348.12</v>
      </c>
      <c r="Y382" s="19">
        <v>303.53</v>
      </c>
      <c r="Z382" s="33" t="s">
        <v>32</v>
      </c>
      <c r="AA382" s="25">
        <f>MIN($B$382:$Y$382)</f>
        <v>294.13</v>
      </c>
      <c r="AB382" s="25">
        <f>AVERAGE($B$382:$Y$382)</f>
        <v>360.757083333333</v>
      </c>
    </row>
    <row r="383" spans="1:28">
      <c r="A383" s="30">
        <v>45673</v>
      </c>
      <c r="B383" s="19">
        <v>326.17</v>
      </c>
      <c r="C383" s="19">
        <v>302.71</v>
      </c>
      <c r="D383" s="19">
        <v>291.93</v>
      </c>
      <c r="E383" s="19">
        <v>280.27</v>
      </c>
      <c r="F383" s="19">
        <v>274.43</v>
      </c>
      <c r="G383" s="19">
        <v>275.66</v>
      </c>
      <c r="H383" s="19">
        <v>295.55</v>
      </c>
      <c r="I383" s="19">
        <v>306.41</v>
      </c>
      <c r="J383" s="19">
        <v>337.14</v>
      </c>
      <c r="K383" s="19">
        <v>349.26</v>
      </c>
      <c r="L383" s="19">
        <v>325.53</v>
      </c>
      <c r="M383" s="19">
        <v>299.95</v>
      </c>
      <c r="N383" s="19">
        <v>252.19</v>
      </c>
      <c r="O383" s="19">
        <v>274.18</v>
      </c>
      <c r="P383" s="19">
        <v>289.72</v>
      </c>
      <c r="Q383" s="19">
        <v>306.29</v>
      </c>
      <c r="R383" s="19">
        <v>341.83</v>
      </c>
      <c r="S383" s="19">
        <v>388.4</v>
      </c>
      <c r="T383" s="19">
        <v>405.21</v>
      </c>
      <c r="U383" s="19">
        <v>418.76</v>
      </c>
      <c r="V383" s="19">
        <v>396.5</v>
      </c>
      <c r="W383" s="19">
        <v>381.18</v>
      </c>
      <c r="X383" s="19">
        <v>368.27</v>
      </c>
      <c r="Y383" s="19">
        <v>323.66</v>
      </c>
      <c r="Z383" s="32" t="s">
        <v>32</v>
      </c>
      <c r="AA383" s="25">
        <f>MIN($B$383:$Y$383)</f>
        <v>252.19</v>
      </c>
      <c r="AB383" s="25">
        <f>AVERAGE($B$383:$Y$383)</f>
        <v>325.466666666667</v>
      </c>
    </row>
    <row r="384" spans="1:28">
      <c r="A384" s="30">
        <v>45674</v>
      </c>
      <c r="B384" s="19">
        <v>349.36</v>
      </c>
      <c r="C384" s="19">
        <v>326.81</v>
      </c>
      <c r="D384" s="19">
        <v>313.62</v>
      </c>
      <c r="E384" s="19">
        <v>303.75</v>
      </c>
      <c r="F384" s="19">
        <v>292.57</v>
      </c>
      <c r="G384" s="19">
        <v>290.84</v>
      </c>
      <c r="H384" s="19">
        <v>305.43</v>
      </c>
      <c r="I384" s="19">
        <v>315.66</v>
      </c>
      <c r="J384" s="19">
        <v>344.75</v>
      </c>
      <c r="K384" s="19">
        <v>352.1</v>
      </c>
      <c r="L384" s="19">
        <v>305.11</v>
      </c>
      <c r="M384" s="19">
        <v>279.48</v>
      </c>
      <c r="N384" s="19">
        <v>255.11</v>
      </c>
      <c r="O384" s="19">
        <v>287.1</v>
      </c>
      <c r="P384" s="19">
        <v>284.72</v>
      </c>
      <c r="Q384" s="19">
        <v>299.14</v>
      </c>
      <c r="R384" s="19">
        <v>334.99</v>
      </c>
      <c r="S384" s="19">
        <v>380.73</v>
      </c>
      <c r="T384" s="19">
        <v>380.07</v>
      </c>
      <c r="U384" s="19">
        <v>398.86</v>
      </c>
      <c r="V384" s="19">
        <v>377.92</v>
      </c>
      <c r="W384" s="19">
        <v>374.16</v>
      </c>
      <c r="X384" s="19">
        <v>365.24</v>
      </c>
      <c r="Y384" s="19">
        <v>319.52</v>
      </c>
      <c r="Z384" s="33" t="s">
        <v>32</v>
      </c>
      <c r="AA384" s="25">
        <f>MIN($B$384:$Y$384)</f>
        <v>255.11</v>
      </c>
      <c r="AB384" s="25">
        <f>AVERAGE($B$384:$Y$384)</f>
        <v>326.543333333333</v>
      </c>
    </row>
    <row r="385" spans="1:28">
      <c r="A385" s="30">
        <v>45675</v>
      </c>
      <c r="B385" s="19">
        <v>349.63</v>
      </c>
      <c r="C385" s="19">
        <v>325.18</v>
      </c>
      <c r="D385" s="19">
        <v>320.8</v>
      </c>
      <c r="E385" s="19">
        <v>312.71</v>
      </c>
      <c r="F385" s="19">
        <v>308.4</v>
      </c>
      <c r="G385" s="19">
        <v>308.21</v>
      </c>
      <c r="H385" s="19">
        <v>316.93</v>
      </c>
      <c r="I385" s="19">
        <v>322.92</v>
      </c>
      <c r="J385" s="19">
        <v>336.27</v>
      </c>
      <c r="K385" s="19">
        <v>341.65</v>
      </c>
      <c r="L385" s="19">
        <v>320.06</v>
      </c>
      <c r="M385" s="19">
        <v>299.75</v>
      </c>
      <c r="N385" s="19">
        <v>287.83</v>
      </c>
      <c r="O385" s="19">
        <v>294.84</v>
      </c>
      <c r="P385" s="19">
        <v>298.98</v>
      </c>
      <c r="Q385" s="19">
        <v>307.99</v>
      </c>
      <c r="R385" s="19">
        <v>327.92</v>
      </c>
      <c r="S385" s="19">
        <v>355.11</v>
      </c>
      <c r="T385" s="19">
        <v>377.62</v>
      </c>
      <c r="U385" s="19">
        <v>386.3</v>
      </c>
      <c r="V385" s="19">
        <v>377.22</v>
      </c>
      <c r="W385" s="19">
        <v>393.9</v>
      </c>
      <c r="X385" s="19">
        <v>381.31</v>
      </c>
      <c r="Y385" s="19">
        <v>347.15</v>
      </c>
      <c r="Z385" s="34" t="s">
        <v>36</v>
      </c>
      <c r="AA385" s="25">
        <f>MIN($B$385:$Y$385)</f>
        <v>287.83</v>
      </c>
      <c r="AB385" s="25">
        <f>AVERAGE($B$385:$Y$385)</f>
        <v>333.278333333333</v>
      </c>
    </row>
    <row r="386" spans="1:28">
      <c r="A386" s="30">
        <v>45676</v>
      </c>
      <c r="B386" s="19">
        <v>398.1</v>
      </c>
      <c r="C386" s="19">
        <v>349.34</v>
      </c>
      <c r="D386" s="19">
        <v>332.13</v>
      </c>
      <c r="E386" s="19">
        <v>325.26</v>
      </c>
      <c r="F386" s="19">
        <v>316.07</v>
      </c>
      <c r="G386" s="19">
        <v>316.68</v>
      </c>
      <c r="H386" s="19">
        <v>326.22</v>
      </c>
      <c r="I386" s="19">
        <v>332.76</v>
      </c>
      <c r="J386" s="19">
        <v>326.27</v>
      </c>
      <c r="K386" s="19">
        <v>321.54</v>
      </c>
      <c r="L386" s="19">
        <v>213.19</v>
      </c>
      <c r="M386" s="19">
        <v>205.19</v>
      </c>
      <c r="N386" s="19">
        <v>132.47</v>
      </c>
      <c r="O386" s="19">
        <v>82.19</v>
      </c>
      <c r="P386" s="19">
        <v>75.03</v>
      </c>
      <c r="Q386" s="19">
        <v>205.96</v>
      </c>
      <c r="R386" s="19">
        <v>316.99</v>
      </c>
      <c r="S386" s="19">
        <v>362.46</v>
      </c>
      <c r="T386" s="19">
        <v>398.53</v>
      </c>
      <c r="U386" s="19">
        <v>433.15</v>
      </c>
      <c r="V386" s="19">
        <v>400.27</v>
      </c>
      <c r="W386" s="19">
        <v>411.61</v>
      </c>
      <c r="X386" s="19">
        <v>427.24</v>
      </c>
      <c r="Y386" s="19">
        <v>347.43</v>
      </c>
      <c r="Z386" s="35" t="s">
        <v>37</v>
      </c>
      <c r="AA386" s="25">
        <f>MIN($B$386:$Y$386)</f>
        <v>75.03</v>
      </c>
      <c r="AB386" s="25">
        <f>AVERAGE($B$386:$Y$386)</f>
        <v>306.503333333333</v>
      </c>
    </row>
    <row r="387" spans="1:28">
      <c r="A387" s="30">
        <v>45677</v>
      </c>
      <c r="B387" s="19">
        <v>408.8</v>
      </c>
      <c r="C387" s="19">
        <v>341.22</v>
      </c>
      <c r="D387" s="19">
        <v>324.95</v>
      </c>
      <c r="E387" s="19">
        <v>313.52</v>
      </c>
      <c r="F387" s="19">
        <v>308.04</v>
      </c>
      <c r="G387" s="19">
        <v>309.96</v>
      </c>
      <c r="H387" s="19">
        <v>322.5</v>
      </c>
      <c r="I387" s="19">
        <v>335.93</v>
      </c>
      <c r="J387" s="19">
        <v>349.81</v>
      </c>
      <c r="K387" s="19">
        <v>353.08</v>
      </c>
      <c r="L387" s="19">
        <v>329.71</v>
      </c>
      <c r="M387" s="19">
        <v>302.58</v>
      </c>
      <c r="N387" s="19">
        <v>292.56</v>
      </c>
      <c r="O387" s="19">
        <v>284.94</v>
      </c>
      <c r="P387" s="19">
        <v>242.64</v>
      </c>
      <c r="Q387" s="19">
        <v>301.96</v>
      </c>
      <c r="R387" s="19">
        <v>327.71</v>
      </c>
      <c r="S387" s="19">
        <v>366.85</v>
      </c>
      <c r="T387" s="19">
        <v>430.54</v>
      </c>
      <c r="U387" s="19">
        <v>442.28</v>
      </c>
      <c r="V387" s="19">
        <v>421.73</v>
      </c>
      <c r="W387" s="19">
        <v>427.13</v>
      </c>
      <c r="X387" s="19">
        <v>431.36</v>
      </c>
      <c r="Y387" s="19">
        <v>351.19</v>
      </c>
      <c r="Z387" s="32" t="s">
        <v>32</v>
      </c>
      <c r="AA387" s="25">
        <f>MIN($B$387:$Y$387)</f>
        <v>242.64</v>
      </c>
      <c r="AB387" s="25">
        <f>AVERAGE($B$387:$Y$387)</f>
        <v>346.707916666667</v>
      </c>
    </row>
    <row r="388" spans="1:28">
      <c r="A388" s="30">
        <v>45678</v>
      </c>
      <c r="B388" s="19">
        <v>346.11</v>
      </c>
      <c r="C388" s="19">
        <v>330.98</v>
      </c>
      <c r="D388" s="19">
        <v>326.74</v>
      </c>
      <c r="E388" s="19">
        <v>321.39</v>
      </c>
      <c r="F388" s="19">
        <v>314.43</v>
      </c>
      <c r="G388" s="19">
        <v>313.2</v>
      </c>
      <c r="H388" s="19">
        <v>316.61</v>
      </c>
      <c r="I388" s="19">
        <v>323.1</v>
      </c>
      <c r="J388" s="19">
        <v>316.24</v>
      </c>
      <c r="K388" s="19">
        <v>304.1</v>
      </c>
      <c r="L388" s="19">
        <v>196.66</v>
      </c>
      <c r="M388" s="19">
        <v>29.23</v>
      </c>
      <c r="N388" s="19">
        <v>0.91</v>
      </c>
      <c r="O388" s="19">
        <v>0</v>
      </c>
      <c r="P388" s="19">
        <v>0</v>
      </c>
      <c r="Q388" s="19">
        <v>0</v>
      </c>
      <c r="R388" s="19">
        <v>216.29</v>
      </c>
      <c r="S388" s="19">
        <v>311.22</v>
      </c>
      <c r="T388" s="19">
        <v>332.59</v>
      </c>
      <c r="U388" s="19">
        <v>340.36</v>
      </c>
      <c r="V388" s="19">
        <v>335.32</v>
      </c>
      <c r="W388" s="19">
        <v>337.88</v>
      </c>
      <c r="X388" s="19">
        <v>350.16</v>
      </c>
      <c r="Y388" s="19">
        <v>318.2</v>
      </c>
      <c r="Z388" s="33" t="s">
        <v>32</v>
      </c>
      <c r="AA388" s="25">
        <f>MIN($B$388:$Y$388)</f>
        <v>0</v>
      </c>
      <c r="AB388" s="25">
        <f>AVERAGE($B$388:$Y$388)</f>
        <v>249.238333333333</v>
      </c>
    </row>
    <row r="389" spans="1:28">
      <c r="A389" s="30">
        <v>45679</v>
      </c>
      <c r="B389" s="19">
        <v>313.76</v>
      </c>
      <c r="C389" s="19">
        <v>300.53</v>
      </c>
      <c r="D389" s="19">
        <v>298.76</v>
      </c>
      <c r="E389" s="19">
        <v>300.06</v>
      </c>
      <c r="F389" s="19">
        <v>298.75</v>
      </c>
      <c r="G389" s="19">
        <v>298.5</v>
      </c>
      <c r="H389" s="19">
        <v>299.7</v>
      </c>
      <c r="I389" s="19">
        <v>300.17</v>
      </c>
      <c r="J389" s="19">
        <v>298.5</v>
      </c>
      <c r="K389" s="19">
        <v>287.19</v>
      </c>
      <c r="L389" s="19">
        <v>152.51</v>
      </c>
      <c r="M389" s="19">
        <v>94.03</v>
      </c>
      <c r="N389" s="19">
        <v>169.67</v>
      </c>
      <c r="O389" s="19">
        <v>81.39</v>
      </c>
      <c r="P389" s="19">
        <v>61.28</v>
      </c>
      <c r="Q389" s="19">
        <v>164.6</v>
      </c>
      <c r="R389" s="19">
        <v>279.4</v>
      </c>
      <c r="S389" s="19">
        <v>295.76</v>
      </c>
      <c r="T389" s="19">
        <v>315.13</v>
      </c>
      <c r="U389" s="19">
        <v>314.96</v>
      </c>
      <c r="V389" s="19">
        <v>311.15</v>
      </c>
      <c r="W389" s="19">
        <v>316.9</v>
      </c>
      <c r="X389" s="19">
        <v>354.27</v>
      </c>
      <c r="Y389" s="19">
        <v>339.48</v>
      </c>
      <c r="Z389" s="32" t="s">
        <v>32</v>
      </c>
      <c r="AA389" s="25">
        <f>MIN($B$389:$Y$389)</f>
        <v>61.28</v>
      </c>
      <c r="AB389" s="25">
        <f>AVERAGE($B$389:$Y$389)</f>
        <v>260.26875</v>
      </c>
    </row>
    <row r="390" spans="1:28">
      <c r="A390" s="30">
        <v>45680</v>
      </c>
      <c r="B390" s="19">
        <v>316.76</v>
      </c>
      <c r="C390" s="19">
        <v>287.39</v>
      </c>
      <c r="D390" s="19">
        <v>279.05</v>
      </c>
      <c r="E390" s="19">
        <v>280.69</v>
      </c>
      <c r="F390" s="19">
        <v>280</v>
      </c>
      <c r="G390" s="19">
        <v>280.74</v>
      </c>
      <c r="H390" s="19">
        <v>292.07</v>
      </c>
      <c r="I390" s="19">
        <v>299.01</v>
      </c>
      <c r="J390" s="19">
        <v>298</v>
      </c>
      <c r="K390" s="19">
        <v>288.53</v>
      </c>
      <c r="L390" s="19">
        <v>136.5</v>
      </c>
      <c r="M390" s="19">
        <v>0.41</v>
      </c>
      <c r="N390" s="19">
        <v>184.03</v>
      </c>
      <c r="O390" s="19">
        <v>0.5</v>
      </c>
      <c r="P390" s="19">
        <v>0</v>
      </c>
      <c r="Q390" s="19">
        <v>0.23</v>
      </c>
      <c r="R390" s="19">
        <v>139.08</v>
      </c>
      <c r="S390" s="19">
        <v>291.36</v>
      </c>
      <c r="T390" s="19">
        <v>315.2</v>
      </c>
      <c r="U390" s="19">
        <v>317.81</v>
      </c>
      <c r="V390" s="19">
        <v>314.5</v>
      </c>
      <c r="W390" s="19">
        <v>313.75</v>
      </c>
      <c r="X390" s="19">
        <v>313</v>
      </c>
      <c r="Y390" s="19">
        <v>298.28</v>
      </c>
      <c r="Z390" s="38" t="s">
        <v>35</v>
      </c>
      <c r="AA390" s="25">
        <f>MIN($B$390:$Y$390)</f>
        <v>0</v>
      </c>
      <c r="AB390" s="25">
        <f>AVERAGE($B$390:$Y$390)</f>
        <v>230.287083333333</v>
      </c>
    </row>
    <row r="391" spans="1:28">
      <c r="A391" s="30">
        <v>45681</v>
      </c>
      <c r="B391" s="19">
        <v>312.25</v>
      </c>
      <c r="C391" s="19">
        <v>218.75</v>
      </c>
      <c r="D391" s="19">
        <v>95.03</v>
      </c>
      <c r="E391" s="19">
        <v>84.5</v>
      </c>
      <c r="F391" s="19">
        <v>1.25</v>
      </c>
      <c r="G391" s="19">
        <v>31.25</v>
      </c>
      <c r="H391" s="19">
        <v>188.75</v>
      </c>
      <c r="I391" s="19">
        <v>260.01</v>
      </c>
      <c r="J391" s="19">
        <v>102.5</v>
      </c>
      <c r="K391" s="19">
        <v>1.5</v>
      </c>
      <c r="L391" s="19">
        <v>0</v>
      </c>
      <c r="M391" s="19">
        <v>0</v>
      </c>
      <c r="N391" s="19">
        <v>68.78</v>
      </c>
      <c r="O391" s="19">
        <v>142.53</v>
      </c>
      <c r="P391" s="19">
        <v>1.25</v>
      </c>
      <c r="Q391" s="19">
        <v>72.5</v>
      </c>
      <c r="R391" s="19">
        <v>1.25</v>
      </c>
      <c r="S391" s="19">
        <v>3.75</v>
      </c>
      <c r="T391" s="19">
        <v>259.7</v>
      </c>
      <c r="U391" s="19">
        <v>247.44</v>
      </c>
      <c r="V391" s="19">
        <v>129.61</v>
      </c>
      <c r="W391" s="19">
        <v>213.78</v>
      </c>
      <c r="X391" s="19">
        <v>295.54</v>
      </c>
      <c r="Y391" s="19">
        <v>287.75</v>
      </c>
      <c r="Z391" s="39" t="s">
        <v>35</v>
      </c>
      <c r="AA391" s="25">
        <f>MIN($B$391:$Y$391)</f>
        <v>0</v>
      </c>
      <c r="AB391" s="25">
        <f>AVERAGE($B$391:$Y$391)</f>
        <v>125.819583333333</v>
      </c>
    </row>
    <row r="392" spans="1:28">
      <c r="A392" s="30">
        <v>45682</v>
      </c>
      <c r="B392" s="19">
        <v>304.28</v>
      </c>
      <c r="C392" s="19">
        <v>287.53</v>
      </c>
      <c r="D392" s="19">
        <v>27.5</v>
      </c>
      <c r="E392" s="19">
        <v>182.5</v>
      </c>
      <c r="F392" s="19">
        <v>0</v>
      </c>
      <c r="G392" s="19">
        <v>15.23</v>
      </c>
      <c r="H392" s="19">
        <v>45</v>
      </c>
      <c r="I392" s="19">
        <v>198.75</v>
      </c>
      <c r="J392" s="19">
        <v>0</v>
      </c>
      <c r="K392" s="19">
        <v>0</v>
      </c>
      <c r="L392" s="19">
        <v>25.84</v>
      </c>
      <c r="M392" s="19">
        <v>11.64</v>
      </c>
      <c r="N392" s="19">
        <v>27.5</v>
      </c>
      <c r="O392" s="19">
        <v>0</v>
      </c>
      <c r="P392" s="19">
        <v>0</v>
      </c>
      <c r="Q392" s="19">
        <v>143.98</v>
      </c>
      <c r="R392" s="19">
        <v>0</v>
      </c>
      <c r="S392" s="19">
        <v>0</v>
      </c>
      <c r="T392" s="19">
        <v>0</v>
      </c>
      <c r="U392" s="19">
        <v>0</v>
      </c>
      <c r="V392" s="19">
        <v>3.87</v>
      </c>
      <c r="W392" s="19">
        <v>107.5</v>
      </c>
      <c r="X392" s="19">
        <v>294.35</v>
      </c>
      <c r="Y392" s="19">
        <v>298.32</v>
      </c>
      <c r="Z392" s="38" t="s">
        <v>35</v>
      </c>
      <c r="AA392" s="25">
        <f>MIN($B$392:$Y$392)</f>
        <v>0</v>
      </c>
      <c r="AB392" s="25">
        <f>AVERAGE($B$392:$Y$392)</f>
        <v>82.24125</v>
      </c>
    </row>
    <row r="393" spans="1:28">
      <c r="A393" s="30">
        <v>45683</v>
      </c>
      <c r="B393" s="19">
        <v>471.12</v>
      </c>
      <c r="C393" s="19">
        <v>320.5</v>
      </c>
      <c r="D393" s="19">
        <v>304.15</v>
      </c>
      <c r="E393" s="19">
        <v>304.6</v>
      </c>
      <c r="F393" s="19">
        <v>302.14</v>
      </c>
      <c r="G393" s="19">
        <v>303.07</v>
      </c>
      <c r="H393" s="19">
        <v>288.5</v>
      </c>
      <c r="I393" s="19">
        <v>277</v>
      </c>
      <c r="J393" s="19">
        <v>257.51</v>
      </c>
      <c r="K393" s="19">
        <v>145.09</v>
      </c>
      <c r="L393" s="19">
        <v>97.19</v>
      </c>
      <c r="M393" s="19">
        <v>116.42</v>
      </c>
      <c r="N393" s="19">
        <v>277.29</v>
      </c>
      <c r="O393" s="19">
        <v>194.89</v>
      </c>
      <c r="P393" s="19">
        <v>267.47</v>
      </c>
      <c r="Q393" s="19">
        <v>255.49</v>
      </c>
      <c r="R393" s="19">
        <v>0</v>
      </c>
      <c r="S393" s="19">
        <v>5.06</v>
      </c>
      <c r="T393" s="19">
        <v>207.32</v>
      </c>
      <c r="U393" s="19">
        <v>259.56</v>
      </c>
      <c r="V393" s="19">
        <v>247.86</v>
      </c>
      <c r="W393" s="19">
        <v>264.74</v>
      </c>
      <c r="X393" s="19">
        <v>309.47</v>
      </c>
      <c r="Y393" s="19">
        <v>311.12</v>
      </c>
      <c r="Z393" s="39" t="s">
        <v>35</v>
      </c>
      <c r="AA393" s="25">
        <f>MIN($B$393:$Y$393)</f>
        <v>0</v>
      </c>
      <c r="AB393" s="25">
        <f>AVERAGE($B$393:$Y$393)</f>
        <v>241.148333333333</v>
      </c>
    </row>
    <row r="394" spans="1:28">
      <c r="A394" s="30">
        <v>45684</v>
      </c>
      <c r="B394" s="19">
        <v>356.67</v>
      </c>
      <c r="C394" s="19">
        <v>311.27</v>
      </c>
      <c r="D394" s="19">
        <v>291.47</v>
      </c>
      <c r="E394" s="19">
        <v>273.54</v>
      </c>
      <c r="F394" s="19">
        <v>178.29</v>
      </c>
      <c r="G394" s="19">
        <v>147.33</v>
      </c>
      <c r="H394" s="19">
        <v>253.92</v>
      </c>
      <c r="I394" s="19">
        <v>285.08</v>
      </c>
      <c r="J394" s="19">
        <v>290.86</v>
      </c>
      <c r="K394" s="19">
        <v>277.74</v>
      </c>
      <c r="L394" s="19">
        <v>269.78</v>
      </c>
      <c r="M394" s="19">
        <v>206.66</v>
      </c>
      <c r="N394" s="19">
        <v>269.46</v>
      </c>
      <c r="O394" s="19">
        <v>143.99</v>
      </c>
      <c r="P394" s="19">
        <v>100.31</v>
      </c>
      <c r="Q394" s="19">
        <v>158.72</v>
      </c>
      <c r="R394" s="19">
        <v>77.59</v>
      </c>
      <c r="S394" s="19">
        <v>323.81</v>
      </c>
      <c r="T394" s="19">
        <v>385.93</v>
      </c>
      <c r="U394" s="19">
        <v>393.27</v>
      </c>
      <c r="V394" s="19">
        <v>366.39</v>
      </c>
      <c r="W394" s="19">
        <v>371.39</v>
      </c>
      <c r="X394" s="19">
        <v>359.16</v>
      </c>
      <c r="Y394" s="19">
        <v>305.02</v>
      </c>
      <c r="Z394" s="38" t="s">
        <v>35</v>
      </c>
      <c r="AA394" s="25">
        <f>MIN($B$394:$Y$394)</f>
        <v>77.59</v>
      </c>
      <c r="AB394" s="25">
        <f>AVERAGE($B$394:$Y$394)</f>
        <v>266.56875</v>
      </c>
    </row>
    <row r="395" spans="1:28">
      <c r="A395" s="30">
        <v>45685</v>
      </c>
      <c r="B395" s="19">
        <v>340.14</v>
      </c>
      <c r="C395" s="19">
        <v>332.05</v>
      </c>
      <c r="D395" s="19">
        <v>326.33</v>
      </c>
      <c r="E395" s="19">
        <v>303.39</v>
      </c>
      <c r="F395" s="19">
        <v>305.7</v>
      </c>
      <c r="G395" s="19">
        <v>300.64</v>
      </c>
      <c r="H395" s="19">
        <v>301.78</v>
      </c>
      <c r="I395" s="19">
        <v>323.37</v>
      </c>
      <c r="J395" s="19">
        <v>308.75</v>
      </c>
      <c r="K395" s="19">
        <v>301.84</v>
      </c>
      <c r="L395" s="19">
        <v>276</v>
      </c>
      <c r="M395" s="19">
        <v>108.07</v>
      </c>
      <c r="N395" s="19">
        <v>66.26</v>
      </c>
      <c r="O395" s="19">
        <v>0</v>
      </c>
      <c r="P395" s="19">
        <v>0</v>
      </c>
      <c r="Q395" s="19">
        <v>63.75</v>
      </c>
      <c r="R395" s="19">
        <v>200.79</v>
      </c>
      <c r="S395" s="19">
        <v>301.91</v>
      </c>
      <c r="T395" s="19">
        <v>356.38</v>
      </c>
      <c r="U395" s="19">
        <v>354.19</v>
      </c>
      <c r="V395" s="19">
        <v>339.75</v>
      </c>
      <c r="W395" s="19">
        <v>366.92</v>
      </c>
      <c r="X395" s="19">
        <v>355.95</v>
      </c>
      <c r="Y395" s="19">
        <v>355</v>
      </c>
      <c r="Z395" s="40" t="s">
        <v>31</v>
      </c>
      <c r="AA395" s="25">
        <f>MIN($B$395:$Y$395)</f>
        <v>0</v>
      </c>
      <c r="AB395" s="25">
        <f>AVERAGE($B$395:$Y$395)</f>
        <v>262.04</v>
      </c>
    </row>
    <row r="396" spans="1:28">
      <c r="A396" s="30">
        <v>45686</v>
      </c>
      <c r="B396" s="19">
        <v>343.75</v>
      </c>
      <c r="C396" s="19">
        <v>335.03</v>
      </c>
      <c r="D396" s="19">
        <v>306.78</v>
      </c>
      <c r="E396" s="19">
        <v>275.75</v>
      </c>
      <c r="F396" s="19">
        <v>279.75</v>
      </c>
      <c r="G396" s="19">
        <v>254</v>
      </c>
      <c r="H396" s="19">
        <v>240.5</v>
      </c>
      <c r="I396" s="19">
        <v>245.24</v>
      </c>
      <c r="J396" s="19">
        <v>152.46</v>
      </c>
      <c r="K396" s="19">
        <v>0</v>
      </c>
      <c r="L396" s="19">
        <v>0</v>
      </c>
      <c r="M396" s="19">
        <v>0</v>
      </c>
      <c r="N396" s="19">
        <v>0</v>
      </c>
      <c r="O396" s="19">
        <v>0</v>
      </c>
      <c r="P396" s="19">
        <v>0</v>
      </c>
      <c r="Q396" s="19">
        <v>0</v>
      </c>
      <c r="R396" s="19">
        <v>0</v>
      </c>
      <c r="S396" s="19">
        <v>211.03</v>
      </c>
      <c r="T396" s="19">
        <v>313.94</v>
      </c>
      <c r="U396" s="19">
        <v>316.71</v>
      </c>
      <c r="V396" s="19">
        <v>307.74</v>
      </c>
      <c r="W396" s="19">
        <v>309.13</v>
      </c>
      <c r="X396" s="19">
        <v>292.42</v>
      </c>
      <c r="Y396" s="19">
        <v>299.37</v>
      </c>
      <c r="Z396" s="41" t="s">
        <v>31</v>
      </c>
      <c r="AA396" s="25">
        <f>MIN($B$396:$Y$396)</f>
        <v>0</v>
      </c>
      <c r="AB396" s="25">
        <f>AVERAGE($B$396:$Y$396)</f>
        <v>186.816666666667</v>
      </c>
    </row>
    <row r="397" spans="1:28">
      <c r="A397" s="30">
        <v>45687</v>
      </c>
      <c r="B397" s="19">
        <v>251.85</v>
      </c>
      <c r="C397" s="19">
        <v>294.52</v>
      </c>
      <c r="D397" s="19">
        <v>241.04</v>
      </c>
      <c r="E397" s="19">
        <v>112.7</v>
      </c>
      <c r="F397" s="19">
        <v>215.53</v>
      </c>
      <c r="G397" s="19">
        <v>122.16</v>
      </c>
      <c r="H397" s="19">
        <v>98.72</v>
      </c>
      <c r="I397" s="19">
        <v>116.7</v>
      </c>
      <c r="J397" s="19">
        <v>63.75</v>
      </c>
      <c r="K397" s="19">
        <v>25.1</v>
      </c>
      <c r="L397" s="19">
        <v>0</v>
      </c>
      <c r="M397" s="19">
        <v>0</v>
      </c>
      <c r="N397" s="19">
        <v>0</v>
      </c>
      <c r="O397" s="19">
        <v>0</v>
      </c>
      <c r="P397" s="19">
        <v>0</v>
      </c>
      <c r="Q397" s="19">
        <v>0</v>
      </c>
      <c r="R397" s="19">
        <v>75.56</v>
      </c>
      <c r="S397" s="19">
        <v>265.82</v>
      </c>
      <c r="T397" s="19">
        <v>296.12</v>
      </c>
      <c r="U397" s="19">
        <v>296.72</v>
      </c>
      <c r="V397" s="19">
        <v>296.68</v>
      </c>
      <c r="W397" s="19">
        <v>295.79</v>
      </c>
      <c r="X397" s="19">
        <v>257.88</v>
      </c>
      <c r="Y397" s="19">
        <v>153.34</v>
      </c>
      <c r="Z397" s="40" t="s">
        <v>31</v>
      </c>
      <c r="AA397" s="25">
        <f>MIN($B$397:$Y$397)</f>
        <v>0</v>
      </c>
      <c r="AB397" s="25">
        <f>AVERAGE($B$397:$Y$397)</f>
        <v>144.999166666667</v>
      </c>
    </row>
    <row r="398" spans="1:28">
      <c r="A398" s="30">
        <v>45688</v>
      </c>
      <c r="B398" s="19">
        <v>253.59</v>
      </c>
      <c r="C398" s="19">
        <v>316.28</v>
      </c>
      <c r="D398" s="19">
        <v>303.84</v>
      </c>
      <c r="E398" s="19">
        <v>298.58</v>
      </c>
      <c r="F398" s="19">
        <v>300.82</v>
      </c>
      <c r="G398" s="19">
        <v>298.33</v>
      </c>
      <c r="H398" s="19">
        <v>300.32</v>
      </c>
      <c r="I398" s="19">
        <v>328.92</v>
      </c>
      <c r="J398" s="19">
        <v>365</v>
      </c>
      <c r="K398" s="19">
        <v>346.75</v>
      </c>
      <c r="L398" s="19">
        <v>327.53</v>
      </c>
      <c r="M398" s="19">
        <v>296.35</v>
      </c>
      <c r="N398" s="19">
        <v>282.54</v>
      </c>
      <c r="O398" s="19">
        <v>277</v>
      </c>
      <c r="P398" s="19">
        <v>127.5</v>
      </c>
      <c r="Q398" s="19">
        <v>280.03</v>
      </c>
      <c r="R398" s="19">
        <v>299.78</v>
      </c>
      <c r="S398" s="19">
        <v>341.25</v>
      </c>
      <c r="T398" s="19">
        <v>371.25</v>
      </c>
      <c r="U398" s="19">
        <v>363.89</v>
      </c>
      <c r="V398" s="19">
        <v>362.5</v>
      </c>
      <c r="W398" s="19">
        <v>371.25</v>
      </c>
      <c r="X398" s="19">
        <v>361.25</v>
      </c>
      <c r="Y398" s="19">
        <v>327.53</v>
      </c>
      <c r="Z398" s="41" t="s">
        <v>31</v>
      </c>
      <c r="AA398" s="25">
        <f>MIN($B$398:$Y$398)</f>
        <v>127.5</v>
      </c>
      <c r="AB398" s="25">
        <f>AVERAGE($B$398:$Y$398)</f>
        <v>312.586666666667</v>
      </c>
    </row>
    <row r="399" spans="1:28">
      <c r="A399" s="30">
        <v>45689</v>
      </c>
      <c r="B399" s="19">
        <v>344.25</v>
      </c>
      <c r="C399" s="19">
        <v>376.25</v>
      </c>
      <c r="D399" s="19">
        <v>361.25</v>
      </c>
      <c r="E399" s="19">
        <v>336.89</v>
      </c>
      <c r="F399" s="19">
        <v>325.08</v>
      </c>
      <c r="G399" s="19">
        <v>319.25</v>
      </c>
      <c r="H399" s="19">
        <v>334.25</v>
      </c>
      <c r="I399" s="19">
        <v>342.39</v>
      </c>
      <c r="J399" s="19">
        <v>358.19</v>
      </c>
      <c r="K399" s="19">
        <v>391.25</v>
      </c>
      <c r="L399" s="19">
        <v>353.75</v>
      </c>
      <c r="M399" s="19">
        <v>306.79</v>
      </c>
      <c r="N399" s="19">
        <v>327.5</v>
      </c>
      <c r="O399" s="19">
        <v>318.75</v>
      </c>
      <c r="P399" s="19">
        <v>295.34</v>
      </c>
      <c r="Q399" s="19">
        <v>294.33</v>
      </c>
      <c r="R399" s="19">
        <v>331.28</v>
      </c>
      <c r="S399" s="19">
        <v>368.75</v>
      </c>
      <c r="T399" s="19">
        <v>368.57</v>
      </c>
      <c r="U399" s="19">
        <v>372.46</v>
      </c>
      <c r="V399" s="19">
        <v>376.33</v>
      </c>
      <c r="W399" s="19">
        <v>383.27</v>
      </c>
      <c r="X399" s="19">
        <v>386.25</v>
      </c>
      <c r="Y399" s="19">
        <v>362.64</v>
      </c>
      <c r="Z399" s="39" t="s">
        <v>35</v>
      </c>
      <c r="AA399" s="25">
        <f>MIN($B$399:$Y$399)</f>
        <v>294.33</v>
      </c>
      <c r="AB399" s="25">
        <f>AVERAGE($B$399:$Y$399)</f>
        <v>347.294166666667</v>
      </c>
    </row>
    <row r="400" spans="1:28">
      <c r="A400" s="30">
        <v>45690</v>
      </c>
      <c r="B400" s="19">
        <v>340.75</v>
      </c>
      <c r="C400" s="19">
        <v>338.5</v>
      </c>
      <c r="D400" s="19">
        <v>350.14</v>
      </c>
      <c r="E400" s="19">
        <v>344.03</v>
      </c>
      <c r="F400" s="19">
        <v>332.5</v>
      </c>
      <c r="G400" s="19">
        <v>325.25</v>
      </c>
      <c r="H400" s="19">
        <v>330.25</v>
      </c>
      <c r="I400" s="19">
        <v>339.5</v>
      </c>
      <c r="J400" s="19">
        <v>361.39</v>
      </c>
      <c r="K400" s="19">
        <v>361.25</v>
      </c>
      <c r="L400" s="19">
        <v>341.25</v>
      </c>
      <c r="M400" s="19">
        <v>329</v>
      </c>
      <c r="N400" s="19">
        <v>377.64</v>
      </c>
      <c r="O400" s="19">
        <v>405</v>
      </c>
      <c r="P400" s="19">
        <v>348.25</v>
      </c>
      <c r="Q400" s="19">
        <v>334</v>
      </c>
      <c r="R400" s="19">
        <v>362.5</v>
      </c>
      <c r="S400" s="19">
        <v>385</v>
      </c>
      <c r="T400" s="19">
        <v>363.89</v>
      </c>
      <c r="U400" s="19">
        <v>347</v>
      </c>
      <c r="V400" s="19">
        <v>344</v>
      </c>
      <c r="W400" s="19">
        <v>339</v>
      </c>
      <c r="X400" s="19">
        <v>322.28</v>
      </c>
      <c r="Y400" s="19">
        <v>306.31</v>
      </c>
      <c r="Z400" s="38" t="s">
        <v>35</v>
      </c>
      <c r="AA400" s="25">
        <f>MIN($B$400:$Y$400)</f>
        <v>306.31</v>
      </c>
      <c r="AB400" s="25">
        <f>AVERAGE($B$400:$Y$400)</f>
        <v>347.028333333333</v>
      </c>
    </row>
    <row r="401" spans="1:28">
      <c r="A401" s="30">
        <v>45691</v>
      </c>
      <c r="B401" s="19">
        <v>311.97</v>
      </c>
      <c r="C401" s="19">
        <v>302.61</v>
      </c>
      <c r="D401" s="19">
        <v>305.03</v>
      </c>
      <c r="E401" s="19">
        <v>296.28</v>
      </c>
      <c r="F401" s="19">
        <v>257</v>
      </c>
      <c r="G401" s="19">
        <v>254.8</v>
      </c>
      <c r="H401" s="19">
        <v>268.73</v>
      </c>
      <c r="I401" s="19">
        <v>295.3</v>
      </c>
      <c r="J401" s="19">
        <v>323.59</v>
      </c>
      <c r="K401" s="19">
        <v>320.09</v>
      </c>
      <c r="L401" s="19">
        <v>323.15</v>
      </c>
      <c r="M401" s="19">
        <v>330.68</v>
      </c>
      <c r="N401" s="19">
        <v>345.75</v>
      </c>
      <c r="O401" s="19">
        <v>319.61</v>
      </c>
      <c r="P401" s="19">
        <v>300.51</v>
      </c>
      <c r="Q401" s="19">
        <v>298.55</v>
      </c>
      <c r="R401" s="19">
        <v>313.54</v>
      </c>
      <c r="S401" s="19">
        <v>330.78</v>
      </c>
      <c r="T401" s="19">
        <v>323.61</v>
      </c>
      <c r="U401" s="19">
        <v>321.11</v>
      </c>
      <c r="V401" s="19">
        <v>319.92</v>
      </c>
      <c r="W401" s="19">
        <v>330.55</v>
      </c>
      <c r="X401" s="19">
        <v>324.26</v>
      </c>
      <c r="Y401" s="19">
        <v>305.39</v>
      </c>
      <c r="Z401" s="39" t="s">
        <v>35</v>
      </c>
      <c r="AA401" s="25">
        <f>MIN($B$401:$Y$401)</f>
        <v>254.8</v>
      </c>
      <c r="AB401" s="25">
        <f>AVERAGE($B$401:$Y$401)</f>
        <v>309.28375</v>
      </c>
    </row>
    <row r="402" spans="1:28">
      <c r="A402" s="30">
        <v>45692</v>
      </c>
      <c r="B402" s="19">
        <v>220.42</v>
      </c>
      <c r="C402" s="19">
        <v>243.34</v>
      </c>
      <c r="D402" s="19">
        <v>271.16</v>
      </c>
      <c r="E402" s="19">
        <v>266.98</v>
      </c>
      <c r="F402" s="19">
        <v>252.41</v>
      </c>
      <c r="G402" s="19">
        <v>248.7</v>
      </c>
      <c r="H402" s="19">
        <v>260.27</v>
      </c>
      <c r="I402" s="19">
        <v>266.04</v>
      </c>
      <c r="J402" s="19">
        <v>292.54</v>
      </c>
      <c r="K402" s="19">
        <v>295.7</v>
      </c>
      <c r="L402" s="19">
        <v>282.95</v>
      </c>
      <c r="M402" s="19">
        <v>165.89</v>
      </c>
      <c r="N402" s="19">
        <v>164.86</v>
      </c>
      <c r="O402" s="19">
        <v>192.25</v>
      </c>
      <c r="P402" s="19">
        <v>62.5</v>
      </c>
      <c r="Q402" s="19">
        <v>127.5</v>
      </c>
      <c r="R402" s="19">
        <v>308.78</v>
      </c>
      <c r="S402" s="19">
        <v>351.75</v>
      </c>
      <c r="T402" s="19">
        <v>345.65</v>
      </c>
      <c r="U402" s="19">
        <v>337.99</v>
      </c>
      <c r="V402" s="19">
        <v>329.41</v>
      </c>
      <c r="W402" s="19">
        <v>334.66</v>
      </c>
      <c r="X402" s="19">
        <v>327.2</v>
      </c>
      <c r="Y402" s="19">
        <v>299.07</v>
      </c>
      <c r="Z402" s="38" t="s">
        <v>35</v>
      </c>
      <c r="AA402" s="25">
        <f>MIN($B$402:$Y$402)</f>
        <v>62.5</v>
      </c>
      <c r="AB402" s="25">
        <f>AVERAGE($B$402:$Y$402)</f>
        <v>260.334166666667</v>
      </c>
    </row>
    <row r="403" spans="1:28">
      <c r="A403" s="30">
        <v>45693</v>
      </c>
      <c r="B403" s="19">
        <v>341.75</v>
      </c>
      <c r="C403" s="19">
        <v>307.83</v>
      </c>
      <c r="D403" s="19">
        <v>306.2</v>
      </c>
      <c r="E403" s="19">
        <v>303.85</v>
      </c>
      <c r="F403" s="19">
        <v>298.01</v>
      </c>
      <c r="G403" s="19">
        <v>296.25</v>
      </c>
      <c r="H403" s="19">
        <v>297</v>
      </c>
      <c r="I403" s="19">
        <v>291.5</v>
      </c>
      <c r="J403" s="19">
        <v>304.43</v>
      </c>
      <c r="K403" s="19">
        <v>305.64</v>
      </c>
      <c r="L403" s="19">
        <v>305.67</v>
      </c>
      <c r="M403" s="19">
        <v>304.26</v>
      </c>
      <c r="N403" s="19">
        <v>300.78</v>
      </c>
      <c r="O403" s="19">
        <v>295.25</v>
      </c>
      <c r="P403" s="19">
        <v>286.5</v>
      </c>
      <c r="Q403" s="19">
        <v>292.5</v>
      </c>
      <c r="R403" s="19">
        <v>296.78</v>
      </c>
      <c r="S403" s="19">
        <v>313.11</v>
      </c>
      <c r="T403" s="19">
        <v>332.41</v>
      </c>
      <c r="U403" s="19">
        <v>353.71</v>
      </c>
      <c r="V403" s="19">
        <v>345.12</v>
      </c>
      <c r="W403" s="19">
        <v>342.42</v>
      </c>
      <c r="X403" s="19">
        <v>333.68</v>
      </c>
      <c r="Y403" s="19">
        <v>307.96</v>
      </c>
      <c r="Z403" s="39" t="s">
        <v>35</v>
      </c>
      <c r="AA403" s="25">
        <f>MIN($B$403:$Y$403)</f>
        <v>286.5</v>
      </c>
      <c r="AB403" s="25">
        <f>AVERAGE($B$403:$Y$403)</f>
        <v>310.942083333333</v>
      </c>
    </row>
    <row r="404" spans="1:28">
      <c r="A404" s="30">
        <v>45694</v>
      </c>
      <c r="B404" s="19">
        <v>319.96</v>
      </c>
      <c r="C404" s="19">
        <v>302.1</v>
      </c>
      <c r="D404" s="19">
        <v>300.6</v>
      </c>
      <c r="E404" s="19">
        <v>295.85</v>
      </c>
      <c r="F404" s="19">
        <v>291.78</v>
      </c>
      <c r="G404" s="19">
        <v>291.5</v>
      </c>
      <c r="H404" s="19">
        <v>293.75</v>
      </c>
      <c r="I404" s="19">
        <v>295.81</v>
      </c>
      <c r="J404" s="19">
        <v>311</v>
      </c>
      <c r="K404" s="19">
        <v>314.33</v>
      </c>
      <c r="L404" s="19">
        <v>303.39</v>
      </c>
      <c r="M404" s="19">
        <v>300.06</v>
      </c>
      <c r="N404" s="19">
        <v>298.42</v>
      </c>
      <c r="O404" s="19">
        <v>295.82</v>
      </c>
      <c r="P404" s="19">
        <v>292.94</v>
      </c>
      <c r="Q404" s="19">
        <v>288.8</v>
      </c>
      <c r="R404" s="19">
        <v>282.55</v>
      </c>
      <c r="S404" s="19">
        <v>305.57</v>
      </c>
      <c r="T404" s="19">
        <v>324.71</v>
      </c>
      <c r="U404" s="19">
        <v>321.29</v>
      </c>
      <c r="V404" s="19">
        <v>322.11</v>
      </c>
      <c r="W404" s="19">
        <v>317.66</v>
      </c>
      <c r="X404" s="19">
        <v>303.82</v>
      </c>
      <c r="Y404" s="19">
        <v>264.81</v>
      </c>
      <c r="Z404" s="38" t="s">
        <v>35</v>
      </c>
      <c r="AA404" s="25">
        <f>MIN($B$404:$Y$404)</f>
        <v>264.81</v>
      </c>
      <c r="AB404" s="25">
        <f>AVERAGE($B$404:$Y$404)</f>
        <v>301.609583333333</v>
      </c>
    </row>
    <row r="405" spans="1:28">
      <c r="A405" s="30">
        <v>45695</v>
      </c>
      <c r="B405" s="19">
        <v>292.53</v>
      </c>
      <c r="C405" s="19">
        <v>282.9</v>
      </c>
      <c r="D405" s="19">
        <v>280.56</v>
      </c>
      <c r="E405" s="19">
        <v>268.31</v>
      </c>
      <c r="F405" s="19">
        <v>254.12</v>
      </c>
      <c r="G405" s="19">
        <v>261.18</v>
      </c>
      <c r="H405" s="19">
        <v>250.44</v>
      </c>
      <c r="I405" s="19">
        <v>274.83</v>
      </c>
      <c r="J405" s="19">
        <v>308.89</v>
      </c>
      <c r="K405" s="19">
        <v>315.53</v>
      </c>
      <c r="L405" s="19">
        <v>313</v>
      </c>
      <c r="M405" s="19">
        <v>312.63</v>
      </c>
      <c r="N405" s="19">
        <v>304.59</v>
      </c>
      <c r="O405" s="19">
        <v>302.95</v>
      </c>
      <c r="P405" s="19">
        <v>299.9</v>
      </c>
      <c r="Q405" s="19">
        <v>299.41</v>
      </c>
      <c r="R405" s="19">
        <v>308.36</v>
      </c>
      <c r="S405" s="19">
        <v>324.97</v>
      </c>
      <c r="T405" s="19">
        <v>327.58</v>
      </c>
      <c r="U405" s="19">
        <v>329.1</v>
      </c>
      <c r="V405" s="19">
        <v>322.44</v>
      </c>
      <c r="W405" s="19">
        <v>312.87</v>
      </c>
      <c r="X405" s="19">
        <v>305.16</v>
      </c>
      <c r="Y405" s="19">
        <v>278.95</v>
      </c>
      <c r="Z405" s="39" t="s">
        <v>35</v>
      </c>
      <c r="AA405" s="25">
        <f>MIN($B$405:$Y$405)</f>
        <v>250.44</v>
      </c>
      <c r="AB405" s="25">
        <f>AVERAGE($B$405:$Y$405)</f>
        <v>297.133333333333</v>
      </c>
    </row>
    <row r="406" spans="1:28">
      <c r="A406" s="30">
        <v>45696</v>
      </c>
      <c r="B406" s="19">
        <v>299.74</v>
      </c>
      <c r="C406" s="19">
        <v>287.36</v>
      </c>
      <c r="D406" s="19">
        <v>283.89</v>
      </c>
      <c r="E406" s="19">
        <v>276.75</v>
      </c>
      <c r="F406" s="19">
        <v>267.09</v>
      </c>
      <c r="G406" s="19">
        <v>268.37</v>
      </c>
      <c r="H406" s="19">
        <v>277.75</v>
      </c>
      <c r="I406" s="19">
        <v>290.94</v>
      </c>
      <c r="J406" s="19">
        <v>319.25</v>
      </c>
      <c r="K406" s="19">
        <v>316.45</v>
      </c>
      <c r="L406" s="19">
        <v>298.31</v>
      </c>
      <c r="M406" s="19">
        <v>298.03</v>
      </c>
      <c r="N406" s="19">
        <v>281.13</v>
      </c>
      <c r="O406" s="19">
        <v>280.27</v>
      </c>
      <c r="P406" s="19">
        <v>288.81</v>
      </c>
      <c r="Q406" s="19">
        <v>297.6</v>
      </c>
      <c r="R406" s="19">
        <v>316.72</v>
      </c>
      <c r="S406" s="19">
        <v>364.69</v>
      </c>
      <c r="T406" s="19">
        <v>382.13</v>
      </c>
      <c r="U406" s="19">
        <v>370.64</v>
      </c>
      <c r="V406" s="19">
        <v>355.67</v>
      </c>
      <c r="W406" s="19">
        <v>358.87</v>
      </c>
      <c r="X406" s="19">
        <v>356.74</v>
      </c>
      <c r="Y406" s="19">
        <v>314.77</v>
      </c>
      <c r="Z406" s="38" t="s">
        <v>35</v>
      </c>
      <c r="AA406" s="25">
        <f>MIN($B$406:$Y$406)</f>
        <v>267.09</v>
      </c>
      <c r="AB406" s="25">
        <f>AVERAGE($B$406:$Y$406)</f>
        <v>310.49875</v>
      </c>
    </row>
    <row r="407" spans="1:28">
      <c r="A407" s="30">
        <v>45697</v>
      </c>
      <c r="B407" s="19">
        <v>303.38</v>
      </c>
      <c r="C407" s="19">
        <v>294.93</v>
      </c>
      <c r="D407" s="19">
        <v>291.33</v>
      </c>
      <c r="E407" s="19">
        <v>285.73</v>
      </c>
      <c r="F407" s="19">
        <v>283.65</v>
      </c>
      <c r="G407" s="19">
        <v>283.5</v>
      </c>
      <c r="H407" s="19">
        <v>282.55</v>
      </c>
      <c r="I407" s="19">
        <v>289.09</v>
      </c>
      <c r="J407" s="19">
        <v>307.74</v>
      </c>
      <c r="K407" s="19">
        <v>304.79</v>
      </c>
      <c r="L407" s="19">
        <v>297.92</v>
      </c>
      <c r="M407" s="19">
        <v>301.13</v>
      </c>
      <c r="N407" s="19">
        <v>293.63</v>
      </c>
      <c r="O407" s="19">
        <v>292.97</v>
      </c>
      <c r="P407" s="19">
        <v>296.97</v>
      </c>
      <c r="Q407" s="19">
        <v>301.03</v>
      </c>
      <c r="R407" s="19">
        <v>314.47</v>
      </c>
      <c r="S407" s="19">
        <v>352.13</v>
      </c>
      <c r="T407" s="19">
        <v>397.41</v>
      </c>
      <c r="U407" s="19">
        <v>410.76</v>
      </c>
      <c r="V407" s="19">
        <v>383.53</v>
      </c>
      <c r="W407" s="19">
        <v>387.77</v>
      </c>
      <c r="X407" s="19">
        <v>358.66</v>
      </c>
      <c r="Y407" s="19">
        <v>318.39</v>
      </c>
      <c r="Z407" s="39" t="s">
        <v>35</v>
      </c>
      <c r="AA407" s="25">
        <f>MIN($B$407:$Y$407)</f>
        <v>282.55</v>
      </c>
      <c r="AB407" s="25">
        <f>AVERAGE($B$407:$Y$407)</f>
        <v>318.060833333333</v>
      </c>
    </row>
    <row r="408" spans="1:28">
      <c r="A408" s="30">
        <v>45698</v>
      </c>
      <c r="B408" s="19">
        <v>313.82</v>
      </c>
      <c r="C408" s="19">
        <v>310.04</v>
      </c>
      <c r="D408" s="19">
        <v>305.34</v>
      </c>
      <c r="E408" s="19">
        <v>298.54</v>
      </c>
      <c r="F408" s="19">
        <v>291.43</v>
      </c>
      <c r="G408" s="19">
        <v>291.58</v>
      </c>
      <c r="H408" s="19">
        <v>304.83</v>
      </c>
      <c r="I408" s="19">
        <v>311.82</v>
      </c>
      <c r="J408" s="19">
        <v>345.94</v>
      </c>
      <c r="K408" s="19">
        <v>328.79</v>
      </c>
      <c r="L408" s="19">
        <v>296.94</v>
      </c>
      <c r="M408" s="19">
        <v>285.77</v>
      </c>
      <c r="N408" s="19">
        <v>270.2</v>
      </c>
      <c r="O408" s="19">
        <v>270.64</v>
      </c>
      <c r="P408" s="19">
        <v>263.88</v>
      </c>
      <c r="Q408" s="19">
        <v>276.2</v>
      </c>
      <c r="R408" s="19">
        <v>300.66</v>
      </c>
      <c r="S408" s="19">
        <v>318.69</v>
      </c>
      <c r="T408" s="19">
        <v>365.78</v>
      </c>
      <c r="U408" s="19">
        <v>378.53</v>
      </c>
      <c r="V408" s="19">
        <v>370.66</v>
      </c>
      <c r="W408" s="19">
        <v>366.08</v>
      </c>
      <c r="X408" s="19">
        <v>347.63</v>
      </c>
      <c r="Y408" s="19">
        <v>303.4</v>
      </c>
      <c r="Z408" s="33" t="s">
        <v>32</v>
      </c>
      <c r="AA408" s="25">
        <f>MIN($B$408:$Y$408)</f>
        <v>263.88</v>
      </c>
      <c r="AB408" s="25">
        <f>AVERAGE($B$408:$Y$408)</f>
        <v>313.21625</v>
      </c>
    </row>
    <row r="409" spans="1:28">
      <c r="A409" s="30">
        <v>45699</v>
      </c>
      <c r="B409" s="19">
        <v>322.66</v>
      </c>
      <c r="C409" s="19">
        <v>307.4</v>
      </c>
      <c r="D409" s="19">
        <v>299.31</v>
      </c>
      <c r="E409" s="19">
        <v>293.99</v>
      </c>
      <c r="F409" s="19">
        <v>288.11</v>
      </c>
      <c r="G409" s="19">
        <v>287.72</v>
      </c>
      <c r="H409" s="19">
        <v>300.74</v>
      </c>
      <c r="I409" s="19">
        <v>307.65</v>
      </c>
      <c r="J409" s="19">
        <v>326.23</v>
      </c>
      <c r="K409" s="19">
        <v>323.54</v>
      </c>
      <c r="L409" s="19">
        <v>307.31</v>
      </c>
      <c r="M409" s="19">
        <v>298</v>
      </c>
      <c r="N409" s="19">
        <v>285.99</v>
      </c>
      <c r="O409" s="19">
        <v>292.06</v>
      </c>
      <c r="P409" s="19">
        <v>297.12</v>
      </c>
      <c r="Q409" s="19">
        <v>298.82</v>
      </c>
      <c r="R409" s="19">
        <v>327.36</v>
      </c>
      <c r="S409" s="19">
        <v>330.6</v>
      </c>
      <c r="T409" s="19">
        <v>353.18</v>
      </c>
      <c r="U409" s="19">
        <v>374.05</v>
      </c>
      <c r="V409" s="19">
        <v>358.65</v>
      </c>
      <c r="W409" s="19">
        <v>372.12</v>
      </c>
      <c r="X409" s="19">
        <v>360.86</v>
      </c>
      <c r="Y409" s="19">
        <v>325.16</v>
      </c>
      <c r="Z409" s="32" t="s">
        <v>32</v>
      </c>
      <c r="AA409" s="25">
        <f>MIN($B$409:$Y$409)</f>
        <v>285.99</v>
      </c>
      <c r="AB409" s="25">
        <f>AVERAGE($B$409:$Y$409)</f>
        <v>318.27625</v>
      </c>
    </row>
    <row r="410" spans="1:28">
      <c r="A410" s="30">
        <v>45700</v>
      </c>
      <c r="B410" s="19">
        <v>325.93</v>
      </c>
      <c r="C410" s="19">
        <v>313.53</v>
      </c>
      <c r="D410" s="19">
        <v>309.18</v>
      </c>
      <c r="E410" s="19">
        <v>307.7</v>
      </c>
      <c r="F410" s="19">
        <v>297.33</v>
      </c>
      <c r="G410" s="19">
        <v>303.39</v>
      </c>
      <c r="H410" s="19">
        <v>310.8</v>
      </c>
      <c r="I410" s="19">
        <v>318.88</v>
      </c>
      <c r="J410" s="19">
        <v>347.91</v>
      </c>
      <c r="K410" s="19">
        <v>348.61</v>
      </c>
      <c r="L410" s="19">
        <v>333.91</v>
      </c>
      <c r="M410" s="19">
        <v>330.56</v>
      </c>
      <c r="N410" s="19">
        <v>308.94</v>
      </c>
      <c r="O410" s="19">
        <v>315.1</v>
      </c>
      <c r="P410" s="19">
        <v>323.11</v>
      </c>
      <c r="Q410" s="19">
        <v>328.69</v>
      </c>
      <c r="R410" s="19">
        <v>342.97</v>
      </c>
      <c r="S410" s="19">
        <v>349.61</v>
      </c>
      <c r="T410" s="19">
        <v>360.2</v>
      </c>
      <c r="U410" s="19">
        <v>373.27</v>
      </c>
      <c r="V410" s="19">
        <v>358.15</v>
      </c>
      <c r="W410" s="19">
        <v>370.11</v>
      </c>
      <c r="X410" s="19">
        <v>380.31</v>
      </c>
      <c r="Y410" s="19">
        <v>334.9</v>
      </c>
      <c r="Z410" s="33" t="s">
        <v>32</v>
      </c>
      <c r="AA410" s="25">
        <f>MIN($B$410:$Y$410)</f>
        <v>297.33</v>
      </c>
      <c r="AB410" s="25">
        <f>AVERAGE($B$410:$Y$410)</f>
        <v>333.045416666667</v>
      </c>
    </row>
    <row r="411" spans="1:28">
      <c r="A411" s="30">
        <v>45701</v>
      </c>
      <c r="B411" s="19">
        <v>341.56</v>
      </c>
      <c r="C411" s="19">
        <v>324.04</v>
      </c>
      <c r="D411" s="19">
        <v>314.32</v>
      </c>
      <c r="E411" s="19">
        <v>298.63</v>
      </c>
      <c r="F411" s="19">
        <v>286.66</v>
      </c>
      <c r="G411" s="19">
        <v>283.89</v>
      </c>
      <c r="H411" s="19">
        <v>300.03</v>
      </c>
      <c r="I411" s="19">
        <v>307.61</v>
      </c>
      <c r="J411" s="19">
        <v>350.71</v>
      </c>
      <c r="K411" s="19">
        <v>346.43</v>
      </c>
      <c r="L411" s="19">
        <v>340.8</v>
      </c>
      <c r="M411" s="19">
        <v>335.48</v>
      </c>
      <c r="N411" s="19">
        <v>292.89</v>
      </c>
      <c r="O411" s="19">
        <v>291.41</v>
      </c>
      <c r="P411" s="19">
        <v>295.77</v>
      </c>
      <c r="Q411" s="19">
        <v>303.73</v>
      </c>
      <c r="R411" s="19">
        <v>333.02</v>
      </c>
      <c r="S411" s="19">
        <v>346.13</v>
      </c>
      <c r="T411" s="19">
        <v>366.53</v>
      </c>
      <c r="U411" s="19">
        <v>367.1</v>
      </c>
      <c r="V411" s="19">
        <v>350.58</v>
      </c>
      <c r="W411" s="19">
        <v>367.67</v>
      </c>
      <c r="X411" s="19">
        <v>366.38</v>
      </c>
      <c r="Y411" s="19">
        <v>325.26</v>
      </c>
      <c r="Z411" s="32" t="s">
        <v>32</v>
      </c>
      <c r="AA411" s="25">
        <f>MIN($B$411:$Y$411)</f>
        <v>283.89</v>
      </c>
      <c r="AB411" s="25">
        <f>AVERAGE($B$411:$Y$411)</f>
        <v>326.52625</v>
      </c>
    </row>
    <row r="412" spans="1:28">
      <c r="A412" s="30">
        <v>45702</v>
      </c>
      <c r="B412" s="19">
        <v>330.94</v>
      </c>
      <c r="C412" s="19">
        <v>316.94</v>
      </c>
      <c r="D412" s="19">
        <v>309.87</v>
      </c>
      <c r="E412" s="19">
        <v>300.86</v>
      </c>
      <c r="F412" s="19">
        <v>296.39</v>
      </c>
      <c r="G412" s="19">
        <v>296.32</v>
      </c>
      <c r="H412" s="19">
        <v>310.75</v>
      </c>
      <c r="I412" s="19">
        <v>322.45</v>
      </c>
      <c r="J412" s="19">
        <v>367.42</v>
      </c>
      <c r="K412" s="19">
        <v>362.48</v>
      </c>
      <c r="L412" s="19">
        <v>347.25</v>
      </c>
      <c r="M412" s="19">
        <v>342.34</v>
      </c>
      <c r="N412" s="19">
        <v>312.26</v>
      </c>
      <c r="O412" s="19">
        <v>313.38</v>
      </c>
      <c r="P412" s="19">
        <v>320.35</v>
      </c>
      <c r="Q412" s="19">
        <v>324.9</v>
      </c>
      <c r="R412" s="19">
        <v>349.29</v>
      </c>
      <c r="S412" s="19">
        <v>377.92</v>
      </c>
      <c r="T412" s="19">
        <v>379.13</v>
      </c>
      <c r="U412" s="19">
        <v>398.62</v>
      </c>
      <c r="V412" s="19">
        <v>391.68</v>
      </c>
      <c r="W412" s="19">
        <v>397.13</v>
      </c>
      <c r="X412" s="19">
        <v>382.81</v>
      </c>
      <c r="Y412" s="19">
        <v>334.8</v>
      </c>
      <c r="Z412" s="33" t="s">
        <v>32</v>
      </c>
      <c r="AA412" s="25">
        <f>MIN($B$412:$Y$412)</f>
        <v>296.32</v>
      </c>
      <c r="AB412" s="25">
        <f>AVERAGE($B$412:$Y$412)</f>
        <v>341.095</v>
      </c>
    </row>
    <row r="413" spans="1:28">
      <c r="A413" s="30">
        <v>45703</v>
      </c>
      <c r="B413" s="19">
        <v>326.34</v>
      </c>
      <c r="C413" s="19">
        <v>321.76</v>
      </c>
      <c r="D413" s="19">
        <v>315.28</v>
      </c>
      <c r="E413" s="19">
        <v>305.84</v>
      </c>
      <c r="F413" s="19">
        <v>298.97</v>
      </c>
      <c r="G413" s="19">
        <v>298.27</v>
      </c>
      <c r="H413" s="19">
        <v>310.21</v>
      </c>
      <c r="I413" s="19">
        <v>316.52</v>
      </c>
      <c r="J413" s="19">
        <v>356.24</v>
      </c>
      <c r="K413" s="19">
        <v>364.35</v>
      </c>
      <c r="L413" s="19">
        <v>345.12</v>
      </c>
      <c r="M413" s="19">
        <v>341.32</v>
      </c>
      <c r="N413" s="19">
        <v>311.62</v>
      </c>
      <c r="O413" s="19">
        <v>313.79</v>
      </c>
      <c r="P413" s="19">
        <v>323.86</v>
      </c>
      <c r="Q413" s="19">
        <v>327.99</v>
      </c>
      <c r="R413" s="19">
        <v>339.93</v>
      </c>
      <c r="S413" s="19">
        <v>368.63</v>
      </c>
      <c r="T413" s="19">
        <v>363.2</v>
      </c>
      <c r="U413" s="19">
        <v>361.05</v>
      </c>
      <c r="V413" s="19">
        <v>356.23</v>
      </c>
      <c r="W413" s="19">
        <v>357.28</v>
      </c>
      <c r="X413" s="19">
        <v>353.52</v>
      </c>
      <c r="Y413" s="19">
        <v>323.57</v>
      </c>
      <c r="Z413" s="34" t="s">
        <v>36</v>
      </c>
      <c r="AA413" s="25">
        <f>MIN($B$413:$Y$413)</f>
        <v>298.27</v>
      </c>
      <c r="AB413" s="25">
        <f>AVERAGE($B$413:$Y$413)</f>
        <v>333.370416666667</v>
      </c>
    </row>
    <row r="414" spans="1:28">
      <c r="A414" s="30">
        <v>45704</v>
      </c>
      <c r="B414" s="19">
        <v>359.78</v>
      </c>
      <c r="C414" s="19">
        <v>357.04</v>
      </c>
      <c r="D414" s="19">
        <v>348.03</v>
      </c>
      <c r="E414" s="19">
        <v>329.54</v>
      </c>
      <c r="F414" s="19">
        <v>325.22</v>
      </c>
      <c r="G414" s="19">
        <v>323.52</v>
      </c>
      <c r="H414" s="19">
        <v>327.65</v>
      </c>
      <c r="I414" s="19">
        <v>328.66</v>
      </c>
      <c r="J414" s="19">
        <v>345.58</v>
      </c>
      <c r="K414" s="19">
        <v>333.24</v>
      </c>
      <c r="L414" s="19">
        <v>325.18</v>
      </c>
      <c r="M414" s="19">
        <v>321.52</v>
      </c>
      <c r="N414" s="19">
        <v>310.6</v>
      </c>
      <c r="O414" s="19">
        <v>311.5</v>
      </c>
      <c r="P414" s="19">
        <v>311.36</v>
      </c>
      <c r="Q414" s="19">
        <v>317.26</v>
      </c>
      <c r="R414" s="19">
        <v>326.51</v>
      </c>
      <c r="S414" s="19">
        <v>343.43</v>
      </c>
      <c r="T414" s="19">
        <v>358.97</v>
      </c>
      <c r="U414" s="19">
        <v>374.36</v>
      </c>
      <c r="V414" s="19">
        <v>359.29</v>
      </c>
      <c r="W414" s="19">
        <v>352.35</v>
      </c>
      <c r="X414" s="19">
        <v>340.77</v>
      </c>
      <c r="Y414" s="19">
        <v>317.81</v>
      </c>
      <c r="Z414" s="35" t="s">
        <v>37</v>
      </c>
      <c r="AA414" s="25">
        <f>MIN($B$414:$Y$414)</f>
        <v>310.6</v>
      </c>
      <c r="AB414" s="25">
        <f>AVERAGE($B$414:$Y$414)</f>
        <v>335.382083333333</v>
      </c>
    </row>
    <row r="415" spans="1:28">
      <c r="A415" s="30">
        <v>45705</v>
      </c>
      <c r="B415" s="19">
        <v>321.73</v>
      </c>
      <c r="C415" s="19">
        <v>316.21</v>
      </c>
      <c r="D415" s="19">
        <v>298.01</v>
      </c>
      <c r="E415" s="19">
        <v>290.26</v>
      </c>
      <c r="F415" s="19">
        <v>282.81</v>
      </c>
      <c r="G415" s="19">
        <v>283.45</v>
      </c>
      <c r="H415" s="19">
        <v>300.11</v>
      </c>
      <c r="I415" s="19">
        <v>318.73</v>
      </c>
      <c r="J415" s="19">
        <v>380.15</v>
      </c>
      <c r="K415" s="19">
        <v>394.61</v>
      </c>
      <c r="L415" s="19">
        <v>362.51</v>
      </c>
      <c r="M415" s="19">
        <v>345.63</v>
      </c>
      <c r="N415" s="19">
        <v>293.66</v>
      </c>
      <c r="O415" s="19">
        <v>294.72</v>
      </c>
      <c r="P415" s="19">
        <v>305.37</v>
      </c>
      <c r="Q415" s="19">
        <v>314.45</v>
      </c>
      <c r="R415" s="19">
        <v>348.86</v>
      </c>
      <c r="S415" s="19">
        <v>374.34</v>
      </c>
      <c r="T415" s="19">
        <v>386.89</v>
      </c>
      <c r="U415" s="19">
        <v>398.12</v>
      </c>
      <c r="V415" s="19">
        <v>383.08</v>
      </c>
      <c r="W415" s="19">
        <v>358.4</v>
      </c>
      <c r="X415" s="19">
        <v>346.31</v>
      </c>
      <c r="Y415" s="19">
        <v>311.98</v>
      </c>
      <c r="Z415" s="32" t="s">
        <v>32</v>
      </c>
      <c r="AA415" s="25">
        <f>MIN($B$415:$Y$415)</f>
        <v>282.81</v>
      </c>
      <c r="AB415" s="25">
        <f>AVERAGE($B$415:$Y$415)</f>
        <v>333.76625</v>
      </c>
    </row>
    <row r="416" spans="1:28">
      <c r="A416" s="30">
        <v>45706</v>
      </c>
      <c r="B416" s="19">
        <v>325.99</v>
      </c>
      <c r="C416" s="19">
        <v>320.49</v>
      </c>
      <c r="D416" s="19">
        <v>303.48</v>
      </c>
      <c r="E416" s="19">
        <v>296.09</v>
      </c>
      <c r="F416" s="19">
        <v>289.27</v>
      </c>
      <c r="G416" s="19">
        <v>289.78</v>
      </c>
      <c r="H416" s="19">
        <v>308.92</v>
      </c>
      <c r="I416" s="19">
        <v>324.73</v>
      </c>
      <c r="J416" s="19">
        <v>362.76</v>
      </c>
      <c r="K416" s="19">
        <v>370.18</v>
      </c>
      <c r="L416" s="19">
        <v>351.56</v>
      </c>
      <c r="M416" s="19">
        <v>334.23</v>
      </c>
      <c r="N416" s="19">
        <v>290.55</v>
      </c>
      <c r="O416" s="19">
        <v>293.91</v>
      </c>
      <c r="P416" s="19">
        <v>302.46</v>
      </c>
      <c r="Q416" s="19">
        <v>311.74</v>
      </c>
      <c r="R416" s="19">
        <v>344.21</v>
      </c>
      <c r="S416" s="19">
        <v>359.45</v>
      </c>
      <c r="T416" s="19">
        <v>420.92</v>
      </c>
      <c r="U416" s="19">
        <v>491.97</v>
      </c>
      <c r="V416" s="19">
        <v>412.39</v>
      </c>
      <c r="W416" s="19">
        <v>379.7</v>
      </c>
      <c r="X416" s="19">
        <v>354.22</v>
      </c>
      <c r="Y416" s="19">
        <v>311.21</v>
      </c>
      <c r="Z416" s="33" t="s">
        <v>32</v>
      </c>
      <c r="AA416" s="25">
        <f>MIN($B$416:$Y$416)</f>
        <v>289.27</v>
      </c>
      <c r="AB416" s="25">
        <f>AVERAGE($B$416:$Y$416)</f>
        <v>339.592083333333</v>
      </c>
    </row>
    <row r="417" spans="1:28">
      <c r="A417" s="30">
        <v>45707</v>
      </c>
      <c r="B417" s="19">
        <v>317.42</v>
      </c>
      <c r="C417" s="19">
        <v>315.57</v>
      </c>
      <c r="D417" s="19">
        <v>301.18</v>
      </c>
      <c r="E417" s="19">
        <v>294.22</v>
      </c>
      <c r="F417" s="19">
        <v>287.92</v>
      </c>
      <c r="G417" s="19">
        <v>290.23</v>
      </c>
      <c r="H417" s="19">
        <v>310.45</v>
      </c>
      <c r="I417" s="19">
        <v>334.37</v>
      </c>
      <c r="J417" s="19">
        <v>487.82</v>
      </c>
      <c r="K417" s="19">
        <v>429.48</v>
      </c>
      <c r="L417" s="19">
        <v>363.07</v>
      </c>
      <c r="M417" s="19">
        <v>330.36</v>
      </c>
      <c r="N417" s="19">
        <v>285.21</v>
      </c>
      <c r="O417" s="19">
        <v>292.04</v>
      </c>
      <c r="P417" s="19">
        <v>305.1</v>
      </c>
      <c r="Q417" s="19">
        <v>321.31</v>
      </c>
      <c r="R417" s="19">
        <v>355.69</v>
      </c>
      <c r="S417" s="19">
        <v>384.33</v>
      </c>
      <c r="T417" s="19">
        <v>431.43</v>
      </c>
      <c r="U417" s="19">
        <v>485.34</v>
      </c>
      <c r="V417" s="19">
        <v>404.34</v>
      </c>
      <c r="W417" s="19">
        <v>380.66</v>
      </c>
      <c r="X417" s="19">
        <v>336.35</v>
      </c>
      <c r="Y417" s="19">
        <v>300.71</v>
      </c>
      <c r="Z417" s="32" t="s">
        <v>32</v>
      </c>
      <c r="AA417" s="25">
        <f>MIN($B$417:$Y$417)</f>
        <v>285.21</v>
      </c>
      <c r="AB417" s="25">
        <f>AVERAGE($B$417:$Y$417)</f>
        <v>347.691666666667</v>
      </c>
    </row>
    <row r="418" spans="1:28">
      <c r="A418" s="30">
        <v>45708</v>
      </c>
      <c r="B418" s="19">
        <v>321.22</v>
      </c>
      <c r="C418" s="19">
        <v>324.99</v>
      </c>
      <c r="D418" s="19">
        <v>314.35</v>
      </c>
      <c r="E418" s="19">
        <v>307.79</v>
      </c>
      <c r="F418" s="19">
        <v>303.04</v>
      </c>
      <c r="G418" s="19">
        <v>309.65</v>
      </c>
      <c r="H418" s="19">
        <v>336.52</v>
      </c>
      <c r="I418" s="19">
        <v>361.79</v>
      </c>
      <c r="J418" s="19">
        <v>455.73</v>
      </c>
      <c r="K418" s="19">
        <v>496.05</v>
      </c>
      <c r="L418" s="19">
        <v>364.78</v>
      </c>
      <c r="M418" s="19">
        <v>334.97</v>
      </c>
      <c r="N418" s="19">
        <v>290.33</v>
      </c>
      <c r="O418" s="19">
        <v>293.94</v>
      </c>
      <c r="P418" s="19">
        <v>309.46</v>
      </c>
      <c r="Q418" s="19">
        <v>319.94</v>
      </c>
      <c r="R418" s="19">
        <v>356.13</v>
      </c>
      <c r="S418" s="19">
        <v>384.54</v>
      </c>
      <c r="T418" s="19">
        <v>424.8</v>
      </c>
      <c r="U418" s="19">
        <v>475.79</v>
      </c>
      <c r="V418" s="19">
        <v>411.51</v>
      </c>
      <c r="W418" s="19">
        <v>388.35</v>
      </c>
      <c r="X418" s="19">
        <v>382.45</v>
      </c>
      <c r="Y418" s="19">
        <v>336.61</v>
      </c>
      <c r="Z418" s="33" t="s">
        <v>32</v>
      </c>
      <c r="AA418" s="25">
        <f>MIN($B$418:$Y$418)</f>
        <v>290.33</v>
      </c>
      <c r="AB418" s="25">
        <f>AVERAGE($B$418:$Y$418)</f>
        <v>358.530416666667</v>
      </c>
    </row>
    <row r="419" spans="1:28">
      <c r="A419" s="30">
        <v>45709</v>
      </c>
      <c r="B419" s="19">
        <v>325.51</v>
      </c>
      <c r="C419" s="19">
        <v>331.45</v>
      </c>
      <c r="D419" s="19">
        <v>323.12</v>
      </c>
      <c r="E419" s="19">
        <v>314.83</v>
      </c>
      <c r="F419" s="19">
        <v>309.82</v>
      </c>
      <c r="G419" s="19">
        <v>310.21</v>
      </c>
      <c r="H419" s="19">
        <v>333.6</v>
      </c>
      <c r="I419" s="19">
        <v>362.29</v>
      </c>
      <c r="J419" s="19">
        <v>555.6</v>
      </c>
      <c r="K419" s="19">
        <v>499.89</v>
      </c>
      <c r="L419" s="19">
        <v>363.92</v>
      </c>
      <c r="M419" s="19">
        <v>336.21</v>
      </c>
      <c r="N419" s="19">
        <v>284.51</v>
      </c>
      <c r="O419" s="19">
        <v>293.18</v>
      </c>
      <c r="P419" s="19">
        <v>306.76</v>
      </c>
      <c r="Q419" s="19">
        <v>312.13</v>
      </c>
      <c r="R419" s="19">
        <v>362.55</v>
      </c>
      <c r="S419" s="19">
        <v>375.05</v>
      </c>
      <c r="T419" s="19">
        <v>400.46</v>
      </c>
      <c r="U419" s="19">
        <v>421.47</v>
      </c>
      <c r="V419" s="19">
        <v>378.44</v>
      </c>
      <c r="W419" s="19">
        <v>380.38</v>
      </c>
      <c r="X419" s="19">
        <v>368.96</v>
      </c>
      <c r="Y419" s="19">
        <v>328.17</v>
      </c>
      <c r="Z419" s="32" t="s">
        <v>32</v>
      </c>
      <c r="AA419" s="25">
        <f>MIN($B$419:$Y$419)</f>
        <v>284.51</v>
      </c>
      <c r="AB419" s="25">
        <f>AVERAGE($B$419:$Y$419)</f>
        <v>357.437916666667</v>
      </c>
    </row>
    <row r="420" spans="1:28">
      <c r="A420" s="30">
        <v>45710</v>
      </c>
      <c r="B420" s="19">
        <v>337.37</v>
      </c>
      <c r="C420" s="19">
        <v>342.53</v>
      </c>
      <c r="D420" s="19">
        <v>335.45</v>
      </c>
      <c r="E420" s="19">
        <v>317</v>
      </c>
      <c r="F420" s="19">
        <v>307.35</v>
      </c>
      <c r="G420" s="19">
        <v>304.99</v>
      </c>
      <c r="H420" s="19">
        <v>325.78</v>
      </c>
      <c r="I420" s="19">
        <v>339.78</v>
      </c>
      <c r="J420" s="19">
        <v>369.89</v>
      </c>
      <c r="K420" s="19">
        <v>406.74</v>
      </c>
      <c r="L420" s="19">
        <v>373.36</v>
      </c>
      <c r="M420" s="19">
        <v>351.72</v>
      </c>
      <c r="N420" s="19">
        <v>291.17</v>
      </c>
      <c r="O420" s="19">
        <v>291.57</v>
      </c>
      <c r="P420" s="19">
        <v>306.79</v>
      </c>
      <c r="Q420" s="19">
        <v>328.16</v>
      </c>
      <c r="R420" s="19">
        <v>373.1</v>
      </c>
      <c r="S420" s="19">
        <v>375.58</v>
      </c>
      <c r="T420" s="19">
        <v>379.44</v>
      </c>
      <c r="U420" s="19">
        <v>378.89</v>
      </c>
      <c r="V420" s="19">
        <v>353.63</v>
      </c>
      <c r="W420" s="19">
        <v>351.24</v>
      </c>
      <c r="X420" s="19">
        <v>347.97</v>
      </c>
      <c r="Y420" s="19">
        <v>317.48</v>
      </c>
      <c r="Z420" s="36" t="s">
        <v>36</v>
      </c>
      <c r="AA420" s="25">
        <f>MIN($B$420:$Y$420)</f>
        <v>291.17</v>
      </c>
      <c r="AB420" s="25">
        <f>AVERAGE($B$420:$Y$420)</f>
        <v>341.9575</v>
      </c>
    </row>
    <row r="421" spans="1:28">
      <c r="A421" s="30">
        <v>45711</v>
      </c>
      <c r="B421" s="19">
        <v>357.42</v>
      </c>
      <c r="C421" s="19">
        <v>390.49</v>
      </c>
      <c r="D421" s="19">
        <v>345.06</v>
      </c>
      <c r="E421" s="19">
        <v>326.48</v>
      </c>
      <c r="F421" s="19">
        <v>315.65</v>
      </c>
      <c r="G421" s="19">
        <v>313.9</v>
      </c>
      <c r="H421" s="19">
        <v>323.22</v>
      </c>
      <c r="I421" s="19">
        <v>324.87</v>
      </c>
      <c r="J421" s="19">
        <v>334.53</v>
      </c>
      <c r="K421" s="19">
        <v>386.39</v>
      </c>
      <c r="L421" s="19">
        <v>434.36</v>
      </c>
      <c r="M421" s="19">
        <v>505.9</v>
      </c>
      <c r="N421" s="19">
        <v>322.98</v>
      </c>
      <c r="O421" s="19">
        <v>316.5</v>
      </c>
      <c r="P421" s="19">
        <v>320.93</v>
      </c>
      <c r="Q421" s="19">
        <v>339.73</v>
      </c>
      <c r="R421" s="19">
        <v>381.77</v>
      </c>
      <c r="S421" s="19">
        <v>400.6</v>
      </c>
      <c r="T421" s="19">
        <v>392.16</v>
      </c>
      <c r="U421" s="19">
        <v>514.87</v>
      </c>
      <c r="V421" s="19">
        <v>453.24</v>
      </c>
      <c r="W421" s="19">
        <v>407.1</v>
      </c>
      <c r="X421" s="19">
        <v>381.43</v>
      </c>
      <c r="Y421" s="19">
        <v>324.92</v>
      </c>
      <c r="Z421" s="37" t="s">
        <v>37</v>
      </c>
      <c r="AA421" s="25">
        <f>MIN($B$421:$Y$421)</f>
        <v>313.9</v>
      </c>
      <c r="AB421" s="25">
        <f>AVERAGE($B$421:$Y$421)</f>
        <v>371.4375</v>
      </c>
    </row>
    <row r="422" spans="1:28">
      <c r="A422" s="30">
        <v>45712</v>
      </c>
      <c r="B422" s="19">
        <v>338.28</v>
      </c>
      <c r="C422" s="19">
        <v>339.73</v>
      </c>
      <c r="D422" s="19">
        <v>329.37</v>
      </c>
      <c r="E422" s="19">
        <v>314.18</v>
      </c>
      <c r="F422" s="19">
        <v>305.3</v>
      </c>
      <c r="G422" s="19">
        <v>305.06</v>
      </c>
      <c r="H422" s="19">
        <v>333.29</v>
      </c>
      <c r="I422" s="19">
        <v>351.47</v>
      </c>
      <c r="J422" s="19">
        <v>452.76</v>
      </c>
      <c r="K422" s="19">
        <v>533.19</v>
      </c>
      <c r="L422" s="19">
        <v>412.06</v>
      </c>
      <c r="M422" s="19">
        <v>408.4</v>
      </c>
      <c r="N422" s="19">
        <v>254.38</v>
      </c>
      <c r="O422" s="19">
        <v>301.02</v>
      </c>
      <c r="P422" s="19">
        <v>326.04</v>
      </c>
      <c r="Q422" s="19">
        <v>342.04</v>
      </c>
      <c r="R422" s="19">
        <v>384.12</v>
      </c>
      <c r="S422" s="19">
        <v>376.6</v>
      </c>
      <c r="T422" s="19">
        <v>374.19</v>
      </c>
      <c r="U422" s="19">
        <v>403.36</v>
      </c>
      <c r="V422" s="19">
        <v>386.97</v>
      </c>
      <c r="W422" s="19">
        <v>383.18</v>
      </c>
      <c r="X422" s="19">
        <v>388.04</v>
      </c>
      <c r="Y422" s="19">
        <v>347.91</v>
      </c>
      <c r="Z422" s="33" t="s">
        <v>32</v>
      </c>
      <c r="AA422" s="25">
        <f>MIN($B$422:$Y$422)</f>
        <v>254.38</v>
      </c>
      <c r="AB422" s="25">
        <f>AVERAGE($B$422:$Y$422)</f>
        <v>362.1225</v>
      </c>
    </row>
    <row r="423" spans="1:28">
      <c r="A423" s="30">
        <v>45713</v>
      </c>
      <c r="B423" s="19">
        <v>371.83</v>
      </c>
      <c r="C423" s="19">
        <v>358.79</v>
      </c>
      <c r="D423" s="19">
        <v>343.97</v>
      </c>
      <c r="E423" s="19">
        <v>314.08</v>
      </c>
      <c r="F423" s="19">
        <v>303.59</v>
      </c>
      <c r="G423" s="19">
        <v>306.82</v>
      </c>
      <c r="H423" s="19">
        <v>346.98</v>
      </c>
      <c r="I423" s="19">
        <v>370.31</v>
      </c>
      <c r="J423" s="19">
        <v>412.8</v>
      </c>
      <c r="K423" s="19">
        <v>447.28</v>
      </c>
      <c r="L423" s="19">
        <v>399.25</v>
      </c>
      <c r="M423" s="19">
        <v>437.12</v>
      </c>
      <c r="N423" s="19">
        <v>314.92</v>
      </c>
      <c r="O423" s="19">
        <v>324.92</v>
      </c>
      <c r="P423" s="19">
        <v>353.97</v>
      </c>
      <c r="Q423" s="19">
        <v>379.7</v>
      </c>
      <c r="R423" s="19">
        <v>493.55</v>
      </c>
      <c r="S423" s="19">
        <v>472.04</v>
      </c>
      <c r="T423" s="19">
        <v>480.22</v>
      </c>
      <c r="U423" s="19">
        <v>576.93</v>
      </c>
      <c r="V423" s="19">
        <v>544.54</v>
      </c>
      <c r="W423" s="19">
        <v>494.21</v>
      </c>
      <c r="X423" s="19">
        <v>423.03</v>
      </c>
      <c r="Y423" s="19">
        <v>352.04</v>
      </c>
      <c r="Z423" s="32" t="s">
        <v>32</v>
      </c>
      <c r="AA423" s="25">
        <f>MIN($B$423:$Y$423)</f>
        <v>303.59</v>
      </c>
      <c r="AB423" s="25">
        <f>AVERAGE($B$423:$Y$423)</f>
        <v>400.95375</v>
      </c>
    </row>
    <row r="424" spans="1:28">
      <c r="A424" s="30">
        <v>45714</v>
      </c>
      <c r="B424" s="19">
        <v>412.04</v>
      </c>
      <c r="C424" s="19">
        <v>451.2</v>
      </c>
      <c r="D424" s="19">
        <v>368.64</v>
      </c>
      <c r="E424" s="19">
        <v>342.24</v>
      </c>
      <c r="F424" s="19">
        <v>333.01</v>
      </c>
      <c r="G424" s="19">
        <v>335.56</v>
      </c>
      <c r="H424" s="19">
        <v>401.52</v>
      </c>
      <c r="I424" s="19">
        <v>428.66</v>
      </c>
      <c r="J424" s="19">
        <v>468.06</v>
      </c>
      <c r="K424" s="19">
        <v>588.39</v>
      </c>
      <c r="L424" s="19">
        <v>504.29</v>
      </c>
      <c r="M424" s="19">
        <v>560.66</v>
      </c>
      <c r="N424" s="19">
        <v>319.4</v>
      </c>
      <c r="O424" s="19">
        <v>325.87</v>
      </c>
      <c r="P424" s="19">
        <v>338.45</v>
      </c>
      <c r="Q424" s="19">
        <v>350.18</v>
      </c>
      <c r="R424" s="19">
        <v>364.09</v>
      </c>
      <c r="S424" s="19">
        <v>415.24</v>
      </c>
      <c r="T424" s="19">
        <v>414.53</v>
      </c>
      <c r="U424" s="19">
        <v>464.46</v>
      </c>
      <c r="V424" s="19">
        <v>418.53</v>
      </c>
      <c r="W424" s="19">
        <v>429.84</v>
      </c>
      <c r="X424" s="19">
        <v>400.99</v>
      </c>
      <c r="Y424" s="19">
        <v>337.62</v>
      </c>
      <c r="Z424" s="33" t="s">
        <v>32</v>
      </c>
      <c r="AA424" s="25">
        <f>MIN($B$424:$Y$424)</f>
        <v>319.4</v>
      </c>
      <c r="AB424" s="25">
        <f>AVERAGE($B$424:$Y$424)</f>
        <v>407.227916666667</v>
      </c>
    </row>
    <row r="425" spans="1:28">
      <c r="A425" s="30">
        <v>45715</v>
      </c>
      <c r="B425" s="19">
        <v>497.31</v>
      </c>
      <c r="C425" s="19">
        <v>532.37</v>
      </c>
      <c r="D425" s="19">
        <v>403.48</v>
      </c>
      <c r="E425" s="19">
        <v>359.28</v>
      </c>
      <c r="F425" s="19">
        <v>341.81</v>
      </c>
      <c r="G425" s="19">
        <v>342.01</v>
      </c>
      <c r="H425" s="19">
        <v>450.75</v>
      </c>
      <c r="I425" s="19">
        <v>484.81</v>
      </c>
      <c r="J425" s="19">
        <v>544.46</v>
      </c>
      <c r="K425" s="19">
        <v>580.54</v>
      </c>
      <c r="L425" s="19">
        <v>570.87</v>
      </c>
      <c r="M425" s="19">
        <v>572.8</v>
      </c>
      <c r="N425" s="19">
        <v>345.94</v>
      </c>
      <c r="O425" s="19">
        <v>354.57</v>
      </c>
      <c r="P425" s="19">
        <v>367.77</v>
      </c>
      <c r="Q425" s="19">
        <v>415.06</v>
      </c>
      <c r="R425" s="19">
        <v>534.5</v>
      </c>
      <c r="S425" s="19">
        <v>571.37</v>
      </c>
      <c r="T425" s="19">
        <v>601.58</v>
      </c>
      <c r="U425" s="19">
        <v>616.33</v>
      </c>
      <c r="V425" s="19">
        <v>583.1</v>
      </c>
      <c r="W425" s="19">
        <v>559.9</v>
      </c>
      <c r="X425" s="19">
        <v>546.17</v>
      </c>
      <c r="Y425" s="19">
        <v>385.47</v>
      </c>
      <c r="Z425" s="32" t="s">
        <v>32</v>
      </c>
      <c r="AA425" s="25">
        <f>MIN($B$425:$Y$425)</f>
        <v>341.81</v>
      </c>
      <c r="AB425" s="25">
        <f>AVERAGE($B$425:$Y$425)</f>
        <v>481.760416666667</v>
      </c>
    </row>
    <row r="426" spans="1:28">
      <c r="A426" s="30">
        <v>45716</v>
      </c>
      <c r="B426" s="19">
        <v>380.29</v>
      </c>
      <c r="C426" s="19">
        <v>370.55</v>
      </c>
      <c r="D426" s="19">
        <v>352.58</v>
      </c>
      <c r="E426" s="19">
        <v>336.39</v>
      </c>
      <c r="F426" s="19">
        <v>320.76</v>
      </c>
      <c r="G426" s="19">
        <v>313.89</v>
      </c>
      <c r="H426" s="19">
        <v>336.8</v>
      </c>
      <c r="I426" s="19">
        <v>377.72</v>
      </c>
      <c r="J426" s="19">
        <v>459.49</v>
      </c>
      <c r="K426" s="19">
        <v>506.68</v>
      </c>
      <c r="L426" s="19">
        <v>453</v>
      </c>
      <c r="M426" s="19">
        <v>401.58</v>
      </c>
      <c r="N426" s="19">
        <v>305.48</v>
      </c>
      <c r="O426" s="19">
        <v>313.52</v>
      </c>
      <c r="P426" s="19">
        <v>328.72</v>
      </c>
      <c r="Q426" s="19">
        <v>341.14</v>
      </c>
      <c r="R426" s="19">
        <v>384.75</v>
      </c>
      <c r="S426" s="19">
        <v>403.12</v>
      </c>
      <c r="T426" s="19">
        <v>391.44</v>
      </c>
      <c r="U426" s="19">
        <v>421.47</v>
      </c>
      <c r="V426" s="19">
        <v>435.51</v>
      </c>
      <c r="W426" s="19">
        <v>397.13</v>
      </c>
      <c r="X426" s="19">
        <v>363.62</v>
      </c>
      <c r="Y426" s="19">
        <v>328.23</v>
      </c>
      <c r="Z426" s="33" t="s">
        <v>32</v>
      </c>
      <c r="AA426" s="25">
        <f>MIN($B$426:$Y$426)</f>
        <v>305.48</v>
      </c>
      <c r="AB426" s="25">
        <f>AVERAGE($B$426:$Y$426)</f>
        <v>375.994166666667</v>
      </c>
    </row>
    <row r="427" spans="1:28">
      <c r="A427" s="30">
        <v>45717</v>
      </c>
      <c r="B427" s="19">
        <v>328.42</v>
      </c>
      <c r="C427" s="19">
        <v>324.18</v>
      </c>
      <c r="D427" s="19">
        <v>308.89</v>
      </c>
      <c r="E427" s="19">
        <v>300.88</v>
      </c>
      <c r="F427" s="19">
        <v>297.43</v>
      </c>
      <c r="G427" s="19">
        <v>296.78</v>
      </c>
      <c r="H427" s="19">
        <v>307.49</v>
      </c>
      <c r="I427" s="19">
        <v>315.42</v>
      </c>
      <c r="J427" s="19">
        <v>347.25</v>
      </c>
      <c r="K427" s="19">
        <v>357.5</v>
      </c>
      <c r="L427" s="19">
        <v>362.4</v>
      </c>
      <c r="M427" s="19">
        <v>345.63</v>
      </c>
      <c r="N427" s="19">
        <v>290.36</v>
      </c>
      <c r="O427" s="19">
        <v>300.31</v>
      </c>
      <c r="P427" s="19">
        <v>316.38</v>
      </c>
      <c r="Q427" s="19">
        <v>313.83</v>
      </c>
      <c r="R427" s="19">
        <v>337.26</v>
      </c>
      <c r="S427" s="19">
        <v>362.1</v>
      </c>
      <c r="T427" s="19">
        <v>408.96</v>
      </c>
      <c r="U427" s="19">
        <v>428.04</v>
      </c>
      <c r="V427" s="19">
        <v>396.64</v>
      </c>
      <c r="W427" s="19">
        <v>405.23</v>
      </c>
      <c r="X427" s="19">
        <v>346.54</v>
      </c>
      <c r="Y427" s="19">
        <v>307.51</v>
      </c>
      <c r="Z427" s="36" t="s">
        <v>36</v>
      </c>
      <c r="AA427" s="25">
        <f>MIN($B$427:$Y$427)</f>
        <v>290.36</v>
      </c>
      <c r="AB427" s="25">
        <f>AVERAGE($B$427:$Y$427)</f>
        <v>337.72625</v>
      </c>
    </row>
    <row r="428" spans="1:28">
      <c r="A428" s="30">
        <v>45718</v>
      </c>
      <c r="B428" s="19">
        <v>341.61</v>
      </c>
      <c r="C428" s="19">
        <v>323.67</v>
      </c>
      <c r="D428" s="19">
        <v>308.56</v>
      </c>
      <c r="E428" s="19">
        <v>303.41</v>
      </c>
      <c r="F428" s="19">
        <v>300.38</v>
      </c>
      <c r="G428" s="19">
        <v>300.46</v>
      </c>
      <c r="H428" s="19">
        <v>302.98</v>
      </c>
      <c r="I428" s="19">
        <v>304.32</v>
      </c>
      <c r="J428" s="19">
        <v>304.56</v>
      </c>
      <c r="K428" s="19">
        <v>309.65</v>
      </c>
      <c r="L428" s="19">
        <v>307.66</v>
      </c>
      <c r="M428" s="19">
        <v>309.64</v>
      </c>
      <c r="N428" s="19">
        <v>294.34</v>
      </c>
      <c r="O428" s="19">
        <v>288.86</v>
      </c>
      <c r="P428" s="19">
        <v>290.31</v>
      </c>
      <c r="Q428" s="19">
        <v>296.98</v>
      </c>
      <c r="R428" s="19">
        <v>313.24</v>
      </c>
      <c r="S428" s="19">
        <v>352.99</v>
      </c>
      <c r="T428" s="19">
        <v>362.44</v>
      </c>
      <c r="U428" s="19">
        <v>376.09</v>
      </c>
      <c r="V428" s="19">
        <v>374.3</v>
      </c>
      <c r="W428" s="19">
        <v>372.51</v>
      </c>
      <c r="X428" s="19">
        <v>341.39</v>
      </c>
      <c r="Y428" s="19">
        <v>311.89</v>
      </c>
      <c r="Z428" s="37" t="s">
        <v>37</v>
      </c>
      <c r="AA428" s="25">
        <f>MIN($B$428:$Y$428)</f>
        <v>288.86</v>
      </c>
      <c r="AB428" s="25">
        <f>AVERAGE($B$428:$Y$428)</f>
        <v>320.51</v>
      </c>
    </row>
    <row r="429" spans="1:28">
      <c r="A429" s="30">
        <v>45719</v>
      </c>
      <c r="B429" s="19">
        <v>312.07</v>
      </c>
      <c r="C429" s="19">
        <v>322.12</v>
      </c>
      <c r="D429" s="19">
        <v>310.59</v>
      </c>
      <c r="E429" s="19">
        <v>305.08</v>
      </c>
      <c r="F429" s="19">
        <v>302.41</v>
      </c>
      <c r="G429" s="19">
        <v>304.22</v>
      </c>
      <c r="H429" s="19">
        <v>317.39</v>
      </c>
      <c r="I429" s="19">
        <v>333.29</v>
      </c>
      <c r="J429" s="19">
        <v>459.65</v>
      </c>
      <c r="K429" s="19">
        <v>600.25</v>
      </c>
      <c r="L429" s="19">
        <v>442.15</v>
      </c>
      <c r="M429" s="19">
        <v>570</v>
      </c>
      <c r="N429" s="19">
        <v>359.08</v>
      </c>
      <c r="O429" s="19">
        <v>413</v>
      </c>
      <c r="P429" s="19">
        <v>402.84</v>
      </c>
      <c r="Q429" s="19">
        <v>363.2</v>
      </c>
      <c r="R429" s="19">
        <v>406.99</v>
      </c>
      <c r="S429" s="19">
        <v>462.03</v>
      </c>
      <c r="T429" s="19">
        <v>483.29</v>
      </c>
      <c r="U429" s="19">
        <v>455.86</v>
      </c>
      <c r="V429" s="19">
        <v>391.57</v>
      </c>
      <c r="W429" s="19">
        <v>383.12</v>
      </c>
      <c r="X429" s="19">
        <v>376.04</v>
      </c>
      <c r="Y429" s="19">
        <v>334.11</v>
      </c>
      <c r="Z429" s="33" t="s">
        <v>32</v>
      </c>
      <c r="AA429" s="25">
        <f>MIN($B$429:$Y$429)</f>
        <v>302.41</v>
      </c>
      <c r="AB429" s="25">
        <f>AVERAGE($B$429:$Y$429)</f>
        <v>392.097916666667</v>
      </c>
    </row>
    <row r="430" spans="1:28">
      <c r="A430" s="30">
        <v>45720</v>
      </c>
      <c r="B430" s="19">
        <v>351.13</v>
      </c>
      <c r="C430" s="19">
        <v>352.51</v>
      </c>
      <c r="D430" s="19">
        <v>333.23</v>
      </c>
      <c r="E430" s="19">
        <v>318.49</v>
      </c>
      <c r="F430" s="19">
        <v>309.04</v>
      </c>
      <c r="G430" s="19">
        <v>308.98</v>
      </c>
      <c r="H430" s="19">
        <v>325.38</v>
      </c>
      <c r="I430" s="19">
        <v>343.07</v>
      </c>
      <c r="J430" s="19">
        <v>386.93</v>
      </c>
      <c r="K430" s="19">
        <v>416.37</v>
      </c>
      <c r="L430" s="19">
        <v>366.6</v>
      </c>
      <c r="M430" s="19">
        <v>359.6</v>
      </c>
      <c r="N430" s="19">
        <v>306.19</v>
      </c>
      <c r="O430" s="19">
        <v>314.86</v>
      </c>
      <c r="P430" s="19">
        <v>316.82</v>
      </c>
      <c r="Q430" s="19">
        <v>318.97</v>
      </c>
      <c r="R430" s="19">
        <v>356.42</v>
      </c>
      <c r="S430" s="19">
        <v>386.26</v>
      </c>
      <c r="T430" s="19">
        <v>376.56</v>
      </c>
      <c r="U430" s="19">
        <v>417.22</v>
      </c>
      <c r="V430" s="19">
        <v>382.87</v>
      </c>
      <c r="W430" s="19">
        <v>364.12</v>
      </c>
      <c r="X430" s="19">
        <v>345.75</v>
      </c>
      <c r="Y430" s="19">
        <v>303.31</v>
      </c>
      <c r="Z430" s="32" t="s">
        <v>32</v>
      </c>
      <c r="AA430" s="25">
        <f>MIN($B$430:$Y$430)</f>
        <v>303.31</v>
      </c>
      <c r="AB430" s="25">
        <f>AVERAGE($B$430:$Y$430)</f>
        <v>348.361666666667</v>
      </c>
    </row>
    <row r="431" spans="1:28">
      <c r="A431" s="30">
        <v>45721</v>
      </c>
      <c r="B431" s="19">
        <v>327.4</v>
      </c>
      <c r="C431" s="19">
        <v>323.49</v>
      </c>
      <c r="D431" s="19">
        <v>304.39</v>
      </c>
      <c r="E431" s="19">
        <v>295.65</v>
      </c>
      <c r="F431" s="19">
        <v>288.69</v>
      </c>
      <c r="G431" s="19">
        <v>288.52</v>
      </c>
      <c r="H431" s="19">
        <v>306.21</v>
      </c>
      <c r="I431" s="19">
        <v>327.76</v>
      </c>
      <c r="J431" s="19">
        <v>399.99</v>
      </c>
      <c r="K431" s="19">
        <v>459.73</v>
      </c>
      <c r="L431" s="19">
        <v>384.5</v>
      </c>
      <c r="M431" s="19">
        <v>356.44</v>
      </c>
      <c r="N431" s="19">
        <v>298.29</v>
      </c>
      <c r="O431" s="19">
        <v>308.56</v>
      </c>
      <c r="P431" s="19">
        <v>310.26</v>
      </c>
      <c r="Q431" s="19">
        <v>325.8</v>
      </c>
      <c r="R431" s="19">
        <v>354.58</v>
      </c>
      <c r="S431" s="19">
        <v>364.09</v>
      </c>
      <c r="T431" s="19">
        <v>372.47</v>
      </c>
      <c r="U431" s="19">
        <v>431.33</v>
      </c>
      <c r="V431" s="19">
        <v>420.52</v>
      </c>
      <c r="W431" s="19">
        <v>383.52</v>
      </c>
      <c r="X431" s="19">
        <v>343.86</v>
      </c>
      <c r="Y431" s="19">
        <v>301.97</v>
      </c>
      <c r="Z431" s="33" t="s">
        <v>32</v>
      </c>
      <c r="AA431" s="25">
        <f>MIN($B$431:$Y$431)</f>
        <v>288.52</v>
      </c>
      <c r="AB431" s="25">
        <f>AVERAGE($B$431:$Y$431)</f>
        <v>344.9175</v>
      </c>
    </row>
    <row r="432" spans="1:28">
      <c r="A432" s="30">
        <v>45722</v>
      </c>
      <c r="B432" s="19">
        <v>311.79</v>
      </c>
      <c r="C432" s="19">
        <v>307.8</v>
      </c>
      <c r="D432" s="19">
        <v>298.23</v>
      </c>
      <c r="E432" s="19">
        <v>289.82</v>
      </c>
      <c r="F432" s="19">
        <v>285.09</v>
      </c>
      <c r="G432" s="19">
        <v>287.85</v>
      </c>
      <c r="H432" s="19">
        <v>303.96</v>
      </c>
      <c r="I432" s="19">
        <v>320.96</v>
      </c>
      <c r="J432" s="19">
        <v>386.69</v>
      </c>
      <c r="K432" s="19">
        <v>470.07</v>
      </c>
      <c r="L432" s="19">
        <v>422.67</v>
      </c>
      <c r="M432" s="19">
        <v>420.94</v>
      </c>
      <c r="N432" s="19">
        <v>326.05</v>
      </c>
      <c r="O432" s="19">
        <v>341.17</v>
      </c>
      <c r="P432" s="19">
        <v>354.12</v>
      </c>
      <c r="Q432" s="19">
        <v>373.06</v>
      </c>
      <c r="R432" s="19">
        <v>392.11</v>
      </c>
      <c r="S432" s="19">
        <v>395.84</v>
      </c>
      <c r="T432" s="19">
        <v>407.87</v>
      </c>
      <c r="U432" s="19">
        <v>440.67</v>
      </c>
      <c r="V432" s="19">
        <v>437.77</v>
      </c>
      <c r="W432" s="19">
        <v>399.07</v>
      </c>
      <c r="X432" s="19">
        <v>388.43</v>
      </c>
      <c r="Y432" s="19">
        <v>323.13</v>
      </c>
      <c r="Z432" s="32" t="s">
        <v>32</v>
      </c>
      <c r="AA432" s="25">
        <f>MIN($B$432:$Y$432)</f>
        <v>285.09</v>
      </c>
      <c r="AB432" s="25">
        <f>AVERAGE($B$432:$Y$432)</f>
        <v>361.881666666667</v>
      </c>
    </row>
    <row r="433" spans="1:28">
      <c r="A433" s="30">
        <v>45723</v>
      </c>
      <c r="B433" s="19">
        <v>326.82</v>
      </c>
      <c r="C433" s="19">
        <v>333.78</v>
      </c>
      <c r="D433" s="19">
        <v>313.77</v>
      </c>
      <c r="E433" s="19">
        <v>302.09</v>
      </c>
      <c r="F433" s="19">
        <v>297.13</v>
      </c>
      <c r="G433" s="19">
        <v>298.91</v>
      </c>
      <c r="H433" s="19">
        <v>328.9</v>
      </c>
      <c r="I433" s="19">
        <v>357.8</v>
      </c>
      <c r="J433" s="19">
        <v>457</v>
      </c>
      <c r="K433" s="19">
        <v>524.76</v>
      </c>
      <c r="L433" s="19">
        <v>442.73</v>
      </c>
      <c r="M433" s="19">
        <v>440.05</v>
      </c>
      <c r="N433" s="19">
        <v>335.35</v>
      </c>
      <c r="O433" s="19">
        <v>376.32</v>
      </c>
      <c r="P433" s="19">
        <v>388.63</v>
      </c>
      <c r="Q433" s="19">
        <v>381.27</v>
      </c>
      <c r="R433" s="19">
        <v>388.58</v>
      </c>
      <c r="S433" s="19">
        <v>395.64</v>
      </c>
      <c r="T433" s="19">
        <v>401.72</v>
      </c>
      <c r="U433" s="19">
        <v>436.69</v>
      </c>
      <c r="V433" s="19">
        <v>439.5</v>
      </c>
      <c r="W433" s="19">
        <v>398.51</v>
      </c>
      <c r="X433" s="19">
        <v>384.57</v>
      </c>
      <c r="Y433" s="19">
        <v>342.1</v>
      </c>
      <c r="Z433" s="33" t="s">
        <v>32</v>
      </c>
      <c r="AA433" s="25">
        <f>MIN($B$433:$Y$433)</f>
        <v>297.13</v>
      </c>
      <c r="AB433" s="25">
        <f>AVERAGE($B$433:$Y$433)</f>
        <v>378.859166666667</v>
      </c>
    </row>
    <row r="434" spans="1:28">
      <c r="A434" s="30">
        <v>45724</v>
      </c>
      <c r="B434" s="19">
        <v>378.14</v>
      </c>
      <c r="C434" s="19">
        <v>390.77</v>
      </c>
      <c r="D434" s="19">
        <v>344.16</v>
      </c>
      <c r="E434" s="19">
        <v>323.78</v>
      </c>
      <c r="F434" s="19">
        <v>312.99</v>
      </c>
      <c r="G434" s="19">
        <v>315.85</v>
      </c>
      <c r="H434" s="19">
        <v>335.15</v>
      </c>
      <c r="I434" s="19">
        <v>355.03</v>
      </c>
      <c r="J434" s="19">
        <v>399.32</v>
      </c>
      <c r="K434" s="19">
        <v>463.82</v>
      </c>
      <c r="L434" s="19">
        <v>419.1</v>
      </c>
      <c r="M434" s="19">
        <v>415.19</v>
      </c>
      <c r="N434" s="19">
        <v>314.94</v>
      </c>
      <c r="O434" s="19">
        <v>326.65</v>
      </c>
      <c r="P434" s="19">
        <v>349.36</v>
      </c>
      <c r="Q434" s="19">
        <v>378.58</v>
      </c>
      <c r="R434" s="19">
        <v>417.35</v>
      </c>
      <c r="S434" s="19">
        <v>424.01</v>
      </c>
      <c r="T434" s="19">
        <v>412.96</v>
      </c>
      <c r="U434" s="19">
        <v>447.16</v>
      </c>
      <c r="V434" s="19">
        <v>415.37</v>
      </c>
      <c r="W434" s="19">
        <v>395.33</v>
      </c>
      <c r="X434" s="19">
        <v>396.17</v>
      </c>
      <c r="Y434" s="19">
        <v>337.32</v>
      </c>
      <c r="Z434" s="34" t="s">
        <v>36</v>
      </c>
      <c r="AA434" s="25">
        <f>MIN($B$434:$Y$434)</f>
        <v>312.99</v>
      </c>
      <c r="AB434" s="25">
        <f>AVERAGE($B$434:$Y$434)</f>
        <v>377.854166666667</v>
      </c>
    </row>
    <row r="435" spans="1:28">
      <c r="A435" s="30">
        <v>45725</v>
      </c>
      <c r="B435" s="19">
        <v>344</v>
      </c>
      <c r="C435" s="19">
        <v>419.53</v>
      </c>
      <c r="D435" s="19">
        <v>363.86</v>
      </c>
      <c r="E435" s="19">
        <v>321.63</v>
      </c>
      <c r="F435" s="19">
        <v>310.46</v>
      </c>
      <c r="G435" s="19">
        <v>308.14</v>
      </c>
      <c r="H435" s="19">
        <v>315.91</v>
      </c>
      <c r="I435" s="19">
        <v>312.3</v>
      </c>
      <c r="J435" s="19">
        <v>299.9</v>
      </c>
      <c r="K435" s="19">
        <v>309.45</v>
      </c>
      <c r="L435" s="19">
        <v>296.47</v>
      </c>
      <c r="M435" s="19">
        <v>315.35</v>
      </c>
      <c r="N435" s="19">
        <v>283.81</v>
      </c>
      <c r="O435" s="19">
        <v>290.15</v>
      </c>
      <c r="P435" s="19">
        <v>282.42</v>
      </c>
      <c r="Q435" s="19">
        <v>290.34</v>
      </c>
      <c r="R435" s="19">
        <v>317.9</v>
      </c>
      <c r="S435" s="19">
        <v>340.28</v>
      </c>
      <c r="T435" s="19">
        <v>359.25</v>
      </c>
      <c r="U435" s="19">
        <v>410.51</v>
      </c>
      <c r="V435" s="19">
        <v>418.56</v>
      </c>
      <c r="W435" s="19">
        <v>396.7</v>
      </c>
      <c r="X435" s="19">
        <v>362.74</v>
      </c>
      <c r="Y435" s="19">
        <v>312.55</v>
      </c>
      <c r="Z435" s="35" t="s">
        <v>37</v>
      </c>
      <c r="AA435" s="25">
        <f>MIN($B$435:$Y$435)</f>
        <v>282.42</v>
      </c>
      <c r="AB435" s="25">
        <f>AVERAGE($B$435:$Y$435)</f>
        <v>332.592083333333</v>
      </c>
    </row>
    <row r="436" spans="1:28">
      <c r="A436" s="30">
        <v>45726</v>
      </c>
      <c r="B436" s="19">
        <v>329.9</v>
      </c>
      <c r="C436" s="19">
        <v>329.63</v>
      </c>
      <c r="D436" s="19">
        <v>321.27</v>
      </c>
      <c r="E436" s="19">
        <v>306.71</v>
      </c>
      <c r="F436" s="19">
        <v>281.66</v>
      </c>
      <c r="G436" s="19">
        <v>283.36</v>
      </c>
      <c r="H436" s="19">
        <v>322.27</v>
      </c>
      <c r="I436" s="19">
        <v>347.03</v>
      </c>
      <c r="J436" s="19">
        <v>396.61</v>
      </c>
      <c r="K436" s="19">
        <v>465.89</v>
      </c>
      <c r="L436" s="19">
        <v>408.87</v>
      </c>
      <c r="M436" s="19">
        <v>439.41</v>
      </c>
      <c r="N436" s="19">
        <v>329.65</v>
      </c>
      <c r="O436" s="19">
        <v>353.19</v>
      </c>
      <c r="P436" s="19">
        <v>375.86</v>
      </c>
      <c r="Q436" s="19">
        <v>390.02</v>
      </c>
      <c r="R436" s="19">
        <v>439.97</v>
      </c>
      <c r="S436" s="19">
        <v>421.37</v>
      </c>
      <c r="T436" s="19">
        <v>433.82</v>
      </c>
      <c r="U436" s="19">
        <v>477.71</v>
      </c>
      <c r="V436" s="19">
        <v>443.12</v>
      </c>
      <c r="W436" s="19">
        <v>420.46</v>
      </c>
      <c r="X436" s="19">
        <v>413.11</v>
      </c>
      <c r="Y436" s="19">
        <v>340.55</v>
      </c>
      <c r="Z436" s="32" t="s">
        <v>32</v>
      </c>
      <c r="AA436" s="25">
        <f>MIN($B$436:$Y$436)</f>
        <v>281.66</v>
      </c>
      <c r="AB436" s="25">
        <f>AVERAGE($B$436:$Y$436)</f>
        <v>377.976666666667</v>
      </c>
    </row>
    <row r="437" spans="1:28">
      <c r="A437" s="30">
        <v>45727</v>
      </c>
      <c r="B437" s="19">
        <v>335.32</v>
      </c>
      <c r="C437" s="19">
        <v>356.24</v>
      </c>
      <c r="D437" s="19">
        <v>342.28</v>
      </c>
      <c r="E437" s="19">
        <v>330.16</v>
      </c>
      <c r="F437" s="19">
        <v>321.41</v>
      </c>
      <c r="G437" s="19">
        <v>323.43</v>
      </c>
      <c r="H437" s="19">
        <v>346.24</v>
      </c>
      <c r="I437" s="19">
        <v>369.69</v>
      </c>
      <c r="J437" s="19">
        <v>388.38</v>
      </c>
      <c r="K437" s="19">
        <v>435.62</v>
      </c>
      <c r="L437" s="19">
        <v>376.03</v>
      </c>
      <c r="M437" s="19">
        <v>394.38</v>
      </c>
      <c r="N437" s="19">
        <v>313.85</v>
      </c>
      <c r="O437" s="19">
        <v>323.91</v>
      </c>
      <c r="P437" s="19">
        <v>329.44</v>
      </c>
      <c r="Q437" s="19">
        <v>344.62</v>
      </c>
      <c r="R437" s="19">
        <v>379.58</v>
      </c>
      <c r="S437" s="19">
        <v>371.35</v>
      </c>
      <c r="T437" s="19">
        <v>394.58</v>
      </c>
      <c r="U437" s="19">
        <v>423.07</v>
      </c>
      <c r="V437" s="19">
        <v>400.27</v>
      </c>
      <c r="W437" s="19">
        <v>398.46</v>
      </c>
      <c r="X437" s="19">
        <v>384.6</v>
      </c>
      <c r="Y437" s="19">
        <v>341.64</v>
      </c>
      <c r="Z437" s="33" t="s">
        <v>32</v>
      </c>
      <c r="AA437" s="25">
        <f>MIN($B$437:$Y$437)</f>
        <v>313.85</v>
      </c>
      <c r="AB437" s="25">
        <f>AVERAGE($B$437:$Y$437)</f>
        <v>363.522916666667</v>
      </c>
    </row>
    <row r="438" spans="1:28">
      <c r="A438" s="30">
        <v>45728</v>
      </c>
      <c r="B438" s="19">
        <v>362.97</v>
      </c>
      <c r="C438" s="19">
        <v>394.7</v>
      </c>
      <c r="D438" s="19">
        <v>364.8</v>
      </c>
      <c r="E438" s="19">
        <v>346.67</v>
      </c>
      <c r="F438" s="19">
        <v>336.8</v>
      </c>
      <c r="G438" s="19">
        <v>337.64</v>
      </c>
      <c r="H438" s="19">
        <v>375.6</v>
      </c>
      <c r="I438" s="19">
        <v>388.22</v>
      </c>
      <c r="J438" s="19">
        <v>433.76</v>
      </c>
      <c r="K438" s="19">
        <v>553.11</v>
      </c>
      <c r="L438" s="19">
        <v>417.73</v>
      </c>
      <c r="M438" s="19">
        <v>387.37</v>
      </c>
      <c r="N438" s="19">
        <v>325.3</v>
      </c>
      <c r="O438" s="19">
        <v>334.33</v>
      </c>
      <c r="P438" s="19">
        <v>349.73</v>
      </c>
      <c r="Q438" s="19">
        <v>373.64</v>
      </c>
      <c r="R438" s="19">
        <v>431.93</v>
      </c>
      <c r="S438" s="19">
        <v>412.61</v>
      </c>
      <c r="T438" s="19">
        <v>424.81</v>
      </c>
      <c r="U438" s="19">
        <v>438.37</v>
      </c>
      <c r="V438" s="19">
        <v>418.06</v>
      </c>
      <c r="W438" s="19">
        <v>423.75</v>
      </c>
      <c r="X438" s="19">
        <v>381.93</v>
      </c>
      <c r="Y438" s="19">
        <v>345.49</v>
      </c>
      <c r="Z438" s="32" t="s">
        <v>32</v>
      </c>
      <c r="AA438" s="25">
        <f>MIN($B$438:$Y$438)</f>
        <v>325.3</v>
      </c>
      <c r="AB438" s="25">
        <f>AVERAGE($B$438:$Y$438)</f>
        <v>389.971666666667</v>
      </c>
    </row>
    <row r="439" spans="1:28">
      <c r="A439" s="30">
        <v>45729</v>
      </c>
      <c r="B439" s="19">
        <v>369.74</v>
      </c>
      <c r="C439" s="19">
        <v>392.19</v>
      </c>
      <c r="D439" s="19">
        <v>400.01</v>
      </c>
      <c r="E439" s="19">
        <v>382.63</v>
      </c>
      <c r="F439" s="19">
        <v>364.68</v>
      </c>
      <c r="G439" s="19">
        <v>359.46</v>
      </c>
      <c r="H439" s="19">
        <v>407.49</v>
      </c>
      <c r="I439" s="19">
        <v>392.14</v>
      </c>
      <c r="J439" s="19">
        <v>388.47</v>
      </c>
      <c r="K439" s="19">
        <v>414.76</v>
      </c>
      <c r="L439" s="19">
        <v>386.13</v>
      </c>
      <c r="M439" s="19">
        <v>413.75</v>
      </c>
      <c r="N439" s="19">
        <v>333.17</v>
      </c>
      <c r="O439" s="19">
        <v>350.75</v>
      </c>
      <c r="P439" s="19">
        <v>370.41</v>
      </c>
      <c r="Q439" s="19">
        <v>369.2</v>
      </c>
      <c r="R439" s="19">
        <v>380.55</v>
      </c>
      <c r="S439" s="19">
        <v>369.33</v>
      </c>
      <c r="T439" s="19">
        <v>379.34</v>
      </c>
      <c r="U439" s="19">
        <v>399.86</v>
      </c>
      <c r="V439" s="19">
        <v>388.5</v>
      </c>
      <c r="W439" s="19">
        <v>387.25</v>
      </c>
      <c r="X439" s="19">
        <v>381.18</v>
      </c>
      <c r="Y439" s="19">
        <v>344.62</v>
      </c>
      <c r="Z439" s="33" t="s">
        <v>32</v>
      </c>
      <c r="AA439" s="25">
        <f>MIN($B$439:$Y$439)</f>
        <v>333.17</v>
      </c>
      <c r="AB439" s="25">
        <f>AVERAGE($B$439:$Y$439)</f>
        <v>380.23375</v>
      </c>
    </row>
    <row r="440" spans="1:28">
      <c r="A440" s="30">
        <v>45730</v>
      </c>
      <c r="B440" s="19">
        <v>386.48</v>
      </c>
      <c r="C440" s="19">
        <v>404.51</v>
      </c>
      <c r="D440" s="19">
        <v>383.78</v>
      </c>
      <c r="E440" s="19">
        <v>388.58</v>
      </c>
      <c r="F440" s="19">
        <v>372.46</v>
      </c>
      <c r="G440" s="19">
        <v>363.84</v>
      </c>
      <c r="H440" s="19">
        <v>394.08</v>
      </c>
      <c r="I440" s="19">
        <v>388.35</v>
      </c>
      <c r="J440" s="19">
        <v>385.06</v>
      </c>
      <c r="K440" s="19">
        <v>399.9</v>
      </c>
      <c r="L440" s="19">
        <v>388.02</v>
      </c>
      <c r="M440" s="19">
        <v>402.47</v>
      </c>
      <c r="N440" s="19">
        <v>310.1</v>
      </c>
      <c r="O440" s="19">
        <v>332.93</v>
      </c>
      <c r="P440" s="19">
        <v>353.73</v>
      </c>
      <c r="Q440" s="19">
        <v>365.41</v>
      </c>
      <c r="R440" s="19">
        <v>378</v>
      </c>
      <c r="S440" s="19">
        <v>372.31</v>
      </c>
      <c r="T440" s="19">
        <v>374.02</v>
      </c>
      <c r="U440" s="19">
        <v>390.07</v>
      </c>
      <c r="V440" s="19">
        <v>379.12</v>
      </c>
      <c r="W440" s="19">
        <v>385.33</v>
      </c>
      <c r="X440" s="19">
        <v>368.88</v>
      </c>
      <c r="Y440" s="19">
        <v>337.49</v>
      </c>
      <c r="Z440" s="32" t="s">
        <v>32</v>
      </c>
      <c r="AA440" s="25">
        <f>MIN($B$440:$Y$440)</f>
        <v>310.1</v>
      </c>
      <c r="AB440" s="25">
        <f>AVERAGE($B$440:$Y$440)</f>
        <v>375.205</v>
      </c>
    </row>
    <row r="441" spans="1:28">
      <c r="A441" s="30">
        <v>45731</v>
      </c>
      <c r="B441" s="19">
        <v>369.06</v>
      </c>
      <c r="C441" s="19">
        <v>493.31</v>
      </c>
      <c r="D441" s="19">
        <v>411.97</v>
      </c>
      <c r="E441" s="19">
        <v>390.11</v>
      </c>
      <c r="F441" s="19">
        <v>365.9</v>
      </c>
      <c r="G441" s="19">
        <v>363.99</v>
      </c>
      <c r="H441" s="19">
        <v>387.22</v>
      </c>
      <c r="I441" s="19">
        <v>384.41</v>
      </c>
      <c r="J441" s="19">
        <v>435.48</v>
      </c>
      <c r="K441" s="19">
        <v>471.19</v>
      </c>
      <c r="L441" s="19">
        <v>491.55</v>
      </c>
      <c r="M441" s="19">
        <v>516.96</v>
      </c>
      <c r="N441" s="19">
        <v>328.96</v>
      </c>
      <c r="O441" s="19">
        <v>369.13</v>
      </c>
      <c r="P441" s="19">
        <v>375.52</v>
      </c>
      <c r="Q441" s="19">
        <v>387.67</v>
      </c>
      <c r="R441" s="19">
        <v>401.79</v>
      </c>
      <c r="S441" s="19">
        <v>413.59</v>
      </c>
      <c r="T441" s="19">
        <v>401.17</v>
      </c>
      <c r="U441" s="19">
        <v>426.89</v>
      </c>
      <c r="V441" s="19">
        <v>392.53</v>
      </c>
      <c r="W441" s="19">
        <v>417.98</v>
      </c>
      <c r="X441" s="19">
        <v>373.51</v>
      </c>
      <c r="Y441" s="19">
        <v>334.03</v>
      </c>
      <c r="Z441" s="36" t="s">
        <v>36</v>
      </c>
      <c r="AA441" s="25">
        <f>MIN($B$441:$Y$441)</f>
        <v>328.96</v>
      </c>
      <c r="AB441" s="25">
        <f>AVERAGE($B$441:$Y$441)</f>
        <v>404.33</v>
      </c>
    </row>
    <row r="442" spans="1:28">
      <c r="A442" s="30">
        <v>45732</v>
      </c>
      <c r="B442" s="19">
        <v>316.43</v>
      </c>
      <c r="C442" s="19">
        <v>299.25</v>
      </c>
      <c r="D442" s="19">
        <v>339.23</v>
      </c>
      <c r="E442" s="19">
        <v>333.92</v>
      </c>
      <c r="F442" s="19">
        <v>299.56</v>
      </c>
      <c r="G442" s="19">
        <v>276.24</v>
      </c>
      <c r="H442" s="19">
        <v>300.23</v>
      </c>
      <c r="I442" s="19">
        <v>265.28</v>
      </c>
      <c r="J442" s="19">
        <v>231.47</v>
      </c>
      <c r="K442" s="19">
        <v>234.3</v>
      </c>
      <c r="L442" s="19">
        <v>226.58</v>
      </c>
      <c r="M442" s="19">
        <v>282.29</v>
      </c>
      <c r="N442" s="19">
        <v>146.46</v>
      </c>
      <c r="O442" s="19">
        <v>179.5</v>
      </c>
      <c r="P442" s="19">
        <v>153.14</v>
      </c>
      <c r="Q442" s="19">
        <v>283.75</v>
      </c>
      <c r="R442" s="19">
        <v>330.38</v>
      </c>
      <c r="S442" s="19">
        <v>390.04</v>
      </c>
      <c r="T442" s="19">
        <v>390.93</v>
      </c>
      <c r="U442" s="19">
        <v>430.32</v>
      </c>
      <c r="V442" s="19">
        <v>413.05</v>
      </c>
      <c r="W442" s="19">
        <v>409.12</v>
      </c>
      <c r="X442" s="19">
        <v>358.38</v>
      </c>
      <c r="Y442" s="19">
        <v>288.64</v>
      </c>
      <c r="Z442" s="37" t="s">
        <v>37</v>
      </c>
      <c r="AA442" s="25">
        <f>MIN($B$442:$Y$442)</f>
        <v>146.46</v>
      </c>
      <c r="AB442" s="25">
        <f>AVERAGE($B$442:$Y$442)</f>
        <v>299.10375</v>
      </c>
    </row>
    <row r="443" spans="1:28">
      <c r="A443" s="30">
        <v>45733</v>
      </c>
      <c r="B443" s="19">
        <v>193.36</v>
      </c>
      <c r="C443" s="19">
        <v>201.41</v>
      </c>
      <c r="D443" s="19">
        <v>269.08</v>
      </c>
      <c r="E443" s="19">
        <v>269.92</v>
      </c>
      <c r="F443" s="19">
        <v>218.14</v>
      </c>
      <c r="G443" s="19">
        <v>224.21</v>
      </c>
      <c r="H443" s="19">
        <v>288.81</v>
      </c>
      <c r="I443" s="19">
        <v>305.9</v>
      </c>
      <c r="J443" s="19">
        <v>365.41</v>
      </c>
      <c r="K443" s="19">
        <v>440.2</v>
      </c>
      <c r="L443" s="19">
        <v>424.33</v>
      </c>
      <c r="M443" s="19">
        <v>409.35</v>
      </c>
      <c r="N443" s="19">
        <v>156.9</v>
      </c>
      <c r="O443" s="19">
        <v>264.49</v>
      </c>
      <c r="P443" s="19">
        <v>328.8</v>
      </c>
      <c r="Q443" s="19">
        <v>362.48</v>
      </c>
      <c r="R443" s="19">
        <v>374.42</v>
      </c>
      <c r="S443" s="19">
        <v>372.42</v>
      </c>
      <c r="T443" s="19">
        <v>371.88</v>
      </c>
      <c r="U443" s="19">
        <v>413.56</v>
      </c>
      <c r="V443" s="19">
        <v>401.99</v>
      </c>
      <c r="W443" s="19">
        <v>399.2</v>
      </c>
      <c r="X443" s="19">
        <v>370.68</v>
      </c>
      <c r="Y443" s="19">
        <v>308.24</v>
      </c>
      <c r="Z443" s="33" t="s">
        <v>32</v>
      </c>
      <c r="AA443" s="25">
        <f>MIN($B$443:$Y$443)</f>
        <v>156.9</v>
      </c>
      <c r="AB443" s="25">
        <f>AVERAGE($B$443:$Y$443)</f>
        <v>322.299166666667</v>
      </c>
    </row>
    <row r="444" spans="1:28">
      <c r="A444" s="30">
        <v>45734</v>
      </c>
      <c r="B444" s="19">
        <v>350.08</v>
      </c>
      <c r="C444" s="19">
        <v>358.28</v>
      </c>
      <c r="D444" s="19">
        <v>335.31</v>
      </c>
      <c r="E444" s="19">
        <v>323.29</v>
      </c>
      <c r="F444" s="19">
        <v>313.44</v>
      </c>
      <c r="G444" s="19">
        <v>314.24</v>
      </c>
      <c r="H444" s="19">
        <v>348.38</v>
      </c>
      <c r="I444" s="19">
        <v>387.4</v>
      </c>
      <c r="J444" s="19">
        <v>447.52</v>
      </c>
      <c r="K444" s="19">
        <v>497.9</v>
      </c>
      <c r="L444" s="19">
        <v>426.18</v>
      </c>
      <c r="M444" s="19">
        <v>391.47</v>
      </c>
      <c r="N444" s="19">
        <v>159.21</v>
      </c>
      <c r="O444" s="19">
        <v>233.19</v>
      </c>
      <c r="P444" s="19">
        <v>326.67</v>
      </c>
      <c r="Q444" s="19">
        <v>360.89</v>
      </c>
      <c r="R444" s="19">
        <v>383.64</v>
      </c>
      <c r="S444" s="19">
        <v>391.84</v>
      </c>
      <c r="T444" s="19">
        <v>372.18</v>
      </c>
      <c r="U444" s="19">
        <v>413.42</v>
      </c>
      <c r="V444" s="19">
        <v>392.89</v>
      </c>
      <c r="W444" s="19">
        <v>397.22</v>
      </c>
      <c r="X444" s="19">
        <v>378.91</v>
      </c>
      <c r="Y444" s="19">
        <v>343.73</v>
      </c>
      <c r="Z444" s="32" t="s">
        <v>32</v>
      </c>
      <c r="AA444" s="25">
        <f>MIN($B$444:$Y$444)</f>
        <v>159.21</v>
      </c>
      <c r="AB444" s="25">
        <f>AVERAGE($B$444:$Y$444)</f>
        <v>360.303333333333</v>
      </c>
    </row>
    <row r="445" spans="1:28">
      <c r="A445" s="30">
        <v>45735</v>
      </c>
      <c r="B445" s="19">
        <v>335.63</v>
      </c>
      <c r="C445" s="19">
        <v>354.71</v>
      </c>
      <c r="D445" s="19">
        <v>377.61</v>
      </c>
      <c r="E445" s="19">
        <v>350.81</v>
      </c>
      <c r="F445" s="19">
        <v>334.29</v>
      </c>
      <c r="G445" s="19">
        <v>336.32</v>
      </c>
      <c r="H445" s="19">
        <v>376.29</v>
      </c>
      <c r="I445" s="19">
        <v>435.66</v>
      </c>
      <c r="J445" s="19">
        <v>466.39</v>
      </c>
      <c r="K445" s="19">
        <v>440.85</v>
      </c>
      <c r="L445" s="19">
        <v>324.85</v>
      </c>
      <c r="M445" s="19">
        <v>355.35</v>
      </c>
      <c r="N445" s="19">
        <v>239.74</v>
      </c>
      <c r="O445" s="19">
        <v>292.39</v>
      </c>
      <c r="P445" s="19">
        <v>337.7</v>
      </c>
      <c r="Q445" s="19">
        <v>377.22</v>
      </c>
      <c r="R445" s="19">
        <v>377.58</v>
      </c>
      <c r="S445" s="19">
        <v>377.44</v>
      </c>
      <c r="T445" s="19">
        <v>381.06</v>
      </c>
      <c r="U445" s="19">
        <v>408.89</v>
      </c>
      <c r="V445" s="19">
        <v>388.12</v>
      </c>
      <c r="W445" s="19">
        <v>437.84</v>
      </c>
      <c r="X445" s="19">
        <v>403.1</v>
      </c>
      <c r="Y445" s="19">
        <v>358.94</v>
      </c>
      <c r="Z445" s="33" t="s">
        <v>32</v>
      </c>
      <c r="AA445" s="25">
        <f>MIN($B$445:$Y$445)</f>
        <v>239.74</v>
      </c>
      <c r="AB445" s="25">
        <f>AVERAGE($B$445:$Y$445)</f>
        <v>369.5325</v>
      </c>
    </row>
    <row r="446" spans="1:28">
      <c r="A446" s="30">
        <v>45736</v>
      </c>
      <c r="B446" s="19">
        <v>341.15</v>
      </c>
      <c r="C446" s="19">
        <v>358.13</v>
      </c>
      <c r="D446" s="19">
        <v>371.92</v>
      </c>
      <c r="E446" s="19">
        <v>357.72</v>
      </c>
      <c r="F446" s="19">
        <v>341.17</v>
      </c>
      <c r="G446" s="19">
        <v>343.04</v>
      </c>
      <c r="H446" s="19">
        <v>375.46</v>
      </c>
      <c r="I446" s="19">
        <v>390.98</v>
      </c>
      <c r="J446" s="19">
        <v>364.41</v>
      </c>
      <c r="K446" s="19">
        <v>359.8</v>
      </c>
      <c r="L446" s="19">
        <v>332.1</v>
      </c>
      <c r="M446" s="19">
        <v>316.91</v>
      </c>
      <c r="N446" s="19">
        <v>112.38</v>
      </c>
      <c r="O446" s="19">
        <v>213.77</v>
      </c>
      <c r="P446" s="19">
        <v>272.47</v>
      </c>
      <c r="Q446" s="19">
        <v>295.68</v>
      </c>
      <c r="R446" s="19">
        <v>325.43</v>
      </c>
      <c r="S446" s="19">
        <v>358.7</v>
      </c>
      <c r="T446" s="19">
        <v>369.74</v>
      </c>
      <c r="U446" s="19">
        <v>416.7</v>
      </c>
      <c r="V446" s="19">
        <v>387.49</v>
      </c>
      <c r="W446" s="19">
        <v>467.33</v>
      </c>
      <c r="X446" s="19">
        <v>428.82</v>
      </c>
      <c r="Y446" s="19">
        <v>377.43</v>
      </c>
      <c r="Z446" s="32" t="s">
        <v>32</v>
      </c>
      <c r="AA446" s="25">
        <f>MIN($B$446:$Y$446)</f>
        <v>112.38</v>
      </c>
      <c r="AB446" s="25">
        <f>AVERAGE($B$446:$Y$446)</f>
        <v>344.947083333333</v>
      </c>
    </row>
    <row r="447" spans="1:28">
      <c r="A447" s="30">
        <v>45737</v>
      </c>
      <c r="B447" s="19">
        <v>346.1</v>
      </c>
      <c r="C447" s="19">
        <v>365.3</v>
      </c>
      <c r="D447" s="19">
        <v>376.48</v>
      </c>
      <c r="E447" s="19">
        <v>364.79</v>
      </c>
      <c r="F447" s="19">
        <v>349.16</v>
      </c>
      <c r="G447" s="19">
        <v>351.81</v>
      </c>
      <c r="H447" s="19">
        <v>372.1</v>
      </c>
      <c r="I447" s="19">
        <v>366.31</v>
      </c>
      <c r="J447" s="19">
        <v>379.8</v>
      </c>
      <c r="K447" s="19">
        <v>356.07</v>
      </c>
      <c r="L447" s="19">
        <v>325.4</v>
      </c>
      <c r="M447" s="19">
        <v>385.59</v>
      </c>
      <c r="N447" s="19">
        <v>352.32</v>
      </c>
      <c r="O447" s="19">
        <v>401.15</v>
      </c>
      <c r="P447" s="19">
        <v>409.44</v>
      </c>
      <c r="Q447" s="19">
        <v>305.06</v>
      </c>
      <c r="R447" s="19">
        <v>348.89</v>
      </c>
      <c r="S447" s="19">
        <v>357.03</v>
      </c>
      <c r="T447" s="19">
        <v>366.75</v>
      </c>
      <c r="U447" s="19">
        <v>408.4</v>
      </c>
      <c r="V447" s="19">
        <v>377.65</v>
      </c>
      <c r="W447" s="19">
        <v>382.81</v>
      </c>
      <c r="X447" s="19">
        <v>371.88</v>
      </c>
      <c r="Y447" s="19">
        <v>367.71</v>
      </c>
      <c r="Z447" s="33" t="s">
        <v>32</v>
      </c>
      <c r="AA447" s="25">
        <f>MIN($B$447:$Y$447)</f>
        <v>305.06</v>
      </c>
      <c r="AB447" s="25">
        <f>AVERAGE($B$447:$Y$447)</f>
        <v>366.166666666667</v>
      </c>
    </row>
    <row r="448" spans="1:28">
      <c r="A448" s="30">
        <v>45738</v>
      </c>
      <c r="B448" s="19">
        <v>354.44</v>
      </c>
      <c r="C448" s="19">
        <v>383.72</v>
      </c>
      <c r="D448" s="19">
        <v>383.47</v>
      </c>
      <c r="E448" s="19">
        <v>387.75</v>
      </c>
      <c r="F448" s="19">
        <v>368.05</v>
      </c>
      <c r="G448" s="19">
        <v>370.7</v>
      </c>
      <c r="H448" s="19">
        <v>376.67</v>
      </c>
      <c r="I448" s="19">
        <v>351.62</v>
      </c>
      <c r="J448" s="19">
        <v>340.1</v>
      </c>
      <c r="K448" s="19">
        <v>339.03</v>
      </c>
      <c r="L448" s="19">
        <v>333.47</v>
      </c>
      <c r="M448" s="19">
        <v>335.01</v>
      </c>
      <c r="N448" s="19">
        <v>201.14</v>
      </c>
      <c r="O448" s="19">
        <v>258.98</v>
      </c>
      <c r="P448" s="19">
        <v>293.48</v>
      </c>
      <c r="Q448" s="19">
        <v>340.86</v>
      </c>
      <c r="R448" s="19">
        <v>355.1</v>
      </c>
      <c r="S448" s="19">
        <v>364.46</v>
      </c>
      <c r="T448" s="19">
        <v>365.96</v>
      </c>
      <c r="U448" s="19">
        <v>374.37</v>
      </c>
      <c r="V448" s="19">
        <v>368.65</v>
      </c>
      <c r="W448" s="19">
        <v>378.89</v>
      </c>
      <c r="X448" s="19">
        <v>374.07</v>
      </c>
      <c r="Y448" s="19">
        <v>354.76</v>
      </c>
      <c r="Z448" s="34" t="s">
        <v>36</v>
      </c>
      <c r="AA448" s="25">
        <f>MIN($B$448:$Y$448)</f>
        <v>201.14</v>
      </c>
      <c r="AB448" s="25">
        <f>AVERAGE($B$448:$Y$448)</f>
        <v>348.114583333333</v>
      </c>
    </row>
    <row r="449" spans="1:28">
      <c r="A449" s="30">
        <v>45739</v>
      </c>
      <c r="B449" s="19">
        <v>473.43</v>
      </c>
      <c r="C449" s="19">
        <v>472.22</v>
      </c>
      <c r="D449" s="19">
        <v>388.96</v>
      </c>
      <c r="E449" s="19">
        <v>370.73</v>
      </c>
      <c r="F449" s="19">
        <v>351.68</v>
      </c>
      <c r="G449" s="19">
        <v>344.51</v>
      </c>
      <c r="H449" s="19">
        <v>360.91</v>
      </c>
      <c r="I449" s="19">
        <v>343.74</v>
      </c>
      <c r="J449" s="19">
        <v>325.32</v>
      </c>
      <c r="K449" s="19">
        <v>327.07</v>
      </c>
      <c r="L449" s="19">
        <v>329.72</v>
      </c>
      <c r="M449" s="19">
        <v>310.62</v>
      </c>
      <c r="N449" s="19">
        <v>207.51</v>
      </c>
      <c r="O449" s="19">
        <v>232.19</v>
      </c>
      <c r="P449" s="19">
        <v>201.28</v>
      </c>
      <c r="Q449" s="19">
        <v>304.32</v>
      </c>
      <c r="R449" s="19">
        <v>323.76</v>
      </c>
      <c r="S449" s="19">
        <v>347.3</v>
      </c>
      <c r="T449" s="19">
        <v>345.12</v>
      </c>
      <c r="U449" s="19">
        <v>360.84</v>
      </c>
      <c r="V449" s="19">
        <v>351.25</v>
      </c>
      <c r="W449" s="19">
        <v>356.98</v>
      </c>
      <c r="X449" s="19">
        <v>346.87</v>
      </c>
      <c r="Y449" s="19">
        <v>331.66</v>
      </c>
      <c r="Z449" s="35" t="s">
        <v>37</v>
      </c>
      <c r="AA449" s="25">
        <f>MIN($B$449:$Y$449)</f>
        <v>201.28</v>
      </c>
      <c r="AB449" s="25">
        <f>AVERAGE($B$449:$Y$449)</f>
        <v>337.832916666667</v>
      </c>
    </row>
    <row r="450" spans="1:28">
      <c r="A450" s="30">
        <v>45740</v>
      </c>
      <c r="B450" s="19">
        <v>340.95</v>
      </c>
      <c r="C450" s="19">
        <v>367.49</v>
      </c>
      <c r="D450" s="19">
        <v>332.29</v>
      </c>
      <c r="E450" s="19">
        <v>341.5</v>
      </c>
      <c r="F450" s="19">
        <v>326.71</v>
      </c>
      <c r="G450" s="19">
        <v>326.44</v>
      </c>
      <c r="H450" s="19">
        <v>357.45</v>
      </c>
      <c r="I450" s="19">
        <v>362.22</v>
      </c>
      <c r="J450" s="19">
        <v>337.05</v>
      </c>
      <c r="K450" s="19">
        <v>342.69</v>
      </c>
      <c r="L450" s="19">
        <v>342.1</v>
      </c>
      <c r="M450" s="19">
        <v>377.56</v>
      </c>
      <c r="N450" s="19">
        <v>357.72</v>
      </c>
      <c r="O450" s="19">
        <v>412.7</v>
      </c>
      <c r="P450" s="19">
        <v>325.12</v>
      </c>
      <c r="Q450" s="19">
        <v>314.54</v>
      </c>
      <c r="R450" s="19">
        <v>360.16</v>
      </c>
      <c r="S450" s="19">
        <v>387.91</v>
      </c>
      <c r="T450" s="19">
        <v>364.69</v>
      </c>
      <c r="U450" s="19">
        <v>380.39</v>
      </c>
      <c r="V450" s="19">
        <v>363.62</v>
      </c>
      <c r="W450" s="19">
        <v>361.9</v>
      </c>
      <c r="X450" s="19">
        <v>387.17</v>
      </c>
      <c r="Y450" s="19">
        <v>349.09</v>
      </c>
      <c r="Z450" s="32" t="s">
        <v>32</v>
      </c>
      <c r="AA450" s="25">
        <f>MIN($B$450:$Y$450)</f>
        <v>314.54</v>
      </c>
      <c r="AB450" s="25">
        <f>AVERAGE($B$450:$Y$450)</f>
        <v>354.9775</v>
      </c>
    </row>
    <row r="451" spans="1:28">
      <c r="A451" s="30">
        <v>45741</v>
      </c>
      <c r="B451" s="19">
        <v>338.66</v>
      </c>
      <c r="C451" s="19">
        <v>335.74</v>
      </c>
      <c r="D451" s="19">
        <v>339.79</v>
      </c>
      <c r="E451" s="19">
        <v>331.97</v>
      </c>
      <c r="F451" s="19">
        <v>325.38</v>
      </c>
      <c r="G451" s="19">
        <v>328.05</v>
      </c>
      <c r="H451" s="19">
        <v>350.31</v>
      </c>
      <c r="I451" s="19">
        <v>341.07</v>
      </c>
      <c r="J451" s="19">
        <v>340.4</v>
      </c>
      <c r="K451" s="19">
        <v>338.27</v>
      </c>
      <c r="L451" s="19">
        <v>311.08</v>
      </c>
      <c r="M451" s="19">
        <v>275.33</v>
      </c>
      <c r="N451" s="19">
        <v>242.83</v>
      </c>
      <c r="O451" s="19">
        <v>293.86</v>
      </c>
      <c r="P451" s="19">
        <v>289.88</v>
      </c>
      <c r="Q451" s="19">
        <v>314</v>
      </c>
      <c r="R451" s="19">
        <v>332.15</v>
      </c>
      <c r="S451" s="19">
        <v>353.57</v>
      </c>
      <c r="T451" s="19">
        <v>359.87</v>
      </c>
      <c r="U451" s="19">
        <v>363.27</v>
      </c>
      <c r="V451" s="19">
        <v>353.56</v>
      </c>
      <c r="W451" s="19">
        <v>351.67</v>
      </c>
      <c r="X451" s="19">
        <v>351.39</v>
      </c>
      <c r="Y451" s="19">
        <v>319.98</v>
      </c>
      <c r="Z451" s="33" t="s">
        <v>32</v>
      </c>
      <c r="AA451" s="25">
        <f>MIN($B$451:$Y$451)</f>
        <v>242.83</v>
      </c>
      <c r="AB451" s="25">
        <f>AVERAGE($B$451:$Y$451)</f>
        <v>328.42</v>
      </c>
    </row>
    <row r="452" spans="1:28">
      <c r="A452" s="30">
        <v>45742</v>
      </c>
      <c r="B452" s="19">
        <v>325.26</v>
      </c>
      <c r="C452" s="19">
        <v>323.19</v>
      </c>
      <c r="D452" s="19">
        <v>321.43</v>
      </c>
      <c r="E452" s="19">
        <v>310.87</v>
      </c>
      <c r="F452" s="19">
        <v>303.1</v>
      </c>
      <c r="G452" s="19">
        <v>308.36</v>
      </c>
      <c r="H452" s="19">
        <v>331.48</v>
      </c>
      <c r="I452" s="19">
        <v>330.94</v>
      </c>
      <c r="J452" s="19">
        <v>335.78</v>
      </c>
      <c r="K452" s="19">
        <v>338.82</v>
      </c>
      <c r="L452" s="19">
        <v>322.46</v>
      </c>
      <c r="M452" s="19">
        <v>349.6</v>
      </c>
      <c r="N452" s="19">
        <v>413.15</v>
      </c>
      <c r="O452" s="19">
        <v>454.15</v>
      </c>
      <c r="P452" s="19">
        <v>328.77</v>
      </c>
      <c r="Q452" s="19">
        <v>313.12</v>
      </c>
      <c r="R452" s="19">
        <v>349.01</v>
      </c>
      <c r="S452" s="19">
        <v>380.13</v>
      </c>
      <c r="T452" s="19">
        <v>357.67</v>
      </c>
      <c r="U452" s="19">
        <v>369.95</v>
      </c>
      <c r="V452" s="19">
        <v>352.01</v>
      </c>
      <c r="W452" s="19">
        <v>349.26</v>
      </c>
      <c r="X452" s="19">
        <v>343.82</v>
      </c>
      <c r="Y452" s="19">
        <v>317.02</v>
      </c>
      <c r="Z452" s="32" t="s">
        <v>32</v>
      </c>
      <c r="AA452" s="25">
        <f>MIN($B$452:$Y$452)</f>
        <v>303.1</v>
      </c>
      <c r="AB452" s="25">
        <f>AVERAGE($B$452:$Y$452)</f>
        <v>342.889583333333</v>
      </c>
    </row>
    <row r="453" spans="1:28">
      <c r="A453" s="30">
        <v>45743</v>
      </c>
      <c r="B453" s="19">
        <v>322.33</v>
      </c>
      <c r="C453" s="19">
        <v>328.14</v>
      </c>
      <c r="D453" s="19">
        <v>325.02</v>
      </c>
      <c r="E453" s="19">
        <v>319.21</v>
      </c>
      <c r="F453" s="19">
        <v>309.35</v>
      </c>
      <c r="G453" s="19">
        <v>313.9</v>
      </c>
      <c r="H453" s="19">
        <v>336.51</v>
      </c>
      <c r="I453" s="19">
        <v>337.96</v>
      </c>
      <c r="J453" s="19">
        <v>356.64</v>
      </c>
      <c r="K453" s="19">
        <v>365.22</v>
      </c>
      <c r="L453" s="19">
        <v>350.27</v>
      </c>
      <c r="M453" s="19">
        <v>341.95</v>
      </c>
      <c r="N453" s="19">
        <v>410.64</v>
      </c>
      <c r="O453" s="19">
        <v>436.69</v>
      </c>
      <c r="P453" s="19">
        <v>311.46</v>
      </c>
      <c r="Q453" s="19">
        <v>333.28</v>
      </c>
      <c r="R453" s="19">
        <v>382.3</v>
      </c>
      <c r="S453" s="19">
        <v>398.67</v>
      </c>
      <c r="T453" s="19">
        <v>358.83</v>
      </c>
      <c r="U453" s="19">
        <v>391.3</v>
      </c>
      <c r="V453" s="19">
        <v>370.03</v>
      </c>
      <c r="W453" s="19">
        <v>364.57</v>
      </c>
      <c r="X453" s="19">
        <v>381.65</v>
      </c>
      <c r="Y453" s="19">
        <v>345.43</v>
      </c>
      <c r="Z453" s="33" t="s">
        <v>32</v>
      </c>
      <c r="AA453" s="25">
        <f>MIN($B$453:$Y$453)</f>
        <v>309.35</v>
      </c>
      <c r="AB453" s="25">
        <f>AVERAGE($B$453:$Y$453)</f>
        <v>353.80625</v>
      </c>
    </row>
    <row r="454" spans="1:28">
      <c r="A454" s="30">
        <v>45744</v>
      </c>
      <c r="B454" s="19">
        <v>387.49</v>
      </c>
      <c r="C454" s="19">
        <v>364.67</v>
      </c>
      <c r="D454" s="19">
        <v>358.7</v>
      </c>
      <c r="E454" s="19">
        <v>349.13</v>
      </c>
      <c r="F454" s="19">
        <v>341.57</v>
      </c>
      <c r="G454" s="19">
        <v>342.98</v>
      </c>
      <c r="H454" s="19">
        <v>378.12</v>
      </c>
      <c r="I454" s="19">
        <v>370.04</v>
      </c>
      <c r="J454" s="19">
        <v>380.92</v>
      </c>
      <c r="K454" s="19">
        <v>405.15</v>
      </c>
      <c r="L454" s="19">
        <v>391.99</v>
      </c>
      <c r="M454" s="19">
        <v>423.15</v>
      </c>
      <c r="N454" s="19">
        <v>314.08</v>
      </c>
      <c r="O454" s="19">
        <v>330.02</v>
      </c>
      <c r="P454" s="19">
        <v>352.76</v>
      </c>
      <c r="Q454" s="19">
        <v>365.67</v>
      </c>
      <c r="R454" s="19">
        <v>426.77</v>
      </c>
      <c r="S454" s="19">
        <v>407.52</v>
      </c>
      <c r="T454" s="19">
        <v>361.13</v>
      </c>
      <c r="U454" s="19">
        <v>386.32</v>
      </c>
      <c r="V454" s="19">
        <v>358.06</v>
      </c>
      <c r="W454" s="19">
        <v>347.55</v>
      </c>
      <c r="X454" s="19">
        <v>346.27</v>
      </c>
      <c r="Y454" s="19">
        <v>313.68</v>
      </c>
      <c r="Z454" s="32" t="s">
        <v>32</v>
      </c>
      <c r="AA454" s="25">
        <f>MIN($B$454:$Y$454)</f>
        <v>313.68</v>
      </c>
      <c r="AB454" s="25">
        <f>AVERAGE($B$454:$Y$454)</f>
        <v>366.8225</v>
      </c>
    </row>
    <row r="455" spans="1:28">
      <c r="A455" s="30">
        <v>45745</v>
      </c>
      <c r="B455" s="19">
        <v>363.51</v>
      </c>
      <c r="C455" s="19">
        <v>333.65</v>
      </c>
      <c r="D455" s="19">
        <v>328.87</v>
      </c>
      <c r="E455" s="19">
        <v>315.24</v>
      </c>
      <c r="F455" s="19">
        <v>299.83</v>
      </c>
      <c r="G455" s="19">
        <v>295.57</v>
      </c>
      <c r="H455" s="19">
        <v>300.55</v>
      </c>
      <c r="I455" s="19">
        <v>316.53</v>
      </c>
      <c r="J455" s="19">
        <v>368.64</v>
      </c>
      <c r="K455" s="19">
        <v>369.51</v>
      </c>
      <c r="L455" s="19">
        <v>390.31</v>
      </c>
      <c r="M455" s="19">
        <v>443.8</v>
      </c>
      <c r="N455" s="19">
        <v>335.32</v>
      </c>
      <c r="O455" s="19">
        <v>360.86</v>
      </c>
      <c r="P455" s="19">
        <v>378.53</v>
      </c>
      <c r="Q455" s="19">
        <v>364.16</v>
      </c>
      <c r="R455" s="19">
        <v>375.31</v>
      </c>
      <c r="S455" s="19">
        <v>380.02</v>
      </c>
      <c r="T455" s="19">
        <v>332.2</v>
      </c>
      <c r="U455" s="19">
        <v>353.28</v>
      </c>
      <c r="V455" s="19">
        <v>344.86</v>
      </c>
      <c r="W455" s="19">
        <v>341.03</v>
      </c>
      <c r="X455" s="19">
        <v>354.71</v>
      </c>
      <c r="Y455" s="19">
        <v>330.2</v>
      </c>
      <c r="Z455" s="36" t="s">
        <v>36</v>
      </c>
      <c r="AA455" s="25">
        <f>MIN($B$455:$Y$455)</f>
        <v>295.57</v>
      </c>
      <c r="AB455" s="25">
        <f>AVERAGE($B$455:$Y$455)</f>
        <v>349.020416666667</v>
      </c>
    </row>
    <row r="456" spans="1:28">
      <c r="A456" s="30">
        <v>45746</v>
      </c>
      <c r="B456" s="19">
        <v>316.73</v>
      </c>
      <c r="C456" s="19">
        <v>298.4</v>
      </c>
      <c r="D456" s="19">
        <v>297.45</v>
      </c>
      <c r="E456" s="19">
        <v>296.52</v>
      </c>
      <c r="F456" s="19">
        <v>284.54</v>
      </c>
      <c r="G456" s="19">
        <v>283.11</v>
      </c>
      <c r="H456" s="19">
        <v>287.95</v>
      </c>
      <c r="I456" s="19">
        <v>285.5</v>
      </c>
      <c r="J456" s="19">
        <v>284.23</v>
      </c>
      <c r="K456" s="19">
        <v>287.22</v>
      </c>
      <c r="L456" s="19">
        <v>300.56</v>
      </c>
      <c r="M456" s="19">
        <v>330.72</v>
      </c>
      <c r="N456" s="19">
        <v>315.91</v>
      </c>
      <c r="O456" s="19">
        <v>317.43</v>
      </c>
      <c r="P456" s="19">
        <v>316.67</v>
      </c>
      <c r="Q456" s="19">
        <v>298.81</v>
      </c>
      <c r="R456" s="19">
        <v>310.68</v>
      </c>
      <c r="S456" s="19">
        <v>314.48</v>
      </c>
      <c r="T456" s="19">
        <v>307.54</v>
      </c>
      <c r="U456" s="19">
        <v>318.57</v>
      </c>
      <c r="V456" s="19">
        <v>318.89</v>
      </c>
      <c r="W456" s="19">
        <v>330.11</v>
      </c>
      <c r="X456" s="19">
        <v>325.56</v>
      </c>
      <c r="Y456" s="19">
        <v>300.06</v>
      </c>
      <c r="Z456" s="37" t="s">
        <v>37</v>
      </c>
      <c r="AA456" s="25">
        <f>MIN($B$456:$Y$456)</f>
        <v>283.11</v>
      </c>
      <c r="AB456" s="25">
        <f>AVERAGE($B$456:$Y$456)</f>
        <v>305.318333333333</v>
      </c>
    </row>
    <row r="457" spans="1:28">
      <c r="A457" s="30">
        <v>45747</v>
      </c>
      <c r="B457" s="19">
        <v>300.34</v>
      </c>
      <c r="C457" s="19">
        <v>290.84</v>
      </c>
      <c r="D457" s="19">
        <v>300.29</v>
      </c>
      <c r="E457" s="19">
        <v>300.58</v>
      </c>
      <c r="F457" s="19">
        <v>290.75</v>
      </c>
      <c r="G457" s="19">
        <v>293.43</v>
      </c>
      <c r="H457" s="19">
        <v>313.1</v>
      </c>
      <c r="I457" s="19">
        <v>325.17</v>
      </c>
      <c r="J457" s="19">
        <v>357.21</v>
      </c>
      <c r="K457" s="19">
        <v>368.52</v>
      </c>
      <c r="L457" s="19">
        <v>370.93</v>
      </c>
      <c r="M457" s="19">
        <v>377.88</v>
      </c>
      <c r="N457" s="19">
        <v>325.45</v>
      </c>
      <c r="O457" s="19">
        <v>332.94</v>
      </c>
      <c r="P457" s="19">
        <v>343.86</v>
      </c>
      <c r="Q457" s="19">
        <v>327.42</v>
      </c>
      <c r="R457" s="19">
        <v>346.09</v>
      </c>
      <c r="S457" s="19">
        <v>358.98</v>
      </c>
      <c r="T457" s="19">
        <v>350.65</v>
      </c>
      <c r="U457" s="19">
        <v>379.65</v>
      </c>
      <c r="V457" s="19">
        <v>352.05</v>
      </c>
      <c r="W457" s="19">
        <v>361.31</v>
      </c>
      <c r="X457" s="19">
        <v>378.52</v>
      </c>
      <c r="Y457" s="19">
        <v>325.16</v>
      </c>
      <c r="Z457" s="33" t="s">
        <v>32</v>
      </c>
      <c r="AA457" s="25">
        <f>MIN($B$457:$Y$457)</f>
        <v>290.75</v>
      </c>
      <c r="AB457" s="25">
        <f>AVERAGE($B$457:$Y$457)</f>
        <v>336.296666666667</v>
      </c>
    </row>
    <row r="458" spans="1:28">
      <c r="A458" s="30">
        <v>45748</v>
      </c>
      <c r="B458" s="19">
        <v>368.44</v>
      </c>
      <c r="C458" s="19">
        <v>329.83</v>
      </c>
      <c r="D458" s="19">
        <v>331.81</v>
      </c>
      <c r="E458" s="19">
        <v>330.4</v>
      </c>
      <c r="F458" s="19">
        <v>321.87</v>
      </c>
      <c r="G458" s="19">
        <v>321.86</v>
      </c>
      <c r="H458" s="19">
        <v>334.13</v>
      </c>
      <c r="I458" s="19">
        <v>338.73</v>
      </c>
      <c r="J458" s="19">
        <v>348</v>
      </c>
      <c r="K458" s="19">
        <v>355.28</v>
      </c>
      <c r="L458" s="19">
        <v>341.4</v>
      </c>
      <c r="M458" s="19">
        <v>370.4</v>
      </c>
      <c r="N458" s="19">
        <v>305.76</v>
      </c>
      <c r="O458" s="19">
        <v>317.71</v>
      </c>
      <c r="P458" s="19">
        <v>325.74</v>
      </c>
      <c r="Q458" s="19">
        <v>312.85</v>
      </c>
      <c r="R458" s="19">
        <v>349.31</v>
      </c>
      <c r="S458" s="19">
        <v>372.02</v>
      </c>
      <c r="T458" s="19">
        <v>360.36</v>
      </c>
      <c r="U458" s="19">
        <v>371.18</v>
      </c>
      <c r="V458" s="19">
        <v>368.76</v>
      </c>
      <c r="W458" s="19">
        <v>383.6</v>
      </c>
      <c r="X458" s="19">
        <v>382.34</v>
      </c>
      <c r="Y458" s="19">
        <v>342.35</v>
      </c>
      <c r="Z458" s="32" t="s">
        <v>32</v>
      </c>
      <c r="AA458" s="25">
        <f>MIN($B$458:$Y$458)</f>
        <v>305.76</v>
      </c>
      <c r="AB458" s="25">
        <f>AVERAGE($B$458:$Y$458)</f>
        <v>345.172083333333</v>
      </c>
    </row>
    <row r="459" spans="1:28">
      <c r="A459" s="30">
        <v>45749</v>
      </c>
      <c r="B459" s="19">
        <v>349.01</v>
      </c>
      <c r="C459" s="19">
        <v>359.9</v>
      </c>
      <c r="D459" s="19">
        <v>356.06</v>
      </c>
      <c r="E459" s="19">
        <v>343.01</v>
      </c>
      <c r="F459" s="19">
        <v>331.02</v>
      </c>
      <c r="G459" s="19">
        <v>332.67</v>
      </c>
      <c r="H459" s="19">
        <v>356.96</v>
      </c>
      <c r="I459" s="19">
        <v>337.36</v>
      </c>
      <c r="J459" s="19">
        <v>315.49</v>
      </c>
      <c r="K459" s="19">
        <v>292.77</v>
      </c>
      <c r="L459" s="19">
        <v>287.75</v>
      </c>
      <c r="M459" s="19">
        <v>298.34</v>
      </c>
      <c r="N459" s="19">
        <v>273.61</v>
      </c>
      <c r="O459" s="19">
        <v>282.38</v>
      </c>
      <c r="P459" s="19">
        <v>284.89</v>
      </c>
      <c r="Q459" s="19">
        <v>288.44</v>
      </c>
      <c r="R459" s="19">
        <v>330.61</v>
      </c>
      <c r="S459" s="19">
        <v>336.02</v>
      </c>
      <c r="T459" s="19">
        <v>341.44</v>
      </c>
      <c r="U459" s="19">
        <v>361.7</v>
      </c>
      <c r="V459" s="19">
        <v>355.26</v>
      </c>
      <c r="W459" s="19">
        <v>370.49</v>
      </c>
      <c r="X459" s="19">
        <v>371.98</v>
      </c>
      <c r="Y459" s="19">
        <v>339.45</v>
      </c>
      <c r="Z459" s="33" t="s">
        <v>32</v>
      </c>
      <c r="AA459" s="25">
        <f>MIN($B$459:$Y$459)</f>
        <v>273.61</v>
      </c>
      <c r="AB459" s="25">
        <f>AVERAGE($B$459:$Y$459)</f>
        <v>329.025416666667</v>
      </c>
    </row>
    <row r="460" spans="1:28">
      <c r="A460" s="30">
        <v>45750</v>
      </c>
      <c r="B460" s="19">
        <v>396.45</v>
      </c>
      <c r="C460" s="19">
        <v>357.8</v>
      </c>
      <c r="D460" s="19">
        <v>407.2</v>
      </c>
      <c r="E460" s="19">
        <v>360.72</v>
      </c>
      <c r="F460" s="19">
        <v>340.83</v>
      </c>
      <c r="G460" s="19">
        <v>343.29</v>
      </c>
      <c r="H460" s="19">
        <v>484.06</v>
      </c>
      <c r="I460" s="19">
        <v>375.03</v>
      </c>
      <c r="J460" s="19">
        <v>330.03</v>
      </c>
      <c r="K460" s="19">
        <v>308.2</v>
      </c>
      <c r="L460" s="19">
        <v>290.26</v>
      </c>
      <c r="M460" s="19">
        <v>291.9</v>
      </c>
      <c r="N460" s="19">
        <v>239.45</v>
      </c>
      <c r="O460" s="19">
        <v>243.98</v>
      </c>
      <c r="P460" s="19">
        <v>264.14</v>
      </c>
      <c r="Q460" s="19">
        <v>270</v>
      </c>
      <c r="R460" s="19">
        <v>316.17</v>
      </c>
      <c r="S460" s="19">
        <v>345.83</v>
      </c>
      <c r="T460" s="19">
        <v>346.17</v>
      </c>
      <c r="U460" s="19">
        <v>341.71</v>
      </c>
      <c r="V460" s="19">
        <v>345.58</v>
      </c>
      <c r="W460" s="19">
        <v>374.56</v>
      </c>
      <c r="X460" s="19">
        <v>400.15</v>
      </c>
      <c r="Y460" s="19">
        <v>348.02</v>
      </c>
      <c r="Z460" s="32" t="s">
        <v>32</v>
      </c>
      <c r="AA460" s="25">
        <f>MIN($B$460:$Y$460)</f>
        <v>239.45</v>
      </c>
      <c r="AB460" s="25">
        <f>AVERAGE($B$460:$Y$460)</f>
        <v>338.397083333333</v>
      </c>
    </row>
    <row r="461" spans="1:28">
      <c r="A461" s="30">
        <v>45751</v>
      </c>
      <c r="B461" s="19">
        <v>253.01</v>
      </c>
      <c r="C461" s="19">
        <v>299.23</v>
      </c>
      <c r="D461" s="19">
        <v>303.62</v>
      </c>
      <c r="E461" s="19">
        <v>300.33</v>
      </c>
      <c r="F461" s="19">
        <v>231.49</v>
      </c>
      <c r="G461" s="19">
        <v>202.36</v>
      </c>
      <c r="H461" s="19">
        <v>202.23</v>
      </c>
      <c r="I461" s="19">
        <v>195.18</v>
      </c>
      <c r="J461" s="19">
        <v>27.14</v>
      </c>
      <c r="K461" s="19">
        <v>14.55</v>
      </c>
      <c r="L461" s="19">
        <v>0</v>
      </c>
      <c r="M461" s="19">
        <v>0</v>
      </c>
      <c r="N461" s="19">
        <v>0</v>
      </c>
      <c r="O461" s="19">
        <v>0.25</v>
      </c>
      <c r="P461" s="19">
        <v>0.25</v>
      </c>
      <c r="Q461" s="19">
        <v>140.81</v>
      </c>
      <c r="R461" s="19">
        <v>282.6</v>
      </c>
      <c r="S461" s="19">
        <v>293.63</v>
      </c>
      <c r="T461" s="19">
        <v>264.46</v>
      </c>
      <c r="U461" s="19">
        <v>273.88</v>
      </c>
      <c r="V461" s="19">
        <v>276.42</v>
      </c>
      <c r="W461" s="19">
        <v>271.37</v>
      </c>
      <c r="X461" s="19">
        <v>280.29</v>
      </c>
      <c r="Y461" s="19">
        <v>316.39</v>
      </c>
      <c r="Z461" s="41" t="s">
        <v>31</v>
      </c>
      <c r="AA461" s="25">
        <f>MIN($B$461:$Y$461)</f>
        <v>0</v>
      </c>
      <c r="AB461" s="25">
        <f>AVERAGE($B$461:$Y$461)</f>
        <v>184.562083333333</v>
      </c>
    </row>
    <row r="462" spans="1:28">
      <c r="A462" s="30">
        <v>45752</v>
      </c>
      <c r="B462" s="19">
        <v>298.72</v>
      </c>
      <c r="C462" s="19">
        <v>302.52</v>
      </c>
      <c r="D462" s="19">
        <v>329.75</v>
      </c>
      <c r="E462" s="19">
        <v>348.53</v>
      </c>
      <c r="F462" s="19">
        <v>323.73</v>
      </c>
      <c r="G462" s="19">
        <v>309.5</v>
      </c>
      <c r="H462" s="19">
        <v>424.71</v>
      </c>
      <c r="I462" s="19">
        <v>366.02</v>
      </c>
      <c r="J462" s="19">
        <v>334.17</v>
      </c>
      <c r="K462" s="19">
        <v>334.69</v>
      </c>
      <c r="L462" s="19">
        <v>327.56</v>
      </c>
      <c r="M462" s="19">
        <v>345.36</v>
      </c>
      <c r="N462" s="19">
        <v>388.78</v>
      </c>
      <c r="O462" s="19">
        <v>446.97</v>
      </c>
      <c r="P462" s="19">
        <v>345.67</v>
      </c>
      <c r="Q462" s="19">
        <v>318.18</v>
      </c>
      <c r="R462" s="19">
        <v>317.95</v>
      </c>
      <c r="S462" s="19">
        <v>318.34</v>
      </c>
      <c r="T462" s="19">
        <v>297.66</v>
      </c>
      <c r="U462" s="19">
        <v>328.87</v>
      </c>
      <c r="V462" s="19">
        <v>313.05</v>
      </c>
      <c r="W462" s="19">
        <v>303.58</v>
      </c>
      <c r="X462" s="19">
        <v>320.63</v>
      </c>
      <c r="Y462" s="19">
        <v>337.28</v>
      </c>
      <c r="Z462" s="39" t="s">
        <v>35</v>
      </c>
      <c r="AA462" s="25">
        <f>MIN($B$462:$Y$462)</f>
        <v>297.66</v>
      </c>
      <c r="AB462" s="25">
        <f>AVERAGE($B$462:$Y$462)</f>
        <v>336.759166666667</v>
      </c>
    </row>
    <row r="463" spans="1:28">
      <c r="A463" s="30">
        <v>45753</v>
      </c>
      <c r="B463" s="19">
        <v>341.25</v>
      </c>
      <c r="C463" s="19">
        <v>361.95</v>
      </c>
      <c r="D463" s="19">
        <v>434.81</v>
      </c>
      <c r="E463" s="19">
        <v>434.27</v>
      </c>
      <c r="F463" s="19">
        <v>363.57</v>
      </c>
      <c r="G463" s="19">
        <v>358.93</v>
      </c>
      <c r="H463" s="19">
        <v>469.06</v>
      </c>
      <c r="I463" s="19">
        <v>526.14</v>
      </c>
      <c r="J463" s="19">
        <v>467.92</v>
      </c>
      <c r="K463" s="19">
        <v>366.89</v>
      </c>
      <c r="L463" s="19">
        <v>345.27</v>
      </c>
      <c r="M463" s="19">
        <v>336.56</v>
      </c>
      <c r="N463" s="19">
        <v>314.67</v>
      </c>
      <c r="O463" s="19">
        <v>324.05</v>
      </c>
      <c r="P463" s="19">
        <v>326.23</v>
      </c>
      <c r="Q463" s="19">
        <v>330.06</v>
      </c>
      <c r="R463" s="19">
        <v>339.42</v>
      </c>
      <c r="S463" s="19">
        <v>336.84</v>
      </c>
      <c r="T463" s="19">
        <v>326.79</v>
      </c>
      <c r="U463" s="19">
        <v>338.08</v>
      </c>
      <c r="V463" s="19">
        <v>329.7</v>
      </c>
      <c r="W463" s="19">
        <v>324.89</v>
      </c>
      <c r="X463" s="19">
        <v>330.39</v>
      </c>
      <c r="Y463" s="19">
        <v>331.92</v>
      </c>
      <c r="Z463" s="38" t="s">
        <v>35</v>
      </c>
      <c r="AA463" s="25">
        <f>MIN($B$463:$Y$463)</f>
        <v>314.67</v>
      </c>
      <c r="AB463" s="25">
        <f>AVERAGE($B$463:$Y$463)</f>
        <v>364.985833333333</v>
      </c>
    </row>
    <row r="464" spans="1:28">
      <c r="A464" s="30">
        <v>45754</v>
      </c>
      <c r="B464" s="19">
        <v>459.03</v>
      </c>
      <c r="C464" s="19">
        <v>480.85</v>
      </c>
      <c r="D464" s="19">
        <v>442.59</v>
      </c>
      <c r="E464" s="19">
        <v>399.75</v>
      </c>
      <c r="F464" s="19">
        <v>417.12</v>
      </c>
      <c r="G464" s="19">
        <v>417.96</v>
      </c>
      <c r="H464" s="19">
        <v>463.31</v>
      </c>
      <c r="I464" s="19">
        <v>532.58</v>
      </c>
      <c r="J464" s="19">
        <v>422.02</v>
      </c>
      <c r="K464" s="19">
        <v>392.61</v>
      </c>
      <c r="L464" s="19">
        <v>339.07</v>
      </c>
      <c r="M464" s="19">
        <v>317.97</v>
      </c>
      <c r="N464" s="19">
        <v>297.74</v>
      </c>
      <c r="O464" s="19">
        <v>307.11</v>
      </c>
      <c r="P464" s="19">
        <v>322.02</v>
      </c>
      <c r="Q464" s="19">
        <v>336.28</v>
      </c>
      <c r="R464" s="19">
        <v>355.18</v>
      </c>
      <c r="S464" s="19">
        <v>335.03</v>
      </c>
      <c r="T464" s="19">
        <v>336.57</v>
      </c>
      <c r="U464" s="19">
        <v>361.16</v>
      </c>
      <c r="V464" s="19">
        <v>354.67</v>
      </c>
      <c r="W464" s="19">
        <v>350.04</v>
      </c>
      <c r="X464" s="19">
        <v>342.78</v>
      </c>
      <c r="Y464" s="19">
        <v>327.17</v>
      </c>
      <c r="Z464" s="32" t="s">
        <v>32</v>
      </c>
      <c r="AA464" s="25">
        <f>MIN($B$464:$Y$464)</f>
        <v>297.74</v>
      </c>
      <c r="AB464" s="25">
        <f>AVERAGE($B$464:$Y$464)</f>
        <v>379.60875</v>
      </c>
    </row>
    <row r="465" spans="1:28">
      <c r="A465" s="30">
        <v>45755</v>
      </c>
      <c r="B465" s="19">
        <v>335.71</v>
      </c>
      <c r="C465" s="19">
        <v>333.87</v>
      </c>
      <c r="D465" s="19">
        <v>330.4</v>
      </c>
      <c r="E465" s="19">
        <v>327.94</v>
      </c>
      <c r="F465" s="19">
        <v>321.83</v>
      </c>
      <c r="G465" s="19">
        <v>323.32</v>
      </c>
      <c r="H465" s="19">
        <v>364.81</v>
      </c>
      <c r="I465" s="19">
        <v>367.9</v>
      </c>
      <c r="J465" s="19">
        <v>365.41</v>
      </c>
      <c r="K465" s="19">
        <v>360.28</v>
      </c>
      <c r="L465" s="19">
        <v>328.19</v>
      </c>
      <c r="M465" s="19">
        <v>315</v>
      </c>
      <c r="N465" s="19">
        <v>290.77</v>
      </c>
      <c r="O465" s="19">
        <v>306.74</v>
      </c>
      <c r="P465" s="19">
        <v>321.9</v>
      </c>
      <c r="Q465" s="19">
        <v>335.75</v>
      </c>
      <c r="R465" s="19">
        <v>343.19</v>
      </c>
      <c r="S465" s="19">
        <v>330.51</v>
      </c>
      <c r="T465" s="19">
        <v>332.49</v>
      </c>
      <c r="U465" s="19">
        <v>354.38</v>
      </c>
      <c r="V465" s="19">
        <v>342.77</v>
      </c>
      <c r="W465" s="19">
        <v>344.77</v>
      </c>
      <c r="X465" s="19">
        <v>357.56</v>
      </c>
      <c r="Y465" s="19">
        <v>321.36</v>
      </c>
      <c r="Z465" s="33" t="s">
        <v>32</v>
      </c>
      <c r="AA465" s="25">
        <f>MIN($B$465:$Y$465)</f>
        <v>290.77</v>
      </c>
      <c r="AB465" s="25">
        <f>AVERAGE($B$465:$Y$465)</f>
        <v>335.702083333333</v>
      </c>
    </row>
    <row r="466" spans="1:28">
      <c r="A466" s="30">
        <v>45756</v>
      </c>
      <c r="B466" s="19">
        <v>311.44</v>
      </c>
      <c r="C466" s="19">
        <v>316.6</v>
      </c>
      <c r="D466" s="19">
        <v>319.1</v>
      </c>
      <c r="E466" s="19">
        <v>319.04</v>
      </c>
      <c r="F466" s="19">
        <v>307.8</v>
      </c>
      <c r="G466" s="19">
        <v>307.78</v>
      </c>
      <c r="H466" s="19">
        <v>341.06</v>
      </c>
      <c r="I466" s="19">
        <v>362.96</v>
      </c>
      <c r="J466" s="19">
        <v>342.96</v>
      </c>
      <c r="K466" s="19">
        <v>349.84</v>
      </c>
      <c r="L466" s="19">
        <v>340.04</v>
      </c>
      <c r="M466" s="19">
        <v>329.96</v>
      </c>
      <c r="N466" s="19">
        <v>297.06</v>
      </c>
      <c r="O466" s="19">
        <v>311.08</v>
      </c>
      <c r="P466" s="19">
        <v>323.28</v>
      </c>
      <c r="Q466" s="19">
        <v>333.59</v>
      </c>
      <c r="R466" s="19">
        <v>342.39</v>
      </c>
      <c r="S466" s="19">
        <v>332.21</v>
      </c>
      <c r="T466" s="19">
        <v>327.99</v>
      </c>
      <c r="U466" s="19">
        <v>349.47</v>
      </c>
      <c r="V466" s="19">
        <v>344.05</v>
      </c>
      <c r="W466" s="19">
        <v>343.61</v>
      </c>
      <c r="X466" s="19">
        <v>346.64</v>
      </c>
      <c r="Y466" s="19">
        <v>318.54</v>
      </c>
      <c r="Z466" s="32" t="s">
        <v>32</v>
      </c>
      <c r="AA466" s="25">
        <f>MIN($B$466:$Y$466)</f>
        <v>297.06</v>
      </c>
      <c r="AB466" s="25">
        <f>AVERAGE($B$466:$Y$466)</f>
        <v>329.937083333333</v>
      </c>
    </row>
    <row r="467" spans="1:28">
      <c r="A467" s="30">
        <v>45757</v>
      </c>
      <c r="B467" s="19">
        <v>329.74</v>
      </c>
      <c r="C467" s="19">
        <v>364.74</v>
      </c>
      <c r="D467" s="19">
        <v>341.72</v>
      </c>
      <c r="E467" s="19">
        <v>332.96</v>
      </c>
      <c r="F467" s="19">
        <v>325.1</v>
      </c>
      <c r="G467" s="19">
        <v>325.99</v>
      </c>
      <c r="H467" s="19">
        <v>375.8</v>
      </c>
      <c r="I467" s="19">
        <v>379.84</v>
      </c>
      <c r="J467" s="19">
        <v>359.38</v>
      </c>
      <c r="K467" s="19">
        <v>375.29</v>
      </c>
      <c r="L467" s="19">
        <v>356.2</v>
      </c>
      <c r="M467" s="19">
        <v>348.83</v>
      </c>
      <c r="N467" s="19">
        <v>305.59</v>
      </c>
      <c r="O467" s="19">
        <v>321.89</v>
      </c>
      <c r="P467" s="19">
        <v>330.93</v>
      </c>
      <c r="Q467" s="19">
        <v>339.86</v>
      </c>
      <c r="R467" s="19">
        <v>375.71</v>
      </c>
      <c r="S467" s="19">
        <v>363.24</v>
      </c>
      <c r="T467" s="19">
        <v>335.41</v>
      </c>
      <c r="U467" s="19">
        <v>364.23</v>
      </c>
      <c r="V467" s="19">
        <v>360.67</v>
      </c>
      <c r="W467" s="19">
        <v>362.49</v>
      </c>
      <c r="X467" s="19">
        <v>377.97</v>
      </c>
      <c r="Y467" s="19">
        <v>333.48</v>
      </c>
      <c r="Z467" s="33" t="s">
        <v>32</v>
      </c>
      <c r="AA467" s="25">
        <f>MIN($B$467:$Y$467)</f>
        <v>305.59</v>
      </c>
      <c r="AB467" s="25">
        <f>AVERAGE($B$467:$Y$467)</f>
        <v>349.460833333333</v>
      </c>
    </row>
    <row r="468" spans="1:28">
      <c r="A468" s="30">
        <v>45758</v>
      </c>
      <c r="B468" s="19">
        <v>368.87</v>
      </c>
      <c r="C468" s="19">
        <v>362.31</v>
      </c>
      <c r="D468" s="19">
        <v>347.98</v>
      </c>
      <c r="E468" s="19">
        <v>331.09</v>
      </c>
      <c r="F468" s="19">
        <v>322.07</v>
      </c>
      <c r="G468" s="19">
        <v>319.58</v>
      </c>
      <c r="H468" s="19">
        <v>347.65</v>
      </c>
      <c r="I468" s="19">
        <v>350.76</v>
      </c>
      <c r="J468" s="19">
        <v>397.91</v>
      </c>
      <c r="K468" s="19">
        <v>525.26</v>
      </c>
      <c r="L468" s="19">
        <v>397.58</v>
      </c>
      <c r="M468" s="19">
        <v>335.33</v>
      </c>
      <c r="N468" s="19">
        <v>286.75</v>
      </c>
      <c r="O468" s="19">
        <v>309.08</v>
      </c>
      <c r="P468" s="19">
        <v>327.55</v>
      </c>
      <c r="Q468" s="19">
        <v>353.81</v>
      </c>
      <c r="R468" s="19">
        <v>365.71</v>
      </c>
      <c r="S468" s="19">
        <v>337.47</v>
      </c>
      <c r="T468" s="19">
        <v>331.32</v>
      </c>
      <c r="U468" s="19">
        <v>346.52</v>
      </c>
      <c r="V468" s="19">
        <v>345.89</v>
      </c>
      <c r="W468" s="19">
        <v>347.99</v>
      </c>
      <c r="X468" s="19">
        <v>351.31</v>
      </c>
      <c r="Y468" s="19">
        <v>324.27</v>
      </c>
      <c r="Z468" s="32" t="s">
        <v>32</v>
      </c>
      <c r="AA468" s="25">
        <f>MIN($B$468:$Y$468)</f>
        <v>286.75</v>
      </c>
      <c r="AB468" s="25">
        <f>AVERAGE($B$468:$Y$468)</f>
        <v>351.419166666667</v>
      </c>
    </row>
    <row r="469" spans="1:28">
      <c r="A469" s="30">
        <v>45759</v>
      </c>
      <c r="B469" s="19">
        <v>428.3</v>
      </c>
      <c r="C469" s="19">
        <v>374.36</v>
      </c>
      <c r="D469" s="19">
        <v>356.94</v>
      </c>
      <c r="E469" s="19">
        <v>336.56</v>
      </c>
      <c r="F469" s="19">
        <v>320.84</v>
      </c>
      <c r="G469" s="19">
        <v>310.9</v>
      </c>
      <c r="H469" s="19">
        <v>328.67</v>
      </c>
      <c r="I469" s="19">
        <v>330.96</v>
      </c>
      <c r="J469" s="19">
        <v>332.51</v>
      </c>
      <c r="K469" s="19">
        <v>375.08</v>
      </c>
      <c r="L469" s="19">
        <v>371.65</v>
      </c>
      <c r="M469" s="19">
        <v>381.73</v>
      </c>
      <c r="N469" s="19">
        <v>320.69</v>
      </c>
      <c r="O469" s="19">
        <v>366.99</v>
      </c>
      <c r="P469" s="19">
        <v>351.11</v>
      </c>
      <c r="Q469" s="19">
        <v>341.13</v>
      </c>
      <c r="R469" s="19">
        <v>347.13</v>
      </c>
      <c r="S469" s="19">
        <v>322.96</v>
      </c>
      <c r="T469" s="19">
        <v>307.2</v>
      </c>
      <c r="U469" s="19">
        <v>327.48</v>
      </c>
      <c r="V469" s="19">
        <v>326.3</v>
      </c>
      <c r="W469" s="19">
        <v>325.36</v>
      </c>
      <c r="X469" s="19">
        <v>325.02</v>
      </c>
      <c r="Y469" s="19">
        <v>293.92</v>
      </c>
      <c r="Z469" s="36" t="s">
        <v>36</v>
      </c>
      <c r="AA469" s="25">
        <f>MIN($B$469:$Y$469)</f>
        <v>293.92</v>
      </c>
      <c r="AB469" s="25">
        <f>AVERAGE($B$469:$Y$469)</f>
        <v>341.824583333333</v>
      </c>
    </row>
    <row r="470" spans="1:28">
      <c r="A470" s="30">
        <v>45760</v>
      </c>
      <c r="B470" s="19">
        <v>298.48</v>
      </c>
      <c r="C470" s="19">
        <v>306.47</v>
      </c>
      <c r="D470" s="19">
        <v>311.75</v>
      </c>
      <c r="E470" s="19">
        <v>305.81</v>
      </c>
      <c r="F470" s="19">
        <v>298.36</v>
      </c>
      <c r="G470" s="19">
        <v>294.35</v>
      </c>
      <c r="H470" s="19">
        <v>302.44</v>
      </c>
      <c r="I470" s="19">
        <v>302.91</v>
      </c>
      <c r="J470" s="19">
        <v>282.54</v>
      </c>
      <c r="K470" s="19">
        <v>288.57</v>
      </c>
      <c r="L470" s="19">
        <v>282.82</v>
      </c>
      <c r="M470" s="19">
        <v>288.81</v>
      </c>
      <c r="N470" s="19">
        <v>288.89</v>
      </c>
      <c r="O470" s="19">
        <v>302.68</v>
      </c>
      <c r="P470" s="19">
        <v>302.99</v>
      </c>
      <c r="Q470" s="19">
        <v>305.32</v>
      </c>
      <c r="R470" s="19">
        <v>319.5</v>
      </c>
      <c r="S470" s="19">
        <v>324.39</v>
      </c>
      <c r="T470" s="19">
        <v>327.05</v>
      </c>
      <c r="U470" s="19">
        <v>334.72</v>
      </c>
      <c r="V470" s="19">
        <v>329.98</v>
      </c>
      <c r="W470" s="19">
        <v>337.4</v>
      </c>
      <c r="X470" s="19">
        <v>333.79</v>
      </c>
      <c r="Y470" s="19">
        <v>309.03</v>
      </c>
      <c r="Z470" s="37" t="s">
        <v>37</v>
      </c>
      <c r="AA470" s="25">
        <f>MIN($B$470:$Y$470)</f>
        <v>282.54</v>
      </c>
      <c r="AB470" s="25">
        <f>AVERAGE($B$470:$Y$470)</f>
        <v>307.460416666667</v>
      </c>
    </row>
    <row r="471" spans="1:28">
      <c r="A471" s="30">
        <v>45761</v>
      </c>
      <c r="B471" s="19">
        <v>261.71</v>
      </c>
      <c r="C471" s="19">
        <v>291.87</v>
      </c>
      <c r="D471" s="19">
        <v>292.65</v>
      </c>
      <c r="E471" s="19">
        <v>288.97</v>
      </c>
      <c r="F471" s="19">
        <v>282.25</v>
      </c>
      <c r="G471" s="19">
        <v>283.57</v>
      </c>
      <c r="H471" s="19">
        <v>298.02</v>
      </c>
      <c r="I471" s="19">
        <v>302.98</v>
      </c>
      <c r="J471" s="19">
        <v>319.93</v>
      </c>
      <c r="K471" s="19">
        <v>323.23</v>
      </c>
      <c r="L471" s="19">
        <v>296.29</v>
      </c>
      <c r="M471" s="19">
        <v>286.09</v>
      </c>
      <c r="N471" s="19">
        <v>265.04</v>
      </c>
      <c r="O471" s="19">
        <v>284.83</v>
      </c>
      <c r="P471" s="19">
        <v>295.04</v>
      </c>
      <c r="Q471" s="19">
        <v>303.45</v>
      </c>
      <c r="R471" s="19">
        <v>324.11</v>
      </c>
      <c r="S471" s="19">
        <v>333.36</v>
      </c>
      <c r="T471" s="19">
        <v>330.11</v>
      </c>
      <c r="U471" s="19">
        <v>336.02</v>
      </c>
      <c r="V471" s="19">
        <v>335.72</v>
      </c>
      <c r="W471" s="19">
        <v>344.43</v>
      </c>
      <c r="X471" s="19">
        <v>339.31</v>
      </c>
      <c r="Y471" s="19">
        <v>303.22</v>
      </c>
      <c r="Z471" s="33" t="s">
        <v>32</v>
      </c>
      <c r="AA471" s="25">
        <f>MIN($B$471:$Y$471)</f>
        <v>261.71</v>
      </c>
      <c r="AB471" s="25">
        <f>AVERAGE($B$471:$Y$471)</f>
        <v>305.091666666667</v>
      </c>
    </row>
    <row r="472" spans="1:28">
      <c r="A472" s="30">
        <v>45762</v>
      </c>
      <c r="B472" s="19">
        <v>314.1</v>
      </c>
      <c r="C472" s="19">
        <v>317.7</v>
      </c>
      <c r="D472" s="19">
        <v>317.96</v>
      </c>
      <c r="E472" s="19">
        <v>311.74</v>
      </c>
      <c r="F472" s="19">
        <v>303.47</v>
      </c>
      <c r="G472" s="19">
        <v>305.16</v>
      </c>
      <c r="H472" s="19">
        <v>317.04</v>
      </c>
      <c r="I472" s="19">
        <v>304.87</v>
      </c>
      <c r="J472" s="19">
        <v>303.85</v>
      </c>
      <c r="K472" s="19">
        <v>297.77</v>
      </c>
      <c r="L472" s="19">
        <v>277.35</v>
      </c>
      <c r="M472" s="19">
        <v>283.08</v>
      </c>
      <c r="N472" s="19">
        <v>268.82</v>
      </c>
      <c r="O472" s="19">
        <v>278.55</v>
      </c>
      <c r="P472" s="19">
        <v>287.46</v>
      </c>
      <c r="Q472" s="19">
        <v>304.99</v>
      </c>
      <c r="R472" s="19">
        <v>325.81</v>
      </c>
      <c r="S472" s="19">
        <v>328.32</v>
      </c>
      <c r="T472" s="19">
        <v>330.39</v>
      </c>
      <c r="U472" s="19">
        <v>337.24</v>
      </c>
      <c r="V472" s="19">
        <v>330.77</v>
      </c>
      <c r="W472" s="19">
        <v>332.73</v>
      </c>
      <c r="X472" s="19">
        <v>328.82</v>
      </c>
      <c r="Y472" s="19">
        <v>303.53</v>
      </c>
      <c r="Z472" s="32" t="s">
        <v>32</v>
      </c>
      <c r="AA472" s="25">
        <f>MIN($B$472:$Y$472)</f>
        <v>268.82</v>
      </c>
      <c r="AB472" s="25">
        <f>AVERAGE($B$472:$Y$472)</f>
        <v>308.813333333333</v>
      </c>
    </row>
    <row r="473" spans="1:28">
      <c r="A473" s="30">
        <v>45763</v>
      </c>
      <c r="B473" s="19">
        <v>306.28</v>
      </c>
      <c r="C473" s="19">
        <v>300.03</v>
      </c>
      <c r="D473" s="19">
        <v>295.57</v>
      </c>
      <c r="E473" s="19">
        <v>291.37</v>
      </c>
      <c r="F473" s="19">
        <v>299.54</v>
      </c>
      <c r="G473" s="19">
        <v>286.94</v>
      </c>
      <c r="H473" s="19">
        <v>291.54</v>
      </c>
      <c r="I473" s="19">
        <v>289.27</v>
      </c>
      <c r="J473" s="19">
        <v>297.8</v>
      </c>
      <c r="K473" s="19">
        <v>285.55</v>
      </c>
      <c r="L473" s="19">
        <v>125.78</v>
      </c>
      <c r="M473" s="19">
        <v>196.83</v>
      </c>
      <c r="N473" s="19">
        <v>46.46</v>
      </c>
      <c r="O473" s="19">
        <v>151.63</v>
      </c>
      <c r="P473" s="19">
        <v>185</v>
      </c>
      <c r="Q473" s="19">
        <v>257.34</v>
      </c>
      <c r="R473" s="19">
        <v>319.57</v>
      </c>
      <c r="S473" s="19">
        <v>341.56</v>
      </c>
      <c r="T473" s="19">
        <v>318.94</v>
      </c>
      <c r="U473" s="19">
        <v>344.23</v>
      </c>
      <c r="V473" s="19">
        <v>324.65</v>
      </c>
      <c r="W473" s="19">
        <v>314.97</v>
      </c>
      <c r="X473" s="19">
        <v>305.47</v>
      </c>
      <c r="Y473" s="19">
        <v>284.83</v>
      </c>
      <c r="Z473" s="33" t="s">
        <v>32</v>
      </c>
      <c r="AA473" s="25">
        <f>MIN($B$473:$Y$473)</f>
        <v>46.46</v>
      </c>
      <c r="AB473" s="25">
        <f>AVERAGE($B$473:$Y$473)</f>
        <v>269.214583333333</v>
      </c>
    </row>
    <row r="474" spans="1:28">
      <c r="A474" s="30">
        <v>45764</v>
      </c>
      <c r="B474" s="19">
        <v>293.72</v>
      </c>
      <c r="C474" s="19">
        <v>286.76</v>
      </c>
      <c r="D474" s="19">
        <v>284.43</v>
      </c>
      <c r="E474" s="19">
        <v>286.9</v>
      </c>
      <c r="F474" s="19">
        <v>281.42</v>
      </c>
      <c r="G474" s="19">
        <v>283.33</v>
      </c>
      <c r="H474" s="19">
        <v>287.65</v>
      </c>
      <c r="I474" s="19">
        <v>285.34</v>
      </c>
      <c r="J474" s="19">
        <v>296.12</v>
      </c>
      <c r="K474" s="19">
        <v>305.07</v>
      </c>
      <c r="L474" s="19">
        <v>296.15</v>
      </c>
      <c r="M474" s="19">
        <v>308.55</v>
      </c>
      <c r="N474" s="19">
        <v>286.51</v>
      </c>
      <c r="O474" s="19">
        <v>322.43</v>
      </c>
      <c r="P474" s="19">
        <v>307.89</v>
      </c>
      <c r="Q474" s="19">
        <v>323.21</v>
      </c>
      <c r="R474" s="19">
        <v>338.34</v>
      </c>
      <c r="S474" s="19">
        <v>329.15</v>
      </c>
      <c r="T474" s="19">
        <v>325.89</v>
      </c>
      <c r="U474" s="19">
        <v>353.32</v>
      </c>
      <c r="V474" s="19">
        <v>337.52</v>
      </c>
      <c r="W474" s="19">
        <v>328.62</v>
      </c>
      <c r="X474" s="19">
        <v>309.95</v>
      </c>
      <c r="Y474" s="19">
        <v>283.31</v>
      </c>
      <c r="Z474" s="32" t="s">
        <v>32</v>
      </c>
      <c r="AA474" s="25">
        <f>MIN($B$474:$Y$474)</f>
        <v>281.42</v>
      </c>
      <c r="AB474" s="25">
        <f>AVERAGE($B$474:$Y$474)</f>
        <v>305.899166666667</v>
      </c>
    </row>
    <row r="475" spans="1:28">
      <c r="A475" s="30">
        <v>45765</v>
      </c>
      <c r="B475" s="19">
        <v>303.49</v>
      </c>
      <c r="C475" s="19">
        <v>307.17</v>
      </c>
      <c r="D475" s="19">
        <v>300.37</v>
      </c>
      <c r="E475" s="19">
        <v>295.53</v>
      </c>
      <c r="F475" s="19">
        <v>289.27</v>
      </c>
      <c r="G475" s="19">
        <v>289.5</v>
      </c>
      <c r="H475" s="19">
        <v>294.21</v>
      </c>
      <c r="I475" s="19">
        <v>295.9</v>
      </c>
      <c r="J475" s="19">
        <v>330.7</v>
      </c>
      <c r="K475" s="19">
        <v>414.05</v>
      </c>
      <c r="L475" s="19">
        <v>332.94</v>
      </c>
      <c r="M475" s="19">
        <v>380.11</v>
      </c>
      <c r="N475" s="19">
        <v>294.44</v>
      </c>
      <c r="O475" s="19">
        <v>313.1</v>
      </c>
      <c r="P475" s="19">
        <v>326.97</v>
      </c>
      <c r="Q475" s="19">
        <v>335.95</v>
      </c>
      <c r="R475" s="19">
        <v>351.31</v>
      </c>
      <c r="S475" s="19">
        <v>335.28</v>
      </c>
      <c r="T475" s="19">
        <v>329.93</v>
      </c>
      <c r="U475" s="19">
        <v>354.44</v>
      </c>
      <c r="V475" s="19">
        <v>347.19</v>
      </c>
      <c r="W475" s="19">
        <v>346.24</v>
      </c>
      <c r="X475" s="19">
        <v>333.54</v>
      </c>
      <c r="Y475" s="19">
        <v>294.68</v>
      </c>
      <c r="Z475" s="33" t="s">
        <v>32</v>
      </c>
      <c r="AA475" s="25">
        <f>MIN($B$475:$Y$475)</f>
        <v>289.27</v>
      </c>
      <c r="AB475" s="25">
        <f>AVERAGE($B$475:$Y$475)</f>
        <v>324.84625</v>
      </c>
    </row>
    <row r="476" spans="1:28">
      <c r="A476" s="30">
        <v>45766</v>
      </c>
      <c r="B476" s="19">
        <v>335.55</v>
      </c>
      <c r="C476" s="19">
        <v>322.66</v>
      </c>
      <c r="D476" s="19">
        <v>315.82</v>
      </c>
      <c r="E476" s="19">
        <v>305.29</v>
      </c>
      <c r="F476" s="19">
        <v>296.44</v>
      </c>
      <c r="G476" s="19">
        <v>294.87</v>
      </c>
      <c r="H476" s="19">
        <v>298.04</v>
      </c>
      <c r="I476" s="19">
        <v>301.08</v>
      </c>
      <c r="J476" s="19">
        <v>329.27</v>
      </c>
      <c r="K476" s="19">
        <v>360.11</v>
      </c>
      <c r="L476" s="19">
        <v>329.16</v>
      </c>
      <c r="M476" s="19">
        <v>372.34</v>
      </c>
      <c r="N476" s="19">
        <v>316.15</v>
      </c>
      <c r="O476" s="19">
        <v>340.12</v>
      </c>
      <c r="P476" s="19">
        <v>339.53</v>
      </c>
      <c r="Q476" s="19">
        <v>325.92</v>
      </c>
      <c r="R476" s="19">
        <v>321.31</v>
      </c>
      <c r="S476" s="19">
        <v>309.03</v>
      </c>
      <c r="T476" s="19">
        <v>305.75</v>
      </c>
      <c r="U476" s="19">
        <v>340.41</v>
      </c>
      <c r="V476" s="19">
        <v>340.01</v>
      </c>
      <c r="W476" s="19">
        <v>333.87</v>
      </c>
      <c r="X476" s="19">
        <v>322.13</v>
      </c>
      <c r="Y476" s="19">
        <v>288.52</v>
      </c>
      <c r="Z476" s="34" t="s">
        <v>36</v>
      </c>
      <c r="AA476" s="25">
        <f>MIN($B$476:$Y$476)</f>
        <v>288.52</v>
      </c>
      <c r="AB476" s="25">
        <f>AVERAGE($B$476:$Y$476)</f>
        <v>322.640833333333</v>
      </c>
    </row>
    <row r="477" spans="1:28">
      <c r="A477" s="30">
        <v>45767</v>
      </c>
      <c r="B477" s="19">
        <v>334.96</v>
      </c>
      <c r="C477" s="19">
        <v>353.11</v>
      </c>
      <c r="D477" s="19">
        <v>341.57</v>
      </c>
      <c r="E477" s="19">
        <v>320.95</v>
      </c>
      <c r="F477" s="19">
        <v>303.9</v>
      </c>
      <c r="G477" s="19">
        <v>298.41</v>
      </c>
      <c r="H477" s="19">
        <v>298.81</v>
      </c>
      <c r="I477" s="19">
        <v>296.5</v>
      </c>
      <c r="J477" s="19">
        <v>293.9</v>
      </c>
      <c r="K477" s="19">
        <v>326.13</v>
      </c>
      <c r="L477" s="19">
        <v>334.38</v>
      </c>
      <c r="M477" s="19">
        <v>379.3</v>
      </c>
      <c r="N477" s="19">
        <v>309.81</v>
      </c>
      <c r="O477" s="19">
        <v>332.06</v>
      </c>
      <c r="P477" s="19">
        <v>336.21</v>
      </c>
      <c r="Q477" s="19">
        <v>327.3</v>
      </c>
      <c r="R477" s="19">
        <v>333.56</v>
      </c>
      <c r="S477" s="19">
        <v>325.93</v>
      </c>
      <c r="T477" s="19">
        <v>321.42</v>
      </c>
      <c r="U477" s="19">
        <v>329.6</v>
      </c>
      <c r="V477" s="19">
        <v>330.56</v>
      </c>
      <c r="W477" s="19">
        <v>330.82</v>
      </c>
      <c r="X477" s="19">
        <v>324.74</v>
      </c>
      <c r="Y477" s="19">
        <v>293.92</v>
      </c>
      <c r="Z477" s="35" t="s">
        <v>37</v>
      </c>
      <c r="AA477" s="25">
        <f>MIN($B$477:$Y$477)</f>
        <v>293.9</v>
      </c>
      <c r="AB477" s="25">
        <f>AVERAGE($B$477:$Y$477)</f>
        <v>324.077083333333</v>
      </c>
    </row>
    <row r="478" spans="1:28">
      <c r="A478" s="30">
        <v>45768</v>
      </c>
      <c r="B478" s="19">
        <v>290.55</v>
      </c>
      <c r="C478" s="19">
        <v>290</v>
      </c>
      <c r="D478" s="19">
        <v>283.9</v>
      </c>
      <c r="E478" s="19">
        <v>277.99</v>
      </c>
      <c r="F478" s="19">
        <v>271.7</v>
      </c>
      <c r="G478" s="19">
        <v>271.46</v>
      </c>
      <c r="H478" s="19">
        <v>279.34</v>
      </c>
      <c r="I478" s="19">
        <v>281.03</v>
      </c>
      <c r="J478" s="19">
        <v>322.98</v>
      </c>
      <c r="K478" s="19">
        <v>339.97</v>
      </c>
      <c r="L478" s="19">
        <v>318.29</v>
      </c>
      <c r="M478" s="19">
        <v>330.64</v>
      </c>
      <c r="N478" s="19">
        <v>291.09</v>
      </c>
      <c r="O478" s="19">
        <v>300.89</v>
      </c>
      <c r="P478" s="19">
        <v>319.79</v>
      </c>
      <c r="Q478" s="19">
        <v>327.74</v>
      </c>
      <c r="R478" s="19">
        <v>344.57</v>
      </c>
      <c r="S478" s="19">
        <v>339.87</v>
      </c>
      <c r="T478" s="19">
        <v>329.27</v>
      </c>
      <c r="U478" s="19">
        <v>375.89</v>
      </c>
      <c r="V478" s="19">
        <v>350.5</v>
      </c>
      <c r="W478" s="19">
        <v>346.11</v>
      </c>
      <c r="X478" s="19">
        <v>364.78</v>
      </c>
      <c r="Y478" s="19">
        <v>310.52</v>
      </c>
      <c r="Z478" s="32" t="s">
        <v>32</v>
      </c>
      <c r="AA478" s="25">
        <f>MIN($B$478:$Y$478)</f>
        <v>271.46</v>
      </c>
      <c r="AB478" s="25">
        <f>AVERAGE($B$478:$Y$478)</f>
        <v>314.952916666667</v>
      </c>
    </row>
    <row r="479" spans="1:28">
      <c r="A479" s="30">
        <v>45769</v>
      </c>
      <c r="B479" s="19">
        <v>431.99</v>
      </c>
      <c r="C479" s="19">
        <v>383.26</v>
      </c>
      <c r="D479" s="19">
        <v>372.85</v>
      </c>
      <c r="E479" s="19">
        <v>343.08</v>
      </c>
      <c r="F479" s="19">
        <v>321.32</v>
      </c>
      <c r="G479" s="19">
        <v>318.37</v>
      </c>
      <c r="H479" s="19">
        <v>324.29</v>
      </c>
      <c r="I479" s="19">
        <v>322.71</v>
      </c>
      <c r="J479" s="19">
        <v>474.82</v>
      </c>
      <c r="K479" s="19">
        <v>581.29</v>
      </c>
      <c r="L479" s="19">
        <v>433.68</v>
      </c>
      <c r="M479" s="19">
        <v>648.39</v>
      </c>
      <c r="N479" s="19">
        <v>362.01</v>
      </c>
      <c r="O479" s="19">
        <v>595.02</v>
      </c>
      <c r="P479" s="19">
        <v>907.24</v>
      </c>
      <c r="Q479" s="19">
        <v>960.47</v>
      </c>
      <c r="R479" s="19">
        <v>909.5</v>
      </c>
      <c r="S479" s="19">
        <v>407.04</v>
      </c>
      <c r="T479" s="19">
        <v>359.35</v>
      </c>
      <c r="U479" s="19">
        <v>433.06</v>
      </c>
      <c r="V479" s="19">
        <v>408.42</v>
      </c>
      <c r="W479" s="19">
        <v>451.32</v>
      </c>
      <c r="X479" s="19">
        <v>553.48</v>
      </c>
      <c r="Y479" s="19">
        <v>357.86</v>
      </c>
      <c r="Z479" s="33" t="s">
        <v>32</v>
      </c>
      <c r="AA479" s="25">
        <f>MIN($B$479:$Y$479)</f>
        <v>318.37</v>
      </c>
      <c r="AB479" s="25">
        <f>AVERAGE($B$479:$Y$479)</f>
        <v>485.8675</v>
      </c>
    </row>
    <row r="480" spans="1:28">
      <c r="A480" s="30">
        <v>45770</v>
      </c>
      <c r="B480" s="19">
        <v>617.5</v>
      </c>
      <c r="C480" s="19">
        <v>442.8</v>
      </c>
      <c r="D480" s="19">
        <v>424.8</v>
      </c>
      <c r="E480" s="19">
        <v>357.45</v>
      </c>
      <c r="F480" s="19">
        <v>325.75</v>
      </c>
      <c r="G480" s="19">
        <v>321.61</v>
      </c>
      <c r="H480" s="19">
        <v>337.34</v>
      </c>
      <c r="I480" s="19">
        <v>336.44</v>
      </c>
      <c r="J480" s="19">
        <v>650.46</v>
      </c>
      <c r="K480" s="19">
        <v>624.73</v>
      </c>
      <c r="L480" s="19">
        <v>604.37</v>
      </c>
      <c r="M480" s="19">
        <v>1031.65</v>
      </c>
      <c r="N480" s="19">
        <v>643.38</v>
      </c>
      <c r="O480" s="19">
        <v>883.51</v>
      </c>
      <c r="P480" s="19">
        <v>851.58</v>
      </c>
      <c r="Q480" s="19">
        <v>638.19</v>
      </c>
      <c r="R480" s="19">
        <v>741.85</v>
      </c>
      <c r="S480" s="19">
        <v>546.4</v>
      </c>
      <c r="T480" s="19">
        <v>360.96</v>
      </c>
      <c r="U480" s="19">
        <v>409.07</v>
      </c>
      <c r="V480" s="19">
        <v>413.09</v>
      </c>
      <c r="W480" s="19">
        <v>473.98</v>
      </c>
      <c r="X480" s="19">
        <v>597.03</v>
      </c>
      <c r="Y480" s="19">
        <v>350.05</v>
      </c>
      <c r="Z480" s="32" t="s">
        <v>32</v>
      </c>
      <c r="AA480" s="25">
        <f>MIN($B$480:$Y$480)</f>
        <v>321.61</v>
      </c>
      <c r="AB480" s="25">
        <f>AVERAGE($B$480:$Y$480)</f>
        <v>540.999583333333</v>
      </c>
    </row>
    <row r="481" spans="1:28">
      <c r="A481" s="30">
        <v>45771</v>
      </c>
      <c r="B481" s="19">
        <v>459.26</v>
      </c>
      <c r="C481" s="19">
        <v>393.96</v>
      </c>
      <c r="D481" s="19">
        <v>411.84</v>
      </c>
      <c r="E481" s="19">
        <v>356.17</v>
      </c>
      <c r="F481" s="19">
        <v>333.52</v>
      </c>
      <c r="G481" s="19">
        <v>324.33</v>
      </c>
      <c r="H481" s="19">
        <v>332.67</v>
      </c>
      <c r="I481" s="19">
        <v>312.03</v>
      </c>
      <c r="J481" s="19">
        <v>491.39</v>
      </c>
      <c r="K481" s="19">
        <v>419.29</v>
      </c>
      <c r="L481" s="19">
        <v>393.66</v>
      </c>
      <c r="M481" s="19">
        <v>569.43</v>
      </c>
      <c r="N481" s="19">
        <v>374.84</v>
      </c>
      <c r="O481" s="19">
        <v>541.89</v>
      </c>
      <c r="P481" s="19">
        <v>556.17</v>
      </c>
      <c r="Q481" s="19">
        <v>485.71</v>
      </c>
      <c r="R481" s="19">
        <v>592.14</v>
      </c>
      <c r="S481" s="19">
        <v>418.2</v>
      </c>
      <c r="T481" s="19">
        <v>368.19</v>
      </c>
      <c r="U481" s="19">
        <v>438.52</v>
      </c>
      <c r="V481" s="19">
        <v>441.71</v>
      </c>
      <c r="W481" s="19">
        <v>410.07</v>
      </c>
      <c r="X481" s="19">
        <v>565.32</v>
      </c>
      <c r="Y481" s="19">
        <v>354.6</v>
      </c>
      <c r="Z481" s="33" t="s">
        <v>32</v>
      </c>
      <c r="AA481" s="25">
        <f>MIN($B$481:$Y$481)</f>
        <v>312.03</v>
      </c>
      <c r="AB481" s="25">
        <f>AVERAGE($B$481:$Y$481)</f>
        <v>431.037916666667</v>
      </c>
    </row>
    <row r="482" spans="1:28">
      <c r="A482" s="30">
        <v>45772</v>
      </c>
      <c r="B482" s="19">
        <v>381.14</v>
      </c>
      <c r="C482" s="19">
        <v>370.57</v>
      </c>
      <c r="D482" s="19">
        <v>343.91</v>
      </c>
      <c r="E482" s="19">
        <v>321.58</v>
      </c>
      <c r="F482" s="19">
        <v>310.51</v>
      </c>
      <c r="G482" s="19">
        <v>303.12</v>
      </c>
      <c r="H482" s="19">
        <v>308.99</v>
      </c>
      <c r="I482" s="19">
        <v>310.67</v>
      </c>
      <c r="J482" s="19">
        <v>377.97</v>
      </c>
      <c r="K482" s="19">
        <v>402.26</v>
      </c>
      <c r="L482" s="19">
        <v>378.87</v>
      </c>
      <c r="M482" s="19">
        <v>515.57</v>
      </c>
      <c r="N482" s="19">
        <v>339.34</v>
      </c>
      <c r="O482" s="19">
        <v>365.69</v>
      </c>
      <c r="P482" s="19">
        <v>385.2</v>
      </c>
      <c r="Q482" s="19">
        <v>372.99</v>
      </c>
      <c r="R482" s="19">
        <v>373.39</v>
      </c>
      <c r="S482" s="19">
        <v>348.61</v>
      </c>
      <c r="T482" s="19">
        <v>339.5</v>
      </c>
      <c r="U482" s="19">
        <v>353.29</v>
      </c>
      <c r="V482" s="19">
        <v>342.07</v>
      </c>
      <c r="W482" s="19">
        <v>337.95</v>
      </c>
      <c r="X482" s="19">
        <v>332.29</v>
      </c>
      <c r="Y482" s="19">
        <v>294.91</v>
      </c>
      <c r="Z482" s="32" t="s">
        <v>32</v>
      </c>
      <c r="AA482" s="25">
        <f>MIN($B$482:$Y$482)</f>
        <v>294.91</v>
      </c>
      <c r="AB482" s="25">
        <f>AVERAGE($B$482:$Y$482)</f>
        <v>354.599583333333</v>
      </c>
    </row>
    <row r="483" spans="1:28">
      <c r="A483" s="30">
        <v>45773</v>
      </c>
      <c r="B483" s="19">
        <v>301</v>
      </c>
      <c r="C483" s="19">
        <v>299.44</v>
      </c>
      <c r="D483" s="19">
        <v>291.08</v>
      </c>
      <c r="E483" s="19">
        <v>282.63</v>
      </c>
      <c r="F483" s="19">
        <v>276.83</v>
      </c>
      <c r="G483" s="19">
        <v>272.82</v>
      </c>
      <c r="H483" s="19">
        <v>277.35</v>
      </c>
      <c r="I483" s="19">
        <v>280.93</v>
      </c>
      <c r="J483" s="19">
        <v>319.1</v>
      </c>
      <c r="K483" s="19">
        <v>340.49</v>
      </c>
      <c r="L483" s="19">
        <v>341.6</v>
      </c>
      <c r="M483" s="19">
        <v>364.65</v>
      </c>
      <c r="N483" s="19">
        <v>306.77</v>
      </c>
      <c r="O483" s="19">
        <v>338.48</v>
      </c>
      <c r="P483" s="19">
        <v>348.07</v>
      </c>
      <c r="Q483" s="19">
        <v>357.77</v>
      </c>
      <c r="R483" s="19">
        <v>360.3</v>
      </c>
      <c r="S483" s="19">
        <v>328.48</v>
      </c>
      <c r="T483" s="19">
        <v>309.26</v>
      </c>
      <c r="U483" s="19">
        <v>323.92</v>
      </c>
      <c r="V483" s="19">
        <v>333.31</v>
      </c>
      <c r="W483" s="19">
        <v>318.26</v>
      </c>
      <c r="X483" s="19">
        <v>314.97</v>
      </c>
      <c r="Y483" s="19">
        <v>295.88</v>
      </c>
      <c r="Z483" s="36" t="s">
        <v>36</v>
      </c>
      <c r="AA483" s="25">
        <f>MIN($B$483:$Y$483)</f>
        <v>272.82</v>
      </c>
      <c r="AB483" s="25">
        <f>AVERAGE($B$483:$Y$483)</f>
        <v>315.974583333333</v>
      </c>
    </row>
    <row r="484" spans="1:28">
      <c r="A484" s="30">
        <v>45774</v>
      </c>
      <c r="B484" s="19">
        <v>296.16</v>
      </c>
      <c r="C484" s="19">
        <v>281.83</v>
      </c>
      <c r="D484" s="19">
        <v>276.66</v>
      </c>
      <c r="E484" s="19">
        <v>277.61</v>
      </c>
      <c r="F484" s="19">
        <v>272.62</v>
      </c>
      <c r="G484" s="19">
        <v>272.22</v>
      </c>
      <c r="H484" s="19">
        <v>278.27</v>
      </c>
      <c r="I484" s="19">
        <v>280.18</v>
      </c>
      <c r="J484" s="19">
        <v>301.5</v>
      </c>
      <c r="K484" s="19">
        <v>320.65</v>
      </c>
      <c r="L484" s="19">
        <v>318.04</v>
      </c>
      <c r="M484" s="19">
        <v>341.35</v>
      </c>
      <c r="N484" s="19">
        <v>301.27</v>
      </c>
      <c r="O484" s="19">
        <v>312.33</v>
      </c>
      <c r="P484" s="19">
        <v>315.47</v>
      </c>
      <c r="Q484" s="19">
        <v>316.64</v>
      </c>
      <c r="R484" s="19">
        <v>327.14</v>
      </c>
      <c r="S484" s="19">
        <v>382.73</v>
      </c>
      <c r="T484" s="19">
        <v>309.7</v>
      </c>
      <c r="U484" s="19">
        <v>321.84</v>
      </c>
      <c r="V484" s="19">
        <v>321.34</v>
      </c>
      <c r="W484" s="19">
        <v>330.94</v>
      </c>
      <c r="X484" s="19">
        <v>320.92</v>
      </c>
      <c r="Y484" s="19">
        <v>299.19</v>
      </c>
      <c r="Z484" s="32" t="s">
        <v>32</v>
      </c>
      <c r="AA484" s="25">
        <f>MIN($B$484:$Y$484)</f>
        <v>272.22</v>
      </c>
      <c r="AB484" s="25">
        <f>AVERAGE($B$484:$Y$484)</f>
        <v>307.358333333333</v>
      </c>
    </row>
    <row r="485" spans="1:28">
      <c r="A485" s="30">
        <v>45775</v>
      </c>
      <c r="B485" s="19">
        <v>304.83</v>
      </c>
      <c r="C485" s="19">
        <v>295.62</v>
      </c>
      <c r="D485" s="19">
        <v>288.68</v>
      </c>
      <c r="E485" s="19">
        <v>287.72</v>
      </c>
      <c r="F485" s="19">
        <v>284.54</v>
      </c>
      <c r="G485" s="19">
        <v>285.86</v>
      </c>
      <c r="H485" s="19">
        <v>291.74</v>
      </c>
      <c r="I485" s="19">
        <v>290.94</v>
      </c>
      <c r="J485" s="19">
        <v>328.81</v>
      </c>
      <c r="K485" s="19">
        <v>360.05</v>
      </c>
      <c r="L485" s="19">
        <v>347.81</v>
      </c>
      <c r="M485" s="19">
        <v>363.03</v>
      </c>
      <c r="N485" s="19">
        <v>309.79</v>
      </c>
      <c r="O485" s="19">
        <v>354.9</v>
      </c>
      <c r="P485" s="19">
        <v>354.45</v>
      </c>
      <c r="Q485" s="19">
        <v>356.43</v>
      </c>
      <c r="R485" s="19">
        <v>348.31</v>
      </c>
      <c r="S485" s="19">
        <v>339.02</v>
      </c>
      <c r="T485" s="19">
        <v>324.84</v>
      </c>
      <c r="U485" s="19">
        <v>340.42</v>
      </c>
      <c r="V485" s="19">
        <v>353.77</v>
      </c>
      <c r="W485" s="19">
        <v>378.45</v>
      </c>
      <c r="X485" s="19">
        <v>367.28</v>
      </c>
      <c r="Y485" s="19">
        <v>313.18</v>
      </c>
      <c r="Z485" s="33" t="s">
        <v>32</v>
      </c>
      <c r="AA485" s="25">
        <f>MIN($B$485:$Y$485)</f>
        <v>284.54</v>
      </c>
      <c r="AB485" s="25">
        <f>AVERAGE($B$485:$Y$485)</f>
        <v>327.93625</v>
      </c>
    </row>
    <row r="486" spans="1:28">
      <c r="A486" s="30">
        <v>45776</v>
      </c>
      <c r="B486" s="19">
        <v>341.81</v>
      </c>
      <c r="C486" s="19">
        <v>309.07</v>
      </c>
      <c r="D486" s="19">
        <v>295.8</v>
      </c>
      <c r="E486" s="19">
        <v>293.09</v>
      </c>
      <c r="F486" s="19">
        <v>287.02</v>
      </c>
      <c r="G486" s="19">
        <v>287.65</v>
      </c>
      <c r="H486" s="19">
        <v>291.99</v>
      </c>
      <c r="I486" s="19">
        <v>286.15</v>
      </c>
      <c r="J486" s="19">
        <v>306.66</v>
      </c>
      <c r="K486" s="19">
        <v>308.96</v>
      </c>
      <c r="L486" s="19">
        <v>307.68</v>
      </c>
      <c r="M486" s="19">
        <v>349.33</v>
      </c>
      <c r="N486" s="19">
        <v>286.15</v>
      </c>
      <c r="O486" s="19">
        <v>337.42</v>
      </c>
      <c r="P486" s="19">
        <v>342.19</v>
      </c>
      <c r="Q486" s="19">
        <v>356.76</v>
      </c>
      <c r="R486" s="19">
        <v>789.34</v>
      </c>
      <c r="S486" s="19">
        <v>419.94</v>
      </c>
      <c r="T486" s="19">
        <v>348.41</v>
      </c>
      <c r="U486" s="19">
        <v>377.28</v>
      </c>
      <c r="V486" s="19">
        <v>362.15</v>
      </c>
      <c r="W486" s="19">
        <v>383.44</v>
      </c>
      <c r="X486" s="19">
        <v>358.34</v>
      </c>
      <c r="Y486" s="19">
        <v>308.88</v>
      </c>
      <c r="Z486" s="32" t="s">
        <v>32</v>
      </c>
      <c r="AA486" s="25">
        <f>MIN($B$486:$Y$486)</f>
        <v>286.15</v>
      </c>
      <c r="AB486" s="25">
        <f>AVERAGE($B$486:$Y$486)</f>
        <v>347.312916666667</v>
      </c>
    </row>
    <row r="487" spans="1:28">
      <c r="A487" s="30">
        <v>45777</v>
      </c>
      <c r="B487" s="19">
        <v>501.71</v>
      </c>
      <c r="C487" s="19">
        <v>355.07</v>
      </c>
      <c r="D487" s="19">
        <v>341.37</v>
      </c>
      <c r="E487" s="19">
        <v>329.92</v>
      </c>
      <c r="F487" s="19">
        <v>318.5</v>
      </c>
      <c r="G487" s="19">
        <v>317.1</v>
      </c>
      <c r="H487" s="19">
        <v>317.29</v>
      </c>
      <c r="I487" s="19">
        <v>305.65</v>
      </c>
      <c r="J487" s="19">
        <v>351.19</v>
      </c>
      <c r="K487" s="19">
        <v>358.03</v>
      </c>
      <c r="L487" s="19">
        <v>338.72</v>
      </c>
      <c r="M487" s="19">
        <v>469.46</v>
      </c>
      <c r="N487" s="19">
        <v>318.23</v>
      </c>
      <c r="O487" s="19">
        <v>393.21</v>
      </c>
      <c r="P487" s="19">
        <v>618.09</v>
      </c>
      <c r="Q487" s="19">
        <v>422.77</v>
      </c>
      <c r="R487" s="19">
        <v>442.25</v>
      </c>
      <c r="S487" s="19">
        <v>344.8</v>
      </c>
      <c r="T487" s="19">
        <v>349.93</v>
      </c>
      <c r="U487" s="19">
        <v>390.22</v>
      </c>
      <c r="V487" s="19">
        <v>423.91</v>
      </c>
      <c r="W487" s="19">
        <v>528</v>
      </c>
      <c r="X487" s="19">
        <v>462.14</v>
      </c>
      <c r="Y487" s="19">
        <v>344.84</v>
      </c>
      <c r="Z487" s="33" t="s">
        <v>32</v>
      </c>
      <c r="AA487" s="25">
        <f>MIN($B$487:$Y$487)</f>
        <v>305.65</v>
      </c>
      <c r="AB487" s="25">
        <f>AVERAGE($B$487:$Y$487)</f>
        <v>389.266666666667</v>
      </c>
    </row>
    <row r="488" spans="1:28">
      <c r="A488" s="30">
        <v>45778</v>
      </c>
      <c r="B488" s="19">
        <v>497.23</v>
      </c>
      <c r="C488" s="19">
        <v>403.73</v>
      </c>
      <c r="D488" s="19">
        <v>349.15</v>
      </c>
      <c r="E488" s="19">
        <v>325.65</v>
      </c>
      <c r="F488" s="19">
        <v>326.52</v>
      </c>
      <c r="G488" s="19">
        <v>305.59</v>
      </c>
      <c r="H488" s="19">
        <v>303.94</v>
      </c>
      <c r="I488" s="19">
        <v>268.77</v>
      </c>
      <c r="J488" s="19">
        <v>3.07</v>
      </c>
      <c r="K488" s="19">
        <v>2.68</v>
      </c>
      <c r="L488" s="19">
        <v>2.72</v>
      </c>
      <c r="M488" s="19">
        <v>2.78</v>
      </c>
      <c r="N488" s="19">
        <v>2.68</v>
      </c>
      <c r="O488" s="19">
        <v>24.48</v>
      </c>
      <c r="P488" s="19">
        <v>64.53</v>
      </c>
      <c r="Q488" s="19">
        <v>1.92</v>
      </c>
      <c r="R488" s="19">
        <v>3.1</v>
      </c>
      <c r="S488" s="19">
        <v>194.89</v>
      </c>
      <c r="T488" s="19">
        <v>274.74</v>
      </c>
      <c r="U488" s="19">
        <v>286.22</v>
      </c>
      <c r="V488" s="19">
        <v>273.08</v>
      </c>
      <c r="W488" s="19">
        <v>267.26</v>
      </c>
      <c r="X488" s="19">
        <v>286.03</v>
      </c>
      <c r="Y488" s="19">
        <v>286.68</v>
      </c>
      <c r="Z488" s="40" t="s">
        <v>31</v>
      </c>
      <c r="AA488" s="25">
        <f>MIN($B$488:$Y$488)</f>
        <v>1.92</v>
      </c>
      <c r="AB488" s="25">
        <f>AVERAGE($B$488:$Y$488)</f>
        <v>198.226666666667</v>
      </c>
    </row>
    <row r="489" spans="1:28">
      <c r="A489" s="30">
        <v>45779</v>
      </c>
      <c r="B489" s="19">
        <v>354.54</v>
      </c>
      <c r="C489" s="19">
        <v>317.05</v>
      </c>
      <c r="D489" s="19">
        <v>297.78</v>
      </c>
      <c r="E489" s="19">
        <v>275.29</v>
      </c>
      <c r="F489" s="19">
        <v>276.28</v>
      </c>
      <c r="G489" s="19">
        <v>270</v>
      </c>
      <c r="H489" s="19">
        <v>272.42</v>
      </c>
      <c r="I489" s="19">
        <v>266.22</v>
      </c>
      <c r="J489" s="19">
        <v>228.69</v>
      </c>
      <c r="K489" s="19">
        <v>197.58</v>
      </c>
      <c r="L489" s="19">
        <v>77.77</v>
      </c>
      <c r="M489" s="19">
        <v>168.66</v>
      </c>
      <c r="N489" s="19">
        <v>46.03</v>
      </c>
      <c r="O489" s="19">
        <v>140.16</v>
      </c>
      <c r="P489" s="19">
        <v>253.88</v>
      </c>
      <c r="Q489" s="19">
        <v>253.07</v>
      </c>
      <c r="R489" s="19">
        <v>272.53</v>
      </c>
      <c r="S489" s="19">
        <v>325.94</v>
      </c>
      <c r="T489" s="19">
        <v>306.63</v>
      </c>
      <c r="U489" s="19">
        <v>308.74</v>
      </c>
      <c r="V489" s="19">
        <v>297.36</v>
      </c>
      <c r="W489" s="19">
        <v>297.25</v>
      </c>
      <c r="X489" s="19">
        <v>310.27</v>
      </c>
      <c r="Y489" s="19">
        <v>311.17</v>
      </c>
      <c r="Z489" s="41" t="s">
        <v>31</v>
      </c>
      <c r="AA489" s="25">
        <f>MIN($B$489:$Y$489)</f>
        <v>46.03</v>
      </c>
      <c r="AB489" s="25">
        <f>AVERAGE($B$489:$Y$489)</f>
        <v>255.22125</v>
      </c>
    </row>
    <row r="490" spans="1:28">
      <c r="A490" s="30">
        <v>45780</v>
      </c>
      <c r="B490" s="19">
        <v>539.97</v>
      </c>
      <c r="C490" s="19">
        <v>440.08</v>
      </c>
      <c r="D490" s="19">
        <v>438.93</v>
      </c>
      <c r="E490" s="19">
        <v>370.83</v>
      </c>
      <c r="F490" s="19">
        <v>365.93</v>
      </c>
      <c r="G490" s="19">
        <v>362.36</v>
      </c>
      <c r="H490" s="19">
        <v>387.97</v>
      </c>
      <c r="I490" s="19">
        <v>345.01</v>
      </c>
      <c r="J490" s="19">
        <v>365.74</v>
      </c>
      <c r="K490" s="19">
        <v>354.89</v>
      </c>
      <c r="L490" s="19">
        <v>371.58</v>
      </c>
      <c r="M490" s="19">
        <v>353.8</v>
      </c>
      <c r="N490" s="19">
        <v>324.65</v>
      </c>
      <c r="O490" s="19">
        <v>370.05</v>
      </c>
      <c r="P490" s="19">
        <v>337.96</v>
      </c>
      <c r="Q490" s="19">
        <v>322.03</v>
      </c>
      <c r="R490" s="19">
        <v>330.92</v>
      </c>
      <c r="S490" s="19">
        <v>328.92</v>
      </c>
      <c r="T490" s="19">
        <v>313.56</v>
      </c>
      <c r="U490" s="19">
        <v>314.16</v>
      </c>
      <c r="V490" s="19">
        <v>313.26</v>
      </c>
      <c r="W490" s="19">
        <v>312.62</v>
      </c>
      <c r="X490" s="19">
        <v>338.61</v>
      </c>
      <c r="Y490" s="19">
        <v>345.08</v>
      </c>
      <c r="Z490" s="39" t="s">
        <v>35</v>
      </c>
      <c r="AA490" s="25">
        <f>MIN($B$490:$Y$490)</f>
        <v>312.62</v>
      </c>
      <c r="AB490" s="25">
        <f>AVERAGE($B$490:$Y$490)</f>
        <v>360.37125</v>
      </c>
    </row>
    <row r="491" spans="1:28">
      <c r="A491" s="30">
        <v>45781</v>
      </c>
      <c r="B491" s="19">
        <v>379.58</v>
      </c>
      <c r="C491" s="19">
        <v>387.45</v>
      </c>
      <c r="D491" s="19">
        <v>349.47</v>
      </c>
      <c r="E491" s="19">
        <v>334.44</v>
      </c>
      <c r="F491" s="19">
        <v>318.49</v>
      </c>
      <c r="G491" s="19">
        <v>313.81</v>
      </c>
      <c r="H491" s="19">
        <v>316.23</v>
      </c>
      <c r="I491" s="19">
        <v>302.05</v>
      </c>
      <c r="J491" s="19">
        <v>304.93</v>
      </c>
      <c r="K491" s="19">
        <v>305.59</v>
      </c>
      <c r="L491" s="19">
        <v>300.68</v>
      </c>
      <c r="M491" s="19">
        <v>301.28</v>
      </c>
      <c r="N491" s="19">
        <v>294.84</v>
      </c>
      <c r="O491" s="19">
        <v>298.2</v>
      </c>
      <c r="P491" s="19">
        <v>304.63</v>
      </c>
      <c r="Q491" s="19">
        <v>328.89</v>
      </c>
      <c r="R491" s="19">
        <v>378.96</v>
      </c>
      <c r="S491" s="19">
        <v>392.81</v>
      </c>
      <c r="T491" s="19">
        <v>349.02</v>
      </c>
      <c r="U491" s="19">
        <v>351.15</v>
      </c>
      <c r="V491" s="19">
        <v>336.86</v>
      </c>
      <c r="W491" s="19">
        <v>337.14</v>
      </c>
      <c r="X491" s="19">
        <v>335.68</v>
      </c>
      <c r="Y491" s="19">
        <v>308.23</v>
      </c>
      <c r="Z491" s="38" t="s">
        <v>35</v>
      </c>
      <c r="AA491" s="25">
        <f>MIN($B$491:$Y$491)</f>
        <v>294.84</v>
      </c>
      <c r="AB491" s="25">
        <f>AVERAGE($B$491:$Y$491)</f>
        <v>330.43375</v>
      </c>
    </row>
    <row r="492" spans="1:28">
      <c r="A492" s="30">
        <v>45782</v>
      </c>
      <c r="B492" s="19">
        <v>420.19</v>
      </c>
      <c r="C492" s="19">
        <v>370.87</v>
      </c>
      <c r="D492" s="19">
        <v>346.81</v>
      </c>
      <c r="E492" s="19">
        <v>345.45</v>
      </c>
      <c r="F492" s="19">
        <v>336.06</v>
      </c>
      <c r="G492" s="19">
        <v>335.15</v>
      </c>
      <c r="H492" s="19">
        <v>361.5</v>
      </c>
      <c r="I492" s="19">
        <v>338.4</v>
      </c>
      <c r="J492" s="19">
        <v>375.9</v>
      </c>
      <c r="K492" s="19">
        <v>380.62</v>
      </c>
      <c r="L492" s="19">
        <v>404.45</v>
      </c>
      <c r="M492" s="19">
        <v>436.73</v>
      </c>
      <c r="N492" s="19">
        <v>340.28</v>
      </c>
      <c r="O492" s="19">
        <v>389.71</v>
      </c>
      <c r="P492" s="19">
        <v>390.56</v>
      </c>
      <c r="Q492" s="19">
        <v>402.74</v>
      </c>
      <c r="R492" s="19">
        <v>431.5</v>
      </c>
      <c r="S492" s="19">
        <v>364.04</v>
      </c>
      <c r="T492" s="19">
        <v>344.72</v>
      </c>
      <c r="U492" s="19">
        <v>385.74</v>
      </c>
      <c r="V492" s="19">
        <v>382.03</v>
      </c>
      <c r="W492" s="19">
        <v>405.47</v>
      </c>
      <c r="X492" s="19">
        <v>434.58</v>
      </c>
      <c r="Y492" s="19">
        <v>333.62</v>
      </c>
      <c r="Z492" s="39" t="s">
        <v>35</v>
      </c>
      <c r="AA492" s="25">
        <f>MIN($B$492:$Y$492)</f>
        <v>333.62</v>
      </c>
      <c r="AB492" s="25">
        <f>AVERAGE($B$492:$Y$492)</f>
        <v>377.38</v>
      </c>
    </row>
    <row r="493" spans="1:28">
      <c r="A493" s="30">
        <v>45783</v>
      </c>
      <c r="B493" s="19">
        <v>389.22</v>
      </c>
      <c r="C493" s="19">
        <v>372.6</v>
      </c>
      <c r="D493" s="19">
        <v>399.47</v>
      </c>
      <c r="E493" s="19">
        <v>367.76</v>
      </c>
      <c r="F493" s="19">
        <v>350.95</v>
      </c>
      <c r="G493" s="19">
        <v>349.02</v>
      </c>
      <c r="H493" s="19">
        <v>376.94</v>
      </c>
      <c r="I493" s="19">
        <v>344.1</v>
      </c>
      <c r="J493" s="19">
        <v>390.12</v>
      </c>
      <c r="K493" s="19">
        <v>422.12</v>
      </c>
      <c r="L493" s="19">
        <v>516.68</v>
      </c>
      <c r="M493" s="19">
        <v>609.9</v>
      </c>
      <c r="N493" s="19">
        <v>359.81</v>
      </c>
      <c r="O493" s="19">
        <v>497.91</v>
      </c>
      <c r="P493" s="19">
        <v>575.41</v>
      </c>
      <c r="Q493" s="19">
        <v>495.65</v>
      </c>
      <c r="R493" s="19">
        <v>528.53</v>
      </c>
      <c r="S493" s="19">
        <v>445.9</v>
      </c>
      <c r="T493" s="19">
        <v>360.81</v>
      </c>
      <c r="U493" s="19">
        <v>431.16</v>
      </c>
      <c r="V493" s="19">
        <v>377.29</v>
      </c>
      <c r="W493" s="19">
        <v>398.07</v>
      </c>
      <c r="X493" s="19">
        <v>431.33</v>
      </c>
      <c r="Y493" s="19">
        <v>348.62</v>
      </c>
      <c r="Z493" s="33" t="s">
        <v>32</v>
      </c>
      <c r="AA493" s="25">
        <f>MIN($B$493:$Y$493)</f>
        <v>344.1</v>
      </c>
      <c r="AB493" s="25">
        <f>AVERAGE($B$493:$Y$493)</f>
        <v>422.47375</v>
      </c>
    </row>
    <row r="494" spans="1:28">
      <c r="A494" s="30">
        <v>45784</v>
      </c>
      <c r="B494" s="19">
        <v>468.68</v>
      </c>
      <c r="C494" s="19">
        <v>428.33</v>
      </c>
      <c r="D494" s="19">
        <v>500.17</v>
      </c>
      <c r="E494" s="19">
        <v>386.47</v>
      </c>
      <c r="F494" s="19">
        <v>345.55</v>
      </c>
      <c r="G494" s="19">
        <v>343.37</v>
      </c>
      <c r="H494" s="19">
        <v>388.12</v>
      </c>
      <c r="I494" s="19">
        <v>342.12</v>
      </c>
      <c r="J494" s="19">
        <v>420.29</v>
      </c>
      <c r="K494" s="19">
        <v>506.6</v>
      </c>
      <c r="L494" s="19">
        <v>457.17</v>
      </c>
      <c r="M494" s="19">
        <v>516.34</v>
      </c>
      <c r="N494" s="19">
        <v>343.46</v>
      </c>
      <c r="O494" s="19">
        <v>452.19</v>
      </c>
      <c r="P494" s="19">
        <v>538.9</v>
      </c>
      <c r="Q494" s="19">
        <v>389.07</v>
      </c>
      <c r="R494" s="19">
        <v>531.44</v>
      </c>
      <c r="S494" s="19">
        <v>438.62</v>
      </c>
      <c r="T494" s="19">
        <v>354</v>
      </c>
      <c r="U494" s="19">
        <v>428.3</v>
      </c>
      <c r="V494" s="19">
        <v>362.56</v>
      </c>
      <c r="W494" s="19">
        <v>359.27</v>
      </c>
      <c r="X494" s="19">
        <v>348.2</v>
      </c>
      <c r="Y494" s="19">
        <v>317.28</v>
      </c>
      <c r="Z494" s="32" t="s">
        <v>32</v>
      </c>
      <c r="AA494" s="25">
        <f>MIN($B$494:$Y$494)</f>
        <v>317.28</v>
      </c>
      <c r="AB494" s="25">
        <f>AVERAGE($B$494:$Y$494)</f>
        <v>415.270833333333</v>
      </c>
    </row>
    <row r="495" spans="1:28">
      <c r="A495" s="30">
        <v>45785</v>
      </c>
      <c r="B495" s="19">
        <v>302.47</v>
      </c>
      <c r="C495" s="19">
        <v>301.18</v>
      </c>
      <c r="D495" s="19">
        <v>312.03</v>
      </c>
      <c r="E495" s="19">
        <v>311.72</v>
      </c>
      <c r="F495" s="19">
        <v>307.49</v>
      </c>
      <c r="G495" s="19">
        <v>306.3</v>
      </c>
      <c r="H495" s="19">
        <v>306.79</v>
      </c>
      <c r="I495" s="19">
        <v>296.75</v>
      </c>
      <c r="J495" s="19">
        <v>295.13</v>
      </c>
      <c r="K495" s="19">
        <v>274.82</v>
      </c>
      <c r="L495" s="19">
        <v>278.05</v>
      </c>
      <c r="M495" s="19">
        <v>283.32</v>
      </c>
      <c r="N495" s="19">
        <v>242.49</v>
      </c>
      <c r="O495" s="19">
        <v>500.17</v>
      </c>
      <c r="P495" s="19">
        <v>314.39</v>
      </c>
      <c r="Q495" s="19">
        <v>336.83</v>
      </c>
      <c r="R495" s="19">
        <v>381.56</v>
      </c>
      <c r="S495" s="19">
        <v>359.08</v>
      </c>
      <c r="T495" s="19">
        <v>335.39</v>
      </c>
      <c r="U495" s="19">
        <v>357.16</v>
      </c>
      <c r="V495" s="19">
        <v>348.39</v>
      </c>
      <c r="W495" s="19">
        <v>343.59</v>
      </c>
      <c r="X495" s="19">
        <v>335.46</v>
      </c>
      <c r="Y495" s="19">
        <v>314.25</v>
      </c>
      <c r="Z495" s="33" t="s">
        <v>32</v>
      </c>
      <c r="AA495" s="25">
        <f>MIN($B$495:$Y$495)</f>
        <v>242.49</v>
      </c>
      <c r="AB495" s="25">
        <f>AVERAGE($B$495:$Y$495)</f>
        <v>322.700416666667</v>
      </c>
    </row>
    <row r="496" spans="1:28">
      <c r="A496" s="30">
        <v>45786</v>
      </c>
      <c r="B496" s="19">
        <v>405.88</v>
      </c>
      <c r="C496" s="19">
        <v>333.6</v>
      </c>
      <c r="D496" s="19">
        <v>341.18</v>
      </c>
      <c r="E496" s="19">
        <v>335.28</v>
      </c>
      <c r="F496" s="19">
        <v>326.88</v>
      </c>
      <c r="G496" s="19">
        <v>326.49</v>
      </c>
      <c r="H496" s="19">
        <v>334</v>
      </c>
      <c r="I496" s="19">
        <v>332.8</v>
      </c>
      <c r="J496" s="19">
        <v>453.59</v>
      </c>
      <c r="K496" s="19">
        <v>427.98</v>
      </c>
      <c r="L496" s="19">
        <v>390.05</v>
      </c>
      <c r="M496" s="19">
        <v>399.83</v>
      </c>
      <c r="N496" s="19">
        <v>386.34</v>
      </c>
      <c r="O496" s="19">
        <v>491.47</v>
      </c>
      <c r="P496" s="19">
        <v>456.95</v>
      </c>
      <c r="Q496" s="19">
        <v>429.96</v>
      </c>
      <c r="R496" s="19">
        <v>501.28</v>
      </c>
      <c r="S496" s="19">
        <v>435.09</v>
      </c>
      <c r="T496" s="19">
        <v>335.25</v>
      </c>
      <c r="U496" s="19">
        <v>352.99</v>
      </c>
      <c r="V496" s="19">
        <v>345.07</v>
      </c>
      <c r="W496" s="19">
        <v>346.9</v>
      </c>
      <c r="X496" s="19">
        <v>343.52</v>
      </c>
      <c r="Y496" s="19">
        <v>315.4</v>
      </c>
      <c r="Z496" s="32" t="s">
        <v>32</v>
      </c>
      <c r="AA496" s="25">
        <f>MIN($B$496:$Y$496)</f>
        <v>315.4</v>
      </c>
      <c r="AB496" s="25">
        <f>AVERAGE($B$496:$Y$496)</f>
        <v>381.1575</v>
      </c>
    </row>
    <row r="497" spans="1:28">
      <c r="A497" s="30">
        <v>45787</v>
      </c>
      <c r="B497" s="19">
        <v>337.59</v>
      </c>
      <c r="C497" s="19">
        <v>331.89</v>
      </c>
      <c r="D497" s="19">
        <v>323.45</v>
      </c>
      <c r="E497" s="19">
        <v>315.08</v>
      </c>
      <c r="F497" s="19">
        <v>308.98</v>
      </c>
      <c r="G497" s="19">
        <v>303.12</v>
      </c>
      <c r="H497" s="19">
        <v>307.54</v>
      </c>
      <c r="I497" s="19">
        <v>312.19</v>
      </c>
      <c r="J497" s="19">
        <v>328.09</v>
      </c>
      <c r="K497" s="19">
        <v>327.97</v>
      </c>
      <c r="L497" s="19">
        <v>324.23</v>
      </c>
      <c r="M497" s="19">
        <v>317.06</v>
      </c>
      <c r="N497" s="19">
        <v>298.63</v>
      </c>
      <c r="O497" s="19">
        <v>301.09</v>
      </c>
      <c r="P497" s="19">
        <v>314.35</v>
      </c>
      <c r="Q497" s="19">
        <v>299.14</v>
      </c>
      <c r="R497" s="19">
        <v>312.01</v>
      </c>
      <c r="S497" s="19">
        <v>339.91</v>
      </c>
      <c r="T497" s="19">
        <v>324.31</v>
      </c>
      <c r="U497" s="19">
        <v>337.33</v>
      </c>
      <c r="V497" s="19">
        <v>332.37</v>
      </c>
      <c r="W497" s="19">
        <v>325.42</v>
      </c>
      <c r="X497" s="19">
        <v>310.83</v>
      </c>
      <c r="Y497" s="19">
        <v>300.2</v>
      </c>
      <c r="Z497" s="36" t="s">
        <v>36</v>
      </c>
      <c r="AA497" s="25">
        <f>MIN($B$497:$Y$497)</f>
        <v>298.63</v>
      </c>
      <c r="AB497" s="25">
        <f>AVERAGE($B$497:$Y$497)</f>
        <v>318.0325</v>
      </c>
    </row>
    <row r="498" spans="1:28">
      <c r="A498" s="30">
        <v>45788</v>
      </c>
      <c r="B498" s="19">
        <v>281.8</v>
      </c>
      <c r="C498" s="19">
        <v>278.38</v>
      </c>
      <c r="D498" s="19">
        <v>267.04</v>
      </c>
      <c r="E498" s="19">
        <v>256.76</v>
      </c>
      <c r="F498" s="19">
        <v>245.08</v>
      </c>
      <c r="G498" s="19">
        <v>236.75</v>
      </c>
      <c r="H498" s="19">
        <v>215.67</v>
      </c>
      <c r="I498" s="19">
        <v>141.14</v>
      </c>
      <c r="J498" s="19">
        <v>219</v>
      </c>
      <c r="K498" s="19">
        <v>227.01</v>
      </c>
      <c r="L498" s="19">
        <v>216.01</v>
      </c>
      <c r="M498" s="19">
        <v>175.18</v>
      </c>
      <c r="N498" s="19">
        <v>93.39</v>
      </c>
      <c r="O498" s="19">
        <v>141.03</v>
      </c>
      <c r="P498" s="19">
        <v>206.95</v>
      </c>
      <c r="Q498" s="19">
        <v>218.41</v>
      </c>
      <c r="R498" s="19">
        <v>284.43</v>
      </c>
      <c r="S498" s="19">
        <v>295.14</v>
      </c>
      <c r="T498" s="19">
        <v>300.36</v>
      </c>
      <c r="U498" s="19">
        <v>315.13</v>
      </c>
      <c r="V498" s="19">
        <v>315.11</v>
      </c>
      <c r="W498" s="19">
        <v>311.15</v>
      </c>
      <c r="X498" s="19">
        <v>303.14</v>
      </c>
      <c r="Y498" s="19">
        <v>290.84</v>
      </c>
      <c r="Z498" s="37" t="s">
        <v>37</v>
      </c>
      <c r="AA498" s="25">
        <f>MIN($B$498:$Y$498)</f>
        <v>93.39</v>
      </c>
      <c r="AB498" s="25">
        <f>AVERAGE($B$498:$Y$498)</f>
        <v>243.120833333333</v>
      </c>
    </row>
    <row r="499" spans="1:28">
      <c r="A499" s="30">
        <v>45789</v>
      </c>
      <c r="B499" s="19">
        <v>280.48</v>
      </c>
      <c r="C499" s="19">
        <v>279.78</v>
      </c>
      <c r="D499" s="19">
        <v>276.17</v>
      </c>
      <c r="E499" s="19">
        <v>269.73</v>
      </c>
      <c r="F499" s="19">
        <v>264.92</v>
      </c>
      <c r="G499" s="19">
        <v>264.66</v>
      </c>
      <c r="H499" s="19">
        <v>275.07</v>
      </c>
      <c r="I499" s="19">
        <v>271.76</v>
      </c>
      <c r="J499" s="19">
        <v>262.33</v>
      </c>
      <c r="K499" s="19">
        <v>247.4</v>
      </c>
      <c r="L499" s="19">
        <v>205.05</v>
      </c>
      <c r="M499" s="19">
        <v>133.95</v>
      </c>
      <c r="N499" s="19">
        <v>0.68</v>
      </c>
      <c r="O499" s="19">
        <v>47.86</v>
      </c>
      <c r="P499" s="19">
        <v>132.82</v>
      </c>
      <c r="Q499" s="19">
        <v>221.51</v>
      </c>
      <c r="R499" s="19">
        <v>270.26</v>
      </c>
      <c r="S499" s="19">
        <v>286.8</v>
      </c>
      <c r="T499" s="19">
        <v>295.85</v>
      </c>
      <c r="U499" s="19">
        <v>311.13</v>
      </c>
      <c r="V499" s="19">
        <v>300.11</v>
      </c>
      <c r="W499" s="19">
        <v>293.8</v>
      </c>
      <c r="X499" s="19">
        <v>283.38</v>
      </c>
      <c r="Y499" s="19">
        <v>269.58</v>
      </c>
      <c r="Z499" s="33" t="s">
        <v>32</v>
      </c>
      <c r="AA499" s="25">
        <f>MIN($B$499:$Y$499)</f>
        <v>0.68</v>
      </c>
      <c r="AB499" s="25">
        <f>AVERAGE($B$499:$Y$499)</f>
        <v>239.378333333333</v>
      </c>
    </row>
    <row r="500" spans="1:28">
      <c r="A500" s="30">
        <v>45790</v>
      </c>
      <c r="B500" s="19">
        <v>279.67</v>
      </c>
      <c r="C500" s="19">
        <v>269.4</v>
      </c>
      <c r="D500" s="19">
        <v>265.31</v>
      </c>
      <c r="E500" s="19">
        <v>258.53</v>
      </c>
      <c r="F500" s="19">
        <v>249.13</v>
      </c>
      <c r="G500" s="19">
        <v>249.06</v>
      </c>
      <c r="H500" s="19">
        <v>269.07</v>
      </c>
      <c r="I500" s="19">
        <v>256.51</v>
      </c>
      <c r="J500" s="19">
        <v>212.96</v>
      </c>
      <c r="K500" s="19">
        <v>247.37</v>
      </c>
      <c r="L500" s="19">
        <v>149.12</v>
      </c>
      <c r="M500" s="19">
        <v>130.26</v>
      </c>
      <c r="N500" s="19">
        <v>43.18</v>
      </c>
      <c r="O500" s="19">
        <v>87.91</v>
      </c>
      <c r="P500" s="19">
        <v>157.67</v>
      </c>
      <c r="Q500" s="19">
        <v>220</v>
      </c>
      <c r="R500" s="19">
        <v>291.18</v>
      </c>
      <c r="S500" s="19">
        <v>325.66</v>
      </c>
      <c r="T500" s="19">
        <v>330.13</v>
      </c>
      <c r="U500" s="19">
        <v>396.59</v>
      </c>
      <c r="V500" s="19">
        <v>347.38</v>
      </c>
      <c r="W500" s="19">
        <v>332.08</v>
      </c>
      <c r="X500" s="19">
        <v>314.41</v>
      </c>
      <c r="Y500" s="19">
        <v>302.35</v>
      </c>
      <c r="Z500" s="32" t="s">
        <v>32</v>
      </c>
      <c r="AA500" s="25">
        <f>MIN($B$500:$Y$500)</f>
        <v>43.18</v>
      </c>
      <c r="AB500" s="25">
        <f>AVERAGE($B$500:$Y$500)</f>
        <v>249.372083333333</v>
      </c>
    </row>
    <row r="501" spans="1:28">
      <c r="A501" s="30">
        <v>45791</v>
      </c>
      <c r="B501" s="19">
        <v>301.18</v>
      </c>
      <c r="C501" s="19">
        <v>293.64</v>
      </c>
      <c r="D501" s="19">
        <v>287.03</v>
      </c>
      <c r="E501" s="19">
        <v>278.85</v>
      </c>
      <c r="F501" s="19">
        <v>274.15</v>
      </c>
      <c r="G501" s="19">
        <v>277.15</v>
      </c>
      <c r="H501" s="19">
        <v>287.07</v>
      </c>
      <c r="I501" s="19">
        <v>288.52</v>
      </c>
      <c r="J501" s="19">
        <v>299.91</v>
      </c>
      <c r="K501" s="19">
        <v>305.41</v>
      </c>
      <c r="L501" s="19">
        <v>297.38</v>
      </c>
      <c r="M501" s="19">
        <v>291.46</v>
      </c>
      <c r="N501" s="19">
        <v>259.63</v>
      </c>
      <c r="O501" s="19">
        <v>273.99</v>
      </c>
      <c r="P501" s="19">
        <v>302.57</v>
      </c>
      <c r="Q501" s="19">
        <v>316.33</v>
      </c>
      <c r="R501" s="19">
        <v>367.73</v>
      </c>
      <c r="S501" s="19">
        <v>415.17</v>
      </c>
      <c r="T501" s="19">
        <v>410.98</v>
      </c>
      <c r="U501" s="19">
        <v>641.75</v>
      </c>
      <c r="V501" s="19">
        <v>485.32</v>
      </c>
      <c r="W501" s="19">
        <v>408.43</v>
      </c>
      <c r="X501" s="19">
        <v>356.69</v>
      </c>
      <c r="Y501" s="19">
        <v>334.52</v>
      </c>
      <c r="Z501" s="33" t="s">
        <v>32</v>
      </c>
      <c r="AA501" s="25">
        <f>MIN($B$501:$Y$501)</f>
        <v>259.63</v>
      </c>
      <c r="AB501" s="25">
        <f>AVERAGE($B$501:$Y$501)</f>
        <v>335.619166666667</v>
      </c>
    </row>
    <row r="502" spans="1:28">
      <c r="A502" s="30">
        <v>45792</v>
      </c>
      <c r="B502" s="19">
        <v>368.43</v>
      </c>
      <c r="C502" s="19">
        <v>349.69</v>
      </c>
      <c r="D502" s="19">
        <v>341.93</v>
      </c>
      <c r="E502" s="19">
        <v>328.22</v>
      </c>
      <c r="F502" s="19">
        <v>319.95</v>
      </c>
      <c r="G502" s="19">
        <v>320.07</v>
      </c>
      <c r="H502" s="19">
        <v>328.48</v>
      </c>
      <c r="I502" s="19">
        <v>322.5</v>
      </c>
      <c r="J502" s="19">
        <v>351.16</v>
      </c>
      <c r="K502" s="19">
        <v>355.9</v>
      </c>
      <c r="L502" s="19">
        <v>356.56</v>
      </c>
      <c r="M502" s="19">
        <v>340.57</v>
      </c>
      <c r="N502" s="19">
        <v>314.43</v>
      </c>
      <c r="O502" s="19">
        <v>327.52</v>
      </c>
      <c r="P502" s="19">
        <v>329.68</v>
      </c>
      <c r="Q502" s="19">
        <v>350.45</v>
      </c>
      <c r="R502" s="19">
        <v>404.21</v>
      </c>
      <c r="S502" s="19">
        <v>452.12</v>
      </c>
      <c r="T502" s="19">
        <v>442.81</v>
      </c>
      <c r="U502" s="19">
        <v>532.9</v>
      </c>
      <c r="V502" s="19">
        <v>483.37</v>
      </c>
      <c r="W502" s="19">
        <v>403.56</v>
      </c>
      <c r="X502" s="19">
        <v>378.49</v>
      </c>
      <c r="Y502" s="19">
        <v>356.21</v>
      </c>
      <c r="Z502" s="32" t="s">
        <v>32</v>
      </c>
      <c r="AA502" s="25">
        <f>MIN($B$502:$Y$502)</f>
        <v>314.43</v>
      </c>
      <c r="AB502" s="25">
        <f>AVERAGE($B$502:$Y$502)</f>
        <v>369.13375</v>
      </c>
    </row>
    <row r="503" spans="1:28">
      <c r="A503" s="30">
        <v>45793</v>
      </c>
      <c r="B503" s="19">
        <v>356.58</v>
      </c>
      <c r="C503" s="19">
        <v>349.11</v>
      </c>
      <c r="D503" s="19">
        <v>344.77</v>
      </c>
      <c r="E503" s="19">
        <v>334.43</v>
      </c>
      <c r="F503" s="19">
        <v>324.09</v>
      </c>
      <c r="G503" s="19">
        <v>323.73</v>
      </c>
      <c r="H503" s="19">
        <v>334.14</v>
      </c>
      <c r="I503" s="19">
        <v>327.99</v>
      </c>
      <c r="J503" s="19">
        <v>342.62</v>
      </c>
      <c r="K503" s="19">
        <v>350.01</v>
      </c>
      <c r="L503" s="19">
        <v>347.02</v>
      </c>
      <c r="M503" s="19">
        <v>335.71</v>
      </c>
      <c r="N503" s="19">
        <v>309.6</v>
      </c>
      <c r="O503" s="19">
        <v>321.68</v>
      </c>
      <c r="P503" s="19">
        <v>333.2</v>
      </c>
      <c r="Q503" s="19">
        <v>347.35</v>
      </c>
      <c r="R503" s="19">
        <v>388.97</v>
      </c>
      <c r="S503" s="19">
        <v>398.5</v>
      </c>
      <c r="T503" s="19">
        <v>383.8</v>
      </c>
      <c r="U503" s="19">
        <v>548.02</v>
      </c>
      <c r="V503" s="19">
        <v>426.32</v>
      </c>
      <c r="W503" s="19">
        <v>382.2</v>
      </c>
      <c r="X503" s="19">
        <v>378.36</v>
      </c>
      <c r="Y503" s="19">
        <v>353.28</v>
      </c>
      <c r="Z503" s="33" t="s">
        <v>32</v>
      </c>
      <c r="AA503" s="25">
        <f>MIN($B$503:$Y$503)</f>
        <v>309.6</v>
      </c>
      <c r="AB503" s="25">
        <f>AVERAGE($B$503:$Y$503)</f>
        <v>360.061666666667</v>
      </c>
    </row>
    <row r="504" spans="1:28">
      <c r="A504" s="30">
        <v>45794</v>
      </c>
      <c r="B504" s="19">
        <v>368.51</v>
      </c>
      <c r="C504" s="19">
        <v>351.78</v>
      </c>
      <c r="D504" s="19">
        <v>350.09</v>
      </c>
      <c r="E504" s="19">
        <v>337.91</v>
      </c>
      <c r="F504" s="19">
        <v>328.69</v>
      </c>
      <c r="G504" s="19">
        <v>326.15</v>
      </c>
      <c r="H504" s="19">
        <v>338.73</v>
      </c>
      <c r="I504" s="19">
        <v>324.73</v>
      </c>
      <c r="J504" s="19">
        <v>337.56</v>
      </c>
      <c r="K504" s="19">
        <v>355.65</v>
      </c>
      <c r="L504" s="19">
        <v>344.88</v>
      </c>
      <c r="M504" s="19">
        <v>353.26</v>
      </c>
      <c r="N504" s="19">
        <v>316.69</v>
      </c>
      <c r="O504" s="19">
        <v>331.06</v>
      </c>
      <c r="P504" s="19">
        <v>336.92</v>
      </c>
      <c r="Q504" s="19">
        <v>351.87</v>
      </c>
      <c r="R504" s="19">
        <v>375.76</v>
      </c>
      <c r="S504" s="19">
        <v>389.96</v>
      </c>
      <c r="T504" s="19">
        <v>379.32</v>
      </c>
      <c r="U504" s="19">
        <v>466.66</v>
      </c>
      <c r="V504" s="19">
        <v>408.24</v>
      </c>
      <c r="W504" s="19">
        <v>383.84</v>
      </c>
      <c r="X504" s="19">
        <v>375.05</v>
      </c>
      <c r="Y504" s="19">
        <v>357.5</v>
      </c>
      <c r="Z504" s="34" t="s">
        <v>36</v>
      </c>
      <c r="AA504" s="25">
        <f>MIN($B$504:$Y$504)</f>
        <v>316.69</v>
      </c>
      <c r="AB504" s="25">
        <f>AVERAGE($B$504:$Y$504)</f>
        <v>357.950416666667</v>
      </c>
    </row>
    <row r="505" spans="1:28">
      <c r="A505" s="30">
        <v>45795</v>
      </c>
      <c r="B505" s="19">
        <v>359.71</v>
      </c>
      <c r="C505" s="19">
        <v>346.84</v>
      </c>
      <c r="D505" s="19">
        <v>344.11</v>
      </c>
      <c r="E505" s="19">
        <v>334.88</v>
      </c>
      <c r="F505" s="19">
        <v>327.2</v>
      </c>
      <c r="G505" s="19">
        <v>320.33</v>
      </c>
      <c r="H505" s="19">
        <v>324.32</v>
      </c>
      <c r="I505" s="19">
        <v>316.2</v>
      </c>
      <c r="J505" s="19">
        <v>315.55</v>
      </c>
      <c r="K505" s="19">
        <v>327.61</v>
      </c>
      <c r="L505" s="19">
        <v>325.66</v>
      </c>
      <c r="M505" s="19">
        <v>316.43</v>
      </c>
      <c r="N505" s="19">
        <v>297.73</v>
      </c>
      <c r="O505" s="19">
        <v>313.69</v>
      </c>
      <c r="P505" s="19">
        <v>318.06</v>
      </c>
      <c r="Q505" s="19">
        <v>331.92</v>
      </c>
      <c r="R505" s="19">
        <v>340.06</v>
      </c>
      <c r="S505" s="19">
        <v>346.89</v>
      </c>
      <c r="T505" s="19">
        <v>350.23</v>
      </c>
      <c r="U505" s="19">
        <v>370.82</v>
      </c>
      <c r="V505" s="19">
        <v>366.59</v>
      </c>
      <c r="W505" s="19">
        <v>365.9</v>
      </c>
      <c r="X505" s="19">
        <v>357.51</v>
      </c>
      <c r="Y505" s="19">
        <v>343.76</v>
      </c>
      <c r="Z505" s="35" t="s">
        <v>37</v>
      </c>
      <c r="AA505" s="25">
        <f>MIN($B$505:$Y$505)</f>
        <v>297.73</v>
      </c>
      <c r="AB505" s="25">
        <f>AVERAGE($B$505:$Y$505)</f>
        <v>335.916666666667</v>
      </c>
    </row>
    <row r="506" spans="1:28">
      <c r="A506" s="30">
        <v>45796</v>
      </c>
      <c r="B506" s="19">
        <v>345.29</v>
      </c>
      <c r="C506" s="19">
        <v>329.52</v>
      </c>
      <c r="D506" s="19">
        <v>320.1</v>
      </c>
      <c r="E506" s="19">
        <v>311.14</v>
      </c>
      <c r="F506" s="19">
        <v>303.77</v>
      </c>
      <c r="G506" s="19">
        <v>301.75</v>
      </c>
      <c r="H506" s="19">
        <v>311.79</v>
      </c>
      <c r="I506" s="19">
        <v>308.39</v>
      </c>
      <c r="J506" s="19">
        <v>329.58</v>
      </c>
      <c r="K506" s="19">
        <v>352.39</v>
      </c>
      <c r="L506" s="19">
        <v>338.04</v>
      </c>
      <c r="M506" s="19">
        <v>323.69</v>
      </c>
      <c r="N506" s="19">
        <v>296.11</v>
      </c>
      <c r="O506" s="19">
        <v>305.61</v>
      </c>
      <c r="P506" s="19">
        <v>312.03</v>
      </c>
      <c r="Q506" s="19">
        <v>338.31</v>
      </c>
      <c r="R506" s="19">
        <v>382.09</v>
      </c>
      <c r="S506" s="19">
        <v>376.77</v>
      </c>
      <c r="T506" s="19">
        <v>357.07</v>
      </c>
      <c r="U506" s="19">
        <v>423.33</v>
      </c>
      <c r="V506" s="19">
        <v>369.21</v>
      </c>
      <c r="W506" s="19">
        <v>356.67</v>
      </c>
      <c r="X506" s="19">
        <v>350.75</v>
      </c>
      <c r="Y506" s="19">
        <v>330.07</v>
      </c>
      <c r="Z506" s="32" t="s">
        <v>32</v>
      </c>
      <c r="AA506" s="25">
        <f>MIN($B$506:$Y$506)</f>
        <v>296.11</v>
      </c>
      <c r="AB506" s="25">
        <f>AVERAGE($B$506:$Y$506)</f>
        <v>336.394583333333</v>
      </c>
    </row>
    <row r="507" spans="1:28">
      <c r="A507" s="30">
        <v>45797</v>
      </c>
      <c r="B507" s="19">
        <v>384.34</v>
      </c>
      <c r="C507" s="19">
        <v>338.92</v>
      </c>
      <c r="D507" s="19">
        <v>339.33</v>
      </c>
      <c r="E507" s="19">
        <v>322.87</v>
      </c>
      <c r="F507" s="19">
        <v>313.52</v>
      </c>
      <c r="G507" s="19">
        <v>309.32</v>
      </c>
      <c r="H507" s="19">
        <v>317.2</v>
      </c>
      <c r="I507" s="19">
        <v>303.85</v>
      </c>
      <c r="J507" s="19">
        <v>365.18</v>
      </c>
      <c r="K507" s="19">
        <v>415.39</v>
      </c>
      <c r="L507" s="19">
        <v>411.64</v>
      </c>
      <c r="M507" s="19">
        <v>429.7</v>
      </c>
      <c r="N507" s="19">
        <v>339.23</v>
      </c>
      <c r="O507" s="19">
        <v>446.42</v>
      </c>
      <c r="P507" s="19">
        <v>451.79</v>
      </c>
      <c r="Q507" s="19">
        <v>467.3</v>
      </c>
      <c r="R507" s="19">
        <v>448.97</v>
      </c>
      <c r="S507" s="19">
        <v>395.89</v>
      </c>
      <c r="T507" s="19">
        <v>349.85</v>
      </c>
      <c r="U507" s="19">
        <v>396.85</v>
      </c>
      <c r="V507" s="19">
        <v>386.61</v>
      </c>
      <c r="W507" s="19">
        <v>381.8</v>
      </c>
      <c r="X507" s="19">
        <v>358.64</v>
      </c>
      <c r="Y507" s="19">
        <v>315.86</v>
      </c>
      <c r="Z507" s="33" t="s">
        <v>32</v>
      </c>
      <c r="AA507" s="25">
        <f>MIN($B$507:$Y$507)</f>
        <v>303.85</v>
      </c>
      <c r="AB507" s="25">
        <f>AVERAGE($B$507:$Y$507)</f>
        <v>374.602916666667</v>
      </c>
    </row>
    <row r="508" spans="1:28">
      <c r="A508" s="30">
        <v>45798</v>
      </c>
      <c r="B508" s="19">
        <v>325.55</v>
      </c>
      <c r="C508" s="19">
        <v>320.16</v>
      </c>
      <c r="D508" s="19">
        <v>322.25</v>
      </c>
      <c r="E508" s="19">
        <v>311.26</v>
      </c>
      <c r="F508" s="19">
        <v>302.38</v>
      </c>
      <c r="G508" s="19">
        <v>302.23</v>
      </c>
      <c r="H508" s="19">
        <v>309.68</v>
      </c>
      <c r="I508" s="19">
        <v>291.13</v>
      </c>
      <c r="J508" s="19">
        <v>331.14</v>
      </c>
      <c r="K508" s="19">
        <v>483.5</v>
      </c>
      <c r="L508" s="19">
        <v>486.3</v>
      </c>
      <c r="M508" s="19">
        <v>534.62</v>
      </c>
      <c r="N508" s="19">
        <v>342.35</v>
      </c>
      <c r="O508" s="19">
        <v>403.53</v>
      </c>
      <c r="P508" s="19">
        <v>374.24</v>
      </c>
      <c r="Q508" s="19">
        <v>381.25</v>
      </c>
      <c r="R508" s="19">
        <v>449.68</v>
      </c>
      <c r="S508" s="19">
        <v>427.26</v>
      </c>
      <c r="T508" s="19">
        <v>354.97</v>
      </c>
      <c r="U508" s="19">
        <v>410.05</v>
      </c>
      <c r="V508" s="19">
        <v>420.49</v>
      </c>
      <c r="W508" s="19">
        <v>425.3</v>
      </c>
      <c r="X508" s="19">
        <v>391.42</v>
      </c>
      <c r="Y508" s="19">
        <v>333.17</v>
      </c>
      <c r="Z508" s="32" t="s">
        <v>32</v>
      </c>
      <c r="AA508" s="25">
        <f>MIN($B$508:$Y$508)</f>
        <v>291.13</v>
      </c>
      <c r="AB508" s="25">
        <f>AVERAGE($B$508:$Y$508)</f>
        <v>376.412916666667</v>
      </c>
    </row>
    <row r="509" spans="1:28">
      <c r="A509" s="30">
        <v>45799</v>
      </c>
      <c r="B509" s="19">
        <v>412.74</v>
      </c>
      <c r="C509" s="19">
        <v>371.74</v>
      </c>
      <c r="D509" s="19">
        <v>375.87</v>
      </c>
      <c r="E509" s="19">
        <v>345.9</v>
      </c>
      <c r="F509" s="19">
        <v>330</v>
      </c>
      <c r="G509" s="19">
        <v>324.35</v>
      </c>
      <c r="H509" s="19">
        <v>336.39</v>
      </c>
      <c r="I509" s="19">
        <v>311.36</v>
      </c>
      <c r="J509" s="19">
        <v>342.97</v>
      </c>
      <c r="K509" s="19">
        <v>373.16</v>
      </c>
      <c r="L509" s="19">
        <v>447.59</v>
      </c>
      <c r="M509" s="19">
        <v>669.98</v>
      </c>
      <c r="N509" s="19">
        <v>616.79</v>
      </c>
      <c r="O509" s="19">
        <v>800.82</v>
      </c>
      <c r="P509" s="19">
        <v>793.35</v>
      </c>
      <c r="Q509" s="19">
        <v>493</v>
      </c>
      <c r="R509" s="19">
        <v>461.69</v>
      </c>
      <c r="S509" s="19">
        <v>410.48</v>
      </c>
      <c r="T509" s="19">
        <v>360.91</v>
      </c>
      <c r="U509" s="19">
        <v>453.67</v>
      </c>
      <c r="V509" s="19">
        <v>460.27</v>
      </c>
      <c r="W509" s="19">
        <v>417.31</v>
      </c>
      <c r="X509" s="19">
        <v>384.32</v>
      </c>
      <c r="Y509" s="19">
        <v>327.92</v>
      </c>
      <c r="Z509" s="33" t="s">
        <v>32</v>
      </c>
      <c r="AA509" s="25">
        <f>MIN($B$509:$Y$509)</f>
        <v>311.36</v>
      </c>
      <c r="AB509" s="25">
        <f>AVERAGE($B$509:$Y$509)</f>
        <v>442.6075</v>
      </c>
    </row>
    <row r="510" spans="1:28">
      <c r="A510" s="30">
        <v>45800</v>
      </c>
      <c r="B510" s="19">
        <v>348.8</v>
      </c>
      <c r="C510" s="19">
        <v>343.95</v>
      </c>
      <c r="D510" s="19">
        <v>355.6</v>
      </c>
      <c r="E510" s="19">
        <v>336.18</v>
      </c>
      <c r="F510" s="19">
        <v>325.56</v>
      </c>
      <c r="G510" s="19">
        <v>322.94</v>
      </c>
      <c r="H510" s="19">
        <v>329.96</v>
      </c>
      <c r="I510" s="19">
        <v>308.8</v>
      </c>
      <c r="J510" s="19">
        <v>332.5</v>
      </c>
      <c r="K510" s="19">
        <v>354.19</v>
      </c>
      <c r="L510" s="19">
        <v>351.22</v>
      </c>
      <c r="M510" s="19">
        <v>416.09</v>
      </c>
      <c r="N510" s="19">
        <v>366.26</v>
      </c>
      <c r="O510" s="19">
        <v>457.95</v>
      </c>
      <c r="P510" s="19">
        <v>522.74</v>
      </c>
      <c r="Q510" s="19">
        <v>432.5</v>
      </c>
      <c r="R510" s="19">
        <v>394.03</v>
      </c>
      <c r="S510" s="19">
        <v>358.19</v>
      </c>
      <c r="T510" s="19">
        <v>346.87</v>
      </c>
      <c r="U510" s="19">
        <v>427.27</v>
      </c>
      <c r="V510" s="19">
        <v>407.86</v>
      </c>
      <c r="W510" s="19">
        <v>395.63</v>
      </c>
      <c r="X510" s="19">
        <v>369.27</v>
      </c>
      <c r="Y510" s="19">
        <v>328.75</v>
      </c>
      <c r="Z510" s="32" t="s">
        <v>32</v>
      </c>
      <c r="AA510" s="25">
        <f>MIN($B$510:$Y$510)</f>
        <v>308.8</v>
      </c>
      <c r="AB510" s="25">
        <f>AVERAGE($B$510:$Y$510)</f>
        <v>372.212916666667</v>
      </c>
    </row>
    <row r="511" spans="1:28">
      <c r="A511" s="30">
        <v>45801</v>
      </c>
      <c r="B511" s="19">
        <v>468.82</v>
      </c>
      <c r="C511" s="19">
        <v>412</v>
      </c>
      <c r="D511" s="19">
        <v>434.81</v>
      </c>
      <c r="E511" s="19">
        <v>387.87</v>
      </c>
      <c r="F511" s="19">
        <v>354.42</v>
      </c>
      <c r="G511" s="19">
        <v>339.11</v>
      </c>
      <c r="H511" s="19">
        <v>332.03</v>
      </c>
      <c r="I511" s="19">
        <v>307.26</v>
      </c>
      <c r="J511" s="19">
        <v>318.16</v>
      </c>
      <c r="K511" s="19">
        <v>350.1</v>
      </c>
      <c r="L511" s="19">
        <v>351.91</v>
      </c>
      <c r="M511" s="19">
        <v>417</v>
      </c>
      <c r="N511" s="19">
        <v>339.98</v>
      </c>
      <c r="O511" s="19">
        <v>393.92</v>
      </c>
      <c r="P511" s="19">
        <v>374.17</v>
      </c>
      <c r="Q511" s="19">
        <v>384.05</v>
      </c>
      <c r="R511" s="19">
        <v>422.73</v>
      </c>
      <c r="S511" s="19">
        <v>399.13</v>
      </c>
      <c r="T511" s="19">
        <v>341.49</v>
      </c>
      <c r="U511" s="19">
        <v>406.43</v>
      </c>
      <c r="V511" s="19">
        <v>358.52</v>
      </c>
      <c r="W511" s="19">
        <v>354.84</v>
      </c>
      <c r="X511" s="19">
        <v>329.56</v>
      </c>
      <c r="Y511" s="19">
        <v>294.07</v>
      </c>
      <c r="Z511" s="36" t="s">
        <v>36</v>
      </c>
      <c r="AA511" s="25">
        <f>MIN($B$511:$Y$511)</f>
        <v>294.07</v>
      </c>
      <c r="AB511" s="25">
        <f>AVERAGE($B$511:$Y$511)</f>
        <v>369.6825</v>
      </c>
    </row>
    <row r="512" spans="1:28">
      <c r="A512" s="30">
        <v>45802</v>
      </c>
      <c r="B512" s="19">
        <v>296.17</v>
      </c>
      <c r="C512" s="19">
        <v>302.99</v>
      </c>
      <c r="D512" s="19">
        <v>300.54</v>
      </c>
      <c r="E512" s="19">
        <v>296.95</v>
      </c>
      <c r="F512" s="19">
        <v>287.13</v>
      </c>
      <c r="G512" s="19">
        <v>280.12</v>
      </c>
      <c r="H512" s="19">
        <v>281.41</v>
      </c>
      <c r="I512" s="19">
        <v>268.78</v>
      </c>
      <c r="J512" s="19">
        <v>263.56</v>
      </c>
      <c r="K512" s="19">
        <v>201.49</v>
      </c>
      <c r="L512" s="19">
        <v>332.17</v>
      </c>
      <c r="M512" s="19">
        <v>260.69</v>
      </c>
      <c r="N512" s="19">
        <v>276.96</v>
      </c>
      <c r="O512" s="19">
        <v>288.5</v>
      </c>
      <c r="P512" s="19">
        <v>289.97</v>
      </c>
      <c r="Q512" s="19">
        <v>289.34</v>
      </c>
      <c r="R512" s="19">
        <v>293.89</v>
      </c>
      <c r="S512" s="19">
        <v>295.36</v>
      </c>
      <c r="T512" s="19">
        <v>294.03</v>
      </c>
      <c r="U512" s="19">
        <v>297.77</v>
      </c>
      <c r="V512" s="19">
        <v>297.58</v>
      </c>
      <c r="W512" s="19">
        <v>294.57</v>
      </c>
      <c r="X512" s="19">
        <v>291.55</v>
      </c>
      <c r="Y512" s="19">
        <v>266.32</v>
      </c>
      <c r="Z512" s="37" t="s">
        <v>37</v>
      </c>
      <c r="AA512" s="25">
        <f>MIN($B$512:$Y$512)</f>
        <v>201.49</v>
      </c>
      <c r="AB512" s="25">
        <f>AVERAGE($B$512:$Y$512)</f>
        <v>285.326666666667</v>
      </c>
    </row>
    <row r="513" spans="1:28">
      <c r="A513" s="30">
        <v>45803</v>
      </c>
      <c r="B513" s="19">
        <v>210.32</v>
      </c>
      <c r="C513" s="19">
        <v>263.02</v>
      </c>
      <c r="D513" s="19">
        <v>264.36</v>
      </c>
      <c r="E513" s="19">
        <v>257.86</v>
      </c>
      <c r="F513" s="19">
        <v>250.06</v>
      </c>
      <c r="G513" s="19">
        <v>253.84</v>
      </c>
      <c r="H513" s="19">
        <v>270.64</v>
      </c>
      <c r="I513" s="19">
        <v>250.13</v>
      </c>
      <c r="J513" s="19">
        <v>280.63</v>
      </c>
      <c r="K513" s="19">
        <v>290.98</v>
      </c>
      <c r="L513" s="19">
        <v>283.24</v>
      </c>
      <c r="M513" s="19">
        <v>286.77</v>
      </c>
      <c r="N513" s="19">
        <v>270.69</v>
      </c>
      <c r="O513" s="19">
        <v>286.62</v>
      </c>
      <c r="P513" s="19">
        <v>301.85</v>
      </c>
      <c r="Q513" s="19">
        <v>295.87</v>
      </c>
      <c r="R513" s="19">
        <v>302.89</v>
      </c>
      <c r="S513" s="19">
        <v>297.53</v>
      </c>
      <c r="T513" s="19">
        <v>300.61</v>
      </c>
      <c r="U513" s="19">
        <v>314.02</v>
      </c>
      <c r="V513" s="19">
        <v>311.01</v>
      </c>
      <c r="W513" s="19">
        <v>296.43</v>
      </c>
      <c r="X513" s="19">
        <v>274.03</v>
      </c>
      <c r="Y513" s="19">
        <v>251.83</v>
      </c>
      <c r="Z513" s="33" t="s">
        <v>32</v>
      </c>
      <c r="AA513" s="25">
        <f>MIN($B$513:$Y$513)</f>
        <v>210.32</v>
      </c>
      <c r="AB513" s="25">
        <f>AVERAGE($B$513:$Y$513)</f>
        <v>277.717916666667</v>
      </c>
    </row>
    <row r="514" spans="1:28">
      <c r="A514" s="30">
        <v>45804</v>
      </c>
      <c r="B514" s="19">
        <v>278.41</v>
      </c>
      <c r="C514" s="19">
        <v>280.1</v>
      </c>
      <c r="D514" s="19">
        <v>282.48</v>
      </c>
      <c r="E514" s="19">
        <v>285.91</v>
      </c>
      <c r="F514" s="19">
        <v>276.75</v>
      </c>
      <c r="G514" s="19">
        <v>279.27</v>
      </c>
      <c r="H514" s="19">
        <v>289.54</v>
      </c>
      <c r="I514" s="19">
        <v>271.57</v>
      </c>
      <c r="J514" s="19">
        <v>277.96</v>
      </c>
      <c r="K514" s="19">
        <v>276.8</v>
      </c>
      <c r="L514" s="19">
        <v>232.58</v>
      </c>
      <c r="M514" s="19">
        <v>266.48</v>
      </c>
      <c r="N514" s="19">
        <v>265.64</v>
      </c>
      <c r="O514" s="19">
        <v>285.86</v>
      </c>
      <c r="P514" s="19">
        <v>299.38</v>
      </c>
      <c r="Q514" s="19">
        <v>299.67</v>
      </c>
      <c r="R514" s="19">
        <v>305.06</v>
      </c>
      <c r="S514" s="19">
        <v>311.98</v>
      </c>
      <c r="T514" s="19">
        <v>315.98</v>
      </c>
      <c r="U514" s="19">
        <v>360.33</v>
      </c>
      <c r="V514" s="19">
        <v>315.05</v>
      </c>
      <c r="W514" s="19">
        <v>312.25</v>
      </c>
      <c r="X514" s="19">
        <v>288.12</v>
      </c>
      <c r="Y514" s="19">
        <v>267.82</v>
      </c>
      <c r="Z514" s="32" t="s">
        <v>32</v>
      </c>
      <c r="AA514" s="25">
        <f>MIN($B$514:$Y$514)</f>
        <v>232.58</v>
      </c>
      <c r="AB514" s="25">
        <f>AVERAGE($B$514:$Y$514)</f>
        <v>288.54125</v>
      </c>
    </row>
    <row r="515" spans="1:28">
      <c r="A515" s="30">
        <v>45805</v>
      </c>
      <c r="B515" s="19">
        <v>273.07</v>
      </c>
      <c r="C515" s="19">
        <v>276.47</v>
      </c>
      <c r="D515" s="19">
        <v>278.95</v>
      </c>
      <c r="E515" s="19">
        <v>282.48</v>
      </c>
      <c r="F515" s="19">
        <v>269.67</v>
      </c>
      <c r="G515" s="19">
        <v>272.45</v>
      </c>
      <c r="H515" s="19">
        <v>280.43</v>
      </c>
      <c r="I515" s="19">
        <v>269.56</v>
      </c>
      <c r="J515" s="19">
        <v>290.82</v>
      </c>
      <c r="K515" s="19">
        <v>311.95</v>
      </c>
      <c r="L515" s="19">
        <v>305.8</v>
      </c>
      <c r="M515" s="19">
        <v>341.24</v>
      </c>
      <c r="N515" s="19">
        <v>309.95</v>
      </c>
      <c r="O515" s="19">
        <v>327.26</v>
      </c>
      <c r="P515" s="19">
        <v>332.2</v>
      </c>
      <c r="Q515" s="19">
        <v>329.42</v>
      </c>
      <c r="R515" s="19">
        <v>342.1</v>
      </c>
      <c r="S515" s="19">
        <v>338.36</v>
      </c>
      <c r="T515" s="19">
        <v>317.28</v>
      </c>
      <c r="U515" s="19">
        <v>353.47</v>
      </c>
      <c r="V515" s="19">
        <v>363.56</v>
      </c>
      <c r="W515" s="19">
        <v>350.81</v>
      </c>
      <c r="X515" s="19">
        <v>310.91</v>
      </c>
      <c r="Y515" s="19">
        <v>285.47</v>
      </c>
      <c r="Z515" s="33" t="s">
        <v>32</v>
      </c>
      <c r="AA515" s="25">
        <f>MIN($B$515:$Y$515)</f>
        <v>269.56</v>
      </c>
      <c r="AB515" s="25">
        <f>AVERAGE($B$515:$Y$515)</f>
        <v>308.903333333333</v>
      </c>
    </row>
    <row r="516" spans="1:28">
      <c r="A516" s="30">
        <v>45806</v>
      </c>
      <c r="B516" s="19">
        <v>295.24</v>
      </c>
      <c r="C516" s="19">
        <v>295</v>
      </c>
      <c r="D516" s="19">
        <v>304.21</v>
      </c>
      <c r="E516" s="19">
        <v>302.52</v>
      </c>
      <c r="F516" s="19">
        <v>287.44</v>
      </c>
      <c r="G516" s="19">
        <v>288.14</v>
      </c>
      <c r="H516" s="19">
        <v>296.77</v>
      </c>
      <c r="I516" s="19">
        <v>282.87</v>
      </c>
      <c r="J516" s="19">
        <v>304.15</v>
      </c>
      <c r="K516" s="19">
        <v>326.63</v>
      </c>
      <c r="L516" s="19">
        <v>324.25</v>
      </c>
      <c r="M516" s="19">
        <v>343.4</v>
      </c>
      <c r="N516" s="19">
        <v>313.78</v>
      </c>
      <c r="O516" s="19">
        <v>317.51</v>
      </c>
      <c r="P516" s="19">
        <v>317.12</v>
      </c>
      <c r="Q516" s="19">
        <v>310.11</v>
      </c>
      <c r="R516" s="19">
        <v>319.97</v>
      </c>
      <c r="S516" s="19">
        <v>303.91</v>
      </c>
      <c r="T516" s="19">
        <v>292.55</v>
      </c>
      <c r="U516" s="19">
        <v>327.18</v>
      </c>
      <c r="V516" s="19">
        <v>308.96</v>
      </c>
      <c r="W516" s="19">
        <v>300.98</v>
      </c>
      <c r="X516" s="19">
        <v>275.69</v>
      </c>
      <c r="Y516" s="19">
        <v>252.35</v>
      </c>
      <c r="Z516" s="32" t="s">
        <v>32</v>
      </c>
      <c r="AA516" s="25">
        <f>MIN($B$516:$Y$516)</f>
        <v>252.35</v>
      </c>
      <c r="AB516" s="25">
        <f>AVERAGE($B$516:$Y$516)</f>
        <v>303.780416666667</v>
      </c>
    </row>
    <row r="517" spans="1:28">
      <c r="A517" s="30">
        <v>45807</v>
      </c>
      <c r="B517" s="19">
        <v>279.99</v>
      </c>
      <c r="C517" s="19">
        <v>286.32</v>
      </c>
      <c r="D517" s="19">
        <v>298.03</v>
      </c>
      <c r="E517" s="19">
        <v>295.82</v>
      </c>
      <c r="F517" s="19">
        <v>287.13</v>
      </c>
      <c r="G517" s="19">
        <v>286.76</v>
      </c>
      <c r="H517" s="19">
        <v>286.42</v>
      </c>
      <c r="I517" s="19">
        <v>277.35</v>
      </c>
      <c r="J517" s="19">
        <v>294.95</v>
      </c>
      <c r="K517" s="19">
        <v>356.23</v>
      </c>
      <c r="L517" s="19">
        <v>348.13</v>
      </c>
      <c r="M517" s="19">
        <v>354.64</v>
      </c>
      <c r="N517" s="19">
        <v>301.87</v>
      </c>
      <c r="O517" s="19">
        <v>307.25</v>
      </c>
      <c r="P517" s="19">
        <v>311.74</v>
      </c>
      <c r="Q517" s="19">
        <v>323.8</v>
      </c>
      <c r="R517" s="19">
        <v>381</v>
      </c>
      <c r="S517" s="19">
        <v>374.96</v>
      </c>
      <c r="T517" s="19">
        <v>298.05</v>
      </c>
      <c r="U517" s="19">
        <v>306.43</v>
      </c>
      <c r="V517" s="19">
        <v>302.79</v>
      </c>
      <c r="W517" s="19">
        <v>298.53</v>
      </c>
      <c r="X517" s="19">
        <v>289.96</v>
      </c>
      <c r="Y517" s="19">
        <v>266.05</v>
      </c>
      <c r="Z517" s="33" t="s">
        <v>32</v>
      </c>
      <c r="AA517" s="25">
        <f>MIN($B$517:$Y$517)</f>
        <v>266.05</v>
      </c>
      <c r="AB517" s="25">
        <f>AVERAGE($B$517:$Y$517)</f>
        <v>308.925</v>
      </c>
    </row>
    <row r="518" spans="1:28">
      <c r="A518" s="30">
        <v>45808</v>
      </c>
      <c r="B518" s="19">
        <v>262.89</v>
      </c>
      <c r="C518" s="19">
        <v>269.46</v>
      </c>
      <c r="D518" s="19">
        <v>268.79</v>
      </c>
      <c r="E518" s="19">
        <v>234.17</v>
      </c>
      <c r="F518" s="19">
        <v>215.41</v>
      </c>
      <c r="G518" s="19">
        <v>205.14</v>
      </c>
      <c r="H518" s="19">
        <v>192.77</v>
      </c>
      <c r="I518" s="19">
        <v>4.25</v>
      </c>
      <c r="J518" s="19">
        <v>0</v>
      </c>
      <c r="K518" s="19">
        <v>0</v>
      </c>
      <c r="L518" s="19">
        <v>0</v>
      </c>
      <c r="M518" s="19">
        <v>0</v>
      </c>
      <c r="N518" s="19">
        <v>0</v>
      </c>
      <c r="O518" s="19">
        <v>0</v>
      </c>
      <c r="P518" s="19">
        <v>0</v>
      </c>
      <c r="Q518" s="19">
        <v>0</v>
      </c>
      <c r="R518" s="19">
        <v>0</v>
      </c>
      <c r="S518" s="19">
        <v>0</v>
      </c>
      <c r="T518" s="19">
        <v>1.82</v>
      </c>
      <c r="U518" s="19">
        <v>199.31</v>
      </c>
      <c r="V518" s="19">
        <v>233.33</v>
      </c>
      <c r="W518" s="19">
        <v>220.59</v>
      </c>
      <c r="X518" s="19">
        <v>244.54</v>
      </c>
      <c r="Y518" s="19">
        <v>258.5</v>
      </c>
      <c r="Z518" s="40" t="s">
        <v>31</v>
      </c>
      <c r="AA518" s="25">
        <f>MIN($B$518:$Y$518)</f>
        <v>0</v>
      </c>
      <c r="AB518" s="25">
        <f>AVERAGE($B$518:$Y$518)</f>
        <v>117.12375</v>
      </c>
    </row>
    <row r="519" spans="1:28">
      <c r="A519" s="30">
        <v>45809</v>
      </c>
      <c r="B519" s="19">
        <v>180</v>
      </c>
      <c r="C519" s="19">
        <v>193.03</v>
      </c>
      <c r="D519" s="19">
        <v>128.75</v>
      </c>
      <c r="E519" s="19">
        <v>123.75</v>
      </c>
      <c r="F519" s="19">
        <v>83.75</v>
      </c>
      <c r="G519" s="19">
        <v>55</v>
      </c>
      <c r="H519" s="19">
        <v>92.55</v>
      </c>
      <c r="I519" s="19">
        <v>107.42</v>
      </c>
      <c r="J519" s="19">
        <v>77.5</v>
      </c>
      <c r="K519" s="19">
        <v>205.84</v>
      </c>
      <c r="L519" s="19">
        <v>77.64</v>
      </c>
      <c r="M519" s="19">
        <v>176.74</v>
      </c>
      <c r="N519" s="19">
        <v>26.27</v>
      </c>
      <c r="O519" s="19">
        <v>114.7</v>
      </c>
      <c r="P519" s="19">
        <v>210.48</v>
      </c>
      <c r="Q519" s="19">
        <v>174.41</v>
      </c>
      <c r="R519" s="19">
        <v>244.22</v>
      </c>
      <c r="S519" s="19">
        <v>214.06</v>
      </c>
      <c r="T519" s="19">
        <v>244.88</v>
      </c>
      <c r="U519" s="19">
        <v>264.01</v>
      </c>
      <c r="V519" s="19">
        <v>257.71</v>
      </c>
      <c r="W519" s="19">
        <v>259.39</v>
      </c>
      <c r="X519" s="19">
        <v>260.25</v>
      </c>
      <c r="Y519" s="19">
        <v>260.62</v>
      </c>
      <c r="Z519" s="38" t="s">
        <v>35</v>
      </c>
      <c r="AA519" s="25">
        <f>MIN($B$519:$Y$519)</f>
        <v>26.27</v>
      </c>
      <c r="AB519" s="25">
        <f>AVERAGE($B$519:$Y$519)</f>
        <v>168.040416666667</v>
      </c>
    </row>
    <row r="520" spans="1:28">
      <c r="A520" s="30">
        <v>45810</v>
      </c>
      <c r="B520" s="19">
        <v>289.72</v>
      </c>
      <c r="C520" s="19">
        <v>266.44</v>
      </c>
      <c r="D520" s="19">
        <v>248.96</v>
      </c>
      <c r="E520" s="19">
        <v>239.6</v>
      </c>
      <c r="F520" s="19">
        <v>233.94</v>
      </c>
      <c r="G520" s="19">
        <v>230.23</v>
      </c>
      <c r="H520" s="19">
        <v>231.87</v>
      </c>
      <c r="I520" s="19">
        <v>218.17</v>
      </c>
      <c r="J520" s="19">
        <v>248.72</v>
      </c>
      <c r="K520" s="19">
        <v>256.99</v>
      </c>
      <c r="L520" s="19">
        <v>314.79</v>
      </c>
      <c r="M520" s="19">
        <v>283.78</v>
      </c>
      <c r="N520" s="19">
        <v>248.59</v>
      </c>
      <c r="O520" s="19">
        <v>266.53</v>
      </c>
      <c r="P520" s="19">
        <v>275.76</v>
      </c>
      <c r="Q520" s="19">
        <v>284.04</v>
      </c>
      <c r="R520" s="19">
        <v>294.94</v>
      </c>
      <c r="S520" s="19">
        <v>297.84</v>
      </c>
      <c r="T520" s="19">
        <v>271.13</v>
      </c>
      <c r="U520" s="19">
        <v>290.75</v>
      </c>
      <c r="V520" s="19">
        <v>292.63</v>
      </c>
      <c r="W520" s="19">
        <v>283</v>
      </c>
      <c r="X520" s="19">
        <v>281.82</v>
      </c>
      <c r="Y520" s="19">
        <v>281.16</v>
      </c>
      <c r="Z520" s="39" t="s">
        <v>35</v>
      </c>
      <c r="AA520" s="25">
        <f>MIN($B$520:$Y$520)</f>
        <v>218.17</v>
      </c>
      <c r="AB520" s="25">
        <f>AVERAGE($B$520:$Y$520)</f>
        <v>267.975</v>
      </c>
    </row>
    <row r="521" spans="1:28">
      <c r="A521" s="30">
        <v>45811</v>
      </c>
      <c r="B521" s="19">
        <v>510.95</v>
      </c>
      <c r="C521" s="19">
        <v>448.87</v>
      </c>
      <c r="D521" s="19">
        <v>427.57</v>
      </c>
      <c r="E521" s="19">
        <v>320.5</v>
      </c>
      <c r="F521" s="19">
        <v>297.51</v>
      </c>
      <c r="G521" s="19">
        <v>292.99</v>
      </c>
      <c r="H521" s="19">
        <v>293.26</v>
      </c>
      <c r="I521" s="19">
        <v>278.93</v>
      </c>
      <c r="J521" s="19">
        <v>307.91</v>
      </c>
      <c r="K521" s="19">
        <v>353.44</v>
      </c>
      <c r="L521" s="19">
        <v>370.1</v>
      </c>
      <c r="M521" s="19">
        <v>470.33</v>
      </c>
      <c r="N521" s="19">
        <v>305.01</v>
      </c>
      <c r="O521" s="19">
        <v>347.52</v>
      </c>
      <c r="P521" s="19">
        <v>362.02</v>
      </c>
      <c r="Q521" s="19">
        <v>345.9</v>
      </c>
      <c r="R521" s="19">
        <v>368.83</v>
      </c>
      <c r="S521" s="19">
        <v>332.79</v>
      </c>
      <c r="T521" s="19">
        <v>305.24</v>
      </c>
      <c r="U521" s="19">
        <v>330.17</v>
      </c>
      <c r="V521" s="19">
        <v>317.66</v>
      </c>
      <c r="W521" s="19">
        <v>325.35</v>
      </c>
      <c r="X521" s="19">
        <v>319.25</v>
      </c>
      <c r="Y521" s="19">
        <v>297.37</v>
      </c>
      <c r="Z521" s="33" t="s">
        <v>32</v>
      </c>
      <c r="AA521" s="25">
        <f>MIN($B$521:$Y$521)</f>
        <v>278.93</v>
      </c>
      <c r="AB521" s="25">
        <f>AVERAGE($B$521:$Y$521)</f>
        <v>347.06125</v>
      </c>
    </row>
    <row r="522" spans="1:28">
      <c r="A522" s="30">
        <v>45812</v>
      </c>
      <c r="B522" s="19">
        <v>306.73</v>
      </c>
      <c r="C522" s="19">
        <v>310.78</v>
      </c>
      <c r="D522" s="19">
        <v>324.75</v>
      </c>
      <c r="E522" s="19">
        <v>307.22</v>
      </c>
      <c r="F522" s="19">
        <v>294.87</v>
      </c>
      <c r="G522" s="19">
        <v>294.06</v>
      </c>
      <c r="H522" s="19">
        <v>295.87</v>
      </c>
      <c r="I522" s="19">
        <v>276.15</v>
      </c>
      <c r="J522" s="19">
        <v>296.69</v>
      </c>
      <c r="K522" s="19">
        <v>348.07</v>
      </c>
      <c r="L522" s="19">
        <v>378.74</v>
      </c>
      <c r="M522" s="19">
        <v>396.64</v>
      </c>
      <c r="N522" s="19">
        <v>298.48</v>
      </c>
      <c r="O522" s="19">
        <v>356.55</v>
      </c>
      <c r="P522" s="19">
        <v>402.17</v>
      </c>
      <c r="Q522" s="19">
        <v>336.51</v>
      </c>
      <c r="R522" s="19">
        <v>342.88</v>
      </c>
      <c r="S522" s="19">
        <v>327.47</v>
      </c>
      <c r="T522" s="19">
        <v>318.6</v>
      </c>
      <c r="U522" s="19">
        <v>368.8</v>
      </c>
      <c r="V522" s="19">
        <v>348.02</v>
      </c>
      <c r="W522" s="19">
        <v>337.59</v>
      </c>
      <c r="X522" s="19">
        <v>307.45</v>
      </c>
      <c r="Y522" s="19">
        <v>293.59</v>
      </c>
      <c r="Z522" s="32" t="s">
        <v>32</v>
      </c>
      <c r="AA522" s="25">
        <f>MIN($B$522:$Y$522)</f>
        <v>276.15</v>
      </c>
      <c r="AB522" s="25">
        <f>AVERAGE($B$522:$Y$522)</f>
        <v>327.861666666667</v>
      </c>
    </row>
    <row r="523" spans="1:28">
      <c r="A523" s="30">
        <v>45813</v>
      </c>
      <c r="B523" s="19">
        <v>273.4</v>
      </c>
      <c r="C523" s="19">
        <v>271.83</v>
      </c>
      <c r="D523" s="19">
        <v>272.05</v>
      </c>
      <c r="E523" s="19">
        <v>267.13</v>
      </c>
      <c r="F523" s="19">
        <v>254.83</v>
      </c>
      <c r="G523" s="19">
        <v>252.03</v>
      </c>
      <c r="H523" s="19">
        <v>256.21</v>
      </c>
      <c r="I523" s="19">
        <v>245.65</v>
      </c>
      <c r="J523" s="19">
        <v>264.89</v>
      </c>
      <c r="K523" s="19">
        <v>259.14</v>
      </c>
      <c r="L523" s="19">
        <v>259.61</v>
      </c>
      <c r="M523" s="19">
        <v>278.5</v>
      </c>
      <c r="N523" s="19">
        <v>239.68</v>
      </c>
      <c r="O523" s="19">
        <v>263.45</v>
      </c>
      <c r="P523" s="19">
        <v>286.92</v>
      </c>
      <c r="Q523" s="19">
        <v>287.39</v>
      </c>
      <c r="R523" s="19">
        <v>320.42</v>
      </c>
      <c r="S523" s="19">
        <v>308.78</v>
      </c>
      <c r="T523" s="19">
        <v>306.67</v>
      </c>
      <c r="U523" s="19">
        <v>353.87</v>
      </c>
      <c r="V523" s="19">
        <v>324.7</v>
      </c>
      <c r="W523" s="19">
        <v>304.99</v>
      </c>
      <c r="X523" s="19">
        <v>277.28</v>
      </c>
      <c r="Y523" s="19">
        <v>265.16</v>
      </c>
      <c r="Z523" s="33" t="s">
        <v>32</v>
      </c>
      <c r="AA523" s="25">
        <f>MIN($B$523:$Y$523)</f>
        <v>239.68</v>
      </c>
      <c r="AB523" s="25">
        <f>AVERAGE($B$523:$Y$523)</f>
        <v>278.940833333333</v>
      </c>
    </row>
    <row r="524" spans="1:28">
      <c r="A524" s="30">
        <v>45814</v>
      </c>
      <c r="B524" s="19">
        <v>263.84</v>
      </c>
      <c r="C524" s="19">
        <v>267.14</v>
      </c>
      <c r="D524" s="19">
        <v>266.48</v>
      </c>
      <c r="E524" s="19">
        <v>264.31</v>
      </c>
      <c r="F524" s="19">
        <v>248.61</v>
      </c>
      <c r="G524" s="19">
        <v>248.52</v>
      </c>
      <c r="H524" s="19">
        <v>255.41</v>
      </c>
      <c r="I524" s="19">
        <v>242.58</v>
      </c>
      <c r="J524" s="19">
        <v>267.61</v>
      </c>
      <c r="K524" s="19">
        <v>303.68</v>
      </c>
      <c r="L524" s="19">
        <v>299.97</v>
      </c>
      <c r="M524" s="19">
        <v>298.42</v>
      </c>
      <c r="N524" s="19">
        <v>266.75</v>
      </c>
      <c r="O524" s="19">
        <v>281.34</v>
      </c>
      <c r="P524" s="19">
        <v>297.25</v>
      </c>
      <c r="Q524" s="19">
        <v>306.77</v>
      </c>
      <c r="R524" s="19">
        <v>324.03</v>
      </c>
      <c r="S524" s="19">
        <v>329.74</v>
      </c>
      <c r="T524" s="19">
        <v>309.23</v>
      </c>
      <c r="U524" s="19">
        <v>342.73</v>
      </c>
      <c r="V524" s="19">
        <v>349.34</v>
      </c>
      <c r="W524" s="19">
        <v>340.48</v>
      </c>
      <c r="X524" s="19">
        <v>303.81</v>
      </c>
      <c r="Y524" s="19">
        <v>292.84</v>
      </c>
      <c r="Z524" s="32" t="s">
        <v>32</v>
      </c>
      <c r="AA524" s="25">
        <f>MIN($B$524:$Y$524)</f>
        <v>242.58</v>
      </c>
      <c r="AB524" s="25">
        <f>AVERAGE($B$524:$Y$524)</f>
        <v>290.453333333333</v>
      </c>
    </row>
    <row r="525" spans="1:28">
      <c r="A525" s="30">
        <v>45815</v>
      </c>
      <c r="B525" s="19">
        <v>322.95</v>
      </c>
      <c r="C525" s="19">
        <v>298.41</v>
      </c>
      <c r="D525" s="19">
        <v>289.36</v>
      </c>
      <c r="E525" s="19">
        <v>280.44</v>
      </c>
      <c r="F525" s="19">
        <v>269.66</v>
      </c>
      <c r="G525" s="19">
        <v>267.96</v>
      </c>
      <c r="H525" s="19">
        <v>268.02</v>
      </c>
      <c r="I525" s="19">
        <v>257.85</v>
      </c>
      <c r="J525" s="19">
        <v>270.44</v>
      </c>
      <c r="K525" s="19">
        <v>278.59</v>
      </c>
      <c r="L525" s="19">
        <v>273.38</v>
      </c>
      <c r="M525" s="19">
        <v>281.64</v>
      </c>
      <c r="N525" s="19">
        <v>269.52</v>
      </c>
      <c r="O525" s="19">
        <v>282.96</v>
      </c>
      <c r="P525" s="19">
        <v>285.73</v>
      </c>
      <c r="Q525" s="19">
        <v>289.08</v>
      </c>
      <c r="R525" s="19">
        <v>302.17</v>
      </c>
      <c r="S525" s="19">
        <v>309.84</v>
      </c>
      <c r="T525" s="19">
        <v>302.99</v>
      </c>
      <c r="U525" s="19">
        <v>330.22</v>
      </c>
      <c r="V525" s="19">
        <v>325.39</v>
      </c>
      <c r="W525" s="19">
        <v>355.39</v>
      </c>
      <c r="X525" s="19">
        <v>340.22</v>
      </c>
      <c r="Y525" s="19">
        <v>306.71</v>
      </c>
      <c r="Z525" s="36" t="s">
        <v>36</v>
      </c>
      <c r="AA525" s="25">
        <f>MIN($B$525:$Y$525)</f>
        <v>257.85</v>
      </c>
      <c r="AB525" s="25">
        <f>AVERAGE($B$525:$Y$525)</f>
        <v>294.121666666667</v>
      </c>
    </row>
    <row r="526" spans="1:28">
      <c r="A526" s="30">
        <v>45816</v>
      </c>
      <c r="B526" s="19">
        <v>424.66</v>
      </c>
      <c r="C526" s="19">
        <v>356.23</v>
      </c>
      <c r="D526" s="19">
        <v>382.7</v>
      </c>
      <c r="E526" s="19">
        <v>375.35</v>
      </c>
      <c r="F526" s="19">
        <v>310.32</v>
      </c>
      <c r="G526" s="19">
        <v>301.37</v>
      </c>
      <c r="H526" s="19">
        <v>297.65</v>
      </c>
      <c r="I526" s="19">
        <v>263.96</v>
      </c>
      <c r="J526" s="19">
        <v>247.17</v>
      </c>
      <c r="K526" s="19">
        <v>263.91</v>
      </c>
      <c r="L526" s="19">
        <v>269.19</v>
      </c>
      <c r="M526" s="19">
        <v>279.18</v>
      </c>
      <c r="N526" s="19">
        <v>262.83</v>
      </c>
      <c r="O526" s="19">
        <v>303.17</v>
      </c>
      <c r="P526" s="19">
        <v>313.58</v>
      </c>
      <c r="Q526" s="19">
        <v>312.63</v>
      </c>
      <c r="R526" s="19">
        <v>317.89</v>
      </c>
      <c r="S526" s="19">
        <v>316.31</v>
      </c>
      <c r="T526" s="19">
        <v>302.97</v>
      </c>
      <c r="U526" s="19">
        <v>324.1</v>
      </c>
      <c r="V526" s="19">
        <v>340.41</v>
      </c>
      <c r="W526" s="19">
        <v>399.94</v>
      </c>
      <c r="X526" s="19">
        <v>403.33</v>
      </c>
      <c r="Y526" s="19">
        <v>359.97</v>
      </c>
      <c r="Z526" s="37" t="s">
        <v>37</v>
      </c>
      <c r="AA526" s="25">
        <f>MIN($B$526:$Y$526)</f>
        <v>247.17</v>
      </c>
      <c r="AB526" s="25">
        <f>AVERAGE($B$526:$Y$526)</f>
        <v>322.034166666667</v>
      </c>
    </row>
    <row r="527" spans="1:28">
      <c r="A527" s="30">
        <v>45817</v>
      </c>
      <c r="B527" s="19">
        <v>364.71</v>
      </c>
      <c r="C527" s="19">
        <v>340.77</v>
      </c>
      <c r="D527" s="19">
        <v>363.57</v>
      </c>
      <c r="E527" s="19">
        <v>325.26</v>
      </c>
      <c r="F527" s="19">
        <v>300.7</v>
      </c>
      <c r="G527" s="19">
        <v>294.35</v>
      </c>
      <c r="H527" s="19">
        <v>290.4</v>
      </c>
      <c r="I527" s="19">
        <v>272.27</v>
      </c>
      <c r="J527" s="19">
        <v>323.74</v>
      </c>
      <c r="K527" s="19">
        <v>372.21</v>
      </c>
      <c r="L527" s="19">
        <v>386.71</v>
      </c>
      <c r="M527" s="19">
        <v>387.41</v>
      </c>
      <c r="N527" s="19">
        <v>303.53</v>
      </c>
      <c r="O527" s="19">
        <v>395.65</v>
      </c>
      <c r="P527" s="19">
        <v>469.27</v>
      </c>
      <c r="Q527" s="19">
        <v>406.86</v>
      </c>
      <c r="R527" s="19">
        <v>455.49</v>
      </c>
      <c r="S527" s="19">
        <v>515.5</v>
      </c>
      <c r="T527" s="19">
        <v>406.64</v>
      </c>
      <c r="U527" s="19">
        <v>491.08</v>
      </c>
      <c r="V527" s="19">
        <v>481.05</v>
      </c>
      <c r="W527" s="19">
        <v>431.97</v>
      </c>
      <c r="X527" s="19">
        <v>372.29</v>
      </c>
      <c r="Y527" s="19">
        <v>351.25</v>
      </c>
      <c r="Z527" s="33" t="s">
        <v>32</v>
      </c>
      <c r="AA527" s="25">
        <f>MIN($B$527:$Y$527)</f>
        <v>272.27</v>
      </c>
      <c r="AB527" s="25">
        <f>AVERAGE($B$527:$Y$527)</f>
        <v>379.278333333333</v>
      </c>
    </row>
    <row r="528" spans="1:28">
      <c r="A528" s="30">
        <v>45818</v>
      </c>
      <c r="B528" s="19">
        <v>404.24</v>
      </c>
      <c r="C528" s="19">
        <v>421.5</v>
      </c>
      <c r="D528" s="19">
        <v>434.25</v>
      </c>
      <c r="E528" s="19">
        <v>381.99</v>
      </c>
      <c r="F528" s="19">
        <v>323.16</v>
      </c>
      <c r="G528" s="19">
        <v>307.38</v>
      </c>
      <c r="H528" s="19">
        <v>298.54</v>
      </c>
      <c r="I528" s="19">
        <v>269.02</v>
      </c>
      <c r="J528" s="19">
        <v>294.48</v>
      </c>
      <c r="K528" s="19">
        <v>320.37</v>
      </c>
      <c r="L528" s="19">
        <v>311.8</v>
      </c>
      <c r="M528" s="19">
        <v>323.13</v>
      </c>
      <c r="N528" s="19">
        <v>290.92</v>
      </c>
      <c r="O528" s="19">
        <v>357.34</v>
      </c>
      <c r="P528" s="19">
        <v>367.72</v>
      </c>
      <c r="Q528" s="19">
        <v>377.91</v>
      </c>
      <c r="R528" s="19">
        <v>423.9</v>
      </c>
      <c r="S528" s="19">
        <v>507.15</v>
      </c>
      <c r="T528" s="19">
        <v>365.28</v>
      </c>
      <c r="U528" s="19">
        <v>470.59</v>
      </c>
      <c r="V528" s="19">
        <v>400.14</v>
      </c>
      <c r="W528" s="19">
        <v>400.67</v>
      </c>
      <c r="X528" s="19">
        <v>371.27</v>
      </c>
      <c r="Y528" s="19">
        <v>346.09</v>
      </c>
      <c r="Z528" s="32" t="s">
        <v>32</v>
      </c>
      <c r="AA528" s="25">
        <f>MIN($B$528:$Y$528)</f>
        <v>269.02</v>
      </c>
      <c r="AB528" s="25">
        <f>AVERAGE($B$528:$Y$528)</f>
        <v>365.368333333333</v>
      </c>
    </row>
    <row r="529" spans="1:28">
      <c r="A529" s="30">
        <v>45819</v>
      </c>
      <c r="B529" s="19">
        <v>537.52</v>
      </c>
      <c r="C529" s="19">
        <v>516.09</v>
      </c>
      <c r="D529" s="19">
        <v>601.1</v>
      </c>
      <c r="E529" s="19">
        <v>498.83</v>
      </c>
      <c r="F529" s="19">
        <v>355.3</v>
      </c>
      <c r="G529" s="19">
        <v>312.07</v>
      </c>
      <c r="H529" s="19">
        <v>296.74</v>
      </c>
      <c r="I529" s="19">
        <v>259.4</v>
      </c>
      <c r="J529" s="19">
        <v>320.58</v>
      </c>
      <c r="K529" s="19">
        <v>371.71</v>
      </c>
      <c r="L529" s="19">
        <v>335.68</v>
      </c>
      <c r="M529" s="19">
        <v>357.5</v>
      </c>
      <c r="N529" s="19">
        <v>353.96</v>
      </c>
      <c r="O529" s="19">
        <v>534.31</v>
      </c>
      <c r="P529" s="19">
        <v>439.99</v>
      </c>
      <c r="Q529" s="19">
        <v>495.67</v>
      </c>
      <c r="R529" s="19">
        <v>621.61</v>
      </c>
      <c r="S529" s="19">
        <v>651.78</v>
      </c>
      <c r="T529" s="19">
        <v>480.08</v>
      </c>
      <c r="U529" s="19">
        <v>664.62</v>
      </c>
      <c r="V529" s="19">
        <v>508.82</v>
      </c>
      <c r="W529" s="19">
        <v>533.04</v>
      </c>
      <c r="X529" s="19">
        <v>399.86</v>
      </c>
      <c r="Y529" s="19">
        <v>324.8</v>
      </c>
      <c r="Z529" s="33" t="s">
        <v>32</v>
      </c>
      <c r="AA529" s="25">
        <f>MIN($B$529:$Y$529)</f>
        <v>259.4</v>
      </c>
      <c r="AB529" s="25">
        <f>AVERAGE($B$529:$Y$529)</f>
        <v>448.794166666667</v>
      </c>
    </row>
    <row r="530" spans="1:28">
      <c r="A530" s="30">
        <v>45820</v>
      </c>
      <c r="B530" s="19">
        <v>359.25</v>
      </c>
      <c r="C530" s="19">
        <v>347.73</v>
      </c>
      <c r="D530" s="19">
        <v>340.83</v>
      </c>
      <c r="E530" s="19">
        <v>303.65</v>
      </c>
      <c r="F530" s="19">
        <v>284.97</v>
      </c>
      <c r="G530" s="19">
        <v>275.68</v>
      </c>
      <c r="H530" s="19">
        <v>268.57</v>
      </c>
      <c r="I530" s="19">
        <v>243.49</v>
      </c>
      <c r="J530" s="19">
        <v>265.5</v>
      </c>
      <c r="K530" s="19">
        <v>309.04</v>
      </c>
      <c r="L530" s="19">
        <v>312.29</v>
      </c>
      <c r="M530" s="19">
        <v>305.12</v>
      </c>
      <c r="N530" s="19">
        <v>300.13</v>
      </c>
      <c r="O530" s="19">
        <v>361.92</v>
      </c>
      <c r="P530" s="19">
        <v>365.71</v>
      </c>
      <c r="Q530" s="19">
        <v>383.78</v>
      </c>
      <c r="R530" s="19">
        <v>410.78</v>
      </c>
      <c r="S530" s="19">
        <v>554.29</v>
      </c>
      <c r="T530" s="19">
        <v>357.43</v>
      </c>
      <c r="U530" s="19">
        <v>472.35</v>
      </c>
      <c r="V530" s="19">
        <v>395.07</v>
      </c>
      <c r="W530" s="19">
        <v>384.57</v>
      </c>
      <c r="X530" s="19">
        <v>357.24</v>
      </c>
      <c r="Y530" s="19">
        <v>302.33</v>
      </c>
      <c r="Z530" s="32" t="s">
        <v>32</v>
      </c>
      <c r="AA530" s="25">
        <f>MIN($B$530:$Y$530)</f>
        <v>243.49</v>
      </c>
      <c r="AB530" s="25">
        <f>AVERAGE($B$530:$Y$530)</f>
        <v>344.238333333333</v>
      </c>
    </row>
    <row r="531" spans="1:28">
      <c r="A531" s="30">
        <v>45821</v>
      </c>
      <c r="B531" s="19">
        <v>321.58</v>
      </c>
      <c r="C531" s="19">
        <v>315.91</v>
      </c>
      <c r="D531" s="19">
        <v>309.91</v>
      </c>
      <c r="E531" s="19">
        <v>287.63</v>
      </c>
      <c r="F531" s="19">
        <v>269.98</v>
      </c>
      <c r="G531" s="19">
        <v>262.56</v>
      </c>
      <c r="H531" s="19">
        <v>266.69</v>
      </c>
      <c r="I531" s="19">
        <v>246.73</v>
      </c>
      <c r="J531" s="19">
        <v>323.5</v>
      </c>
      <c r="K531" s="19">
        <v>368.65</v>
      </c>
      <c r="L531" s="19">
        <v>339.59</v>
      </c>
      <c r="M531" s="19">
        <v>344.15</v>
      </c>
      <c r="N531" s="19">
        <v>287.2</v>
      </c>
      <c r="O531" s="19">
        <v>373.32</v>
      </c>
      <c r="P531" s="19">
        <v>370.22</v>
      </c>
      <c r="Q531" s="19">
        <v>356.76</v>
      </c>
      <c r="R531" s="19">
        <v>358.57</v>
      </c>
      <c r="S531" s="19">
        <v>364.31</v>
      </c>
      <c r="T531" s="19">
        <v>334.35</v>
      </c>
      <c r="U531" s="19">
        <v>409.08</v>
      </c>
      <c r="V531" s="19">
        <v>359.65</v>
      </c>
      <c r="W531" s="19">
        <v>351.78</v>
      </c>
      <c r="X531" s="19">
        <v>308.51</v>
      </c>
      <c r="Y531" s="19">
        <v>277.63</v>
      </c>
      <c r="Z531" s="33" t="s">
        <v>32</v>
      </c>
      <c r="AA531" s="25">
        <f>MIN($B$531:$Y$531)</f>
        <v>246.73</v>
      </c>
      <c r="AB531" s="25">
        <f>AVERAGE($B$531:$Y$531)</f>
        <v>325.344166666667</v>
      </c>
    </row>
    <row r="532" spans="1:28">
      <c r="A532" s="30">
        <v>45822</v>
      </c>
      <c r="B532" s="19">
        <v>255.77</v>
      </c>
      <c r="C532" s="19">
        <v>277.54</v>
      </c>
      <c r="D532" s="19">
        <v>277.92</v>
      </c>
      <c r="E532" s="19">
        <v>263</v>
      </c>
      <c r="F532" s="19">
        <v>244.58</v>
      </c>
      <c r="G532" s="19">
        <v>240.14</v>
      </c>
      <c r="H532" s="19">
        <v>236.19</v>
      </c>
      <c r="I532" s="19">
        <v>217.34</v>
      </c>
      <c r="J532" s="19">
        <v>261.63</v>
      </c>
      <c r="K532" s="19">
        <v>330.89</v>
      </c>
      <c r="L532" s="19">
        <v>343.58</v>
      </c>
      <c r="M532" s="19">
        <v>302.14</v>
      </c>
      <c r="N532" s="19">
        <v>255.42</v>
      </c>
      <c r="O532" s="19">
        <v>287.02</v>
      </c>
      <c r="P532" s="19">
        <v>314.08</v>
      </c>
      <c r="Q532" s="19">
        <v>356.37</v>
      </c>
      <c r="R532" s="19">
        <v>313.81</v>
      </c>
      <c r="S532" s="19">
        <v>320</v>
      </c>
      <c r="T532" s="19">
        <v>288.06</v>
      </c>
      <c r="U532" s="19">
        <v>317.97</v>
      </c>
      <c r="V532" s="19">
        <v>309.8</v>
      </c>
      <c r="W532" s="19">
        <v>286.2</v>
      </c>
      <c r="X532" s="19">
        <v>272.84</v>
      </c>
      <c r="Y532" s="19">
        <v>242.93</v>
      </c>
      <c r="Z532" s="34" t="s">
        <v>36</v>
      </c>
      <c r="AA532" s="25">
        <f>MIN($B$532:$Y$532)</f>
        <v>217.34</v>
      </c>
      <c r="AB532" s="25">
        <f>AVERAGE($B$532:$Y$532)</f>
        <v>283.9675</v>
      </c>
    </row>
    <row r="533" spans="1:28">
      <c r="A533" s="30">
        <v>45823</v>
      </c>
      <c r="B533" s="19">
        <v>211.04</v>
      </c>
      <c r="C533" s="19">
        <v>240.33</v>
      </c>
      <c r="D533" s="19">
        <v>235.05</v>
      </c>
      <c r="E533" s="19">
        <v>212.67</v>
      </c>
      <c r="F533" s="19">
        <v>80.83</v>
      </c>
      <c r="G533" s="19">
        <v>53.7</v>
      </c>
      <c r="H533" s="19">
        <v>7.3</v>
      </c>
      <c r="I533" s="19">
        <v>8.25</v>
      </c>
      <c r="J533" s="19">
        <v>16.14</v>
      </c>
      <c r="K533" s="19">
        <v>81.21</v>
      </c>
      <c r="L533" s="19">
        <v>64.95</v>
      </c>
      <c r="M533" s="19">
        <v>90.73</v>
      </c>
      <c r="N533" s="19">
        <v>42.65</v>
      </c>
      <c r="O533" s="19">
        <v>88.37</v>
      </c>
      <c r="P533" s="19">
        <v>94.04</v>
      </c>
      <c r="Q533" s="19">
        <v>102.39</v>
      </c>
      <c r="R533" s="19">
        <v>178.58</v>
      </c>
      <c r="S533" s="19">
        <v>248.91</v>
      </c>
      <c r="T533" s="19">
        <v>240.76</v>
      </c>
      <c r="U533" s="19">
        <v>267.09</v>
      </c>
      <c r="V533" s="19">
        <v>269.85</v>
      </c>
      <c r="W533" s="19">
        <v>270.35</v>
      </c>
      <c r="X533" s="19">
        <v>271.56</v>
      </c>
      <c r="Y533" s="19">
        <v>258.97</v>
      </c>
      <c r="Z533" s="35" t="s">
        <v>37</v>
      </c>
      <c r="AA533" s="25">
        <f>MIN($B$533:$Y$533)</f>
        <v>7.3</v>
      </c>
      <c r="AB533" s="25">
        <f>AVERAGE($B$533:$Y$533)</f>
        <v>151.488333333333</v>
      </c>
    </row>
    <row r="534" spans="1:28">
      <c r="A534" s="30">
        <v>45829</v>
      </c>
      <c r="B534" s="19">
        <v>290.23</v>
      </c>
      <c r="C534" s="19">
        <v>269.45</v>
      </c>
      <c r="D534" s="19">
        <v>262.69</v>
      </c>
      <c r="E534" s="19">
        <v>257.19</v>
      </c>
      <c r="F534" s="19">
        <v>246.26</v>
      </c>
      <c r="G534" s="19">
        <v>243.97</v>
      </c>
      <c r="H534" s="19">
        <v>247.91</v>
      </c>
      <c r="I534" s="19">
        <v>231.21</v>
      </c>
      <c r="J534" s="19">
        <v>254.29</v>
      </c>
      <c r="K534" s="19">
        <v>357.75</v>
      </c>
      <c r="L534" s="19">
        <v>322.37</v>
      </c>
      <c r="M534" s="19">
        <v>289.47</v>
      </c>
      <c r="N534" s="19">
        <v>263.41</v>
      </c>
      <c r="O534" s="19">
        <v>279.77</v>
      </c>
      <c r="P534" s="19">
        <v>286.03</v>
      </c>
      <c r="Q534" s="19">
        <v>295.97</v>
      </c>
      <c r="R534" s="19">
        <v>314.59</v>
      </c>
      <c r="S534" s="19">
        <v>324.3</v>
      </c>
      <c r="T534" s="19">
        <v>305.07</v>
      </c>
      <c r="U534" s="19">
        <v>351.6</v>
      </c>
      <c r="V534" s="19">
        <v>354.54</v>
      </c>
      <c r="W534" s="19">
        <v>324</v>
      </c>
      <c r="X534" s="19">
        <v>300.8</v>
      </c>
      <c r="Y534" s="19">
        <v>274.08</v>
      </c>
      <c r="Z534" s="32" t="s">
        <v>32</v>
      </c>
      <c r="AA534" s="25">
        <f>MIN($B$534:$Y$534)</f>
        <v>231.21</v>
      </c>
      <c r="AB534" s="25">
        <f>AVERAGE($B$534:$Y$534)</f>
        <v>289.45625</v>
      </c>
    </row>
    <row r="535" spans="1:28">
      <c r="A535" s="30">
        <v>45830</v>
      </c>
      <c r="B535" s="19">
        <v>314.35</v>
      </c>
      <c r="C535" s="19">
        <v>285.63</v>
      </c>
      <c r="D535" s="19">
        <v>275.95</v>
      </c>
      <c r="E535" s="19">
        <v>262.71</v>
      </c>
      <c r="F535" s="19">
        <v>254.41</v>
      </c>
      <c r="G535" s="19">
        <v>249.58</v>
      </c>
      <c r="H535" s="19">
        <v>248.99</v>
      </c>
      <c r="I535" s="19">
        <v>225.86</v>
      </c>
      <c r="J535" s="19">
        <v>225.8</v>
      </c>
      <c r="K535" s="19">
        <v>226.12</v>
      </c>
      <c r="L535" s="19">
        <v>106.6</v>
      </c>
      <c r="M535" s="19">
        <v>163.51</v>
      </c>
      <c r="N535" s="19">
        <v>120.53</v>
      </c>
      <c r="O535" s="19">
        <v>156.91</v>
      </c>
      <c r="P535" s="19">
        <v>141.13</v>
      </c>
      <c r="Q535" s="19">
        <v>162.68</v>
      </c>
      <c r="R535" s="19">
        <v>201.83</v>
      </c>
      <c r="S535" s="19">
        <v>265.15</v>
      </c>
      <c r="T535" s="19">
        <v>270.03</v>
      </c>
      <c r="U535" s="19">
        <v>288.82</v>
      </c>
      <c r="V535" s="19">
        <v>291.14</v>
      </c>
      <c r="W535" s="19">
        <v>292.31</v>
      </c>
      <c r="X535" s="19">
        <v>295.03</v>
      </c>
      <c r="Y535" s="19">
        <v>281.17</v>
      </c>
      <c r="Z535" s="33" t="s">
        <v>32</v>
      </c>
      <c r="AA535" s="25">
        <f>MIN($B$535:$Y$535)</f>
        <v>106.6</v>
      </c>
      <c r="AB535" s="25">
        <f>AVERAGE($B$535:$Y$535)</f>
        <v>233.593333333333</v>
      </c>
    </row>
    <row r="536" spans="1:28">
      <c r="A536" s="30">
        <v>45831</v>
      </c>
      <c r="B536" s="19">
        <v>273.7</v>
      </c>
      <c r="C536" s="19">
        <v>272.41</v>
      </c>
      <c r="D536" s="19">
        <v>261.64</v>
      </c>
      <c r="E536" s="19">
        <v>249.16</v>
      </c>
      <c r="F536" s="19">
        <v>236.12</v>
      </c>
      <c r="G536" s="19">
        <v>230.18</v>
      </c>
      <c r="H536" s="19">
        <v>235.62</v>
      </c>
      <c r="I536" s="19">
        <v>226.04</v>
      </c>
      <c r="J536" s="19">
        <v>257.46</v>
      </c>
      <c r="K536" s="19">
        <v>307.14</v>
      </c>
      <c r="L536" s="19">
        <v>323.19</v>
      </c>
      <c r="M536" s="19">
        <v>322.24</v>
      </c>
      <c r="N536" s="19">
        <v>236.23</v>
      </c>
      <c r="O536" s="19">
        <v>260.47</v>
      </c>
      <c r="P536" s="19">
        <v>271.96</v>
      </c>
      <c r="Q536" s="19">
        <v>279.23</v>
      </c>
      <c r="R536" s="19">
        <v>310.84</v>
      </c>
      <c r="S536" s="19">
        <v>321.91</v>
      </c>
      <c r="T536" s="19">
        <v>313.37</v>
      </c>
      <c r="U536" s="19">
        <v>426.47</v>
      </c>
      <c r="V536" s="19">
        <v>361.56</v>
      </c>
      <c r="W536" s="19">
        <v>345.34</v>
      </c>
      <c r="X536" s="19">
        <v>312.19</v>
      </c>
      <c r="Y536" s="19">
        <v>287.8</v>
      </c>
      <c r="Z536" s="32" t="s">
        <v>32</v>
      </c>
      <c r="AA536" s="25">
        <f>MIN($B$536:$Y$536)</f>
        <v>226.04</v>
      </c>
      <c r="AB536" s="25">
        <f>AVERAGE($B$536:$Y$536)</f>
        <v>288.427916666667</v>
      </c>
    </row>
    <row r="537" spans="1:28">
      <c r="A537" s="30">
        <v>45832</v>
      </c>
      <c r="B537" s="19">
        <v>318.48</v>
      </c>
      <c r="C537" s="19">
        <v>314.56</v>
      </c>
      <c r="D537" s="19">
        <v>303.42</v>
      </c>
      <c r="E537" s="19">
        <v>281.22</v>
      </c>
      <c r="F537" s="19">
        <v>270.03</v>
      </c>
      <c r="G537" s="19">
        <v>265.91</v>
      </c>
      <c r="H537" s="19">
        <v>270.37</v>
      </c>
      <c r="I537" s="19">
        <v>253.57</v>
      </c>
      <c r="J537" s="19">
        <v>283.66</v>
      </c>
      <c r="K537" s="19">
        <v>431.37</v>
      </c>
      <c r="L537" s="19">
        <v>471.37</v>
      </c>
      <c r="M537" s="19">
        <v>454.14</v>
      </c>
      <c r="N537" s="19">
        <v>292.89</v>
      </c>
      <c r="O537" s="19">
        <v>384.11</v>
      </c>
      <c r="P537" s="19">
        <v>409.46</v>
      </c>
      <c r="Q537" s="19">
        <v>463.01</v>
      </c>
      <c r="R537" s="19">
        <v>415.31</v>
      </c>
      <c r="S537" s="19">
        <v>385.61</v>
      </c>
      <c r="T537" s="19">
        <v>325.41</v>
      </c>
      <c r="U537" s="19">
        <v>442.13</v>
      </c>
      <c r="V537" s="19">
        <v>370.24</v>
      </c>
      <c r="W537" s="19">
        <v>344.98</v>
      </c>
      <c r="X537" s="19">
        <v>337.03</v>
      </c>
      <c r="Y537" s="19">
        <v>297.31</v>
      </c>
      <c r="Z537" s="33" t="s">
        <v>32</v>
      </c>
      <c r="AA537" s="25">
        <f>MIN($B$537:$Y$537)</f>
        <v>253.57</v>
      </c>
      <c r="AB537" s="25">
        <f>AVERAGE($B$537:$Y$537)</f>
        <v>349.399583333333</v>
      </c>
    </row>
    <row r="538" spans="1:28">
      <c r="A538" s="30">
        <v>45833</v>
      </c>
      <c r="B538" s="19">
        <v>330.42</v>
      </c>
      <c r="C538" s="19">
        <v>311.8</v>
      </c>
      <c r="D538" s="19">
        <v>297.7</v>
      </c>
      <c r="E538" s="19">
        <v>277.34</v>
      </c>
      <c r="F538" s="19">
        <v>268.75</v>
      </c>
      <c r="G538" s="19">
        <v>260.88</v>
      </c>
      <c r="H538" s="19">
        <v>262.01</v>
      </c>
      <c r="I538" s="19">
        <v>239.56</v>
      </c>
      <c r="J538" s="19">
        <v>282.04</v>
      </c>
      <c r="K538" s="19">
        <v>333.38</v>
      </c>
      <c r="L538" s="19">
        <v>358.97</v>
      </c>
      <c r="M538" s="19">
        <v>331.23</v>
      </c>
      <c r="N538" s="19">
        <v>271.77</v>
      </c>
      <c r="O538" s="19">
        <v>296.24</v>
      </c>
      <c r="P538" s="19">
        <v>349.75</v>
      </c>
      <c r="Q538" s="19">
        <v>418.39</v>
      </c>
      <c r="R538" s="19">
        <v>555.31</v>
      </c>
      <c r="S538" s="19">
        <v>486.19</v>
      </c>
      <c r="T538" s="19">
        <v>333.49</v>
      </c>
      <c r="U538" s="19">
        <v>425.51</v>
      </c>
      <c r="V538" s="19">
        <v>416.04</v>
      </c>
      <c r="W538" s="19">
        <v>379.15</v>
      </c>
      <c r="X538" s="19">
        <v>343.78</v>
      </c>
      <c r="Y538" s="19">
        <v>289</v>
      </c>
      <c r="Z538" s="32" t="s">
        <v>32</v>
      </c>
      <c r="AA538" s="25">
        <f>MIN($B$538:$Y$538)</f>
        <v>239.56</v>
      </c>
      <c r="AB538" s="25">
        <f>AVERAGE($B$538:$Y$538)</f>
        <v>338.279166666667</v>
      </c>
    </row>
    <row r="539" spans="1:28">
      <c r="A539" s="30">
        <v>45834</v>
      </c>
      <c r="B539" s="19">
        <v>313.9</v>
      </c>
      <c r="C539" s="19">
        <v>304.66</v>
      </c>
      <c r="D539" s="19">
        <v>287.23</v>
      </c>
      <c r="E539" s="19">
        <v>269.01</v>
      </c>
      <c r="F539" s="19">
        <v>257.5</v>
      </c>
      <c r="G539" s="19">
        <v>251.02</v>
      </c>
      <c r="H539" s="19">
        <v>251.13</v>
      </c>
      <c r="I539" s="19">
        <v>226.01</v>
      </c>
      <c r="J539" s="19">
        <v>295.07</v>
      </c>
      <c r="K539" s="19">
        <v>331.53</v>
      </c>
      <c r="L539" s="19">
        <v>432.07</v>
      </c>
      <c r="M539" s="19">
        <v>398.33</v>
      </c>
      <c r="N539" s="19">
        <v>231.43</v>
      </c>
      <c r="O539" s="19">
        <v>291.69</v>
      </c>
      <c r="P539" s="19">
        <v>333.84</v>
      </c>
      <c r="Q539" s="19">
        <v>315.05</v>
      </c>
      <c r="R539" s="19">
        <v>348.54</v>
      </c>
      <c r="S539" s="19">
        <v>327.05</v>
      </c>
      <c r="T539" s="19">
        <v>307.01</v>
      </c>
      <c r="U539" s="19">
        <v>347.83</v>
      </c>
      <c r="V539" s="19">
        <v>331.4</v>
      </c>
      <c r="W539" s="19">
        <v>345.71</v>
      </c>
      <c r="X539" s="19">
        <v>343.38</v>
      </c>
      <c r="Y539" s="19">
        <v>286.89</v>
      </c>
      <c r="Z539" s="36" t="s">
        <v>36</v>
      </c>
      <c r="AA539" s="25">
        <f>MIN($B$539:$Y$539)</f>
        <v>226.01</v>
      </c>
      <c r="AB539" s="25">
        <f>AVERAGE($B$539:$Y$539)</f>
        <v>309.47</v>
      </c>
    </row>
    <row r="540" spans="1:28">
      <c r="A540" s="30">
        <v>45835</v>
      </c>
      <c r="B540" s="19">
        <v>278.38</v>
      </c>
      <c r="C540" s="19">
        <v>273.89</v>
      </c>
      <c r="D540" s="19">
        <v>268.15</v>
      </c>
      <c r="E540" s="19">
        <v>262.02</v>
      </c>
      <c r="F540" s="19">
        <v>255</v>
      </c>
      <c r="G540" s="19">
        <v>253.28</v>
      </c>
      <c r="H540" s="19">
        <v>258.17</v>
      </c>
      <c r="I540" s="19">
        <v>247.85</v>
      </c>
      <c r="J540" s="19">
        <v>278.24</v>
      </c>
      <c r="K540" s="19">
        <v>313.65</v>
      </c>
      <c r="L540" s="19">
        <v>298.19</v>
      </c>
      <c r="M540" s="19">
        <v>288.25</v>
      </c>
      <c r="N540" s="19">
        <v>245.98</v>
      </c>
      <c r="O540" s="19">
        <v>280.31</v>
      </c>
      <c r="P540" s="19">
        <v>298.34</v>
      </c>
      <c r="Q540" s="19">
        <v>308.68</v>
      </c>
      <c r="R540" s="19">
        <v>375.77</v>
      </c>
      <c r="S540" s="19">
        <v>352.13</v>
      </c>
      <c r="T540" s="19">
        <v>331.83</v>
      </c>
      <c r="U540" s="19">
        <v>394.02</v>
      </c>
      <c r="V540" s="19">
        <v>344.64</v>
      </c>
      <c r="W540" s="19">
        <v>344.46</v>
      </c>
      <c r="X540" s="19">
        <v>314.67</v>
      </c>
      <c r="Y540" s="19">
        <v>284.75</v>
      </c>
      <c r="Z540" s="37" t="s">
        <v>37</v>
      </c>
      <c r="AA540" s="25">
        <f>MIN($B$540:$Y$540)</f>
        <v>245.98</v>
      </c>
      <c r="AB540" s="25">
        <f>AVERAGE($B$540:$Y$540)</f>
        <v>297.94375</v>
      </c>
    </row>
    <row r="541" spans="1:28">
      <c r="A541" s="30">
        <v>45836</v>
      </c>
      <c r="B541" s="19">
        <v>313.22</v>
      </c>
      <c r="C541" s="19">
        <v>306.89</v>
      </c>
      <c r="D541" s="19">
        <v>283.65</v>
      </c>
      <c r="E541" s="19">
        <v>269.16</v>
      </c>
      <c r="F541" s="19">
        <v>258.65</v>
      </c>
      <c r="G541" s="19">
        <v>256.87</v>
      </c>
      <c r="H541" s="19">
        <v>257.53</v>
      </c>
      <c r="I541" s="19">
        <v>247.47</v>
      </c>
      <c r="J541" s="19">
        <v>246.25</v>
      </c>
      <c r="K541" s="19">
        <v>325.65</v>
      </c>
      <c r="L541" s="19">
        <v>296.02</v>
      </c>
      <c r="M541" s="19">
        <v>313.62</v>
      </c>
      <c r="N541" s="19">
        <v>263.19</v>
      </c>
      <c r="O541" s="19">
        <v>283.94</v>
      </c>
      <c r="P541" s="19">
        <v>295.24</v>
      </c>
      <c r="Q541" s="19">
        <v>293.42</v>
      </c>
      <c r="R541" s="19">
        <v>344.04</v>
      </c>
      <c r="S541" s="19">
        <v>329.79</v>
      </c>
      <c r="T541" s="19">
        <v>294.43</v>
      </c>
      <c r="U541" s="19">
        <v>312.7</v>
      </c>
      <c r="V541" s="19">
        <v>305.75</v>
      </c>
      <c r="W541" s="19">
        <v>303.52</v>
      </c>
      <c r="X541" s="19">
        <v>291.4</v>
      </c>
      <c r="Y541" s="19">
        <v>271.48</v>
      </c>
      <c r="Z541" s="33" t="s">
        <v>32</v>
      </c>
      <c r="AA541" s="25">
        <f>MIN($B$541:$Y$541)</f>
        <v>246.25</v>
      </c>
      <c r="AB541" s="25">
        <v>284</v>
      </c>
    </row>
    <row r="542" spans="1:28">
      <c r="A542" s="30">
        <v>45837</v>
      </c>
      <c r="B542" s="19">
        <v>280.2</v>
      </c>
      <c r="C542" s="19">
        <v>262.05</v>
      </c>
      <c r="D542" s="19">
        <v>250.84</v>
      </c>
      <c r="E542" s="19">
        <v>233.1</v>
      </c>
      <c r="F542" s="19">
        <v>218.08</v>
      </c>
      <c r="G542" s="19">
        <v>214.19</v>
      </c>
      <c r="H542" s="19">
        <v>219.85</v>
      </c>
      <c r="I542" s="19">
        <v>191.38</v>
      </c>
      <c r="J542" s="19">
        <v>156.18</v>
      </c>
      <c r="K542" s="19">
        <v>185.15</v>
      </c>
      <c r="L542" s="19">
        <v>192.58</v>
      </c>
      <c r="M542" s="19">
        <v>198.97</v>
      </c>
      <c r="N542" s="19">
        <v>152.15</v>
      </c>
      <c r="O542" s="19">
        <v>192.66</v>
      </c>
      <c r="P542" s="19">
        <v>193.41</v>
      </c>
      <c r="Q542" s="19">
        <v>218.82</v>
      </c>
      <c r="R542" s="19">
        <v>239.16</v>
      </c>
      <c r="S542" s="19">
        <v>273.47</v>
      </c>
      <c r="T542" s="19">
        <v>257.25</v>
      </c>
      <c r="U542" s="19">
        <v>274.96</v>
      </c>
      <c r="V542" s="19">
        <v>284.95</v>
      </c>
      <c r="W542" s="19">
        <v>287.51</v>
      </c>
      <c r="X542" s="19">
        <v>276.45</v>
      </c>
      <c r="Y542" s="19">
        <v>258.63</v>
      </c>
      <c r="Z542" s="32" t="s">
        <v>32</v>
      </c>
      <c r="AA542" s="25">
        <f>MIN($B$542:$Y$542)</f>
        <v>152.15</v>
      </c>
      <c r="AB542" s="25">
        <f>AVERAGE($B$542:$Y$542)</f>
        <v>229.66625</v>
      </c>
    </row>
    <row r="543" spans="1:28">
      <c r="A543" s="30">
        <v>45838</v>
      </c>
      <c r="B543" s="19">
        <v>255.06</v>
      </c>
      <c r="C543" s="19">
        <v>248.36</v>
      </c>
      <c r="D543" s="19">
        <v>206.32</v>
      </c>
      <c r="E543" s="19">
        <v>175.76</v>
      </c>
      <c r="F543" s="19">
        <v>158.1</v>
      </c>
      <c r="G543" s="19">
        <v>149.2</v>
      </c>
      <c r="H543" s="19">
        <v>172.48</v>
      </c>
      <c r="I543" s="19">
        <v>151.52</v>
      </c>
      <c r="J543" s="19">
        <v>228.89</v>
      </c>
      <c r="K543" s="19">
        <v>259.93</v>
      </c>
      <c r="L543" s="19">
        <v>264.77</v>
      </c>
      <c r="M543" s="19">
        <v>274.14</v>
      </c>
      <c r="N543" s="19">
        <v>205.74</v>
      </c>
      <c r="O543" s="19">
        <v>265.21</v>
      </c>
      <c r="P543" s="19">
        <v>257.49</v>
      </c>
      <c r="Q543" s="19">
        <v>261.69</v>
      </c>
      <c r="R543" s="19">
        <v>284.35</v>
      </c>
      <c r="S543" s="19">
        <v>289.2</v>
      </c>
      <c r="T543" s="19">
        <v>275.42</v>
      </c>
      <c r="U543" s="19">
        <v>298.62</v>
      </c>
      <c r="V543" s="19">
        <v>265.91</v>
      </c>
      <c r="W543" s="19">
        <v>237.46</v>
      </c>
      <c r="X543" s="19">
        <v>279.46</v>
      </c>
      <c r="Y543" s="19">
        <v>247.66</v>
      </c>
      <c r="Z543" s="33" t="s">
        <v>32</v>
      </c>
      <c r="AA543" s="25">
        <f>MIN($B$543:$Y$543)</f>
        <v>149.2</v>
      </c>
      <c r="AB543" s="25">
        <f>AVERAGE($B$543:$Y$543)</f>
        <v>238.030833333333</v>
      </c>
    </row>
    <row r="544" spans="1:28">
      <c r="A544" s="30">
        <v>45839</v>
      </c>
      <c r="B544" s="19">
        <v>278.09</v>
      </c>
      <c r="C544" s="19">
        <v>270.65</v>
      </c>
      <c r="D544" s="19">
        <v>254.56</v>
      </c>
      <c r="E544" s="19">
        <v>245.94</v>
      </c>
      <c r="F544" s="19">
        <v>234.68</v>
      </c>
      <c r="G544" s="19">
        <v>231.51</v>
      </c>
      <c r="H544" s="19">
        <v>236.38</v>
      </c>
      <c r="I544" s="19">
        <v>233.84</v>
      </c>
      <c r="J544" s="19">
        <v>264.11</v>
      </c>
      <c r="K544" s="19">
        <v>301.05</v>
      </c>
      <c r="L544" s="19">
        <v>297.17</v>
      </c>
      <c r="M544" s="19">
        <v>296.74</v>
      </c>
      <c r="N544" s="19">
        <v>264.95</v>
      </c>
      <c r="O544" s="19">
        <v>293.93</v>
      </c>
      <c r="P544" s="19">
        <v>303.44</v>
      </c>
      <c r="Q544" s="19">
        <v>329.51</v>
      </c>
      <c r="R544" s="19">
        <v>528.28</v>
      </c>
      <c r="S544" s="19">
        <v>508.85</v>
      </c>
      <c r="T544" s="19">
        <v>392.18</v>
      </c>
      <c r="U544" s="19">
        <v>655.61</v>
      </c>
      <c r="V544" s="19">
        <v>502.17</v>
      </c>
      <c r="W544" s="19">
        <v>439.53</v>
      </c>
      <c r="X544" s="19">
        <v>303.65</v>
      </c>
      <c r="Y544" s="19">
        <v>273.35</v>
      </c>
      <c r="Z544" s="32" t="s">
        <v>32</v>
      </c>
      <c r="AA544" s="25">
        <f>MIN($B$544:$Y$544)</f>
        <v>231.51</v>
      </c>
      <c r="AB544" s="25">
        <f>AVERAGE($B$544:$Y$544)</f>
        <v>330.840416666667</v>
      </c>
    </row>
    <row r="545" spans="1:28">
      <c r="A545" s="30">
        <v>45840</v>
      </c>
      <c r="B545" s="19">
        <v>256.82</v>
      </c>
      <c r="C545" s="19">
        <v>247.74</v>
      </c>
      <c r="D545" s="19">
        <v>232.06</v>
      </c>
      <c r="E545" s="19">
        <v>225.34</v>
      </c>
      <c r="F545" s="19">
        <v>216.41</v>
      </c>
      <c r="G545" s="19">
        <v>215.51</v>
      </c>
      <c r="H545" s="19">
        <v>223.91</v>
      </c>
      <c r="I545" s="19">
        <v>212.55</v>
      </c>
      <c r="J545" s="19">
        <v>240.91</v>
      </c>
      <c r="K545" s="19">
        <v>258.81</v>
      </c>
      <c r="L545" s="19">
        <v>257.65</v>
      </c>
      <c r="M545" s="19">
        <v>255.92</v>
      </c>
      <c r="N545" s="19">
        <v>241.05</v>
      </c>
      <c r="O545" s="19">
        <v>256.13</v>
      </c>
      <c r="P545" s="19">
        <v>264.37</v>
      </c>
      <c r="Q545" s="19">
        <v>269.71</v>
      </c>
      <c r="R545" s="19">
        <v>299.94</v>
      </c>
      <c r="S545" s="19">
        <v>324.53</v>
      </c>
      <c r="T545" s="19">
        <v>289.85</v>
      </c>
      <c r="U545" s="19">
        <v>377.02</v>
      </c>
      <c r="V545" s="19">
        <v>326.91</v>
      </c>
      <c r="W545" s="19">
        <v>302.87</v>
      </c>
      <c r="X545" s="19">
        <v>292.24</v>
      </c>
      <c r="Y545" s="19">
        <v>274.29</v>
      </c>
      <c r="Z545" s="33" t="s">
        <v>32</v>
      </c>
      <c r="AA545" s="25">
        <f>MIN($B$545:$Y$545)</f>
        <v>212.55</v>
      </c>
      <c r="AB545" s="25">
        <f>AVERAGE($B$545:$Y$545)</f>
        <v>265.105833333333</v>
      </c>
    </row>
    <row r="546" spans="1:28">
      <c r="A546" s="30">
        <v>45841</v>
      </c>
      <c r="B546" s="19">
        <v>273.91</v>
      </c>
      <c r="C546" s="19">
        <v>263.13</v>
      </c>
      <c r="D546" s="19">
        <v>246.69</v>
      </c>
      <c r="E546" s="19">
        <v>234.76</v>
      </c>
      <c r="F546" s="19">
        <v>227.43</v>
      </c>
      <c r="G546" s="19">
        <v>225.44</v>
      </c>
      <c r="H546" s="19">
        <v>227.7</v>
      </c>
      <c r="I546" s="19">
        <v>218.96</v>
      </c>
      <c r="J546" s="19">
        <v>258.73</v>
      </c>
      <c r="K546" s="19">
        <v>297.97</v>
      </c>
      <c r="L546" s="19">
        <v>293.35</v>
      </c>
      <c r="M546" s="19">
        <v>279.75</v>
      </c>
      <c r="N546" s="19">
        <v>236.13</v>
      </c>
      <c r="O546" s="19">
        <v>272.74</v>
      </c>
      <c r="P546" s="19">
        <v>304.03</v>
      </c>
      <c r="Q546" s="19">
        <v>315.95</v>
      </c>
      <c r="R546" s="19">
        <v>475.88</v>
      </c>
      <c r="S546" s="19">
        <v>516.95</v>
      </c>
      <c r="T546" s="19">
        <v>348.95</v>
      </c>
      <c r="U546" s="19">
        <v>598.04</v>
      </c>
      <c r="V546" s="19">
        <v>568.6</v>
      </c>
      <c r="W546" s="19">
        <v>443.85</v>
      </c>
      <c r="X546" s="19">
        <v>327.95</v>
      </c>
      <c r="Y546" s="19">
        <v>275.95</v>
      </c>
      <c r="Z546" s="34" t="s">
        <v>36</v>
      </c>
      <c r="AA546" s="25">
        <f>MIN($B$546:$Y$546)</f>
        <v>218.96</v>
      </c>
      <c r="AB546" s="25">
        <f>AVERAGE($B$546:$Y$546)</f>
        <v>322.201666666667</v>
      </c>
    </row>
    <row r="547" spans="1:28">
      <c r="A547" s="30">
        <v>45842</v>
      </c>
      <c r="B547" s="19">
        <v>302.55</v>
      </c>
      <c r="C547" s="19">
        <v>283.02</v>
      </c>
      <c r="D547" s="19">
        <v>263.48</v>
      </c>
      <c r="E547" s="19">
        <v>254.52</v>
      </c>
      <c r="F547" s="19">
        <v>246.95</v>
      </c>
      <c r="G547" s="19">
        <v>242.8</v>
      </c>
      <c r="H547" s="19">
        <v>247.68</v>
      </c>
      <c r="I547" s="19">
        <v>226.34</v>
      </c>
      <c r="J547" s="19">
        <v>258.89</v>
      </c>
      <c r="K547" s="19">
        <v>285.22</v>
      </c>
      <c r="L547" s="19">
        <v>283.51</v>
      </c>
      <c r="M547" s="19">
        <v>268.44</v>
      </c>
      <c r="N547" s="19">
        <v>240.51</v>
      </c>
      <c r="O547" s="19">
        <v>266.36</v>
      </c>
      <c r="P547" s="19">
        <v>279.37</v>
      </c>
      <c r="Q547" s="19">
        <v>299.04</v>
      </c>
      <c r="R547" s="19">
        <v>365.42</v>
      </c>
      <c r="S547" s="19">
        <v>439.5</v>
      </c>
      <c r="T547" s="19">
        <v>335.17</v>
      </c>
      <c r="U547" s="19">
        <v>543.92</v>
      </c>
      <c r="V547" s="19">
        <v>500.34</v>
      </c>
      <c r="W547" s="19">
        <v>390</v>
      </c>
      <c r="X547" s="19">
        <v>352.9</v>
      </c>
      <c r="Y547" s="19">
        <v>297.33</v>
      </c>
      <c r="Z547" s="35" t="s">
        <v>37</v>
      </c>
      <c r="AA547" s="25">
        <f>MIN($B$547:$Y$547)</f>
        <v>226.34</v>
      </c>
      <c r="AB547" s="25">
        <f>AVERAGE($B$547:$Y$547)</f>
        <v>311.385833333333</v>
      </c>
    </row>
    <row r="548" spans="1:28">
      <c r="A548" s="30">
        <v>45843</v>
      </c>
      <c r="B548" s="19">
        <v>303.7</v>
      </c>
      <c r="C548" s="19">
        <v>289.3</v>
      </c>
      <c r="D548" s="19">
        <v>273.51</v>
      </c>
      <c r="E548" s="19">
        <v>265.47</v>
      </c>
      <c r="F548" s="19">
        <v>259.86</v>
      </c>
      <c r="G548" s="19">
        <v>255.37</v>
      </c>
      <c r="H548" s="19">
        <v>254.71</v>
      </c>
      <c r="I548" s="19">
        <v>237.48</v>
      </c>
      <c r="J548" s="19">
        <v>245.45</v>
      </c>
      <c r="K548" s="19">
        <v>264.35</v>
      </c>
      <c r="L548" s="19">
        <v>262.26</v>
      </c>
      <c r="M548" s="19">
        <v>255.4</v>
      </c>
      <c r="N548" s="19">
        <v>222.32</v>
      </c>
      <c r="O548" s="19">
        <v>266.36</v>
      </c>
      <c r="P548" s="19">
        <v>274.08</v>
      </c>
      <c r="Q548" s="19">
        <v>283.99</v>
      </c>
      <c r="R548" s="19">
        <v>320.29</v>
      </c>
      <c r="S548" s="19">
        <v>333.24</v>
      </c>
      <c r="T548" s="19">
        <v>310.55</v>
      </c>
      <c r="U548" s="19">
        <v>350.35</v>
      </c>
      <c r="V548" s="19">
        <v>335.55</v>
      </c>
      <c r="W548" s="19">
        <v>343.79</v>
      </c>
      <c r="X548" s="19">
        <v>339.3</v>
      </c>
      <c r="Y548" s="19">
        <v>311.11</v>
      </c>
      <c r="Z548" s="32" t="s">
        <v>32</v>
      </c>
      <c r="AA548" s="25">
        <f>MIN($B$548:$Y$548)</f>
        <v>222.32</v>
      </c>
      <c r="AB548" s="25">
        <f>AVERAGE($B$548:$Y$548)</f>
        <v>285.74125</v>
      </c>
    </row>
    <row r="549" spans="1:28">
      <c r="A549" s="30">
        <v>45844</v>
      </c>
      <c r="B549" s="19">
        <v>345.24</v>
      </c>
      <c r="C549" s="19">
        <v>333.73</v>
      </c>
      <c r="D549" s="19">
        <v>296.9</v>
      </c>
      <c r="E549" s="19">
        <v>285.1</v>
      </c>
      <c r="F549" s="19">
        <v>270.58</v>
      </c>
      <c r="G549" s="19">
        <v>265.59</v>
      </c>
      <c r="H549" s="19">
        <v>262.36</v>
      </c>
      <c r="I549" s="19">
        <v>242.94</v>
      </c>
      <c r="J549" s="19">
        <v>219.48</v>
      </c>
      <c r="K549" s="19">
        <v>228.41</v>
      </c>
      <c r="L549" s="19">
        <v>226</v>
      </c>
      <c r="M549" s="19">
        <v>223.01</v>
      </c>
      <c r="N549" s="19">
        <v>264.38</v>
      </c>
      <c r="O549" s="19">
        <v>246.26</v>
      </c>
      <c r="P549" s="19">
        <v>258.48</v>
      </c>
      <c r="Q549" s="19">
        <v>263.03</v>
      </c>
      <c r="R549" s="19">
        <v>274.88</v>
      </c>
      <c r="S549" s="19">
        <v>295.68</v>
      </c>
      <c r="T549" s="19">
        <v>292.04</v>
      </c>
      <c r="U549" s="19">
        <v>342.21</v>
      </c>
      <c r="V549" s="19">
        <v>403.53</v>
      </c>
      <c r="W549" s="19">
        <v>432.95</v>
      </c>
      <c r="X549" s="19">
        <v>373.92</v>
      </c>
      <c r="Y549" s="19">
        <v>316.58</v>
      </c>
      <c r="Z549" s="33" t="s">
        <v>32</v>
      </c>
      <c r="AA549" s="25">
        <f>MIN($B$549:$Y$549)</f>
        <v>219.48</v>
      </c>
      <c r="AB549" s="25">
        <f>AVERAGE($B$549:$Y$549)</f>
        <v>290.136666666667</v>
      </c>
    </row>
    <row r="550" spans="1:28">
      <c r="A550" s="30">
        <v>45845</v>
      </c>
      <c r="B550" s="19">
        <v>312.03</v>
      </c>
      <c r="C550" s="19">
        <v>282.85</v>
      </c>
      <c r="D550" s="19">
        <v>264.08</v>
      </c>
      <c r="E550" s="19">
        <v>255.19</v>
      </c>
      <c r="F550" s="19">
        <v>248.92</v>
      </c>
      <c r="G550" s="19">
        <v>246.64</v>
      </c>
      <c r="H550" s="19">
        <v>249.55</v>
      </c>
      <c r="I550" s="19">
        <v>231.78</v>
      </c>
      <c r="J550" s="19">
        <v>267.68</v>
      </c>
      <c r="K550" s="19">
        <v>292</v>
      </c>
      <c r="L550" s="19">
        <v>282.34</v>
      </c>
      <c r="M550" s="19">
        <v>286.06</v>
      </c>
      <c r="N550" s="19">
        <v>272.84</v>
      </c>
      <c r="O550" s="19">
        <v>329.04</v>
      </c>
      <c r="P550" s="19">
        <v>357.46</v>
      </c>
      <c r="Q550" s="19">
        <v>347.57</v>
      </c>
      <c r="R550" s="19">
        <v>398.48</v>
      </c>
      <c r="S550" s="19">
        <v>426.47</v>
      </c>
      <c r="T550" s="19">
        <v>343.43</v>
      </c>
      <c r="U550" s="19">
        <v>522.23</v>
      </c>
      <c r="V550" s="19">
        <v>412.14</v>
      </c>
      <c r="W550" s="19">
        <v>357.7</v>
      </c>
      <c r="X550" s="19">
        <v>321.8</v>
      </c>
      <c r="Y550" s="19">
        <v>288.13</v>
      </c>
      <c r="Z550" s="32" t="s">
        <v>32</v>
      </c>
      <c r="AA550" s="25">
        <f>MIN($B$550:$Y$550)</f>
        <v>231.78</v>
      </c>
      <c r="AB550" s="25">
        <f>AVERAGE($B$550:$Y$550)</f>
        <v>316.517083333333</v>
      </c>
    </row>
    <row r="551" spans="1:28">
      <c r="A551" s="30">
        <v>45846</v>
      </c>
      <c r="B551" s="19">
        <v>314.66</v>
      </c>
      <c r="C551" s="19">
        <v>285.62</v>
      </c>
      <c r="D551" s="19">
        <v>262.35</v>
      </c>
      <c r="E551" s="19">
        <v>253.02</v>
      </c>
      <c r="F551" s="19">
        <v>245.97</v>
      </c>
      <c r="G551" s="19">
        <v>238.17</v>
      </c>
      <c r="H551" s="19">
        <v>239.94</v>
      </c>
      <c r="I551" s="19">
        <v>225.07</v>
      </c>
      <c r="J551" s="19">
        <v>244</v>
      </c>
      <c r="K551" s="19">
        <v>271.2</v>
      </c>
      <c r="L551" s="19">
        <v>264.76</v>
      </c>
      <c r="M551" s="19">
        <v>283.88</v>
      </c>
      <c r="N551" s="19">
        <v>278.29</v>
      </c>
      <c r="O551" s="19">
        <v>370.3</v>
      </c>
      <c r="P551" s="19">
        <v>382.4</v>
      </c>
      <c r="Q551" s="19">
        <v>361.45</v>
      </c>
      <c r="R551" s="19">
        <v>408.58</v>
      </c>
      <c r="S551" s="19">
        <v>399.38</v>
      </c>
      <c r="T551" s="19">
        <v>351.84</v>
      </c>
      <c r="U551" s="19">
        <v>415.48</v>
      </c>
      <c r="V551" s="19">
        <v>343.34</v>
      </c>
      <c r="W551" s="19">
        <v>346.01</v>
      </c>
      <c r="X551" s="19">
        <v>324.14</v>
      </c>
      <c r="Y551" s="19">
        <v>288.35</v>
      </c>
      <c r="Z551" s="33" t="s">
        <v>32</v>
      </c>
      <c r="AA551" s="25">
        <f>MIN($B$551:$Y$551)</f>
        <v>225.07</v>
      </c>
      <c r="AB551" s="25">
        <f>AVERAGE($B$551:$Y$551)</f>
        <v>308.258333333333</v>
      </c>
    </row>
    <row r="552" spans="1:28">
      <c r="A552" s="30">
        <v>45847</v>
      </c>
      <c r="B552" s="19">
        <v>400.26</v>
      </c>
      <c r="C552" s="19">
        <v>340.06</v>
      </c>
      <c r="D552" s="19">
        <v>281.44</v>
      </c>
      <c r="E552" s="19">
        <v>269.69</v>
      </c>
      <c r="F552" s="19">
        <v>263.55</v>
      </c>
      <c r="G552" s="19">
        <v>259.15</v>
      </c>
      <c r="H552" s="19">
        <v>257.78</v>
      </c>
      <c r="I552" s="19">
        <v>242.37</v>
      </c>
      <c r="J552" s="19">
        <v>281.08</v>
      </c>
      <c r="K552" s="19">
        <v>356.37</v>
      </c>
      <c r="L552" s="19">
        <v>323.64</v>
      </c>
      <c r="M552" s="19">
        <v>344.72</v>
      </c>
      <c r="N552" s="19">
        <v>294.94</v>
      </c>
      <c r="O552" s="19">
        <v>390.86</v>
      </c>
      <c r="P552" s="19">
        <v>424</v>
      </c>
      <c r="Q552" s="19">
        <v>396.95</v>
      </c>
      <c r="R552" s="19">
        <v>445.24</v>
      </c>
      <c r="S552" s="19">
        <v>439.05</v>
      </c>
      <c r="T552" s="19">
        <v>347.5</v>
      </c>
      <c r="U552" s="19">
        <v>554.65</v>
      </c>
      <c r="V552" s="19">
        <v>448.64</v>
      </c>
      <c r="W552" s="19">
        <v>413.21</v>
      </c>
      <c r="X552" s="19">
        <v>374.36</v>
      </c>
      <c r="Y552" s="19">
        <v>341.6</v>
      </c>
      <c r="Z552" s="32" t="s">
        <v>32</v>
      </c>
      <c r="AA552" s="25">
        <f>MIN($B$552:$Y$552)</f>
        <v>242.37</v>
      </c>
      <c r="AB552" s="25">
        <f>AVERAGE($B$552:$Y$552)</f>
        <v>353.79625</v>
      </c>
    </row>
    <row r="553" spans="1:28">
      <c r="A553" s="30">
        <v>45848</v>
      </c>
      <c r="B553" s="19">
        <v>330.59</v>
      </c>
      <c r="C553" s="19">
        <v>310.87</v>
      </c>
      <c r="D553" s="19">
        <v>277.46</v>
      </c>
      <c r="E553" s="19">
        <v>263.31</v>
      </c>
      <c r="F553" s="19">
        <v>254.09</v>
      </c>
      <c r="G553" s="19">
        <v>249.52</v>
      </c>
      <c r="H553" s="19">
        <v>249.68</v>
      </c>
      <c r="I553" s="19">
        <v>245.07</v>
      </c>
      <c r="J553" s="19">
        <v>284.62</v>
      </c>
      <c r="K553" s="19">
        <v>371.62</v>
      </c>
      <c r="L553" s="19">
        <v>373.97</v>
      </c>
      <c r="M553" s="19">
        <v>363.6</v>
      </c>
      <c r="N553" s="19">
        <v>300.4</v>
      </c>
      <c r="O553" s="19">
        <v>404.02</v>
      </c>
      <c r="P553" s="19">
        <v>473.77</v>
      </c>
      <c r="Q553" s="19">
        <v>397.55</v>
      </c>
      <c r="R553" s="19">
        <v>362.41</v>
      </c>
      <c r="S553" s="19">
        <v>376.24</v>
      </c>
      <c r="T553" s="19">
        <v>306.23</v>
      </c>
      <c r="U553" s="19">
        <v>326.97</v>
      </c>
      <c r="V553" s="19">
        <v>323.54</v>
      </c>
      <c r="W553" s="19">
        <v>306.09</v>
      </c>
      <c r="X553" s="19">
        <v>308.47</v>
      </c>
      <c r="Y553" s="19">
        <v>277.74</v>
      </c>
      <c r="Z553" s="36" t="s">
        <v>36</v>
      </c>
      <c r="AA553" s="25">
        <f>MIN($B$553:$Y$553)</f>
        <v>245.07</v>
      </c>
      <c r="AB553" s="25">
        <f>AVERAGE($B$553:$Y$553)</f>
        <v>322.409583333333</v>
      </c>
    </row>
    <row r="554" spans="1:28">
      <c r="A554" s="30">
        <v>45849</v>
      </c>
      <c r="B554" s="19">
        <v>263.52</v>
      </c>
      <c r="C554" s="19">
        <v>259.65</v>
      </c>
      <c r="D554" s="19">
        <v>245.52</v>
      </c>
      <c r="E554" s="19">
        <v>237.24</v>
      </c>
      <c r="F554" s="19">
        <v>236.27</v>
      </c>
      <c r="G554" s="19">
        <v>234</v>
      </c>
      <c r="H554" s="19">
        <v>237.73</v>
      </c>
      <c r="I554" s="19">
        <v>236.1</v>
      </c>
      <c r="J554" s="19">
        <v>278.52</v>
      </c>
      <c r="K554" s="19">
        <v>327.24</v>
      </c>
      <c r="L554" s="19">
        <v>328.18</v>
      </c>
      <c r="M554" s="19">
        <v>319.37</v>
      </c>
      <c r="N554" s="19">
        <v>258.79</v>
      </c>
      <c r="O554" s="19">
        <v>306.34</v>
      </c>
      <c r="P554" s="19">
        <v>328.45</v>
      </c>
      <c r="Q554" s="19">
        <v>317.99</v>
      </c>
      <c r="R554" s="19">
        <v>327.66</v>
      </c>
      <c r="S554" s="19">
        <v>332.83</v>
      </c>
      <c r="T554" s="19">
        <v>274.52</v>
      </c>
      <c r="U554" s="19">
        <v>344.48</v>
      </c>
      <c r="V554" s="19">
        <v>341.25</v>
      </c>
      <c r="W554" s="19">
        <v>294.9</v>
      </c>
      <c r="X554" s="19">
        <v>238.35</v>
      </c>
      <c r="Y554" s="19">
        <v>259.85</v>
      </c>
      <c r="Z554" s="37" t="s">
        <v>37</v>
      </c>
      <c r="AA554" s="25">
        <f>MIN($B$554:$Y$554)</f>
        <v>234</v>
      </c>
      <c r="AB554" s="25">
        <f>AVERAGE($B$554:$Y$554)</f>
        <v>284.53125</v>
      </c>
    </row>
    <row r="555" spans="1:28">
      <c r="A555" s="30">
        <v>45850</v>
      </c>
      <c r="B555" s="19">
        <v>269.86</v>
      </c>
      <c r="C555" s="19">
        <v>278.28</v>
      </c>
      <c r="D555" s="19">
        <v>263.9</v>
      </c>
      <c r="E555" s="19">
        <v>253.79</v>
      </c>
      <c r="F555" s="19">
        <v>244.2</v>
      </c>
      <c r="G555" s="19">
        <v>238.12</v>
      </c>
      <c r="H555" s="19">
        <v>243.21</v>
      </c>
      <c r="I555" s="19">
        <v>238.97</v>
      </c>
      <c r="J555" s="19">
        <v>259.1</v>
      </c>
      <c r="K555" s="19">
        <v>281.05</v>
      </c>
      <c r="L555" s="19">
        <v>285.39</v>
      </c>
      <c r="M555" s="19">
        <v>285.89</v>
      </c>
      <c r="N555" s="19">
        <v>242.05</v>
      </c>
      <c r="O555" s="19">
        <v>260.84</v>
      </c>
      <c r="P555" s="19">
        <v>274.44</v>
      </c>
      <c r="Q555" s="19">
        <v>273.96</v>
      </c>
      <c r="R555" s="19">
        <v>283.85</v>
      </c>
      <c r="S555" s="19">
        <v>284.82</v>
      </c>
      <c r="T555" s="19">
        <v>279.38</v>
      </c>
      <c r="U555" s="19">
        <v>299.19</v>
      </c>
      <c r="V555" s="19">
        <v>314.06</v>
      </c>
      <c r="W555" s="19">
        <v>306.94</v>
      </c>
      <c r="X555" s="19">
        <v>291.51</v>
      </c>
      <c r="Y555" s="19">
        <v>279.41</v>
      </c>
      <c r="Z555" s="33" t="s">
        <v>32</v>
      </c>
      <c r="AA555" s="25">
        <f>MIN($B$555:$Y$555)</f>
        <v>238.12</v>
      </c>
      <c r="AB555" s="25">
        <f>AVERAGE($B$555:$Y$555)</f>
        <v>272.175416666667</v>
      </c>
    </row>
    <row r="556" spans="1:28">
      <c r="A556" s="30">
        <v>45851</v>
      </c>
      <c r="B556" s="19">
        <v>292.25</v>
      </c>
      <c r="C556" s="19">
        <v>280.25</v>
      </c>
      <c r="D556" s="19">
        <v>266.67</v>
      </c>
      <c r="E556" s="19">
        <v>257.99</v>
      </c>
      <c r="F556" s="19">
        <v>248.31</v>
      </c>
      <c r="G556" s="19">
        <v>244.14</v>
      </c>
      <c r="H556" s="19">
        <v>248.61</v>
      </c>
      <c r="I556" s="19">
        <v>234.46</v>
      </c>
      <c r="J556" s="19">
        <v>228.33</v>
      </c>
      <c r="K556" s="19">
        <v>229.86</v>
      </c>
      <c r="L556" s="19">
        <v>229.17</v>
      </c>
      <c r="M556" s="19">
        <v>235.08</v>
      </c>
      <c r="N556" s="19">
        <v>207.88</v>
      </c>
      <c r="O556" s="19">
        <v>228.32</v>
      </c>
      <c r="P556" s="19">
        <v>243.52</v>
      </c>
      <c r="Q556" s="19">
        <v>244.05</v>
      </c>
      <c r="R556" s="19">
        <v>253.75</v>
      </c>
      <c r="S556" s="19">
        <v>266.15</v>
      </c>
      <c r="T556" s="19">
        <v>272.54</v>
      </c>
      <c r="U556" s="19">
        <v>291.94</v>
      </c>
      <c r="V556" s="19">
        <v>293.46</v>
      </c>
      <c r="W556" s="19">
        <v>318.61</v>
      </c>
      <c r="X556" s="19">
        <v>309.93</v>
      </c>
      <c r="Y556" s="19">
        <v>289.52</v>
      </c>
      <c r="Z556" s="32" t="s">
        <v>32</v>
      </c>
      <c r="AA556" s="25">
        <f>MIN($B$556:$Y$556)</f>
        <v>207.88</v>
      </c>
      <c r="AB556" s="25">
        <f>AVERAGE($B$556:$Y$556)</f>
        <v>258.949583333333</v>
      </c>
    </row>
    <row r="557" spans="1:28">
      <c r="A557" s="30">
        <v>45852</v>
      </c>
      <c r="B557" s="19">
        <v>278.31</v>
      </c>
      <c r="C557" s="19">
        <v>268.57</v>
      </c>
      <c r="D557" s="19">
        <v>256.97</v>
      </c>
      <c r="E557" s="19">
        <v>253.57</v>
      </c>
      <c r="F557" s="19">
        <v>246.85</v>
      </c>
      <c r="G557" s="19">
        <v>245.55</v>
      </c>
      <c r="H557" s="19">
        <v>250.48</v>
      </c>
      <c r="I557" s="19">
        <v>241.32</v>
      </c>
      <c r="J557" s="19">
        <v>272.77</v>
      </c>
      <c r="K557" s="19">
        <v>330.33</v>
      </c>
      <c r="L557" s="19">
        <v>303.06</v>
      </c>
      <c r="M557" s="19">
        <v>294.45</v>
      </c>
      <c r="N557" s="19">
        <v>265.8</v>
      </c>
      <c r="O557" s="19">
        <v>293.82</v>
      </c>
      <c r="P557" s="19">
        <v>310.35</v>
      </c>
      <c r="Q557" s="19">
        <v>320.26</v>
      </c>
      <c r="R557" s="19">
        <v>362.16</v>
      </c>
      <c r="S557" s="19">
        <v>356.94</v>
      </c>
      <c r="T557" s="19">
        <v>318.33</v>
      </c>
      <c r="U557" s="19">
        <v>464.95</v>
      </c>
      <c r="V557" s="19">
        <v>413.03</v>
      </c>
      <c r="W557" s="19">
        <v>348.02</v>
      </c>
      <c r="X557" s="19">
        <v>326.4</v>
      </c>
      <c r="Y557" s="19">
        <v>303.37</v>
      </c>
      <c r="Z557" s="33" t="s">
        <v>32</v>
      </c>
      <c r="AA557" s="25">
        <f>MIN($B$557:$Y$557)</f>
        <v>241.32</v>
      </c>
      <c r="AB557" s="25">
        <f>AVERAGE($B$557:$Y$557)</f>
        <v>305.235833333333</v>
      </c>
    </row>
    <row r="558" spans="1:28">
      <c r="A558" s="30">
        <v>45853</v>
      </c>
      <c r="B558" s="19">
        <v>320.79</v>
      </c>
      <c r="C558" s="19">
        <v>297.91</v>
      </c>
      <c r="D558" s="19">
        <v>272.4</v>
      </c>
      <c r="E558" s="19">
        <v>264.05</v>
      </c>
      <c r="F558" s="19">
        <v>257.52</v>
      </c>
      <c r="G558" s="19">
        <v>251.86</v>
      </c>
      <c r="H558" s="19">
        <v>254.17</v>
      </c>
      <c r="I558" s="19">
        <v>246.65</v>
      </c>
      <c r="J558" s="19">
        <v>281.06</v>
      </c>
      <c r="K558" s="19">
        <v>314.48</v>
      </c>
      <c r="L558" s="19">
        <v>301.12</v>
      </c>
      <c r="M558" s="19">
        <v>296.14</v>
      </c>
      <c r="N558" s="19">
        <v>297.43</v>
      </c>
      <c r="O558" s="19">
        <v>378</v>
      </c>
      <c r="P558" s="19">
        <v>390.45</v>
      </c>
      <c r="Q558" s="19">
        <v>386.69</v>
      </c>
      <c r="R558" s="19">
        <v>451.91</v>
      </c>
      <c r="S558" s="19">
        <v>422.57</v>
      </c>
      <c r="T558" s="19">
        <v>361.15</v>
      </c>
      <c r="U558" s="19">
        <v>506.84</v>
      </c>
      <c r="V558" s="19">
        <v>453.31</v>
      </c>
      <c r="W558" s="19">
        <v>375.41</v>
      </c>
      <c r="X558" s="19">
        <v>387.84</v>
      </c>
      <c r="Y558" s="19">
        <v>331.56</v>
      </c>
      <c r="Z558" s="32" t="s">
        <v>32</v>
      </c>
      <c r="AA558" s="25">
        <f>MIN($B$558:$Y$558)</f>
        <v>246.65</v>
      </c>
      <c r="AB558" s="25">
        <f>AVERAGE($B$558:$Y$558)</f>
        <v>337.554583333333</v>
      </c>
    </row>
    <row r="559" spans="1:28">
      <c r="A559" s="30">
        <v>45854</v>
      </c>
      <c r="B559" s="19">
        <v>318.75</v>
      </c>
      <c r="C559" s="19">
        <v>297.93</v>
      </c>
      <c r="D559" s="19">
        <v>279.15</v>
      </c>
      <c r="E559" s="19">
        <v>272.92</v>
      </c>
      <c r="F559" s="19">
        <v>267.5</v>
      </c>
      <c r="G559" s="19">
        <v>263.18</v>
      </c>
      <c r="H559" s="19">
        <v>263.08</v>
      </c>
      <c r="I559" s="19">
        <v>256.22</v>
      </c>
      <c r="J559" s="19">
        <v>286.79</v>
      </c>
      <c r="K559" s="19">
        <v>335.06</v>
      </c>
      <c r="L559" s="19">
        <v>309.96</v>
      </c>
      <c r="M559" s="19">
        <v>304.36</v>
      </c>
      <c r="N559" s="19">
        <v>272.12</v>
      </c>
      <c r="O559" s="19">
        <v>357.16</v>
      </c>
      <c r="P559" s="19">
        <v>351.02</v>
      </c>
      <c r="Q559" s="19">
        <v>347.74</v>
      </c>
      <c r="R559" s="19">
        <v>381.3</v>
      </c>
      <c r="S559" s="19">
        <v>446</v>
      </c>
      <c r="T559" s="19">
        <v>375.51</v>
      </c>
      <c r="U559" s="19">
        <v>466.2</v>
      </c>
      <c r="V559" s="19">
        <v>405.35</v>
      </c>
      <c r="W559" s="19">
        <v>374.89</v>
      </c>
      <c r="X559" s="19">
        <v>365.63</v>
      </c>
      <c r="Y559" s="19">
        <v>334.07</v>
      </c>
      <c r="Z559" s="33" t="s">
        <v>32</v>
      </c>
      <c r="AA559" s="25">
        <f>MIN($B$559:$Y$559)</f>
        <v>256.22</v>
      </c>
      <c r="AB559" s="25">
        <f>AVERAGE($B$559:$Y$559)</f>
        <v>330.495416666667</v>
      </c>
    </row>
    <row r="560" spans="1:28">
      <c r="A560" s="30">
        <v>45855</v>
      </c>
      <c r="B560" s="19">
        <v>357.05</v>
      </c>
      <c r="C560" s="19">
        <v>344.82</v>
      </c>
      <c r="D560" s="19">
        <v>339.77</v>
      </c>
      <c r="E560" s="19">
        <v>336.07</v>
      </c>
      <c r="F560" s="19">
        <v>316.82</v>
      </c>
      <c r="G560" s="19">
        <v>310.38</v>
      </c>
      <c r="H560" s="19">
        <v>312.04</v>
      </c>
      <c r="I560" s="19">
        <v>302.51</v>
      </c>
      <c r="J560" s="19">
        <v>329.17</v>
      </c>
      <c r="K560" s="19">
        <v>374.49</v>
      </c>
      <c r="L560" s="19">
        <v>381.89</v>
      </c>
      <c r="M560" s="19">
        <v>422</v>
      </c>
      <c r="N560" s="19">
        <v>349.17</v>
      </c>
      <c r="O560" s="19">
        <v>378.2</v>
      </c>
      <c r="P560" s="19">
        <v>404.03</v>
      </c>
      <c r="Q560" s="19">
        <v>376.37</v>
      </c>
      <c r="R560" s="19">
        <v>395.7</v>
      </c>
      <c r="S560" s="19">
        <v>411.64</v>
      </c>
      <c r="T560" s="19">
        <v>366.82</v>
      </c>
      <c r="U560" s="19">
        <v>414.33</v>
      </c>
      <c r="V560" s="19">
        <v>412.19</v>
      </c>
      <c r="W560" s="19">
        <v>535.86</v>
      </c>
      <c r="X560" s="19">
        <v>526.14</v>
      </c>
      <c r="Y560" s="19">
        <v>384.85</v>
      </c>
      <c r="Z560" s="34" t="s">
        <v>36</v>
      </c>
      <c r="AA560" s="25">
        <f>MIN($B$560:$Y$560)</f>
        <v>302.51</v>
      </c>
      <c r="AB560" s="25">
        <f>AVERAGE($B$560:$Y$560)</f>
        <v>378.429583333333</v>
      </c>
    </row>
    <row r="561" spans="1:28">
      <c r="A561" s="30">
        <v>45856</v>
      </c>
      <c r="B561" s="19">
        <v>549.33</v>
      </c>
      <c r="C561" s="19">
        <v>576.51</v>
      </c>
      <c r="D561" s="19">
        <v>530.11</v>
      </c>
      <c r="E561" s="19">
        <v>424.44</v>
      </c>
      <c r="F561" s="19">
        <v>379.6</v>
      </c>
      <c r="G561" s="19">
        <v>366.78</v>
      </c>
      <c r="H561" s="19">
        <v>365.1</v>
      </c>
      <c r="I561" s="19">
        <v>347.69</v>
      </c>
      <c r="J561" s="19">
        <v>383.27</v>
      </c>
      <c r="K561" s="19">
        <v>484.25</v>
      </c>
      <c r="L561" s="19">
        <v>482.18</v>
      </c>
      <c r="M561" s="19">
        <v>492.09</v>
      </c>
      <c r="N561" s="19">
        <v>433.95</v>
      </c>
      <c r="O561" s="19">
        <v>490.54</v>
      </c>
      <c r="P561" s="19">
        <v>515.18</v>
      </c>
      <c r="Q561" s="19">
        <v>504.75</v>
      </c>
      <c r="R561" s="19">
        <v>515.96</v>
      </c>
      <c r="S561" s="19">
        <v>538.01</v>
      </c>
      <c r="T561" s="19">
        <v>498.55</v>
      </c>
      <c r="U561" s="19">
        <v>527.79</v>
      </c>
      <c r="V561" s="19">
        <v>547.19</v>
      </c>
      <c r="W561" s="19">
        <v>588.87</v>
      </c>
      <c r="X561" s="19">
        <v>590.99</v>
      </c>
      <c r="Y561" s="19">
        <v>511.11</v>
      </c>
      <c r="Z561" s="35" t="s">
        <v>37</v>
      </c>
      <c r="AA561" s="25">
        <f>MIN($B$561:$Y$561)</f>
        <v>347.69</v>
      </c>
      <c r="AB561" s="25">
        <f>AVERAGE($B$561:$Y$561)</f>
        <v>485.176666666667</v>
      </c>
    </row>
    <row r="562" spans="1:28">
      <c r="A562" s="30">
        <v>45857</v>
      </c>
      <c r="B562" s="19">
        <v>436.99</v>
      </c>
      <c r="C562" s="19">
        <v>433.9</v>
      </c>
      <c r="D562" s="19">
        <v>385.94</v>
      </c>
      <c r="E562" s="19">
        <v>361.94</v>
      </c>
      <c r="F562" s="19">
        <v>345.69</v>
      </c>
      <c r="G562" s="19">
        <v>340.1</v>
      </c>
      <c r="H562" s="19">
        <v>333.8</v>
      </c>
      <c r="I562" s="19">
        <v>319.59</v>
      </c>
      <c r="J562" s="19">
        <v>335.59</v>
      </c>
      <c r="K562" s="19">
        <v>369.61</v>
      </c>
      <c r="L562" s="19">
        <v>360.56</v>
      </c>
      <c r="M562" s="19">
        <v>369.33</v>
      </c>
      <c r="N562" s="19">
        <v>328.87</v>
      </c>
      <c r="O562" s="19">
        <v>372.25</v>
      </c>
      <c r="P562" s="19">
        <v>393.12</v>
      </c>
      <c r="Q562" s="19">
        <v>376.73</v>
      </c>
      <c r="R562" s="19">
        <v>378.42</v>
      </c>
      <c r="S562" s="19">
        <v>393.68</v>
      </c>
      <c r="T562" s="19">
        <v>334.37</v>
      </c>
      <c r="U562" s="19">
        <v>490.33</v>
      </c>
      <c r="V562" s="19">
        <v>426.81</v>
      </c>
      <c r="W562" s="19">
        <v>421.25</v>
      </c>
      <c r="X562" s="19">
        <v>418.51</v>
      </c>
      <c r="Y562" s="19">
        <v>365.16</v>
      </c>
      <c r="Z562" s="32" t="s">
        <v>32</v>
      </c>
      <c r="AA562" s="25">
        <f>MIN($B$562:$Y$562)</f>
        <v>319.59</v>
      </c>
      <c r="AB562" s="25">
        <f>AVERAGE($B$562:$Y$562)</f>
        <v>378.855833333333</v>
      </c>
    </row>
    <row r="563" spans="1:28">
      <c r="A563" s="30">
        <v>45858</v>
      </c>
      <c r="B563" s="19">
        <v>306.55</v>
      </c>
      <c r="C563" s="19">
        <v>298.94</v>
      </c>
      <c r="D563" s="19">
        <v>290.27</v>
      </c>
      <c r="E563" s="19">
        <v>274.05</v>
      </c>
      <c r="F563" s="19">
        <v>266.46</v>
      </c>
      <c r="G563" s="19">
        <v>260.65</v>
      </c>
      <c r="H563" s="19">
        <v>255.67</v>
      </c>
      <c r="I563" s="19">
        <v>245.98</v>
      </c>
      <c r="J563" s="19">
        <v>227.91</v>
      </c>
      <c r="K563" s="19">
        <v>234.48</v>
      </c>
      <c r="L563" s="19">
        <v>230.98</v>
      </c>
      <c r="M563" s="19">
        <v>232.68</v>
      </c>
      <c r="N563" s="19">
        <v>225.76</v>
      </c>
      <c r="O563" s="19">
        <v>231.89</v>
      </c>
      <c r="P563" s="19">
        <v>237.06</v>
      </c>
      <c r="Q563" s="19">
        <v>232</v>
      </c>
      <c r="R563" s="19">
        <v>236.43</v>
      </c>
      <c r="S563" s="19">
        <v>245.98</v>
      </c>
      <c r="T563" s="19">
        <v>244.79</v>
      </c>
      <c r="U563" s="19">
        <v>251.38</v>
      </c>
      <c r="V563" s="19">
        <v>254.16</v>
      </c>
      <c r="W563" s="19">
        <v>259.08</v>
      </c>
      <c r="X563" s="19">
        <v>261.32</v>
      </c>
      <c r="Y563" s="19">
        <v>248.72</v>
      </c>
      <c r="Z563" s="33" t="s">
        <v>32</v>
      </c>
      <c r="AA563" s="25">
        <f>MIN($B$563:$Y$563)</f>
        <v>225.76</v>
      </c>
      <c r="AB563" s="25">
        <f>AVERAGE($B$563:$Y$563)</f>
        <v>252.21625</v>
      </c>
    </row>
    <row r="564" spans="1:28">
      <c r="A564" s="30">
        <v>45859</v>
      </c>
      <c r="B564" s="19">
        <v>236.42</v>
      </c>
      <c r="C564" s="19">
        <v>226.76</v>
      </c>
      <c r="D564" s="19">
        <v>216.35</v>
      </c>
      <c r="E564" s="19">
        <v>203.63</v>
      </c>
      <c r="F564" s="19">
        <v>186.24</v>
      </c>
      <c r="G564" s="19">
        <v>177.22</v>
      </c>
      <c r="H564" s="19">
        <v>197.54</v>
      </c>
      <c r="I564" s="19">
        <v>204.99</v>
      </c>
      <c r="J564" s="19">
        <v>257.75</v>
      </c>
      <c r="K564" s="19">
        <v>288.22</v>
      </c>
      <c r="L564" s="19">
        <v>243.35</v>
      </c>
      <c r="M564" s="19">
        <v>272.92</v>
      </c>
      <c r="N564" s="19">
        <v>239.99</v>
      </c>
      <c r="O564" s="19">
        <v>117.9</v>
      </c>
      <c r="P564" s="19">
        <v>169.08</v>
      </c>
      <c r="Q564" s="19">
        <v>240.38</v>
      </c>
      <c r="R564" s="19">
        <v>286.9</v>
      </c>
      <c r="S564" s="19">
        <v>285.84</v>
      </c>
      <c r="T564" s="19">
        <v>272.65</v>
      </c>
      <c r="U564" s="19">
        <v>301.52</v>
      </c>
      <c r="V564" s="19">
        <v>305.43</v>
      </c>
      <c r="W564" s="19">
        <v>294.44</v>
      </c>
      <c r="X564" s="19">
        <v>274.37</v>
      </c>
      <c r="Y564" s="19">
        <v>250.08</v>
      </c>
      <c r="Z564" s="32" t="s">
        <v>32</v>
      </c>
      <c r="AA564" s="25">
        <f>MIN($B$564:$Y$564)</f>
        <v>117.9</v>
      </c>
      <c r="AB564" s="25">
        <f>AVERAGE($B$564:$Y$564)</f>
        <v>239.582083333333</v>
      </c>
    </row>
    <row r="565" spans="1:28">
      <c r="A565" s="30">
        <v>45860</v>
      </c>
      <c r="B565" s="19">
        <v>252.9</v>
      </c>
      <c r="C565" s="19">
        <v>250.87</v>
      </c>
      <c r="D565" s="19">
        <v>253.12</v>
      </c>
      <c r="E565" s="19">
        <v>248.33</v>
      </c>
      <c r="F565" s="19">
        <v>241.24</v>
      </c>
      <c r="G565" s="19">
        <v>240.72</v>
      </c>
      <c r="H565" s="19">
        <v>243.38</v>
      </c>
      <c r="I565" s="19">
        <v>244.06</v>
      </c>
      <c r="J565" s="19">
        <v>266.7</v>
      </c>
      <c r="K565" s="19">
        <v>300.6</v>
      </c>
      <c r="L565" s="19">
        <v>285.16</v>
      </c>
      <c r="M565" s="19">
        <v>282.95</v>
      </c>
      <c r="N565" s="19">
        <v>243.39</v>
      </c>
      <c r="O565" s="19">
        <v>269.35</v>
      </c>
      <c r="P565" s="19">
        <v>285.54</v>
      </c>
      <c r="Q565" s="19">
        <v>291.86</v>
      </c>
      <c r="R565" s="19">
        <v>305.36</v>
      </c>
      <c r="S565" s="19">
        <v>298.37</v>
      </c>
      <c r="T565" s="19">
        <v>284.61</v>
      </c>
      <c r="U565" s="19">
        <v>310.5</v>
      </c>
      <c r="V565" s="19">
        <v>308.35</v>
      </c>
      <c r="W565" s="19">
        <v>289.86</v>
      </c>
      <c r="X565" s="19">
        <v>278</v>
      </c>
      <c r="Y565" s="19">
        <v>263.44</v>
      </c>
      <c r="Z565" s="33" t="s">
        <v>32</v>
      </c>
      <c r="AA565" s="25">
        <f>MIN($B$565:$Y$565)</f>
        <v>240.72</v>
      </c>
      <c r="AB565" s="25">
        <f>AVERAGE($B$565:$Y$565)</f>
        <v>272.444166666667</v>
      </c>
    </row>
    <row r="566" spans="1:28">
      <c r="A566" s="30">
        <v>45861</v>
      </c>
      <c r="B566" s="19">
        <v>276.85</v>
      </c>
      <c r="C566" s="19">
        <v>273.78</v>
      </c>
      <c r="D566" s="19">
        <v>269.12</v>
      </c>
      <c r="E566" s="19">
        <v>265.98</v>
      </c>
      <c r="F566" s="19">
        <v>261.63</v>
      </c>
      <c r="G566" s="19">
        <v>261.16</v>
      </c>
      <c r="H566" s="19">
        <v>264.7</v>
      </c>
      <c r="I566" s="19">
        <v>264.21</v>
      </c>
      <c r="J566" s="19">
        <v>282.7</v>
      </c>
      <c r="K566" s="19">
        <v>302.66</v>
      </c>
      <c r="L566" s="19">
        <v>297.85</v>
      </c>
      <c r="M566" s="19">
        <v>304.76</v>
      </c>
      <c r="N566" s="19">
        <v>278.93</v>
      </c>
      <c r="O566" s="19">
        <v>289.59</v>
      </c>
      <c r="P566" s="19">
        <v>300.79</v>
      </c>
      <c r="Q566" s="19">
        <v>302.51</v>
      </c>
      <c r="R566" s="19">
        <v>314.05</v>
      </c>
      <c r="S566" s="19">
        <v>324.04</v>
      </c>
      <c r="T566" s="19">
        <v>299.74</v>
      </c>
      <c r="U566" s="19">
        <v>347.18</v>
      </c>
      <c r="V566" s="19">
        <v>343.64</v>
      </c>
      <c r="W566" s="19">
        <v>338.46</v>
      </c>
      <c r="X566" s="19">
        <v>313.73</v>
      </c>
      <c r="Y566" s="19">
        <v>289.27</v>
      </c>
      <c r="Z566" s="32" t="s">
        <v>32</v>
      </c>
      <c r="AA566" s="25">
        <f>MIN($B$566:$Y$566)</f>
        <v>261.16</v>
      </c>
      <c r="AB566" s="25">
        <f>AVERAGE($B$566:$Y$566)</f>
        <v>294.472083333333</v>
      </c>
    </row>
    <row r="567" spans="1:28">
      <c r="A567" s="30">
        <v>45862</v>
      </c>
      <c r="B567" s="19">
        <v>296.19</v>
      </c>
      <c r="C567" s="19">
        <v>297.94</v>
      </c>
      <c r="D567" s="19">
        <v>288.13</v>
      </c>
      <c r="E567" s="19">
        <v>282.27</v>
      </c>
      <c r="F567" s="19">
        <v>276.87</v>
      </c>
      <c r="G567" s="19">
        <v>275.85</v>
      </c>
      <c r="H567" s="19">
        <v>278.38</v>
      </c>
      <c r="I567" s="19">
        <v>275.08</v>
      </c>
      <c r="J567" s="19">
        <v>264.11</v>
      </c>
      <c r="K567" s="19">
        <v>261.87</v>
      </c>
      <c r="L567" s="19">
        <v>222.01</v>
      </c>
      <c r="M567" s="19">
        <v>292.28</v>
      </c>
      <c r="N567" s="19">
        <v>276.5</v>
      </c>
      <c r="O567" s="19">
        <v>300.77</v>
      </c>
      <c r="P567" s="19">
        <v>264.98</v>
      </c>
      <c r="Q567" s="19">
        <v>317.56</v>
      </c>
      <c r="R567" s="19">
        <v>372.83</v>
      </c>
      <c r="S567" s="19">
        <v>429.41</v>
      </c>
      <c r="T567" s="19">
        <v>364.73</v>
      </c>
      <c r="U567" s="19">
        <v>637.02</v>
      </c>
      <c r="V567" s="19">
        <v>561.01</v>
      </c>
      <c r="W567" s="19">
        <v>447.59</v>
      </c>
      <c r="X567" s="19">
        <v>373.16</v>
      </c>
      <c r="Y567" s="19">
        <v>333.5</v>
      </c>
      <c r="Z567" s="36" t="s">
        <v>36</v>
      </c>
      <c r="AA567" s="25">
        <f>MIN($B$567:$Y$567)</f>
        <v>222.01</v>
      </c>
      <c r="AB567" s="25">
        <f>AVERAGE($B$567:$Y$567)</f>
        <v>332.918333333333</v>
      </c>
    </row>
    <row r="568" spans="1:28">
      <c r="A568" s="30">
        <v>45863</v>
      </c>
      <c r="B568" s="19">
        <v>322.4</v>
      </c>
      <c r="C568" s="19">
        <v>313.94</v>
      </c>
      <c r="D568" s="19">
        <v>306</v>
      </c>
      <c r="E568" s="19">
        <v>293.39</v>
      </c>
      <c r="F568" s="19">
        <v>288.73</v>
      </c>
      <c r="G568" s="19">
        <v>283.2</v>
      </c>
      <c r="H568" s="19">
        <v>283.05</v>
      </c>
      <c r="I568" s="19">
        <v>276.19</v>
      </c>
      <c r="J568" s="19">
        <v>285.63</v>
      </c>
      <c r="K568" s="19">
        <v>306.66</v>
      </c>
      <c r="L568" s="19">
        <v>296.73</v>
      </c>
      <c r="M568" s="19">
        <v>293.51</v>
      </c>
      <c r="N568" s="19">
        <v>280.21</v>
      </c>
      <c r="O568" s="19">
        <v>315.33</v>
      </c>
      <c r="P568" s="19">
        <v>261.81</v>
      </c>
      <c r="Q568" s="19">
        <v>279.33</v>
      </c>
      <c r="R568" s="19">
        <v>439.84</v>
      </c>
      <c r="S568" s="19">
        <v>435.59</v>
      </c>
      <c r="T568" s="19">
        <v>335.53</v>
      </c>
      <c r="U568" s="19">
        <v>474.46</v>
      </c>
      <c r="V568" s="19">
        <v>381.95</v>
      </c>
      <c r="W568" s="19">
        <v>378.36</v>
      </c>
      <c r="X568" s="19">
        <v>368.45</v>
      </c>
      <c r="Y568" s="19">
        <v>343.94</v>
      </c>
      <c r="Z568" s="37" t="s">
        <v>37</v>
      </c>
      <c r="AA568" s="25">
        <f>MIN($B$568:$Y$568)</f>
        <v>261.81</v>
      </c>
      <c r="AB568" s="25">
        <f>AVERAGE($B$568:$Y$568)</f>
        <v>326.842916666667</v>
      </c>
    </row>
    <row r="569" spans="1:28">
      <c r="A569" s="30">
        <v>45864</v>
      </c>
      <c r="B569" s="19">
        <v>349.35</v>
      </c>
      <c r="C569" s="19">
        <v>344.31</v>
      </c>
      <c r="D569" s="19">
        <v>333.55</v>
      </c>
      <c r="E569" s="19">
        <v>321.12</v>
      </c>
      <c r="F569" s="19">
        <v>309.32</v>
      </c>
      <c r="G569" s="19">
        <v>303.1</v>
      </c>
      <c r="H569" s="19">
        <v>303.17</v>
      </c>
      <c r="I569" s="19">
        <v>288.13</v>
      </c>
      <c r="J569" s="19">
        <v>274.94</v>
      </c>
      <c r="K569" s="19">
        <v>276.68</v>
      </c>
      <c r="L569" s="19">
        <v>271.36</v>
      </c>
      <c r="M569" s="19">
        <v>267.17</v>
      </c>
      <c r="N569" s="19">
        <v>255.63</v>
      </c>
      <c r="O569" s="19">
        <v>296.94</v>
      </c>
      <c r="P569" s="19">
        <v>325.41</v>
      </c>
      <c r="Q569" s="19">
        <v>318.89</v>
      </c>
      <c r="R569" s="19">
        <v>356.17</v>
      </c>
      <c r="S569" s="19">
        <v>352.51</v>
      </c>
      <c r="T569" s="19">
        <v>343.44</v>
      </c>
      <c r="U569" s="19">
        <v>443.54</v>
      </c>
      <c r="V569" s="19">
        <v>382.88</v>
      </c>
      <c r="W569" s="19">
        <v>374.14</v>
      </c>
      <c r="X569" s="19">
        <v>378.79</v>
      </c>
      <c r="Y569" s="19">
        <v>359.37</v>
      </c>
      <c r="Z569" s="33" t="s">
        <v>32</v>
      </c>
      <c r="AA569" s="25">
        <f>MIN($B$569:$Y$569)</f>
        <v>255.63</v>
      </c>
      <c r="AB569" s="25">
        <f>AVERAGE($B$569:$Y$569)</f>
        <v>326.24625</v>
      </c>
    </row>
    <row r="570" spans="1:28">
      <c r="A570" s="30">
        <v>45865</v>
      </c>
      <c r="B570" s="19">
        <v>347.5</v>
      </c>
      <c r="C570" s="19">
        <v>334.25</v>
      </c>
      <c r="D570" s="19">
        <v>316.74</v>
      </c>
      <c r="E570" s="19">
        <v>311.53</v>
      </c>
      <c r="F570" s="19">
        <v>299.85</v>
      </c>
      <c r="G570" s="19">
        <v>284.74</v>
      </c>
      <c r="H570" s="19">
        <v>285.41</v>
      </c>
      <c r="I570" s="19">
        <v>262.19</v>
      </c>
      <c r="J570" s="19">
        <v>240.4</v>
      </c>
      <c r="K570" s="19">
        <v>239.67</v>
      </c>
      <c r="L570" s="19">
        <v>228.06</v>
      </c>
      <c r="M570" s="19">
        <v>224.95</v>
      </c>
      <c r="N570" s="19">
        <v>212.27</v>
      </c>
      <c r="O570" s="19">
        <v>255.1</v>
      </c>
      <c r="P570" s="19">
        <v>268.5</v>
      </c>
      <c r="Q570" s="19">
        <v>281.43</v>
      </c>
      <c r="R570" s="19">
        <v>296.62</v>
      </c>
      <c r="S570" s="19">
        <v>325.67</v>
      </c>
      <c r="T570" s="19">
        <v>332.11</v>
      </c>
      <c r="U570" s="19">
        <v>375.84</v>
      </c>
      <c r="V570" s="19">
        <v>381.31</v>
      </c>
      <c r="W570" s="19">
        <v>406.95</v>
      </c>
      <c r="X570" s="19">
        <v>402.51</v>
      </c>
      <c r="Y570" s="19">
        <v>366.97</v>
      </c>
      <c r="Z570" s="32" t="s">
        <v>32</v>
      </c>
      <c r="AA570" s="25">
        <f>MIN($B$570:$Y$570)</f>
        <v>212.27</v>
      </c>
      <c r="AB570" s="25">
        <f>AVERAGE($B$570:$Y$570)</f>
        <v>303.357083333333</v>
      </c>
    </row>
    <row r="571" spans="1:28">
      <c r="A571" s="30">
        <v>45866</v>
      </c>
      <c r="B571" s="19">
        <v>350.81</v>
      </c>
      <c r="C571" s="19">
        <v>323.08</v>
      </c>
      <c r="D571" s="19">
        <v>307.69</v>
      </c>
      <c r="E571" s="19">
        <v>295.3</v>
      </c>
      <c r="F571" s="19">
        <v>280.89</v>
      </c>
      <c r="G571" s="19">
        <v>278.28</v>
      </c>
      <c r="H571" s="19">
        <v>278.2</v>
      </c>
      <c r="I571" s="19">
        <v>267.79</v>
      </c>
      <c r="J571" s="19">
        <v>287.99</v>
      </c>
      <c r="K571" s="19">
        <v>332.56</v>
      </c>
      <c r="L571" s="19">
        <v>325.11</v>
      </c>
      <c r="M571" s="19">
        <v>329.34</v>
      </c>
      <c r="N571" s="19">
        <v>304.68</v>
      </c>
      <c r="O571" s="19">
        <v>422.42</v>
      </c>
      <c r="P571" s="19">
        <v>441.79</v>
      </c>
      <c r="Q571" s="19">
        <v>365.02</v>
      </c>
      <c r="R571" s="19">
        <v>364.27</v>
      </c>
      <c r="S571" s="19">
        <v>360.94</v>
      </c>
      <c r="T571" s="19">
        <v>341.48</v>
      </c>
      <c r="U571" s="19">
        <v>403.98</v>
      </c>
      <c r="V571" s="19">
        <v>377.35</v>
      </c>
      <c r="W571" s="19">
        <v>389.67</v>
      </c>
      <c r="X571" s="19">
        <v>375.06</v>
      </c>
      <c r="Y571" s="19">
        <v>340.02</v>
      </c>
      <c r="Z571" s="33" t="s">
        <v>32</v>
      </c>
      <c r="AA571" s="25">
        <f>MIN($B$571:$Y$571)</f>
        <v>267.79</v>
      </c>
      <c r="AB571" s="25">
        <f>AVERAGE($B$571:$Y$571)</f>
        <v>339.321666666667</v>
      </c>
    </row>
    <row r="572" spans="1:28">
      <c r="A572" s="30">
        <v>45867</v>
      </c>
      <c r="B572" s="19">
        <v>375.74</v>
      </c>
      <c r="C572" s="19">
        <v>340.18</v>
      </c>
      <c r="D572" s="19">
        <v>315.36</v>
      </c>
      <c r="E572" s="19">
        <v>311.03</v>
      </c>
      <c r="F572" s="19">
        <v>298.22</v>
      </c>
      <c r="G572" s="19">
        <v>292.07</v>
      </c>
      <c r="H572" s="19">
        <v>294.32</v>
      </c>
      <c r="I572" s="19">
        <v>284.97</v>
      </c>
      <c r="J572" s="19">
        <v>302.72</v>
      </c>
      <c r="K572" s="19">
        <v>350.07</v>
      </c>
      <c r="L572" s="19">
        <v>355.18</v>
      </c>
      <c r="M572" s="19">
        <v>391.18</v>
      </c>
      <c r="N572" s="19">
        <v>304.27</v>
      </c>
      <c r="O572" s="19">
        <v>369.61</v>
      </c>
      <c r="P572" s="19">
        <v>411.99</v>
      </c>
      <c r="Q572" s="19">
        <v>382.38</v>
      </c>
      <c r="R572" s="19">
        <v>367.9</v>
      </c>
      <c r="S572" s="19">
        <v>353.09</v>
      </c>
      <c r="T572" s="19">
        <v>314.76</v>
      </c>
      <c r="U572" s="19">
        <v>358.78</v>
      </c>
      <c r="V572" s="19">
        <v>342.97</v>
      </c>
      <c r="W572" s="19">
        <v>356.1</v>
      </c>
      <c r="X572" s="19">
        <v>354.41</v>
      </c>
      <c r="Y572" s="19">
        <v>322.29</v>
      </c>
      <c r="Z572" s="32" t="s">
        <v>32</v>
      </c>
      <c r="AA572" s="25">
        <f>MIN($B$572:$Y$572)</f>
        <v>284.97</v>
      </c>
      <c r="AB572" s="25">
        <f>AVERAGE($B$572:$Y$572)</f>
        <v>339.56625</v>
      </c>
    </row>
    <row r="573" spans="1:28">
      <c r="A573" s="30">
        <v>45868</v>
      </c>
      <c r="B573" s="19">
        <v>318.99</v>
      </c>
      <c r="C573" s="19">
        <v>303.6</v>
      </c>
      <c r="D573" s="19">
        <v>290.27</v>
      </c>
      <c r="E573" s="19">
        <v>279.44</v>
      </c>
      <c r="F573" s="19">
        <v>272.74</v>
      </c>
      <c r="G573" s="19">
        <v>269.17</v>
      </c>
      <c r="H573" s="19">
        <v>271.89</v>
      </c>
      <c r="I573" s="19">
        <v>257.97</v>
      </c>
      <c r="J573" s="19">
        <v>273.4</v>
      </c>
      <c r="K573" s="19">
        <v>299.66</v>
      </c>
      <c r="L573" s="19">
        <v>287.52</v>
      </c>
      <c r="M573" s="19">
        <v>289.01</v>
      </c>
      <c r="N573" s="19">
        <v>266.83</v>
      </c>
      <c r="O573" s="19">
        <v>313.07</v>
      </c>
      <c r="P573" s="19">
        <v>338.01</v>
      </c>
      <c r="Q573" s="19">
        <v>316.57</v>
      </c>
      <c r="R573" s="19">
        <v>331.59</v>
      </c>
      <c r="S573" s="19">
        <v>346.21</v>
      </c>
      <c r="T573" s="19">
        <v>328.17</v>
      </c>
      <c r="U573" s="19">
        <v>382.85</v>
      </c>
      <c r="V573" s="19">
        <v>342.42</v>
      </c>
      <c r="W573" s="19">
        <v>333.71</v>
      </c>
      <c r="X573" s="19">
        <v>321.31</v>
      </c>
      <c r="Y573" s="19">
        <v>302.55</v>
      </c>
      <c r="Z573" s="33" t="s">
        <v>32</v>
      </c>
      <c r="AA573" s="25">
        <f>MIN($B$573:$Y$573)</f>
        <v>257.97</v>
      </c>
      <c r="AB573" s="25">
        <f>AVERAGE($B$573:$Y$573)</f>
        <v>305.70625</v>
      </c>
    </row>
    <row r="574" spans="1:28">
      <c r="A574" s="30">
        <v>45869</v>
      </c>
      <c r="B574" s="19">
        <v>322.2</v>
      </c>
      <c r="C574" s="19">
        <v>303.03</v>
      </c>
      <c r="D574" s="19">
        <v>295.57</v>
      </c>
      <c r="E574" s="19">
        <v>282.38</v>
      </c>
      <c r="F574" s="19">
        <v>271.34</v>
      </c>
      <c r="G574" s="19">
        <v>265.41</v>
      </c>
      <c r="H574" s="19">
        <v>265.25</v>
      </c>
      <c r="I574" s="19">
        <v>260.31</v>
      </c>
      <c r="J574" s="19">
        <v>273.79</v>
      </c>
      <c r="K574" s="19">
        <v>300.9</v>
      </c>
      <c r="L574" s="19">
        <v>298.04</v>
      </c>
      <c r="M574" s="19">
        <v>306.45</v>
      </c>
      <c r="N574" s="19">
        <v>277.35</v>
      </c>
      <c r="O574" s="19">
        <v>306.67</v>
      </c>
      <c r="P574" s="19">
        <v>317.26</v>
      </c>
      <c r="Q574" s="19">
        <v>313.92</v>
      </c>
      <c r="R574" s="19">
        <v>323.43</v>
      </c>
      <c r="S574" s="19">
        <v>289.41</v>
      </c>
      <c r="T574" s="19">
        <v>299.49</v>
      </c>
      <c r="U574" s="19">
        <v>321.59</v>
      </c>
      <c r="V574" s="19">
        <v>318.76</v>
      </c>
      <c r="W574" s="19">
        <v>333.54</v>
      </c>
      <c r="X574" s="19">
        <v>330.48</v>
      </c>
      <c r="Y574" s="19">
        <v>307.89</v>
      </c>
      <c r="Z574" s="34" t="s">
        <v>36</v>
      </c>
      <c r="AA574" s="25">
        <f>MIN($B$574:$Y$574)</f>
        <v>260.31</v>
      </c>
      <c r="AB574" s="25">
        <f>AVERAGE($B$574:$Y$574)</f>
        <v>299.3525</v>
      </c>
    </row>
    <row r="575" spans="1:28">
      <c r="A575" s="30">
        <v>45870</v>
      </c>
      <c r="B575" s="19">
        <v>328.36</v>
      </c>
      <c r="C575" s="19">
        <v>308.78</v>
      </c>
      <c r="D575" s="19">
        <v>299.13</v>
      </c>
      <c r="E575" s="19">
        <v>292.78</v>
      </c>
      <c r="F575" s="19">
        <v>282.29</v>
      </c>
      <c r="G575" s="19">
        <v>277.91</v>
      </c>
      <c r="H575" s="19">
        <v>279.02</v>
      </c>
      <c r="I575" s="19">
        <v>263.08</v>
      </c>
      <c r="J575" s="19">
        <v>283.33</v>
      </c>
      <c r="K575" s="19">
        <v>310.3</v>
      </c>
      <c r="L575" s="19">
        <v>303.21</v>
      </c>
      <c r="M575" s="19">
        <v>303.15</v>
      </c>
      <c r="N575" s="19">
        <v>289.4</v>
      </c>
      <c r="O575" s="19">
        <v>337.43</v>
      </c>
      <c r="P575" s="19">
        <v>353</v>
      </c>
      <c r="Q575" s="19">
        <v>343.24</v>
      </c>
      <c r="R575" s="19">
        <v>361.4</v>
      </c>
      <c r="S575" s="19">
        <v>370.54</v>
      </c>
      <c r="T575" s="19">
        <v>330.4</v>
      </c>
      <c r="U575" s="19">
        <v>498.19</v>
      </c>
      <c r="V575" s="19">
        <v>360.67</v>
      </c>
      <c r="W575" s="19">
        <v>336.33</v>
      </c>
      <c r="X575" s="19">
        <v>342.24</v>
      </c>
      <c r="Y575" s="19">
        <v>317.17</v>
      </c>
      <c r="Z575" s="35" t="s">
        <v>37</v>
      </c>
      <c r="AA575" s="25">
        <f>MIN($B$575:$Y$575)</f>
        <v>263.08</v>
      </c>
      <c r="AB575" s="25">
        <f>AVERAGE($B$575:$Y$575)</f>
        <v>323.80625</v>
      </c>
    </row>
    <row r="576" spans="1:28">
      <c r="A576" s="30">
        <v>45871</v>
      </c>
      <c r="B576" s="19">
        <v>315.9</v>
      </c>
      <c r="C576" s="19">
        <v>309.78</v>
      </c>
      <c r="D576" s="19">
        <v>301.53</v>
      </c>
      <c r="E576" s="19">
        <v>292.23</v>
      </c>
      <c r="F576" s="19">
        <v>283.44</v>
      </c>
      <c r="G576" s="19">
        <v>279.19</v>
      </c>
      <c r="H576" s="19">
        <v>277.96</v>
      </c>
      <c r="I576" s="19">
        <v>259.5</v>
      </c>
      <c r="J576" s="19">
        <v>265.3</v>
      </c>
      <c r="K576" s="19">
        <v>274.7</v>
      </c>
      <c r="L576" s="19">
        <v>279.29</v>
      </c>
      <c r="M576" s="19">
        <v>282.76</v>
      </c>
      <c r="N576" s="19">
        <v>269.46</v>
      </c>
      <c r="O576" s="19">
        <v>293.94</v>
      </c>
      <c r="P576" s="19">
        <v>298.41</v>
      </c>
      <c r="Q576" s="19">
        <v>293.42</v>
      </c>
      <c r="R576" s="19">
        <v>296.12</v>
      </c>
      <c r="S576" s="19">
        <v>301.49</v>
      </c>
      <c r="T576" s="19">
        <v>300.16</v>
      </c>
      <c r="U576" s="19">
        <v>322.95</v>
      </c>
      <c r="V576" s="19">
        <v>323.97</v>
      </c>
      <c r="W576" s="19">
        <v>320.99</v>
      </c>
      <c r="X576" s="19">
        <v>315.57</v>
      </c>
      <c r="Y576" s="19">
        <v>299.39</v>
      </c>
      <c r="Z576" s="32" t="s">
        <v>32</v>
      </c>
      <c r="AA576" s="25">
        <f>MIN($B$576:$Y$576)</f>
        <v>259.5</v>
      </c>
      <c r="AB576" s="25">
        <f>AVERAGE($B$576:$Y$576)</f>
        <v>294.060416666667</v>
      </c>
    </row>
    <row r="577" spans="1:28">
      <c r="A577" s="30">
        <v>45872</v>
      </c>
      <c r="B577" s="19">
        <v>321.46</v>
      </c>
      <c r="C577" s="19">
        <v>291.93</v>
      </c>
      <c r="D577" s="19">
        <v>284.61</v>
      </c>
      <c r="E577" s="19">
        <v>279.43</v>
      </c>
      <c r="F577" s="19">
        <v>269.22</v>
      </c>
      <c r="G577" s="19">
        <v>265.16</v>
      </c>
      <c r="H577" s="19">
        <v>264.67</v>
      </c>
      <c r="I577" s="19">
        <v>251.26</v>
      </c>
      <c r="J577" s="19">
        <v>232.61</v>
      </c>
      <c r="K577" s="19">
        <v>237.6</v>
      </c>
      <c r="L577" s="19">
        <v>236.34</v>
      </c>
      <c r="M577" s="19">
        <v>239.95</v>
      </c>
      <c r="N577" s="19">
        <v>242.7</v>
      </c>
      <c r="O577" s="19">
        <v>250.53</v>
      </c>
      <c r="P577" s="19">
        <v>249.84</v>
      </c>
      <c r="Q577" s="19">
        <v>247.4</v>
      </c>
      <c r="R577" s="19">
        <v>252.27</v>
      </c>
      <c r="S577" s="19">
        <v>275.77</v>
      </c>
      <c r="T577" s="19">
        <v>269.22</v>
      </c>
      <c r="U577" s="19">
        <v>299.14</v>
      </c>
      <c r="V577" s="19">
        <v>301.1</v>
      </c>
      <c r="W577" s="19">
        <v>315.83</v>
      </c>
      <c r="X577" s="19">
        <v>310.73</v>
      </c>
      <c r="Y577" s="19">
        <v>284.31</v>
      </c>
      <c r="Z577" s="33" t="s">
        <v>32</v>
      </c>
      <c r="AA577" s="25">
        <f>MIN($B$577:$Y$577)</f>
        <v>232.61</v>
      </c>
      <c r="AB577" s="25">
        <f>AVERAGE($B$577:$Y$577)</f>
        <v>269.711666666667</v>
      </c>
    </row>
    <row r="578" spans="1:28">
      <c r="A578" s="30">
        <v>45873</v>
      </c>
      <c r="B578" s="19">
        <v>271.69</v>
      </c>
      <c r="C578" s="19">
        <v>264.14</v>
      </c>
      <c r="D578" s="19">
        <v>256.61</v>
      </c>
      <c r="E578" s="19">
        <v>251.39</v>
      </c>
      <c r="F578" s="19">
        <v>243.64</v>
      </c>
      <c r="G578" s="19">
        <v>235.88</v>
      </c>
      <c r="H578" s="19">
        <v>240.72</v>
      </c>
      <c r="I578" s="19">
        <v>239.62</v>
      </c>
      <c r="J578" s="19">
        <v>267.18</v>
      </c>
      <c r="K578" s="19">
        <v>308.69</v>
      </c>
      <c r="L578" s="19">
        <v>308.8</v>
      </c>
      <c r="M578" s="19">
        <v>301.67</v>
      </c>
      <c r="N578" s="19">
        <v>271.99</v>
      </c>
      <c r="O578" s="19">
        <v>298.66</v>
      </c>
      <c r="P578" s="19">
        <v>308.55</v>
      </c>
      <c r="Q578" s="19">
        <v>298.76</v>
      </c>
      <c r="R578" s="19">
        <v>319.67</v>
      </c>
      <c r="S578" s="19">
        <v>312.73</v>
      </c>
      <c r="T578" s="19">
        <v>289.48</v>
      </c>
      <c r="U578" s="19">
        <v>303.75</v>
      </c>
      <c r="V578" s="19">
        <v>295.1</v>
      </c>
      <c r="W578" s="19">
        <v>297.66</v>
      </c>
      <c r="X578" s="19">
        <v>283.83</v>
      </c>
      <c r="Y578" s="19">
        <v>267.67</v>
      </c>
      <c r="Z578" s="32" t="s">
        <v>32</v>
      </c>
      <c r="AA578" s="25">
        <f>MIN($B$578:$Y$578)</f>
        <v>235.88</v>
      </c>
      <c r="AB578" s="25">
        <f>AVERAGE($B$578:$Y$578)</f>
        <v>280.745</v>
      </c>
    </row>
    <row r="579" spans="1:28">
      <c r="A579" s="30">
        <v>45874</v>
      </c>
      <c r="B579" s="19">
        <v>276.34</v>
      </c>
      <c r="C579" s="19">
        <v>265.18</v>
      </c>
      <c r="D579" s="19">
        <v>258.8</v>
      </c>
      <c r="E579" s="19">
        <v>255.76</v>
      </c>
      <c r="F579" s="19">
        <v>247.45</v>
      </c>
      <c r="G579" s="19">
        <v>244.91</v>
      </c>
      <c r="H579" s="19">
        <v>250.8</v>
      </c>
      <c r="I579" s="19">
        <v>252.61</v>
      </c>
      <c r="J579" s="19">
        <v>277.65</v>
      </c>
      <c r="K579" s="19">
        <v>312.38</v>
      </c>
      <c r="L579" s="19">
        <v>248.13</v>
      </c>
      <c r="M579" s="19">
        <v>291.54</v>
      </c>
      <c r="N579" s="19">
        <v>262.59</v>
      </c>
      <c r="O579" s="19">
        <v>279.89</v>
      </c>
      <c r="P579" s="19">
        <v>289.56</v>
      </c>
      <c r="Q579" s="19">
        <v>288.62</v>
      </c>
      <c r="R579" s="19">
        <v>302.31</v>
      </c>
      <c r="S579" s="19">
        <v>302.54</v>
      </c>
      <c r="T579" s="19">
        <v>290.73</v>
      </c>
      <c r="U579" s="19">
        <v>332.5</v>
      </c>
      <c r="V579" s="19">
        <v>301.14</v>
      </c>
      <c r="W579" s="19">
        <v>294.88</v>
      </c>
      <c r="X579" s="19">
        <v>281.26</v>
      </c>
      <c r="Y579" s="19">
        <v>267.51</v>
      </c>
      <c r="Z579" s="33" t="s">
        <v>32</v>
      </c>
      <c r="AA579" s="25">
        <f>MIN($B$579:$Y$579)</f>
        <v>244.91</v>
      </c>
      <c r="AB579" s="25">
        <f>AVERAGE($B$579:$Y$579)</f>
        <v>278.128333333333</v>
      </c>
    </row>
    <row r="580" spans="1:28">
      <c r="A580" s="30">
        <v>45875</v>
      </c>
      <c r="B580" s="19">
        <v>263.79</v>
      </c>
      <c r="C580" s="19">
        <v>258.29</v>
      </c>
      <c r="D580" s="19">
        <v>246.12</v>
      </c>
      <c r="E580" s="19">
        <v>239.19</v>
      </c>
      <c r="F580" s="19">
        <v>235.96</v>
      </c>
      <c r="G580" s="19">
        <v>236.13</v>
      </c>
      <c r="H580" s="19">
        <v>239.18</v>
      </c>
      <c r="I580" s="19">
        <v>240.25</v>
      </c>
      <c r="J580" s="19">
        <v>257.17</v>
      </c>
      <c r="K580" s="19">
        <v>283.05</v>
      </c>
      <c r="L580" s="19">
        <v>273.38</v>
      </c>
      <c r="M580" s="19">
        <v>276.69</v>
      </c>
      <c r="N580" s="19">
        <v>256.32</v>
      </c>
      <c r="O580" s="19">
        <v>278.15</v>
      </c>
      <c r="P580" s="19">
        <v>287.21</v>
      </c>
      <c r="Q580" s="19">
        <v>288.73</v>
      </c>
      <c r="R580" s="19">
        <v>289.5</v>
      </c>
      <c r="S580" s="19">
        <v>291.71</v>
      </c>
      <c r="T580" s="19">
        <v>284.84</v>
      </c>
      <c r="U580" s="19">
        <v>297.58</v>
      </c>
      <c r="V580" s="19">
        <v>294.63</v>
      </c>
      <c r="W580" s="19">
        <v>290.67</v>
      </c>
      <c r="X580" s="19">
        <v>281.51</v>
      </c>
      <c r="Y580" s="19">
        <v>265.06</v>
      </c>
      <c r="Z580" s="32" t="s">
        <v>32</v>
      </c>
      <c r="AA580" s="25">
        <f>MIN($B$580:$Y$580)</f>
        <v>235.96</v>
      </c>
      <c r="AB580" s="25">
        <f>AVERAGE($B$580:$Y$580)</f>
        <v>268.962916666667</v>
      </c>
    </row>
    <row r="581" spans="1:28">
      <c r="A581" s="30">
        <v>45876</v>
      </c>
      <c r="B581" s="19">
        <v>254.12</v>
      </c>
      <c r="C581" s="19">
        <v>252.96</v>
      </c>
      <c r="D581" s="19">
        <v>249.79</v>
      </c>
      <c r="E581" s="19">
        <v>244.36</v>
      </c>
      <c r="F581" s="19">
        <v>238.2</v>
      </c>
      <c r="G581" s="19">
        <v>233.03</v>
      </c>
      <c r="H581" s="19">
        <v>238.13</v>
      </c>
      <c r="I581" s="19">
        <v>231.26</v>
      </c>
      <c r="J581" s="19">
        <v>258.22</v>
      </c>
      <c r="K581" s="19">
        <v>287.62</v>
      </c>
      <c r="L581" s="19">
        <v>274.31</v>
      </c>
      <c r="M581" s="19">
        <v>269.06</v>
      </c>
      <c r="N581" s="19">
        <v>245.86</v>
      </c>
      <c r="O581" s="19">
        <v>258.95</v>
      </c>
      <c r="P581" s="19">
        <v>278.58</v>
      </c>
      <c r="Q581" s="19">
        <v>278.31</v>
      </c>
      <c r="R581" s="19">
        <v>288.47</v>
      </c>
      <c r="S581" s="19">
        <v>260.72</v>
      </c>
      <c r="T581" s="19">
        <v>286.07</v>
      </c>
      <c r="U581" s="19">
        <v>303.41</v>
      </c>
      <c r="V581" s="19">
        <v>291.95</v>
      </c>
      <c r="W581" s="19">
        <v>280.47</v>
      </c>
      <c r="X581" s="19">
        <v>273.67</v>
      </c>
      <c r="Y581" s="19">
        <v>261.44</v>
      </c>
      <c r="Z581" s="36" t="s">
        <v>36</v>
      </c>
      <c r="AA581" s="25">
        <f>MIN($B$581:$Y$581)</f>
        <v>231.26</v>
      </c>
      <c r="AB581" s="25">
        <f>AVERAGE($B$581:$Y$581)</f>
        <v>264.123333333333</v>
      </c>
    </row>
    <row r="582" spans="1:28">
      <c r="A582" s="30">
        <v>45877</v>
      </c>
      <c r="B582" s="19">
        <v>267.92</v>
      </c>
      <c r="C582" s="19">
        <v>260.93</v>
      </c>
      <c r="D582" s="19">
        <v>254.74</v>
      </c>
      <c r="E582" s="19">
        <v>252.09</v>
      </c>
      <c r="F582" s="19">
        <v>247.96</v>
      </c>
      <c r="G582" s="19">
        <v>246.14</v>
      </c>
      <c r="H582" s="19">
        <v>250.17</v>
      </c>
      <c r="I582" s="19">
        <v>245.98</v>
      </c>
      <c r="J582" s="19">
        <v>258.25</v>
      </c>
      <c r="K582" s="19">
        <v>289.58</v>
      </c>
      <c r="L582" s="19">
        <v>267.99</v>
      </c>
      <c r="M582" s="19">
        <v>254.39</v>
      </c>
      <c r="N582" s="19">
        <v>225.56</v>
      </c>
      <c r="O582" s="19">
        <v>251.42</v>
      </c>
      <c r="P582" s="19">
        <v>265.85</v>
      </c>
      <c r="Q582" s="19">
        <v>271.42</v>
      </c>
      <c r="R582" s="19">
        <v>292.77</v>
      </c>
      <c r="S582" s="19">
        <v>274.55</v>
      </c>
      <c r="T582" s="19">
        <v>295.83</v>
      </c>
      <c r="U582" s="19">
        <v>310.36</v>
      </c>
      <c r="V582" s="19">
        <v>294.63</v>
      </c>
      <c r="W582" s="19">
        <v>292.12</v>
      </c>
      <c r="X582" s="19">
        <v>287.54</v>
      </c>
      <c r="Y582" s="19">
        <v>266.5</v>
      </c>
      <c r="Z582" s="37" t="s">
        <v>37</v>
      </c>
      <c r="AA582" s="25">
        <f>MIN($B$582:$Y$582)</f>
        <v>225.56</v>
      </c>
      <c r="AB582" s="25">
        <f>AVERAGE($B$582:$Y$582)</f>
        <v>267.695416666667</v>
      </c>
    </row>
    <row r="583" spans="1:28">
      <c r="A583" s="30">
        <v>45878</v>
      </c>
      <c r="B583" s="19">
        <v>265.15</v>
      </c>
      <c r="C583" s="19">
        <v>265.11</v>
      </c>
      <c r="D583" s="19">
        <v>259.78</v>
      </c>
      <c r="E583" s="19">
        <v>259.76</v>
      </c>
      <c r="F583" s="19">
        <v>255.35</v>
      </c>
      <c r="G583" s="19">
        <v>250.26</v>
      </c>
      <c r="H583" s="19">
        <v>252.16</v>
      </c>
      <c r="I583" s="19">
        <v>236.6</v>
      </c>
      <c r="J583" s="19">
        <v>231.22</v>
      </c>
      <c r="K583" s="19">
        <v>241.58</v>
      </c>
      <c r="L583" s="19">
        <v>228</v>
      </c>
      <c r="M583" s="19">
        <v>215.72</v>
      </c>
      <c r="N583" s="19">
        <v>188.4</v>
      </c>
      <c r="O583" s="19">
        <v>220.32</v>
      </c>
      <c r="P583" s="19">
        <v>236.54</v>
      </c>
      <c r="Q583" s="19">
        <v>242.39</v>
      </c>
      <c r="R583" s="19">
        <v>276.74</v>
      </c>
      <c r="S583" s="19">
        <v>295.32</v>
      </c>
      <c r="T583" s="19">
        <v>286.99</v>
      </c>
      <c r="U583" s="19">
        <v>285.74</v>
      </c>
      <c r="V583" s="19">
        <v>280.03</v>
      </c>
      <c r="W583" s="19">
        <v>288.51</v>
      </c>
      <c r="X583" s="19">
        <v>297.65</v>
      </c>
      <c r="Y583" s="19">
        <v>282.34</v>
      </c>
      <c r="Z583" s="33" t="s">
        <v>32</v>
      </c>
      <c r="AA583" s="25">
        <f>MIN($B$583:$Y$583)</f>
        <v>188.4</v>
      </c>
      <c r="AB583" s="25">
        <f>AVERAGE($B$583:$Y$583)</f>
        <v>255.9025</v>
      </c>
    </row>
    <row r="584" spans="1:28">
      <c r="A584" s="30">
        <v>45879</v>
      </c>
      <c r="B584" s="19">
        <v>283.31</v>
      </c>
      <c r="C584" s="19">
        <v>325.82</v>
      </c>
      <c r="D584" s="19">
        <v>310.42</v>
      </c>
      <c r="E584" s="19">
        <v>302.93</v>
      </c>
      <c r="F584" s="19">
        <v>287.86</v>
      </c>
      <c r="G584" s="19">
        <v>275.68</v>
      </c>
      <c r="H584" s="19">
        <v>275.38</v>
      </c>
      <c r="I584" s="19">
        <v>253.46</v>
      </c>
      <c r="J584" s="19">
        <v>233.69</v>
      </c>
      <c r="K584" s="19">
        <v>229.48</v>
      </c>
      <c r="L584" s="19">
        <v>150.91</v>
      </c>
      <c r="M584" s="19">
        <v>202.87</v>
      </c>
      <c r="N584" s="19">
        <v>139.78</v>
      </c>
      <c r="O584" s="19">
        <v>212.2</v>
      </c>
      <c r="P584" s="19">
        <v>168.89</v>
      </c>
      <c r="Q584" s="19">
        <v>149.72</v>
      </c>
      <c r="R584" s="19">
        <v>253.02</v>
      </c>
      <c r="S584" s="19">
        <v>290.36</v>
      </c>
      <c r="T584" s="19">
        <v>298.56</v>
      </c>
      <c r="U584" s="19">
        <v>309.71</v>
      </c>
      <c r="V584" s="19">
        <v>319.53</v>
      </c>
      <c r="W584" s="19">
        <v>343.16</v>
      </c>
      <c r="X584" s="19">
        <v>348.61</v>
      </c>
      <c r="Y584" s="19">
        <v>318.16</v>
      </c>
      <c r="Z584" s="32" t="s">
        <v>32</v>
      </c>
      <c r="AA584" s="25">
        <f>MIN($B$584:$Y$584)</f>
        <v>139.78</v>
      </c>
      <c r="AB584" s="25">
        <f>AVERAGE($B$584:$Y$584)</f>
        <v>261.812916666667</v>
      </c>
    </row>
    <row r="585" spans="1:28">
      <c r="A585" s="30">
        <v>45880</v>
      </c>
      <c r="B585" s="19">
        <v>312.66</v>
      </c>
      <c r="C585" s="19">
        <v>305.71</v>
      </c>
      <c r="D585" s="19">
        <v>300.57</v>
      </c>
      <c r="E585" s="19">
        <v>291.73</v>
      </c>
      <c r="F585" s="19">
        <v>283.35</v>
      </c>
      <c r="G585" s="19">
        <v>278.07</v>
      </c>
      <c r="H585" s="19">
        <v>279.26</v>
      </c>
      <c r="I585" s="19">
        <v>266.47</v>
      </c>
      <c r="J585" s="19">
        <v>258.53</v>
      </c>
      <c r="K585" s="19">
        <v>302.44</v>
      </c>
      <c r="L585" s="19">
        <v>294.55</v>
      </c>
      <c r="M585" s="19">
        <v>302.21</v>
      </c>
      <c r="N585" s="19">
        <v>272.01</v>
      </c>
      <c r="O585" s="19">
        <v>301.9</v>
      </c>
      <c r="P585" s="19">
        <v>339.62</v>
      </c>
      <c r="Q585" s="19">
        <v>328.81</v>
      </c>
      <c r="R585" s="19">
        <v>336.01</v>
      </c>
      <c r="S585" s="19">
        <v>380.75</v>
      </c>
      <c r="T585" s="19">
        <v>352.05</v>
      </c>
      <c r="U585" s="19">
        <v>571.54</v>
      </c>
      <c r="V585" s="19">
        <v>380.48</v>
      </c>
      <c r="W585" s="19">
        <v>349.49</v>
      </c>
      <c r="X585" s="19">
        <v>340.63</v>
      </c>
      <c r="Y585" s="19">
        <v>312.46</v>
      </c>
      <c r="Z585" s="33" t="s">
        <v>32</v>
      </c>
      <c r="AA585" s="25">
        <f>MIN($B$585:$Y$585)</f>
        <v>258.53</v>
      </c>
      <c r="AB585" s="25">
        <f>AVERAGE($B$585:$Y$585)</f>
        <v>322.554166666667</v>
      </c>
    </row>
    <row r="586" spans="1:28">
      <c r="A586" s="30">
        <v>45881</v>
      </c>
      <c r="B586" s="19">
        <v>321.61</v>
      </c>
      <c r="C586" s="19">
        <v>316.65</v>
      </c>
      <c r="D586" s="19">
        <v>309.88</v>
      </c>
      <c r="E586" s="19">
        <v>303.05</v>
      </c>
      <c r="F586" s="19">
        <v>294.25</v>
      </c>
      <c r="G586" s="19">
        <v>287.5</v>
      </c>
      <c r="H586" s="19">
        <v>289.52</v>
      </c>
      <c r="I586" s="19">
        <v>266.27</v>
      </c>
      <c r="J586" s="19">
        <v>275.42</v>
      </c>
      <c r="K586" s="19">
        <v>297.19</v>
      </c>
      <c r="L586" s="19">
        <v>291.54</v>
      </c>
      <c r="M586" s="19">
        <v>299.57</v>
      </c>
      <c r="N586" s="19">
        <v>270.42</v>
      </c>
      <c r="O586" s="19">
        <v>305.49</v>
      </c>
      <c r="P586" s="19">
        <v>333.22</v>
      </c>
      <c r="Q586" s="19">
        <v>321.72</v>
      </c>
      <c r="R586" s="19">
        <v>342.5</v>
      </c>
      <c r="S586" s="19">
        <v>354.83</v>
      </c>
      <c r="T586" s="19">
        <v>342.67</v>
      </c>
      <c r="U586" s="19">
        <v>421.61</v>
      </c>
      <c r="V586" s="19">
        <v>380.27</v>
      </c>
      <c r="W586" s="19">
        <v>367.67</v>
      </c>
      <c r="X586" s="19">
        <v>339.36</v>
      </c>
      <c r="Y586" s="19">
        <v>314.1</v>
      </c>
      <c r="Z586" s="32" t="s">
        <v>32</v>
      </c>
      <c r="AA586" s="25">
        <f>MIN($B$586:$Y$586)</f>
        <v>266.27</v>
      </c>
      <c r="AB586" s="25">
        <f>AVERAGE($B$586:$Y$586)</f>
        <v>318.59625</v>
      </c>
    </row>
    <row r="587" spans="1:28">
      <c r="A587" s="30">
        <v>45882</v>
      </c>
      <c r="B587" s="19">
        <v>299.42</v>
      </c>
      <c r="C587" s="19">
        <v>281.52</v>
      </c>
      <c r="D587" s="19">
        <v>270.71</v>
      </c>
      <c r="E587" s="19">
        <v>263.21</v>
      </c>
      <c r="F587" s="19">
        <v>256.26</v>
      </c>
      <c r="G587" s="19">
        <v>253.31</v>
      </c>
      <c r="H587" s="19">
        <v>251.97</v>
      </c>
      <c r="I587" s="19">
        <v>241.37</v>
      </c>
      <c r="J587" s="19">
        <v>246.55</v>
      </c>
      <c r="K587" s="19">
        <v>265.07</v>
      </c>
      <c r="L587" s="19">
        <v>258.9</v>
      </c>
      <c r="M587" s="19">
        <v>265.76</v>
      </c>
      <c r="N587" s="19">
        <v>255.6</v>
      </c>
      <c r="O587" s="19">
        <v>267.45</v>
      </c>
      <c r="P587" s="19">
        <v>274.35</v>
      </c>
      <c r="Q587" s="19">
        <v>271.74</v>
      </c>
      <c r="R587" s="19">
        <v>292.92</v>
      </c>
      <c r="S587" s="19">
        <v>290.93</v>
      </c>
      <c r="T587" s="19">
        <v>285.98</v>
      </c>
      <c r="U587" s="19">
        <v>279.16</v>
      </c>
      <c r="V587" s="19">
        <v>304.34</v>
      </c>
      <c r="W587" s="19">
        <v>315.77</v>
      </c>
      <c r="X587" s="19">
        <v>302.28</v>
      </c>
      <c r="Y587" s="19">
        <v>291.94</v>
      </c>
      <c r="Z587" s="33" t="s">
        <v>32</v>
      </c>
      <c r="AA587" s="25">
        <f>MIN($B$587:$Y$587)</f>
        <v>241.37</v>
      </c>
      <c r="AB587" s="25">
        <f>AVERAGE($B$587:$Y$587)</f>
        <v>274.437916666667</v>
      </c>
    </row>
    <row r="588" spans="1:28">
      <c r="A588" s="30">
        <v>45883</v>
      </c>
      <c r="B588" s="19">
        <v>330.02</v>
      </c>
      <c r="C588" s="19">
        <v>302.83</v>
      </c>
      <c r="D588" s="19">
        <v>289.18</v>
      </c>
      <c r="E588" s="19">
        <v>278.09</v>
      </c>
      <c r="F588" s="19">
        <v>266.03</v>
      </c>
      <c r="G588" s="19">
        <v>260.76</v>
      </c>
      <c r="H588" s="19">
        <v>260.98</v>
      </c>
      <c r="I588" s="19">
        <v>254.18</v>
      </c>
      <c r="J588" s="19">
        <v>264.41</v>
      </c>
      <c r="K588" s="19">
        <v>287.85</v>
      </c>
      <c r="L588" s="19">
        <v>274.84</v>
      </c>
      <c r="M588" s="19">
        <v>282.88</v>
      </c>
      <c r="N588" s="19">
        <v>237.92</v>
      </c>
      <c r="O588" s="19">
        <v>262.1</v>
      </c>
      <c r="P588" s="19">
        <v>202.32</v>
      </c>
      <c r="Q588" s="19">
        <v>282.81</v>
      </c>
      <c r="R588" s="19">
        <v>294.33</v>
      </c>
      <c r="S588" s="19">
        <v>293.37</v>
      </c>
      <c r="T588" s="19">
        <v>284.13</v>
      </c>
      <c r="U588" s="19">
        <v>315.68</v>
      </c>
      <c r="V588" s="19">
        <v>300.32</v>
      </c>
      <c r="W588" s="19">
        <v>289.59</v>
      </c>
      <c r="X588" s="19">
        <v>281.27</v>
      </c>
      <c r="Y588" s="19">
        <v>262.76</v>
      </c>
      <c r="Z588" s="34" t="s">
        <v>36</v>
      </c>
      <c r="AA588" s="25">
        <f>MIN($B$588:$Y$588)</f>
        <v>202.32</v>
      </c>
      <c r="AB588" s="25">
        <f>AVERAGE($B$588:$Y$588)</f>
        <v>277.44375</v>
      </c>
    </row>
    <row r="589" spans="1:28">
      <c r="A589" s="30">
        <v>45884</v>
      </c>
      <c r="B589" s="19">
        <v>272.5</v>
      </c>
      <c r="C589" s="19">
        <v>265.22</v>
      </c>
      <c r="D589" s="19">
        <v>253.76</v>
      </c>
      <c r="E589" s="19">
        <v>247.17</v>
      </c>
      <c r="F589" s="19">
        <v>236.86</v>
      </c>
      <c r="G589" s="19">
        <v>231.63</v>
      </c>
      <c r="H589" s="19">
        <v>233.65</v>
      </c>
      <c r="I589" s="19">
        <v>228.42</v>
      </c>
      <c r="J589" s="19">
        <v>252.05</v>
      </c>
      <c r="K589" s="19">
        <v>279.74</v>
      </c>
      <c r="L589" s="19">
        <v>265.17</v>
      </c>
      <c r="M589" s="19">
        <v>273.54</v>
      </c>
      <c r="N589" s="19">
        <v>225.94</v>
      </c>
      <c r="O589" s="19">
        <v>255.84</v>
      </c>
      <c r="P589" s="19">
        <v>271.55</v>
      </c>
      <c r="Q589" s="19">
        <v>269.56</v>
      </c>
      <c r="R589" s="19">
        <v>297.12</v>
      </c>
      <c r="S589" s="19">
        <v>289.75</v>
      </c>
      <c r="T589" s="19">
        <v>277.63</v>
      </c>
      <c r="U589" s="19">
        <v>287.32</v>
      </c>
      <c r="V589" s="19">
        <v>281.83</v>
      </c>
      <c r="W589" s="19">
        <v>276.66</v>
      </c>
      <c r="X589" s="19">
        <v>268.7</v>
      </c>
      <c r="Y589" s="19">
        <v>254.26</v>
      </c>
      <c r="Z589" s="35" t="s">
        <v>37</v>
      </c>
      <c r="AA589" s="25">
        <f>MIN($B$589:$Y$589)</f>
        <v>225.94</v>
      </c>
      <c r="AB589" s="25">
        <f>AVERAGE($B$589:$Y$589)</f>
        <v>262.327916666667</v>
      </c>
    </row>
    <row r="590" spans="1:28">
      <c r="A590" s="30">
        <v>45885</v>
      </c>
      <c r="B590" s="19">
        <v>261.12</v>
      </c>
      <c r="C590" s="19">
        <v>257.14</v>
      </c>
      <c r="D590" s="19">
        <v>239.66</v>
      </c>
      <c r="E590" s="19">
        <v>231.99</v>
      </c>
      <c r="F590" s="19">
        <v>225.17</v>
      </c>
      <c r="G590" s="19">
        <v>219.03</v>
      </c>
      <c r="H590" s="19">
        <v>220.24</v>
      </c>
      <c r="I590" s="19">
        <v>176.01</v>
      </c>
      <c r="J590" s="19">
        <v>209.35</v>
      </c>
      <c r="K590" s="19">
        <v>233.72</v>
      </c>
      <c r="L590" s="19">
        <v>204.42</v>
      </c>
      <c r="M590" s="19">
        <v>202.75</v>
      </c>
      <c r="N590" s="19">
        <v>168.43</v>
      </c>
      <c r="O590" s="19">
        <v>196.31</v>
      </c>
      <c r="P590" s="19">
        <v>223.01</v>
      </c>
      <c r="Q590" s="19">
        <v>251.49</v>
      </c>
      <c r="R590" s="19">
        <v>271.02</v>
      </c>
      <c r="S590" s="19">
        <v>299.15</v>
      </c>
      <c r="T590" s="19">
        <v>283.71</v>
      </c>
      <c r="U590" s="19">
        <v>300.03</v>
      </c>
      <c r="V590" s="19">
        <v>300.16</v>
      </c>
      <c r="W590" s="19">
        <v>288.41</v>
      </c>
      <c r="X590" s="19">
        <v>271.57</v>
      </c>
      <c r="Y590" s="19">
        <v>262.38</v>
      </c>
      <c r="Z590" s="32" t="s">
        <v>32</v>
      </c>
      <c r="AA590" s="25">
        <f>MIN($B$590:$Y$590)</f>
        <v>168.43</v>
      </c>
      <c r="AB590" s="25">
        <f>AVERAGE($B$590:$Y$590)</f>
        <v>241.51125</v>
      </c>
    </row>
    <row r="591" spans="1:28">
      <c r="A591" s="30">
        <v>45886</v>
      </c>
      <c r="B591" s="19">
        <v>280.89</v>
      </c>
      <c r="C591" s="19">
        <v>278.63</v>
      </c>
      <c r="D591" s="19">
        <v>264.2</v>
      </c>
      <c r="E591" s="19">
        <v>257.61</v>
      </c>
      <c r="F591" s="19">
        <v>245.56</v>
      </c>
      <c r="G591" s="19">
        <v>228.71</v>
      </c>
      <c r="H591" s="19">
        <v>227.4</v>
      </c>
      <c r="I591" s="19">
        <v>163.89</v>
      </c>
      <c r="J591" s="19">
        <v>145.06</v>
      </c>
      <c r="K591" s="19">
        <v>115.42</v>
      </c>
      <c r="L591" s="19">
        <v>98.7</v>
      </c>
      <c r="M591" s="19">
        <v>96.99</v>
      </c>
      <c r="N591" s="19">
        <v>95.73</v>
      </c>
      <c r="O591" s="19">
        <v>108.48</v>
      </c>
      <c r="P591" s="19">
        <v>123.21</v>
      </c>
      <c r="Q591" s="19">
        <v>162.56</v>
      </c>
      <c r="R591" s="19">
        <v>189.82</v>
      </c>
      <c r="S591" s="19">
        <v>245.06</v>
      </c>
      <c r="T591" s="19">
        <v>252.44</v>
      </c>
      <c r="U591" s="19">
        <v>270.58</v>
      </c>
      <c r="V591" s="19">
        <v>275.99</v>
      </c>
      <c r="W591" s="19">
        <v>284.31</v>
      </c>
      <c r="X591" s="19">
        <v>273.54</v>
      </c>
      <c r="Y591" s="19">
        <v>263.25</v>
      </c>
      <c r="Z591" s="33" t="s">
        <v>32</v>
      </c>
      <c r="AA591" s="25">
        <f>MIN($B$591:$Y$591)</f>
        <v>95.73</v>
      </c>
      <c r="AB591" s="25">
        <f>AVERAGE($B$591:$Y$591)</f>
        <v>206.167916666667</v>
      </c>
    </row>
    <row r="592" spans="1:28">
      <c r="A592" s="30">
        <v>45887</v>
      </c>
      <c r="B592" s="19">
        <v>244.41</v>
      </c>
      <c r="C592" s="19">
        <v>240.21</v>
      </c>
      <c r="D592" s="19">
        <v>233.01</v>
      </c>
      <c r="E592" s="19">
        <v>224.17</v>
      </c>
      <c r="F592" s="19">
        <v>211.82</v>
      </c>
      <c r="G592" s="19">
        <v>207.78</v>
      </c>
      <c r="H592" s="19">
        <v>216.47</v>
      </c>
      <c r="I592" s="19">
        <v>206.46</v>
      </c>
      <c r="J592" s="19">
        <v>246.3</v>
      </c>
      <c r="K592" s="19">
        <v>273.98</v>
      </c>
      <c r="L592" s="19">
        <v>274.05</v>
      </c>
      <c r="M592" s="19">
        <v>224.35</v>
      </c>
      <c r="N592" s="19">
        <v>252.48</v>
      </c>
      <c r="O592" s="19">
        <v>272.19</v>
      </c>
      <c r="P592" s="19">
        <v>167.24</v>
      </c>
      <c r="Q592" s="19">
        <v>244.73</v>
      </c>
      <c r="R592" s="19">
        <v>316.65</v>
      </c>
      <c r="S592" s="19">
        <v>299.9</v>
      </c>
      <c r="T592" s="19">
        <v>286.31</v>
      </c>
      <c r="U592" s="19">
        <v>289.97</v>
      </c>
      <c r="V592" s="19">
        <v>280.16</v>
      </c>
      <c r="W592" s="19">
        <v>269.69</v>
      </c>
      <c r="X592" s="19">
        <v>260.08</v>
      </c>
      <c r="Y592" s="19">
        <v>247.12</v>
      </c>
      <c r="Z592" s="32" t="s">
        <v>32</v>
      </c>
      <c r="AA592" s="25">
        <f>MIN($B$592:$Y$592)</f>
        <v>167.24</v>
      </c>
      <c r="AB592" s="25">
        <f>AVERAGE($B$592:$Y$592)</f>
        <v>249.56375</v>
      </c>
    </row>
    <row r="593" spans="1:34">
      <c r="A593" s="30">
        <v>45888</v>
      </c>
      <c r="B593" s="19">
        <v>237.19</v>
      </c>
      <c r="C593" s="19">
        <v>234.79</v>
      </c>
      <c r="D593" s="19">
        <v>224.87</v>
      </c>
      <c r="E593" s="19">
        <v>218.44</v>
      </c>
      <c r="F593" s="19">
        <v>207.91</v>
      </c>
      <c r="G593" s="19">
        <v>203.14</v>
      </c>
      <c r="H593" s="19">
        <v>213.26</v>
      </c>
      <c r="I593" s="19">
        <v>211.32</v>
      </c>
      <c r="J593" s="19">
        <v>241.54</v>
      </c>
      <c r="K593" s="19">
        <v>271.91</v>
      </c>
      <c r="L593" s="19">
        <v>262.86</v>
      </c>
      <c r="M593" s="19">
        <v>264.55</v>
      </c>
      <c r="N593" s="19">
        <v>240.21</v>
      </c>
      <c r="O593" s="19">
        <v>254.02</v>
      </c>
      <c r="P593" s="19">
        <v>266.91</v>
      </c>
      <c r="Q593" s="19">
        <v>266.99</v>
      </c>
      <c r="R593" s="19">
        <v>276.42</v>
      </c>
      <c r="S593" s="19">
        <v>277.91</v>
      </c>
      <c r="T593" s="19">
        <v>266.63</v>
      </c>
      <c r="U593" s="19">
        <v>289.87</v>
      </c>
      <c r="V593" s="19">
        <v>279.11</v>
      </c>
      <c r="W593" s="19">
        <v>266.97</v>
      </c>
      <c r="X593" s="19">
        <v>254.21</v>
      </c>
      <c r="Y593" s="19">
        <v>239.41</v>
      </c>
      <c r="Z593" s="33" t="s">
        <v>32</v>
      </c>
      <c r="AA593" s="25">
        <f>MIN($B$593:$Y$593)</f>
        <v>203.14</v>
      </c>
      <c r="AB593" s="25">
        <f>AVERAGE($B$593:$Y$593)</f>
        <v>248.768333333333</v>
      </c>
    </row>
    <row r="594" spans="1:34">
      <c r="A594" s="30">
        <v>45889</v>
      </c>
      <c r="B594" s="19">
        <v>248.9</v>
      </c>
      <c r="C594" s="19">
        <v>245.46</v>
      </c>
      <c r="D594" s="19">
        <v>234.89</v>
      </c>
      <c r="E594" s="19">
        <v>227.53</v>
      </c>
      <c r="F594" s="19">
        <v>217.42</v>
      </c>
      <c r="G594" s="19">
        <v>208.2</v>
      </c>
      <c r="H594" s="19">
        <v>221.34</v>
      </c>
      <c r="I594" s="19">
        <v>219.14</v>
      </c>
      <c r="J594" s="19">
        <v>251.36</v>
      </c>
      <c r="K594" s="19">
        <v>280.38</v>
      </c>
      <c r="L594" s="19">
        <v>266.77</v>
      </c>
      <c r="M594" s="19">
        <v>281.51</v>
      </c>
      <c r="N594" s="19">
        <v>256.74</v>
      </c>
      <c r="O594" s="19">
        <v>268.99</v>
      </c>
      <c r="P594" s="19">
        <v>290.27</v>
      </c>
      <c r="Q594" s="19">
        <v>281.12</v>
      </c>
      <c r="R594" s="19">
        <v>319.67</v>
      </c>
      <c r="S594" s="19">
        <v>320.98</v>
      </c>
      <c r="T594" s="19">
        <v>281.64</v>
      </c>
      <c r="U594" s="19">
        <v>290.72</v>
      </c>
      <c r="V594" s="19">
        <v>282.87</v>
      </c>
      <c r="W594" s="19">
        <v>279.68</v>
      </c>
      <c r="X594" s="19">
        <v>257.18</v>
      </c>
      <c r="Y594" s="19">
        <v>246.4</v>
      </c>
      <c r="Z594" s="32" t="s">
        <v>32</v>
      </c>
      <c r="AA594" s="25">
        <f>MIN($B$594:$Y$594)</f>
        <v>208.2</v>
      </c>
      <c r="AB594" s="25">
        <f>AVERAGE($B$594:$Y$594)</f>
        <v>261.631666666667</v>
      </c>
    </row>
    <row r="595" spans="1:34">
      <c r="A595" s="30">
        <v>45890</v>
      </c>
      <c r="B595" s="19">
        <v>258.09</v>
      </c>
      <c r="C595" s="19">
        <v>253.78</v>
      </c>
      <c r="D595" s="19">
        <v>245.13</v>
      </c>
      <c r="E595" s="19">
        <v>234.62</v>
      </c>
      <c r="F595" s="19">
        <v>227.19</v>
      </c>
      <c r="G595" s="19">
        <v>227.79</v>
      </c>
      <c r="H595" s="19">
        <v>236.27</v>
      </c>
      <c r="I595" s="19">
        <v>230.33</v>
      </c>
      <c r="J595" s="19">
        <v>257.33</v>
      </c>
      <c r="K595" s="19">
        <v>268.85</v>
      </c>
      <c r="L595" s="19">
        <v>264.33</v>
      </c>
      <c r="M595" s="19">
        <v>264.44</v>
      </c>
      <c r="N595" s="19">
        <v>248.62</v>
      </c>
      <c r="O595" s="19">
        <v>264.27</v>
      </c>
      <c r="P595" s="19">
        <v>268.92</v>
      </c>
      <c r="Q595" s="19">
        <v>269.32</v>
      </c>
      <c r="R595" s="19">
        <v>289.16</v>
      </c>
      <c r="S595" s="19">
        <v>293.21</v>
      </c>
      <c r="T595" s="19">
        <v>286.47</v>
      </c>
      <c r="U595" s="19">
        <v>305.5</v>
      </c>
      <c r="V595" s="19">
        <v>283.77</v>
      </c>
      <c r="W595" s="19">
        <v>281.95</v>
      </c>
      <c r="X595" s="19">
        <v>265.51</v>
      </c>
      <c r="Y595" s="19">
        <v>253.73</v>
      </c>
      <c r="Z595" s="36" t="s">
        <v>36</v>
      </c>
      <c r="AA595" s="25">
        <f>MIN($B$595:$Y$595)</f>
        <v>227.19</v>
      </c>
      <c r="AB595" s="25">
        <f>AVERAGE($B$595:$Y$595)</f>
        <v>261.6075</v>
      </c>
    </row>
    <row r="596" spans="1:34">
      <c r="A596" s="30">
        <v>45891</v>
      </c>
      <c r="B596" s="19">
        <v>263.18</v>
      </c>
      <c r="C596" s="19">
        <v>257.35</v>
      </c>
      <c r="D596" s="19">
        <v>253.75</v>
      </c>
      <c r="E596" s="19">
        <v>251.68</v>
      </c>
      <c r="F596" s="19">
        <v>244.98</v>
      </c>
      <c r="G596" s="19">
        <v>242.48</v>
      </c>
      <c r="H596" s="19">
        <v>248.61</v>
      </c>
      <c r="I596" s="19">
        <v>236.7</v>
      </c>
      <c r="J596" s="19">
        <v>256.86</v>
      </c>
      <c r="K596" s="19">
        <v>273.67</v>
      </c>
      <c r="L596" s="19">
        <v>263.16</v>
      </c>
      <c r="M596" s="19">
        <v>261.19</v>
      </c>
      <c r="N596" s="19">
        <v>257.96</v>
      </c>
      <c r="O596" s="19">
        <v>271.64</v>
      </c>
      <c r="P596" s="19">
        <v>266.41</v>
      </c>
      <c r="Q596" s="19">
        <v>272.88</v>
      </c>
      <c r="R596" s="19">
        <v>302.28</v>
      </c>
      <c r="S596" s="19">
        <v>313.4</v>
      </c>
      <c r="T596" s="19">
        <v>284.21</v>
      </c>
      <c r="U596" s="19">
        <v>300.91</v>
      </c>
      <c r="V596" s="19">
        <v>297.38</v>
      </c>
      <c r="W596" s="19">
        <v>293.15</v>
      </c>
      <c r="X596" s="19">
        <v>282.45</v>
      </c>
      <c r="Y596" s="19">
        <v>269.87</v>
      </c>
      <c r="Z596" s="37" t="s">
        <v>37</v>
      </c>
      <c r="AA596" s="25">
        <f>MIN($B$596:$Y$596)</f>
        <v>236.7</v>
      </c>
      <c r="AB596" s="25">
        <f>AVERAGE($B$596:$Y$596)</f>
        <v>269.422916666667</v>
      </c>
    </row>
    <row r="597" spans="1:34">
      <c r="A597" s="30">
        <v>45892</v>
      </c>
      <c r="B597" s="19">
        <v>342.71</v>
      </c>
      <c r="C597" s="19">
        <v>288.87</v>
      </c>
      <c r="D597" s="19">
        <v>271.5</v>
      </c>
      <c r="E597" s="19">
        <v>260.33</v>
      </c>
      <c r="F597" s="19">
        <v>255.83</v>
      </c>
      <c r="G597" s="19">
        <v>252.94</v>
      </c>
      <c r="H597" s="19">
        <v>252.31</v>
      </c>
      <c r="I597" s="19">
        <v>237.09</v>
      </c>
      <c r="J597" s="19">
        <v>234.66</v>
      </c>
      <c r="K597" s="19">
        <v>246.43</v>
      </c>
      <c r="L597" s="19">
        <v>246.03</v>
      </c>
      <c r="M597" s="19">
        <v>241.29</v>
      </c>
      <c r="N597" s="19">
        <v>213.19</v>
      </c>
      <c r="O597" s="19">
        <v>236.17</v>
      </c>
      <c r="P597" s="19">
        <v>258.54</v>
      </c>
      <c r="Q597" s="19">
        <v>266.22</v>
      </c>
      <c r="R597" s="19">
        <v>288.91</v>
      </c>
      <c r="S597" s="19">
        <v>313.62</v>
      </c>
      <c r="T597" s="19">
        <v>293.34</v>
      </c>
      <c r="U597" s="19">
        <v>313.53</v>
      </c>
      <c r="V597" s="19">
        <v>310.24</v>
      </c>
      <c r="W597" s="19">
        <v>305.57</v>
      </c>
      <c r="X597" s="19">
        <v>302.64</v>
      </c>
      <c r="Y597" s="19">
        <v>285.63</v>
      </c>
      <c r="Z597" s="33" t="s">
        <v>32</v>
      </c>
      <c r="AA597" s="25">
        <f>MIN($B$597:$Y$597)</f>
        <v>213.19</v>
      </c>
      <c r="AB597" s="25">
        <f>AVERAGE($B$597:$Y$597)</f>
        <v>271.56625</v>
      </c>
    </row>
    <row r="598" spans="1:34">
      <c r="A598" s="30">
        <v>45893</v>
      </c>
      <c r="B598" s="19">
        <v>289.35</v>
      </c>
      <c r="C598" s="19">
        <v>291.88</v>
      </c>
      <c r="D598" s="19">
        <v>267.23</v>
      </c>
      <c r="E598" s="19">
        <v>263.67</v>
      </c>
      <c r="F598" s="19">
        <v>257.05</v>
      </c>
      <c r="G598" s="19">
        <v>245.21</v>
      </c>
      <c r="H598" s="19">
        <v>243.3</v>
      </c>
      <c r="I598" s="19">
        <v>213.61</v>
      </c>
      <c r="J598" s="19">
        <v>190.04</v>
      </c>
      <c r="K598" s="19">
        <v>200.58</v>
      </c>
      <c r="L598" s="19">
        <v>171.89</v>
      </c>
      <c r="M598" s="19">
        <v>180.83</v>
      </c>
      <c r="N598" s="19">
        <v>160.09</v>
      </c>
      <c r="O598" s="19">
        <v>202.55</v>
      </c>
      <c r="P598" s="19">
        <v>203.68</v>
      </c>
      <c r="Q598" s="19">
        <v>223.04</v>
      </c>
      <c r="R598" s="19">
        <v>240.74</v>
      </c>
      <c r="S598" s="19">
        <v>253.51</v>
      </c>
      <c r="T598" s="19">
        <v>248.34</v>
      </c>
      <c r="U598" s="19">
        <v>269.37</v>
      </c>
      <c r="V598" s="19">
        <v>269.56</v>
      </c>
      <c r="W598" s="19">
        <v>272.93</v>
      </c>
      <c r="X598" s="19">
        <v>274.16</v>
      </c>
      <c r="Y598" s="19">
        <v>264.1</v>
      </c>
      <c r="Z598" s="32" t="s">
        <v>32</v>
      </c>
      <c r="AA598" s="25">
        <f>MIN($B$598:$Y$598)</f>
        <v>160.09</v>
      </c>
      <c r="AB598" s="25">
        <f>AVERAGE($B$598:$Y$598)</f>
        <v>237.362916666667</v>
      </c>
    </row>
    <row r="599" spans="1:34">
      <c r="A599" s="30">
        <v>45894</v>
      </c>
      <c r="B599" s="19">
        <v>265.31</v>
      </c>
      <c r="C599" s="19">
        <v>253.73</v>
      </c>
      <c r="D599" s="19">
        <v>244.94</v>
      </c>
      <c r="E599" s="19">
        <v>241.32</v>
      </c>
      <c r="F599" s="19">
        <v>231.65</v>
      </c>
      <c r="G599" s="19">
        <v>215.37</v>
      </c>
      <c r="H599" s="19">
        <v>224</v>
      </c>
      <c r="I599" s="19">
        <v>218.42</v>
      </c>
      <c r="J599" s="19">
        <v>239.7</v>
      </c>
      <c r="K599" s="19">
        <v>284.19</v>
      </c>
      <c r="L599" s="19">
        <v>264.66</v>
      </c>
      <c r="M599" s="19">
        <v>264.94</v>
      </c>
      <c r="N599" s="19">
        <v>240.16</v>
      </c>
      <c r="O599" s="19">
        <v>260.82</v>
      </c>
      <c r="P599" s="19">
        <v>284.89</v>
      </c>
      <c r="Q599" s="19">
        <v>290.36</v>
      </c>
      <c r="R599" s="19">
        <v>339.38</v>
      </c>
      <c r="S599" s="19">
        <v>315.53</v>
      </c>
      <c r="T599" s="19">
        <v>273.01</v>
      </c>
      <c r="U599" s="19">
        <v>298.09</v>
      </c>
      <c r="V599" s="19">
        <v>283.35</v>
      </c>
      <c r="W599" s="19">
        <v>285.61</v>
      </c>
      <c r="X599" s="19">
        <v>278.37</v>
      </c>
      <c r="Y599" s="19">
        <v>266.16</v>
      </c>
      <c r="Z599" s="33" t="s">
        <v>32</v>
      </c>
      <c r="AA599" s="25">
        <f>MIN($B$599:$Y$599)</f>
        <v>215.37</v>
      </c>
      <c r="AB599" s="25">
        <f>AVERAGE($B$599:$Y$599)</f>
        <v>265.165</v>
      </c>
    </row>
    <row r="600" spans="1:34">
      <c r="A600" s="30">
        <v>45895</v>
      </c>
      <c r="B600" s="19">
        <v>306.62</v>
      </c>
      <c r="C600" s="19">
        <v>292.21</v>
      </c>
      <c r="D600" s="19">
        <v>275.47</v>
      </c>
      <c r="E600" s="19">
        <v>262.17</v>
      </c>
      <c r="F600" s="19">
        <v>255.95</v>
      </c>
      <c r="G600" s="19">
        <v>253.8</v>
      </c>
      <c r="H600" s="19">
        <v>255.81</v>
      </c>
      <c r="I600" s="19">
        <v>248.72</v>
      </c>
      <c r="J600" s="19">
        <v>260.35</v>
      </c>
      <c r="K600" s="19">
        <v>284.3</v>
      </c>
      <c r="L600" s="19">
        <v>285.69</v>
      </c>
      <c r="M600" s="19">
        <v>285.61</v>
      </c>
      <c r="N600" s="19">
        <v>258.74</v>
      </c>
      <c r="O600" s="19">
        <v>302.69</v>
      </c>
      <c r="P600" s="19">
        <v>315.27</v>
      </c>
      <c r="Q600" s="19">
        <v>318.48</v>
      </c>
      <c r="R600" s="19">
        <v>342.17</v>
      </c>
      <c r="S600" s="19">
        <v>350.34</v>
      </c>
      <c r="T600" s="19">
        <v>320.62</v>
      </c>
      <c r="U600" s="19">
        <v>329.73</v>
      </c>
      <c r="V600" s="19">
        <v>319.66</v>
      </c>
      <c r="W600" s="19">
        <v>320.55</v>
      </c>
      <c r="X600" s="19">
        <v>312.67</v>
      </c>
      <c r="Y600" s="19">
        <v>280.19</v>
      </c>
      <c r="Z600" s="32" t="s">
        <v>32</v>
      </c>
      <c r="AA600" s="25">
        <f t="shared" ref="AA600:AA610" si="12">MIN(B600:Y600)</f>
        <v>248.72</v>
      </c>
      <c r="AB600" s="25">
        <f t="shared" ref="AB600:AB610" si="13">AVERAGE(B600:Y600)</f>
        <v>293.242083333333</v>
      </c>
    </row>
    <row r="601" spans="1:34">
      <c r="A601" s="30">
        <v>45896</v>
      </c>
      <c r="B601" s="19">
        <v>284.65</v>
      </c>
      <c r="C601" s="19">
        <v>274.98</v>
      </c>
      <c r="D601" s="19">
        <v>261.49</v>
      </c>
      <c r="E601" s="19">
        <v>255.76</v>
      </c>
      <c r="F601" s="19">
        <v>246.7</v>
      </c>
      <c r="G601" s="19">
        <v>241.15</v>
      </c>
      <c r="H601" s="19">
        <v>245.37</v>
      </c>
      <c r="I601" s="19">
        <v>230.49</v>
      </c>
      <c r="J601" s="19">
        <v>242.75</v>
      </c>
      <c r="K601" s="19">
        <v>269.28</v>
      </c>
      <c r="L601" s="19">
        <v>259.6</v>
      </c>
      <c r="M601" s="19">
        <v>261.75</v>
      </c>
      <c r="N601" s="19">
        <v>227.54</v>
      </c>
      <c r="O601" s="19">
        <v>258.76</v>
      </c>
      <c r="P601" s="19">
        <v>282.45</v>
      </c>
      <c r="Q601" s="19">
        <v>279.2</v>
      </c>
      <c r="R601" s="19">
        <v>306.71</v>
      </c>
      <c r="S601" s="19">
        <v>310.13</v>
      </c>
      <c r="T601" s="19">
        <v>286.92</v>
      </c>
      <c r="U601" s="19">
        <v>315.56</v>
      </c>
      <c r="V601" s="19">
        <v>311.23</v>
      </c>
      <c r="W601" s="19">
        <v>301.74</v>
      </c>
      <c r="X601" s="19">
        <v>282.23</v>
      </c>
      <c r="Y601" s="19">
        <v>262</v>
      </c>
      <c r="Z601" s="33" t="s">
        <v>32</v>
      </c>
      <c r="AA601" s="25">
        <f t="shared" si="12"/>
        <v>227.54</v>
      </c>
      <c r="AB601" s="25">
        <f t="shared" si="13"/>
        <v>270.768333333333</v>
      </c>
      <c r="AF601" s="25"/>
      <c r="AG601" s="25"/>
      <c r="AH601" s="25"/>
    </row>
    <row r="602" spans="1:34">
      <c r="A602" s="30">
        <v>45897</v>
      </c>
      <c r="B602" s="19">
        <v>408.87</v>
      </c>
      <c r="C602" s="19">
        <v>306.12</v>
      </c>
      <c r="D602" s="19">
        <v>272.58</v>
      </c>
      <c r="E602" s="19">
        <v>259.9</v>
      </c>
      <c r="F602" s="19">
        <v>251.74</v>
      </c>
      <c r="G602" s="19">
        <v>245.05</v>
      </c>
      <c r="H602" s="19">
        <v>249.15</v>
      </c>
      <c r="I602" s="19">
        <v>234.11</v>
      </c>
      <c r="J602" s="19">
        <v>252.03</v>
      </c>
      <c r="K602" s="19">
        <v>242.25</v>
      </c>
      <c r="L602" s="19">
        <v>272.36</v>
      </c>
      <c r="M602" s="19">
        <v>271.84</v>
      </c>
      <c r="N602" s="19">
        <v>232.22</v>
      </c>
      <c r="O602" s="19">
        <v>264.86</v>
      </c>
      <c r="P602" s="19">
        <v>298.29</v>
      </c>
      <c r="Q602" s="19">
        <v>297.85</v>
      </c>
      <c r="R602" s="19">
        <v>320.08</v>
      </c>
      <c r="S602" s="19">
        <v>329.98</v>
      </c>
      <c r="T602" s="19">
        <v>283.52</v>
      </c>
      <c r="U602" s="19">
        <v>292.41</v>
      </c>
      <c r="V602" s="19">
        <v>285.59</v>
      </c>
      <c r="W602" s="19">
        <v>277.58</v>
      </c>
      <c r="X602" s="19">
        <v>264.42</v>
      </c>
      <c r="Y602" s="19">
        <v>247.05</v>
      </c>
      <c r="Z602" s="34" t="s">
        <v>36</v>
      </c>
      <c r="AA602" s="25">
        <f t="shared" si="12"/>
        <v>232.22</v>
      </c>
      <c r="AB602" s="25">
        <f t="shared" si="13"/>
        <v>277.49375</v>
      </c>
      <c r="AF602" s="25"/>
      <c r="AG602" s="25"/>
      <c r="AH602" s="25"/>
    </row>
    <row r="603" spans="1:34">
      <c r="A603" s="30">
        <v>45898</v>
      </c>
      <c r="B603" s="19">
        <v>262.4</v>
      </c>
      <c r="C603" s="19">
        <v>248.14</v>
      </c>
      <c r="D603" s="19">
        <v>238.42</v>
      </c>
      <c r="E603" s="19">
        <v>231.07</v>
      </c>
      <c r="F603" s="19">
        <v>221.84</v>
      </c>
      <c r="G603" s="19">
        <v>217.57</v>
      </c>
      <c r="H603" s="19">
        <v>221.65</v>
      </c>
      <c r="I603" s="19">
        <v>211.41</v>
      </c>
      <c r="J603" s="19">
        <v>228.82</v>
      </c>
      <c r="K603" s="19">
        <v>247.96</v>
      </c>
      <c r="L603" s="19">
        <v>264.25</v>
      </c>
      <c r="M603" s="19">
        <v>247.55</v>
      </c>
      <c r="N603" s="19">
        <v>212.8</v>
      </c>
      <c r="O603" s="19">
        <v>249.58</v>
      </c>
      <c r="P603" s="19">
        <v>275.83</v>
      </c>
      <c r="Q603" s="19">
        <v>279.42</v>
      </c>
      <c r="R603" s="19">
        <v>307.22</v>
      </c>
      <c r="S603" s="19">
        <v>341.48</v>
      </c>
      <c r="T603" s="19">
        <v>292.11</v>
      </c>
      <c r="U603" s="19">
        <v>329.36</v>
      </c>
      <c r="V603" s="19">
        <v>320.92</v>
      </c>
      <c r="W603" s="19">
        <v>302.27</v>
      </c>
      <c r="X603" s="19">
        <v>281.54</v>
      </c>
      <c r="Y603" s="19">
        <v>260.94</v>
      </c>
      <c r="Z603" s="35" t="s">
        <v>37</v>
      </c>
      <c r="AA603" s="25">
        <f t="shared" si="12"/>
        <v>211.41</v>
      </c>
      <c r="AB603" s="25">
        <f t="shared" si="13"/>
        <v>262.272916666667</v>
      </c>
      <c r="AF603" s="25"/>
      <c r="AG603" s="25"/>
      <c r="AH603" s="25"/>
    </row>
    <row r="604" spans="1:34">
      <c r="A604" s="30">
        <v>45899</v>
      </c>
      <c r="B604" s="19">
        <v>313.05</v>
      </c>
      <c r="C604" s="19">
        <v>286.87</v>
      </c>
      <c r="D604" s="19">
        <v>263.69</v>
      </c>
      <c r="E604" s="19">
        <v>250.72</v>
      </c>
      <c r="F604" s="19">
        <v>241.61</v>
      </c>
      <c r="G604" s="19">
        <v>238.81</v>
      </c>
      <c r="H604" s="19">
        <v>235.08</v>
      </c>
      <c r="I604" s="19">
        <v>223.08</v>
      </c>
      <c r="J604" s="19">
        <v>229.7</v>
      </c>
      <c r="K604" s="19">
        <v>243.61</v>
      </c>
      <c r="L604" s="19">
        <v>229.97</v>
      </c>
      <c r="M604" s="19">
        <v>219.65</v>
      </c>
      <c r="N604" s="19">
        <v>210.14</v>
      </c>
      <c r="O604" s="19">
        <v>234.26</v>
      </c>
      <c r="P604" s="19">
        <v>258.09</v>
      </c>
      <c r="Q604" s="19">
        <v>270.84</v>
      </c>
      <c r="R604" s="19">
        <v>305.67</v>
      </c>
      <c r="S604" s="19">
        <v>325.25</v>
      </c>
      <c r="T604" s="19">
        <v>303.48</v>
      </c>
      <c r="U604" s="19">
        <v>330.97</v>
      </c>
      <c r="V604" s="19">
        <v>316.96</v>
      </c>
      <c r="W604" s="19">
        <v>315.96</v>
      </c>
      <c r="X604" s="19">
        <v>310.9</v>
      </c>
      <c r="Y604" s="19">
        <v>299.04</v>
      </c>
      <c r="Z604" s="32" t="s">
        <v>32</v>
      </c>
      <c r="AA604" s="25">
        <f t="shared" si="12"/>
        <v>210.14</v>
      </c>
      <c r="AB604" s="25">
        <f t="shared" si="13"/>
        <v>269.058333333333</v>
      </c>
      <c r="AF604" s="25"/>
      <c r="AG604" s="25"/>
      <c r="AH604" s="25"/>
    </row>
    <row r="605" spans="1:34">
      <c r="A605" s="30">
        <v>45900</v>
      </c>
      <c r="B605" s="19">
        <v>398.08</v>
      </c>
      <c r="C605" s="19">
        <v>333.54</v>
      </c>
      <c r="D605" s="19">
        <v>301.01</v>
      </c>
      <c r="E605" s="19">
        <v>282.01</v>
      </c>
      <c r="F605" s="19">
        <v>266.14</v>
      </c>
      <c r="G605" s="19">
        <v>261.03</v>
      </c>
      <c r="H605" s="19">
        <v>258.74</v>
      </c>
      <c r="I605" s="19">
        <v>241.92</v>
      </c>
      <c r="J605" s="19">
        <v>208.54</v>
      </c>
      <c r="K605" s="19">
        <v>191.03</v>
      </c>
      <c r="L605" s="19">
        <v>186.59</v>
      </c>
      <c r="M605" s="19">
        <v>192.15</v>
      </c>
      <c r="N605" s="19">
        <v>189.7</v>
      </c>
      <c r="O605" s="19">
        <v>203.39</v>
      </c>
      <c r="P605" s="19">
        <v>222.4</v>
      </c>
      <c r="Q605" s="19">
        <v>234.61</v>
      </c>
      <c r="R605" s="19">
        <v>245.34</v>
      </c>
      <c r="S605" s="19">
        <v>263.52</v>
      </c>
      <c r="T605" s="19">
        <v>269.86</v>
      </c>
      <c r="U605" s="19">
        <v>290.73</v>
      </c>
      <c r="V605" s="19">
        <v>292.23</v>
      </c>
      <c r="W605" s="19">
        <v>303.9</v>
      </c>
      <c r="X605" s="19">
        <v>305.3</v>
      </c>
      <c r="Y605" s="19">
        <v>291.96</v>
      </c>
      <c r="Z605" s="33" t="s">
        <v>32</v>
      </c>
      <c r="AA605" s="25">
        <f t="shared" si="12"/>
        <v>186.59</v>
      </c>
      <c r="AB605" s="25">
        <f t="shared" si="13"/>
        <v>259.738333333333</v>
      </c>
      <c r="AF605" s="25"/>
      <c r="AG605" s="25"/>
      <c r="AH605" s="25"/>
    </row>
    <row r="606" spans="1:34">
      <c r="A606" s="30">
        <v>45901</v>
      </c>
      <c r="B606" s="19">
        <v>317.71</v>
      </c>
      <c r="C606" s="19">
        <v>308.92</v>
      </c>
      <c r="D606" s="19">
        <v>299.58</v>
      </c>
      <c r="E606" s="19">
        <v>292.19</v>
      </c>
      <c r="F606" s="19">
        <v>276.33</v>
      </c>
      <c r="G606" s="19">
        <v>270.77</v>
      </c>
      <c r="H606" s="19">
        <v>273.54</v>
      </c>
      <c r="I606" s="19">
        <v>256.14</v>
      </c>
      <c r="J606" s="19">
        <v>271.21</v>
      </c>
      <c r="K606" s="19">
        <v>292.73</v>
      </c>
      <c r="L606" s="19">
        <v>264.38</v>
      </c>
      <c r="M606" s="19">
        <v>242.93</v>
      </c>
      <c r="N606" s="19">
        <v>242.65</v>
      </c>
      <c r="O606" s="19">
        <v>273.71</v>
      </c>
      <c r="P606" s="19">
        <v>311.97</v>
      </c>
      <c r="Q606" s="19">
        <v>321.84</v>
      </c>
      <c r="R606" s="19">
        <v>364.61</v>
      </c>
      <c r="S606" s="19">
        <v>385.75</v>
      </c>
      <c r="T606" s="19">
        <v>336.13</v>
      </c>
      <c r="U606" s="19">
        <v>426.45</v>
      </c>
      <c r="V606" s="19">
        <v>350.53</v>
      </c>
      <c r="W606" s="19">
        <v>338.41</v>
      </c>
      <c r="X606" s="19">
        <v>317.79</v>
      </c>
      <c r="Y606" s="19">
        <v>295.89</v>
      </c>
      <c r="Z606" s="32" t="s">
        <v>32</v>
      </c>
      <c r="AA606" s="25">
        <f t="shared" si="12"/>
        <v>242.65</v>
      </c>
      <c r="AB606" s="25">
        <f t="shared" si="13"/>
        <v>305.506666666667</v>
      </c>
      <c r="AF606" s="25"/>
      <c r="AG606" s="25"/>
      <c r="AH606" s="25"/>
    </row>
    <row r="607" spans="1:34">
      <c r="A607" s="30">
        <v>45902</v>
      </c>
      <c r="B607" s="19">
        <v>343.76</v>
      </c>
      <c r="C607" s="19">
        <v>333.27</v>
      </c>
      <c r="D607" s="19">
        <v>326.64</v>
      </c>
      <c r="E607" s="19">
        <v>312.35</v>
      </c>
      <c r="F607" s="19">
        <v>295.53</v>
      </c>
      <c r="G607" s="19">
        <v>293.08</v>
      </c>
      <c r="H607" s="19">
        <v>297.67</v>
      </c>
      <c r="I607" s="19">
        <v>272.4</v>
      </c>
      <c r="J607" s="19">
        <v>282.07</v>
      </c>
      <c r="K607" s="19">
        <v>284.86</v>
      </c>
      <c r="L607" s="19">
        <v>278.82</v>
      </c>
      <c r="M607" s="19">
        <v>280.53</v>
      </c>
      <c r="N607" s="19">
        <v>296.98</v>
      </c>
      <c r="O607" s="19">
        <v>307.9</v>
      </c>
      <c r="P607" s="19">
        <v>335.04</v>
      </c>
      <c r="Q607" s="19">
        <v>324.55</v>
      </c>
      <c r="R607" s="19">
        <v>410.68</v>
      </c>
      <c r="S607" s="19">
        <v>473.53</v>
      </c>
      <c r="T607" s="19">
        <v>380.86</v>
      </c>
      <c r="U607" s="19">
        <v>591.13</v>
      </c>
      <c r="V607" s="19">
        <v>412.97</v>
      </c>
      <c r="W607" s="19">
        <v>433.96</v>
      </c>
      <c r="X607" s="19">
        <v>369.25</v>
      </c>
      <c r="Y607" s="19">
        <v>319</v>
      </c>
      <c r="Z607" s="33" t="s">
        <v>32</v>
      </c>
      <c r="AA607" s="25">
        <f t="shared" si="12"/>
        <v>272.4</v>
      </c>
      <c r="AB607" s="25">
        <f t="shared" si="13"/>
        <v>344.034583333333</v>
      </c>
      <c r="AF607" s="25"/>
      <c r="AG607" s="25"/>
      <c r="AH607" s="25"/>
    </row>
    <row r="608" spans="1:34">
      <c r="A608" s="30">
        <v>45903</v>
      </c>
      <c r="B608" s="19">
        <v>410.16</v>
      </c>
      <c r="C608" s="19">
        <v>363.83</v>
      </c>
      <c r="D608" s="19">
        <v>330.89</v>
      </c>
      <c r="E608" s="19">
        <v>325.19</v>
      </c>
      <c r="F608" s="19">
        <v>311.22</v>
      </c>
      <c r="G608" s="19">
        <v>308.79</v>
      </c>
      <c r="H608" s="19">
        <v>313.34</v>
      </c>
      <c r="I608" s="19">
        <v>266.45</v>
      </c>
      <c r="J608" s="19">
        <v>306.95</v>
      </c>
      <c r="K608" s="19">
        <v>336.81</v>
      </c>
      <c r="L608" s="19">
        <v>309.09</v>
      </c>
      <c r="M608" s="19">
        <v>304.14</v>
      </c>
      <c r="N608" s="19">
        <v>295.94</v>
      </c>
      <c r="O608" s="19">
        <v>353.23</v>
      </c>
      <c r="P608" s="19">
        <v>375.04</v>
      </c>
      <c r="Q608" s="19">
        <v>403.37</v>
      </c>
      <c r="R608" s="19">
        <v>429.38</v>
      </c>
      <c r="S608" s="19">
        <v>405.75</v>
      </c>
      <c r="T608" s="19">
        <v>373.24</v>
      </c>
      <c r="U608" s="19">
        <v>451.03</v>
      </c>
      <c r="V608" s="19">
        <v>428.09</v>
      </c>
      <c r="W608" s="19">
        <v>460.97</v>
      </c>
      <c r="X608" s="19">
        <v>428.35</v>
      </c>
      <c r="Y608" s="19">
        <v>342.44</v>
      </c>
      <c r="Z608" s="32" t="s">
        <v>32</v>
      </c>
      <c r="AA608" s="25">
        <f t="shared" si="12"/>
        <v>266.45</v>
      </c>
      <c r="AB608" s="25">
        <f t="shared" si="13"/>
        <v>359.737083333333</v>
      </c>
      <c r="AF608" s="25"/>
      <c r="AG608" s="25"/>
      <c r="AH608" s="25"/>
    </row>
    <row r="609" spans="1:34">
      <c r="A609" s="30">
        <v>45904</v>
      </c>
      <c r="B609" s="19">
        <v>339.38</v>
      </c>
      <c r="C609" s="19">
        <v>350.52</v>
      </c>
      <c r="D609" s="19">
        <v>331.59</v>
      </c>
      <c r="E609" s="19">
        <v>322.78</v>
      </c>
      <c r="F609" s="19">
        <v>310.46</v>
      </c>
      <c r="G609" s="19">
        <v>309.4</v>
      </c>
      <c r="H609" s="19">
        <v>313.49</v>
      </c>
      <c r="I609" s="19">
        <v>282.6</v>
      </c>
      <c r="J609" s="19">
        <v>307.62</v>
      </c>
      <c r="K609" s="19">
        <v>310.85</v>
      </c>
      <c r="L609" s="19">
        <v>287.59</v>
      </c>
      <c r="M609" s="19">
        <v>267.03</v>
      </c>
      <c r="N609" s="19">
        <v>284.65</v>
      </c>
      <c r="O609" s="19">
        <v>338.59</v>
      </c>
      <c r="P609" s="19">
        <v>353.43</v>
      </c>
      <c r="Q609" s="19">
        <v>388.84</v>
      </c>
      <c r="R609" s="19">
        <v>444.67</v>
      </c>
      <c r="S609" s="19">
        <v>448.21</v>
      </c>
      <c r="T609" s="19">
        <v>400.58</v>
      </c>
      <c r="U609" s="19">
        <v>434.63</v>
      </c>
      <c r="V609" s="19">
        <v>380.62</v>
      </c>
      <c r="W609" s="19">
        <v>361.08</v>
      </c>
      <c r="X609" s="19">
        <v>348.83</v>
      </c>
      <c r="Y609" s="19">
        <v>319.49</v>
      </c>
      <c r="Z609" s="36" t="s">
        <v>36</v>
      </c>
      <c r="AA609" s="25">
        <f t="shared" si="12"/>
        <v>267.03</v>
      </c>
      <c r="AB609" s="25">
        <f t="shared" si="13"/>
        <v>343.205416666667</v>
      </c>
      <c r="AF609" s="25"/>
      <c r="AG609" s="25"/>
      <c r="AH609" s="25"/>
    </row>
    <row r="610" spans="1:34">
      <c r="A610" s="30">
        <v>45905</v>
      </c>
      <c r="B610" s="19">
        <v>468.56</v>
      </c>
      <c r="C610" s="19">
        <v>398.92</v>
      </c>
      <c r="D610" s="19">
        <v>369.67</v>
      </c>
      <c r="E610" s="19">
        <v>338.99</v>
      </c>
      <c r="F610" s="19">
        <v>307.65</v>
      </c>
      <c r="G610" s="19">
        <v>307.5</v>
      </c>
      <c r="H610" s="19">
        <v>316.12</v>
      </c>
      <c r="I610" s="19">
        <v>283.45</v>
      </c>
      <c r="J610" s="19">
        <v>308.52</v>
      </c>
      <c r="K610" s="19">
        <v>324.03</v>
      </c>
      <c r="L610" s="19">
        <v>310.01</v>
      </c>
      <c r="M610" s="19">
        <v>314.33</v>
      </c>
      <c r="N610" s="19">
        <v>299.87</v>
      </c>
      <c r="O610" s="19">
        <v>363.73</v>
      </c>
      <c r="P610" s="19">
        <v>360.39</v>
      </c>
      <c r="Q610" s="19">
        <v>342.87</v>
      </c>
      <c r="R610" s="19">
        <v>369.37</v>
      </c>
      <c r="S610" s="19">
        <v>376.99</v>
      </c>
      <c r="T610" s="19">
        <v>343.18</v>
      </c>
      <c r="U610" s="19">
        <v>369.07</v>
      </c>
      <c r="V610" s="19">
        <v>371.12</v>
      </c>
      <c r="W610" s="19">
        <v>378.2</v>
      </c>
      <c r="X610" s="19">
        <v>374.65</v>
      </c>
      <c r="Y610" s="19">
        <v>333.41</v>
      </c>
      <c r="Z610" s="36"/>
      <c r="AA610" s="25">
        <f t="shared" si="12"/>
        <v>283.45</v>
      </c>
      <c r="AB610" s="25">
        <f t="shared" si="13"/>
        <v>347.108333333333</v>
      </c>
      <c r="AF610" s="25"/>
      <c r="AG610" s="25"/>
      <c r="AH610" s="25"/>
    </row>
    <row r="611" spans="1:34">
      <c r="A611" s="30">
        <v>45906</v>
      </c>
      <c r="B611" s="19">
        <v>485.71</v>
      </c>
      <c r="C611" s="19">
        <v>388.38</v>
      </c>
      <c r="D611" s="19">
        <v>368.85</v>
      </c>
      <c r="E611" s="19">
        <v>351.36</v>
      </c>
      <c r="F611" s="19">
        <v>332.97</v>
      </c>
      <c r="G611" s="19">
        <v>328.45</v>
      </c>
      <c r="H611" s="19">
        <v>329.73</v>
      </c>
      <c r="I611" s="19">
        <v>307.63</v>
      </c>
      <c r="J611" s="19">
        <v>285.57</v>
      </c>
      <c r="K611" s="19">
        <v>289.28</v>
      </c>
      <c r="L611" s="19">
        <v>307.1</v>
      </c>
      <c r="M611" s="19">
        <v>297.77</v>
      </c>
      <c r="N611" s="19">
        <v>293.12</v>
      </c>
      <c r="O611" s="19">
        <v>337.11</v>
      </c>
      <c r="P611" s="19">
        <v>343.33</v>
      </c>
      <c r="Q611" s="19">
        <v>329.93</v>
      </c>
      <c r="R611" s="19">
        <v>415.14</v>
      </c>
      <c r="S611" s="19">
        <v>482.96</v>
      </c>
      <c r="T611" s="19">
        <v>397.62</v>
      </c>
      <c r="U611" s="19">
        <v>458.85</v>
      </c>
      <c r="V611" s="19">
        <v>418.19</v>
      </c>
      <c r="W611" s="19">
        <v>434.29</v>
      </c>
      <c r="X611" s="19">
        <v>428.01</v>
      </c>
      <c r="Y611" s="19">
        <v>366.49</v>
      </c>
      <c r="Z611" s="37" t="s">
        <v>37</v>
      </c>
      <c r="AA611" s="25">
        <f t="shared" ref="AA611:AA620" si="14">MIN(B611:Y611)</f>
        <v>285.57</v>
      </c>
      <c r="AB611" s="25">
        <f t="shared" ref="AB611:AB620" si="15">AVERAGE(B611:Y611)</f>
        <v>365.743333333333</v>
      </c>
      <c r="AF611" s="25"/>
      <c r="AG611" s="25"/>
      <c r="AH611" s="25"/>
    </row>
    <row r="612" spans="1:34">
      <c r="A612" s="30">
        <v>45907</v>
      </c>
      <c r="B612" s="19">
        <v>496.46</v>
      </c>
      <c r="C612" s="19">
        <v>404.02</v>
      </c>
      <c r="D612" s="19">
        <v>370.63</v>
      </c>
      <c r="E612" s="19">
        <v>350.76</v>
      </c>
      <c r="F612" s="19">
        <v>327.18</v>
      </c>
      <c r="G612" s="19">
        <v>315.27</v>
      </c>
      <c r="H612" s="19">
        <v>308.07</v>
      </c>
      <c r="I612" s="19">
        <v>285.24</v>
      </c>
      <c r="J612" s="19">
        <v>262.18</v>
      </c>
      <c r="K612" s="19">
        <v>216.96</v>
      </c>
      <c r="L612" s="19">
        <v>238.72</v>
      </c>
      <c r="M612" s="19">
        <v>242.76</v>
      </c>
      <c r="N612" s="19">
        <v>239.48</v>
      </c>
      <c r="O612" s="19">
        <v>271.67</v>
      </c>
      <c r="P612" s="19">
        <v>272.6</v>
      </c>
      <c r="Q612" s="19">
        <v>280</v>
      </c>
      <c r="R612" s="19">
        <v>297.36</v>
      </c>
      <c r="S612" s="19">
        <v>295.75</v>
      </c>
      <c r="T612" s="19">
        <v>311.94</v>
      </c>
      <c r="U612" s="19">
        <v>331.23</v>
      </c>
      <c r="V612" s="19">
        <v>336.94</v>
      </c>
      <c r="W612" s="19">
        <v>349.37</v>
      </c>
      <c r="X612" s="19">
        <v>344.33</v>
      </c>
      <c r="Y612" s="19">
        <v>314.77</v>
      </c>
      <c r="Z612" s="33" t="s">
        <v>32</v>
      </c>
      <c r="AA612" s="25">
        <f t="shared" si="14"/>
        <v>216.96</v>
      </c>
      <c r="AB612" s="25">
        <f t="shared" si="15"/>
        <v>310.987083333333</v>
      </c>
      <c r="AF612" s="25"/>
      <c r="AG612" s="25"/>
      <c r="AH612" s="25"/>
    </row>
    <row r="613" spans="1:34">
      <c r="A613" s="30">
        <v>45908</v>
      </c>
      <c r="B613" s="19">
        <v>303.05</v>
      </c>
      <c r="C613" s="19">
        <v>289.44</v>
      </c>
      <c r="D613" s="19">
        <v>270.03</v>
      </c>
      <c r="E613" s="19">
        <v>264.86</v>
      </c>
      <c r="F613" s="19">
        <v>256.54</v>
      </c>
      <c r="G613" s="19">
        <v>252.06</v>
      </c>
      <c r="H613" s="19">
        <v>255.9</v>
      </c>
      <c r="I613" s="19">
        <v>244.08</v>
      </c>
      <c r="J613" s="19">
        <v>267.65</v>
      </c>
      <c r="K613" s="19">
        <v>293.75</v>
      </c>
      <c r="L613" s="19">
        <v>300.3</v>
      </c>
      <c r="M613" s="19">
        <v>290.35</v>
      </c>
      <c r="N613" s="19">
        <v>246.67</v>
      </c>
      <c r="O613" s="19">
        <v>269.26</v>
      </c>
      <c r="P613" s="19">
        <v>307.68</v>
      </c>
      <c r="Q613" s="19">
        <v>276.67</v>
      </c>
      <c r="R613" s="19">
        <v>294.36</v>
      </c>
      <c r="S613" s="19">
        <v>267.25</v>
      </c>
      <c r="T613" s="19">
        <v>289.92</v>
      </c>
      <c r="U613" s="19">
        <v>319.83</v>
      </c>
      <c r="V613" s="19">
        <v>313.81</v>
      </c>
      <c r="W613" s="19">
        <v>303.71</v>
      </c>
      <c r="X613" s="19">
        <v>287.06</v>
      </c>
      <c r="Y613" s="19">
        <v>270.92</v>
      </c>
      <c r="Z613" s="32" t="s">
        <v>32</v>
      </c>
      <c r="AA613" s="25">
        <f t="shared" si="14"/>
        <v>244.08</v>
      </c>
      <c r="AB613" s="25">
        <f t="shared" si="15"/>
        <v>280.63125</v>
      </c>
      <c r="AF613" s="25"/>
      <c r="AG613" s="25"/>
      <c r="AH613" s="25"/>
    </row>
    <row r="614" spans="1:34">
      <c r="A614" s="30">
        <v>45909</v>
      </c>
      <c r="B614" s="19">
        <v>267.61</v>
      </c>
      <c r="C614" s="19">
        <v>250.61</v>
      </c>
      <c r="D614" s="19">
        <v>246.52</v>
      </c>
      <c r="E614" s="19">
        <v>241.2</v>
      </c>
      <c r="F614" s="19">
        <v>234.54</v>
      </c>
      <c r="G614" s="19">
        <v>233.47</v>
      </c>
      <c r="H614" s="19">
        <v>238.54</v>
      </c>
      <c r="I614" s="19">
        <v>243.77</v>
      </c>
      <c r="J614" s="19">
        <v>274.47</v>
      </c>
      <c r="K614" s="19">
        <v>297.41</v>
      </c>
      <c r="L614" s="19">
        <v>274.27</v>
      </c>
      <c r="M614" s="19">
        <v>280</v>
      </c>
      <c r="N614" s="19">
        <v>229.67</v>
      </c>
      <c r="O614" s="19">
        <v>267.66</v>
      </c>
      <c r="P614" s="19">
        <v>313.6</v>
      </c>
      <c r="Q614" s="19">
        <v>314.56</v>
      </c>
      <c r="R614" s="19">
        <v>327.48</v>
      </c>
      <c r="S614" s="19">
        <v>353.63</v>
      </c>
      <c r="T614" s="19">
        <v>307.58</v>
      </c>
      <c r="U614" s="19">
        <v>364.42</v>
      </c>
      <c r="V614" s="19">
        <v>337.56</v>
      </c>
      <c r="W614" s="19">
        <v>319.25</v>
      </c>
      <c r="X614" s="19">
        <v>303.65</v>
      </c>
      <c r="Y614" s="19">
        <v>272.48</v>
      </c>
      <c r="Z614" s="33" t="s">
        <v>32</v>
      </c>
      <c r="AA614" s="25">
        <f t="shared" si="14"/>
        <v>229.67</v>
      </c>
      <c r="AB614" s="25">
        <f t="shared" si="15"/>
        <v>283.08125</v>
      </c>
      <c r="AF614" s="25"/>
      <c r="AG614" s="25"/>
      <c r="AH614" s="25"/>
    </row>
    <row r="615" spans="1:34">
      <c r="A615" s="30">
        <v>45910</v>
      </c>
      <c r="B615" s="19">
        <v>277.47</v>
      </c>
      <c r="C615" s="19">
        <v>268.74</v>
      </c>
      <c r="D615" s="19">
        <v>263.75</v>
      </c>
      <c r="E615" s="19">
        <v>262.36</v>
      </c>
      <c r="F615" s="19">
        <v>252.06</v>
      </c>
      <c r="G615" s="19">
        <v>250.39</v>
      </c>
      <c r="H615" s="19">
        <v>252.21</v>
      </c>
      <c r="I615" s="19">
        <v>247.87</v>
      </c>
      <c r="J615" s="19">
        <v>267.82</v>
      </c>
      <c r="K615" s="19">
        <v>295.21</v>
      </c>
      <c r="L615" s="19">
        <v>280.18</v>
      </c>
      <c r="M615" s="19">
        <v>286.36</v>
      </c>
      <c r="N615" s="19">
        <v>234.22</v>
      </c>
      <c r="O615" s="19">
        <v>286.26</v>
      </c>
      <c r="P615" s="19">
        <v>321.96</v>
      </c>
      <c r="Q615" s="19">
        <v>323.02</v>
      </c>
      <c r="R615" s="19">
        <v>370.29</v>
      </c>
      <c r="S615" s="19">
        <v>382.56</v>
      </c>
      <c r="T615" s="19">
        <v>309.67</v>
      </c>
      <c r="U615" s="19">
        <v>349.11</v>
      </c>
      <c r="V615" s="19">
        <v>335.3</v>
      </c>
      <c r="W615" s="19">
        <v>316.51</v>
      </c>
      <c r="X615" s="19">
        <v>298.35</v>
      </c>
      <c r="Y615" s="19">
        <v>268.57</v>
      </c>
      <c r="Z615" s="32" t="s">
        <v>32</v>
      </c>
      <c r="AA615" s="25">
        <f t="shared" si="14"/>
        <v>234.22</v>
      </c>
      <c r="AB615" s="25">
        <f t="shared" si="15"/>
        <v>291.676666666667</v>
      </c>
      <c r="AF615" s="25"/>
      <c r="AG615" s="25"/>
      <c r="AH615" s="25"/>
    </row>
    <row r="616" spans="1:34">
      <c r="A616" s="30">
        <v>45911</v>
      </c>
      <c r="B616" s="19">
        <v>329.74</v>
      </c>
      <c r="C616" s="19">
        <v>295.79</v>
      </c>
      <c r="D616" s="19">
        <v>278.66</v>
      </c>
      <c r="E616" s="19">
        <v>273.27</v>
      </c>
      <c r="F616" s="19">
        <v>262.81</v>
      </c>
      <c r="G616" s="19">
        <v>261.68</v>
      </c>
      <c r="H616" s="19">
        <v>265.25</v>
      </c>
      <c r="I616" s="19">
        <v>259.84</v>
      </c>
      <c r="J616" s="19">
        <v>275.74</v>
      </c>
      <c r="K616" s="19">
        <v>311.73</v>
      </c>
      <c r="L616" s="19">
        <v>253.72</v>
      </c>
      <c r="M616" s="19">
        <v>272.45</v>
      </c>
      <c r="N616" s="19">
        <v>236.76</v>
      </c>
      <c r="O616" s="19">
        <v>280.91</v>
      </c>
      <c r="P616" s="19">
        <v>311.68</v>
      </c>
      <c r="Q616" s="19">
        <v>308.43</v>
      </c>
      <c r="R616" s="19">
        <v>379.08</v>
      </c>
      <c r="S616" s="19">
        <v>394.74</v>
      </c>
      <c r="T616" s="19">
        <v>330.43</v>
      </c>
      <c r="U616" s="19">
        <v>376.11</v>
      </c>
      <c r="V616" s="19">
        <v>361.42</v>
      </c>
      <c r="W616" s="19">
        <v>353.4</v>
      </c>
      <c r="X616" s="19">
        <v>330.51</v>
      </c>
      <c r="Y616" s="19">
        <v>298.93</v>
      </c>
      <c r="Z616" s="33" t="s">
        <v>32</v>
      </c>
      <c r="AA616" s="25">
        <f t="shared" si="14"/>
        <v>236.76</v>
      </c>
      <c r="AB616" s="25">
        <f t="shared" si="15"/>
        <v>304.295</v>
      </c>
      <c r="AF616" s="25"/>
      <c r="AG616" s="25"/>
      <c r="AH616" s="25"/>
    </row>
    <row r="617" spans="1:34">
      <c r="A617" s="30">
        <v>45912</v>
      </c>
      <c r="B617" s="19">
        <v>311.48</v>
      </c>
      <c r="C617" s="19">
        <v>287.58</v>
      </c>
      <c r="D617" s="19">
        <v>268.65</v>
      </c>
      <c r="E617" s="19">
        <v>259.26</v>
      </c>
      <c r="F617" s="19">
        <v>252.78</v>
      </c>
      <c r="G617" s="19">
        <v>250.32</v>
      </c>
      <c r="H617" s="19">
        <v>255.29</v>
      </c>
      <c r="I617" s="19">
        <v>245.09</v>
      </c>
      <c r="J617" s="19">
        <v>255.74</v>
      </c>
      <c r="K617" s="19">
        <v>278.95</v>
      </c>
      <c r="L617" s="19">
        <v>269.67</v>
      </c>
      <c r="M617" s="19">
        <v>290.64</v>
      </c>
      <c r="N617" s="19">
        <v>243.41</v>
      </c>
      <c r="O617" s="19">
        <v>287.12</v>
      </c>
      <c r="P617" s="19">
        <v>301.63</v>
      </c>
      <c r="Q617" s="19">
        <v>316.48</v>
      </c>
      <c r="R617" s="19">
        <v>362.89</v>
      </c>
      <c r="S617" s="19">
        <v>381.69</v>
      </c>
      <c r="T617" s="19">
        <v>357.85</v>
      </c>
      <c r="U617" s="19">
        <v>383.57</v>
      </c>
      <c r="V617" s="19">
        <v>372.83</v>
      </c>
      <c r="W617" s="19">
        <v>354.29</v>
      </c>
      <c r="X617" s="19">
        <v>323.57</v>
      </c>
      <c r="Y617" s="19">
        <v>291.41</v>
      </c>
      <c r="Z617" s="34" t="s">
        <v>36</v>
      </c>
      <c r="AA617" s="25">
        <f t="shared" si="14"/>
        <v>243.41</v>
      </c>
      <c r="AB617" s="25">
        <f t="shared" si="15"/>
        <v>300.09125</v>
      </c>
      <c r="AF617" s="25"/>
      <c r="AG617" s="25"/>
      <c r="AH617" s="25"/>
    </row>
    <row r="618" spans="1:34">
      <c r="A618" s="30">
        <v>45913</v>
      </c>
      <c r="B618" s="19">
        <v>336.74</v>
      </c>
      <c r="C618" s="19">
        <v>324.77</v>
      </c>
      <c r="D618" s="19">
        <v>303.01</v>
      </c>
      <c r="E618" s="19">
        <v>289.37</v>
      </c>
      <c r="F618" s="19">
        <v>279.3</v>
      </c>
      <c r="G618" s="19">
        <v>275.11</v>
      </c>
      <c r="H618" s="19">
        <v>279.92</v>
      </c>
      <c r="I618" s="19">
        <v>269.29</v>
      </c>
      <c r="J618" s="19">
        <v>282.33</v>
      </c>
      <c r="K618" s="19">
        <v>289.9</v>
      </c>
      <c r="L618" s="19">
        <v>270.95</v>
      </c>
      <c r="M618" s="19">
        <v>270.27</v>
      </c>
      <c r="N618" s="19">
        <v>243.03</v>
      </c>
      <c r="O618" s="19">
        <v>281.48</v>
      </c>
      <c r="P618" s="19">
        <v>327.19</v>
      </c>
      <c r="Q618" s="19">
        <v>355.95</v>
      </c>
      <c r="R618" s="19">
        <v>416.08</v>
      </c>
      <c r="S618" s="19">
        <v>469.28</v>
      </c>
      <c r="T618" s="19">
        <v>383.52</v>
      </c>
      <c r="U618" s="19">
        <v>453.84</v>
      </c>
      <c r="V618" s="19">
        <v>379.89</v>
      </c>
      <c r="W618" s="19">
        <v>367.8</v>
      </c>
      <c r="X618" s="19">
        <v>346.39</v>
      </c>
      <c r="Y618" s="19">
        <v>305.9</v>
      </c>
      <c r="Z618" s="35" t="s">
        <v>37</v>
      </c>
      <c r="AA618" s="25">
        <f t="shared" si="14"/>
        <v>243.03</v>
      </c>
      <c r="AB618" s="25">
        <f t="shared" si="15"/>
        <v>325.054583333333</v>
      </c>
      <c r="AF618" s="25"/>
      <c r="AG618" s="25"/>
      <c r="AH618" s="25"/>
    </row>
    <row r="619" spans="1:34">
      <c r="A619" s="30">
        <v>45914</v>
      </c>
      <c r="B619" s="19">
        <v>387.31</v>
      </c>
      <c r="C619" s="19">
        <v>380.16</v>
      </c>
      <c r="D619" s="19">
        <v>302.3</v>
      </c>
      <c r="E619" s="19">
        <v>284.82</v>
      </c>
      <c r="F619" s="19">
        <v>271.37</v>
      </c>
      <c r="G619" s="19">
        <v>263.38</v>
      </c>
      <c r="H619" s="19">
        <v>263.02</v>
      </c>
      <c r="I619" s="19">
        <v>246.48</v>
      </c>
      <c r="J619" s="19">
        <v>220.59</v>
      </c>
      <c r="K619" s="19">
        <v>204.04</v>
      </c>
      <c r="L619" s="19">
        <v>204.29</v>
      </c>
      <c r="M619" s="19">
        <v>215.38</v>
      </c>
      <c r="N619" s="19">
        <v>210.88</v>
      </c>
      <c r="O619" s="19">
        <v>232.1</v>
      </c>
      <c r="P619" s="19">
        <v>226.96</v>
      </c>
      <c r="Q619" s="19">
        <v>233.03</v>
      </c>
      <c r="R619" s="19">
        <v>255.51</v>
      </c>
      <c r="S619" s="19">
        <v>318.14</v>
      </c>
      <c r="T619" s="19">
        <v>295</v>
      </c>
      <c r="U619" s="19">
        <v>325.65</v>
      </c>
      <c r="V619" s="19">
        <v>319.22</v>
      </c>
      <c r="W619" s="19">
        <v>343.06</v>
      </c>
      <c r="X619" s="19">
        <v>320.19</v>
      </c>
      <c r="Y619" s="19">
        <v>285.64</v>
      </c>
      <c r="Z619" s="32" t="s">
        <v>32</v>
      </c>
      <c r="AA619" s="25">
        <f t="shared" si="14"/>
        <v>204.04</v>
      </c>
      <c r="AB619" s="25">
        <f t="shared" si="15"/>
        <v>275.355</v>
      </c>
      <c r="AF619" s="25"/>
      <c r="AG619" s="25"/>
      <c r="AH619" s="25"/>
    </row>
    <row r="620" spans="1:34">
      <c r="A620" s="30">
        <v>45915</v>
      </c>
      <c r="B620" s="19">
        <v>329.18</v>
      </c>
      <c r="C620" s="19">
        <v>321.3</v>
      </c>
      <c r="D620" s="19">
        <v>298.61</v>
      </c>
      <c r="E620" s="19">
        <v>281.95</v>
      </c>
      <c r="F620" s="19">
        <v>273.22</v>
      </c>
      <c r="G620" s="19">
        <v>267.27</v>
      </c>
      <c r="H620" s="19">
        <v>275.73</v>
      </c>
      <c r="I620" s="19">
        <v>256.62</v>
      </c>
      <c r="J620" s="19">
        <v>290.53</v>
      </c>
      <c r="K620" s="19">
        <v>308.07</v>
      </c>
      <c r="L620" s="19">
        <v>282.71</v>
      </c>
      <c r="M620" s="19">
        <v>275.29</v>
      </c>
      <c r="N620" s="19">
        <v>258.29</v>
      </c>
      <c r="O620" s="19">
        <v>337.37</v>
      </c>
      <c r="P620" s="19">
        <v>390.69</v>
      </c>
      <c r="Q620" s="19">
        <v>371.92</v>
      </c>
      <c r="R620" s="19">
        <v>475.92</v>
      </c>
      <c r="S620" s="19">
        <v>443.21</v>
      </c>
      <c r="T620" s="19">
        <v>368.68</v>
      </c>
      <c r="U620" s="19">
        <v>468.11</v>
      </c>
      <c r="V620" s="19">
        <v>372.05</v>
      </c>
      <c r="W620" s="19">
        <v>365.11</v>
      </c>
      <c r="X620" s="19">
        <v>332.44</v>
      </c>
      <c r="Y620" s="19">
        <v>289.2</v>
      </c>
      <c r="Z620" s="32"/>
      <c r="AA620" s="25">
        <f t="shared" si="14"/>
        <v>256.62</v>
      </c>
      <c r="AB620" s="25">
        <f t="shared" si="15"/>
        <v>330.56125</v>
      </c>
      <c r="AF620" s="25"/>
      <c r="AG620" s="25"/>
      <c r="AH620" s="25"/>
    </row>
    <row r="621" spans="1:34">
      <c r="A621" s="30">
        <v>45916</v>
      </c>
      <c r="B621" s="19">
        <v>317.56</v>
      </c>
      <c r="C621" s="19">
        <v>309.14</v>
      </c>
      <c r="D621" s="19">
        <v>299.59</v>
      </c>
      <c r="E621" s="19">
        <v>293.66</v>
      </c>
      <c r="F621" s="19">
        <v>282.04</v>
      </c>
      <c r="G621" s="19">
        <v>278.31</v>
      </c>
      <c r="H621" s="19">
        <v>282.26</v>
      </c>
      <c r="I621" s="19">
        <v>265.16</v>
      </c>
      <c r="J621" s="19">
        <v>280.19</v>
      </c>
      <c r="K621" s="19">
        <v>318.07</v>
      </c>
      <c r="L621" s="19">
        <v>287.99</v>
      </c>
      <c r="M621" s="19">
        <v>287.07</v>
      </c>
      <c r="N621" s="19">
        <v>290.78</v>
      </c>
      <c r="O621" s="19">
        <v>312.27</v>
      </c>
      <c r="P621" s="19">
        <v>312.94</v>
      </c>
      <c r="Q621" s="19">
        <v>333.09</v>
      </c>
      <c r="R621" s="19">
        <v>398.3</v>
      </c>
      <c r="S621" s="19">
        <v>466.18</v>
      </c>
      <c r="T621" s="19">
        <v>350.4</v>
      </c>
      <c r="U621" s="19">
        <v>443.9</v>
      </c>
      <c r="V621" s="19">
        <v>363.41</v>
      </c>
      <c r="W621" s="19">
        <v>328.81</v>
      </c>
      <c r="X621" s="19">
        <v>316.59</v>
      </c>
      <c r="Y621" s="19">
        <v>295.36</v>
      </c>
      <c r="Z621" s="33" t="s">
        <v>32</v>
      </c>
      <c r="AA621" s="25">
        <f t="shared" ref="AA621:AA635" si="16">MIN(B621:Y621)</f>
        <v>265.16</v>
      </c>
      <c r="AB621" s="25">
        <f t="shared" ref="AB621:AB635" si="17">AVERAGE(B621:Y621)</f>
        <v>321.377916666667</v>
      </c>
      <c r="AF621" s="25"/>
      <c r="AG621" s="25"/>
      <c r="AH621" s="25"/>
    </row>
    <row r="622" spans="1:34">
      <c r="A622" s="30">
        <v>45917</v>
      </c>
      <c r="B622" s="19">
        <v>322.84</v>
      </c>
      <c r="C622" s="19">
        <v>318.79</v>
      </c>
      <c r="D622" s="19">
        <v>302.27</v>
      </c>
      <c r="E622" s="19">
        <v>288.3</v>
      </c>
      <c r="F622" s="19">
        <v>278</v>
      </c>
      <c r="G622" s="19">
        <v>276.84</v>
      </c>
      <c r="H622" s="19">
        <v>286.53</v>
      </c>
      <c r="I622" s="19">
        <v>272.9</v>
      </c>
      <c r="J622" s="19">
        <v>295.1</v>
      </c>
      <c r="K622" s="19">
        <v>311.02</v>
      </c>
      <c r="L622" s="19">
        <v>304.25</v>
      </c>
      <c r="M622" s="19">
        <v>291.54</v>
      </c>
      <c r="N622" s="19">
        <v>273.65</v>
      </c>
      <c r="O622" s="19">
        <v>344.81</v>
      </c>
      <c r="P622" s="19">
        <v>346.74</v>
      </c>
      <c r="Q622" s="19">
        <v>334.36</v>
      </c>
      <c r="R622" s="19">
        <v>450.97</v>
      </c>
      <c r="S622" s="19">
        <v>524.86</v>
      </c>
      <c r="T622" s="19">
        <v>382.91</v>
      </c>
      <c r="U622" s="19">
        <v>572.09</v>
      </c>
      <c r="V622" s="19">
        <v>397.67</v>
      </c>
      <c r="W622" s="19">
        <v>374.98</v>
      </c>
      <c r="X622" s="19">
        <v>356.67</v>
      </c>
      <c r="Y622" s="19">
        <v>313.32</v>
      </c>
      <c r="Z622" s="32" t="s">
        <v>32</v>
      </c>
      <c r="AA622" s="25">
        <f t="shared" si="16"/>
        <v>272.9</v>
      </c>
      <c r="AB622" s="25">
        <f t="shared" si="17"/>
        <v>342.55875</v>
      </c>
      <c r="AF622" s="25"/>
      <c r="AG622" s="25"/>
      <c r="AH622" s="25"/>
    </row>
    <row r="623" spans="1:34">
      <c r="A623" s="30">
        <v>45918</v>
      </c>
      <c r="B623" s="19">
        <v>333.04</v>
      </c>
      <c r="C623" s="19">
        <v>318.18</v>
      </c>
      <c r="D623" s="19">
        <v>303.33</v>
      </c>
      <c r="E623" s="19">
        <v>291.89</v>
      </c>
      <c r="F623" s="19">
        <v>281.09</v>
      </c>
      <c r="G623" s="19">
        <v>277.46</v>
      </c>
      <c r="H623" s="19">
        <v>260.98</v>
      </c>
      <c r="I623" s="19">
        <v>251.59</v>
      </c>
      <c r="J623" s="19">
        <v>295.24</v>
      </c>
      <c r="K623" s="19">
        <v>331.59</v>
      </c>
      <c r="L623" s="19">
        <v>309.21</v>
      </c>
      <c r="M623" s="19">
        <v>304.07</v>
      </c>
      <c r="N623" s="19">
        <v>265.03</v>
      </c>
      <c r="O623" s="19">
        <v>309.82</v>
      </c>
      <c r="P623" s="19">
        <v>366.6</v>
      </c>
      <c r="Q623" s="19">
        <v>375.1</v>
      </c>
      <c r="R623" s="19">
        <v>409.46</v>
      </c>
      <c r="S623" s="19">
        <v>414.85</v>
      </c>
      <c r="T623" s="19">
        <v>302.41</v>
      </c>
      <c r="U623" s="19">
        <v>420.85</v>
      </c>
      <c r="V623" s="19">
        <v>388.46</v>
      </c>
      <c r="W623" s="19">
        <v>363.76</v>
      </c>
      <c r="X623" s="19">
        <v>325.08</v>
      </c>
      <c r="Y623" s="19">
        <v>300.95</v>
      </c>
      <c r="Z623" s="33" t="s">
        <v>32</v>
      </c>
      <c r="AA623" s="25">
        <f t="shared" si="16"/>
        <v>251.59</v>
      </c>
      <c r="AB623" s="25">
        <f t="shared" si="17"/>
        <v>325.001666666667</v>
      </c>
      <c r="AF623" s="25"/>
      <c r="AG623" s="25"/>
      <c r="AH623" s="25"/>
    </row>
    <row r="624" spans="1:34">
      <c r="A624" s="30">
        <v>45919</v>
      </c>
      <c r="B624" s="19">
        <v>293.89</v>
      </c>
      <c r="C624" s="19">
        <v>291.18</v>
      </c>
      <c r="D624" s="19">
        <v>277.92</v>
      </c>
      <c r="E624" s="19">
        <v>266.33</v>
      </c>
      <c r="F624" s="19">
        <v>255.63</v>
      </c>
      <c r="G624" s="19">
        <v>251.97</v>
      </c>
      <c r="H624" s="19">
        <v>266.38</v>
      </c>
      <c r="I624" s="19">
        <v>244</v>
      </c>
      <c r="J624" s="19">
        <v>261.84</v>
      </c>
      <c r="K624" s="19">
        <v>310.95</v>
      </c>
      <c r="L624" s="19">
        <v>311.41</v>
      </c>
      <c r="M624" s="19">
        <v>325.27</v>
      </c>
      <c r="N624" s="19">
        <v>256.91</v>
      </c>
      <c r="O624" s="19">
        <v>306.82</v>
      </c>
      <c r="P624" s="19">
        <v>372.21</v>
      </c>
      <c r="Q624" s="19">
        <v>366.31</v>
      </c>
      <c r="R624" s="19">
        <v>375.72</v>
      </c>
      <c r="S624" s="19">
        <v>343.58</v>
      </c>
      <c r="T624" s="19">
        <v>302.21</v>
      </c>
      <c r="U624" s="19">
        <v>315.34</v>
      </c>
      <c r="V624" s="19">
        <v>303.91</v>
      </c>
      <c r="W624" s="19">
        <v>296.78</v>
      </c>
      <c r="X624" s="19">
        <v>279.93</v>
      </c>
      <c r="Y624" s="19">
        <v>262.95</v>
      </c>
      <c r="Z624" s="32" t="s">
        <v>32</v>
      </c>
      <c r="AA624" s="25">
        <f t="shared" si="16"/>
        <v>244</v>
      </c>
      <c r="AB624" s="25">
        <f t="shared" si="17"/>
        <v>297.476666666667</v>
      </c>
      <c r="AF624" s="25"/>
      <c r="AG624" s="25"/>
      <c r="AH624" s="25"/>
    </row>
    <row r="625" spans="1:34">
      <c r="A625" s="30">
        <v>45920</v>
      </c>
      <c r="B625" s="19">
        <v>295.86</v>
      </c>
      <c r="C625" s="19">
        <v>280.28</v>
      </c>
      <c r="D625" s="19">
        <v>263.1</v>
      </c>
      <c r="E625" s="19">
        <v>251.09</v>
      </c>
      <c r="F625" s="19">
        <v>243.52</v>
      </c>
      <c r="G625" s="19">
        <v>241.61</v>
      </c>
      <c r="H625" s="19">
        <v>242.82</v>
      </c>
      <c r="I625" s="19">
        <v>223.75</v>
      </c>
      <c r="J625" s="19">
        <v>243.38</v>
      </c>
      <c r="K625" s="19">
        <v>261.61</v>
      </c>
      <c r="L625" s="19">
        <v>262.41</v>
      </c>
      <c r="M625" s="19">
        <v>266.7</v>
      </c>
      <c r="N625" s="19">
        <v>237.83</v>
      </c>
      <c r="O625" s="19">
        <v>265.07</v>
      </c>
      <c r="P625" s="19">
        <v>266.02</v>
      </c>
      <c r="Q625" s="19">
        <v>296.06</v>
      </c>
      <c r="R625" s="19">
        <v>299.33</v>
      </c>
      <c r="S625" s="19">
        <v>270.09</v>
      </c>
      <c r="T625" s="19">
        <v>278.58</v>
      </c>
      <c r="U625" s="19">
        <v>292.68</v>
      </c>
      <c r="V625" s="19">
        <v>281.33</v>
      </c>
      <c r="W625" s="19">
        <v>267.6</v>
      </c>
      <c r="X625" s="19">
        <v>256.53</v>
      </c>
      <c r="Y625" s="19">
        <v>235.36</v>
      </c>
      <c r="Z625" s="36" t="s">
        <v>36</v>
      </c>
      <c r="AA625" s="25">
        <f t="shared" si="16"/>
        <v>223.75</v>
      </c>
      <c r="AB625" s="25">
        <f t="shared" si="17"/>
        <v>263.442083333333</v>
      </c>
      <c r="AF625" s="25"/>
      <c r="AG625" s="25"/>
      <c r="AH625" s="25"/>
    </row>
    <row r="626" spans="1:34">
      <c r="A626" s="30">
        <v>45921</v>
      </c>
      <c r="B626" s="19">
        <v>248.99</v>
      </c>
      <c r="C626" s="19">
        <v>252.32</v>
      </c>
      <c r="D626" s="19">
        <v>241.45</v>
      </c>
      <c r="E626" s="19">
        <v>226.55</v>
      </c>
      <c r="F626" s="19">
        <v>216.22</v>
      </c>
      <c r="G626" s="19">
        <v>214.03</v>
      </c>
      <c r="H626" s="19">
        <v>217.04</v>
      </c>
      <c r="I626" s="19">
        <v>209.03</v>
      </c>
      <c r="J626" s="19">
        <v>213.29</v>
      </c>
      <c r="K626" s="19">
        <v>224.54</v>
      </c>
      <c r="L626" s="19">
        <v>232</v>
      </c>
      <c r="M626" s="19">
        <v>230.44</v>
      </c>
      <c r="N626" s="19">
        <v>203.75</v>
      </c>
      <c r="O626" s="19">
        <v>231.96</v>
      </c>
      <c r="P626" s="19">
        <v>241.33</v>
      </c>
      <c r="Q626" s="19">
        <v>239.05</v>
      </c>
      <c r="R626" s="19">
        <v>246.08</v>
      </c>
      <c r="S626" s="19">
        <v>260.84</v>
      </c>
      <c r="T626" s="19">
        <v>268.93</v>
      </c>
      <c r="U626" s="19">
        <v>261.29</v>
      </c>
      <c r="V626" s="19">
        <v>261.3</v>
      </c>
      <c r="W626" s="19">
        <v>270.84</v>
      </c>
      <c r="X626" s="19">
        <v>252.68</v>
      </c>
      <c r="Y626" s="19">
        <v>228.12</v>
      </c>
      <c r="Z626" s="37" t="s">
        <v>37</v>
      </c>
      <c r="AA626" s="25">
        <f t="shared" si="16"/>
        <v>203.75</v>
      </c>
      <c r="AB626" s="25">
        <f t="shared" si="17"/>
        <v>237.169583333333</v>
      </c>
      <c r="AF626" s="25"/>
      <c r="AG626" s="25"/>
      <c r="AH626" s="25"/>
    </row>
    <row r="627" spans="1:34">
      <c r="A627" s="30">
        <v>45922</v>
      </c>
      <c r="B627" s="19">
        <v>239.05</v>
      </c>
      <c r="C627" s="19">
        <v>228.43</v>
      </c>
      <c r="D627" s="19">
        <v>218.33</v>
      </c>
      <c r="E627" s="19">
        <v>215.47</v>
      </c>
      <c r="F627" s="19">
        <v>206.22</v>
      </c>
      <c r="G627" s="19">
        <v>205.22</v>
      </c>
      <c r="H627" s="19">
        <v>216.52</v>
      </c>
      <c r="I627" s="19">
        <v>205.02</v>
      </c>
      <c r="J627" s="19">
        <v>245.58</v>
      </c>
      <c r="K627" s="19">
        <v>278.1</v>
      </c>
      <c r="L627" s="19">
        <v>260.75</v>
      </c>
      <c r="M627" s="19">
        <v>254.47</v>
      </c>
      <c r="N627" s="19">
        <v>232.38</v>
      </c>
      <c r="O627" s="19">
        <v>265.45</v>
      </c>
      <c r="P627" s="19">
        <v>288.93</v>
      </c>
      <c r="Q627" s="19">
        <v>309.17</v>
      </c>
      <c r="R627" s="19">
        <v>333.99</v>
      </c>
      <c r="S627" s="19">
        <v>332.58</v>
      </c>
      <c r="T627" s="19">
        <v>308.09</v>
      </c>
      <c r="U627" s="19">
        <v>329.68</v>
      </c>
      <c r="V627" s="19">
        <v>296.58</v>
      </c>
      <c r="W627" s="19">
        <v>303.09</v>
      </c>
      <c r="X627" s="19">
        <v>295.81</v>
      </c>
      <c r="Y627" s="19">
        <v>259.36</v>
      </c>
      <c r="Z627" s="33" t="s">
        <v>32</v>
      </c>
      <c r="AA627" s="25">
        <f t="shared" si="16"/>
        <v>205.02</v>
      </c>
      <c r="AB627" s="25">
        <f t="shared" si="17"/>
        <v>263.677916666667</v>
      </c>
      <c r="AF627" s="25"/>
      <c r="AG627" s="25"/>
      <c r="AH627" s="25"/>
    </row>
    <row r="628" spans="1:34">
      <c r="A628" s="30">
        <v>45923</v>
      </c>
      <c r="B628" s="19">
        <v>290.49</v>
      </c>
      <c r="C628" s="19">
        <v>272.51</v>
      </c>
      <c r="D628" s="19">
        <v>259.37</v>
      </c>
      <c r="E628" s="19">
        <v>241.51</v>
      </c>
      <c r="F628" s="19">
        <v>225.89</v>
      </c>
      <c r="G628" s="19">
        <v>211.75</v>
      </c>
      <c r="H628" s="19">
        <v>233.97</v>
      </c>
      <c r="I628" s="19">
        <v>209.88</v>
      </c>
      <c r="J628" s="19">
        <v>256.74</v>
      </c>
      <c r="K628" s="19">
        <v>289.42</v>
      </c>
      <c r="L628" s="19">
        <v>277.86</v>
      </c>
      <c r="M628" s="19">
        <v>299.43</v>
      </c>
      <c r="N628" s="19">
        <v>281.46</v>
      </c>
      <c r="O628" s="19">
        <v>322.09</v>
      </c>
      <c r="P628" s="19">
        <v>333.95</v>
      </c>
      <c r="Q628" s="19">
        <v>347.57</v>
      </c>
      <c r="R628" s="19">
        <v>388.99</v>
      </c>
      <c r="S628" s="19">
        <v>392.14</v>
      </c>
      <c r="T628" s="19">
        <v>295.75</v>
      </c>
      <c r="U628" s="19">
        <v>431.74</v>
      </c>
      <c r="V628" s="19">
        <v>418.95</v>
      </c>
      <c r="W628" s="19">
        <v>355.84</v>
      </c>
      <c r="X628" s="19">
        <v>285.06</v>
      </c>
      <c r="Y628" s="19">
        <v>256.62</v>
      </c>
      <c r="Z628" s="32" t="s">
        <v>32</v>
      </c>
      <c r="AA628" s="25">
        <f t="shared" si="16"/>
        <v>209.88</v>
      </c>
      <c r="AB628" s="25">
        <f t="shared" si="17"/>
        <v>299.124166666667</v>
      </c>
      <c r="AF628" s="25"/>
      <c r="AG628" s="25"/>
      <c r="AH628" s="25"/>
    </row>
    <row r="629" spans="1:34">
      <c r="A629" s="30">
        <v>45924</v>
      </c>
      <c r="B629" s="19">
        <v>98.9</v>
      </c>
      <c r="C629" s="19">
        <v>31.56</v>
      </c>
      <c r="D629" s="19">
        <v>21.73</v>
      </c>
      <c r="E629" s="19">
        <v>23.26</v>
      </c>
      <c r="F629" s="19">
        <v>7.66</v>
      </c>
      <c r="G629" s="19">
        <v>-7.8</v>
      </c>
      <c r="H629" s="19">
        <v>-13.23</v>
      </c>
      <c r="I629" s="19">
        <v>-29.9</v>
      </c>
      <c r="J629" s="19">
        <v>-39</v>
      </c>
      <c r="K629" s="19">
        <v>-41.79</v>
      </c>
      <c r="L629" s="19">
        <v>-55.49</v>
      </c>
      <c r="M629" s="19">
        <v>-63.6</v>
      </c>
      <c r="N629" s="19">
        <v>-47.24</v>
      </c>
      <c r="O629" s="19">
        <v>-38.24</v>
      </c>
      <c r="P629" s="19">
        <v>-50.78</v>
      </c>
      <c r="Q629" s="19">
        <v>-61.48</v>
      </c>
      <c r="R629" s="19">
        <v>-78.41</v>
      </c>
      <c r="S629" s="19">
        <v>-103.94</v>
      </c>
      <c r="T629" s="19">
        <v>-108.03</v>
      </c>
      <c r="U629" s="19">
        <v>-99.81</v>
      </c>
      <c r="V629" s="19">
        <v>-92.17</v>
      </c>
      <c r="W629" s="19">
        <v>-82.91</v>
      </c>
      <c r="X629" s="19">
        <v>-67.39</v>
      </c>
      <c r="Y629" s="19">
        <v>-46.11</v>
      </c>
      <c r="Z629" s="33" t="s">
        <v>32</v>
      </c>
      <c r="AA629" s="25">
        <f t="shared" si="16"/>
        <v>-108.03</v>
      </c>
      <c r="AB629" s="25">
        <f t="shared" si="17"/>
        <v>-39.3420833333333</v>
      </c>
      <c r="AF629" s="25"/>
      <c r="AG629" s="25"/>
      <c r="AH629" s="25"/>
    </row>
    <row r="630" spans="1:34">
      <c r="A630" s="30">
        <v>45925</v>
      </c>
      <c r="B630" s="19">
        <v>336.23</v>
      </c>
      <c r="C630" s="19">
        <v>163.31</v>
      </c>
      <c r="D630" s="19">
        <v>142.04</v>
      </c>
      <c r="E630" s="19">
        <v>141.68</v>
      </c>
      <c r="F630" s="19">
        <v>141.33</v>
      </c>
      <c r="G630" s="19">
        <v>141.11</v>
      </c>
      <c r="H630" s="19">
        <v>140.46</v>
      </c>
      <c r="I630" s="19">
        <v>144.55</v>
      </c>
      <c r="J630" s="19">
        <v>274.73</v>
      </c>
      <c r="K630" s="19">
        <v>299.14</v>
      </c>
      <c r="L630" s="19">
        <v>302.22</v>
      </c>
      <c r="M630" s="19">
        <v>292.48</v>
      </c>
      <c r="N630" s="19">
        <v>189.98</v>
      </c>
      <c r="O630" s="19">
        <v>204.71</v>
      </c>
      <c r="P630" s="19">
        <v>253.66</v>
      </c>
      <c r="Q630" s="19">
        <v>265.6</v>
      </c>
      <c r="R630" s="19">
        <v>324.96</v>
      </c>
      <c r="S630" s="19">
        <v>325.9</v>
      </c>
      <c r="T630" s="19">
        <v>268.48</v>
      </c>
      <c r="U630" s="19">
        <v>314.63</v>
      </c>
      <c r="V630" s="19">
        <v>293.05</v>
      </c>
      <c r="W630" s="19">
        <v>267.46</v>
      </c>
      <c r="X630" s="19">
        <v>251.6</v>
      </c>
      <c r="Y630" s="19">
        <v>198.33</v>
      </c>
      <c r="Z630" s="32" t="s">
        <v>32</v>
      </c>
      <c r="AA630" s="25">
        <f t="shared" si="16"/>
        <v>140.46</v>
      </c>
      <c r="AB630" s="25">
        <f t="shared" si="17"/>
        <v>236.568333333333</v>
      </c>
      <c r="AF630" s="25"/>
      <c r="AG630" s="25"/>
      <c r="AH630" s="25"/>
    </row>
    <row r="631" spans="1:34">
      <c r="A631" s="30">
        <v>45926</v>
      </c>
      <c r="B631" s="19">
        <v>280.48</v>
      </c>
      <c r="C631" s="19">
        <v>254.88</v>
      </c>
      <c r="D631" s="19">
        <v>229.29</v>
      </c>
      <c r="E631" s="19">
        <v>199.51</v>
      </c>
      <c r="F631" s="19">
        <v>172.36</v>
      </c>
      <c r="G631" s="19">
        <v>169.97</v>
      </c>
      <c r="H631" s="19">
        <v>188.23</v>
      </c>
      <c r="I631" s="19">
        <v>181.35</v>
      </c>
      <c r="J631" s="19">
        <v>242.7</v>
      </c>
      <c r="K631" s="19">
        <v>278.68</v>
      </c>
      <c r="L631" s="19">
        <v>273.14</v>
      </c>
      <c r="M631" s="19">
        <v>252.65</v>
      </c>
      <c r="N631" s="19">
        <v>204.1</v>
      </c>
      <c r="O631" s="19">
        <v>261.61</v>
      </c>
      <c r="P631" s="19">
        <v>271.43</v>
      </c>
      <c r="Q631" s="19">
        <v>289.03</v>
      </c>
      <c r="R631" s="19">
        <v>368.95</v>
      </c>
      <c r="S631" s="19">
        <v>386.75</v>
      </c>
      <c r="T631" s="19">
        <v>342.81</v>
      </c>
      <c r="U631" s="19">
        <v>416.13</v>
      </c>
      <c r="V631" s="19">
        <v>349.19</v>
      </c>
      <c r="W631" s="19">
        <v>311.86</v>
      </c>
      <c r="X631" s="19">
        <v>277.46</v>
      </c>
      <c r="Y631" s="19">
        <v>246.04</v>
      </c>
      <c r="Z631" s="33" t="s">
        <v>32</v>
      </c>
      <c r="AA631" s="25">
        <f t="shared" si="16"/>
        <v>169.97</v>
      </c>
      <c r="AB631" s="25">
        <f t="shared" si="17"/>
        <v>268.691666666667</v>
      </c>
      <c r="AF631" s="25"/>
      <c r="AG631" s="25"/>
      <c r="AH631" s="25"/>
    </row>
    <row r="632" spans="1:34">
      <c r="A632" s="30">
        <v>45927</v>
      </c>
      <c r="B632" s="19">
        <v>307.26</v>
      </c>
      <c r="C632" s="19">
        <v>294.5</v>
      </c>
      <c r="D632" s="19">
        <v>274.81</v>
      </c>
      <c r="E632" s="19">
        <v>253.12</v>
      </c>
      <c r="F632" s="19">
        <v>242.95</v>
      </c>
      <c r="G632" s="19">
        <v>242.57</v>
      </c>
      <c r="H632" s="19">
        <v>244.66</v>
      </c>
      <c r="I632" s="19">
        <v>234.07</v>
      </c>
      <c r="J632" s="19">
        <v>203.4</v>
      </c>
      <c r="K632" s="19">
        <v>253.55</v>
      </c>
      <c r="L632" s="19">
        <v>243.78</v>
      </c>
      <c r="M632" s="19">
        <v>239.67</v>
      </c>
      <c r="N632" s="19">
        <v>206.14</v>
      </c>
      <c r="O632" s="19">
        <v>247.8</v>
      </c>
      <c r="P632" s="19">
        <v>266.58</v>
      </c>
      <c r="Q632" s="19">
        <v>299.34</v>
      </c>
      <c r="R632" s="19">
        <v>358.25</v>
      </c>
      <c r="S632" s="19">
        <v>382.49</v>
      </c>
      <c r="T632" s="19">
        <v>309.32</v>
      </c>
      <c r="U632" s="19">
        <v>355.26</v>
      </c>
      <c r="V632" s="19">
        <v>302.36</v>
      </c>
      <c r="W632" s="19">
        <v>299.73</v>
      </c>
      <c r="X632" s="19">
        <v>302.34</v>
      </c>
      <c r="Y632" s="19">
        <v>282.11</v>
      </c>
      <c r="Z632" s="34" t="s">
        <v>36</v>
      </c>
      <c r="AA632" s="25">
        <f t="shared" si="16"/>
        <v>203.4</v>
      </c>
      <c r="AB632" s="25">
        <f t="shared" si="17"/>
        <v>276.919166666667</v>
      </c>
      <c r="AF632" s="25"/>
      <c r="AG632" s="25"/>
      <c r="AH632" s="25"/>
    </row>
    <row r="633" spans="1:34">
      <c r="A633" s="30">
        <v>45928</v>
      </c>
      <c r="B633" s="19">
        <v>345.65</v>
      </c>
      <c r="C633" s="19">
        <v>379.59</v>
      </c>
      <c r="D633" s="19">
        <v>292.63</v>
      </c>
      <c r="E633" s="19">
        <v>261.75</v>
      </c>
      <c r="F633" s="19">
        <v>236.77</v>
      </c>
      <c r="G633" s="19">
        <v>231.54</v>
      </c>
      <c r="H633" s="19">
        <v>238.24</v>
      </c>
      <c r="I633" s="19">
        <v>225.03</v>
      </c>
      <c r="J633" s="19">
        <v>268.36</v>
      </c>
      <c r="K633" s="19">
        <v>278.76</v>
      </c>
      <c r="L633" s="19">
        <v>281.98</v>
      </c>
      <c r="M633" s="19">
        <v>314.7</v>
      </c>
      <c r="N633" s="19">
        <v>257.58</v>
      </c>
      <c r="O633" s="19">
        <v>282.77</v>
      </c>
      <c r="P633" s="19">
        <v>283.15</v>
      </c>
      <c r="Q633" s="19">
        <v>330.6</v>
      </c>
      <c r="R633" s="19">
        <v>330.62</v>
      </c>
      <c r="S633" s="19">
        <v>343.59</v>
      </c>
      <c r="T633" s="19">
        <v>312.02</v>
      </c>
      <c r="U633" s="19">
        <v>371.8</v>
      </c>
      <c r="V633" s="19">
        <v>330.44</v>
      </c>
      <c r="W633" s="19">
        <v>350.65</v>
      </c>
      <c r="X633" s="19">
        <v>314</v>
      </c>
      <c r="Y633" s="19">
        <v>268.64</v>
      </c>
      <c r="Z633" s="35" t="s">
        <v>37</v>
      </c>
      <c r="AA633" s="25">
        <f t="shared" si="16"/>
        <v>225.03</v>
      </c>
      <c r="AB633" s="25">
        <f t="shared" si="17"/>
        <v>297.119166666667</v>
      </c>
      <c r="AF633" s="25"/>
      <c r="AG633" s="25"/>
      <c r="AH633" s="25"/>
    </row>
    <row r="634" spans="1:34">
      <c r="A634" s="30">
        <v>45929</v>
      </c>
      <c r="B634" s="19">
        <v>415.18</v>
      </c>
      <c r="C634" s="19">
        <v>414.6</v>
      </c>
      <c r="D634" s="19">
        <v>361.8</v>
      </c>
      <c r="E634" s="19">
        <v>302.21</v>
      </c>
      <c r="F634" s="19">
        <v>278.88</v>
      </c>
      <c r="G634" s="19">
        <v>269.52</v>
      </c>
      <c r="H634" s="19">
        <v>287.34</v>
      </c>
      <c r="I634" s="19">
        <v>270.53</v>
      </c>
      <c r="J634" s="19">
        <v>137.63</v>
      </c>
      <c r="K634" s="19">
        <v>179.91</v>
      </c>
      <c r="L634" s="19">
        <v>271.48</v>
      </c>
      <c r="M634" s="19">
        <v>328.11</v>
      </c>
      <c r="N634" s="19">
        <v>319.16</v>
      </c>
      <c r="O634" s="19">
        <v>388.76</v>
      </c>
      <c r="P634" s="19">
        <v>384.01</v>
      </c>
      <c r="Q634" s="19">
        <v>415.45</v>
      </c>
      <c r="R634" s="19">
        <v>470.53</v>
      </c>
      <c r="S634" s="19">
        <v>489.76</v>
      </c>
      <c r="T634" s="19">
        <v>447.88</v>
      </c>
      <c r="U634" s="19">
        <v>482.53</v>
      </c>
      <c r="V634" s="19">
        <v>421.77</v>
      </c>
      <c r="W634" s="19">
        <v>484.07</v>
      </c>
      <c r="X634" s="19">
        <v>439.49</v>
      </c>
      <c r="Y634" s="19">
        <v>324.53</v>
      </c>
      <c r="Z634" s="32" t="s">
        <v>32</v>
      </c>
      <c r="AA634" s="25">
        <f t="shared" si="16"/>
        <v>137.63</v>
      </c>
      <c r="AB634" s="25">
        <f t="shared" si="17"/>
        <v>357.71375</v>
      </c>
      <c r="AF634" s="25"/>
      <c r="AG634" s="25"/>
      <c r="AH634" s="25"/>
    </row>
    <row r="635" spans="1:34">
      <c r="A635" s="30">
        <v>45930</v>
      </c>
      <c r="B635" s="19">
        <v>378.75</v>
      </c>
      <c r="C635" s="19">
        <v>402.05</v>
      </c>
      <c r="D635" s="19">
        <v>318.84</v>
      </c>
      <c r="E635" s="19">
        <v>296.19</v>
      </c>
      <c r="F635" s="19">
        <v>281.88</v>
      </c>
      <c r="G635" s="19">
        <v>280.61</v>
      </c>
      <c r="H635" s="19">
        <v>288.23</v>
      </c>
      <c r="I635" s="19">
        <v>279.89</v>
      </c>
      <c r="J635" s="19">
        <v>305.51</v>
      </c>
      <c r="K635" s="19">
        <v>263.52</v>
      </c>
      <c r="L635" s="19">
        <v>239.21</v>
      </c>
      <c r="M635" s="19">
        <v>292.34</v>
      </c>
      <c r="N635" s="19">
        <v>243.15</v>
      </c>
      <c r="O635" s="19">
        <v>276.74</v>
      </c>
      <c r="P635" s="19">
        <v>238.43</v>
      </c>
      <c r="Q635" s="19">
        <v>311.74</v>
      </c>
      <c r="R635" s="19">
        <v>354.65</v>
      </c>
      <c r="S635" s="19">
        <v>413.58</v>
      </c>
      <c r="T635" s="19">
        <v>353.82</v>
      </c>
      <c r="U635" s="19">
        <v>354.32</v>
      </c>
      <c r="V635" s="19">
        <v>346.08</v>
      </c>
      <c r="W635" s="19">
        <v>345.21</v>
      </c>
      <c r="X635" s="19">
        <v>335.58</v>
      </c>
      <c r="Y635" s="19">
        <v>301.29</v>
      </c>
      <c r="Z635" s="33" t="s">
        <v>32</v>
      </c>
      <c r="AA635" s="25">
        <f t="shared" si="16"/>
        <v>238.43</v>
      </c>
      <c r="AB635" s="25">
        <f t="shared" si="17"/>
        <v>312.567083333333</v>
      </c>
      <c r="AF635" s="25"/>
      <c r="AG635" s="25"/>
      <c r="AH635" s="25"/>
    </row>
    <row r="636" spans="1:34">
      <c r="A636" s="30">
        <v>45931</v>
      </c>
      <c r="B636" s="19">
        <v>407.98</v>
      </c>
      <c r="C636" s="19">
        <v>379.28</v>
      </c>
      <c r="D636" s="19">
        <v>297.62</v>
      </c>
      <c r="E636" s="19">
        <v>278.68</v>
      </c>
      <c r="F636" s="19">
        <v>262.96</v>
      </c>
      <c r="G636" s="19">
        <v>248.71</v>
      </c>
      <c r="H636" s="19">
        <v>249.57</v>
      </c>
      <c r="I636" s="19">
        <v>202.53</v>
      </c>
      <c r="J636" s="19">
        <v>146.27</v>
      </c>
      <c r="K636" s="19">
        <v>142.84</v>
      </c>
      <c r="L636" s="19">
        <v>99.22</v>
      </c>
      <c r="M636" s="19">
        <v>103.27</v>
      </c>
      <c r="N636" s="19">
        <v>78.92</v>
      </c>
      <c r="O636" s="19">
        <v>110.79</v>
      </c>
      <c r="P636" s="19">
        <v>130.28</v>
      </c>
      <c r="Q636" s="19">
        <v>139.91</v>
      </c>
      <c r="R636" s="19">
        <v>159.71</v>
      </c>
      <c r="S636" s="19">
        <v>199.38</v>
      </c>
      <c r="T636" s="19">
        <v>247.35</v>
      </c>
      <c r="U636" s="19">
        <v>252.68</v>
      </c>
      <c r="V636" s="19">
        <v>257.23</v>
      </c>
      <c r="W636" s="19">
        <v>265.37</v>
      </c>
      <c r="X636" s="19">
        <v>252.55</v>
      </c>
      <c r="Y636" s="19">
        <v>246.13</v>
      </c>
      <c r="Z636" s="32" t="s">
        <v>32</v>
      </c>
      <c r="AA636" s="25">
        <f t="shared" ref="AA636:AA666" si="18">MIN(B636:Y636)</f>
        <v>78.92</v>
      </c>
      <c r="AB636" s="25">
        <f t="shared" ref="AB636:AB666" si="19">AVERAGE(B636:Y636)</f>
        <v>214.967916666667</v>
      </c>
      <c r="AF636" s="25"/>
      <c r="AG636" s="25"/>
      <c r="AH636" s="25"/>
    </row>
    <row r="637" spans="1:34">
      <c r="A637" s="30">
        <v>45932</v>
      </c>
      <c r="B637" s="19">
        <v>222.68</v>
      </c>
      <c r="C637" s="19">
        <v>234.26</v>
      </c>
      <c r="D637" s="19">
        <v>208.8</v>
      </c>
      <c r="E637" s="19">
        <v>206.88</v>
      </c>
      <c r="F637" s="19">
        <v>199.11</v>
      </c>
      <c r="G637" s="19">
        <v>149.03</v>
      </c>
      <c r="H637" s="19">
        <v>170.18</v>
      </c>
      <c r="I637" s="19">
        <v>187.72</v>
      </c>
      <c r="J637" s="19">
        <v>143.23</v>
      </c>
      <c r="K637" s="19">
        <v>146.8</v>
      </c>
      <c r="L637" s="19">
        <v>147.48</v>
      </c>
      <c r="M637" s="19">
        <v>147.45</v>
      </c>
      <c r="N637" s="19">
        <v>119.71</v>
      </c>
      <c r="O637" s="19">
        <v>144.31</v>
      </c>
      <c r="P637" s="19">
        <v>148.26</v>
      </c>
      <c r="Q637" s="19">
        <v>151.01</v>
      </c>
      <c r="R637" s="19">
        <v>211.51</v>
      </c>
      <c r="S637" s="19">
        <v>260.71</v>
      </c>
      <c r="T637" s="19">
        <v>248.06</v>
      </c>
      <c r="U637" s="19">
        <v>285.52</v>
      </c>
      <c r="V637" s="19">
        <v>288.81</v>
      </c>
      <c r="W637" s="19">
        <v>263.06</v>
      </c>
      <c r="X637" s="19">
        <v>279</v>
      </c>
      <c r="Y637" s="19">
        <v>254.86</v>
      </c>
      <c r="Z637" s="33" t="s">
        <v>32</v>
      </c>
      <c r="AA637" s="25">
        <f t="shared" si="18"/>
        <v>119.71</v>
      </c>
      <c r="AB637" s="25">
        <f t="shared" si="19"/>
        <v>200.768333333333</v>
      </c>
      <c r="AF637" s="25"/>
      <c r="AG637" s="25"/>
      <c r="AH637" s="25"/>
    </row>
    <row r="638" spans="1:34">
      <c r="A638" s="30">
        <v>45933</v>
      </c>
      <c r="B638" s="19">
        <v>324.89</v>
      </c>
      <c r="C638" s="19">
        <v>305.97</v>
      </c>
      <c r="D638" s="19">
        <v>267.17</v>
      </c>
      <c r="E638" s="19">
        <v>246.36</v>
      </c>
      <c r="F638" s="19">
        <v>245.95</v>
      </c>
      <c r="G638" s="19">
        <v>248.1</v>
      </c>
      <c r="H638" s="19">
        <v>254.84</v>
      </c>
      <c r="I638" s="19">
        <v>249.77</v>
      </c>
      <c r="J638" s="19">
        <v>238.56</v>
      </c>
      <c r="K638" s="19">
        <v>229.48</v>
      </c>
      <c r="L638" s="19">
        <v>222.37</v>
      </c>
      <c r="M638" s="19">
        <v>228.57</v>
      </c>
      <c r="N638" s="19">
        <v>221.16</v>
      </c>
      <c r="O638" s="19">
        <v>230.05</v>
      </c>
      <c r="P638" s="19">
        <v>239.87</v>
      </c>
      <c r="Q638" s="19">
        <v>209.02</v>
      </c>
      <c r="R638" s="19">
        <v>308.13</v>
      </c>
      <c r="S638" s="19">
        <v>339.4</v>
      </c>
      <c r="T638" s="19">
        <v>344.24</v>
      </c>
      <c r="U638" s="19">
        <v>359.29</v>
      </c>
      <c r="V638" s="19">
        <v>349.62</v>
      </c>
      <c r="W638" s="19">
        <v>390.95</v>
      </c>
      <c r="X638" s="19">
        <v>345.72</v>
      </c>
      <c r="Y638" s="19">
        <v>334.47</v>
      </c>
      <c r="Z638" s="32" t="s">
        <v>32</v>
      </c>
      <c r="AA638" s="25">
        <f t="shared" si="18"/>
        <v>209.02</v>
      </c>
      <c r="AB638" s="25">
        <f t="shared" si="19"/>
        <v>280.58125</v>
      </c>
      <c r="AF638" s="25"/>
      <c r="AG638" s="25"/>
      <c r="AH638" s="25"/>
    </row>
    <row r="639" spans="1:34">
      <c r="A639" s="30">
        <v>45934</v>
      </c>
      <c r="B639" s="19">
        <v>377.72</v>
      </c>
      <c r="C639" s="19">
        <v>347.78</v>
      </c>
      <c r="D639" s="19">
        <v>300.76</v>
      </c>
      <c r="E639" s="19">
        <v>284.64</v>
      </c>
      <c r="F639" s="19">
        <v>274.79</v>
      </c>
      <c r="G639" s="19">
        <v>273.64</v>
      </c>
      <c r="H639" s="19">
        <v>266.19</v>
      </c>
      <c r="I639" s="19">
        <v>261.27</v>
      </c>
      <c r="J639" s="19">
        <v>221.53</v>
      </c>
      <c r="K639" s="19">
        <v>175.81</v>
      </c>
      <c r="L639" s="19">
        <v>158.67</v>
      </c>
      <c r="M639" s="19">
        <v>176.62</v>
      </c>
      <c r="N639" s="19">
        <v>173.68</v>
      </c>
      <c r="O639" s="19">
        <v>208.66</v>
      </c>
      <c r="P639" s="19">
        <v>228.84</v>
      </c>
      <c r="Q639" s="19">
        <v>241.75</v>
      </c>
      <c r="R639" s="19">
        <v>291.55</v>
      </c>
      <c r="S639" s="19">
        <v>340.68</v>
      </c>
      <c r="T639" s="19">
        <v>324.33</v>
      </c>
      <c r="U639" s="19">
        <v>348.07</v>
      </c>
      <c r="V639" s="19">
        <v>334.26</v>
      </c>
      <c r="W639" s="19">
        <v>326.38</v>
      </c>
      <c r="X639" s="19">
        <v>317.27</v>
      </c>
      <c r="Y639" s="19">
        <v>292.49</v>
      </c>
      <c r="Z639" s="36" t="s">
        <v>36</v>
      </c>
      <c r="AA639" s="25">
        <f t="shared" si="18"/>
        <v>158.67</v>
      </c>
      <c r="AB639" s="25">
        <f t="shared" si="19"/>
        <v>272.8075</v>
      </c>
      <c r="AF639" s="25"/>
      <c r="AG639" s="25"/>
      <c r="AH639" s="25"/>
    </row>
    <row r="640" spans="1:34">
      <c r="A640" s="30">
        <v>45935</v>
      </c>
      <c r="B640" s="19">
        <v>360.72</v>
      </c>
      <c r="C640" s="19">
        <v>324.58</v>
      </c>
      <c r="D640" s="19">
        <v>288.56</v>
      </c>
      <c r="E640" s="19">
        <v>267.59</v>
      </c>
      <c r="F640" s="19">
        <v>253.78</v>
      </c>
      <c r="G640" s="19">
        <v>251.81</v>
      </c>
      <c r="H640" s="19">
        <v>251.72</v>
      </c>
      <c r="I640" s="19">
        <v>245.72</v>
      </c>
      <c r="J640" s="19">
        <v>241.05</v>
      </c>
      <c r="K640" s="19">
        <v>269.81</v>
      </c>
      <c r="L640" s="19">
        <v>271.19</v>
      </c>
      <c r="M640" s="19">
        <v>267.91</v>
      </c>
      <c r="N640" s="19">
        <v>266.51</v>
      </c>
      <c r="O640" s="19">
        <v>297.32</v>
      </c>
      <c r="P640" s="19">
        <v>306.13</v>
      </c>
      <c r="Q640" s="19">
        <v>311.64</v>
      </c>
      <c r="R640" s="19">
        <v>319.18</v>
      </c>
      <c r="S640" s="19">
        <v>330.73</v>
      </c>
      <c r="T640" s="19">
        <v>313.9</v>
      </c>
      <c r="U640" s="19">
        <v>337.77</v>
      </c>
      <c r="V640" s="19">
        <v>322.33</v>
      </c>
      <c r="W640" s="19">
        <v>316.32</v>
      </c>
      <c r="X640" s="19">
        <v>316.03</v>
      </c>
      <c r="Y640" s="19">
        <v>295.6</v>
      </c>
      <c r="Z640" s="32" t="s">
        <v>32</v>
      </c>
      <c r="AA640" s="25">
        <f t="shared" si="18"/>
        <v>241.05</v>
      </c>
      <c r="AB640" s="25">
        <f t="shared" si="19"/>
        <v>292.829166666667</v>
      </c>
      <c r="AF640" s="25"/>
      <c r="AG640" s="25"/>
      <c r="AH640" s="25"/>
    </row>
    <row r="641" spans="1:34">
      <c r="A641" s="30">
        <v>45936</v>
      </c>
      <c r="B641" s="19">
        <v>274.24</v>
      </c>
      <c r="C641" s="19">
        <v>269.82</v>
      </c>
      <c r="D641" s="19">
        <v>263.77</v>
      </c>
      <c r="E641" s="19">
        <v>237.37</v>
      </c>
      <c r="F641" s="19">
        <v>210.28</v>
      </c>
      <c r="G641" s="19">
        <v>201.64</v>
      </c>
      <c r="H641" s="19">
        <v>184.32</v>
      </c>
      <c r="I641" s="19">
        <v>147.8</v>
      </c>
      <c r="J641" s="19">
        <v>103.32</v>
      </c>
      <c r="K641" s="19">
        <v>85.49</v>
      </c>
      <c r="L641" s="19">
        <v>-18.04</v>
      </c>
      <c r="M641" s="19">
        <v>-6.38</v>
      </c>
      <c r="N641" s="19">
        <v>91.84</v>
      </c>
      <c r="O641" s="19">
        <v>137.95</v>
      </c>
      <c r="P641" s="19">
        <v>126.15</v>
      </c>
      <c r="Q641" s="19">
        <v>145.47</v>
      </c>
      <c r="R641" s="19">
        <v>155.46</v>
      </c>
      <c r="S641" s="19">
        <v>204.78</v>
      </c>
      <c r="T641" s="19">
        <v>232.93</v>
      </c>
      <c r="U641" s="19">
        <v>234.52</v>
      </c>
      <c r="V641" s="19">
        <v>236.09</v>
      </c>
      <c r="W641" s="19">
        <v>248.18</v>
      </c>
      <c r="X641" s="19">
        <v>247.37</v>
      </c>
      <c r="Y641" s="19">
        <v>240.62</v>
      </c>
      <c r="Z641" s="33" t="s">
        <v>32</v>
      </c>
      <c r="AA641" s="25">
        <f t="shared" si="18"/>
        <v>-18.04</v>
      </c>
      <c r="AB641" s="25">
        <f t="shared" si="19"/>
        <v>177.29125</v>
      </c>
      <c r="AF641" s="25"/>
      <c r="AG641" s="25"/>
      <c r="AH641" s="25"/>
    </row>
    <row r="642" spans="1:34">
      <c r="A642" s="30">
        <v>45937</v>
      </c>
      <c r="B642" s="19">
        <v>293.68</v>
      </c>
      <c r="C642" s="19">
        <v>265.17</v>
      </c>
      <c r="D642" s="19">
        <v>247.34</v>
      </c>
      <c r="E642" s="19">
        <v>233.96</v>
      </c>
      <c r="F642" s="19">
        <v>219.19</v>
      </c>
      <c r="G642" s="19">
        <v>215.29</v>
      </c>
      <c r="H642" s="19">
        <v>219.81</v>
      </c>
      <c r="I642" s="19">
        <v>213.38</v>
      </c>
      <c r="J642" s="19">
        <v>212.63</v>
      </c>
      <c r="K642" s="19">
        <v>248.9</v>
      </c>
      <c r="L642" s="19">
        <v>236.74</v>
      </c>
      <c r="M642" s="19">
        <v>234.9</v>
      </c>
      <c r="N642" s="19">
        <v>218.61</v>
      </c>
      <c r="O642" s="19">
        <v>247.14</v>
      </c>
      <c r="P642" s="19">
        <v>270.1</v>
      </c>
      <c r="Q642" s="19">
        <v>285.89</v>
      </c>
      <c r="R642" s="19">
        <v>323.07</v>
      </c>
      <c r="S642" s="19">
        <v>332.53</v>
      </c>
      <c r="T642" s="19">
        <v>323.17</v>
      </c>
      <c r="U642" s="19">
        <v>335.48</v>
      </c>
      <c r="V642" s="19">
        <v>402.02</v>
      </c>
      <c r="W642" s="19">
        <v>326.27</v>
      </c>
      <c r="X642" s="19">
        <v>324.77</v>
      </c>
      <c r="Y642" s="19">
        <v>306.62</v>
      </c>
      <c r="Z642" s="32" t="s">
        <v>32</v>
      </c>
      <c r="AA642" s="25">
        <f t="shared" si="18"/>
        <v>212.63</v>
      </c>
      <c r="AB642" s="25">
        <f t="shared" si="19"/>
        <v>272.360833333333</v>
      </c>
      <c r="AF642" s="25"/>
      <c r="AG642" s="25"/>
      <c r="AH642" s="25"/>
    </row>
    <row r="643" spans="1:34">
      <c r="A643" s="30">
        <v>45938</v>
      </c>
      <c r="B643" s="19">
        <v>353.18</v>
      </c>
      <c r="C643" s="19">
        <v>338.24</v>
      </c>
      <c r="D643" s="19">
        <v>516.65</v>
      </c>
      <c r="E643" s="19">
        <v>529.56</v>
      </c>
      <c r="F643" s="19">
        <v>295.09</v>
      </c>
      <c r="G643" s="19">
        <v>404.81</v>
      </c>
      <c r="H643" s="19">
        <v>424.4</v>
      </c>
      <c r="I643" s="19">
        <v>273.95</v>
      </c>
      <c r="J643" s="19">
        <v>296.45</v>
      </c>
      <c r="K643" s="19">
        <v>303.43</v>
      </c>
      <c r="L643" s="19">
        <v>292.38</v>
      </c>
      <c r="M643" s="19">
        <v>294.08</v>
      </c>
      <c r="N643" s="19">
        <v>254.31</v>
      </c>
      <c r="O643" s="19">
        <v>298.95</v>
      </c>
      <c r="P643" s="19">
        <v>381.87</v>
      </c>
      <c r="Q643" s="19">
        <v>402.82</v>
      </c>
      <c r="R643" s="19">
        <v>388.58</v>
      </c>
      <c r="S643" s="19">
        <v>399.69</v>
      </c>
      <c r="T643" s="19">
        <v>646.57</v>
      </c>
      <c r="U643" s="19">
        <v>481</v>
      </c>
      <c r="V643" s="19">
        <v>427.74</v>
      </c>
      <c r="W643" s="19">
        <v>438.54</v>
      </c>
      <c r="X643" s="19">
        <v>430.45</v>
      </c>
      <c r="Y643" s="19">
        <v>371</v>
      </c>
      <c r="Z643" s="41" t="s">
        <v>31</v>
      </c>
      <c r="AA643" s="25">
        <f t="shared" si="18"/>
        <v>254.31</v>
      </c>
      <c r="AB643" s="25">
        <f t="shared" si="19"/>
        <v>385.155833333333</v>
      </c>
      <c r="AF643" s="25"/>
      <c r="AG643" s="25"/>
      <c r="AH643" s="25"/>
    </row>
    <row r="644" spans="1:34">
      <c r="A644" s="30">
        <v>45939</v>
      </c>
      <c r="B644" s="19">
        <v>394.86</v>
      </c>
      <c r="C644" s="19">
        <v>420.7</v>
      </c>
      <c r="D644" s="19">
        <v>374.83</v>
      </c>
      <c r="E644" s="19">
        <v>337.91</v>
      </c>
      <c r="F644" s="19">
        <v>322.68</v>
      </c>
      <c r="G644" s="19">
        <v>317.97</v>
      </c>
      <c r="H644" s="19">
        <v>293.77</v>
      </c>
      <c r="I644" s="19">
        <v>317.84</v>
      </c>
      <c r="J644" s="19">
        <v>321.89</v>
      </c>
      <c r="K644" s="19">
        <v>339.25</v>
      </c>
      <c r="L644" s="19">
        <v>309.72</v>
      </c>
      <c r="M644" s="19">
        <v>299.12</v>
      </c>
      <c r="N644" s="19">
        <v>287.6</v>
      </c>
      <c r="O644" s="19">
        <v>366.32</v>
      </c>
      <c r="P644" s="19">
        <v>436.85</v>
      </c>
      <c r="Q644" s="19">
        <v>408.38</v>
      </c>
      <c r="R644" s="19">
        <v>436.42</v>
      </c>
      <c r="S644" s="19">
        <v>452.73</v>
      </c>
      <c r="T644" s="19">
        <v>435.86</v>
      </c>
      <c r="U644" s="19">
        <v>509.76</v>
      </c>
      <c r="V644" s="19">
        <v>476.99</v>
      </c>
      <c r="W644" s="19">
        <v>448.35</v>
      </c>
      <c r="X644" s="19">
        <v>417.67</v>
      </c>
      <c r="Y644" s="19">
        <v>351.33</v>
      </c>
      <c r="Z644" s="40" t="s">
        <v>31</v>
      </c>
      <c r="AA644" s="25">
        <f t="shared" si="18"/>
        <v>287.6</v>
      </c>
      <c r="AB644" s="25">
        <f t="shared" si="19"/>
        <v>378.283333333333</v>
      </c>
      <c r="AF644" s="25"/>
      <c r="AG644" s="25"/>
      <c r="AH644" s="25"/>
    </row>
    <row r="645" spans="1:34">
      <c r="A645" s="30">
        <v>45940</v>
      </c>
      <c r="B645" s="19">
        <v>464.57</v>
      </c>
      <c r="C645" s="19">
        <v>478.52</v>
      </c>
      <c r="D645" s="19">
        <v>432.59</v>
      </c>
      <c r="E645" s="19">
        <v>389.74</v>
      </c>
      <c r="F645" s="19">
        <v>347.9</v>
      </c>
      <c r="G645" s="19">
        <v>337.1</v>
      </c>
      <c r="H645" s="19">
        <v>347.34</v>
      </c>
      <c r="I645" s="19">
        <v>327.71</v>
      </c>
      <c r="J645" s="19">
        <v>373.05</v>
      </c>
      <c r="K645" s="19">
        <v>467.31</v>
      </c>
      <c r="L645" s="19">
        <v>379.46</v>
      </c>
      <c r="M645" s="19">
        <v>396.04</v>
      </c>
      <c r="N645" s="19">
        <v>362.4</v>
      </c>
      <c r="O645" s="19">
        <v>426.04</v>
      </c>
      <c r="P645" s="19">
        <v>422.34</v>
      </c>
      <c r="Q645" s="19">
        <v>443.07</v>
      </c>
      <c r="R645" s="19">
        <v>482.1</v>
      </c>
      <c r="S645" s="19">
        <v>533.98</v>
      </c>
      <c r="T645" s="19">
        <v>496.24</v>
      </c>
      <c r="U645" s="19">
        <v>591.51</v>
      </c>
      <c r="V645" s="19">
        <v>525.63</v>
      </c>
      <c r="W645" s="19">
        <v>502.72</v>
      </c>
      <c r="X645" s="19">
        <v>493.88</v>
      </c>
      <c r="Y645" s="19">
        <v>376.69</v>
      </c>
      <c r="Z645" s="41" t="s">
        <v>31</v>
      </c>
      <c r="AA645" s="25">
        <f t="shared" si="18"/>
        <v>327.71</v>
      </c>
      <c r="AB645" s="25">
        <f t="shared" si="19"/>
        <v>433.247083333333</v>
      </c>
      <c r="AF645" s="25"/>
      <c r="AG645" s="25"/>
      <c r="AH645" s="25"/>
    </row>
    <row r="646" spans="1:34">
      <c r="A646" s="30">
        <v>45941</v>
      </c>
      <c r="B646" s="19">
        <v>424.43</v>
      </c>
      <c r="C646" s="19">
        <v>413.72</v>
      </c>
      <c r="D646" s="19">
        <v>356.67</v>
      </c>
      <c r="E646" s="19">
        <v>335.33</v>
      </c>
      <c r="F646" s="19">
        <v>320.87</v>
      </c>
      <c r="G646" s="19">
        <v>315.14</v>
      </c>
      <c r="H646" s="19">
        <v>327.42</v>
      </c>
      <c r="I646" s="19">
        <v>317.54</v>
      </c>
      <c r="J646" s="19">
        <v>317.18</v>
      </c>
      <c r="K646" s="19">
        <v>322.92</v>
      </c>
      <c r="L646" s="19">
        <v>311.47</v>
      </c>
      <c r="M646" s="19">
        <v>298.51</v>
      </c>
      <c r="N646" s="19">
        <v>281.68</v>
      </c>
      <c r="O646" s="19">
        <v>355.93</v>
      </c>
      <c r="P646" s="19">
        <v>411.12</v>
      </c>
      <c r="Q646" s="19">
        <v>459.19</v>
      </c>
      <c r="R646" s="19">
        <v>499.67</v>
      </c>
      <c r="S646" s="19">
        <v>516.94</v>
      </c>
      <c r="T646" s="19">
        <v>498.12</v>
      </c>
      <c r="U646" s="19">
        <v>538.17</v>
      </c>
      <c r="V646" s="19">
        <v>474.49</v>
      </c>
      <c r="W646" s="19">
        <v>460.31</v>
      </c>
      <c r="X646" s="19">
        <v>458.28</v>
      </c>
      <c r="Y646" s="19">
        <v>389.6</v>
      </c>
      <c r="Z646" s="39" t="s">
        <v>35</v>
      </c>
      <c r="AA646" s="25">
        <f t="shared" si="18"/>
        <v>281.68</v>
      </c>
      <c r="AB646" s="25">
        <f t="shared" si="19"/>
        <v>391.8625</v>
      </c>
      <c r="AF646" s="25"/>
      <c r="AG646" s="25"/>
      <c r="AH646" s="25"/>
    </row>
    <row r="647" spans="1:34">
      <c r="A647" s="30">
        <v>45942</v>
      </c>
      <c r="B647" s="19">
        <v>460.23</v>
      </c>
      <c r="C647" s="19">
        <v>471.83</v>
      </c>
      <c r="D647" s="19">
        <v>429.01</v>
      </c>
      <c r="E647" s="19">
        <v>377.44</v>
      </c>
      <c r="F647" s="19">
        <v>334.78</v>
      </c>
      <c r="G647" s="19">
        <v>325.27</v>
      </c>
      <c r="H647" s="19">
        <v>324.5</v>
      </c>
      <c r="I647" s="19">
        <v>310.73</v>
      </c>
      <c r="J647" s="19">
        <v>287.76</v>
      </c>
      <c r="K647" s="19">
        <v>281.32</v>
      </c>
      <c r="L647" s="19">
        <v>278</v>
      </c>
      <c r="M647" s="19">
        <v>285.92</v>
      </c>
      <c r="N647" s="19">
        <v>268.58</v>
      </c>
      <c r="O647" s="19">
        <v>291.68</v>
      </c>
      <c r="P647" s="19">
        <v>309.53</v>
      </c>
      <c r="Q647" s="19">
        <v>315.55</v>
      </c>
      <c r="R647" s="19">
        <v>343.41</v>
      </c>
      <c r="S647" s="19">
        <v>395.09</v>
      </c>
      <c r="T647" s="19">
        <v>428.99</v>
      </c>
      <c r="U647" s="19">
        <v>454.18</v>
      </c>
      <c r="V647" s="19">
        <v>399.26</v>
      </c>
      <c r="W647" s="19">
        <v>407.49</v>
      </c>
      <c r="X647" s="19">
        <v>370.13</v>
      </c>
      <c r="Y647" s="19">
        <v>342.88</v>
      </c>
      <c r="Z647" s="38" t="s">
        <v>35</v>
      </c>
      <c r="AA647" s="25">
        <f t="shared" si="18"/>
        <v>268.58</v>
      </c>
      <c r="AB647" s="25">
        <f t="shared" si="19"/>
        <v>353.898333333333</v>
      </c>
      <c r="AF647" s="25"/>
      <c r="AG647" s="25"/>
      <c r="AH647" s="25"/>
    </row>
    <row r="648" spans="1:34">
      <c r="A648" s="30">
        <v>45943</v>
      </c>
      <c r="B648" s="19">
        <v>452.02</v>
      </c>
      <c r="C648" s="19">
        <v>431.04</v>
      </c>
      <c r="D648" s="19">
        <v>418.91</v>
      </c>
      <c r="E648" s="19">
        <v>398.51</v>
      </c>
      <c r="F648" s="19">
        <v>388.37</v>
      </c>
      <c r="G648" s="19">
        <v>389.62</v>
      </c>
      <c r="H648" s="19">
        <v>413.57</v>
      </c>
      <c r="I648" s="19">
        <v>380.56</v>
      </c>
      <c r="J648" s="19">
        <v>396.27</v>
      </c>
      <c r="K648" s="19">
        <v>450.65</v>
      </c>
      <c r="L648" s="19">
        <v>424.65</v>
      </c>
      <c r="M648" s="19">
        <v>287.83</v>
      </c>
      <c r="N648" s="19">
        <v>349.73</v>
      </c>
      <c r="O648" s="19">
        <v>388.79</v>
      </c>
      <c r="P648" s="19">
        <v>413.36</v>
      </c>
      <c r="Q648" s="19">
        <v>434.08</v>
      </c>
      <c r="R648" s="19">
        <v>452.98</v>
      </c>
      <c r="S648" s="19">
        <v>479.23</v>
      </c>
      <c r="T648" s="19">
        <v>468</v>
      </c>
      <c r="U648" s="19">
        <v>506.62</v>
      </c>
      <c r="V648" s="19">
        <v>472.3</v>
      </c>
      <c r="W648" s="19">
        <v>469.36</v>
      </c>
      <c r="X648" s="19">
        <v>424.65</v>
      </c>
      <c r="Y648" s="19">
        <v>366.32</v>
      </c>
      <c r="Z648" s="40" t="s">
        <v>31</v>
      </c>
      <c r="AA648" s="25">
        <f t="shared" si="18"/>
        <v>287.83</v>
      </c>
      <c r="AB648" s="25">
        <f t="shared" si="19"/>
        <v>419.059166666667</v>
      </c>
      <c r="AF648" s="25"/>
      <c r="AG648" s="25"/>
      <c r="AH648" s="25"/>
    </row>
    <row r="649" spans="1:34">
      <c r="A649" s="30">
        <v>45944</v>
      </c>
      <c r="B649" s="19">
        <v>521.37</v>
      </c>
      <c r="C649" s="19">
        <v>543.75</v>
      </c>
      <c r="D649" s="19">
        <v>448.71</v>
      </c>
      <c r="E649" s="19">
        <v>406.59</v>
      </c>
      <c r="F649" s="19">
        <v>412.02</v>
      </c>
      <c r="G649" s="19">
        <v>392.28</v>
      </c>
      <c r="H649" s="19">
        <v>392.05</v>
      </c>
      <c r="I649" s="19">
        <v>371.02</v>
      </c>
      <c r="J649" s="19">
        <v>452.18</v>
      </c>
      <c r="K649" s="19">
        <v>504</v>
      </c>
      <c r="L649" s="19">
        <v>488.11</v>
      </c>
      <c r="M649" s="19">
        <v>461.29</v>
      </c>
      <c r="N649" s="19">
        <v>394.99</v>
      </c>
      <c r="O649" s="19">
        <v>500.44</v>
      </c>
      <c r="P649" s="19">
        <v>549.56</v>
      </c>
      <c r="Q649" s="19">
        <v>557.36</v>
      </c>
      <c r="R649" s="19">
        <v>548.83</v>
      </c>
      <c r="S649" s="19">
        <v>535.14</v>
      </c>
      <c r="T649" s="19">
        <v>536.36</v>
      </c>
      <c r="U649" s="19">
        <v>595.96</v>
      </c>
      <c r="V649" s="19">
        <v>541.84</v>
      </c>
      <c r="W649" s="19">
        <v>572.34</v>
      </c>
      <c r="X649" s="19">
        <v>543.6</v>
      </c>
      <c r="Y649" s="19">
        <v>404.42</v>
      </c>
      <c r="Z649" s="38" t="s">
        <v>35</v>
      </c>
      <c r="AA649" s="25">
        <f t="shared" si="18"/>
        <v>371.02</v>
      </c>
      <c r="AB649" s="25">
        <f t="shared" si="19"/>
        <v>486.425416666667</v>
      </c>
      <c r="AF649" s="25"/>
      <c r="AG649" s="25"/>
      <c r="AH649" s="25"/>
    </row>
    <row r="650" spans="1:34">
      <c r="A650" s="30">
        <v>45945</v>
      </c>
      <c r="B650" s="19">
        <v>521.34</v>
      </c>
      <c r="C650" s="19">
        <v>544.64</v>
      </c>
      <c r="D650" s="19">
        <v>464.4</v>
      </c>
      <c r="E650" s="19">
        <v>458.23</v>
      </c>
      <c r="F650" s="19">
        <v>422.95</v>
      </c>
      <c r="G650" s="19">
        <v>429.91</v>
      </c>
      <c r="H650" s="19">
        <v>442.67</v>
      </c>
      <c r="I650" s="19">
        <v>417.86</v>
      </c>
      <c r="J650" s="19">
        <v>452.35</v>
      </c>
      <c r="K650" s="19">
        <v>474.69</v>
      </c>
      <c r="L650" s="19">
        <v>536.62</v>
      </c>
      <c r="M650" s="19">
        <v>465.09</v>
      </c>
      <c r="N650" s="19">
        <v>402.57</v>
      </c>
      <c r="O650" s="19">
        <v>458.06</v>
      </c>
      <c r="P650" s="19">
        <v>473.69</v>
      </c>
      <c r="Q650" s="19">
        <v>523.38</v>
      </c>
      <c r="R650" s="19">
        <v>633.39</v>
      </c>
      <c r="S650" s="19">
        <v>616.5</v>
      </c>
      <c r="T650" s="19">
        <v>577.27</v>
      </c>
      <c r="U650" s="19">
        <v>655.17</v>
      </c>
      <c r="V650" s="19">
        <v>568.14</v>
      </c>
      <c r="W650" s="19">
        <v>586.77</v>
      </c>
      <c r="X650" s="19">
        <v>545.36</v>
      </c>
      <c r="Y650" s="19">
        <v>421.84</v>
      </c>
      <c r="Z650" s="39" t="s">
        <v>35</v>
      </c>
      <c r="AA650" s="25">
        <f t="shared" si="18"/>
        <v>402.57</v>
      </c>
      <c r="AB650" s="25">
        <f t="shared" si="19"/>
        <v>503.870416666667</v>
      </c>
      <c r="AF650" s="25"/>
      <c r="AG650" s="25"/>
      <c r="AH650" s="25"/>
    </row>
    <row r="651" spans="1:34">
      <c r="A651" s="30">
        <v>45946</v>
      </c>
      <c r="B651" s="19">
        <v>478.77</v>
      </c>
      <c r="C651" s="19">
        <v>513.57</v>
      </c>
      <c r="D651" s="19">
        <v>491.22</v>
      </c>
      <c r="E651" s="19">
        <v>488.37</v>
      </c>
      <c r="F651" s="19">
        <v>446.03</v>
      </c>
      <c r="G651" s="19">
        <v>425.55</v>
      </c>
      <c r="H651" s="19">
        <v>442.09</v>
      </c>
      <c r="I651" s="19">
        <v>424.94</v>
      </c>
      <c r="J651" s="19">
        <v>437.28</v>
      </c>
      <c r="K651" s="19">
        <v>438.89</v>
      </c>
      <c r="L651" s="19">
        <v>407.11</v>
      </c>
      <c r="M651" s="19">
        <v>524.57</v>
      </c>
      <c r="N651" s="19">
        <v>399.22</v>
      </c>
      <c r="O651" s="19">
        <v>395.55</v>
      </c>
      <c r="P651" s="19">
        <v>456.71</v>
      </c>
      <c r="Q651" s="19">
        <v>529.6</v>
      </c>
      <c r="R651" s="19">
        <v>494.39</v>
      </c>
      <c r="S651" s="19">
        <v>519.31</v>
      </c>
      <c r="T651" s="19">
        <v>524.44</v>
      </c>
      <c r="U651" s="19">
        <v>563.91</v>
      </c>
      <c r="V651" s="19">
        <v>549.88</v>
      </c>
      <c r="W651" s="19">
        <v>561.18</v>
      </c>
      <c r="X651" s="19">
        <v>512.21</v>
      </c>
      <c r="Y651" s="19">
        <v>460.69</v>
      </c>
      <c r="Z651" s="33" t="s">
        <v>32</v>
      </c>
      <c r="AA651" s="25">
        <f t="shared" si="18"/>
        <v>395.55</v>
      </c>
      <c r="AB651" s="25">
        <f t="shared" si="19"/>
        <v>478.561666666667</v>
      </c>
      <c r="AF651" s="25"/>
      <c r="AG651" s="25"/>
      <c r="AH651" s="25"/>
    </row>
    <row r="652" spans="1:34">
      <c r="A652" s="30">
        <v>45947</v>
      </c>
      <c r="B652" s="19">
        <v>453.51</v>
      </c>
      <c r="C652" s="19">
        <v>446.34</v>
      </c>
      <c r="D652" s="19">
        <v>441.32</v>
      </c>
      <c r="E652" s="19">
        <v>442.16</v>
      </c>
      <c r="F652" s="19">
        <v>400.15</v>
      </c>
      <c r="G652" s="19">
        <v>392.68</v>
      </c>
      <c r="H652" s="19">
        <v>430.81</v>
      </c>
      <c r="I652" s="19">
        <v>413.96</v>
      </c>
      <c r="J652" s="19">
        <v>403.1</v>
      </c>
      <c r="K652" s="19">
        <v>423.55</v>
      </c>
      <c r="L652" s="19">
        <v>388.87</v>
      </c>
      <c r="M652" s="19">
        <v>365.49</v>
      </c>
      <c r="N652" s="19">
        <v>326.48</v>
      </c>
      <c r="O652" s="19">
        <v>380.31</v>
      </c>
      <c r="P652" s="19">
        <v>401.65</v>
      </c>
      <c r="Q652" s="19">
        <v>473.56</v>
      </c>
      <c r="R652" s="19">
        <v>479.02</v>
      </c>
      <c r="S652" s="19">
        <v>517.26</v>
      </c>
      <c r="T652" s="19">
        <v>540.82</v>
      </c>
      <c r="U652" s="19">
        <v>586.04</v>
      </c>
      <c r="V652" s="19">
        <v>498</v>
      </c>
      <c r="W652" s="19">
        <v>497.11</v>
      </c>
      <c r="X652" s="19">
        <v>490.47</v>
      </c>
      <c r="Y652" s="19">
        <v>460.12</v>
      </c>
      <c r="Z652" s="32" t="s">
        <v>32</v>
      </c>
      <c r="AA652" s="25">
        <f t="shared" si="18"/>
        <v>326.48</v>
      </c>
      <c r="AB652" s="25">
        <f t="shared" si="19"/>
        <v>443.865833333333</v>
      </c>
      <c r="AF652" s="25"/>
      <c r="AG652" s="25"/>
      <c r="AH652" s="25"/>
    </row>
    <row r="653" spans="1:34">
      <c r="A653" s="30">
        <v>45948</v>
      </c>
      <c r="B653" s="19">
        <v>521.54</v>
      </c>
      <c r="C653" s="19">
        <v>492.42</v>
      </c>
      <c r="D653" s="19">
        <v>470.11</v>
      </c>
      <c r="E653" s="19">
        <v>446.76</v>
      </c>
      <c r="F653" s="19">
        <v>446.98</v>
      </c>
      <c r="G653" s="19">
        <v>429.34</v>
      </c>
      <c r="H653" s="19">
        <v>422.36</v>
      </c>
      <c r="I653" s="19">
        <v>401</v>
      </c>
      <c r="J653" s="19">
        <v>389.77</v>
      </c>
      <c r="K653" s="19">
        <v>382.98</v>
      </c>
      <c r="L653" s="19">
        <v>358.03</v>
      </c>
      <c r="M653" s="19">
        <v>361.08</v>
      </c>
      <c r="N653" s="19">
        <v>324.87</v>
      </c>
      <c r="O653" s="19">
        <v>370.96</v>
      </c>
      <c r="P653" s="19">
        <v>370.02</v>
      </c>
      <c r="Q653" s="19">
        <v>416.92</v>
      </c>
      <c r="R653" s="19">
        <v>462.88</v>
      </c>
      <c r="S653" s="19">
        <v>493.45</v>
      </c>
      <c r="T653" s="19">
        <v>397.06</v>
      </c>
      <c r="U653" s="19">
        <v>502.55</v>
      </c>
      <c r="V653" s="19">
        <v>505.06</v>
      </c>
      <c r="W653" s="19">
        <v>531.1</v>
      </c>
      <c r="X653" s="19">
        <v>470.25</v>
      </c>
      <c r="Y653" s="19">
        <v>471.17</v>
      </c>
      <c r="Z653" s="33" t="s">
        <v>32</v>
      </c>
      <c r="AA653" s="25">
        <f t="shared" si="18"/>
        <v>324.87</v>
      </c>
      <c r="AB653" s="25">
        <f t="shared" si="19"/>
        <v>434.944166666667</v>
      </c>
      <c r="AF653" s="25"/>
      <c r="AG653" s="25"/>
      <c r="AH653" s="25"/>
    </row>
    <row r="654" spans="1:34">
      <c r="A654" s="30">
        <v>45949</v>
      </c>
      <c r="B654" s="19">
        <v>528.68</v>
      </c>
      <c r="C654" s="19">
        <v>491.62</v>
      </c>
      <c r="D654" s="19">
        <v>471.51</v>
      </c>
      <c r="E654" s="19">
        <v>455.39</v>
      </c>
      <c r="F654" s="19">
        <v>458.95</v>
      </c>
      <c r="G654" s="19">
        <v>443.25</v>
      </c>
      <c r="H654" s="19">
        <v>427.81</v>
      </c>
      <c r="I654" s="19">
        <v>380.4</v>
      </c>
      <c r="J654" s="19">
        <v>330.41</v>
      </c>
      <c r="K654" s="19">
        <v>331.74</v>
      </c>
      <c r="L654" s="19">
        <v>292.93</v>
      </c>
      <c r="M654" s="19">
        <v>290.1</v>
      </c>
      <c r="N654" s="19">
        <v>285.62</v>
      </c>
      <c r="O654" s="19">
        <v>313.62</v>
      </c>
      <c r="P654" s="19">
        <v>334.92</v>
      </c>
      <c r="Q654" s="19">
        <v>339.96</v>
      </c>
      <c r="R654" s="19">
        <v>450.61</v>
      </c>
      <c r="S654" s="19">
        <v>488.12</v>
      </c>
      <c r="T654" s="19">
        <v>479.36</v>
      </c>
      <c r="U654" s="19">
        <v>482.31</v>
      </c>
      <c r="V654" s="19">
        <v>470.08</v>
      </c>
      <c r="W654" s="19">
        <v>470.72</v>
      </c>
      <c r="X654" s="19">
        <v>447.9</v>
      </c>
      <c r="Y654" s="19">
        <v>343.37</v>
      </c>
      <c r="Z654" s="37" t="s">
        <v>37</v>
      </c>
      <c r="AA654" s="25">
        <f t="shared" si="18"/>
        <v>285.62</v>
      </c>
      <c r="AB654" s="25">
        <f t="shared" si="19"/>
        <v>408.724166666667</v>
      </c>
      <c r="AF654" s="25"/>
      <c r="AG654" s="25"/>
      <c r="AH654" s="25"/>
    </row>
    <row r="655" spans="1:34">
      <c r="A655" s="30">
        <v>45950</v>
      </c>
      <c r="B655" s="19">
        <v>538.76</v>
      </c>
      <c r="C655" s="19">
        <v>526.13</v>
      </c>
      <c r="D655" s="19">
        <v>474.16</v>
      </c>
      <c r="E655" s="19">
        <v>431.93</v>
      </c>
      <c r="F655" s="19">
        <v>404.54</v>
      </c>
      <c r="G655" s="19">
        <v>345.34</v>
      </c>
      <c r="H655" s="19">
        <v>501.1</v>
      </c>
      <c r="I655" s="19">
        <v>518.06</v>
      </c>
      <c r="J655" s="19">
        <v>492.29</v>
      </c>
      <c r="K655" s="19">
        <v>550.52</v>
      </c>
      <c r="L655" s="19">
        <v>527.22</v>
      </c>
      <c r="M655" s="19">
        <v>616</v>
      </c>
      <c r="N655" s="19">
        <v>434.61</v>
      </c>
      <c r="O655" s="19">
        <v>584.81</v>
      </c>
      <c r="P655" s="19">
        <v>614.59</v>
      </c>
      <c r="Q655" s="19">
        <v>684.19</v>
      </c>
      <c r="R655" s="19">
        <v>541.38</v>
      </c>
      <c r="S655" s="19">
        <v>531.88</v>
      </c>
      <c r="T655" s="19">
        <v>546.25</v>
      </c>
      <c r="U655" s="19">
        <v>555.11</v>
      </c>
      <c r="V655" s="19">
        <v>478.09</v>
      </c>
      <c r="W655" s="19">
        <v>498.19</v>
      </c>
      <c r="X655" s="19">
        <v>408.6</v>
      </c>
      <c r="Y655" s="19">
        <v>297.52</v>
      </c>
      <c r="Z655" s="33" t="s">
        <v>32</v>
      </c>
      <c r="AA655" s="25">
        <f t="shared" si="18"/>
        <v>297.52</v>
      </c>
      <c r="AB655" s="25">
        <f t="shared" si="19"/>
        <v>504.219583333333</v>
      </c>
      <c r="AF655" s="25"/>
      <c r="AG655" s="25"/>
      <c r="AH655" s="25"/>
    </row>
    <row r="656" spans="1:34">
      <c r="A656" s="30">
        <v>45951</v>
      </c>
      <c r="B656" s="19">
        <v>273.07</v>
      </c>
      <c r="C656" s="19">
        <v>441.06</v>
      </c>
      <c r="D656" s="19">
        <v>432.41</v>
      </c>
      <c r="E656" s="19">
        <v>403.5</v>
      </c>
      <c r="F656" s="19">
        <v>292.53</v>
      </c>
      <c r="G656" s="19">
        <v>285.49</v>
      </c>
      <c r="H656" s="19">
        <v>375.26</v>
      </c>
      <c r="I656" s="19">
        <v>388.48</v>
      </c>
      <c r="J656" s="19">
        <v>422.53</v>
      </c>
      <c r="K656" s="19">
        <v>384.2</v>
      </c>
      <c r="L656" s="19">
        <v>334.99</v>
      </c>
      <c r="M656" s="19">
        <v>317.14</v>
      </c>
      <c r="N656" s="19">
        <v>277.27</v>
      </c>
      <c r="O656" s="19">
        <v>353.33</v>
      </c>
      <c r="P656" s="19">
        <v>338.46</v>
      </c>
      <c r="Q656" s="19">
        <v>338.01</v>
      </c>
      <c r="R656" s="19">
        <v>377.82</v>
      </c>
      <c r="S656" s="19">
        <v>387.71</v>
      </c>
      <c r="T656" s="19">
        <v>415.05</v>
      </c>
      <c r="U656" s="19">
        <v>470.68</v>
      </c>
      <c r="V656" s="19">
        <v>381.03</v>
      </c>
      <c r="W656" s="19">
        <v>320.8</v>
      </c>
      <c r="X656" s="19">
        <v>265.17</v>
      </c>
      <c r="Y656" s="19">
        <v>235.66</v>
      </c>
      <c r="Z656" s="32" t="s">
        <v>32</v>
      </c>
      <c r="AA656" s="25">
        <f t="shared" si="18"/>
        <v>235.66</v>
      </c>
      <c r="AB656" s="25">
        <f t="shared" si="19"/>
        <v>354.652083333333</v>
      </c>
      <c r="AF656" s="25"/>
      <c r="AG656" s="25"/>
      <c r="AH656" s="25"/>
    </row>
    <row r="657" spans="1:34">
      <c r="A657" s="30">
        <v>45952</v>
      </c>
      <c r="B657" s="19">
        <v>232.38</v>
      </c>
      <c r="C657" s="19">
        <v>259.08</v>
      </c>
      <c r="D657" s="19">
        <v>254.97</v>
      </c>
      <c r="E657" s="19">
        <v>247.28</v>
      </c>
      <c r="F657" s="19">
        <v>239.33</v>
      </c>
      <c r="G657" s="19">
        <v>239.32</v>
      </c>
      <c r="H657" s="19">
        <v>257.45</v>
      </c>
      <c r="I657" s="19">
        <v>293.49</v>
      </c>
      <c r="J657" s="19">
        <v>307.76</v>
      </c>
      <c r="K657" s="19">
        <v>319.38</v>
      </c>
      <c r="L657" s="19">
        <v>253.69</v>
      </c>
      <c r="M657" s="19">
        <v>332.03</v>
      </c>
      <c r="N657" s="19">
        <v>208.42</v>
      </c>
      <c r="O657" s="19">
        <v>231.67</v>
      </c>
      <c r="P657" s="19">
        <v>240.79</v>
      </c>
      <c r="Q657" s="19">
        <v>259.11</v>
      </c>
      <c r="R657" s="19">
        <v>283.19</v>
      </c>
      <c r="S657" s="19">
        <v>303.4</v>
      </c>
      <c r="T657" s="19">
        <v>311.38</v>
      </c>
      <c r="U657" s="19">
        <v>237.84</v>
      </c>
      <c r="V657" s="19">
        <v>308.66</v>
      </c>
      <c r="W657" s="19">
        <v>290.81</v>
      </c>
      <c r="X657" s="19">
        <v>262.49</v>
      </c>
      <c r="Y657" s="19">
        <v>249.67</v>
      </c>
      <c r="Z657" s="33" t="s">
        <v>32</v>
      </c>
      <c r="AA657" s="25">
        <f t="shared" si="18"/>
        <v>208.42</v>
      </c>
      <c r="AB657" s="25">
        <f t="shared" si="19"/>
        <v>267.649583333333</v>
      </c>
      <c r="AF657" s="25"/>
      <c r="AG657" s="25"/>
      <c r="AH657" s="25"/>
    </row>
    <row r="658" spans="1:34">
      <c r="A658" s="30">
        <v>45953</v>
      </c>
      <c r="B658" s="19">
        <v>214.67</v>
      </c>
      <c r="C658" s="19">
        <v>240.73</v>
      </c>
      <c r="D658" s="19">
        <v>233.37</v>
      </c>
      <c r="E658" s="19">
        <v>199.55</v>
      </c>
      <c r="F658" s="19">
        <v>198.15</v>
      </c>
      <c r="G658" s="19">
        <v>200.95</v>
      </c>
      <c r="H658" s="19">
        <v>243.38</v>
      </c>
      <c r="I658" s="19">
        <v>253.8</v>
      </c>
      <c r="J658" s="19">
        <v>268.52</v>
      </c>
      <c r="K658" s="19">
        <v>273.18</v>
      </c>
      <c r="L658" s="19">
        <v>279.76</v>
      </c>
      <c r="M658" s="19">
        <v>281.97</v>
      </c>
      <c r="N658" s="19">
        <v>160.04</v>
      </c>
      <c r="O658" s="19">
        <v>157.13</v>
      </c>
      <c r="P658" s="19">
        <v>244.41</v>
      </c>
      <c r="Q658" s="19">
        <v>265.15</v>
      </c>
      <c r="R658" s="19">
        <v>268.71</v>
      </c>
      <c r="S658" s="19">
        <v>292.68</v>
      </c>
      <c r="T658" s="19">
        <v>312.2</v>
      </c>
      <c r="U658" s="19">
        <v>310.94</v>
      </c>
      <c r="V658" s="19">
        <v>301.02</v>
      </c>
      <c r="W658" s="19">
        <v>294.55</v>
      </c>
      <c r="X658" s="19">
        <v>272</v>
      </c>
      <c r="Y658" s="19">
        <v>249.09</v>
      </c>
      <c r="Z658" s="32" t="s">
        <v>32</v>
      </c>
      <c r="AA658" s="25">
        <f t="shared" si="18"/>
        <v>157.13</v>
      </c>
      <c r="AB658" s="25">
        <f t="shared" si="19"/>
        <v>250.664583333333</v>
      </c>
      <c r="AF658" s="25"/>
      <c r="AG658" s="25"/>
      <c r="AH658" s="25"/>
    </row>
    <row r="659" spans="1:34">
      <c r="A659" s="30">
        <v>45954</v>
      </c>
      <c r="B659" s="19">
        <v>225.11</v>
      </c>
      <c r="C659" s="19">
        <v>257.5</v>
      </c>
      <c r="D659" s="19">
        <v>245.01</v>
      </c>
      <c r="E659" s="19">
        <v>302.87</v>
      </c>
      <c r="F659" s="19">
        <v>249.03</v>
      </c>
      <c r="G659" s="19">
        <v>199.67</v>
      </c>
      <c r="H659" s="19">
        <v>247.46</v>
      </c>
      <c r="I659" s="19">
        <v>258.32</v>
      </c>
      <c r="J659" s="19">
        <v>270.08</v>
      </c>
      <c r="K659" s="19">
        <v>281.75</v>
      </c>
      <c r="L659" s="19">
        <v>208.55</v>
      </c>
      <c r="M659" s="19">
        <v>196.58</v>
      </c>
      <c r="N659" s="19">
        <v>145.48</v>
      </c>
      <c r="O659" s="19">
        <v>276.03</v>
      </c>
      <c r="P659" s="19">
        <v>237.89</v>
      </c>
      <c r="Q659" s="19">
        <v>219.68</v>
      </c>
      <c r="R659" s="19">
        <v>262.77</v>
      </c>
      <c r="S659" s="19">
        <v>283.58</v>
      </c>
      <c r="T659" s="19">
        <v>315.15</v>
      </c>
      <c r="U659" s="19">
        <v>317.05</v>
      </c>
      <c r="V659" s="19">
        <v>296.03</v>
      </c>
      <c r="W659" s="19">
        <v>285.39</v>
      </c>
      <c r="X659" s="19">
        <v>266.65</v>
      </c>
      <c r="Y659" s="19">
        <v>247.06</v>
      </c>
      <c r="Z659" s="33" t="s">
        <v>32</v>
      </c>
      <c r="AA659" s="25">
        <f t="shared" si="18"/>
        <v>145.48</v>
      </c>
      <c r="AB659" s="25">
        <f t="shared" si="19"/>
        <v>253.945416666667</v>
      </c>
      <c r="AF659" s="25"/>
      <c r="AG659" s="25"/>
      <c r="AH659" s="25"/>
    </row>
    <row r="660" spans="1:34">
      <c r="A660" s="30">
        <v>45955</v>
      </c>
      <c r="B660" s="19">
        <v>186.91</v>
      </c>
      <c r="C660" s="19">
        <v>251.53</v>
      </c>
      <c r="D660" s="19">
        <v>248.09</v>
      </c>
      <c r="E660" s="19">
        <v>231.06</v>
      </c>
      <c r="F660" s="19">
        <v>208.6</v>
      </c>
      <c r="G660" s="19">
        <v>208.02</v>
      </c>
      <c r="H660" s="19">
        <v>243.56</v>
      </c>
      <c r="I660" s="19">
        <v>229.85</v>
      </c>
      <c r="J660" s="19">
        <v>248.49</v>
      </c>
      <c r="K660" s="19">
        <v>209.6</v>
      </c>
      <c r="L660" s="19">
        <v>206.69</v>
      </c>
      <c r="M660" s="19">
        <v>208.51</v>
      </c>
      <c r="N660" s="19">
        <v>134.04</v>
      </c>
      <c r="O660" s="19">
        <v>222.51</v>
      </c>
      <c r="P660" s="19">
        <v>251.74</v>
      </c>
      <c r="Q660" s="19">
        <v>196.64</v>
      </c>
      <c r="R660" s="19">
        <v>255.24</v>
      </c>
      <c r="S660" s="19">
        <v>282.76</v>
      </c>
      <c r="T660" s="19">
        <v>306.02</v>
      </c>
      <c r="U660" s="19">
        <v>303.29</v>
      </c>
      <c r="V660" s="19">
        <v>288.97</v>
      </c>
      <c r="W660" s="19">
        <v>285.27</v>
      </c>
      <c r="X660" s="19">
        <v>271.25</v>
      </c>
      <c r="Y660" s="19">
        <v>218.41</v>
      </c>
      <c r="Z660" s="34" t="s">
        <v>36</v>
      </c>
      <c r="AA660" s="25">
        <f t="shared" si="18"/>
        <v>134.04</v>
      </c>
      <c r="AB660" s="25">
        <f t="shared" si="19"/>
        <v>237.377083333333</v>
      </c>
      <c r="AF660" s="25"/>
      <c r="AG660" s="25"/>
      <c r="AH660" s="25"/>
    </row>
    <row r="661" spans="1:34">
      <c r="A661" s="30">
        <v>45956</v>
      </c>
      <c r="B661" s="19">
        <v>259.68</v>
      </c>
      <c r="C661" s="19">
        <v>260.59</v>
      </c>
      <c r="D661" s="19">
        <v>253.85</v>
      </c>
      <c r="E661" s="19">
        <v>249.33</v>
      </c>
      <c r="F661" s="19">
        <v>252</v>
      </c>
      <c r="G661" s="19">
        <v>280.59</v>
      </c>
      <c r="H661" s="19">
        <v>257.72</v>
      </c>
      <c r="I661" s="19">
        <v>242.3</v>
      </c>
      <c r="J661" s="19">
        <v>224.22</v>
      </c>
      <c r="K661" s="19">
        <v>203.88</v>
      </c>
      <c r="L661" s="19">
        <v>116.7</v>
      </c>
      <c r="M661" s="19">
        <v>91.09</v>
      </c>
      <c r="N661" s="19">
        <v>3.49</v>
      </c>
      <c r="O661" s="19">
        <v>78.53</v>
      </c>
      <c r="P661" s="19">
        <v>66.84</v>
      </c>
      <c r="Q661" s="19">
        <v>196.28</v>
      </c>
      <c r="R661" s="19">
        <v>240.66</v>
      </c>
      <c r="S661" s="19">
        <v>276.35</v>
      </c>
      <c r="T661" s="19">
        <v>327.21</v>
      </c>
      <c r="U661" s="19">
        <v>343.85</v>
      </c>
      <c r="V661" s="19">
        <v>296.02</v>
      </c>
      <c r="W661" s="19">
        <v>284.51</v>
      </c>
      <c r="X661" s="19">
        <v>267.85</v>
      </c>
      <c r="Y661" s="19">
        <v>244.56</v>
      </c>
      <c r="Z661" s="35" t="s">
        <v>37</v>
      </c>
      <c r="AA661" s="25">
        <f t="shared" si="18"/>
        <v>3.49</v>
      </c>
      <c r="AB661" s="25">
        <f t="shared" si="19"/>
        <v>221.5875</v>
      </c>
      <c r="AF661" s="25"/>
      <c r="AG661" s="25"/>
      <c r="AH661" s="25"/>
    </row>
    <row r="662" spans="1:34">
      <c r="A662" s="30">
        <v>45957</v>
      </c>
      <c r="B662" s="19">
        <v>206.63</v>
      </c>
      <c r="C662" s="19">
        <v>309.8</v>
      </c>
      <c r="D662" s="19">
        <v>288.39</v>
      </c>
      <c r="E662" s="19">
        <v>282.51</v>
      </c>
      <c r="F662" s="19">
        <v>239.39</v>
      </c>
      <c r="G662" s="19">
        <v>222.74</v>
      </c>
      <c r="H662" s="19">
        <v>217.49</v>
      </c>
      <c r="I662" s="19">
        <v>231.95</v>
      </c>
      <c r="J662" s="19">
        <v>254.54</v>
      </c>
      <c r="K662" s="19">
        <v>308.15</v>
      </c>
      <c r="L662" s="19">
        <v>318.4</v>
      </c>
      <c r="M662" s="19">
        <v>313.81</v>
      </c>
      <c r="N662" s="19">
        <v>25.99</v>
      </c>
      <c r="O662" s="19">
        <v>287.64</v>
      </c>
      <c r="P662" s="19">
        <v>306.93</v>
      </c>
      <c r="Q662" s="19">
        <v>294.46</v>
      </c>
      <c r="R662" s="19">
        <v>268.4</v>
      </c>
      <c r="S662" s="19">
        <v>304.15</v>
      </c>
      <c r="T662" s="19">
        <v>344.37</v>
      </c>
      <c r="U662" s="19">
        <v>388.42</v>
      </c>
      <c r="V662" s="19">
        <v>306.08</v>
      </c>
      <c r="W662" s="19">
        <v>310.3</v>
      </c>
      <c r="X662" s="19">
        <v>273.82</v>
      </c>
      <c r="Y662" s="19">
        <v>235.25</v>
      </c>
      <c r="Z662" s="32" t="s">
        <v>32</v>
      </c>
      <c r="AA662" s="25">
        <f t="shared" si="18"/>
        <v>25.99</v>
      </c>
      <c r="AB662" s="25">
        <f t="shared" si="19"/>
        <v>272.48375</v>
      </c>
      <c r="AF662" s="25"/>
      <c r="AG662" s="25"/>
      <c r="AH662" s="25"/>
    </row>
    <row r="663" spans="1:34">
      <c r="A663" s="30">
        <v>45958</v>
      </c>
      <c r="B663" s="19">
        <v>263.85</v>
      </c>
      <c r="C663" s="19">
        <v>332.33</v>
      </c>
      <c r="D663" s="19">
        <v>374.42</v>
      </c>
      <c r="E663" s="19">
        <v>368.28</v>
      </c>
      <c r="F663" s="19">
        <v>267.13</v>
      </c>
      <c r="G663" s="19">
        <v>166.05</v>
      </c>
      <c r="H663" s="19">
        <v>247.71</v>
      </c>
      <c r="I663" s="19">
        <v>251.72</v>
      </c>
      <c r="J663" s="19">
        <v>265.66</v>
      </c>
      <c r="K663" s="19">
        <v>342.71</v>
      </c>
      <c r="L663" s="19">
        <v>201.53</v>
      </c>
      <c r="M663" s="19">
        <v>179.69</v>
      </c>
      <c r="N663" s="19">
        <v>95.39</v>
      </c>
      <c r="O663" s="19">
        <v>165.71</v>
      </c>
      <c r="P663" s="19">
        <v>189.41</v>
      </c>
      <c r="Q663" s="19">
        <v>229.75</v>
      </c>
      <c r="R663" s="19">
        <v>273.86</v>
      </c>
      <c r="S663" s="19">
        <v>353.63</v>
      </c>
      <c r="T663" s="19">
        <v>364.59</v>
      </c>
      <c r="U663" s="19">
        <v>394.87</v>
      </c>
      <c r="V663" s="19">
        <v>317.94</v>
      </c>
      <c r="W663" s="19">
        <v>284.17</v>
      </c>
      <c r="X663" s="19">
        <v>254.4</v>
      </c>
      <c r="Y663" s="19">
        <v>229.46</v>
      </c>
      <c r="Z663" s="33" t="s">
        <v>32</v>
      </c>
      <c r="AA663" s="25">
        <f t="shared" si="18"/>
        <v>95.39</v>
      </c>
      <c r="AB663" s="25">
        <f t="shared" si="19"/>
        <v>267.260833333333</v>
      </c>
      <c r="AF663" s="25"/>
      <c r="AG663" s="25"/>
      <c r="AH663" s="25"/>
    </row>
    <row r="664" spans="1:34">
      <c r="A664" s="30">
        <v>45959</v>
      </c>
      <c r="B664" s="19">
        <v>264.56</v>
      </c>
      <c r="C664" s="19">
        <v>323.07</v>
      </c>
      <c r="D664" s="19">
        <v>290.99</v>
      </c>
      <c r="E664" s="19">
        <v>240.41</v>
      </c>
      <c r="F664" s="19">
        <v>208.85</v>
      </c>
      <c r="G664" s="19">
        <v>243.6</v>
      </c>
      <c r="H664" s="19">
        <v>283.17</v>
      </c>
      <c r="I664" s="19">
        <v>247.48</v>
      </c>
      <c r="J664" s="19">
        <v>255.47</v>
      </c>
      <c r="K664" s="19">
        <v>307.53</v>
      </c>
      <c r="L664" s="19">
        <v>332.88</v>
      </c>
      <c r="M664" s="19">
        <v>251.55</v>
      </c>
      <c r="N664" s="19">
        <v>157.87</v>
      </c>
      <c r="O664" s="19">
        <v>183.25</v>
      </c>
      <c r="P664" s="19">
        <v>213.07</v>
      </c>
      <c r="Q664" s="19">
        <v>246.57</v>
      </c>
      <c r="R664" s="19">
        <v>273</v>
      </c>
      <c r="S664" s="19">
        <v>284</v>
      </c>
      <c r="T664" s="19">
        <v>326.65</v>
      </c>
      <c r="U664" s="19">
        <v>318.34</v>
      </c>
      <c r="V664" s="19">
        <v>315.27</v>
      </c>
      <c r="W664" s="19">
        <v>293.65</v>
      </c>
      <c r="X664" s="19">
        <v>265.09</v>
      </c>
      <c r="Y664" s="19">
        <v>226.58</v>
      </c>
      <c r="Z664" s="32" t="s">
        <v>32</v>
      </c>
      <c r="AA664" s="25">
        <f t="shared" si="18"/>
        <v>157.87</v>
      </c>
      <c r="AB664" s="25">
        <f t="shared" si="19"/>
        <v>264.704166666667</v>
      </c>
      <c r="AF664" s="25"/>
      <c r="AG664" s="25"/>
      <c r="AH664" s="25"/>
    </row>
    <row r="665" spans="1:34">
      <c r="A665" s="30">
        <v>45960</v>
      </c>
      <c r="B665" s="19">
        <v>255.58</v>
      </c>
      <c r="C665" s="19">
        <v>259.34</v>
      </c>
      <c r="D665" s="19">
        <v>221.64</v>
      </c>
      <c r="E665" s="19">
        <v>245.76</v>
      </c>
      <c r="F665" s="19">
        <v>238.1</v>
      </c>
      <c r="G665" s="19">
        <v>240.49</v>
      </c>
      <c r="H665" s="19">
        <v>254.95</v>
      </c>
      <c r="I665" s="19">
        <v>271.32</v>
      </c>
      <c r="J665" s="19">
        <v>270.94</v>
      </c>
      <c r="K665" s="19">
        <v>293.78</v>
      </c>
      <c r="L665" s="19">
        <v>253.5</v>
      </c>
      <c r="M665" s="19">
        <v>226.02</v>
      </c>
      <c r="N665" s="19">
        <v>206.71</v>
      </c>
      <c r="O665" s="19">
        <v>231.65</v>
      </c>
      <c r="P665" s="19">
        <v>258.14</v>
      </c>
      <c r="Q665" s="19">
        <v>273.27</v>
      </c>
      <c r="R665" s="19">
        <v>300.11</v>
      </c>
      <c r="S665" s="19">
        <v>378.35</v>
      </c>
      <c r="T665" s="19">
        <v>392.97</v>
      </c>
      <c r="U665" s="19">
        <v>565.96</v>
      </c>
      <c r="V665" s="19">
        <v>392.79</v>
      </c>
      <c r="W665" s="19">
        <v>364.52</v>
      </c>
      <c r="X665" s="19">
        <v>297.09</v>
      </c>
      <c r="Y665" s="19">
        <v>256.81</v>
      </c>
      <c r="Z665" s="33" t="s">
        <v>32</v>
      </c>
      <c r="AA665" s="25">
        <f t="shared" si="18"/>
        <v>206.71</v>
      </c>
      <c r="AB665" s="25">
        <f t="shared" si="19"/>
        <v>289.574583333333</v>
      </c>
      <c r="AF665" s="25"/>
      <c r="AG665" s="25"/>
      <c r="AH665" s="25"/>
    </row>
    <row r="666" spans="1:34">
      <c r="A666" s="30">
        <v>45961</v>
      </c>
      <c r="B666" s="19">
        <v>289.96</v>
      </c>
      <c r="C666" s="19">
        <v>290.56</v>
      </c>
      <c r="D666" s="19">
        <v>282.41</v>
      </c>
      <c r="E666" s="19">
        <v>277.27</v>
      </c>
      <c r="F666" s="19">
        <v>270.91</v>
      </c>
      <c r="G666" s="19">
        <v>268.19</v>
      </c>
      <c r="H666" s="19">
        <v>285.66</v>
      </c>
      <c r="I666" s="19">
        <v>281.98</v>
      </c>
      <c r="J666" s="19">
        <v>287.4</v>
      </c>
      <c r="K666" s="19">
        <v>291.34</v>
      </c>
      <c r="L666" s="19">
        <v>267.04</v>
      </c>
      <c r="M666" s="19">
        <v>259.09</v>
      </c>
      <c r="N666" s="19">
        <v>242.5</v>
      </c>
      <c r="O666" s="19">
        <v>261.3</v>
      </c>
      <c r="P666" s="19">
        <v>269.64</v>
      </c>
      <c r="Q666" s="19">
        <v>283.37</v>
      </c>
      <c r="R666" s="19">
        <v>350.74</v>
      </c>
      <c r="S666" s="19">
        <v>460.39</v>
      </c>
      <c r="T666" s="19">
        <v>505.9</v>
      </c>
      <c r="U666" s="19">
        <v>494.16</v>
      </c>
      <c r="V666" s="19">
        <v>396.69</v>
      </c>
      <c r="W666" s="19">
        <v>305.27</v>
      </c>
      <c r="X666" s="19">
        <v>283.78</v>
      </c>
      <c r="Y666" s="19">
        <v>260.94</v>
      </c>
      <c r="Z666" s="32" t="s">
        <v>32</v>
      </c>
      <c r="AA666" s="25">
        <f t="shared" si="18"/>
        <v>242.5</v>
      </c>
      <c r="AB666" s="25">
        <f t="shared" si="19"/>
        <v>311.10375</v>
      </c>
      <c r="AF666" s="25"/>
      <c r="AG666" s="25"/>
      <c r="AH666" s="25"/>
    </row>
    <row r="667" spans="1:34">
      <c r="A667" s="30">
        <v>45962</v>
      </c>
      <c r="B667" s="19">
        <v>424.15</v>
      </c>
      <c r="C667" s="19">
        <v>466.35</v>
      </c>
      <c r="D667" s="19">
        <v>330.69</v>
      </c>
      <c r="E667" s="19">
        <v>268.81</v>
      </c>
      <c r="F667" s="19">
        <v>253.1</v>
      </c>
      <c r="G667" s="19">
        <v>394.95</v>
      </c>
      <c r="H667" s="19">
        <v>247.21</v>
      </c>
      <c r="I667" s="19">
        <v>250.94</v>
      </c>
      <c r="J667" s="19">
        <v>255.61</v>
      </c>
      <c r="K667" s="19">
        <v>255.84</v>
      </c>
      <c r="L667" s="19">
        <v>246.34</v>
      </c>
      <c r="M667" s="19">
        <v>239.25</v>
      </c>
      <c r="N667" s="19">
        <v>237.49</v>
      </c>
      <c r="O667" s="19">
        <v>253.19</v>
      </c>
      <c r="P667" s="19">
        <v>257.92</v>
      </c>
      <c r="Q667" s="19">
        <v>269.07</v>
      </c>
      <c r="R667" s="19">
        <v>328.76</v>
      </c>
      <c r="S667" s="19">
        <v>441.85</v>
      </c>
      <c r="T667" s="19">
        <v>539.08</v>
      </c>
      <c r="U667" s="19">
        <v>475.25</v>
      </c>
      <c r="V667" s="19">
        <v>435.12</v>
      </c>
      <c r="W667" s="19">
        <v>394.59</v>
      </c>
      <c r="X667" s="19">
        <v>321.13</v>
      </c>
      <c r="Y667" s="19">
        <v>269.24</v>
      </c>
      <c r="Z667" s="36" t="s">
        <v>36</v>
      </c>
      <c r="AA667" s="25">
        <f t="shared" ref="AA667:AA698" si="20">MIN(B667:Y667)</f>
        <v>237.49</v>
      </c>
      <c r="AB667" s="25">
        <f t="shared" ref="AB667:AB698" si="21">AVERAGE(B667:Y667)</f>
        <v>327.330416666667</v>
      </c>
      <c r="AF667" s="25">
        <f>MAX($B$667:$AE$667)</f>
        <v>539.08</v>
      </c>
      <c r="AG667" s="25">
        <f>MIN($B$667:$AE$667)</f>
        <v>237.49</v>
      </c>
      <c r="AH667" s="25">
        <f>AVERAGE($B$667:$AE$667)</f>
        <v>323.875016025641</v>
      </c>
    </row>
    <row r="668" spans="1:34">
      <c r="A668" s="30">
        <v>45963</v>
      </c>
      <c r="B668" s="19">
        <v>276.16</v>
      </c>
      <c r="C668" s="19">
        <v>263.34</v>
      </c>
      <c r="D668" s="19">
        <v>257.46</v>
      </c>
      <c r="E668" s="19">
        <v>252.09</v>
      </c>
      <c r="F668" s="19">
        <v>241.88</v>
      </c>
      <c r="G668" s="19">
        <v>229.1</v>
      </c>
      <c r="H668" s="19">
        <v>230.78</v>
      </c>
      <c r="I668" s="19">
        <v>227.95</v>
      </c>
      <c r="J668" s="19">
        <v>210.07</v>
      </c>
      <c r="K668" s="19">
        <v>215.64</v>
      </c>
      <c r="L668" s="19">
        <v>215.41</v>
      </c>
      <c r="M668" s="19">
        <v>205.64</v>
      </c>
      <c r="N668" s="19">
        <v>182.91</v>
      </c>
      <c r="O668" s="19">
        <v>205.03</v>
      </c>
      <c r="P668" s="19">
        <v>224.73</v>
      </c>
      <c r="Q668" s="19">
        <v>219.45</v>
      </c>
      <c r="R668" s="19">
        <v>230.29</v>
      </c>
      <c r="S668" s="19">
        <v>264.85</v>
      </c>
      <c r="T668" s="19">
        <v>274.13</v>
      </c>
      <c r="U668" s="19">
        <v>260.23</v>
      </c>
      <c r="V668" s="19">
        <v>249.95</v>
      </c>
      <c r="W668" s="19">
        <v>257.75</v>
      </c>
      <c r="X668" s="19">
        <v>241.94</v>
      </c>
      <c r="Y668" s="19">
        <v>222.7</v>
      </c>
      <c r="Z668" s="37" t="s">
        <v>37</v>
      </c>
      <c r="AA668" s="25">
        <f t="shared" si="20"/>
        <v>182.91</v>
      </c>
      <c r="AB668" s="25">
        <f t="shared" si="21"/>
        <v>235.811666666667</v>
      </c>
      <c r="AF668" s="25">
        <f>MAX($B$668:$AE$668)</f>
        <v>276.16</v>
      </c>
      <c r="AG668" s="25">
        <f>MIN($B$668:$AE$668)</f>
        <v>182.91</v>
      </c>
      <c r="AH668" s="25">
        <f>AVERAGE($B$668:$AE$668)</f>
        <v>233.776987179487</v>
      </c>
    </row>
    <row r="669" spans="1:34">
      <c r="A669" s="30">
        <v>45964</v>
      </c>
      <c r="B669" s="19">
        <v>241.43</v>
      </c>
      <c r="C669" s="19">
        <v>236.29</v>
      </c>
      <c r="D669" s="19">
        <v>224.55</v>
      </c>
      <c r="E669" s="19">
        <v>218.03</v>
      </c>
      <c r="F669" s="19">
        <v>204.75</v>
      </c>
      <c r="G669" s="19">
        <v>210.84</v>
      </c>
      <c r="H669" s="19">
        <v>229.49</v>
      </c>
      <c r="I669" s="19">
        <v>241.39</v>
      </c>
      <c r="J669" s="19">
        <v>261.76</v>
      </c>
      <c r="K669" s="19">
        <v>279.62</v>
      </c>
      <c r="L669" s="19">
        <v>268.47</v>
      </c>
      <c r="M669" s="19">
        <v>263.87</v>
      </c>
      <c r="N669" s="19">
        <v>243.68</v>
      </c>
      <c r="O669" s="19">
        <v>269.68</v>
      </c>
      <c r="P669" s="19">
        <v>289.21</v>
      </c>
      <c r="Q669" s="19">
        <v>306.08</v>
      </c>
      <c r="R669" s="19">
        <v>337.57</v>
      </c>
      <c r="S669" s="19">
        <v>394.27</v>
      </c>
      <c r="T669" s="19">
        <v>432.96</v>
      </c>
      <c r="U669" s="19">
        <v>376.68</v>
      </c>
      <c r="V669" s="19">
        <v>358.24</v>
      </c>
      <c r="W669" s="19">
        <v>328.45</v>
      </c>
      <c r="X669" s="19">
        <v>289.52</v>
      </c>
      <c r="Y669" s="19">
        <v>244.82</v>
      </c>
      <c r="Z669" s="33" t="s">
        <v>32</v>
      </c>
      <c r="AA669" s="25">
        <f t="shared" si="20"/>
        <v>204.75</v>
      </c>
      <c r="AB669" s="25">
        <f t="shared" si="21"/>
        <v>281.31875</v>
      </c>
      <c r="AF669" s="25">
        <f>MAX($B$669:$AE$669)</f>
        <v>432.96</v>
      </c>
      <c r="AG669" s="25">
        <f>MIN($B$669:$AE$669)</f>
        <v>204.75</v>
      </c>
      <c r="AH669" s="25">
        <f>AVERAGE($B$669:$AE$669)</f>
        <v>278.373798076923</v>
      </c>
    </row>
    <row r="670" spans="1:34">
      <c r="A670" s="30">
        <v>45965</v>
      </c>
      <c r="B670" s="19">
        <v>270.43</v>
      </c>
      <c r="C670" s="19">
        <v>258.8</v>
      </c>
      <c r="D670" s="19">
        <v>250.83</v>
      </c>
      <c r="E670" s="19">
        <v>247.55</v>
      </c>
      <c r="F670" s="19">
        <v>246.94</v>
      </c>
      <c r="G670" s="19">
        <v>250.28</v>
      </c>
      <c r="H670" s="19">
        <v>257.92</v>
      </c>
      <c r="I670" s="19">
        <v>274.08</v>
      </c>
      <c r="J670" s="19">
        <v>302.56</v>
      </c>
      <c r="K670" s="19">
        <v>357.67</v>
      </c>
      <c r="L670" s="19">
        <v>301.61</v>
      </c>
      <c r="M670" s="19">
        <v>289.97</v>
      </c>
      <c r="N670" s="19">
        <v>263.78</v>
      </c>
      <c r="O670" s="19">
        <v>276.35</v>
      </c>
      <c r="P670" s="19">
        <v>289.43</v>
      </c>
      <c r="Q670" s="19">
        <v>290.54</v>
      </c>
      <c r="R670" s="19">
        <v>364.8</v>
      </c>
      <c r="S670" s="19">
        <v>480.78</v>
      </c>
      <c r="T670" s="19">
        <v>489.59</v>
      </c>
      <c r="U670" s="19">
        <v>546.96</v>
      </c>
      <c r="V670" s="19">
        <v>456.88</v>
      </c>
      <c r="W670" s="19">
        <v>367.29</v>
      </c>
      <c r="X670" s="19">
        <v>307.95</v>
      </c>
      <c r="Y670" s="19">
        <v>249.69</v>
      </c>
      <c r="Z670" s="32" t="s">
        <v>32</v>
      </c>
      <c r="AA670" s="25">
        <f t="shared" si="20"/>
        <v>246.94</v>
      </c>
      <c r="AB670" s="25">
        <f t="shared" si="21"/>
        <v>320.528333333333</v>
      </c>
      <c r="AF670" s="25">
        <f>MAX($B$670:$AE$670)</f>
        <v>546.96</v>
      </c>
      <c r="AG670" s="25">
        <f>MIN($B$670:$AE$670)</f>
        <v>246.94</v>
      </c>
      <c r="AH670" s="25">
        <f>AVERAGE($B$670:$AE$670)</f>
        <v>317.698012820513</v>
      </c>
    </row>
    <row r="671" spans="1:34">
      <c r="A671" s="30">
        <v>45966</v>
      </c>
      <c r="B671" s="19">
        <v>265.89</v>
      </c>
      <c r="C671" s="19">
        <v>264.3</v>
      </c>
      <c r="D671" s="19">
        <v>265.17</v>
      </c>
      <c r="E671" s="19">
        <v>265.07</v>
      </c>
      <c r="F671" s="19">
        <v>261.78</v>
      </c>
      <c r="G671" s="19">
        <v>262.45</v>
      </c>
      <c r="H671" s="19">
        <v>275.09</v>
      </c>
      <c r="I671" s="19">
        <v>287.33</v>
      </c>
      <c r="J671" s="19">
        <v>303.46</v>
      </c>
      <c r="K671" s="19">
        <v>296.09</v>
      </c>
      <c r="L671" s="19">
        <v>262.56</v>
      </c>
      <c r="M671" s="19">
        <v>251.13</v>
      </c>
      <c r="N671" s="19">
        <v>239.83</v>
      </c>
      <c r="O671" s="19">
        <v>246.17</v>
      </c>
      <c r="P671" s="19">
        <v>261.48</v>
      </c>
      <c r="Q671" s="19">
        <v>280.36</v>
      </c>
      <c r="R671" s="19">
        <v>402.6</v>
      </c>
      <c r="S671" s="19">
        <v>483</v>
      </c>
      <c r="T671" s="19">
        <v>557.57</v>
      </c>
      <c r="U671" s="19">
        <v>568.8</v>
      </c>
      <c r="V671" s="19">
        <v>482.9</v>
      </c>
      <c r="W671" s="19">
        <v>441.04</v>
      </c>
      <c r="X671" s="19">
        <v>328.38</v>
      </c>
      <c r="Y671" s="19">
        <v>269.06</v>
      </c>
      <c r="Z671" s="33" t="s">
        <v>32</v>
      </c>
      <c r="AA671" s="25">
        <f t="shared" si="20"/>
        <v>239.83</v>
      </c>
      <c r="AB671" s="25">
        <f t="shared" si="21"/>
        <v>325.89625</v>
      </c>
      <c r="AF671" s="25">
        <f>MAX($B$671:$AE$671)</f>
        <v>568.8</v>
      </c>
      <c r="AG671" s="25">
        <f>MIN($B$671:$AE$671)</f>
        <v>239.83</v>
      </c>
      <c r="AH671" s="25">
        <f>AVERAGE($B$671:$AE$671)</f>
        <v>322.586009615385</v>
      </c>
    </row>
    <row r="672" spans="1:34">
      <c r="A672" s="30">
        <v>45967</v>
      </c>
      <c r="B672" s="19">
        <v>268.59</v>
      </c>
      <c r="C672" s="19">
        <v>267.57</v>
      </c>
      <c r="D672" s="19">
        <v>267.92</v>
      </c>
      <c r="E672" s="19">
        <v>266.15</v>
      </c>
      <c r="F672" s="19">
        <v>261.49</v>
      </c>
      <c r="G672" s="19">
        <v>263.13</v>
      </c>
      <c r="H672" s="19">
        <v>270.97</v>
      </c>
      <c r="I672" s="19">
        <v>272.59</v>
      </c>
      <c r="J672" s="19">
        <v>269.71</v>
      </c>
      <c r="K672" s="19">
        <v>255.09</v>
      </c>
      <c r="L672" s="19">
        <v>191.4</v>
      </c>
      <c r="M672" s="19">
        <v>162.79</v>
      </c>
      <c r="N672" s="19">
        <v>123.09</v>
      </c>
      <c r="O672" s="19">
        <v>178.19</v>
      </c>
      <c r="P672" s="19">
        <v>202.05</v>
      </c>
      <c r="Q672" s="19">
        <v>262.92</v>
      </c>
      <c r="R672" s="19">
        <v>310.35</v>
      </c>
      <c r="S672" s="19">
        <v>452.8</v>
      </c>
      <c r="T672" s="19">
        <v>511.3</v>
      </c>
      <c r="U672" s="19">
        <v>490.41</v>
      </c>
      <c r="V672" s="19">
        <v>457.46</v>
      </c>
      <c r="W672" s="19">
        <v>433.08</v>
      </c>
      <c r="X672" s="19">
        <v>315.32</v>
      </c>
      <c r="Y672" s="19">
        <v>267.87</v>
      </c>
      <c r="Z672" s="32" t="s">
        <v>32</v>
      </c>
      <c r="AA672" s="25">
        <f t="shared" si="20"/>
        <v>123.09</v>
      </c>
      <c r="AB672" s="25">
        <f t="shared" si="21"/>
        <v>292.593333333333</v>
      </c>
      <c r="AF672" s="25">
        <f>MAX($B$672:$AE$672)</f>
        <v>511.3</v>
      </c>
      <c r="AG672" s="25">
        <f>MIN($B$672:$AE$672)</f>
        <v>123.09</v>
      </c>
      <c r="AH672" s="25">
        <f>AVERAGE($B$672:$AE$672)</f>
        <v>286.073974358974</v>
      </c>
    </row>
    <row r="673" spans="1:34">
      <c r="A673" s="30">
        <v>45968</v>
      </c>
      <c r="B673" s="19">
        <v>262.87</v>
      </c>
      <c r="C673" s="19">
        <v>255.67</v>
      </c>
      <c r="D673" s="19">
        <v>254.02</v>
      </c>
      <c r="E673" s="19">
        <v>254.23</v>
      </c>
      <c r="F673" s="19">
        <v>249.45</v>
      </c>
      <c r="G673" s="19">
        <v>247.28</v>
      </c>
      <c r="H673" s="19">
        <v>259.44</v>
      </c>
      <c r="I673" s="19">
        <v>265.04</v>
      </c>
      <c r="J673" s="19">
        <v>276.1</v>
      </c>
      <c r="K673" s="19">
        <v>275.91</v>
      </c>
      <c r="L673" s="19">
        <v>265.35</v>
      </c>
      <c r="M673" s="19">
        <v>261.12</v>
      </c>
      <c r="N673" s="19">
        <v>233.81</v>
      </c>
      <c r="O673" s="19">
        <v>244.67</v>
      </c>
      <c r="P673" s="19">
        <v>266.53</v>
      </c>
      <c r="Q673" s="19">
        <v>275.28</v>
      </c>
      <c r="R673" s="19">
        <v>301.8</v>
      </c>
      <c r="S673" s="19">
        <v>347.55</v>
      </c>
      <c r="T673" s="19">
        <v>432.54</v>
      </c>
      <c r="U673" s="19">
        <v>416.97</v>
      </c>
      <c r="V673" s="19">
        <v>369.75</v>
      </c>
      <c r="W673" s="19">
        <v>342.59</v>
      </c>
      <c r="X673" s="19">
        <v>309.48</v>
      </c>
      <c r="Y673" s="19">
        <v>272.96</v>
      </c>
      <c r="Z673" s="33" t="s">
        <v>32</v>
      </c>
      <c r="AA673" s="25">
        <f t="shared" si="20"/>
        <v>233.81</v>
      </c>
      <c r="AB673" s="25">
        <f t="shared" si="21"/>
        <v>289.18375</v>
      </c>
      <c r="AF673" s="25">
        <f>MAX($B$673:$AE$673)</f>
        <v>432.54</v>
      </c>
      <c r="AG673" s="25">
        <f>MIN($B$673:$AE$673)</f>
        <v>233.81</v>
      </c>
      <c r="AH673" s="25">
        <f>AVERAGE($B$673:$AE$673)</f>
        <v>287.053990384615</v>
      </c>
    </row>
    <row r="674" spans="1:34">
      <c r="A674" s="30">
        <v>45969</v>
      </c>
      <c r="B674" s="19">
        <v>299.05</v>
      </c>
      <c r="C674" s="19">
        <v>285.01</v>
      </c>
      <c r="D674" s="19">
        <v>283.05</v>
      </c>
      <c r="E674" s="19">
        <v>281.61</v>
      </c>
      <c r="F674" s="19">
        <v>275.4</v>
      </c>
      <c r="G674" s="19">
        <v>274.45</v>
      </c>
      <c r="H674" s="19">
        <v>278.47</v>
      </c>
      <c r="I674" s="19">
        <v>272.54</v>
      </c>
      <c r="J674" s="19">
        <v>266.32</v>
      </c>
      <c r="K674" s="19">
        <v>283.75</v>
      </c>
      <c r="L674" s="19">
        <v>278.47</v>
      </c>
      <c r="M674" s="19">
        <v>269.65</v>
      </c>
      <c r="N674" s="19">
        <v>229.48</v>
      </c>
      <c r="O674" s="19">
        <v>261.82</v>
      </c>
      <c r="P674" s="19">
        <v>261.35</v>
      </c>
      <c r="Q674" s="19">
        <v>278.88</v>
      </c>
      <c r="R674" s="19">
        <v>306.04</v>
      </c>
      <c r="S674" s="19">
        <v>366.35</v>
      </c>
      <c r="T674" s="19">
        <v>403.79</v>
      </c>
      <c r="U674" s="19">
        <v>347.79</v>
      </c>
      <c r="V674" s="19">
        <v>327.55</v>
      </c>
      <c r="W674" s="19">
        <v>327.02</v>
      </c>
      <c r="X674" s="19">
        <v>298.97</v>
      </c>
      <c r="Y674" s="19">
        <v>279.14</v>
      </c>
      <c r="Z674" s="34" t="s">
        <v>36</v>
      </c>
      <c r="AA674" s="25">
        <f t="shared" si="20"/>
        <v>229.48</v>
      </c>
      <c r="AB674" s="25">
        <f t="shared" si="21"/>
        <v>293.164583333333</v>
      </c>
      <c r="AF674" s="25">
        <f>MAX($B$674:$AE$674)</f>
        <v>403.79</v>
      </c>
      <c r="AG674" s="25">
        <f>MIN($B$674:$AE$674)</f>
        <v>229.48</v>
      </c>
      <c r="AH674" s="25">
        <f>AVERAGE($B$674:$AE$674)</f>
        <v>290.715176282051</v>
      </c>
    </row>
    <row r="675" spans="1:34">
      <c r="A675" s="30">
        <v>45970</v>
      </c>
      <c r="B675" s="19">
        <v>291.86</v>
      </c>
      <c r="C675" s="19">
        <v>285.29</v>
      </c>
      <c r="D675" s="19">
        <v>282.11</v>
      </c>
      <c r="E675" s="19">
        <v>278.79</v>
      </c>
      <c r="F675" s="19">
        <v>273.51</v>
      </c>
      <c r="G675" s="19">
        <v>270.78</v>
      </c>
      <c r="H675" s="19">
        <v>271.37</v>
      </c>
      <c r="I675" s="19">
        <v>269.58</v>
      </c>
      <c r="J675" s="19">
        <v>267.57</v>
      </c>
      <c r="K675" s="19">
        <v>265.15</v>
      </c>
      <c r="L675" s="19">
        <v>263.21</v>
      </c>
      <c r="M675" s="19">
        <v>261.78</v>
      </c>
      <c r="N675" s="19">
        <v>258.95</v>
      </c>
      <c r="O675" s="19">
        <v>263.2</v>
      </c>
      <c r="P675" s="19">
        <v>265.03</v>
      </c>
      <c r="Q675" s="19">
        <v>273.06</v>
      </c>
      <c r="R675" s="19">
        <v>291.66</v>
      </c>
      <c r="S675" s="19">
        <v>331.5</v>
      </c>
      <c r="T675" s="19">
        <v>340.1</v>
      </c>
      <c r="U675" s="19">
        <v>322.97</v>
      </c>
      <c r="V675" s="19">
        <v>302.9</v>
      </c>
      <c r="W675" s="19">
        <v>298.2</v>
      </c>
      <c r="X675" s="19">
        <v>285.73</v>
      </c>
      <c r="Y675" s="19">
        <v>268.15</v>
      </c>
      <c r="Z675" s="35" t="s">
        <v>37</v>
      </c>
      <c r="AA675" s="25">
        <f t="shared" si="20"/>
        <v>258.95</v>
      </c>
      <c r="AB675" s="25">
        <f t="shared" si="21"/>
        <v>282.602083333333</v>
      </c>
      <c r="AF675" s="25">
        <f>MAX($B$675:$AE$675)</f>
        <v>340.1</v>
      </c>
      <c r="AG675" s="25">
        <f>MIN($B$675:$AE$675)</f>
        <v>258.95</v>
      </c>
      <c r="AH675" s="25">
        <f>AVERAGE($B$675:$AE$675)</f>
        <v>281.692387820513</v>
      </c>
    </row>
    <row r="676" spans="1:34">
      <c r="A676" s="30">
        <v>45971</v>
      </c>
      <c r="B676" s="19">
        <v>271.66</v>
      </c>
      <c r="C676" s="19">
        <v>266.04</v>
      </c>
      <c r="D676" s="19">
        <v>263.37</v>
      </c>
      <c r="E676" s="19">
        <v>262.05</v>
      </c>
      <c r="F676" s="19">
        <v>258.12</v>
      </c>
      <c r="G676" s="19">
        <v>257.11</v>
      </c>
      <c r="H676" s="19">
        <v>263.48</v>
      </c>
      <c r="I676" s="19">
        <v>264.88</v>
      </c>
      <c r="J676" s="19">
        <v>270.37</v>
      </c>
      <c r="K676" s="19">
        <v>282.79</v>
      </c>
      <c r="L676" s="19">
        <v>230.42</v>
      </c>
      <c r="M676" s="19">
        <v>201.52</v>
      </c>
      <c r="N676" s="19">
        <v>164.64</v>
      </c>
      <c r="O676" s="19">
        <v>205.39</v>
      </c>
      <c r="P676" s="19">
        <v>258.44</v>
      </c>
      <c r="Q676" s="19">
        <v>272.15</v>
      </c>
      <c r="R676" s="19">
        <v>294.62</v>
      </c>
      <c r="S676" s="19">
        <v>308.95</v>
      </c>
      <c r="T676" s="19">
        <v>328.07</v>
      </c>
      <c r="U676" s="19">
        <v>319.61</v>
      </c>
      <c r="V676" s="19">
        <v>303.66</v>
      </c>
      <c r="W676" s="19">
        <v>294.62</v>
      </c>
      <c r="X676" s="19">
        <v>277.35</v>
      </c>
      <c r="Y676" s="19">
        <v>261.85</v>
      </c>
      <c r="Z676" s="32" t="s">
        <v>32</v>
      </c>
      <c r="AA676" s="25">
        <f t="shared" si="20"/>
        <v>164.64</v>
      </c>
      <c r="AB676" s="25">
        <f t="shared" si="21"/>
        <v>265.881666666667</v>
      </c>
      <c r="AF676" s="25">
        <f>MAX($B$676:$AE$676)</f>
        <v>328.07</v>
      </c>
      <c r="AG676" s="25">
        <f>MIN($B$676:$AE$676)</f>
        <v>164.64</v>
      </c>
      <c r="AH676" s="25">
        <f>AVERAGE($B$676:$AE$676)</f>
        <v>261.987756410256</v>
      </c>
    </row>
    <row r="677" spans="1:34">
      <c r="A677" s="30">
        <v>45972</v>
      </c>
      <c r="B677" s="19">
        <v>265.84</v>
      </c>
      <c r="C677" s="19">
        <v>261.06</v>
      </c>
      <c r="D677" s="19">
        <v>256.84</v>
      </c>
      <c r="E677" s="19">
        <v>255.58</v>
      </c>
      <c r="F677" s="19">
        <v>250.5</v>
      </c>
      <c r="G677" s="19">
        <v>249.46</v>
      </c>
      <c r="H677" s="19">
        <v>257.89</v>
      </c>
      <c r="I677" s="19">
        <v>260.56</v>
      </c>
      <c r="J677" s="19">
        <v>265.92</v>
      </c>
      <c r="K677" s="19">
        <v>247.06</v>
      </c>
      <c r="L677" s="19">
        <v>208.41</v>
      </c>
      <c r="M677" s="19">
        <v>194.63</v>
      </c>
      <c r="N677" s="19">
        <v>167.62</v>
      </c>
      <c r="O677" s="19">
        <v>182.3</v>
      </c>
      <c r="P677" s="19">
        <v>197.34</v>
      </c>
      <c r="Q677" s="19">
        <v>239.96</v>
      </c>
      <c r="R677" s="19">
        <v>268.42</v>
      </c>
      <c r="S677" s="19">
        <v>286.21</v>
      </c>
      <c r="T677" s="19">
        <v>297.66</v>
      </c>
      <c r="U677" s="19">
        <v>303.39</v>
      </c>
      <c r="V677" s="19">
        <v>287.96</v>
      </c>
      <c r="W677" s="19">
        <v>276.19</v>
      </c>
      <c r="X677" s="19">
        <v>262.93</v>
      </c>
      <c r="Y677" s="19">
        <v>247.06</v>
      </c>
      <c r="Z677" s="33" t="s">
        <v>32</v>
      </c>
      <c r="AA677" s="25">
        <f t="shared" si="20"/>
        <v>167.62</v>
      </c>
      <c r="AB677" s="25">
        <f t="shared" si="21"/>
        <v>249.61625</v>
      </c>
      <c r="AF677" s="25">
        <f>MAX($B$677:$AE$677)</f>
        <v>303.39</v>
      </c>
      <c r="AG677" s="25">
        <f>MIN($B$677:$AE$677)</f>
        <v>167.62</v>
      </c>
      <c r="AH677" s="25">
        <f>AVERAGE($B$677:$AE$677)</f>
        <v>246.462548076923</v>
      </c>
    </row>
    <row r="678" spans="1:34">
      <c r="A678" s="30">
        <v>45973</v>
      </c>
      <c r="B678" s="19">
        <v>242.02</v>
      </c>
      <c r="C678" s="19">
        <v>245.74</v>
      </c>
      <c r="D678" s="19">
        <v>240.85</v>
      </c>
      <c r="E678" s="19">
        <v>233.79</v>
      </c>
      <c r="F678" s="19">
        <v>211.07</v>
      </c>
      <c r="G678" s="19">
        <v>217.37</v>
      </c>
      <c r="H678" s="19">
        <v>248.28</v>
      </c>
      <c r="I678" s="19">
        <v>252.46</v>
      </c>
      <c r="J678" s="19">
        <v>253.56</v>
      </c>
      <c r="K678" s="19">
        <v>223.08</v>
      </c>
      <c r="L678" s="19">
        <v>190.11</v>
      </c>
      <c r="M678" s="19">
        <v>174.14</v>
      </c>
      <c r="N678" s="19">
        <v>113.56</v>
      </c>
      <c r="O678" s="19">
        <v>152.79</v>
      </c>
      <c r="P678" s="19">
        <v>189.82</v>
      </c>
      <c r="Q678" s="19">
        <v>212.48</v>
      </c>
      <c r="R678" s="19">
        <v>264.35</v>
      </c>
      <c r="S678" s="19">
        <v>278.21</v>
      </c>
      <c r="T678" s="19">
        <v>293.15</v>
      </c>
      <c r="U678" s="19">
        <v>288.93</v>
      </c>
      <c r="V678" s="19">
        <v>285.3</v>
      </c>
      <c r="W678" s="19">
        <v>278.35</v>
      </c>
      <c r="X678" s="19">
        <v>268.48</v>
      </c>
      <c r="Y678" s="19">
        <v>247.83</v>
      </c>
      <c r="Z678" s="32" t="s">
        <v>32</v>
      </c>
      <c r="AA678" s="25">
        <f t="shared" si="20"/>
        <v>113.56</v>
      </c>
      <c r="AB678" s="25">
        <f t="shared" si="21"/>
        <v>233.571666666667</v>
      </c>
      <c r="AF678" s="25">
        <f>MAX($B$678:$AE$678)</f>
        <v>293.15</v>
      </c>
      <c r="AG678" s="25">
        <f>MIN($B$678:$AE$678)</f>
        <v>113.56</v>
      </c>
      <c r="AH678" s="25">
        <f>AVERAGE($B$678:$AE$678)</f>
        <v>228.955833333333</v>
      </c>
    </row>
    <row r="679" spans="1:34">
      <c r="A679" s="30">
        <v>45974</v>
      </c>
      <c r="B679" s="19">
        <v>256.11</v>
      </c>
      <c r="C679" s="19">
        <v>255.1</v>
      </c>
      <c r="D679" s="19">
        <v>250.98</v>
      </c>
      <c r="E679" s="19">
        <v>248.8</v>
      </c>
      <c r="F679" s="19">
        <v>242.45</v>
      </c>
      <c r="G679" s="19">
        <v>242.44</v>
      </c>
      <c r="H679" s="19">
        <v>253.73</v>
      </c>
      <c r="I679" s="19">
        <v>256.52</v>
      </c>
      <c r="J679" s="19">
        <v>209.89</v>
      </c>
      <c r="K679" s="19">
        <v>198.93</v>
      </c>
      <c r="L679" s="19">
        <v>240.04</v>
      </c>
      <c r="M679" s="19">
        <v>185.57</v>
      </c>
      <c r="N679" s="19">
        <v>128.66</v>
      </c>
      <c r="O679" s="19">
        <v>161.44</v>
      </c>
      <c r="P679" s="19">
        <v>182.93</v>
      </c>
      <c r="Q679" s="19">
        <v>205.53</v>
      </c>
      <c r="R679" s="19">
        <v>253.66</v>
      </c>
      <c r="S679" s="19">
        <v>283.77</v>
      </c>
      <c r="T679" s="19">
        <v>311.52</v>
      </c>
      <c r="U679" s="19">
        <v>308.59</v>
      </c>
      <c r="V679" s="19">
        <v>286.87</v>
      </c>
      <c r="W679" s="19">
        <v>276.02</v>
      </c>
      <c r="X679" s="19">
        <v>266</v>
      </c>
      <c r="Y679" s="19">
        <v>244.92</v>
      </c>
      <c r="Z679" s="33" t="s">
        <v>32</v>
      </c>
      <c r="AA679" s="25">
        <f t="shared" si="20"/>
        <v>128.66</v>
      </c>
      <c r="AB679" s="25">
        <f t="shared" si="21"/>
        <v>239.602916666667</v>
      </c>
      <c r="AF679" s="25">
        <f>MAX($B$679:$AE$679)</f>
        <v>311.52</v>
      </c>
      <c r="AG679" s="25">
        <f>MIN($B$679:$AE$679)</f>
        <v>128.66</v>
      </c>
      <c r="AH679" s="25">
        <f>AVERAGE($B$679:$AE$679)</f>
        <v>235.335881410256</v>
      </c>
    </row>
    <row r="680" spans="1:34">
      <c r="A680" s="30">
        <v>45975</v>
      </c>
      <c r="B680" s="19">
        <v>250.2</v>
      </c>
      <c r="C680" s="19">
        <v>247.61</v>
      </c>
      <c r="D680" s="19">
        <v>245.05</v>
      </c>
      <c r="E680" s="19">
        <v>237.49</v>
      </c>
      <c r="F680" s="19">
        <v>219.98</v>
      </c>
      <c r="G680" s="19">
        <v>218.34</v>
      </c>
      <c r="H680" s="19">
        <v>244.53</v>
      </c>
      <c r="I680" s="19">
        <v>252.35</v>
      </c>
      <c r="J680" s="19">
        <v>235.08</v>
      </c>
      <c r="K680" s="19">
        <v>189</v>
      </c>
      <c r="L680" s="19">
        <v>162.34</v>
      </c>
      <c r="M680" s="19">
        <v>156.56</v>
      </c>
      <c r="N680" s="19">
        <v>95.04</v>
      </c>
      <c r="O680" s="19">
        <v>125.98</v>
      </c>
      <c r="P680" s="19">
        <v>157.69</v>
      </c>
      <c r="Q680" s="19">
        <v>192.34</v>
      </c>
      <c r="R680" s="19">
        <v>246.24</v>
      </c>
      <c r="S680" s="19">
        <v>288.65</v>
      </c>
      <c r="T680" s="19">
        <v>314.95</v>
      </c>
      <c r="U680" s="19">
        <v>307.7</v>
      </c>
      <c r="V680" s="19">
        <v>291.31</v>
      </c>
      <c r="W680" s="19">
        <v>282.92</v>
      </c>
      <c r="X680" s="19">
        <v>265.9</v>
      </c>
      <c r="Y680" s="19">
        <v>240.62</v>
      </c>
      <c r="Z680" s="32" t="s">
        <v>32</v>
      </c>
      <c r="AA680" s="25">
        <f t="shared" si="20"/>
        <v>95.04</v>
      </c>
      <c r="AB680" s="25">
        <f t="shared" si="21"/>
        <v>227.827916666667</v>
      </c>
      <c r="AF680" s="25">
        <f>MAX($B$680:$AE$680)</f>
        <v>314.95</v>
      </c>
      <c r="AG680" s="25">
        <f>MIN($B$680:$AE$680)</f>
        <v>95.04</v>
      </c>
      <c r="AH680" s="25">
        <f>AVERAGE($B$680:$AE$680)</f>
        <v>222.720689102564</v>
      </c>
    </row>
    <row r="681" spans="1:34">
      <c r="A681" s="30">
        <v>45976</v>
      </c>
      <c r="B681" s="19">
        <v>256.39</v>
      </c>
      <c r="C681" s="19">
        <v>254.86</v>
      </c>
      <c r="D681" s="19">
        <v>247.08</v>
      </c>
      <c r="E681" s="19">
        <v>242.27</v>
      </c>
      <c r="F681" s="19">
        <v>225.67</v>
      </c>
      <c r="G681" s="19">
        <v>215.36</v>
      </c>
      <c r="H681" s="19">
        <v>230.23</v>
      </c>
      <c r="I681" s="19">
        <v>247.49</v>
      </c>
      <c r="J681" s="19">
        <v>235.19</v>
      </c>
      <c r="K681" s="19">
        <v>173.7</v>
      </c>
      <c r="L681" s="19">
        <v>119.57</v>
      </c>
      <c r="M681" s="19">
        <v>87.55</v>
      </c>
      <c r="N681" s="19">
        <v>49.88</v>
      </c>
      <c r="O681" s="19">
        <v>83.06</v>
      </c>
      <c r="P681" s="19">
        <v>106.91</v>
      </c>
      <c r="Q681" s="19">
        <v>155.92</v>
      </c>
      <c r="R681" s="19">
        <v>260.64</v>
      </c>
      <c r="S681" s="19">
        <v>295.53</v>
      </c>
      <c r="T681" s="19">
        <v>329.03</v>
      </c>
      <c r="U681" s="19">
        <v>313.15</v>
      </c>
      <c r="V681" s="19">
        <v>295.82</v>
      </c>
      <c r="W681" s="19">
        <v>280.45</v>
      </c>
      <c r="X681" s="19">
        <v>268.84</v>
      </c>
      <c r="Y681" s="19">
        <v>253.37</v>
      </c>
      <c r="Z681" s="36" t="s">
        <v>36</v>
      </c>
      <c r="AA681" s="25">
        <f t="shared" si="20"/>
        <v>49.88</v>
      </c>
      <c r="AB681" s="25">
        <f t="shared" si="21"/>
        <v>217.831666666667</v>
      </c>
      <c r="AF681" s="25">
        <f>MAX($B$681:$AE$681)</f>
        <v>329.03</v>
      </c>
      <c r="AG681" s="25">
        <f>MIN($B$681:$AE$681)</f>
        <v>49.88</v>
      </c>
      <c r="AH681" s="25">
        <f>AVERAGE($B$681:$AE$681)</f>
        <v>211.371987179487</v>
      </c>
    </row>
    <row r="682" spans="1:34">
      <c r="A682" s="30">
        <v>45977</v>
      </c>
      <c r="B682" s="19">
        <v>255.5</v>
      </c>
      <c r="C682" s="19">
        <v>241.57</v>
      </c>
      <c r="D682" s="19">
        <v>234.25</v>
      </c>
      <c r="E682" s="19">
        <v>226.38</v>
      </c>
      <c r="F682" s="19">
        <v>156.22</v>
      </c>
      <c r="G682" s="19">
        <v>118.91</v>
      </c>
      <c r="H682" s="19">
        <v>172.61</v>
      </c>
      <c r="I682" s="19">
        <v>172.42</v>
      </c>
      <c r="J682" s="19">
        <v>98.24</v>
      </c>
      <c r="K682" s="19">
        <v>16.06</v>
      </c>
      <c r="L682" s="19">
        <v>-5.61</v>
      </c>
      <c r="M682" s="19">
        <v>-10.78</v>
      </c>
      <c r="N682" s="19">
        <v>1.52</v>
      </c>
      <c r="O682" s="19">
        <v>4.43</v>
      </c>
      <c r="P682" s="19">
        <v>-0.73</v>
      </c>
      <c r="Q682" s="19">
        <v>98.84</v>
      </c>
      <c r="R682" s="19">
        <v>170.59</v>
      </c>
      <c r="S682" s="19">
        <v>266.03</v>
      </c>
      <c r="T682" s="19">
        <v>282.82</v>
      </c>
      <c r="U682" s="19">
        <v>277.53</v>
      </c>
      <c r="V682" s="19">
        <v>276.5</v>
      </c>
      <c r="W682" s="19">
        <v>275.89</v>
      </c>
      <c r="X682" s="19">
        <v>263.79</v>
      </c>
      <c r="Y682" s="19">
        <v>229.1</v>
      </c>
      <c r="Z682" s="37" t="s">
        <v>37</v>
      </c>
      <c r="AA682" s="25">
        <f t="shared" si="20"/>
        <v>-10.78</v>
      </c>
      <c r="AB682" s="25">
        <f t="shared" si="21"/>
        <v>159.253333333333</v>
      </c>
      <c r="AF682" s="25">
        <f>MAX($B$682:$AE$682)</f>
        <v>282.82</v>
      </c>
      <c r="AG682" s="25">
        <f>MIN($B$682:$AE$682)</f>
        <v>-10.78</v>
      </c>
      <c r="AH682" s="25">
        <f>AVERAGE($B$682:$AE$682)</f>
        <v>152.71358974359</v>
      </c>
    </row>
    <row r="683" spans="1:34">
      <c r="A683" s="30">
        <v>45978</v>
      </c>
      <c r="B683" s="19">
        <v>236.73</v>
      </c>
      <c r="C683" s="19">
        <v>234.9</v>
      </c>
      <c r="D683" s="19">
        <v>235.69</v>
      </c>
      <c r="E683" s="19">
        <v>232.48</v>
      </c>
      <c r="F683" s="19">
        <v>220.22</v>
      </c>
      <c r="G683" s="19">
        <v>214.43</v>
      </c>
      <c r="H683" s="19">
        <v>236.77</v>
      </c>
      <c r="I683" s="19">
        <v>249.56</v>
      </c>
      <c r="J683" s="19">
        <v>253.6</v>
      </c>
      <c r="K683" s="19">
        <v>222.31</v>
      </c>
      <c r="L683" s="19">
        <v>178.5</v>
      </c>
      <c r="M683" s="19">
        <v>164.43</v>
      </c>
      <c r="N683" s="19">
        <v>94.36</v>
      </c>
      <c r="O683" s="19">
        <v>142.35</v>
      </c>
      <c r="P683" s="19">
        <v>194.72</v>
      </c>
      <c r="Q683" s="19">
        <v>247.51</v>
      </c>
      <c r="R683" s="19">
        <v>273.31</v>
      </c>
      <c r="S683" s="19">
        <v>281.97</v>
      </c>
      <c r="T683" s="19">
        <v>287.76</v>
      </c>
      <c r="U683" s="19">
        <v>284.82</v>
      </c>
      <c r="V683" s="19">
        <v>277.32</v>
      </c>
      <c r="W683" s="19">
        <v>270.7</v>
      </c>
      <c r="X683" s="19">
        <v>251.31</v>
      </c>
      <c r="Y683" s="19">
        <v>192.62</v>
      </c>
      <c r="Z683" s="33" t="s">
        <v>32</v>
      </c>
      <c r="AA683" s="25">
        <f t="shared" si="20"/>
        <v>94.36</v>
      </c>
      <c r="AB683" s="25">
        <f t="shared" si="21"/>
        <v>228.265416666667</v>
      </c>
      <c r="AF683" s="25">
        <f>MAX($B$683:$AE$683)</f>
        <v>287.76</v>
      </c>
      <c r="AG683" s="25">
        <f>MIN($B$683:$AE$683)</f>
        <v>94.36</v>
      </c>
      <c r="AH683" s="25">
        <f>AVERAGE($B$683:$AE$683)</f>
        <v>223.115208333333</v>
      </c>
    </row>
    <row r="684" spans="1:34">
      <c r="A684" s="30">
        <v>45979</v>
      </c>
      <c r="B684" s="19">
        <v>242.38</v>
      </c>
      <c r="C684" s="19">
        <v>244.73</v>
      </c>
      <c r="D684" s="19">
        <v>213.31</v>
      </c>
      <c r="E684" s="19">
        <v>195.08</v>
      </c>
      <c r="F684" s="19">
        <v>191.75</v>
      </c>
      <c r="G684" s="19">
        <v>190.98</v>
      </c>
      <c r="H684" s="19">
        <v>214.61</v>
      </c>
      <c r="I684" s="19">
        <v>235</v>
      </c>
      <c r="J684" s="19">
        <v>242.45</v>
      </c>
      <c r="K684" s="19">
        <v>253.25</v>
      </c>
      <c r="L684" s="19">
        <v>231.92</v>
      </c>
      <c r="M684" s="19">
        <v>220.56</v>
      </c>
      <c r="N684" s="19">
        <v>209.96</v>
      </c>
      <c r="O684" s="19">
        <v>215.27</v>
      </c>
      <c r="P684" s="19">
        <v>220.52</v>
      </c>
      <c r="Q684" s="19">
        <v>229.46</v>
      </c>
      <c r="R684" s="19">
        <v>249.26</v>
      </c>
      <c r="S684" s="19">
        <v>259.54</v>
      </c>
      <c r="T684" s="19">
        <v>269.46</v>
      </c>
      <c r="U684" s="19">
        <v>265.83</v>
      </c>
      <c r="V684" s="19">
        <v>260.49</v>
      </c>
      <c r="W684" s="19">
        <v>256.45</v>
      </c>
      <c r="X684" s="19">
        <v>242.8</v>
      </c>
      <c r="Y684" s="19">
        <v>201.53</v>
      </c>
      <c r="Z684" s="32" t="s">
        <v>32</v>
      </c>
      <c r="AA684" s="25">
        <f t="shared" si="20"/>
        <v>190.98</v>
      </c>
      <c r="AB684" s="25">
        <f t="shared" si="21"/>
        <v>231.524583333333</v>
      </c>
      <c r="AF684" s="25">
        <f>MAX($B$684:$AE$684)</f>
        <v>269.46</v>
      </c>
      <c r="AG684" s="25">
        <f>MIN($B$684:$AE$684)</f>
        <v>190.98</v>
      </c>
      <c r="AH684" s="25">
        <f>AVERAGE($B$684:$AE$684)</f>
        <v>229.965176282051</v>
      </c>
    </row>
    <row r="685" spans="1:34">
      <c r="A685" s="30">
        <v>45980</v>
      </c>
      <c r="B685" s="19">
        <v>207.8</v>
      </c>
      <c r="C685" s="19">
        <v>237.25</v>
      </c>
      <c r="D685" s="19">
        <v>230.41</v>
      </c>
      <c r="E685" s="19">
        <v>206.47</v>
      </c>
      <c r="F685" s="19">
        <v>184.8</v>
      </c>
      <c r="G685" s="19">
        <v>196.23</v>
      </c>
      <c r="H685" s="19">
        <v>233.8</v>
      </c>
      <c r="I685" s="19">
        <v>241.04</v>
      </c>
      <c r="J685" s="19">
        <v>243.59</v>
      </c>
      <c r="K685" s="19">
        <v>244.46</v>
      </c>
      <c r="L685" s="19">
        <v>205.68</v>
      </c>
      <c r="M685" s="19">
        <v>190.89</v>
      </c>
      <c r="N685" s="19">
        <v>179.24</v>
      </c>
      <c r="O685" s="19">
        <v>174.67</v>
      </c>
      <c r="P685" s="19">
        <v>204.49</v>
      </c>
      <c r="Q685" s="19">
        <v>249.27</v>
      </c>
      <c r="R685" s="19">
        <v>278.49</v>
      </c>
      <c r="S685" s="19">
        <v>345.08</v>
      </c>
      <c r="T685" s="19">
        <v>384.45</v>
      </c>
      <c r="U685" s="19">
        <v>373.5</v>
      </c>
      <c r="V685" s="19">
        <v>344.42</v>
      </c>
      <c r="W685" s="19">
        <v>302.87</v>
      </c>
      <c r="X685" s="19">
        <v>267.09</v>
      </c>
      <c r="Y685" s="19">
        <v>255.03</v>
      </c>
      <c r="Z685" s="33" t="s">
        <v>32</v>
      </c>
      <c r="AA685" s="25">
        <f t="shared" si="20"/>
        <v>174.67</v>
      </c>
      <c r="AB685" s="25">
        <f t="shared" si="21"/>
        <v>249.209166666667</v>
      </c>
      <c r="AF685" s="25">
        <f>MAX($B$685:$AE$685)</f>
        <v>384.45</v>
      </c>
      <c r="AG685" s="25">
        <f>MIN($B$685:$AE$685)</f>
        <v>174.67</v>
      </c>
      <c r="AH685" s="25">
        <f>AVERAGE($B$685:$AE$685)</f>
        <v>246.342275641026</v>
      </c>
    </row>
    <row r="686" spans="1:34">
      <c r="A686" s="30">
        <v>45981</v>
      </c>
      <c r="B686" s="19">
        <v>231.84</v>
      </c>
      <c r="C686" s="19">
        <v>240.12</v>
      </c>
      <c r="D686" s="19">
        <v>227.98</v>
      </c>
      <c r="E686" s="19">
        <v>208.02</v>
      </c>
      <c r="F686" s="19">
        <v>204.35</v>
      </c>
      <c r="G686" s="19">
        <v>207.12</v>
      </c>
      <c r="H686" s="19">
        <v>239.46</v>
      </c>
      <c r="I686" s="19">
        <v>245.88</v>
      </c>
      <c r="J686" s="19">
        <v>250.88</v>
      </c>
      <c r="K686" s="19">
        <v>246.99</v>
      </c>
      <c r="L686" s="19">
        <v>208.78</v>
      </c>
      <c r="M686" s="19">
        <v>177.08</v>
      </c>
      <c r="N686" s="19">
        <v>136.47</v>
      </c>
      <c r="O686" s="19">
        <v>156.66</v>
      </c>
      <c r="P686" s="19">
        <v>210.44</v>
      </c>
      <c r="Q686" s="19">
        <v>239.21</v>
      </c>
      <c r="R686" s="19">
        <v>273.81</v>
      </c>
      <c r="S686" s="19">
        <v>310.5</v>
      </c>
      <c r="T686" s="19">
        <v>369.06</v>
      </c>
      <c r="U686" s="19">
        <v>355.54</v>
      </c>
      <c r="V686" s="19">
        <v>324.06</v>
      </c>
      <c r="W686" s="19">
        <v>304.21</v>
      </c>
      <c r="X686" s="19">
        <v>277.4</v>
      </c>
      <c r="Y686" s="19">
        <v>248.61</v>
      </c>
      <c r="Z686" s="32" t="s">
        <v>32</v>
      </c>
      <c r="AA686" s="25">
        <f t="shared" si="20"/>
        <v>136.47</v>
      </c>
      <c r="AB686" s="25">
        <f t="shared" si="21"/>
        <v>245.602916666667</v>
      </c>
      <c r="AF686" s="25">
        <f>MAX($B$686:$AE$686)</f>
        <v>369.06</v>
      </c>
      <c r="AG686" s="25">
        <f>MIN($B$686:$AE$686)</f>
        <v>136.47</v>
      </c>
      <c r="AH686" s="25">
        <f>AVERAGE($B$686:$AE$686)</f>
        <v>241.405496794872</v>
      </c>
    </row>
    <row r="687" spans="1:34">
      <c r="A687" s="30">
        <v>45982</v>
      </c>
      <c r="B687" s="19">
        <v>248.39</v>
      </c>
      <c r="C687" s="19">
        <v>249.88</v>
      </c>
      <c r="D687" s="19">
        <v>228.04</v>
      </c>
      <c r="E687" s="19">
        <v>191.17</v>
      </c>
      <c r="F687" s="19">
        <v>177.24</v>
      </c>
      <c r="G687" s="19">
        <v>179.77</v>
      </c>
      <c r="H687" s="19">
        <v>239.46</v>
      </c>
      <c r="I687" s="19">
        <v>260.19</v>
      </c>
      <c r="J687" s="19">
        <v>249.72</v>
      </c>
      <c r="K687" s="19">
        <v>213.8</v>
      </c>
      <c r="L687" s="19">
        <v>158.25</v>
      </c>
      <c r="M687" s="19">
        <v>141.58</v>
      </c>
      <c r="N687" s="19">
        <v>78.72</v>
      </c>
      <c r="O687" s="19">
        <v>90.48</v>
      </c>
      <c r="P687" s="19">
        <v>136.81</v>
      </c>
      <c r="Q687" s="19">
        <v>194.25</v>
      </c>
      <c r="R687" s="19">
        <v>256.37</v>
      </c>
      <c r="S687" s="19">
        <v>317.01</v>
      </c>
      <c r="T687" s="19">
        <v>401.73</v>
      </c>
      <c r="U687" s="19">
        <v>403.49</v>
      </c>
      <c r="V687" s="19">
        <v>356.95</v>
      </c>
      <c r="W687" s="19">
        <v>317.85</v>
      </c>
      <c r="X687" s="19">
        <v>284.31</v>
      </c>
      <c r="Y687" s="19">
        <v>259.42</v>
      </c>
      <c r="Z687" s="33" t="s">
        <v>32</v>
      </c>
      <c r="AA687" s="25">
        <f t="shared" si="20"/>
        <v>78.72</v>
      </c>
      <c r="AB687" s="25">
        <f t="shared" si="21"/>
        <v>234.786666666667</v>
      </c>
      <c r="AF687" s="25">
        <f>MAX($B$687:$AE$687)</f>
        <v>403.49</v>
      </c>
      <c r="AG687" s="25">
        <f>MIN($B$687:$AE$687)</f>
        <v>78.72</v>
      </c>
      <c r="AH687" s="25">
        <f>AVERAGE($B$687:$AE$687)</f>
        <v>228.784102564103</v>
      </c>
    </row>
    <row r="688" spans="1:34">
      <c r="A688" s="30">
        <v>45983</v>
      </c>
      <c r="B688" s="19">
        <v>268.72</v>
      </c>
      <c r="C688" s="19">
        <v>257.71</v>
      </c>
      <c r="D688" s="19">
        <v>247.16</v>
      </c>
      <c r="E688" s="19">
        <v>232.35</v>
      </c>
      <c r="F688" s="19">
        <v>229.19</v>
      </c>
      <c r="G688" s="19">
        <v>217.82</v>
      </c>
      <c r="H688" s="19">
        <v>235.31</v>
      </c>
      <c r="I688" s="19">
        <v>252.05</v>
      </c>
      <c r="J688" s="19">
        <v>262.96</v>
      </c>
      <c r="K688" s="19">
        <v>231.32</v>
      </c>
      <c r="L688" s="19">
        <v>118.05</v>
      </c>
      <c r="M688" s="19">
        <v>80.98</v>
      </c>
      <c r="N688" s="19">
        <v>5.59</v>
      </c>
      <c r="O688" s="19">
        <v>47.36</v>
      </c>
      <c r="P688" s="19">
        <v>122.73</v>
      </c>
      <c r="Q688" s="19">
        <v>184.53</v>
      </c>
      <c r="R688" s="19">
        <v>273.68</v>
      </c>
      <c r="S688" s="19">
        <v>325.4</v>
      </c>
      <c r="T688" s="19">
        <v>433.86</v>
      </c>
      <c r="U688" s="19">
        <v>456.53</v>
      </c>
      <c r="V688" s="19">
        <v>415.4</v>
      </c>
      <c r="W688" s="19">
        <v>365.03</v>
      </c>
      <c r="X688" s="19">
        <v>294.9</v>
      </c>
      <c r="Y688" s="19">
        <v>266.83</v>
      </c>
      <c r="Z688" s="34" t="s">
        <v>36</v>
      </c>
      <c r="AA688" s="25">
        <f t="shared" si="20"/>
        <v>5.59</v>
      </c>
      <c r="AB688" s="25">
        <f t="shared" si="21"/>
        <v>242.7275</v>
      </c>
      <c r="AF688" s="25">
        <f>MAX($B$688:$AE$688)</f>
        <v>456.53</v>
      </c>
      <c r="AG688" s="25">
        <f>MIN($B$688:$AE$688)</f>
        <v>5.59</v>
      </c>
      <c r="AH688" s="25">
        <f>AVERAGE($B$688:$AE$688)</f>
        <v>233.606826923077</v>
      </c>
    </row>
    <row r="689" spans="1:34">
      <c r="A689" s="30">
        <v>45984</v>
      </c>
      <c r="B689" s="19">
        <v>273.15</v>
      </c>
      <c r="C689" s="19">
        <v>267.17</v>
      </c>
      <c r="D689" s="19">
        <v>265.34</v>
      </c>
      <c r="E689" s="19">
        <v>258.26</v>
      </c>
      <c r="F689" s="19">
        <v>253.83</v>
      </c>
      <c r="G689" s="19">
        <v>249.42</v>
      </c>
      <c r="H689" s="19">
        <v>256.7</v>
      </c>
      <c r="I689" s="19">
        <v>258.75</v>
      </c>
      <c r="J689" s="19">
        <v>245.1</v>
      </c>
      <c r="K689" s="19">
        <v>214.45</v>
      </c>
      <c r="L689" s="19">
        <v>63.61</v>
      </c>
      <c r="M689" s="19">
        <v>8.44</v>
      </c>
      <c r="N689" s="19">
        <v>-12.07</v>
      </c>
      <c r="O689" s="19">
        <v>16.16</v>
      </c>
      <c r="P689" s="19">
        <v>82.67</v>
      </c>
      <c r="Q689" s="19">
        <v>200.65</v>
      </c>
      <c r="R689" s="19">
        <v>254.07</v>
      </c>
      <c r="S689" s="19">
        <v>282.07</v>
      </c>
      <c r="T689" s="19">
        <v>295.85</v>
      </c>
      <c r="U689" s="19">
        <v>293.72</v>
      </c>
      <c r="V689" s="19">
        <v>294.3</v>
      </c>
      <c r="W689" s="19">
        <v>292.76</v>
      </c>
      <c r="X689" s="19">
        <v>277.94</v>
      </c>
      <c r="Y689" s="19">
        <v>256.66</v>
      </c>
      <c r="Z689" s="35" t="s">
        <v>37</v>
      </c>
      <c r="AA689" s="25">
        <f t="shared" si="20"/>
        <v>-12.07</v>
      </c>
      <c r="AB689" s="25">
        <f t="shared" si="21"/>
        <v>214.541666666667</v>
      </c>
      <c r="AF689" s="25">
        <f>MAX($B$689:$AE$689)</f>
        <v>295.85</v>
      </c>
      <c r="AG689" s="25">
        <f>MIN($B$689:$AE$689)</f>
        <v>-12.07</v>
      </c>
      <c r="AH689" s="25">
        <f>AVERAGE($B$689:$AE$689)</f>
        <v>205.825833333333</v>
      </c>
    </row>
    <row r="690" spans="1:34">
      <c r="A690" s="30">
        <v>45985</v>
      </c>
      <c r="B690" s="19">
        <v>269.15</v>
      </c>
      <c r="C690" s="19">
        <v>263.68</v>
      </c>
      <c r="D690" s="19">
        <v>260.81</v>
      </c>
      <c r="E690" s="19">
        <v>256.58</v>
      </c>
      <c r="F690" s="19">
        <v>252.39</v>
      </c>
      <c r="G690" s="19">
        <v>248.77</v>
      </c>
      <c r="H690" s="19">
        <v>262.1</v>
      </c>
      <c r="I690" s="19">
        <v>273.21</v>
      </c>
      <c r="J690" s="19">
        <v>284.43</v>
      </c>
      <c r="K690" s="19">
        <v>279.42</v>
      </c>
      <c r="L690" s="19">
        <v>191.11</v>
      </c>
      <c r="M690" s="19">
        <v>140.03</v>
      </c>
      <c r="N690" s="19">
        <v>107.54</v>
      </c>
      <c r="O690" s="19">
        <v>110.75</v>
      </c>
      <c r="P690" s="19">
        <v>167.08</v>
      </c>
      <c r="Q690" s="19">
        <v>230.32</v>
      </c>
      <c r="R690" s="19">
        <v>280.19</v>
      </c>
      <c r="S690" s="19">
        <v>317.03</v>
      </c>
      <c r="T690" s="19">
        <v>336.27</v>
      </c>
      <c r="U690" s="19">
        <v>336.22</v>
      </c>
      <c r="V690" s="19">
        <v>308.77</v>
      </c>
      <c r="W690" s="19">
        <v>298.03</v>
      </c>
      <c r="X690" s="19">
        <v>281.39</v>
      </c>
      <c r="Y690" s="19">
        <v>240.5</v>
      </c>
      <c r="Z690" s="32" t="s">
        <v>32</v>
      </c>
      <c r="AA690" s="25">
        <f t="shared" si="20"/>
        <v>107.54</v>
      </c>
      <c r="AB690" s="25">
        <f t="shared" si="21"/>
        <v>249.82375</v>
      </c>
      <c r="AF690" s="25">
        <f>MAX($B$690:$AE$690)</f>
        <v>336.27</v>
      </c>
      <c r="AG690" s="25">
        <f>MIN($B$690:$AE$690)</f>
        <v>107.54</v>
      </c>
      <c r="AH690" s="25">
        <f>AVERAGE($B$690:$AE$690)</f>
        <v>244.351298076923</v>
      </c>
    </row>
    <row r="691" spans="1:34">
      <c r="A691" s="30">
        <v>45986</v>
      </c>
      <c r="B691" s="19">
        <v>217.5</v>
      </c>
      <c r="C691" s="19">
        <v>224.55</v>
      </c>
      <c r="D691" s="19">
        <v>216.33</v>
      </c>
      <c r="E691" s="19">
        <v>195.67</v>
      </c>
      <c r="F691" s="19">
        <v>173.36</v>
      </c>
      <c r="G691" s="19">
        <v>150.73</v>
      </c>
      <c r="H691" s="19">
        <v>219.71</v>
      </c>
      <c r="I691" s="19">
        <v>246.43</v>
      </c>
      <c r="J691" s="19">
        <v>232.31</v>
      </c>
      <c r="K691" s="19">
        <v>179.51</v>
      </c>
      <c r="L691" s="19">
        <v>58.14</v>
      </c>
      <c r="M691" s="19">
        <v>26.31</v>
      </c>
      <c r="N691" s="19">
        <v>-2.7</v>
      </c>
      <c r="O691" s="19">
        <v>10.59</v>
      </c>
      <c r="P691" s="19">
        <v>60.16</v>
      </c>
      <c r="Q691" s="19">
        <v>111.36</v>
      </c>
      <c r="R691" s="19">
        <v>236.8</v>
      </c>
      <c r="S691" s="19">
        <v>295.87</v>
      </c>
      <c r="T691" s="19">
        <v>429.96</v>
      </c>
      <c r="U691" s="19">
        <v>434.36</v>
      </c>
      <c r="V691" s="19">
        <v>348.7</v>
      </c>
      <c r="W691" s="19">
        <v>298.67</v>
      </c>
      <c r="X691" s="19">
        <v>266.17</v>
      </c>
      <c r="Y691" s="19">
        <v>231.62</v>
      </c>
      <c r="Z691" s="33" t="s">
        <v>32</v>
      </c>
      <c r="AA691" s="25">
        <f t="shared" si="20"/>
        <v>-2.7</v>
      </c>
      <c r="AB691" s="25">
        <f t="shared" si="21"/>
        <v>202.587916666667</v>
      </c>
      <c r="AF691" s="25">
        <f>MAX($B$691:$AE$691)</f>
        <v>434.36</v>
      </c>
      <c r="AG691" s="25">
        <f>MIN($B$691:$AE$691)</f>
        <v>-2.7</v>
      </c>
      <c r="AH691" s="25">
        <f>AVERAGE($B$691:$AE$691)</f>
        <v>194.692227564103</v>
      </c>
    </row>
    <row r="692" spans="1:34">
      <c r="A692" s="30">
        <v>45987</v>
      </c>
      <c r="B692" s="19">
        <v>245.41</v>
      </c>
      <c r="C692" s="19">
        <v>241.35</v>
      </c>
      <c r="D692" s="19">
        <v>239.69</v>
      </c>
      <c r="E692" s="19">
        <v>237.73</v>
      </c>
      <c r="F692" s="19">
        <v>230.66</v>
      </c>
      <c r="G692" s="19">
        <v>227.01</v>
      </c>
      <c r="H692" s="19">
        <v>247.72</v>
      </c>
      <c r="I692" s="19">
        <v>255.41</v>
      </c>
      <c r="J692" s="19">
        <v>250.27</v>
      </c>
      <c r="K692" s="19">
        <v>175.62</v>
      </c>
      <c r="L692" s="19">
        <v>16.59</v>
      </c>
      <c r="M692" s="19">
        <v>-29.2</v>
      </c>
      <c r="N692" s="19">
        <v>-66.49</v>
      </c>
      <c r="O692" s="19">
        <v>-17.86</v>
      </c>
      <c r="P692" s="19">
        <v>52.9</v>
      </c>
      <c r="Q692" s="19">
        <v>134.64</v>
      </c>
      <c r="R692" s="19">
        <v>258.8</v>
      </c>
      <c r="S692" s="19">
        <v>292.12</v>
      </c>
      <c r="T692" s="19">
        <v>304.3</v>
      </c>
      <c r="U692" s="19">
        <v>300.84</v>
      </c>
      <c r="V692" s="19">
        <v>294.59</v>
      </c>
      <c r="W692" s="19">
        <v>286.5</v>
      </c>
      <c r="X692" s="19">
        <v>269.32</v>
      </c>
      <c r="Y692" s="19">
        <v>210.14</v>
      </c>
      <c r="Z692" s="32" t="s">
        <v>32</v>
      </c>
      <c r="AA692" s="25">
        <f t="shared" si="20"/>
        <v>-66.49</v>
      </c>
      <c r="AB692" s="25">
        <f t="shared" si="21"/>
        <v>194.085833333333</v>
      </c>
      <c r="AF692" s="25">
        <f>MAX($B$692:$AE$692)</f>
        <v>304.3</v>
      </c>
      <c r="AG692" s="25">
        <f>MIN($B$692:$AE$692)</f>
        <v>-66.49</v>
      </c>
      <c r="AH692" s="25">
        <f>AVERAGE($B$692:$AE$692)</f>
        <v>184.063685897436</v>
      </c>
    </row>
    <row r="693" spans="1:34">
      <c r="A693" s="30">
        <v>45988</v>
      </c>
      <c r="B693" s="19">
        <v>212.98</v>
      </c>
      <c r="C693" s="19">
        <v>241.67</v>
      </c>
      <c r="D693" s="19">
        <v>226.93</v>
      </c>
      <c r="E693" s="19">
        <v>200.65</v>
      </c>
      <c r="F693" s="19">
        <v>193.1</v>
      </c>
      <c r="G693" s="19">
        <v>208.35</v>
      </c>
      <c r="H693" s="19">
        <v>230.08</v>
      </c>
      <c r="I693" s="19">
        <v>243.12</v>
      </c>
      <c r="J693" s="19">
        <v>261.93</v>
      </c>
      <c r="K693" s="19">
        <v>136.06</v>
      </c>
      <c r="L693" s="19">
        <v>43.17</v>
      </c>
      <c r="M693" s="19">
        <v>4.38</v>
      </c>
      <c r="N693" s="19">
        <v>-47.21</v>
      </c>
      <c r="O693" s="19">
        <v>-13</v>
      </c>
      <c r="P693" s="19">
        <v>14.1</v>
      </c>
      <c r="Q693" s="19">
        <v>104.49</v>
      </c>
      <c r="R693" s="19">
        <v>212.66</v>
      </c>
      <c r="S693" s="19">
        <v>274.55</v>
      </c>
      <c r="T693" s="19">
        <v>302.74</v>
      </c>
      <c r="U693" s="19">
        <v>294.76</v>
      </c>
      <c r="V693" s="19">
        <v>286.36</v>
      </c>
      <c r="W693" s="19">
        <v>279.57</v>
      </c>
      <c r="X693" s="19">
        <v>257.47</v>
      </c>
      <c r="Y693" s="19">
        <v>235.71</v>
      </c>
      <c r="Z693" s="33" t="s">
        <v>32</v>
      </c>
      <c r="AA693" s="25">
        <f t="shared" si="20"/>
        <v>-47.21</v>
      </c>
      <c r="AB693" s="25">
        <f t="shared" si="21"/>
        <v>183.525833333333</v>
      </c>
      <c r="AF693" s="25">
        <f>MAX($B$693:$AE$693)</f>
        <v>302.74</v>
      </c>
      <c r="AG693" s="25">
        <f>MIN($B$693:$AE$693)</f>
        <v>-47.21</v>
      </c>
      <c r="AH693" s="25">
        <f>AVERAGE($B$693:$AE$693)</f>
        <v>174.651378205128</v>
      </c>
    </row>
    <row r="694" spans="1:34">
      <c r="A694" s="30">
        <v>45989</v>
      </c>
      <c r="B694" s="19">
        <v>257.01</v>
      </c>
      <c r="C694" s="19">
        <v>244.61</v>
      </c>
      <c r="D694" s="19">
        <v>243.79</v>
      </c>
      <c r="E694" s="19">
        <v>240.74</v>
      </c>
      <c r="F694" s="19">
        <v>232.94</v>
      </c>
      <c r="G694" s="19">
        <v>233.04</v>
      </c>
      <c r="H694" s="19">
        <v>250.35</v>
      </c>
      <c r="I694" s="19">
        <v>263.2</v>
      </c>
      <c r="J694" s="19">
        <v>253.74</v>
      </c>
      <c r="K694" s="19">
        <v>182.56</v>
      </c>
      <c r="L694" s="19">
        <v>91.23</v>
      </c>
      <c r="M694" s="19">
        <v>94.57</v>
      </c>
      <c r="N694" s="19">
        <v>-13.38</v>
      </c>
      <c r="O694" s="19">
        <v>38.13</v>
      </c>
      <c r="P694" s="19">
        <v>99.26</v>
      </c>
      <c r="Q694" s="19">
        <v>163.51</v>
      </c>
      <c r="R694" s="19">
        <v>270.05</v>
      </c>
      <c r="S694" s="19">
        <v>357.07</v>
      </c>
      <c r="T694" s="19">
        <v>461.15</v>
      </c>
      <c r="U694" s="19">
        <v>410.13</v>
      </c>
      <c r="V694" s="19">
        <v>377.43</v>
      </c>
      <c r="W694" s="19">
        <v>341.69</v>
      </c>
      <c r="X694" s="19">
        <v>302.91</v>
      </c>
      <c r="Y694" s="19">
        <v>270.65</v>
      </c>
      <c r="Z694" s="32" t="s">
        <v>32</v>
      </c>
      <c r="AA694" s="25">
        <f t="shared" si="20"/>
        <v>-13.38</v>
      </c>
      <c r="AB694" s="25">
        <f t="shared" si="21"/>
        <v>236.099166666667</v>
      </c>
      <c r="AF694" s="25">
        <f>MAX($B$694:$AE$694)</f>
        <v>461.15</v>
      </c>
      <c r="AG694" s="25">
        <f>MIN($B$694:$AE$694)</f>
        <v>-13.38</v>
      </c>
      <c r="AH694" s="25">
        <f>AVERAGE($B$694:$AE$694)</f>
        <v>226.503814102564</v>
      </c>
    </row>
    <row r="695" spans="1:34">
      <c r="A695" s="30">
        <v>45990</v>
      </c>
      <c r="B695" s="19">
        <v>296.79</v>
      </c>
      <c r="C695" s="19">
        <v>280.99</v>
      </c>
      <c r="D695" s="19">
        <v>276.87</v>
      </c>
      <c r="E695" s="19">
        <v>273.7</v>
      </c>
      <c r="F695" s="19">
        <v>271.74</v>
      </c>
      <c r="G695" s="19">
        <v>271.02</v>
      </c>
      <c r="H695" s="19">
        <v>282.56</v>
      </c>
      <c r="I695" s="19">
        <v>298.53</v>
      </c>
      <c r="J695" s="19">
        <v>279.54</v>
      </c>
      <c r="K695" s="19">
        <v>246.42</v>
      </c>
      <c r="L695" s="19">
        <v>108.22</v>
      </c>
      <c r="M695" s="19">
        <v>46.19</v>
      </c>
      <c r="N695" s="19">
        <v>10.46</v>
      </c>
      <c r="O695" s="19">
        <v>54.09</v>
      </c>
      <c r="P695" s="19">
        <v>109.23</v>
      </c>
      <c r="Q695" s="19">
        <v>205.65</v>
      </c>
      <c r="R695" s="19">
        <v>268.1</v>
      </c>
      <c r="S695" s="19">
        <v>352.97</v>
      </c>
      <c r="T695" s="19">
        <v>457.9</v>
      </c>
      <c r="U695" s="19">
        <v>466.84</v>
      </c>
      <c r="V695" s="19">
        <v>398.91</v>
      </c>
      <c r="W695" s="19">
        <v>352.23</v>
      </c>
      <c r="X695" s="19">
        <v>315.26</v>
      </c>
      <c r="Y695" s="19">
        <v>281.26</v>
      </c>
      <c r="Z695" s="36" t="s">
        <v>36</v>
      </c>
      <c r="AA695" s="25">
        <f t="shared" si="20"/>
        <v>10.46</v>
      </c>
      <c r="AB695" s="25">
        <f t="shared" si="21"/>
        <v>258.56125</v>
      </c>
      <c r="AF695" s="25">
        <f>MAX($B$695:$AE$695)</f>
        <v>466.84</v>
      </c>
      <c r="AG695" s="25">
        <f>MIN($B$695:$AE$695)</f>
        <v>10.46</v>
      </c>
      <c r="AH695" s="25">
        <f>AVERAGE($B$695:$AE$695)</f>
        <v>249.018894230769</v>
      </c>
    </row>
    <row r="696" spans="1:34">
      <c r="A696" s="30">
        <v>45991</v>
      </c>
      <c r="B696" s="19">
        <v>324.66</v>
      </c>
      <c r="C696" s="19">
        <v>303.06</v>
      </c>
      <c r="D696" s="19">
        <v>297.98</v>
      </c>
      <c r="E696" s="19">
        <v>294.9</v>
      </c>
      <c r="F696" s="19">
        <v>286.61</v>
      </c>
      <c r="G696" s="19">
        <v>284.88</v>
      </c>
      <c r="H696" s="19">
        <v>290.89</v>
      </c>
      <c r="I696" s="19">
        <v>296.66</v>
      </c>
      <c r="J696" s="19">
        <v>287.78</v>
      </c>
      <c r="K696" s="19">
        <v>262.56</v>
      </c>
      <c r="L696" s="19">
        <v>179.84</v>
      </c>
      <c r="M696" s="19">
        <v>111.15</v>
      </c>
      <c r="N696" s="19">
        <v>111.69</v>
      </c>
      <c r="O696" s="19">
        <v>134.89</v>
      </c>
      <c r="P696" s="19">
        <v>185.2</v>
      </c>
      <c r="Q696" s="19">
        <v>246.62</v>
      </c>
      <c r="R696" s="19">
        <v>285.14</v>
      </c>
      <c r="S696" s="19">
        <v>397.83</v>
      </c>
      <c r="T696" s="19">
        <v>481.44</v>
      </c>
      <c r="U696" s="19">
        <v>493.73</v>
      </c>
      <c r="V696" s="19">
        <v>498.36</v>
      </c>
      <c r="W696" s="19">
        <v>411.16</v>
      </c>
      <c r="X696" s="19">
        <v>346.5</v>
      </c>
      <c r="Y696" s="19">
        <v>298</v>
      </c>
      <c r="Z696" s="37" t="s">
        <v>37</v>
      </c>
      <c r="AA696" s="25">
        <f t="shared" si="20"/>
        <v>111.15</v>
      </c>
      <c r="AB696" s="25">
        <f t="shared" si="21"/>
        <v>296.31375</v>
      </c>
      <c r="AF696" s="25">
        <f>MAX($B$696:$AE$696)</f>
        <v>498.36</v>
      </c>
      <c r="AG696" s="25">
        <f>MIN($B$696:$AE$696)</f>
        <v>111.15</v>
      </c>
      <c r="AH696" s="25">
        <f>AVERAGE($B$696:$AE$696)</f>
        <v>289.192067307692</v>
      </c>
    </row>
    <row r="697" spans="1:34">
      <c r="A697" s="30">
        <v>45992</v>
      </c>
      <c r="B697" s="19">
        <v>424.58</v>
      </c>
      <c r="C697" s="19">
        <v>369.07</v>
      </c>
      <c r="D697" s="19">
        <v>332.16</v>
      </c>
      <c r="E697" s="19">
        <v>314.43</v>
      </c>
      <c r="F697" s="19">
        <v>303.14</v>
      </c>
      <c r="G697" s="19">
        <v>303.05</v>
      </c>
      <c r="H697" s="19">
        <v>390.99</v>
      </c>
      <c r="I697" s="19">
        <v>454.88</v>
      </c>
      <c r="J697" s="19">
        <v>498.98</v>
      </c>
      <c r="K697" s="19">
        <v>394.38</v>
      </c>
      <c r="L697" s="19">
        <v>273.39</v>
      </c>
      <c r="M697" s="19">
        <v>292.35</v>
      </c>
      <c r="N697" s="19">
        <v>260.76</v>
      </c>
      <c r="O697" s="19">
        <v>281.95</v>
      </c>
      <c r="P697" s="19">
        <v>263.06</v>
      </c>
      <c r="Q697" s="19">
        <v>281.45</v>
      </c>
      <c r="R697" s="19">
        <v>405.88</v>
      </c>
      <c r="S697" s="19">
        <v>657.29</v>
      </c>
      <c r="T697" s="19">
        <v>692.17</v>
      </c>
      <c r="U697" s="19">
        <v>773.49</v>
      </c>
      <c r="V697" s="19">
        <v>634.93</v>
      </c>
      <c r="W697" s="19">
        <v>599.04</v>
      </c>
      <c r="X697" s="19">
        <v>499.42</v>
      </c>
      <c r="Y697" s="19">
        <v>376.11</v>
      </c>
      <c r="Z697" s="33" t="s">
        <v>32</v>
      </c>
      <c r="AA697" s="25">
        <f t="shared" si="20"/>
        <v>260.76</v>
      </c>
      <c r="AB697" s="25">
        <f t="shared" si="21"/>
        <v>419.872916666667</v>
      </c>
      <c r="AF697" s="25">
        <f>MAX($B$697:$AE$697)</f>
        <v>773.49</v>
      </c>
      <c r="AG697" s="25">
        <f>MIN($B$697:$AE$697)</f>
        <v>260.76</v>
      </c>
      <c r="AH697" s="25">
        <f>AVERAGE($B$697:$AE$697)</f>
        <v>413.753189102564</v>
      </c>
    </row>
    <row r="698" spans="1:34">
      <c r="A698" s="30">
        <v>45993</v>
      </c>
      <c r="B698" s="19">
        <v>425.07</v>
      </c>
      <c r="C698" s="19">
        <v>400.51</v>
      </c>
      <c r="D698" s="19">
        <v>391.29</v>
      </c>
      <c r="E698" s="19">
        <v>362.56</v>
      </c>
      <c r="F698" s="19">
        <v>329.38</v>
      </c>
      <c r="G698" s="19">
        <v>355.6</v>
      </c>
      <c r="H698" s="19">
        <v>420.5</v>
      </c>
      <c r="I698" s="19">
        <v>466.52</v>
      </c>
      <c r="J698" s="19">
        <v>494.78</v>
      </c>
      <c r="K698" s="19">
        <v>452.92</v>
      </c>
      <c r="L698" s="19">
        <v>343.97</v>
      </c>
      <c r="M698" s="19">
        <v>295.19</v>
      </c>
      <c r="N698" s="19">
        <v>262.55</v>
      </c>
      <c r="O698" s="19">
        <v>273.14</v>
      </c>
      <c r="P698" s="19">
        <v>278.7</v>
      </c>
      <c r="Q698" s="19">
        <v>313.76</v>
      </c>
      <c r="R698" s="19">
        <v>419.18</v>
      </c>
      <c r="S698" s="19">
        <v>539.47</v>
      </c>
      <c r="T698" s="19">
        <v>711.11</v>
      </c>
      <c r="U698" s="19">
        <v>542.94</v>
      </c>
      <c r="V698" s="19">
        <v>493.8</v>
      </c>
      <c r="W698" s="19">
        <v>427.56</v>
      </c>
      <c r="X698" s="19">
        <v>310.65</v>
      </c>
      <c r="Y698" s="19">
        <v>268.84</v>
      </c>
      <c r="Z698" s="32" t="s">
        <v>32</v>
      </c>
      <c r="AA698" s="25">
        <f t="shared" si="20"/>
        <v>262.55</v>
      </c>
      <c r="AB698" s="25">
        <f t="shared" si="21"/>
        <v>399.16625</v>
      </c>
      <c r="AF698" s="25">
        <f>MAX($B$698:$AE$698)</f>
        <v>711.11</v>
      </c>
      <c r="AG698" s="25">
        <f>MIN($B$698:$AE$698)</f>
        <v>262.55</v>
      </c>
      <c r="AH698" s="25">
        <f>AVERAGE($B$698:$AE$698)</f>
        <v>393.911778846154</v>
      </c>
    </row>
    <row r="699" spans="1:34">
      <c r="A699" s="30">
        <v>45994</v>
      </c>
      <c r="B699" s="19">
        <v>295.81</v>
      </c>
      <c r="C699" s="19">
        <v>282.19</v>
      </c>
      <c r="D699" s="19">
        <v>274.17</v>
      </c>
      <c r="E699" s="19">
        <v>267.83</v>
      </c>
      <c r="F699" s="19">
        <v>261.72</v>
      </c>
      <c r="G699" s="19">
        <v>259.14</v>
      </c>
      <c r="H699" s="19">
        <v>260</v>
      </c>
      <c r="I699" s="19">
        <v>261.53</v>
      </c>
      <c r="J699" s="19">
        <v>293.46</v>
      </c>
      <c r="K699" s="19">
        <v>289.35</v>
      </c>
      <c r="L699" s="19">
        <v>280.99</v>
      </c>
      <c r="M699" s="19">
        <v>256.44</v>
      </c>
      <c r="N699" s="19">
        <v>254.73</v>
      </c>
      <c r="O699" s="19">
        <v>244.51</v>
      </c>
      <c r="P699" s="19">
        <v>248.09</v>
      </c>
      <c r="Q699" s="19">
        <v>259.86</v>
      </c>
      <c r="R699" s="19">
        <v>290.63</v>
      </c>
      <c r="S699" s="19">
        <v>364.28</v>
      </c>
      <c r="T699" s="19">
        <v>387.34</v>
      </c>
      <c r="U699" s="19">
        <v>372.52</v>
      </c>
      <c r="V699" s="19">
        <v>355.32</v>
      </c>
      <c r="W699" s="19">
        <v>324.88</v>
      </c>
      <c r="X699" s="19">
        <v>290.75</v>
      </c>
      <c r="Y699" s="19">
        <v>261.42</v>
      </c>
      <c r="Z699" s="33" t="s">
        <v>32</v>
      </c>
      <c r="AA699" s="25">
        <f t="shared" ref="AA699:AA730" si="22">MIN(B699:Y699)</f>
        <v>244.51</v>
      </c>
      <c r="AB699" s="25">
        <f t="shared" ref="AB699:AB730" si="23">AVERAGE(B699:Y699)</f>
        <v>289.04</v>
      </c>
      <c r="AF699" s="25">
        <f>MAX($B$699:$AE$699)</f>
        <v>387.34</v>
      </c>
      <c r="AG699" s="25">
        <f>MIN($B$699:$AE$699)</f>
        <v>244.51</v>
      </c>
      <c r="AH699" s="25">
        <f>AVERAGE($B$699:$AE$699)</f>
        <v>287.327307692308</v>
      </c>
    </row>
    <row r="700" spans="1:34">
      <c r="A700" s="30">
        <v>45995</v>
      </c>
      <c r="B700" s="19">
        <v>275.92</v>
      </c>
      <c r="C700" s="19">
        <v>263.74</v>
      </c>
      <c r="D700" s="19">
        <v>267.82</v>
      </c>
      <c r="E700" s="19">
        <v>266.58</v>
      </c>
      <c r="F700" s="19">
        <v>258.42</v>
      </c>
      <c r="G700" s="19">
        <v>251.38</v>
      </c>
      <c r="H700" s="19">
        <v>264.29</v>
      </c>
      <c r="I700" s="19">
        <v>279.97</v>
      </c>
      <c r="J700" s="19">
        <v>295.35</v>
      </c>
      <c r="K700" s="19">
        <v>290.91</v>
      </c>
      <c r="L700" s="19">
        <v>250.63</v>
      </c>
      <c r="M700" s="19">
        <v>233.4</v>
      </c>
      <c r="N700" s="19">
        <v>133.83</v>
      </c>
      <c r="O700" s="19">
        <v>187.97</v>
      </c>
      <c r="P700" s="19">
        <v>246.27</v>
      </c>
      <c r="Q700" s="19">
        <v>263.43</v>
      </c>
      <c r="R700" s="19">
        <v>301.91</v>
      </c>
      <c r="S700" s="19">
        <v>387.49</v>
      </c>
      <c r="T700" s="19">
        <v>440.33</v>
      </c>
      <c r="U700" s="19">
        <v>424.08</v>
      </c>
      <c r="V700" s="19">
        <v>371.14</v>
      </c>
      <c r="W700" s="19">
        <v>335.75</v>
      </c>
      <c r="X700" s="19">
        <v>304.89</v>
      </c>
      <c r="Y700" s="19">
        <v>273.94</v>
      </c>
      <c r="Z700" s="32" t="s">
        <v>32</v>
      </c>
      <c r="AA700" s="25">
        <f t="shared" si="22"/>
        <v>133.83</v>
      </c>
      <c r="AB700" s="25">
        <f t="shared" si="23"/>
        <v>286.226666666667</v>
      </c>
      <c r="AF700" s="25">
        <f>MAX($B$700:$AE$700)</f>
        <v>440.33</v>
      </c>
      <c r="AG700" s="25">
        <f>MIN($B$700:$AE$700)</f>
        <v>133.83</v>
      </c>
      <c r="AH700" s="25">
        <f>AVERAGE($B$700:$AE$700)</f>
        <v>280.365256410256</v>
      </c>
    </row>
    <row r="701" spans="1:34">
      <c r="A701" s="30">
        <v>45996</v>
      </c>
      <c r="B701" s="19">
        <v>294.77</v>
      </c>
      <c r="C701" s="19">
        <v>289.84</v>
      </c>
      <c r="D701" s="19">
        <v>287.68</v>
      </c>
      <c r="E701" s="19">
        <v>274.08</v>
      </c>
      <c r="F701" s="19">
        <v>267.12</v>
      </c>
      <c r="G701" s="19">
        <v>267.33</v>
      </c>
      <c r="H701" s="19">
        <v>298.28</v>
      </c>
      <c r="I701" s="19">
        <v>315.85</v>
      </c>
      <c r="J701" s="19">
        <v>345.25</v>
      </c>
      <c r="K701" s="19">
        <v>326.72</v>
      </c>
      <c r="L701" s="19">
        <v>278.41</v>
      </c>
      <c r="M701" s="19">
        <v>291.72</v>
      </c>
      <c r="N701" s="19">
        <v>282.46</v>
      </c>
      <c r="O701" s="19">
        <v>407.66</v>
      </c>
      <c r="P701" s="19">
        <v>285.64</v>
      </c>
      <c r="Q701" s="19">
        <v>280.35</v>
      </c>
      <c r="R701" s="19">
        <v>335.89</v>
      </c>
      <c r="S701" s="19">
        <v>466.23</v>
      </c>
      <c r="T701" s="19">
        <v>512.22</v>
      </c>
      <c r="U701" s="19">
        <v>530.68</v>
      </c>
      <c r="V701" s="19">
        <v>476.82</v>
      </c>
      <c r="W701" s="19">
        <v>460</v>
      </c>
      <c r="X701" s="19">
        <v>379.04</v>
      </c>
      <c r="Y701" s="19">
        <v>301.99</v>
      </c>
      <c r="Z701" s="33" t="s">
        <v>32</v>
      </c>
      <c r="AA701" s="25">
        <f t="shared" si="22"/>
        <v>267.12</v>
      </c>
      <c r="AB701" s="25">
        <f t="shared" si="23"/>
        <v>344.00125</v>
      </c>
      <c r="AF701" s="25">
        <f>MAX($B$701:$AE$701)</f>
        <v>530.68</v>
      </c>
      <c r="AG701" s="25">
        <f>MIN($B$701:$AE$701)</f>
        <v>267.12</v>
      </c>
      <c r="AH701" s="25">
        <f>AVERAGE($B$701:$AE$701)</f>
        <v>341.044278846154</v>
      </c>
    </row>
    <row r="702" spans="1:34">
      <c r="A702" s="30">
        <v>45997</v>
      </c>
      <c r="B702" s="19">
        <v>314.79</v>
      </c>
      <c r="C702" s="19">
        <v>294.81</v>
      </c>
      <c r="D702" s="19">
        <v>293.42</v>
      </c>
      <c r="E702" s="19">
        <v>289.13</v>
      </c>
      <c r="F702" s="19">
        <v>280.01</v>
      </c>
      <c r="G702" s="19">
        <v>277.77</v>
      </c>
      <c r="H702" s="19">
        <v>288.15</v>
      </c>
      <c r="I702" s="19">
        <v>299.22</v>
      </c>
      <c r="J702" s="19">
        <v>302.66</v>
      </c>
      <c r="K702" s="19">
        <v>285.73</v>
      </c>
      <c r="L702" s="19">
        <v>258.62</v>
      </c>
      <c r="M702" s="19">
        <v>212.65</v>
      </c>
      <c r="N702" s="19">
        <v>139.15</v>
      </c>
      <c r="O702" s="19">
        <v>148.64</v>
      </c>
      <c r="P702" s="19">
        <v>186.07</v>
      </c>
      <c r="Q702" s="19">
        <v>254.68</v>
      </c>
      <c r="R702" s="19">
        <v>292.4</v>
      </c>
      <c r="S702" s="19">
        <v>317.37</v>
      </c>
      <c r="T702" s="19">
        <v>347.09</v>
      </c>
      <c r="U702" s="19">
        <v>360.19</v>
      </c>
      <c r="V702" s="19">
        <v>347.2</v>
      </c>
      <c r="W702" s="19">
        <v>332.78</v>
      </c>
      <c r="X702" s="19">
        <v>311.74</v>
      </c>
      <c r="Y702" s="19">
        <v>287.91</v>
      </c>
      <c r="Z702" s="34" t="s">
        <v>36</v>
      </c>
      <c r="AA702" s="25">
        <f t="shared" si="22"/>
        <v>139.15</v>
      </c>
      <c r="AB702" s="25">
        <f t="shared" si="23"/>
        <v>280.090833333333</v>
      </c>
      <c r="AF702" s="25">
        <f>MAX($B$702:$AE$702)</f>
        <v>360.19</v>
      </c>
      <c r="AG702" s="25">
        <f>MIN($B$702:$AE$702)</f>
        <v>139.15</v>
      </c>
      <c r="AH702" s="25">
        <f>AVERAGE($B$702:$AE$702)</f>
        <v>274.670032051282</v>
      </c>
    </row>
    <row r="703" spans="1:34">
      <c r="A703" s="30">
        <v>45998</v>
      </c>
      <c r="B703" s="19">
        <v>298.73</v>
      </c>
      <c r="C703" s="19">
        <v>293.58</v>
      </c>
      <c r="D703" s="19">
        <v>287.87</v>
      </c>
      <c r="E703" s="19">
        <v>283.32</v>
      </c>
      <c r="F703" s="19">
        <v>278.17</v>
      </c>
      <c r="G703" s="19">
        <v>277.32</v>
      </c>
      <c r="H703" s="19">
        <v>279.27</v>
      </c>
      <c r="I703" s="19">
        <v>280</v>
      </c>
      <c r="J703" s="19">
        <v>271.67</v>
      </c>
      <c r="K703" s="19">
        <v>265.22</v>
      </c>
      <c r="L703" s="19">
        <v>214.97</v>
      </c>
      <c r="M703" s="19">
        <v>149.01</v>
      </c>
      <c r="N703" s="19">
        <v>150.81</v>
      </c>
      <c r="O703" s="19">
        <v>154.75</v>
      </c>
      <c r="P703" s="19">
        <v>167.22</v>
      </c>
      <c r="Q703" s="19">
        <v>233.33</v>
      </c>
      <c r="R703" s="19">
        <v>274.47</v>
      </c>
      <c r="S703" s="19">
        <v>307.06</v>
      </c>
      <c r="T703" s="19">
        <v>324.82</v>
      </c>
      <c r="U703" s="19">
        <v>330.51</v>
      </c>
      <c r="V703" s="19">
        <v>319.5</v>
      </c>
      <c r="W703" s="19">
        <v>311.79</v>
      </c>
      <c r="X703" s="19">
        <v>292.07</v>
      </c>
      <c r="Y703" s="19">
        <v>269.31</v>
      </c>
      <c r="Z703" s="35" t="s">
        <v>37</v>
      </c>
      <c r="AA703" s="25">
        <f t="shared" si="22"/>
        <v>149.01</v>
      </c>
      <c r="AB703" s="25">
        <f t="shared" si="23"/>
        <v>263.115416666667</v>
      </c>
      <c r="AF703" s="25">
        <f>MAX($B$703:$AE$703)</f>
        <v>330.51</v>
      </c>
      <c r="AG703" s="25">
        <f>MIN($B$703:$AE$703)</f>
        <v>149.01</v>
      </c>
      <c r="AH703" s="25">
        <f>AVERAGE($B$703:$AE$703)</f>
        <v>258.726746794872</v>
      </c>
    </row>
    <row r="704" spans="1:34">
      <c r="A704" s="30">
        <v>45999</v>
      </c>
      <c r="B704" s="19">
        <v>280.17</v>
      </c>
      <c r="C704" s="19">
        <v>272.08</v>
      </c>
      <c r="D704" s="19">
        <v>265.99</v>
      </c>
      <c r="E704" s="19">
        <v>262.42</v>
      </c>
      <c r="F704" s="19">
        <v>258.49</v>
      </c>
      <c r="G704" s="19">
        <v>258.96</v>
      </c>
      <c r="H704" s="19">
        <v>267.51</v>
      </c>
      <c r="I704" s="19">
        <v>271.37</v>
      </c>
      <c r="J704" s="19">
        <v>283.26</v>
      </c>
      <c r="K704" s="19">
        <v>278.46</v>
      </c>
      <c r="L704" s="19">
        <v>228.63</v>
      </c>
      <c r="M704" s="19">
        <v>160.58</v>
      </c>
      <c r="N704" s="19">
        <v>96.51</v>
      </c>
      <c r="O704" s="19">
        <v>122.93</v>
      </c>
      <c r="P704" s="19">
        <v>166.06</v>
      </c>
      <c r="Q704" s="19">
        <v>252</v>
      </c>
      <c r="R704" s="19">
        <v>282.9</v>
      </c>
      <c r="S704" s="19">
        <v>317.1</v>
      </c>
      <c r="T704" s="19">
        <v>344.49</v>
      </c>
      <c r="U704" s="19">
        <v>351.18</v>
      </c>
      <c r="V704" s="19">
        <v>337.96</v>
      </c>
      <c r="W704" s="19">
        <v>314.98</v>
      </c>
      <c r="X704" s="19">
        <v>299.65</v>
      </c>
      <c r="Y704" s="19">
        <v>275.03</v>
      </c>
      <c r="Z704" s="32" t="s">
        <v>32</v>
      </c>
      <c r="AA704" s="25">
        <f t="shared" si="22"/>
        <v>96.51</v>
      </c>
      <c r="AB704" s="25">
        <f t="shared" si="23"/>
        <v>260.362916666667</v>
      </c>
      <c r="AF704" s="25">
        <f>MAX($B$704:$AE$704)</f>
        <v>351.18</v>
      </c>
      <c r="AG704" s="25">
        <f>MIN($B$704:$AE$704)</f>
        <v>96.51</v>
      </c>
      <c r="AH704" s="25">
        <f>AVERAGE($B$704:$AE$704)</f>
        <v>254.060881410256</v>
      </c>
    </row>
    <row r="705" spans="1:34">
      <c r="A705" s="30">
        <v>46000</v>
      </c>
      <c r="B705" s="19">
        <v>284.13</v>
      </c>
      <c r="C705" s="19">
        <v>278.79</v>
      </c>
      <c r="D705" s="19">
        <v>275.57</v>
      </c>
      <c r="E705" s="19">
        <v>270.34</v>
      </c>
      <c r="F705" s="19">
        <v>267.69</v>
      </c>
      <c r="G705" s="19">
        <v>266.03</v>
      </c>
      <c r="H705" s="19">
        <v>272</v>
      </c>
      <c r="I705" s="19">
        <v>276.29</v>
      </c>
      <c r="J705" s="19">
        <v>284.26</v>
      </c>
      <c r="K705" s="19">
        <v>271.74</v>
      </c>
      <c r="L705" s="19">
        <v>207.6</v>
      </c>
      <c r="M705" s="19">
        <v>131.61</v>
      </c>
      <c r="N705" s="19">
        <v>106.08</v>
      </c>
      <c r="O705" s="19">
        <v>143.67</v>
      </c>
      <c r="P705" s="19">
        <v>156.17</v>
      </c>
      <c r="Q705" s="19">
        <v>241.74</v>
      </c>
      <c r="R705" s="19">
        <v>280.21</v>
      </c>
      <c r="S705" s="19">
        <v>317.27</v>
      </c>
      <c r="T705" s="19">
        <v>345.66</v>
      </c>
      <c r="U705" s="19">
        <v>345.44</v>
      </c>
      <c r="V705" s="19">
        <v>323.94</v>
      </c>
      <c r="W705" s="19">
        <v>317.64</v>
      </c>
      <c r="X705" s="19">
        <v>298.54</v>
      </c>
      <c r="Y705" s="19">
        <v>273.86</v>
      </c>
      <c r="Z705" s="33" t="s">
        <v>32</v>
      </c>
      <c r="AA705" s="25">
        <f t="shared" si="22"/>
        <v>106.08</v>
      </c>
      <c r="AB705" s="25">
        <f t="shared" si="23"/>
        <v>259.844583333333</v>
      </c>
      <c r="AF705" s="25">
        <f>MAX($B$705:$AE$705)</f>
        <v>345.66</v>
      </c>
      <c r="AG705" s="25">
        <f>MIN($B$705:$AE$705)</f>
        <v>106.08</v>
      </c>
      <c r="AH705" s="25">
        <f>AVERAGE($B$705:$AE$705)</f>
        <v>253.930560897436</v>
      </c>
    </row>
    <row r="706" spans="1:34">
      <c r="A706" s="30">
        <v>46001</v>
      </c>
      <c r="B706" s="19">
        <v>300</v>
      </c>
      <c r="C706" s="19">
        <v>298.57</v>
      </c>
      <c r="D706" s="19">
        <v>294.23</v>
      </c>
      <c r="E706" s="19">
        <v>289.67</v>
      </c>
      <c r="F706" s="19">
        <v>283.55</v>
      </c>
      <c r="G706" s="19">
        <v>281.41</v>
      </c>
      <c r="H706" s="19">
        <v>293.34</v>
      </c>
      <c r="I706" s="19">
        <v>301.87</v>
      </c>
      <c r="J706" s="19">
        <v>316.5</v>
      </c>
      <c r="K706" s="19">
        <v>305.7</v>
      </c>
      <c r="L706" s="19">
        <v>282.48</v>
      </c>
      <c r="M706" s="19">
        <v>262.05</v>
      </c>
      <c r="N706" s="19">
        <v>246.51</v>
      </c>
      <c r="O706" s="19">
        <v>258.13</v>
      </c>
      <c r="P706" s="19">
        <v>259.85</v>
      </c>
      <c r="Q706" s="19">
        <v>279.7</v>
      </c>
      <c r="R706" s="19">
        <v>306.07</v>
      </c>
      <c r="S706" s="19">
        <v>353.94</v>
      </c>
      <c r="T706" s="19">
        <v>422.07</v>
      </c>
      <c r="U706" s="19">
        <v>423.57</v>
      </c>
      <c r="V706" s="19">
        <v>418.69</v>
      </c>
      <c r="W706" s="19">
        <v>389.93</v>
      </c>
      <c r="X706" s="19">
        <v>339.96</v>
      </c>
      <c r="Y706" s="19">
        <v>301.21</v>
      </c>
      <c r="Z706" s="32" t="s">
        <v>32</v>
      </c>
      <c r="AA706" s="25">
        <f t="shared" si="22"/>
        <v>246.51</v>
      </c>
      <c r="AB706" s="25">
        <f t="shared" si="23"/>
        <v>312.875</v>
      </c>
      <c r="AF706" s="25">
        <f>MAX($B$706:$AE$706)</f>
        <v>423.57</v>
      </c>
      <c r="AG706" s="25">
        <f>MIN($B$706:$AE$706)</f>
        <v>246.51</v>
      </c>
      <c r="AH706" s="25">
        <f>AVERAGE($B$706:$AE$706)</f>
        <v>310.3225</v>
      </c>
    </row>
    <row r="707" spans="1:34">
      <c r="A707" s="30">
        <v>46002</v>
      </c>
      <c r="B707" s="19">
        <v>331.19</v>
      </c>
      <c r="C707" s="19">
        <v>320.34</v>
      </c>
      <c r="D707" s="19">
        <v>317.1</v>
      </c>
      <c r="E707" s="19">
        <v>307.13</v>
      </c>
      <c r="F707" s="19">
        <v>304.79</v>
      </c>
      <c r="G707" s="19">
        <v>302.37</v>
      </c>
      <c r="H707" s="19">
        <v>313.63</v>
      </c>
      <c r="I707" s="19">
        <v>319.27</v>
      </c>
      <c r="J707" s="19">
        <v>332.99</v>
      </c>
      <c r="K707" s="19">
        <v>320.77</v>
      </c>
      <c r="L707" s="19">
        <v>288.25</v>
      </c>
      <c r="M707" s="19">
        <v>265.57</v>
      </c>
      <c r="N707" s="19">
        <v>235.61</v>
      </c>
      <c r="O707" s="19">
        <v>254.33</v>
      </c>
      <c r="P707" s="19">
        <v>263.98</v>
      </c>
      <c r="Q707" s="19">
        <v>276.09</v>
      </c>
      <c r="R707" s="19">
        <v>307.37</v>
      </c>
      <c r="S707" s="19">
        <v>348.52</v>
      </c>
      <c r="T707" s="19">
        <v>389.6</v>
      </c>
      <c r="U707" s="19">
        <v>376.19</v>
      </c>
      <c r="V707" s="19">
        <v>360.48</v>
      </c>
      <c r="W707" s="19">
        <v>341.7</v>
      </c>
      <c r="X707" s="19">
        <v>318.27</v>
      </c>
      <c r="Y707" s="19">
        <v>292.78</v>
      </c>
      <c r="Z707" s="33" t="s">
        <v>32</v>
      </c>
      <c r="AA707" s="25">
        <f t="shared" si="22"/>
        <v>235.61</v>
      </c>
      <c r="AB707" s="25">
        <f t="shared" si="23"/>
        <v>312.013333333333</v>
      </c>
      <c r="AF707" s="25">
        <f>MAX($B$707:$AE$707)</f>
        <v>389.6</v>
      </c>
      <c r="AG707" s="25">
        <f>MIN($B$707:$AE$707)</f>
        <v>235.61</v>
      </c>
      <c r="AH707" s="25">
        <f>AVERAGE($B$707:$AE$707)</f>
        <v>309.074743589744</v>
      </c>
    </row>
    <row r="708" spans="1:34">
      <c r="A708" s="30">
        <v>46003</v>
      </c>
      <c r="B708" s="19">
        <v>313</v>
      </c>
      <c r="C708" s="19">
        <v>304.8</v>
      </c>
      <c r="D708" s="19">
        <v>299.1</v>
      </c>
      <c r="E708" s="19">
        <v>292.49</v>
      </c>
      <c r="F708" s="19">
        <v>286.09</v>
      </c>
      <c r="G708" s="19">
        <v>284.95</v>
      </c>
      <c r="H708" s="19">
        <v>297.09</v>
      </c>
      <c r="I708" s="19">
        <v>302.05</v>
      </c>
      <c r="J708" s="19">
        <v>316.67</v>
      </c>
      <c r="K708" s="19">
        <v>306.17</v>
      </c>
      <c r="L708" s="19">
        <v>280.3</v>
      </c>
      <c r="M708" s="19">
        <v>259.15</v>
      </c>
      <c r="N708" s="19">
        <v>227.53</v>
      </c>
      <c r="O708" s="19">
        <v>244.49</v>
      </c>
      <c r="P708" s="19">
        <v>259.27</v>
      </c>
      <c r="Q708" s="19">
        <v>272.35</v>
      </c>
      <c r="R708" s="19">
        <v>304.87</v>
      </c>
      <c r="S708" s="19">
        <v>333.89</v>
      </c>
      <c r="T708" s="19">
        <v>378.34</v>
      </c>
      <c r="U708" s="19">
        <v>355.11</v>
      </c>
      <c r="V708" s="19">
        <v>346.75</v>
      </c>
      <c r="W708" s="19">
        <v>341.13</v>
      </c>
      <c r="X708" s="19">
        <v>323.16</v>
      </c>
      <c r="Y708" s="19">
        <v>298.93</v>
      </c>
      <c r="Z708" s="32" t="s">
        <v>32</v>
      </c>
      <c r="AA708" s="25">
        <f t="shared" si="22"/>
        <v>227.53</v>
      </c>
      <c r="AB708" s="25">
        <f t="shared" si="23"/>
        <v>301.153333333333</v>
      </c>
      <c r="AF708" s="25">
        <f>MAX($B$708:$AE$708)</f>
        <v>378.34</v>
      </c>
      <c r="AG708" s="25">
        <f>MIN($B$708:$AE$708)</f>
        <v>227.53</v>
      </c>
      <c r="AH708" s="25">
        <f>AVERAGE($B$708:$AE$708)</f>
        <v>298.321666666667</v>
      </c>
    </row>
    <row r="709" spans="1:34">
      <c r="A709" s="30">
        <v>46004</v>
      </c>
      <c r="B709" s="19">
        <v>323.28</v>
      </c>
      <c r="C709" s="19">
        <v>318.53</v>
      </c>
      <c r="D709" s="19">
        <v>313.26</v>
      </c>
      <c r="E709" s="19">
        <v>308.18</v>
      </c>
      <c r="F709" s="19">
        <v>300.39</v>
      </c>
      <c r="G709" s="19">
        <v>281.51</v>
      </c>
      <c r="H709" s="19">
        <v>286.75</v>
      </c>
      <c r="I709" s="19">
        <v>278.78</v>
      </c>
      <c r="J709" s="19">
        <v>289.24</v>
      </c>
      <c r="K709" s="19">
        <v>326.8</v>
      </c>
      <c r="L709" s="19">
        <v>310.58</v>
      </c>
      <c r="M709" s="19">
        <v>286.43</v>
      </c>
      <c r="N709" s="19">
        <v>273</v>
      </c>
      <c r="O709" s="19">
        <v>289.58</v>
      </c>
      <c r="P709" s="19">
        <v>279</v>
      </c>
      <c r="Q709" s="19">
        <v>278.92</v>
      </c>
      <c r="R709" s="19">
        <v>292.32</v>
      </c>
      <c r="S709" s="19">
        <v>308.67</v>
      </c>
      <c r="T709" s="19">
        <v>302.75</v>
      </c>
      <c r="U709" s="19">
        <v>291.64</v>
      </c>
      <c r="V709" s="19">
        <v>309.52</v>
      </c>
      <c r="W709" s="19">
        <v>306.23</v>
      </c>
      <c r="X709" s="19">
        <v>286.93</v>
      </c>
      <c r="Y709" s="19">
        <v>264.74</v>
      </c>
      <c r="Z709" s="36" t="s">
        <v>36</v>
      </c>
      <c r="AA709" s="25">
        <f t="shared" si="22"/>
        <v>264.74</v>
      </c>
      <c r="AB709" s="25">
        <f t="shared" si="23"/>
        <v>296.12625</v>
      </c>
      <c r="AF709" s="25">
        <f>MAX($B$709:$AE$709)</f>
        <v>326.8</v>
      </c>
      <c r="AG709" s="25">
        <f>MIN($B$709:$AE$709)</f>
        <v>264.74</v>
      </c>
      <c r="AH709" s="25">
        <f>AVERAGE($B$709:$AE$709)</f>
        <v>294.919086538461</v>
      </c>
    </row>
    <row r="710" spans="1:34">
      <c r="A710" s="30">
        <v>46005</v>
      </c>
      <c r="B710" s="19">
        <v>280.28</v>
      </c>
      <c r="C710" s="19">
        <v>272.59</v>
      </c>
      <c r="D710" s="19">
        <v>261.99</v>
      </c>
      <c r="E710" s="19">
        <v>256.97</v>
      </c>
      <c r="F710" s="19">
        <v>250.75</v>
      </c>
      <c r="G710" s="19">
        <v>248.15</v>
      </c>
      <c r="H710" s="19">
        <v>251</v>
      </c>
      <c r="I710" s="19">
        <v>252.99</v>
      </c>
      <c r="J710" s="19">
        <v>242.38</v>
      </c>
      <c r="K710" s="19">
        <v>223.22</v>
      </c>
      <c r="L710" s="19">
        <v>169.67</v>
      </c>
      <c r="M710" s="19">
        <v>106.16</v>
      </c>
      <c r="N710" s="19">
        <v>10.34</v>
      </c>
      <c r="O710" s="19">
        <v>49.7</v>
      </c>
      <c r="P710" s="19">
        <v>119</v>
      </c>
      <c r="Q710" s="19">
        <v>188.35</v>
      </c>
      <c r="R710" s="19">
        <v>277.37</v>
      </c>
      <c r="S710" s="19">
        <v>324.43</v>
      </c>
      <c r="T710" s="19">
        <v>333.98</v>
      </c>
      <c r="U710" s="19">
        <v>334.49</v>
      </c>
      <c r="V710" s="19">
        <v>328.78</v>
      </c>
      <c r="W710" s="19">
        <v>327.16</v>
      </c>
      <c r="X710" s="19">
        <v>305.3</v>
      </c>
      <c r="Y710" s="19">
        <v>277.49</v>
      </c>
      <c r="Z710" s="37" t="s">
        <v>37</v>
      </c>
      <c r="AA710" s="25">
        <f t="shared" si="22"/>
        <v>10.34</v>
      </c>
      <c r="AB710" s="25">
        <f t="shared" si="23"/>
        <v>237.189166666667</v>
      </c>
      <c r="AF710" s="25">
        <f>MAX($B$710:$AE$710)</f>
        <v>334.49</v>
      </c>
      <c r="AG710" s="25">
        <f>MIN($B$710:$AE$710)</f>
        <v>10.34</v>
      </c>
      <c r="AH710" s="25">
        <f>AVERAGE($B$710:$AE$710)</f>
        <v>228.464198717949</v>
      </c>
    </row>
    <row r="711" spans="1:34">
      <c r="A711" s="30">
        <v>46006</v>
      </c>
      <c r="B711" s="19">
        <v>294.83</v>
      </c>
      <c r="C711" s="19">
        <v>290.04</v>
      </c>
      <c r="D711" s="19">
        <v>280.74</v>
      </c>
      <c r="E711" s="19">
        <v>276.8</v>
      </c>
      <c r="F711" s="19">
        <v>270.59</v>
      </c>
      <c r="G711" s="19">
        <v>271.66</v>
      </c>
      <c r="H711" s="19">
        <v>284.11</v>
      </c>
      <c r="I711" s="19">
        <v>297.68</v>
      </c>
      <c r="J711" s="19">
        <v>305.64</v>
      </c>
      <c r="K711" s="19">
        <v>290.3</v>
      </c>
      <c r="L711" s="19">
        <v>257.45</v>
      </c>
      <c r="M711" s="19">
        <v>209.66</v>
      </c>
      <c r="N711" s="19">
        <v>120.2</v>
      </c>
      <c r="O711" s="19">
        <v>167.12</v>
      </c>
      <c r="P711" s="19">
        <v>187.86</v>
      </c>
      <c r="Q711" s="19">
        <v>249.11</v>
      </c>
      <c r="R711" s="19">
        <v>298.41</v>
      </c>
      <c r="S711" s="19">
        <v>348.29</v>
      </c>
      <c r="T711" s="19">
        <v>379.12</v>
      </c>
      <c r="U711" s="19">
        <v>367.65</v>
      </c>
      <c r="V711" s="19">
        <v>358.03</v>
      </c>
      <c r="W711" s="19">
        <v>355.2</v>
      </c>
      <c r="X711" s="19">
        <v>323.54</v>
      </c>
      <c r="Y711" s="19">
        <v>298.39</v>
      </c>
      <c r="Z711" s="33" t="s">
        <v>32</v>
      </c>
      <c r="AA711" s="25">
        <f t="shared" si="22"/>
        <v>120.2</v>
      </c>
      <c r="AB711" s="25">
        <f t="shared" si="23"/>
        <v>282.600833333333</v>
      </c>
      <c r="AF711" s="25">
        <f>MAX($B$711:$AE$711)</f>
        <v>379.12</v>
      </c>
      <c r="AG711" s="25">
        <f>MIN($B$711:$AE$711)</f>
        <v>120.2</v>
      </c>
      <c r="AH711" s="25">
        <f>AVERAGE($B$711:$AE$711)</f>
        <v>276.354647435897</v>
      </c>
    </row>
    <row r="712" spans="1:34">
      <c r="A712" s="30">
        <v>46007</v>
      </c>
      <c r="B712" s="19">
        <v>323.29</v>
      </c>
      <c r="C712" s="19">
        <v>316.55</v>
      </c>
      <c r="D712" s="19">
        <v>314.49</v>
      </c>
      <c r="E712" s="19">
        <v>311.12</v>
      </c>
      <c r="F712" s="19">
        <v>305.62</v>
      </c>
      <c r="G712" s="19">
        <v>302.81</v>
      </c>
      <c r="H712" s="19">
        <v>319.94</v>
      </c>
      <c r="I712" s="19">
        <v>339.09</v>
      </c>
      <c r="J712" s="19">
        <v>358.14</v>
      </c>
      <c r="K712" s="19">
        <v>343</v>
      </c>
      <c r="L712" s="19">
        <v>299.16</v>
      </c>
      <c r="M712" s="19">
        <v>278.3</v>
      </c>
      <c r="N712" s="19">
        <v>255.89</v>
      </c>
      <c r="O712" s="19">
        <v>267.85</v>
      </c>
      <c r="P712" s="19">
        <v>274.31</v>
      </c>
      <c r="Q712" s="19">
        <v>297.12</v>
      </c>
      <c r="R712" s="19">
        <v>357.38</v>
      </c>
      <c r="S712" s="19">
        <v>431.02</v>
      </c>
      <c r="T712" s="19">
        <v>492.97</v>
      </c>
      <c r="U712" s="19">
        <v>529.36</v>
      </c>
      <c r="V712" s="19">
        <v>485.91</v>
      </c>
      <c r="W712" s="19">
        <v>453.6</v>
      </c>
      <c r="X712" s="19">
        <v>406.31</v>
      </c>
      <c r="Y712" s="19">
        <v>338.04</v>
      </c>
      <c r="Z712" s="32" t="s">
        <v>32</v>
      </c>
      <c r="AA712" s="25">
        <f t="shared" si="22"/>
        <v>255.89</v>
      </c>
      <c r="AB712" s="25">
        <f t="shared" si="23"/>
        <v>350.052916666667</v>
      </c>
      <c r="AF712" s="25">
        <f>MAX($B$712:$AE$712)</f>
        <v>529.36</v>
      </c>
      <c r="AG712" s="25">
        <f>MIN($B$712:$AE$712)</f>
        <v>255.89</v>
      </c>
      <c r="AH712" s="25">
        <f>AVERAGE($B$712:$AE$712)</f>
        <v>346.431266025641</v>
      </c>
    </row>
    <row r="713" spans="1:34">
      <c r="A713" s="30">
        <v>46008</v>
      </c>
      <c r="B713" s="19">
        <v>355.02</v>
      </c>
      <c r="C713" s="19">
        <v>320.18</v>
      </c>
      <c r="D713" s="19">
        <v>314.85</v>
      </c>
      <c r="E713" s="19">
        <v>304.46</v>
      </c>
      <c r="F713" s="19">
        <v>297.65</v>
      </c>
      <c r="G713" s="19">
        <v>295.5</v>
      </c>
      <c r="H713" s="19">
        <v>306.26</v>
      </c>
      <c r="I713" s="19">
        <v>316.26</v>
      </c>
      <c r="J713" s="19">
        <v>342.22</v>
      </c>
      <c r="K713" s="19">
        <v>320.47</v>
      </c>
      <c r="L713" s="19">
        <v>276.82</v>
      </c>
      <c r="M713" s="19">
        <v>235.68</v>
      </c>
      <c r="N713" s="19">
        <v>163.19</v>
      </c>
      <c r="O713" s="19">
        <v>207.69</v>
      </c>
      <c r="P713" s="19">
        <v>201.99</v>
      </c>
      <c r="Q713" s="19">
        <v>258.08</v>
      </c>
      <c r="R713" s="19">
        <v>315.82</v>
      </c>
      <c r="S713" s="19">
        <v>364.58</v>
      </c>
      <c r="T713" s="19">
        <v>417.75</v>
      </c>
      <c r="U713" s="19">
        <v>427.59</v>
      </c>
      <c r="V713" s="19">
        <v>402.18</v>
      </c>
      <c r="W713" s="19">
        <v>363.64</v>
      </c>
      <c r="X713" s="19">
        <v>317.29</v>
      </c>
      <c r="Y713" s="19">
        <v>282.72</v>
      </c>
      <c r="Z713" s="33" t="s">
        <v>32</v>
      </c>
      <c r="AA713" s="25">
        <f t="shared" si="22"/>
        <v>163.19</v>
      </c>
      <c r="AB713" s="25">
        <f t="shared" si="23"/>
        <v>308.662083333333</v>
      </c>
      <c r="AF713" s="25">
        <f>MAX($B$713:$AE$713)</f>
        <v>427.59</v>
      </c>
      <c r="AG713" s="25">
        <f>MIN($B$713:$AE$713)</f>
        <v>163.19</v>
      </c>
      <c r="AH713" s="25">
        <f>AVERAGE($B$713:$AE$713)</f>
        <v>303.067003205128</v>
      </c>
    </row>
    <row r="714" spans="1:34">
      <c r="A714" s="30">
        <v>46009</v>
      </c>
      <c r="B714" s="19">
        <v>309.09</v>
      </c>
      <c r="C714" s="19">
        <v>304.8</v>
      </c>
      <c r="D714" s="19">
        <v>304.24</v>
      </c>
      <c r="E714" s="19">
        <v>297.34</v>
      </c>
      <c r="F714" s="19">
        <v>287.85</v>
      </c>
      <c r="G714" s="19">
        <v>285.47</v>
      </c>
      <c r="H714" s="19">
        <v>298.5</v>
      </c>
      <c r="I714" s="19">
        <v>305.15</v>
      </c>
      <c r="J714" s="19">
        <v>337.62</v>
      </c>
      <c r="K714" s="19">
        <v>316.16</v>
      </c>
      <c r="L714" s="19">
        <v>265.9</v>
      </c>
      <c r="M714" s="19">
        <v>89.67</v>
      </c>
      <c r="N714" s="19">
        <v>-16</v>
      </c>
      <c r="O714" s="19">
        <v>60.88</v>
      </c>
      <c r="P714" s="19">
        <v>60.38</v>
      </c>
      <c r="Q714" s="19">
        <v>223</v>
      </c>
      <c r="R714" s="19">
        <v>310.1</v>
      </c>
      <c r="S714" s="19">
        <v>369.04</v>
      </c>
      <c r="T714" s="19">
        <v>452.17</v>
      </c>
      <c r="U714" s="19">
        <v>477.28</v>
      </c>
      <c r="V714" s="19">
        <v>429.51</v>
      </c>
      <c r="W714" s="19">
        <v>401.59</v>
      </c>
      <c r="X714" s="19">
        <v>345.01</v>
      </c>
      <c r="Y714" s="19">
        <v>297.81</v>
      </c>
      <c r="Z714" s="32" t="s">
        <v>32</v>
      </c>
      <c r="AA714" s="25">
        <f t="shared" si="22"/>
        <v>-16</v>
      </c>
      <c r="AB714" s="25">
        <f t="shared" si="23"/>
        <v>283.856666666667</v>
      </c>
      <c r="AF714" s="25">
        <f>MAX($B$714:$AE$714)</f>
        <v>477.28</v>
      </c>
      <c r="AG714" s="25">
        <f>MIN($B$714:$AE$714)</f>
        <v>-16</v>
      </c>
      <c r="AH714" s="25">
        <f>AVERAGE($B$714:$AE$714)</f>
        <v>272.323717948718</v>
      </c>
    </row>
    <row r="715" spans="1:34">
      <c r="A715" s="30">
        <v>46010</v>
      </c>
      <c r="B715" s="19">
        <v>344.2</v>
      </c>
      <c r="C715" s="19">
        <v>333.32</v>
      </c>
      <c r="D715" s="19">
        <v>308.44</v>
      </c>
      <c r="E715" s="19">
        <v>321.9</v>
      </c>
      <c r="F715" s="19">
        <v>327.69</v>
      </c>
      <c r="G715" s="19">
        <v>323.42</v>
      </c>
      <c r="H715" s="19">
        <v>350.37</v>
      </c>
      <c r="I715" s="19">
        <v>372.23</v>
      </c>
      <c r="J715" s="19">
        <v>404.8</v>
      </c>
      <c r="K715" s="19">
        <v>352.34</v>
      </c>
      <c r="L715" s="19">
        <v>298.43</v>
      </c>
      <c r="M715" s="19">
        <v>265.97</v>
      </c>
      <c r="N715" s="19">
        <v>191.73</v>
      </c>
      <c r="O715" s="19">
        <v>225.97</v>
      </c>
      <c r="P715" s="19">
        <v>280.09</v>
      </c>
      <c r="Q715" s="19">
        <v>259.44</v>
      </c>
      <c r="R715" s="19">
        <v>346.34</v>
      </c>
      <c r="S715" s="19">
        <v>448.06</v>
      </c>
      <c r="T715" s="19">
        <v>526.66</v>
      </c>
      <c r="U715" s="19">
        <v>505.03</v>
      </c>
      <c r="V715" s="19">
        <v>491.53</v>
      </c>
      <c r="W715" s="19">
        <v>486.24</v>
      </c>
      <c r="X715" s="19">
        <v>408.15</v>
      </c>
      <c r="Y715" s="19">
        <v>346.2</v>
      </c>
      <c r="Z715" s="33" t="s">
        <v>32</v>
      </c>
      <c r="AA715" s="25">
        <f t="shared" si="22"/>
        <v>191.73</v>
      </c>
      <c r="AB715" s="25">
        <f t="shared" si="23"/>
        <v>354.939583333333</v>
      </c>
      <c r="AF715" s="25">
        <f>MAX($B$715:$AE$715)</f>
        <v>526.66</v>
      </c>
      <c r="AG715" s="25">
        <f>MIN($B$715:$AE$715)</f>
        <v>191.73</v>
      </c>
      <c r="AH715" s="25">
        <f>AVERAGE($B$715:$AE$715)</f>
        <v>348.662291666667</v>
      </c>
    </row>
    <row r="716" spans="1:34">
      <c r="A716" s="30">
        <v>46011</v>
      </c>
      <c r="B716" s="19">
        <v>352.43</v>
      </c>
      <c r="C716" s="19">
        <v>333.07</v>
      </c>
      <c r="D716" s="19">
        <v>328.55</v>
      </c>
      <c r="E716" s="19">
        <v>313.54</v>
      </c>
      <c r="F716" s="19">
        <v>309.13</v>
      </c>
      <c r="G716" s="19">
        <v>309.2</v>
      </c>
      <c r="H716" s="19">
        <v>321.19</v>
      </c>
      <c r="I716" s="19">
        <v>339.32</v>
      </c>
      <c r="J716" s="19">
        <v>366.92</v>
      </c>
      <c r="K716" s="19">
        <v>357.89</v>
      </c>
      <c r="L716" s="19">
        <v>301.62</v>
      </c>
      <c r="M716" s="19">
        <v>244.7</v>
      </c>
      <c r="N716" s="19">
        <v>190.36</v>
      </c>
      <c r="O716" s="19">
        <v>230.89</v>
      </c>
      <c r="P716" s="19">
        <v>258.08</v>
      </c>
      <c r="Q716" s="19">
        <v>296.33</v>
      </c>
      <c r="R716" s="19">
        <v>351.12</v>
      </c>
      <c r="S716" s="19">
        <v>398.98</v>
      </c>
      <c r="T716" s="19">
        <v>423.03</v>
      </c>
      <c r="U716" s="19">
        <v>412.78</v>
      </c>
      <c r="V716" s="19">
        <v>408.2</v>
      </c>
      <c r="W716" s="19">
        <v>400.11</v>
      </c>
      <c r="X716" s="19">
        <v>372.53</v>
      </c>
      <c r="Y716" s="19">
        <v>317.17</v>
      </c>
      <c r="Z716" s="34" t="s">
        <v>36</v>
      </c>
      <c r="AA716" s="25">
        <f t="shared" si="22"/>
        <v>190.36</v>
      </c>
      <c r="AB716" s="25">
        <f t="shared" si="23"/>
        <v>330.714166666667</v>
      </c>
      <c r="AF716" s="25">
        <f>MAX($B$716:$AE$716)</f>
        <v>423.03</v>
      </c>
      <c r="AG716" s="25">
        <f>MIN($B$716:$AE$716)</f>
        <v>190.36</v>
      </c>
      <c r="AH716" s="25">
        <f>AVERAGE($B$716:$AE$716)</f>
        <v>325.315929487179</v>
      </c>
    </row>
    <row r="717" spans="1:34">
      <c r="A717" s="30">
        <v>46012</v>
      </c>
      <c r="B717" s="19">
        <v>329.63</v>
      </c>
      <c r="C717" s="19">
        <v>309.65</v>
      </c>
      <c r="D717" s="19">
        <v>298.36</v>
      </c>
      <c r="E717" s="19">
        <v>293.22</v>
      </c>
      <c r="F717" s="19">
        <v>286.77</v>
      </c>
      <c r="G717" s="19">
        <v>277.7</v>
      </c>
      <c r="H717" s="19">
        <v>276.45</v>
      </c>
      <c r="I717" s="19">
        <v>269.21</v>
      </c>
      <c r="J717" s="19">
        <v>264.48</v>
      </c>
      <c r="K717" s="19">
        <v>239.07</v>
      </c>
      <c r="L717" s="19">
        <v>79.52</v>
      </c>
      <c r="M717" s="19">
        <v>-25.63</v>
      </c>
      <c r="N717" s="19">
        <v>-53.68</v>
      </c>
      <c r="O717" s="19">
        <v>-28.22</v>
      </c>
      <c r="P717" s="19">
        <v>-19.78</v>
      </c>
      <c r="Q717" s="19">
        <v>67.4</v>
      </c>
      <c r="R717" s="19">
        <v>241.54</v>
      </c>
      <c r="S717" s="19">
        <v>304.2</v>
      </c>
      <c r="T717" s="19">
        <v>324.67</v>
      </c>
      <c r="U717" s="19">
        <v>322.84</v>
      </c>
      <c r="V717" s="19">
        <v>320.88</v>
      </c>
      <c r="W717" s="19">
        <v>321.21</v>
      </c>
      <c r="X717" s="19">
        <v>297.37</v>
      </c>
      <c r="Y717" s="19">
        <v>262.26</v>
      </c>
      <c r="Z717" s="35" t="s">
        <v>37</v>
      </c>
      <c r="AA717" s="25">
        <f t="shared" si="22"/>
        <v>-53.68</v>
      </c>
      <c r="AB717" s="25">
        <f t="shared" si="23"/>
        <v>219.13</v>
      </c>
      <c r="AF717" s="25">
        <f>MAX($B$717:$AE$717)</f>
        <v>329.63</v>
      </c>
      <c r="AG717" s="25">
        <f>MIN($B$717:$AE$717)</f>
        <v>-53.68</v>
      </c>
      <c r="AH717" s="25">
        <f>AVERAGE($B$717:$AE$717)</f>
        <v>208.637307692308</v>
      </c>
    </row>
    <row r="718" spans="1:34">
      <c r="A718" s="30">
        <v>46013</v>
      </c>
      <c r="B718" s="19">
        <v>288.72</v>
      </c>
      <c r="C718" s="19">
        <v>280.29</v>
      </c>
      <c r="D718" s="19">
        <v>271.67</v>
      </c>
      <c r="E718" s="19">
        <v>255.46</v>
      </c>
      <c r="F718" s="19">
        <v>244.96</v>
      </c>
      <c r="G718" s="19">
        <v>249.75</v>
      </c>
      <c r="H718" s="19">
        <v>271.25</v>
      </c>
      <c r="I718" s="19">
        <v>291.92</v>
      </c>
      <c r="J718" s="19">
        <v>309.37</v>
      </c>
      <c r="K718" s="19">
        <v>296.55</v>
      </c>
      <c r="L718" s="19">
        <v>216.79</v>
      </c>
      <c r="M718" s="19">
        <v>192.68</v>
      </c>
      <c r="N718" s="19">
        <v>29.51</v>
      </c>
      <c r="O718" s="19">
        <v>42.69</v>
      </c>
      <c r="P718" s="19">
        <v>53.71</v>
      </c>
      <c r="Q718" s="19">
        <v>162.39</v>
      </c>
      <c r="R718" s="19">
        <v>295.92</v>
      </c>
      <c r="S718" s="19">
        <v>364.66</v>
      </c>
      <c r="T718" s="19">
        <v>387.17</v>
      </c>
      <c r="U718" s="19">
        <v>385.77</v>
      </c>
      <c r="V718" s="19">
        <v>387.28</v>
      </c>
      <c r="W718" s="19">
        <v>393.01</v>
      </c>
      <c r="X718" s="19">
        <v>353.55</v>
      </c>
      <c r="Y718" s="19">
        <v>299.51</v>
      </c>
      <c r="Z718" s="32" t="s">
        <v>32</v>
      </c>
      <c r="AA718" s="25">
        <f t="shared" si="22"/>
        <v>29.51</v>
      </c>
      <c r="AB718" s="25">
        <f t="shared" si="23"/>
        <v>263.524166666667</v>
      </c>
      <c r="AF718" s="25">
        <f>MAX($B$718:$AE$718)</f>
        <v>393.01</v>
      </c>
      <c r="AG718" s="25">
        <f>MIN($B$718:$AE$718)</f>
        <v>29.51</v>
      </c>
      <c r="AH718" s="25">
        <f>AVERAGE($B$718:$AE$718)</f>
        <v>254.523621794872</v>
      </c>
    </row>
    <row r="719" spans="1:34">
      <c r="A719" s="30">
        <v>46014</v>
      </c>
      <c r="B719" s="19">
        <v>312.75</v>
      </c>
      <c r="C719" s="19">
        <v>300.72</v>
      </c>
      <c r="D719" s="19">
        <v>297.26</v>
      </c>
      <c r="E719" s="19">
        <v>287.32</v>
      </c>
      <c r="F719" s="19">
        <v>274.34</v>
      </c>
      <c r="G719" s="19">
        <v>272.73</v>
      </c>
      <c r="H719" s="19">
        <v>289.26</v>
      </c>
      <c r="I719" s="19">
        <v>310.62</v>
      </c>
      <c r="J719" s="19">
        <v>354.42</v>
      </c>
      <c r="K719" s="19">
        <v>355.98</v>
      </c>
      <c r="L719" s="19">
        <v>292.51</v>
      </c>
      <c r="M719" s="19">
        <v>260.93</v>
      </c>
      <c r="N719" s="19">
        <v>216.5</v>
      </c>
      <c r="O719" s="19">
        <v>246.27</v>
      </c>
      <c r="P719" s="19">
        <v>249.68</v>
      </c>
      <c r="Q719" s="19">
        <v>291.9</v>
      </c>
      <c r="R719" s="19">
        <v>359.44</v>
      </c>
      <c r="S719" s="19">
        <v>423.06</v>
      </c>
      <c r="T719" s="19">
        <v>467.43</v>
      </c>
      <c r="U719" s="19">
        <v>513</v>
      </c>
      <c r="V719" s="19">
        <v>447.94</v>
      </c>
      <c r="W719" s="19">
        <v>451.63</v>
      </c>
      <c r="X719" s="19">
        <v>409.26</v>
      </c>
      <c r="Y719" s="19">
        <v>341.73</v>
      </c>
      <c r="Z719" s="33" t="s">
        <v>32</v>
      </c>
      <c r="AA719" s="25">
        <f t="shared" si="22"/>
        <v>216.5</v>
      </c>
      <c r="AB719" s="25">
        <f t="shared" si="23"/>
        <v>334.445</v>
      </c>
      <c r="AF719" s="25">
        <f>MAX($B$719:$AE$719)</f>
        <v>513</v>
      </c>
      <c r="AG719" s="25">
        <f>MIN($B$719:$AE$719)</f>
        <v>216.5</v>
      </c>
      <c r="AH719" s="25">
        <f>AVERAGE($B$719:$AE$719)</f>
        <v>329.908653846154</v>
      </c>
    </row>
    <row r="720" spans="1:34">
      <c r="A720" s="30">
        <v>46015</v>
      </c>
      <c r="B720" s="19">
        <v>360.38</v>
      </c>
      <c r="C720" s="19">
        <v>339.42</v>
      </c>
      <c r="D720" s="19">
        <v>331.62</v>
      </c>
      <c r="E720" s="19">
        <v>313.84</v>
      </c>
      <c r="F720" s="19">
        <v>309.39</v>
      </c>
      <c r="G720" s="19">
        <v>309.85</v>
      </c>
      <c r="H720" s="19">
        <v>339.95</v>
      </c>
      <c r="I720" s="19">
        <v>361.29</v>
      </c>
      <c r="J720" s="19">
        <v>391</v>
      </c>
      <c r="K720" s="19">
        <v>378.91</v>
      </c>
      <c r="L720" s="19">
        <v>321.96</v>
      </c>
      <c r="M720" s="19">
        <v>281.44</v>
      </c>
      <c r="N720" s="19">
        <v>245.02</v>
      </c>
      <c r="O720" s="19">
        <v>263.71</v>
      </c>
      <c r="P720" s="19">
        <v>268.92</v>
      </c>
      <c r="Q720" s="19">
        <v>292.01</v>
      </c>
      <c r="R720" s="19">
        <v>351.76</v>
      </c>
      <c r="S720" s="19">
        <v>400.03</v>
      </c>
      <c r="T720" s="19">
        <v>427.55</v>
      </c>
      <c r="U720" s="19">
        <v>449.92</v>
      </c>
      <c r="V720" s="19">
        <v>421.09</v>
      </c>
      <c r="W720" s="19">
        <v>413.78</v>
      </c>
      <c r="X720" s="19">
        <v>379.47</v>
      </c>
      <c r="Y720" s="19">
        <v>306.08</v>
      </c>
      <c r="Z720" s="32" t="s">
        <v>32</v>
      </c>
      <c r="AA720" s="25">
        <f t="shared" si="22"/>
        <v>245.02</v>
      </c>
      <c r="AB720" s="25">
        <f t="shared" si="23"/>
        <v>344.099583333333</v>
      </c>
      <c r="AF720" s="25">
        <f>MAX($B$720:$AE$720)</f>
        <v>449.92</v>
      </c>
      <c r="AG720" s="25">
        <f>MIN($B$720:$AE$720)</f>
        <v>245.02</v>
      </c>
      <c r="AH720" s="25">
        <f>AVERAGE($B$720:$AE$720)</f>
        <v>340.288830128205</v>
      </c>
    </row>
    <row r="721" spans="1:34">
      <c r="A721" s="30">
        <v>46016</v>
      </c>
      <c r="B721" s="19">
        <v>321.14</v>
      </c>
      <c r="C721" s="19">
        <v>304.18</v>
      </c>
      <c r="D721" s="19">
        <v>302.66</v>
      </c>
      <c r="E721" s="19">
        <v>287.87</v>
      </c>
      <c r="F721" s="19">
        <v>277.9</v>
      </c>
      <c r="G721" s="19">
        <v>270.82</v>
      </c>
      <c r="H721" s="19">
        <v>282.68</v>
      </c>
      <c r="I721" s="19">
        <v>290.4</v>
      </c>
      <c r="J721" s="19">
        <v>305.99</v>
      </c>
      <c r="K721" s="19">
        <v>304.58</v>
      </c>
      <c r="L721" s="19">
        <v>265.76</v>
      </c>
      <c r="M721" s="19">
        <v>240.16</v>
      </c>
      <c r="N721" s="19">
        <v>218.8</v>
      </c>
      <c r="O721" s="19">
        <v>222.66</v>
      </c>
      <c r="P721" s="19">
        <v>229.22</v>
      </c>
      <c r="Q721" s="19">
        <v>262.38</v>
      </c>
      <c r="R721" s="19">
        <v>300.55</v>
      </c>
      <c r="S721" s="19">
        <v>350.4</v>
      </c>
      <c r="T721" s="19">
        <v>385.15</v>
      </c>
      <c r="U721" s="19">
        <v>372</v>
      </c>
      <c r="V721" s="19">
        <v>374.7</v>
      </c>
      <c r="W721" s="19">
        <v>370.48</v>
      </c>
      <c r="X721" s="19">
        <v>309.05</v>
      </c>
      <c r="Y721" s="19">
        <v>261.77</v>
      </c>
      <c r="Z721" s="33" t="s">
        <v>32</v>
      </c>
      <c r="AA721" s="25">
        <f t="shared" si="22"/>
        <v>218.8</v>
      </c>
      <c r="AB721" s="25">
        <f t="shared" si="23"/>
        <v>296.304166666667</v>
      </c>
      <c r="AF721" s="25">
        <f>MAX($B$721:$AE$721)</f>
        <v>385.15</v>
      </c>
      <c r="AG721" s="25">
        <f>MIN($B$721:$AE$721)</f>
        <v>218.8</v>
      </c>
      <c r="AH721" s="25">
        <f>AVERAGE($B$721:$AE$721)</f>
        <v>293.323237179487</v>
      </c>
    </row>
    <row r="722" spans="1:34">
      <c r="A722" s="30">
        <v>46017</v>
      </c>
      <c r="B722" s="19">
        <v>276.19</v>
      </c>
      <c r="C722" s="19">
        <v>270.65</v>
      </c>
      <c r="D722" s="19">
        <v>263.9</v>
      </c>
      <c r="E722" s="19">
        <v>256.32</v>
      </c>
      <c r="F722" s="19">
        <v>254.63</v>
      </c>
      <c r="G722" s="19">
        <v>253.01</v>
      </c>
      <c r="H722" s="19">
        <v>275.9</v>
      </c>
      <c r="I722" s="19">
        <v>286.92</v>
      </c>
      <c r="J722" s="19">
        <v>316.61</v>
      </c>
      <c r="K722" s="19">
        <v>292.93</v>
      </c>
      <c r="L722" s="19">
        <v>237.7</v>
      </c>
      <c r="M722" s="19">
        <v>174.94</v>
      </c>
      <c r="N722" s="19">
        <v>17.79</v>
      </c>
      <c r="O722" s="19">
        <v>81.39</v>
      </c>
      <c r="P722" s="19">
        <v>172.15</v>
      </c>
      <c r="Q722" s="19">
        <v>237.84</v>
      </c>
      <c r="R722" s="19">
        <v>312.32</v>
      </c>
      <c r="S722" s="19">
        <v>385.91</v>
      </c>
      <c r="T722" s="19">
        <v>466.48</v>
      </c>
      <c r="U722" s="19">
        <v>488.05</v>
      </c>
      <c r="V722" s="19">
        <v>465.87</v>
      </c>
      <c r="W722" s="19">
        <v>446.61</v>
      </c>
      <c r="X722" s="19">
        <v>372.7</v>
      </c>
      <c r="Y722" s="19">
        <v>307.1</v>
      </c>
      <c r="Z722" s="32" t="s">
        <v>32</v>
      </c>
      <c r="AA722" s="25">
        <f t="shared" si="22"/>
        <v>17.79</v>
      </c>
      <c r="AB722" s="25">
        <f t="shared" si="23"/>
        <v>288.079583333333</v>
      </c>
      <c r="AF722" s="25">
        <f>MAX($B$722:$AE$722)</f>
        <v>488.05</v>
      </c>
      <c r="AG722" s="25">
        <f>MIN($B$722:$AE$722)</f>
        <v>17.79</v>
      </c>
      <c r="AH722" s="25">
        <f>AVERAGE($B$722:$AE$722)</f>
        <v>277.683830128205</v>
      </c>
    </row>
    <row r="723" spans="1:34">
      <c r="A723" s="30">
        <v>46018</v>
      </c>
      <c r="B723" s="19">
        <v>367.69</v>
      </c>
      <c r="C723" s="19">
        <v>352.4</v>
      </c>
      <c r="D723" s="19">
        <v>333.49</v>
      </c>
      <c r="E723" s="19">
        <v>308.72</v>
      </c>
      <c r="F723" s="19">
        <v>301.26</v>
      </c>
      <c r="G723" s="19">
        <v>301.17</v>
      </c>
      <c r="H723" s="19">
        <v>315.44</v>
      </c>
      <c r="I723" s="19">
        <v>319.97</v>
      </c>
      <c r="J723" s="19">
        <v>360.43</v>
      </c>
      <c r="K723" s="19">
        <v>332.65</v>
      </c>
      <c r="L723" s="19">
        <v>262.9</v>
      </c>
      <c r="M723" s="19">
        <v>217.29</v>
      </c>
      <c r="N723" s="19">
        <v>62.4</v>
      </c>
      <c r="O723" s="19">
        <v>107.47</v>
      </c>
      <c r="P723" s="19">
        <v>185.39</v>
      </c>
      <c r="Q723" s="19">
        <v>240.71</v>
      </c>
      <c r="R723" s="19">
        <v>306.53</v>
      </c>
      <c r="S723" s="19">
        <v>403.33</v>
      </c>
      <c r="T723" s="19">
        <v>463.15</v>
      </c>
      <c r="U723" s="19">
        <v>558.93</v>
      </c>
      <c r="V723" s="19">
        <v>541.77</v>
      </c>
      <c r="W723" s="19">
        <v>467.91</v>
      </c>
      <c r="X723" s="19">
        <v>413.21</v>
      </c>
      <c r="Y723" s="19">
        <v>359.27</v>
      </c>
      <c r="Z723" s="36" t="s">
        <v>36</v>
      </c>
      <c r="AA723" s="25">
        <f t="shared" si="22"/>
        <v>62.4</v>
      </c>
      <c r="AB723" s="25">
        <f t="shared" si="23"/>
        <v>328.478333333333</v>
      </c>
      <c r="AF723" s="25">
        <f>MAX($B$723:$AE$723)</f>
        <v>558.93</v>
      </c>
      <c r="AG723" s="25">
        <f>MIN($B$723:$AE$723)</f>
        <v>62.4</v>
      </c>
      <c r="AH723" s="25">
        <f>AVERAGE($B$723:$AE$723)</f>
        <v>318.244551282051</v>
      </c>
    </row>
    <row r="724" spans="1:34">
      <c r="A724" s="30">
        <v>46019</v>
      </c>
      <c r="B724" s="19">
        <v>433.59</v>
      </c>
      <c r="C724" s="19">
        <v>428.96</v>
      </c>
      <c r="D724" s="19">
        <v>406.07</v>
      </c>
      <c r="E724" s="19">
        <v>376.25</v>
      </c>
      <c r="F724" s="19">
        <v>341.54</v>
      </c>
      <c r="G724" s="19">
        <v>323.94</v>
      </c>
      <c r="H724" s="19">
        <v>367.47</v>
      </c>
      <c r="I724" s="19">
        <v>398.22</v>
      </c>
      <c r="J724" s="19">
        <v>411.78</v>
      </c>
      <c r="K724" s="19">
        <v>340.5</v>
      </c>
      <c r="L724" s="19">
        <v>262.7</v>
      </c>
      <c r="M724" s="19">
        <v>214.86</v>
      </c>
      <c r="N724" s="19">
        <v>109.72</v>
      </c>
      <c r="O724" s="19">
        <v>145.21</v>
      </c>
      <c r="P724" s="19">
        <v>143.56</v>
      </c>
      <c r="Q724" s="19">
        <v>227.58</v>
      </c>
      <c r="R724" s="19">
        <v>317.66</v>
      </c>
      <c r="S724" s="19">
        <v>425.57</v>
      </c>
      <c r="T724" s="19">
        <v>470.09</v>
      </c>
      <c r="U724" s="19">
        <v>484.8</v>
      </c>
      <c r="V724" s="19">
        <v>475.46</v>
      </c>
      <c r="W724" s="19">
        <v>481.28</v>
      </c>
      <c r="X724" s="19">
        <v>440.7</v>
      </c>
      <c r="Y724" s="19">
        <v>357.36</v>
      </c>
      <c r="Z724" s="37" t="s">
        <v>37</v>
      </c>
      <c r="AA724" s="25">
        <f t="shared" si="22"/>
        <v>109.72</v>
      </c>
      <c r="AB724" s="25">
        <f t="shared" si="23"/>
        <v>349.369583333333</v>
      </c>
      <c r="AF724" s="25">
        <f>MAX($B$724:$AE$724)</f>
        <v>484.8</v>
      </c>
      <c r="AG724" s="25">
        <f>MIN($B$724:$AE$724)</f>
        <v>109.72</v>
      </c>
      <c r="AH724" s="25">
        <f>AVERAGE($B$724:$AE$724)</f>
        <v>340.152291666667</v>
      </c>
    </row>
    <row r="725" spans="1:34">
      <c r="A725" s="30">
        <v>46020</v>
      </c>
      <c r="B725" s="19">
        <v>357.17</v>
      </c>
      <c r="C725" s="19">
        <v>332.35</v>
      </c>
      <c r="D725" s="19">
        <v>322.13</v>
      </c>
      <c r="E725" s="19">
        <v>296.16</v>
      </c>
      <c r="F725" s="19">
        <v>294.99</v>
      </c>
      <c r="G725" s="19">
        <v>293.18</v>
      </c>
      <c r="H725" s="19">
        <v>327.58</v>
      </c>
      <c r="I725" s="19">
        <v>366.96</v>
      </c>
      <c r="J725" s="19">
        <v>390.52</v>
      </c>
      <c r="K725" s="19">
        <v>366.12</v>
      </c>
      <c r="L725" s="19">
        <v>279.74</v>
      </c>
      <c r="M725" s="19">
        <v>241.82</v>
      </c>
      <c r="N725" s="19">
        <v>160.18</v>
      </c>
      <c r="O725" s="19">
        <v>214.27</v>
      </c>
      <c r="P725" s="19">
        <v>230.98</v>
      </c>
      <c r="Q725" s="19">
        <v>263.2</v>
      </c>
      <c r="R725" s="19">
        <v>342.65</v>
      </c>
      <c r="S725" s="19">
        <v>408.91</v>
      </c>
      <c r="T725" s="19">
        <v>555.33</v>
      </c>
      <c r="U725" s="19">
        <v>646.88</v>
      </c>
      <c r="V725" s="19">
        <v>565.37</v>
      </c>
      <c r="W725" s="19">
        <v>438.17</v>
      </c>
      <c r="X725" s="19">
        <v>403.95</v>
      </c>
      <c r="Y725" s="19">
        <v>344.65</v>
      </c>
      <c r="Z725" s="33" t="s">
        <v>32</v>
      </c>
      <c r="AA725" s="25">
        <f t="shared" si="22"/>
        <v>160.18</v>
      </c>
      <c r="AB725" s="25">
        <f t="shared" si="23"/>
        <v>351.8025</v>
      </c>
      <c r="AF725" s="25">
        <f>MAX($B$725:$AE$725)</f>
        <v>646.88</v>
      </c>
      <c r="AG725" s="25">
        <f>MIN($B$725:$AE$725)</f>
        <v>160.18</v>
      </c>
      <c r="AH725" s="25">
        <f>AVERAGE($B$725:$AE$725)</f>
        <v>344.432403846154</v>
      </c>
    </row>
    <row r="726" spans="1:34">
      <c r="A726" s="30">
        <v>46021</v>
      </c>
      <c r="B726" s="19">
        <v>376.68</v>
      </c>
      <c r="C726" s="19">
        <v>351.81</v>
      </c>
      <c r="D726" s="19">
        <v>343.8</v>
      </c>
      <c r="E726" s="19">
        <v>331.16</v>
      </c>
      <c r="F726" s="19">
        <v>319.1</v>
      </c>
      <c r="G726" s="19">
        <v>315.61</v>
      </c>
      <c r="H726" s="19">
        <v>341.89</v>
      </c>
      <c r="I726" s="19">
        <v>366.14</v>
      </c>
      <c r="J726" s="19">
        <v>394.12</v>
      </c>
      <c r="K726" s="19">
        <v>359.05</v>
      </c>
      <c r="L726" s="19">
        <v>290.6</v>
      </c>
      <c r="M726" s="19">
        <v>247.11</v>
      </c>
      <c r="N726" s="19">
        <v>152.1</v>
      </c>
      <c r="O726" s="19">
        <v>234.7</v>
      </c>
      <c r="P726" s="19">
        <v>243.43</v>
      </c>
      <c r="Q726" s="19">
        <v>261.97</v>
      </c>
      <c r="R726" s="19">
        <v>320.96</v>
      </c>
      <c r="S726" s="19">
        <v>384.64</v>
      </c>
      <c r="T726" s="19">
        <v>442.28</v>
      </c>
      <c r="U726" s="19">
        <v>568.37</v>
      </c>
      <c r="V726" s="19">
        <v>482.02</v>
      </c>
      <c r="W726" s="19">
        <v>420.29</v>
      </c>
      <c r="X726" s="19">
        <v>374.43</v>
      </c>
      <c r="Y726" s="19">
        <v>330.15</v>
      </c>
      <c r="Z726" s="32" t="s">
        <v>32</v>
      </c>
      <c r="AA726" s="25">
        <f>MIN(B726:Y726)</f>
        <v>152.1</v>
      </c>
      <c r="AB726" s="25">
        <f>AVERAGE(B726:Y726)</f>
        <v>343.850416666667</v>
      </c>
      <c r="AF726" s="25">
        <f>MAX($B$726:$AE$726)</f>
        <v>568.37</v>
      </c>
      <c r="AG726" s="25">
        <f>MIN($B$726:$AE$726)</f>
        <v>152.1</v>
      </c>
      <c r="AH726" s="25">
        <f>AVERAGE($B$726:$AE$726)</f>
        <v>336.475400641026</v>
      </c>
    </row>
    <row r="727" spans="1:34">
      <c r="A727" s="30">
        <v>46022</v>
      </c>
      <c r="B727" s="19">
        <v>302.3</v>
      </c>
      <c r="C727" s="19">
        <v>303.92</v>
      </c>
      <c r="D727" s="19">
        <v>306.43</v>
      </c>
      <c r="E727" s="19">
        <v>296</v>
      </c>
      <c r="F727" s="19">
        <v>288.36</v>
      </c>
      <c r="G727" s="19">
        <v>284.89</v>
      </c>
      <c r="H727" s="19">
        <v>296.69</v>
      </c>
      <c r="I727" s="19">
        <v>310.27</v>
      </c>
      <c r="J727" s="19">
        <v>321.01</v>
      </c>
      <c r="K727" s="19">
        <v>309.89</v>
      </c>
      <c r="L727" s="19">
        <v>274.11</v>
      </c>
      <c r="M727" s="19">
        <v>234.2</v>
      </c>
      <c r="N727" s="19">
        <v>147.66</v>
      </c>
      <c r="O727" s="19">
        <v>204.44</v>
      </c>
      <c r="P727" s="19">
        <v>223.61</v>
      </c>
      <c r="Q727" s="19">
        <v>250.62</v>
      </c>
      <c r="R727" s="19">
        <v>288.7</v>
      </c>
      <c r="S727" s="19">
        <v>323</v>
      </c>
      <c r="T727" s="19">
        <v>334.95</v>
      </c>
      <c r="U727" s="19">
        <v>335.17</v>
      </c>
      <c r="V727" s="19">
        <v>335.72</v>
      </c>
      <c r="W727" s="19">
        <v>335.47</v>
      </c>
      <c r="X727" s="19">
        <v>323.12</v>
      </c>
      <c r="Y727" s="19">
        <v>297.42</v>
      </c>
      <c r="Z727" s="33" t="s">
        <v>32</v>
      </c>
      <c r="AA727" s="25">
        <f>MIN(B727:Y727)</f>
        <v>147.66</v>
      </c>
      <c r="AB727" s="25">
        <f>AVERAGE(B727:Y727)</f>
        <v>288.664583333333</v>
      </c>
      <c r="AF727" s="25">
        <f>MAX($B$727:$AE$727)</f>
        <v>335.72</v>
      </c>
      <c r="AG727" s="25">
        <f>MIN($B$727:$AE$727)</f>
        <v>147.66</v>
      </c>
      <c r="AH727" s="25">
        <f>AVERAGE($B$727:$AE$727)</f>
        <v>283.241330128205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C727"/>
  <sheetViews>
    <sheetView workbookViewId="0">
      <pane ySplit="1" topLeftCell="A703" activePane="bottomLeft" state="frozen"/>
      <selection/>
      <selection pane="bottomLeft" activeCell="A728" sqref="$A728:$XFD734"/>
    </sheetView>
  </sheetViews>
  <sheetFormatPr defaultColWidth="9" defaultRowHeight="14.5"/>
  <cols>
    <col min="1" max="1" width="10.5" style="6" customWidth="1"/>
    <col min="2" max="26" width="9" style="12"/>
    <col min="27" max="16384" width="9" style="6"/>
  </cols>
  <sheetData>
    <row r="1" spans="1:29">
      <c r="A1" s="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4"/>
      <c r="AA1" s="15" t="s">
        <v>38</v>
      </c>
      <c r="AB1" s="15" t="s">
        <v>26</v>
      </c>
      <c r="AC1" s="15" t="s">
        <v>27</v>
      </c>
    </row>
    <row r="2" spans="1:29">
      <c r="A2" s="8">
        <v>45292</v>
      </c>
      <c r="B2" s="16">
        <v>351.3075</v>
      </c>
      <c r="C2" s="16">
        <v>262.2252</v>
      </c>
      <c r="D2" s="16">
        <v>186.6724</v>
      </c>
      <c r="E2" s="16">
        <v>34.0049</v>
      </c>
      <c r="F2" s="16">
        <v>0</v>
      </c>
      <c r="G2" s="16">
        <v>2.282</v>
      </c>
      <c r="H2" s="16">
        <v>0</v>
      </c>
      <c r="I2" s="16">
        <v>73.1531</v>
      </c>
      <c r="J2" s="16">
        <v>0</v>
      </c>
      <c r="K2" s="16">
        <v>0</v>
      </c>
      <c r="L2" s="16">
        <v>0</v>
      </c>
      <c r="M2" s="16">
        <v>296.1836</v>
      </c>
      <c r="N2" s="16">
        <v>486.7558</v>
      </c>
      <c r="O2" s="16">
        <v>104.831</v>
      </c>
      <c r="P2" s="16">
        <v>10.3218</v>
      </c>
      <c r="Q2" s="16">
        <v>451.4012</v>
      </c>
      <c r="R2" s="16">
        <v>404.047</v>
      </c>
      <c r="S2" s="16">
        <v>704.0041</v>
      </c>
      <c r="T2" s="16">
        <v>481.5</v>
      </c>
      <c r="U2" s="16">
        <v>338.8964</v>
      </c>
      <c r="V2" s="16">
        <v>340.8734</v>
      </c>
      <c r="W2" s="16">
        <v>357.927</v>
      </c>
      <c r="X2" s="16">
        <v>331.5227</v>
      </c>
      <c r="Y2" s="16">
        <v>257.1313</v>
      </c>
      <c r="Z2" s="16"/>
      <c r="AA2" s="17">
        <f>MAX($B2:$Y2)</f>
        <v>704.0041</v>
      </c>
      <c r="AB2" s="17">
        <f t="shared" ref="AB2:AB65" si="0">MIN($B2:$Y2)</f>
        <v>0</v>
      </c>
      <c r="AC2" s="17">
        <f t="shared" ref="AC2:AC65" si="1">AVERAGE($B2:$Y2)</f>
        <v>228.126683333333</v>
      </c>
    </row>
    <row r="3" spans="1:29">
      <c r="A3" s="8">
        <v>45293</v>
      </c>
      <c r="B3" s="16">
        <v>646.2119</v>
      </c>
      <c r="C3" s="16">
        <v>353.0908</v>
      </c>
      <c r="D3" s="16">
        <v>344.3118</v>
      </c>
      <c r="E3" s="16">
        <v>358</v>
      </c>
      <c r="F3" s="16">
        <v>325.4097</v>
      </c>
      <c r="G3" s="16">
        <v>322.6304</v>
      </c>
      <c r="H3" s="16">
        <v>404.9904</v>
      </c>
      <c r="I3" s="16">
        <v>454.9349</v>
      </c>
      <c r="J3" s="16">
        <v>708.3645</v>
      </c>
      <c r="K3" s="16">
        <v>756.6657</v>
      </c>
      <c r="L3" s="16">
        <v>644.8362</v>
      </c>
      <c r="M3" s="16">
        <v>530.9401</v>
      </c>
      <c r="N3" s="16">
        <v>358.7926</v>
      </c>
      <c r="O3" s="16">
        <v>411.8398</v>
      </c>
      <c r="P3" s="16">
        <v>450.0576</v>
      </c>
      <c r="Q3" s="16">
        <v>475.1136</v>
      </c>
      <c r="R3" s="16">
        <v>509.672</v>
      </c>
      <c r="S3" s="16">
        <v>515.7986</v>
      </c>
      <c r="T3" s="16">
        <v>519.0921</v>
      </c>
      <c r="U3" s="16">
        <v>513.5307</v>
      </c>
      <c r="V3" s="16">
        <v>606.1419</v>
      </c>
      <c r="W3" s="16">
        <v>624.5532</v>
      </c>
      <c r="X3" s="16">
        <v>652.4129</v>
      </c>
      <c r="Y3" s="16">
        <v>437.53</v>
      </c>
      <c r="Z3" s="16"/>
      <c r="AA3" s="17">
        <f t="shared" ref="AA3:AA65" si="2">MAX($B3:$Y3)</f>
        <v>756.6657</v>
      </c>
      <c r="AB3" s="17">
        <f t="shared" si="0"/>
        <v>322.6304</v>
      </c>
      <c r="AC3" s="17">
        <f t="shared" si="1"/>
        <v>496.871725</v>
      </c>
    </row>
    <row r="4" spans="1:29">
      <c r="A4" s="8">
        <v>45294</v>
      </c>
      <c r="B4" s="16">
        <v>568.8296</v>
      </c>
      <c r="C4" s="16">
        <v>460.2101</v>
      </c>
      <c r="D4" s="16">
        <v>446.8859</v>
      </c>
      <c r="E4" s="16">
        <v>419.6387</v>
      </c>
      <c r="F4" s="16">
        <v>401.0764</v>
      </c>
      <c r="G4" s="16">
        <v>394.7298</v>
      </c>
      <c r="H4" s="16">
        <v>462.5</v>
      </c>
      <c r="I4" s="16">
        <v>558.4404</v>
      </c>
      <c r="J4" s="16">
        <v>937.4749</v>
      </c>
      <c r="K4" s="16">
        <v>862.1389</v>
      </c>
      <c r="L4" s="16">
        <v>584.1921</v>
      </c>
      <c r="M4" s="16">
        <v>471.9394</v>
      </c>
      <c r="N4" s="16">
        <v>245.6249</v>
      </c>
      <c r="O4" s="16">
        <v>355.1091</v>
      </c>
      <c r="P4" s="16">
        <v>424.1003</v>
      </c>
      <c r="Q4" s="16">
        <v>460.5596</v>
      </c>
      <c r="R4" s="16">
        <v>637.4447</v>
      </c>
      <c r="S4" s="16">
        <v>683.425</v>
      </c>
      <c r="T4" s="16">
        <v>580.653</v>
      </c>
      <c r="U4" s="16">
        <v>678.5797</v>
      </c>
      <c r="V4" s="16">
        <v>659.1237</v>
      </c>
      <c r="W4" s="16">
        <v>679.9737</v>
      </c>
      <c r="X4" s="16">
        <v>539.1937</v>
      </c>
      <c r="Y4" s="16">
        <v>425.509</v>
      </c>
      <c r="Z4" s="16"/>
      <c r="AA4" s="17">
        <f t="shared" si="2"/>
        <v>937.4749</v>
      </c>
      <c r="AB4" s="17">
        <f t="shared" si="0"/>
        <v>245.6249</v>
      </c>
      <c r="AC4" s="17">
        <f t="shared" si="1"/>
        <v>539.056358333333</v>
      </c>
    </row>
    <row r="5" spans="1:29">
      <c r="A5" s="8">
        <v>45295</v>
      </c>
      <c r="B5" s="16">
        <v>447.1147</v>
      </c>
      <c r="C5" s="16">
        <v>412.3095</v>
      </c>
      <c r="D5" s="16">
        <v>387.2282</v>
      </c>
      <c r="E5" s="16">
        <v>366.0096</v>
      </c>
      <c r="F5" s="16">
        <v>348.31</v>
      </c>
      <c r="G5" s="16">
        <v>375.5</v>
      </c>
      <c r="H5" s="16">
        <v>414.6088</v>
      </c>
      <c r="I5" s="16">
        <v>482.4203</v>
      </c>
      <c r="J5" s="16">
        <v>867.6348</v>
      </c>
      <c r="K5" s="16">
        <v>1009.5126</v>
      </c>
      <c r="L5" s="16">
        <v>644.0508</v>
      </c>
      <c r="M5" s="16">
        <v>399.6865</v>
      </c>
      <c r="N5" s="16">
        <v>50.513</v>
      </c>
      <c r="O5" s="16">
        <v>250.1888</v>
      </c>
      <c r="P5" s="16">
        <v>407.8704</v>
      </c>
      <c r="Q5" s="16">
        <v>467.4828</v>
      </c>
      <c r="R5" s="16">
        <v>687.724</v>
      </c>
      <c r="S5" s="16">
        <v>619.248</v>
      </c>
      <c r="T5" s="16">
        <v>730.9528</v>
      </c>
      <c r="U5" s="16">
        <v>883.8466</v>
      </c>
      <c r="V5" s="16">
        <v>869.6936</v>
      </c>
      <c r="W5" s="16">
        <v>701.4645</v>
      </c>
      <c r="X5" s="16">
        <v>511.9948</v>
      </c>
      <c r="Y5" s="16">
        <v>428.7473</v>
      </c>
      <c r="Z5" s="16"/>
      <c r="AA5" s="17">
        <f t="shared" si="2"/>
        <v>1009.5126</v>
      </c>
      <c r="AB5" s="17">
        <f t="shared" si="0"/>
        <v>50.513</v>
      </c>
      <c r="AC5" s="17">
        <f t="shared" si="1"/>
        <v>531.838016666667</v>
      </c>
    </row>
    <row r="6" spans="1:29">
      <c r="A6" s="8">
        <v>45296</v>
      </c>
      <c r="B6" s="16">
        <v>456.1052</v>
      </c>
      <c r="C6" s="16">
        <v>442.0378</v>
      </c>
      <c r="D6" s="16">
        <v>425.8091</v>
      </c>
      <c r="E6" s="16">
        <v>415.0831</v>
      </c>
      <c r="F6" s="16">
        <v>403.2788</v>
      </c>
      <c r="G6" s="16">
        <v>401.2775</v>
      </c>
      <c r="H6" s="16">
        <v>438.2548</v>
      </c>
      <c r="I6" s="16">
        <v>475.1034</v>
      </c>
      <c r="J6" s="16">
        <v>559.6943</v>
      </c>
      <c r="K6" s="16">
        <v>610.0726</v>
      </c>
      <c r="L6" s="16">
        <v>492.0916</v>
      </c>
      <c r="M6" s="16">
        <v>431.0772</v>
      </c>
      <c r="N6" s="16">
        <v>256.8286</v>
      </c>
      <c r="O6" s="16">
        <v>374.2201</v>
      </c>
      <c r="P6" s="16">
        <v>403.6285</v>
      </c>
      <c r="Q6" s="16">
        <v>459.1589</v>
      </c>
      <c r="R6" s="16">
        <v>544.454</v>
      </c>
      <c r="S6" s="16">
        <v>550.8788</v>
      </c>
      <c r="T6" s="16">
        <v>543.8887</v>
      </c>
      <c r="U6" s="16">
        <v>630.3925</v>
      </c>
      <c r="V6" s="16">
        <v>635.7658</v>
      </c>
      <c r="W6" s="16">
        <v>507.4413</v>
      </c>
      <c r="X6" s="16">
        <v>517.1972</v>
      </c>
      <c r="Y6" s="16">
        <v>456.672</v>
      </c>
      <c r="Z6" s="16"/>
      <c r="AA6" s="17">
        <f t="shared" si="2"/>
        <v>635.7658</v>
      </c>
      <c r="AB6" s="17">
        <f t="shared" si="0"/>
        <v>256.8286</v>
      </c>
      <c r="AC6" s="17">
        <f t="shared" si="1"/>
        <v>476.267158333333</v>
      </c>
    </row>
    <row r="7" spans="1:29">
      <c r="A7" s="8">
        <v>45297</v>
      </c>
      <c r="B7" s="16">
        <v>487.7782</v>
      </c>
      <c r="C7" s="16">
        <v>455.0109</v>
      </c>
      <c r="D7" s="16">
        <v>439.3467</v>
      </c>
      <c r="E7" s="16">
        <v>417.1035</v>
      </c>
      <c r="F7" s="16">
        <v>402.584</v>
      </c>
      <c r="G7" s="16">
        <v>402.0813</v>
      </c>
      <c r="H7" s="16">
        <v>427.8997</v>
      </c>
      <c r="I7" s="16">
        <v>471.4416</v>
      </c>
      <c r="J7" s="16">
        <v>570.0817</v>
      </c>
      <c r="K7" s="16">
        <v>552.5419</v>
      </c>
      <c r="L7" s="16">
        <v>474.7614</v>
      </c>
      <c r="M7" s="16">
        <v>429.4323</v>
      </c>
      <c r="N7" s="16">
        <v>264.3416</v>
      </c>
      <c r="O7" s="16">
        <v>373.2285</v>
      </c>
      <c r="P7" s="16">
        <v>414.2195</v>
      </c>
      <c r="Q7" s="16">
        <v>438.5428</v>
      </c>
      <c r="R7" s="16">
        <v>493.3857</v>
      </c>
      <c r="S7" s="16">
        <v>500.1066</v>
      </c>
      <c r="T7" s="16">
        <v>496.6991</v>
      </c>
      <c r="U7" s="16">
        <v>488.6505</v>
      </c>
      <c r="V7" s="16">
        <v>492.3004</v>
      </c>
      <c r="W7" s="16">
        <v>487.4563</v>
      </c>
      <c r="X7" s="16">
        <v>487.3581</v>
      </c>
      <c r="Y7" s="16">
        <v>430.9472</v>
      </c>
      <c r="Z7" s="16"/>
      <c r="AA7" s="17">
        <f t="shared" si="2"/>
        <v>570.0817</v>
      </c>
      <c r="AB7" s="17">
        <f t="shared" si="0"/>
        <v>264.3416</v>
      </c>
      <c r="AC7" s="17">
        <f t="shared" si="1"/>
        <v>454.054145833333</v>
      </c>
    </row>
    <row r="8" spans="1:29">
      <c r="A8" s="8">
        <v>45298</v>
      </c>
      <c r="B8" s="16">
        <v>470.1077</v>
      </c>
      <c r="C8" s="16">
        <v>431.179</v>
      </c>
      <c r="D8" s="16">
        <v>418.3532</v>
      </c>
      <c r="E8" s="16">
        <v>400.2545</v>
      </c>
      <c r="F8" s="16">
        <v>385.7956</v>
      </c>
      <c r="G8" s="16">
        <v>387.6377</v>
      </c>
      <c r="H8" s="16">
        <v>399.6324</v>
      </c>
      <c r="I8" s="16">
        <v>432.3914</v>
      </c>
      <c r="J8" s="16">
        <v>446.4227</v>
      </c>
      <c r="K8" s="16">
        <v>435.6028</v>
      </c>
      <c r="L8" s="16">
        <v>414.2216</v>
      </c>
      <c r="M8" s="16">
        <v>343.936</v>
      </c>
      <c r="N8" s="16">
        <v>208.5101</v>
      </c>
      <c r="O8" s="16">
        <v>287.1021</v>
      </c>
      <c r="P8" s="16">
        <v>319.5531</v>
      </c>
      <c r="Q8" s="16">
        <v>349.2273</v>
      </c>
      <c r="R8" s="16">
        <v>434.3359</v>
      </c>
      <c r="S8" s="16">
        <v>440.8389</v>
      </c>
      <c r="T8" s="16">
        <v>460.3714</v>
      </c>
      <c r="U8" s="16">
        <v>446.827</v>
      </c>
      <c r="V8" s="16">
        <v>449.107</v>
      </c>
      <c r="W8" s="16">
        <v>449.0791</v>
      </c>
      <c r="X8" s="16">
        <v>424.7895</v>
      </c>
      <c r="Y8" s="16">
        <v>376.198</v>
      </c>
      <c r="Z8" s="16"/>
      <c r="AA8" s="17">
        <f t="shared" si="2"/>
        <v>470.1077</v>
      </c>
      <c r="AB8" s="17">
        <f t="shared" si="0"/>
        <v>208.5101</v>
      </c>
      <c r="AC8" s="17">
        <f t="shared" si="1"/>
        <v>400.478083333333</v>
      </c>
    </row>
    <row r="9" spans="1:29">
      <c r="A9" s="8">
        <v>45299</v>
      </c>
      <c r="B9" s="16">
        <v>391.5033</v>
      </c>
      <c r="C9" s="16">
        <v>366.1057</v>
      </c>
      <c r="D9" s="16">
        <v>343.4502</v>
      </c>
      <c r="E9" s="16">
        <v>245.3517</v>
      </c>
      <c r="F9" s="16">
        <v>264.8528</v>
      </c>
      <c r="G9" s="16">
        <v>329.4253</v>
      </c>
      <c r="H9" s="16">
        <v>393.4992</v>
      </c>
      <c r="I9" s="16">
        <v>429.1781</v>
      </c>
      <c r="J9" s="16">
        <v>476.1435</v>
      </c>
      <c r="K9" s="16">
        <v>468.8347</v>
      </c>
      <c r="L9" s="16">
        <v>436.7683</v>
      </c>
      <c r="M9" s="16">
        <v>434.5329</v>
      </c>
      <c r="N9" s="16">
        <v>257.0992</v>
      </c>
      <c r="O9" s="16">
        <v>389.3244</v>
      </c>
      <c r="P9" s="16">
        <v>413.8349</v>
      </c>
      <c r="Q9" s="16">
        <v>444.651</v>
      </c>
      <c r="R9" s="16">
        <v>493.7924</v>
      </c>
      <c r="S9" s="16">
        <v>480.5828</v>
      </c>
      <c r="T9" s="16">
        <v>474.7245</v>
      </c>
      <c r="U9" s="16">
        <v>488.1189</v>
      </c>
      <c r="V9" s="16">
        <v>490.6185</v>
      </c>
      <c r="W9" s="16">
        <v>479.4362</v>
      </c>
      <c r="X9" s="16">
        <v>447.7614</v>
      </c>
      <c r="Y9" s="16">
        <v>406.4482</v>
      </c>
      <c r="Z9" s="16"/>
      <c r="AA9" s="17">
        <f t="shared" si="2"/>
        <v>493.7924</v>
      </c>
      <c r="AB9" s="17">
        <f t="shared" si="0"/>
        <v>245.3517</v>
      </c>
      <c r="AC9" s="17">
        <f t="shared" si="1"/>
        <v>410.2515875</v>
      </c>
    </row>
    <row r="10" spans="1:29">
      <c r="A10" s="8">
        <v>45300</v>
      </c>
      <c r="B10" s="16">
        <v>431.0593</v>
      </c>
      <c r="C10" s="16">
        <v>411.3844</v>
      </c>
      <c r="D10" s="16">
        <v>395.9425</v>
      </c>
      <c r="E10" s="16">
        <v>382.5871</v>
      </c>
      <c r="F10" s="16">
        <v>374.1786</v>
      </c>
      <c r="G10" s="16">
        <v>382.5584</v>
      </c>
      <c r="H10" s="16">
        <v>421.2228</v>
      </c>
      <c r="I10" s="16">
        <v>470.2977</v>
      </c>
      <c r="J10" s="16">
        <v>892.6127</v>
      </c>
      <c r="K10" s="16">
        <v>855.032</v>
      </c>
      <c r="L10" s="16">
        <v>668.1953</v>
      </c>
      <c r="M10" s="16">
        <v>504.8588</v>
      </c>
      <c r="N10" s="16">
        <v>383.7283</v>
      </c>
      <c r="O10" s="16">
        <v>457.2358</v>
      </c>
      <c r="P10" s="16">
        <v>564.6845</v>
      </c>
      <c r="Q10" s="16">
        <v>806.7771</v>
      </c>
      <c r="R10" s="16">
        <v>881.4188</v>
      </c>
      <c r="S10" s="16">
        <v>679.5242</v>
      </c>
      <c r="T10" s="16">
        <v>764.0615</v>
      </c>
      <c r="U10" s="16">
        <v>840.7148</v>
      </c>
      <c r="V10" s="16">
        <v>864.2961</v>
      </c>
      <c r="W10" s="16">
        <v>837.714</v>
      </c>
      <c r="X10" s="16">
        <v>577.4305</v>
      </c>
      <c r="Y10" s="16">
        <v>434.862</v>
      </c>
      <c r="Z10" s="16"/>
      <c r="AA10" s="17">
        <f t="shared" si="2"/>
        <v>892.6127</v>
      </c>
      <c r="AB10" s="17">
        <f t="shared" si="0"/>
        <v>374.1786</v>
      </c>
      <c r="AC10" s="17">
        <f t="shared" si="1"/>
        <v>595.09905</v>
      </c>
    </row>
    <row r="11" spans="1:29">
      <c r="A11" s="8">
        <v>45301</v>
      </c>
      <c r="B11" s="16">
        <v>449.0057</v>
      </c>
      <c r="C11" s="16">
        <v>427.1643</v>
      </c>
      <c r="D11" s="16">
        <v>413.6917</v>
      </c>
      <c r="E11" s="16">
        <v>389.8987</v>
      </c>
      <c r="F11" s="16">
        <v>380.5758</v>
      </c>
      <c r="G11" s="16">
        <v>385.4954</v>
      </c>
      <c r="H11" s="16">
        <v>419.1551</v>
      </c>
      <c r="I11" s="16">
        <v>467.872</v>
      </c>
      <c r="J11" s="16">
        <v>545.0673</v>
      </c>
      <c r="K11" s="16">
        <v>474.4031</v>
      </c>
      <c r="L11" s="16">
        <v>466.9519</v>
      </c>
      <c r="M11" s="16">
        <v>415.2266</v>
      </c>
      <c r="N11" s="16">
        <v>263.7776</v>
      </c>
      <c r="O11" s="16">
        <v>407.7887</v>
      </c>
      <c r="P11" s="16">
        <v>438.1822</v>
      </c>
      <c r="Q11" s="16">
        <v>451.0518</v>
      </c>
      <c r="R11" s="16">
        <v>480.8566</v>
      </c>
      <c r="S11" s="16">
        <v>482.9293</v>
      </c>
      <c r="T11" s="16">
        <v>526.0821</v>
      </c>
      <c r="U11" s="16">
        <v>510.8981</v>
      </c>
      <c r="V11" s="16">
        <v>504.7709</v>
      </c>
      <c r="W11" s="16">
        <v>488.8307</v>
      </c>
      <c r="X11" s="16">
        <v>454.6582</v>
      </c>
      <c r="Y11" s="16">
        <v>412.9747</v>
      </c>
      <c r="Z11" s="16"/>
      <c r="AA11" s="17">
        <f t="shared" si="2"/>
        <v>545.0673</v>
      </c>
      <c r="AB11" s="17">
        <f t="shared" si="0"/>
        <v>263.7776</v>
      </c>
      <c r="AC11" s="17">
        <f t="shared" si="1"/>
        <v>444.054520833333</v>
      </c>
    </row>
    <row r="12" spans="1:29">
      <c r="A12" s="8">
        <v>45302</v>
      </c>
      <c r="B12" s="16">
        <v>418.7746</v>
      </c>
      <c r="C12" s="16">
        <v>414.634</v>
      </c>
      <c r="D12" s="16">
        <v>383.3605</v>
      </c>
      <c r="E12" s="16">
        <v>360.3958</v>
      </c>
      <c r="F12" s="16">
        <v>303.0141</v>
      </c>
      <c r="G12" s="16">
        <v>348.3215</v>
      </c>
      <c r="H12" s="16">
        <v>399.2205</v>
      </c>
      <c r="I12" s="16">
        <v>441.451</v>
      </c>
      <c r="J12" s="16">
        <v>486.9096</v>
      </c>
      <c r="K12" s="16">
        <v>576.2603</v>
      </c>
      <c r="L12" s="16">
        <v>505.8848</v>
      </c>
      <c r="M12" s="16">
        <v>434.3463</v>
      </c>
      <c r="N12" s="16">
        <v>294.1362</v>
      </c>
      <c r="O12" s="16">
        <v>376.3001</v>
      </c>
      <c r="P12" s="16">
        <v>427.5646</v>
      </c>
      <c r="Q12" s="16">
        <v>447.9312</v>
      </c>
      <c r="R12" s="16">
        <v>489.8508</v>
      </c>
      <c r="S12" s="16">
        <v>493.9156</v>
      </c>
      <c r="T12" s="16">
        <v>659.782</v>
      </c>
      <c r="U12" s="16">
        <v>824.5596</v>
      </c>
      <c r="V12" s="16">
        <v>769.9927</v>
      </c>
      <c r="W12" s="16">
        <v>818.8139</v>
      </c>
      <c r="X12" s="16">
        <v>524.5491</v>
      </c>
      <c r="Y12" s="16">
        <v>420.8519</v>
      </c>
      <c r="Z12" s="16"/>
      <c r="AA12" s="17">
        <f t="shared" si="2"/>
        <v>824.5596</v>
      </c>
      <c r="AB12" s="17">
        <f t="shared" si="0"/>
        <v>294.1362</v>
      </c>
      <c r="AC12" s="17">
        <f t="shared" si="1"/>
        <v>484.2008625</v>
      </c>
    </row>
    <row r="13" spans="1:29">
      <c r="A13" s="8">
        <v>45303</v>
      </c>
      <c r="B13" s="16">
        <v>436.3197</v>
      </c>
      <c r="C13" s="16">
        <v>385.7952</v>
      </c>
      <c r="D13" s="16">
        <v>355.5676</v>
      </c>
      <c r="E13" s="16">
        <v>383.5008</v>
      </c>
      <c r="F13" s="16">
        <v>392.7986</v>
      </c>
      <c r="G13" s="16">
        <v>387.2369</v>
      </c>
      <c r="H13" s="16">
        <v>437.401</v>
      </c>
      <c r="I13" s="16">
        <v>534.6261</v>
      </c>
      <c r="J13" s="16">
        <v>809.7774</v>
      </c>
      <c r="K13" s="16">
        <v>862.6651</v>
      </c>
      <c r="L13" s="16">
        <v>625.751</v>
      </c>
      <c r="M13" s="16">
        <v>466.8983</v>
      </c>
      <c r="N13" s="16">
        <v>356.7928</v>
      </c>
      <c r="O13" s="16">
        <v>405.0525</v>
      </c>
      <c r="P13" s="16">
        <v>462.3838</v>
      </c>
      <c r="Q13" s="16">
        <v>482.0357</v>
      </c>
      <c r="R13" s="16">
        <v>478.5159</v>
      </c>
      <c r="S13" s="16">
        <v>496.864</v>
      </c>
      <c r="T13" s="16">
        <v>522.8766</v>
      </c>
      <c r="U13" s="16">
        <v>686.9296</v>
      </c>
      <c r="V13" s="16">
        <v>587.7218</v>
      </c>
      <c r="W13" s="16">
        <v>510.531</v>
      </c>
      <c r="X13" s="16">
        <v>455.3015</v>
      </c>
      <c r="Y13" s="16">
        <v>410.8256</v>
      </c>
      <c r="Z13" s="16"/>
      <c r="AA13" s="17">
        <f t="shared" si="2"/>
        <v>862.6651</v>
      </c>
      <c r="AB13" s="17">
        <f t="shared" si="0"/>
        <v>355.5676</v>
      </c>
      <c r="AC13" s="17">
        <f t="shared" si="1"/>
        <v>497.257020833333</v>
      </c>
    </row>
    <row r="14" spans="1:29">
      <c r="A14" s="8">
        <v>45304</v>
      </c>
      <c r="B14" s="16">
        <v>483.8643</v>
      </c>
      <c r="C14" s="16">
        <v>423.2241</v>
      </c>
      <c r="D14" s="16">
        <v>404.1738</v>
      </c>
      <c r="E14" s="16">
        <v>387.5561</v>
      </c>
      <c r="F14" s="16">
        <v>370.5728</v>
      </c>
      <c r="G14" s="16">
        <v>355.6655</v>
      </c>
      <c r="H14" s="16">
        <v>377.9497</v>
      </c>
      <c r="I14" s="16">
        <v>413.0922</v>
      </c>
      <c r="J14" s="16">
        <v>483.0277</v>
      </c>
      <c r="K14" s="16">
        <v>603.2562</v>
      </c>
      <c r="L14" s="16">
        <v>485.5589</v>
      </c>
      <c r="M14" s="16">
        <v>437.3167</v>
      </c>
      <c r="N14" s="16">
        <v>235.5349</v>
      </c>
      <c r="O14" s="16">
        <v>402.8706</v>
      </c>
      <c r="P14" s="16">
        <v>434.0322</v>
      </c>
      <c r="Q14" s="16">
        <v>451.2845</v>
      </c>
      <c r="R14" s="16">
        <v>465.7843</v>
      </c>
      <c r="S14" s="16">
        <v>471.2598</v>
      </c>
      <c r="T14" s="16">
        <v>459.3603</v>
      </c>
      <c r="U14" s="16">
        <v>494.1277</v>
      </c>
      <c r="V14" s="16">
        <v>487.9752</v>
      </c>
      <c r="W14" s="16">
        <v>463.2581</v>
      </c>
      <c r="X14" s="16">
        <v>431.2653</v>
      </c>
      <c r="Y14" s="16">
        <v>397.5711</v>
      </c>
      <c r="Z14" s="16"/>
      <c r="AA14" s="17">
        <f t="shared" si="2"/>
        <v>603.2562</v>
      </c>
      <c r="AB14" s="17">
        <f t="shared" si="0"/>
        <v>235.5349</v>
      </c>
      <c r="AC14" s="17">
        <f t="shared" si="1"/>
        <v>434.14925</v>
      </c>
    </row>
    <row r="15" spans="1:29">
      <c r="A15" s="8">
        <v>45305</v>
      </c>
      <c r="B15" s="16">
        <v>432.6452</v>
      </c>
      <c r="C15" s="16">
        <v>427.1944</v>
      </c>
      <c r="D15" s="16">
        <v>409.8761</v>
      </c>
      <c r="E15" s="16">
        <v>386.9651</v>
      </c>
      <c r="F15" s="16">
        <v>356.934</v>
      </c>
      <c r="G15" s="16">
        <v>367.3005</v>
      </c>
      <c r="H15" s="16">
        <v>379.7171</v>
      </c>
      <c r="I15" s="16">
        <v>412.7239</v>
      </c>
      <c r="J15" s="16">
        <v>431.9132</v>
      </c>
      <c r="K15" s="16">
        <v>432.724</v>
      </c>
      <c r="L15" s="16">
        <v>388.7731</v>
      </c>
      <c r="M15" s="16">
        <v>344.8593</v>
      </c>
      <c r="N15" s="16">
        <v>148.9581</v>
      </c>
      <c r="O15" s="16">
        <v>335.3818</v>
      </c>
      <c r="P15" s="16">
        <v>359.5272</v>
      </c>
      <c r="Q15" s="16">
        <v>385.1867</v>
      </c>
      <c r="R15" s="16">
        <v>418.7687</v>
      </c>
      <c r="S15" s="16">
        <v>453.0748</v>
      </c>
      <c r="T15" s="16">
        <v>464.1518</v>
      </c>
      <c r="U15" s="16">
        <v>480.5573</v>
      </c>
      <c r="V15" s="16">
        <v>478.7633</v>
      </c>
      <c r="W15" s="16">
        <v>498.3347</v>
      </c>
      <c r="X15" s="16">
        <v>450.8654</v>
      </c>
      <c r="Y15" s="16">
        <v>394.8988</v>
      </c>
      <c r="Z15" s="16"/>
      <c r="AA15" s="17">
        <f t="shared" si="2"/>
        <v>498.3347</v>
      </c>
      <c r="AB15" s="17">
        <f t="shared" si="0"/>
        <v>148.9581</v>
      </c>
      <c r="AC15" s="17">
        <f t="shared" si="1"/>
        <v>401.670604166667</v>
      </c>
    </row>
    <row r="16" spans="1:29">
      <c r="A16" s="8">
        <v>45306</v>
      </c>
      <c r="B16" s="16">
        <v>438.3522</v>
      </c>
      <c r="C16" s="16">
        <v>418.148</v>
      </c>
      <c r="D16" s="16">
        <v>405.8607</v>
      </c>
      <c r="E16" s="16">
        <v>388.6905</v>
      </c>
      <c r="F16" s="16">
        <v>376.1357</v>
      </c>
      <c r="G16" s="16">
        <v>387.4042</v>
      </c>
      <c r="H16" s="16">
        <v>424.9064</v>
      </c>
      <c r="I16" s="16">
        <v>460.7275</v>
      </c>
      <c r="J16" s="16">
        <v>815.8427</v>
      </c>
      <c r="K16" s="16">
        <v>677.0573</v>
      </c>
      <c r="L16" s="16">
        <v>446.7273</v>
      </c>
      <c r="M16" s="16">
        <v>405.6096</v>
      </c>
      <c r="N16" s="16">
        <v>209.761</v>
      </c>
      <c r="O16" s="16">
        <v>382.2616</v>
      </c>
      <c r="P16" s="16">
        <v>401.0861</v>
      </c>
      <c r="Q16" s="16">
        <v>446.0286</v>
      </c>
      <c r="R16" s="16">
        <v>631.3398</v>
      </c>
      <c r="S16" s="16">
        <v>646.5676</v>
      </c>
      <c r="T16" s="16">
        <v>655.0124</v>
      </c>
      <c r="U16" s="16">
        <v>807.8892</v>
      </c>
      <c r="V16" s="16">
        <v>659.3092</v>
      </c>
      <c r="W16" s="16">
        <v>490.7457</v>
      </c>
      <c r="X16" s="16">
        <v>439.6678</v>
      </c>
      <c r="Y16" s="16">
        <v>377.9361</v>
      </c>
      <c r="Z16" s="16"/>
      <c r="AA16" s="17">
        <f t="shared" si="2"/>
        <v>815.8427</v>
      </c>
      <c r="AB16" s="17">
        <f t="shared" si="0"/>
        <v>209.761</v>
      </c>
      <c r="AC16" s="17">
        <f t="shared" si="1"/>
        <v>491.3778</v>
      </c>
    </row>
    <row r="17" spans="1:29">
      <c r="A17" s="8">
        <v>45307</v>
      </c>
      <c r="B17" s="16">
        <v>397.6812</v>
      </c>
      <c r="C17" s="16">
        <v>376.3145</v>
      </c>
      <c r="D17" s="16">
        <v>354.557</v>
      </c>
      <c r="E17" s="16">
        <v>327.9923</v>
      </c>
      <c r="F17" s="16">
        <v>306.7736</v>
      </c>
      <c r="G17" s="16">
        <v>318.8433</v>
      </c>
      <c r="H17" s="16">
        <v>356.0996</v>
      </c>
      <c r="I17" s="16">
        <v>398.7941</v>
      </c>
      <c r="J17" s="16">
        <v>458.9107</v>
      </c>
      <c r="K17" s="16">
        <v>425.6904</v>
      </c>
      <c r="L17" s="16">
        <v>397.8289</v>
      </c>
      <c r="M17" s="16">
        <v>356.0267</v>
      </c>
      <c r="N17" s="16">
        <v>86.3457</v>
      </c>
      <c r="O17" s="16">
        <v>278.8468</v>
      </c>
      <c r="P17" s="16">
        <v>353.1127</v>
      </c>
      <c r="Q17" s="16">
        <v>382.8296</v>
      </c>
      <c r="R17" s="16">
        <v>443.374</v>
      </c>
      <c r="S17" s="16">
        <v>459.7496</v>
      </c>
      <c r="T17" s="16">
        <v>507.2506</v>
      </c>
      <c r="U17" s="16">
        <v>586.6244</v>
      </c>
      <c r="V17" s="16">
        <v>488.1983</v>
      </c>
      <c r="W17" s="16">
        <v>455.0202</v>
      </c>
      <c r="X17" s="16">
        <v>428.3786</v>
      </c>
      <c r="Y17" s="16">
        <v>391.626</v>
      </c>
      <c r="Z17" s="16"/>
      <c r="AA17" s="17">
        <f t="shared" si="2"/>
        <v>586.6244</v>
      </c>
      <c r="AB17" s="17">
        <f t="shared" si="0"/>
        <v>86.3457</v>
      </c>
      <c r="AC17" s="17">
        <f t="shared" si="1"/>
        <v>389.0362</v>
      </c>
    </row>
    <row r="18" spans="1:29">
      <c r="A18" s="8">
        <v>45308</v>
      </c>
      <c r="B18" s="16">
        <v>399.8424</v>
      </c>
      <c r="C18" s="16">
        <v>384.2123</v>
      </c>
      <c r="D18" s="16">
        <v>366.8965</v>
      </c>
      <c r="E18" s="16">
        <v>338.495</v>
      </c>
      <c r="F18" s="16">
        <v>327.5634</v>
      </c>
      <c r="G18" s="16">
        <v>326.6619</v>
      </c>
      <c r="H18" s="16">
        <v>378.5925</v>
      </c>
      <c r="I18" s="16">
        <v>426.3322</v>
      </c>
      <c r="J18" s="16">
        <v>484.5388</v>
      </c>
      <c r="K18" s="16">
        <v>466.2422</v>
      </c>
      <c r="L18" s="16">
        <v>421.4725</v>
      </c>
      <c r="M18" s="16">
        <v>385.8397</v>
      </c>
      <c r="N18" s="16">
        <v>253.1765</v>
      </c>
      <c r="O18" s="16">
        <v>364.235</v>
      </c>
      <c r="P18" s="16">
        <v>403.7493</v>
      </c>
      <c r="Q18" s="16">
        <v>438.7688</v>
      </c>
      <c r="R18" s="16">
        <v>471.4375</v>
      </c>
      <c r="S18" s="16">
        <v>478.0302</v>
      </c>
      <c r="T18" s="16">
        <v>591.7573</v>
      </c>
      <c r="U18" s="16">
        <v>566.1583</v>
      </c>
      <c r="V18" s="16">
        <v>492.927</v>
      </c>
      <c r="W18" s="16">
        <v>484.7147</v>
      </c>
      <c r="X18" s="16">
        <v>456.0929</v>
      </c>
      <c r="Y18" s="16">
        <v>415.106</v>
      </c>
      <c r="Z18" s="16"/>
      <c r="AA18" s="17">
        <f t="shared" si="2"/>
        <v>591.7573</v>
      </c>
      <c r="AB18" s="17">
        <f t="shared" si="0"/>
        <v>253.1765</v>
      </c>
      <c r="AC18" s="17">
        <f t="shared" si="1"/>
        <v>421.785120833333</v>
      </c>
    </row>
    <row r="19" spans="1:29">
      <c r="A19" s="8">
        <v>45309</v>
      </c>
      <c r="B19" s="16">
        <v>423.4353</v>
      </c>
      <c r="C19" s="16">
        <v>410.7263</v>
      </c>
      <c r="D19" s="16">
        <v>391.0345</v>
      </c>
      <c r="E19" s="16">
        <v>361.1076</v>
      </c>
      <c r="F19" s="16">
        <v>366.9013</v>
      </c>
      <c r="G19" s="16">
        <v>324.1037</v>
      </c>
      <c r="H19" s="16">
        <v>394.5475</v>
      </c>
      <c r="I19" s="16">
        <v>437.3145</v>
      </c>
      <c r="J19" s="16">
        <v>671.6922</v>
      </c>
      <c r="K19" s="16">
        <v>618.4701</v>
      </c>
      <c r="L19" s="16">
        <v>455.1076</v>
      </c>
      <c r="M19" s="16">
        <v>419.9718</v>
      </c>
      <c r="N19" s="16">
        <v>172.0723</v>
      </c>
      <c r="O19" s="16">
        <v>305.8067</v>
      </c>
      <c r="P19" s="16">
        <v>392.8951</v>
      </c>
      <c r="Q19" s="16">
        <v>419.4086</v>
      </c>
      <c r="R19" s="16">
        <v>551.0973</v>
      </c>
      <c r="S19" s="16">
        <v>489.8967</v>
      </c>
      <c r="T19" s="16">
        <v>486.309</v>
      </c>
      <c r="U19" s="16">
        <v>559.3043</v>
      </c>
      <c r="V19" s="16">
        <v>493.2715</v>
      </c>
      <c r="W19" s="16">
        <v>480.9255</v>
      </c>
      <c r="X19" s="16">
        <v>459.7373</v>
      </c>
      <c r="Y19" s="16">
        <v>417.3117</v>
      </c>
      <c r="Z19" s="16"/>
      <c r="AA19" s="17">
        <f t="shared" si="2"/>
        <v>671.6922</v>
      </c>
      <c r="AB19" s="17">
        <f t="shared" si="0"/>
        <v>172.0723</v>
      </c>
      <c r="AC19" s="17">
        <f t="shared" si="1"/>
        <v>437.602016666667</v>
      </c>
    </row>
    <row r="20" spans="1:29">
      <c r="A20" s="8">
        <v>45310</v>
      </c>
      <c r="B20" s="16">
        <v>454.2871</v>
      </c>
      <c r="C20" s="16">
        <v>425.9433</v>
      </c>
      <c r="D20" s="16">
        <v>411.4867</v>
      </c>
      <c r="E20" s="16">
        <v>392.038</v>
      </c>
      <c r="F20" s="16">
        <v>380.2171</v>
      </c>
      <c r="G20" s="16">
        <v>376.275</v>
      </c>
      <c r="H20" s="16">
        <v>400.0275</v>
      </c>
      <c r="I20" s="16">
        <v>441.5702</v>
      </c>
      <c r="J20" s="16">
        <v>556.9574</v>
      </c>
      <c r="K20" s="16">
        <v>638.6202</v>
      </c>
      <c r="L20" s="16">
        <v>447.2501</v>
      </c>
      <c r="M20" s="16">
        <v>411.6959</v>
      </c>
      <c r="N20" s="16">
        <v>242.0216</v>
      </c>
      <c r="O20" s="16">
        <v>355.2006</v>
      </c>
      <c r="P20" s="16">
        <v>377.5698</v>
      </c>
      <c r="Q20" s="16">
        <v>401.5004</v>
      </c>
      <c r="R20" s="16">
        <v>456.1737</v>
      </c>
      <c r="S20" s="16">
        <v>492.8887</v>
      </c>
      <c r="T20" s="16">
        <v>473.6729</v>
      </c>
      <c r="U20" s="16">
        <v>473.4454</v>
      </c>
      <c r="V20" s="16">
        <v>469.2146</v>
      </c>
      <c r="W20" s="16">
        <v>469.3748</v>
      </c>
      <c r="X20" s="16">
        <v>435.6438</v>
      </c>
      <c r="Y20" s="16">
        <v>407.4713</v>
      </c>
      <c r="Z20" s="16"/>
      <c r="AA20" s="17">
        <f t="shared" si="2"/>
        <v>638.6202</v>
      </c>
      <c r="AB20" s="17">
        <f t="shared" si="0"/>
        <v>242.0216</v>
      </c>
      <c r="AC20" s="17">
        <f t="shared" si="1"/>
        <v>432.939420833333</v>
      </c>
    </row>
    <row r="21" spans="1:29">
      <c r="A21" s="8">
        <v>45311</v>
      </c>
      <c r="B21" s="16">
        <v>416.128</v>
      </c>
      <c r="C21" s="16">
        <v>402.7708</v>
      </c>
      <c r="D21" s="16">
        <v>384.5344</v>
      </c>
      <c r="E21" s="16">
        <v>366.1124</v>
      </c>
      <c r="F21" s="16">
        <v>359.2407</v>
      </c>
      <c r="G21" s="16">
        <v>375.03</v>
      </c>
      <c r="H21" s="16">
        <v>386.75</v>
      </c>
      <c r="I21" s="16">
        <v>437.054</v>
      </c>
      <c r="J21" s="16">
        <v>523.9235</v>
      </c>
      <c r="K21" s="16">
        <v>601.1315</v>
      </c>
      <c r="L21" s="16">
        <v>516.9468</v>
      </c>
      <c r="M21" s="16">
        <v>463.9949</v>
      </c>
      <c r="N21" s="16">
        <v>395.0063</v>
      </c>
      <c r="O21" s="16">
        <v>415.4056</v>
      </c>
      <c r="P21" s="16">
        <v>431.9121</v>
      </c>
      <c r="Q21" s="16">
        <v>438.3405</v>
      </c>
      <c r="R21" s="16">
        <v>581.6434</v>
      </c>
      <c r="S21" s="16">
        <v>599.712</v>
      </c>
      <c r="T21" s="16">
        <v>470.1611</v>
      </c>
      <c r="U21" s="16">
        <v>482.992</v>
      </c>
      <c r="V21" s="16">
        <v>463.5059</v>
      </c>
      <c r="W21" s="16">
        <v>442.4619</v>
      </c>
      <c r="X21" s="16">
        <v>428.2003</v>
      </c>
      <c r="Y21" s="16">
        <v>403.994</v>
      </c>
      <c r="Z21" s="16"/>
      <c r="AA21" s="17">
        <f t="shared" si="2"/>
        <v>601.1315</v>
      </c>
      <c r="AB21" s="17">
        <f t="shared" si="0"/>
        <v>359.2407</v>
      </c>
      <c r="AC21" s="17">
        <f t="shared" si="1"/>
        <v>449.4563375</v>
      </c>
    </row>
    <row r="22" spans="1:29">
      <c r="A22" s="8">
        <v>45312</v>
      </c>
      <c r="B22" s="16">
        <v>414.0634</v>
      </c>
      <c r="C22" s="16">
        <v>396.1346</v>
      </c>
      <c r="D22" s="16">
        <v>378.4244</v>
      </c>
      <c r="E22" s="16">
        <v>342.2751</v>
      </c>
      <c r="F22" s="16">
        <v>279.4216</v>
      </c>
      <c r="G22" s="16">
        <v>328.2656</v>
      </c>
      <c r="H22" s="16">
        <v>354.58</v>
      </c>
      <c r="I22" s="16">
        <v>383.9</v>
      </c>
      <c r="J22" s="16">
        <v>536.5475</v>
      </c>
      <c r="K22" s="16">
        <v>404.9792</v>
      </c>
      <c r="L22" s="16">
        <v>389.183</v>
      </c>
      <c r="M22" s="16">
        <v>337.421</v>
      </c>
      <c r="N22" s="16">
        <v>123.0917</v>
      </c>
      <c r="O22" s="16">
        <v>226.5767</v>
      </c>
      <c r="P22" s="16">
        <v>376.1642</v>
      </c>
      <c r="Q22" s="16">
        <v>384.8952</v>
      </c>
      <c r="R22" s="16">
        <v>429.4522</v>
      </c>
      <c r="S22" s="16">
        <v>434.4356</v>
      </c>
      <c r="T22" s="16">
        <v>435.8932</v>
      </c>
      <c r="U22" s="16">
        <v>430.9799</v>
      </c>
      <c r="V22" s="16">
        <v>420.4279</v>
      </c>
      <c r="W22" s="16">
        <v>418.9816</v>
      </c>
      <c r="X22" s="16">
        <v>421.2327</v>
      </c>
      <c r="Y22" s="16">
        <v>392.2074</v>
      </c>
      <c r="Z22" s="16"/>
      <c r="AA22" s="17">
        <f t="shared" si="2"/>
        <v>536.5475</v>
      </c>
      <c r="AB22" s="17">
        <f t="shared" si="0"/>
        <v>123.0917</v>
      </c>
      <c r="AC22" s="17">
        <f t="shared" si="1"/>
        <v>376.6472375</v>
      </c>
    </row>
    <row r="23" spans="1:29">
      <c r="A23" s="8">
        <v>45313</v>
      </c>
      <c r="B23" s="16">
        <v>403.0244</v>
      </c>
      <c r="C23" s="16">
        <v>274.6933</v>
      </c>
      <c r="D23" s="16">
        <v>305.5997</v>
      </c>
      <c r="E23" s="16">
        <v>50</v>
      </c>
      <c r="F23" s="16">
        <v>0</v>
      </c>
      <c r="G23" s="16">
        <v>0</v>
      </c>
      <c r="H23" s="16">
        <v>162.8065</v>
      </c>
      <c r="I23" s="16">
        <v>375.9227</v>
      </c>
      <c r="J23" s="16">
        <v>447.7174</v>
      </c>
      <c r="K23" s="16">
        <v>448.4028</v>
      </c>
      <c r="L23" s="16">
        <v>443.789</v>
      </c>
      <c r="M23" s="16">
        <v>415.2715</v>
      </c>
      <c r="N23" s="16">
        <v>373.159</v>
      </c>
      <c r="O23" s="16">
        <v>435.4861</v>
      </c>
      <c r="P23" s="16">
        <v>444.3645</v>
      </c>
      <c r="Q23" s="16">
        <v>455.6701</v>
      </c>
      <c r="R23" s="16">
        <v>607.8432</v>
      </c>
      <c r="S23" s="16">
        <v>600.5168</v>
      </c>
      <c r="T23" s="16">
        <v>489.9873</v>
      </c>
      <c r="U23" s="16">
        <v>465.037</v>
      </c>
      <c r="V23" s="16">
        <v>467.3182</v>
      </c>
      <c r="W23" s="16">
        <v>481.3359</v>
      </c>
      <c r="X23" s="16">
        <v>480.7371</v>
      </c>
      <c r="Y23" s="16">
        <v>390.1018</v>
      </c>
      <c r="Z23" s="16"/>
      <c r="AA23" s="17">
        <f t="shared" si="2"/>
        <v>607.8432</v>
      </c>
      <c r="AB23" s="17">
        <f t="shared" si="0"/>
        <v>0</v>
      </c>
      <c r="AC23" s="17">
        <f t="shared" si="1"/>
        <v>375.782679166667</v>
      </c>
    </row>
    <row r="24" spans="1:29">
      <c r="A24" s="8">
        <v>45314</v>
      </c>
      <c r="B24" s="16">
        <v>414.0328</v>
      </c>
      <c r="C24" s="16">
        <v>378.7268</v>
      </c>
      <c r="D24" s="16">
        <v>365.0811</v>
      </c>
      <c r="E24" s="16">
        <v>282.7339</v>
      </c>
      <c r="F24" s="16">
        <v>112.0281</v>
      </c>
      <c r="G24" s="16">
        <v>184.8531</v>
      </c>
      <c r="H24" s="16">
        <v>384.4043</v>
      </c>
      <c r="I24" s="16">
        <v>423.6895</v>
      </c>
      <c r="J24" s="16">
        <v>800.479</v>
      </c>
      <c r="K24" s="16">
        <v>773.7686</v>
      </c>
      <c r="L24" s="16">
        <v>766.9934</v>
      </c>
      <c r="M24" s="16">
        <v>521.0015</v>
      </c>
      <c r="N24" s="16">
        <v>441.7387</v>
      </c>
      <c r="O24" s="16">
        <v>483.7375</v>
      </c>
      <c r="P24" s="16">
        <v>448.6045</v>
      </c>
      <c r="Q24" s="16">
        <v>458.5486</v>
      </c>
      <c r="R24" s="16">
        <v>589.1881</v>
      </c>
      <c r="S24" s="16">
        <v>663.4392</v>
      </c>
      <c r="T24" s="16">
        <v>695.1303</v>
      </c>
      <c r="U24" s="16">
        <v>766.1382</v>
      </c>
      <c r="V24" s="16">
        <v>758.8486</v>
      </c>
      <c r="W24" s="16">
        <v>755.2013</v>
      </c>
      <c r="X24" s="16">
        <v>766.6538</v>
      </c>
      <c r="Y24" s="16">
        <v>460.5713</v>
      </c>
      <c r="Z24" s="16"/>
      <c r="AA24" s="17">
        <f t="shared" si="2"/>
        <v>800.479</v>
      </c>
      <c r="AB24" s="17">
        <f t="shared" si="0"/>
        <v>112.0281</v>
      </c>
      <c r="AC24" s="17">
        <f t="shared" si="1"/>
        <v>528.983008333333</v>
      </c>
    </row>
    <row r="25" spans="1:29">
      <c r="A25" s="8">
        <v>45315</v>
      </c>
      <c r="B25" s="16">
        <v>480.0073</v>
      </c>
      <c r="C25" s="16">
        <v>441.2518</v>
      </c>
      <c r="D25" s="16">
        <v>397.1857</v>
      </c>
      <c r="E25" s="16">
        <v>379.0664</v>
      </c>
      <c r="F25" s="16">
        <v>378.4927</v>
      </c>
      <c r="G25" s="16">
        <v>369.4988</v>
      </c>
      <c r="H25" s="16">
        <v>389.0507</v>
      </c>
      <c r="I25" s="16">
        <v>476.7385</v>
      </c>
      <c r="J25" s="16">
        <v>676.5881</v>
      </c>
      <c r="K25" s="16">
        <v>765.4677</v>
      </c>
      <c r="L25" s="16">
        <v>566.3231</v>
      </c>
      <c r="M25" s="16">
        <v>475.1013</v>
      </c>
      <c r="N25" s="16">
        <v>432.8525</v>
      </c>
      <c r="O25" s="16">
        <v>619.2255</v>
      </c>
      <c r="P25" s="16">
        <v>640.2328</v>
      </c>
      <c r="Q25" s="16">
        <v>511.9314</v>
      </c>
      <c r="R25" s="16">
        <v>472.6197</v>
      </c>
      <c r="S25" s="16">
        <v>461.35</v>
      </c>
      <c r="T25" s="16">
        <v>481.5391</v>
      </c>
      <c r="U25" s="16">
        <v>565.5559</v>
      </c>
      <c r="V25" s="16">
        <v>496.5059</v>
      </c>
      <c r="W25" s="16">
        <v>724.9406</v>
      </c>
      <c r="X25" s="16">
        <v>832.8711</v>
      </c>
      <c r="Y25" s="16">
        <v>482.3156</v>
      </c>
      <c r="Z25" s="16"/>
      <c r="AA25" s="17">
        <f t="shared" si="2"/>
        <v>832.8711</v>
      </c>
      <c r="AB25" s="17">
        <f t="shared" si="0"/>
        <v>369.4988</v>
      </c>
      <c r="AC25" s="17">
        <f t="shared" si="1"/>
        <v>521.529675</v>
      </c>
    </row>
    <row r="26" spans="1:29">
      <c r="A26" s="8">
        <v>45316</v>
      </c>
      <c r="B26" s="16">
        <v>705.8309</v>
      </c>
      <c r="C26" s="16">
        <v>488.3822</v>
      </c>
      <c r="D26" s="16">
        <v>436.9189</v>
      </c>
      <c r="E26" s="16">
        <v>440.2283</v>
      </c>
      <c r="F26" s="16">
        <v>422.8671</v>
      </c>
      <c r="G26" s="16">
        <v>410.9892</v>
      </c>
      <c r="H26" s="16">
        <v>428.4855</v>
      </c>
      <c r="I26" s="16">
        <v>466.762</v>
      </c>
      <c r="J26" s="16">
        <v>530.3456</v>
      </c>
      <c r="K26" s="16">
        <v>481.3124</v>
      </c>
      <c r="L26" s="16">
        <v>464.7796</v>
      </c>
      <c r="M26" s="16">
        <v>436.5448</v>
      </c>
      <c r="N26" s="16">
        <v>417.6112</v>
      </c>
      <c r="O26" s="16">
        <v>439.5472</v>
      </c>
      <c r="P26" s="16">
        <v>427.2852</v>
      </c>
      <c r="Q26" s="16">
        <v>434.0498</v>
      </c>
      <c r="R26" s="16">
        <v>445.5896</v>
      </c>
      <c r="S26" s="16">
        <v>441.6074</v>
      </c>
      <c r="T26" s="16">
        <v>449.7518</v>
      </c>
      <c r="U26" s="16">
        <v>474.3107</v>
      </c>
      <c r="V26" s="16">
        <v>487.3252</v>
      </c>
      <c r="W26" s="16">
        <v>523.331</v>
      </c>
      <c r="X26" s="16">
        <v>511.3711</v>
      </c>
      <c r="Y26" s="16">
        <v>449.3412</v>
      </c>
      <c r="Z26" s="16"/>
      <c r="AA26" s="17">
        <f t="shared" si="2"/>
        <v>705.8309</v>
      </c>
      <c r="AB26" s="17">
        <f t="shared" si="0"/>
        <v>410.9892</v>
      </c>
      <c r="AC26" s="17">
        <f t="shared" si="1"/>
        <v>467.2736625</v>
      </c>
    </row>
    <row r="27" spans="1:29">
      <c r="A27" s="8">
        <v>45317</v>
      </c>
      <c r="B27" s="16">
        <v>459.9002</v>
      </c>
      <c r="C27" s="16">
        <v>430.9657</v>
      </c>
      <c r="D27" s="16">
        <v>409.12</v>
      </c>
      <c r="E27" s="16">
        <v>395.753</v>
      </c>
      <c r="F27" s="16">
        <v>368.1606</v>
      </c>
      <c r="G27" s="16">
        <v>349.735</v>
      </c>
      <c r="H27" s="16">
        <v>377.53</v>
      </c>
      <c r="I27" s="16">
        <v>424.8479</v>
      </c>
      <c r="J27" s="16">
        <v>449.0523</v>
      </c>
      <c r="K27" s="16">
        <v>452.1448</v>
      </c>
      <c r="L27" s="16">
        <v>449.1465</v>
      </c>
      <c r="M27" s="16">
        <v>448.8571</v>
      </c>
      <c r="N27" s="16">
        <v>418.9864</v>
      </c>
      <c r="O27" s="16">
        <v>441.829</v>
      </c>
      <c r="P27" s="16">
        <v>457.4442</v>
      </c>
      <c r="Q27" s="16">
        <v>468.7093</v>
      </c>
      <c r="R27" s="16">
        <v>495.2883</v>
      </c>
      <c r="S27" s="16">
        <v>475.395</v>
      </c>
      <c r="T27" s="16">
        <v>454.9488</v>
      </c>
      <c r="U27" s="16">
        <v>459.8468</v>
      </c>
      <c r="V27" s="16">
        <v>467.3608</v>
      </c>
      <c r="W27" s="16">
        <v>480.571</v>
      </c>
      <c r="X27" s="16">
        <v>465.968</v>
      </c>
      <c r="Y27" s="16">
        <v>440.0572</v>
      </c>
      <c r="Z27" s="16"/>
      <c r="AA27" s="17">
        <f t="shared" si="2"/>
        <v>495.2883</v>
      </c>
      <c r="AB27" s="17">
        <f t="shared" si="0"/>
        <v>349.735</v>
      </c>
      <c r="AC27" s="17">
        <f t="shared" si="1"/>
        <v>439.234079166667</v>
      </c>
    </row>
    <row r="28" spans="1:29">
      <c r="A28" s="8">
        <v>45318</v>
      </c>
      <c r="B28" s="16">
        <v>609.7693</v>
      </c>
      <c r="C28" s="16">
        <v>437.6334</v>
      </c>
      <c r="D28" s="16">
        <v>418.4353</v>
      </c>
      <c r="E28" s="16">
        <v>405.7007</v>
      </c>
      <c r="F28" s="16">
        <v>398.1702</v>
      </c>
      <c r="G28" s="16">
        <v>392.4441</v>
      </c>
      <c r="H28" s="16">
        <v>401.486</v>
      </c>
      <c r="I28" s="16">
        <v>420.0825</v>
      </c>
      <c r="J28" s="16">
        <v>465.1739</v>
      </c>
      <c r="K28" s="16">
        <v>492.5876</v>
      </c>
      <c r="L28" s="16">
        <v>566.1412</v>
      </c>
      <c r="M28" s="16">
        <v>665.0717</v>
      </c>
      <c r="N28" s="16">
        <v>482.3191</v>
      </c>
      <c r="O28" s="16">
        <v>590.5094</v>
      </c>
      <c r="P28" s="16">
        <v>851.1055</v>
      </c>
      <c r="Q28" s="16">
        <v>850.4581</v>
      </c>
      <c r="R28" s="16">
        <v>766.3544</v>
      </c>
      <c r="S28" s="16">
        <v>587.7765</v>
      </c>
      <c r="T28" s="16">
        <v>595.8171</v>
      </c>
      <c r="U28" s="16">
        <v>639.4386</v>
      </c>
      <c r="V28" s="16">
        <v>839.213</v>
      </c>
      <c r="W28" s="16">
        <v>674.7906</v>
      </c>
      <c r="X28" s="16">
        <v>656.0113</v>
      </c>
      <c r="Y28" s="16">
        <v>455.4578</v>
      </c>
      <c r="Z28" s="16"/>
      <c r="AA28" s="17">
        <f t="shared" si="2"/>
        <v>851.1055</v>
      </c>
      <c r="AB28" s="17">
        <f t="shared" si="0"/>
        <v>392.4441</v>
      </c>
      <c r="AC28" s="17">
        <f t="shared" si="1"/>
        <v>569.247804166667</v>
      </c>
    </row>
    <row r="29" spans="1:29">
      <c r="A29" s="8">
        <v>45319</v>
      </c>
      <c r="B29" s="16">
        <v>563.6973</v>
      </c>
      <c r="C29" s="16">
        <v>440.228</v>
      </c>
      <c r="D29" s="16">
        <v>411.0072</v>
      </c>
      <c r="E29" s="16">
        <v>397.3049</v>
      </c>
      <c r="F29" s="16">
        <v>383.9271</v>
      </c>
      <c r="G29" s="16">
        <v>389.692</v>
      </c>
      <c r="H29" s="16">
        <v>386.3285</v>
      </c>
      <c r="I29" s="16">
        <v>406.1772</v>
      </c>
      <c r="J29" s="16">
        <v>609.8225</v>
      </c>
      <c r="K29" s="16">
        <v>866.2116</v>
      </c>
      <c r="L29" s="16">
        <v>924.3107</v>
      </c>
      <c r="M29" s="16">
        <v>746.8361</v>
      </c>
      <c r="N29" s="16">
        <v>620.7274</v>
      </c>
      <c r="O29" s="16">
        <v>645.8546</v>
      </c>
      <c r="P29" s="16">
        <v>721.8006</v>
      </c>
      <c r="Q29" s="16">
        <v>939.7705</v>
      </c>
      <c r="R29" s="16">
        <v>720.2993</v>
      </c>
      <c r="S29" s="16">
        <v>762.0758</v>
      </c>
      <c r="T29" s="16">
        <v>558.3681</v>
      </c>
      <c r="U29" s="16">
        <v>812.0426</v>
      </c>
      <c r="V29" s="16">
        <v>905.2045</v>
      </c>
      <c r="W29" s="16">
        <v>861.2413</v>
      </c>
      <c r="X29" s="16">
        <v>789.915</v>
      </c>
      <c r="Y29" s="16">
        <v>512.7855</v>
      </c>
      <c r="Z29" s="16"/>
      <c r="AA29" s="17">
        <f t="shared" si="2"/>
        <v>939.7705</v>
      </c>
      <c r="AB29" s="17">
        <f t="shared" si="0"/>
        <v>383.9271</v>
      </c>
      <c r="AC29" s="17">
        <f t="shared" si="1"/>
        <v>640.651179166667</v>
      </c>
    </row>
    <row r="30" spans="1:29">
      <c r="A30" s="8">
        <v>45320</v>
      </c>
      <c r="B30" s="16">
        <v>755.1654</v>
      </c>
      <c r="C30" s="16">
        <v>455.2868</v>
      </c>
      <c r="D30" s="16">
        <v>408.6626</v>
      </c>
      <c r="E30" s="16">
        <v>400.7958</v>
      </c>
      <c r="F30" s="16">
        <v>381.6478</v>
      </c>
      <c r="G30" s="16">
        <v>384.63</v>
      </c>
      <c r="H30" s="16">
        <v>395.0998</v>
      </c>
      <c r="I30" s="16">
        <v>422.2309</v>
      </c>
      <c r="J30" s="16">
        <v>458.8353</v>
      </c>
      <c r="K30" s="16">
        <v>475.5928</v>
      </c>
      <c r="L30" s="16">
        <v>462.5166</v>
      </c>
      <c r="M30" s="16">
        <v>445.0106</v>
      </c>
      <c r="N30" s="16">
        <v>426.3782</v>
      </c>
      <c r="O30" s="16">
        <v>446.0019</v>
      </c>
      <c r="P30" s="16">
        <v>432.3108</v>
      </c>
      <c r="Q30" s="16">
        <v>431.3712</v>
      </c>
      <c r="R30" s="16">
        <v>467.7986</v>
      </c>
      <c r="S30" s="16">
        <v>453.1616</v>
      </c>
      <c r="T30" s="16">
        <v>559.2537</v>
      </c>
      <c r="U30" s="16">
        <v>579.1215</v>
      </c>
      <c r="V30" s="16">
        <v>499.0058</v>
      </c>
      <c r="W30" s="16">
        <v>555.1671</v>
      </c>
      <c r="X30" s="16">
        <v>472.7368</v>
      </c>
      <c r="Y30" s="16">
        <v>421.0696</v>
      </c>
      <c r="Z30" s="16"/>
      <c r="AA30" s="17">
        <f t="shared" si="2"/>
        <v>755.1654</v>
      </c>
      <c r="AB30" s="17">
        <f t="shared" si="0"/>
        <v>381.6478</v>
      </c>
      <c r="AC30" s="17">
        <f t="shared" si="1"/>
        <v>466.202133333333</v>
      </c>
    </row>
    <row r="31" spans="1:29">
      <c r="A31" s="8">
        <v>45321</v>
      </c>
      <c r="B31" s="16">
        <v>450.1266</v>
      </c>
      <c r="C31" s="16">
        <v>411.5225</v>
      </c>
      <c r="D31" s="16">
        <v>398.2153</v>
      </c>
      <c r="E31" s="16">
        <v>280.1029</v>
      </c>
      <c r="F31" s="16">
        <v>212.1323</v>
      </c>
      <c r="G31" s="16">
        <v>169.8453</v>
      </c>
      <c r="H31" s="16">
        <v>391.2041</v>
      </c>
      <c r="I31" s="16">
        <v>419.7769</v>
      </c>
      <c r="J31" s="16">
        <v>459.6452</v>
      </c>
      <c r="K31" s="16">
        <v>455.0884</v>
      </c>
      <c r="L31" s="16">
        <v>564.9009</v>
      </c>
      <c r="M31" s="16">
        <v>408.5254</v>
      </c>
      <c r="N31" s="16">
        <v>303.4957</v>
      </c>
      <c r="O31" s="16">
        <v>393.5303</v>
      </c>
      <c r="P31" s="16">
        <v>372.9649</v>
      </c>
      <c r="Q31" s="16">
        <v>397.0903</v>
      </c>
      <c r="R31" s="16">
        <v>412.4999</v>
      </c>
      <c r="S31" s="16">
        <v>429.337</v>
      </c>
      <c r="T31" s="16">
        <v>448.5039</v>
      </c>
      <c r="U31" s="16">
        <v>470.1881</v>
      </c>
      <c r="V31" s="16">
        <v>462.4911</v>
      </c>
      <c r="W31" s="16">
        <v>573.2895</v>
      </c>
      <c r="X31" s="16">
        <v>455.795</v>
      </c>
      <c r="Y31" s="16">
        <v>416.005</v>
      </c>
      <c r="Z31" s="16"/>
      <c r="AA31" s="17">
        <f t="shared" si="2"/>
        <v>573.2895</v>
      </c>
      <c r="AB31" s="17">
        <f t="shared" si="0"/>
        <v>169.8453</v>
      </c>
      <c r="AC31" s="17">
        <f t="shared" si="1"/>
        <v>406.511520833333</v>
      </c>
    </row>
    <row r="32" spans="1:29">
      <c r="A32" s="8">
        <v>45322</v>
      </c>
      <c r="B32" s="16">
        <v>420.1048</v>
      </c>
      <c r="C32" s="16">
        <v>397.8228</v>
      </c>
      <c r="D32" s="16">
        <v>346.6859</v>
      </c>
      <c r="E32" s="16">
        <v>336.5639</v>
      </c>
      <c r="F32" s="16">
        <v>326.5194</v>
      </c>
      <c r="G32" s="16">
        <v>74.747</v>
      </c>
      <c r="H32" s="16">
        <v>263.8409</v>
      </c>
      <c r="I32" s="16">
        <v>399.5392</v>
      </c>
      <c r="J32" s="16">
        <v>426.6858</v>
      </c>
      <c r="K32" s="16">
        <v>405.5858</v>
      </c>
      <c r="L32" s="16">
        <v>391.7951</v>
      </c>
      <c r="M32" s="16">
        <v>359.6135</v>
      </c>
      <c r="N32" s="16">
        <v>316.0678</v>
      </c>
      <c r="O32" s="16">
        <v>374.9126</v>
      </c>
      <c r="P32" s="16">
        <v>237.2225</v>
      </c>
      <c r="Q32" s="16">
        <v>358.1783</v>
      </c>
      <c r="R32" s="16">
        <v>406.3189</v>
      </c>
      <c r="S32" s="16">
        <v>409.5159</v>
      </c>
      <c r="T32" s="16">
        <v>428.3233</v>
      </c>
      <c r="U32" s="16">
        <v>466.9551</v>
      </c>
      <c r="V32" s="16">
        <v>423.3921</v>
      </c>
      <c r="W32" s="16">
        <v>443.9223</v>
      </c>
      <c r="X32" s="16">
        <v>423.38</v>
      </c>
      <c r="Y32" s="16">
        <v>400.6998</v>
      </c>
      <c r="Z32" s="16"/>
      <c r="AA32" s="17">
        <f t="shared" si="2"/>
        <v>466.9551</v>
      </c>
      <c r="AB32" s="17">
        <f t="shared" si="0"/>
        <v>74.747</v>
      </c>
      <c r="AC32" s="17">
        <f t="shared" si="1"/>
        <v>368.2663625</v>
      </c>
    </row>
    <row r="33" spans="1:29">
      <c r="A33" s="8">
        <v>45323</v>
      </c>
      <c r="B33" s="16">
        <v>406.6882</v>
      </c>
      <c r="C33" s="16">
        <v>388.7335</v>
      </c>
      <c r="D33" s="16">
        <v>346.401</v>
      </c>
      <c r="E33" s="16">
        <v>287.2609</v>
      </c>
      <c r="F33" s="16">
        <v>346.1524</v>
      </c>
      <c r="G33" s="16">
        <v>347.2698</v>
      </c>
      <c r="H33" s="16">
        <v>371.3172</v>
      </c>
      <c r="I33" s="16">
        <v>434.9321</v>
      </c>
      <c r="J33" s="16">
        <v>424.7451</v>
      </c>
      <c r="K33" s="16">
        <v>407.1785</v>
      </c>
      <c r="L33" s="16">
        <v>387.5714</v>
      </c>
      <c r="M33" s="16">
        <v>349.4586</v>
      </c>
      <c r="N33" s="16">
        <v>271.0601</v>
      </c>
      <c r="O33" s="16">
        <v>363.6122</v>
      </c>
      <c r="P33" s="16">
        <v>376.2617</v>
      </c>
      <c r="Q33" s="16">
        <v>388.2946</v>
      </c>
      <c r="R33" s="16">
        <v>405.0908</v>
      </c>
      <c r="S33" s="16">
        <v>456.8573</v>
      </c>
      <c r="T33" s="16">
        <v>584.0487</v>
      </c>
      <c r="U33" s="16">
        <v>482.2582</v>
      </c>
      <c r="V33" s="16">
        <v>442.3167</v>
      </c>
      <c r="W33" s="16">
        <v>464.5122</v>
      </c>
      <c r="X33" s="16">
        <v>449.0808</v>
      </c>
      <c r="Y33" s="16">
        <v>413.2437</v>
      </c>
      <c r="Z33" s="16"/>
      <c r="AA33" s="17">
        <f t="shared" si="2"/>
        <v>584.0487</v>
      </c>
      <c r="AB33" s="17">
        <f t="shared" si="0"/>
        <v>271.0601</v>
      </c>
      <c r="AC33" s="17">
        <f t="shared" si="1"/>
        <v>399.764404166667</v>
      </c>
    </row>
    <row r="34" spans="1:29">
      <c r="A34" s="8">
        <v>45324</v>
      </c>
      <c r="B34" s="16">
        <v>383.6711</v>
      </c>
      <c r="C34" s="16">
        <v>376.6987</v>
      </c>
      <c r="D34" s="16">
        <v>366.5659</v>
      </c>
      <c r="E34" s="16">
        <v>348.2957</v>
      </c>
      <c r="F34" s="16">
        <v>339.0812</v>
      </c>
      <c r="G34" s="16">
        <v>339.7211</v>
      </c>
      <c r="H34" s="16">
        <v>362.078</v>
      </c>
      <c r="I34" s="16">
        <v>390.4107</v>
      </c>
      <c r="J34" s="16">
        <v>393.5459</v>
      </c>
      <c r="K34" s="16">
        <v>376.0132</v>
      </c>
      <c r="L34" s="16">
        <v>337.3058</v>
      </c>
      <c r="M34" s="16">
        <v>105.2524</v>
      </c>
      <c r="N34" s="16">
        <v>56.8199</v>
      </c>
      <c r="O34" s="16">
        <v>0.0455</v>
      </c>
      <c r="P34" s="16">
        <v>0.0228</v>
      </c>
      <c r="Q34" s="16">
        <v>3.652</v>
      </c>
      <c r="R34" s="16">
        <v>252.519</v>
      </c>
      <c r="S34" s="16">
        <v>375.1719</v>
      </c>
      <c r="T34" s="16">
        <v>400.1599</v>
      </c>
      <c r="U34" s="16">
        <v>395.4654</v>
      </c>
      <c r="V34" s="16">
        <v>371.5415</v>
      </c>
      <c r="W34" s="16">
        <v>370.2032</v>
      </c>
      <c r="X34" s="16">
        <v>374.0582</v>
      </c>
      <c r="Y34" s="16">
        <v>356.3571</v>
      </c>
      <c r="Z34" s="16"/>
      <c r="AA34" s="17">
        <f t="shared" si="2"/>
        <v>400.1599</v>
      </c>
      <c r="AB34" s="17">
        <f t="shared" si="0"/>
        <v>0.0228</v>
      </c>
      <c r="AC34" s="17">
        <f t="shared" si="1"/>
        <v>294.7773375</v>
      </c>
    </row>
    <row r="35" spans="1:29">
      <c r="A35" s="8">
        <v>45325</v>
      </c>
      <c r="B35" s="16">
        <v>346.5864</v>
      </c>
      <c r="C35" s="16">
        <v>327.0506</v>
      </c>
      <c r="D35" s="16">
        <v>238.6756</v>
      </c>
      <c r="E35" s="16">
        <v>0</v>
      </c>
      <c r="F35" s="16">
        <v>12.6323</v>
      </c>
      <c r="G35" s="16">
        <v>0</v>
      </c>
      <c r="H35" s="16">
        <v>88.461</v>
      </c>
      <c r="I35" s="16">
        <v>283.0083</v>
      </c>
      <c r="J35" s="16">
        <v>334.8989</v>
      </c>
      <c r="K35" s="16">
        <v>287.5821</v>
      </c>
      <c r="L35" s="16">
        <v>33.6588</v>
      </c>
      <c r="M35" s="16">
        <v>208.0562</v>
      </c>
      <c r="N35" s="16">
        <v>2.6769</v>
      </c>
      <c r="O35" s="16">
        <v>0</v>
      </c>
      <c r="P35" s="16">
        <v>18.2628</v>
      </c>
      <c r="Q35" s="16">
        <v>0</v>
      </c>
      <c r="R35" s="16">
        <v>249.7494</v>
      </c>
      <c r="S35" s="16">
        <v>372.0173</v>
      </c>
      <c r="T35" s="16">
        <v>410.7869</v>
      </c>
      <c r="U35" s="16">
        <v>372.0728</v>
      </c>
      <c r="V35" s="16">
        <v>358.9668</v>
      </c>
      <c r="W35" s="16">
        <v>373.3483</v>
      </c>
      <c r="X35" s="16">
        <v>388.3146</v>
      </c>
      <c r="Y35" s="16">
        <v>346.2988</v>
      </c>
      <c r="Z35" s="16"/>
      <c r="AA35" s="17">
        <f t="shared" si="2"/>
        <v>410.7869</v>
      </c>
      <c r="AB35" s="17">
        <f t="shared" si="0"/>
        <v>0</v>
      </c>
      <c r="AC35" s="17">
        <f t="shared" si="1"/>
        <v>210.546033333333</v>
      </c>
    </row>
    <row r="36" spans="1:29">
      <c r="A36" s="8">
        <v>45326</v>
      </c>
      <c r="B36" s="16">
        <v>387.6845</v>
      </c>
      <c r="C36" s="16">
        <v>286.9861</v>
      </c>
      <c r="D36" s="16">
        <v>321.1208</v>
      </c>
      <c r="E36" s="16">
        <v>168.3155</v>
      </c>
      <c r="F36" s="16">
        <v>248.8628</v>
      </c>
      <c r="G36" s="16">
        <v>0</v>
      </c>
      <c r="H36" s="16">
        <v>80.2103</v>
      </c>
      <c r="I36" s="16">
        <v>344.4393</v>
      </c>
      <c r="J36" s="16">
        <v>324.9636</v>
      </c>
      <c r="K36" s="16">
        <v>334.4395</v>
      </c>
      <c r="L36" s="16">
        <v>238.526</v>
      </c>
      <c r="M36" s="16">
        <v>339.4315</v>
      </c>
      <c r="N36" s="16">
        <v>180.8306</v>
      </c>
      <c r="O36" s="16">
        <v>0</v>
      </c>
      <c r="P36" s="16">
        <v>243.0633</v>
      </c>
      <c r="Q36" s="16">
        <v>230.5489</v>
      </c>
      <c r="R36" s="16">
        <v>241.7733</v>
      </c>
      <c r="S36" s="16">
        <v>271.1587</v>
      </c>
      <c r="T36" s="16">
        <v>390.2819</v>
      </c>
      <c r="U36" s="16">
        <v>397.0574</v>
      </c>
      <c r="V36" s="16">
        <v>377.3539</v>
      </c>
      <c r="W36" s="16">
        <v>370.3328</v>
      </c>
      <c r="X36" s="16">
        <v>380.872</v>
      </c>
      <c r="Y36" s="16">
        <v>355.6376</v>
      </c>
      <c r="Z36" s="16"/>
      <c r="AA36" s="17">
        <f t="shared" si="2"/>
        <v>397.0574</v>
      </c>
      <c r="AB36" s="17">
        <f t="shared" si="0"/>
        <v>0</v>
      </c>
      <c r="AC36" s="17">
        <f t="shared" si="1"/>
        <v>271.412095833333</v>
      </c>
    </row>
    <row r="37" spans="1:29">
      <c r="A37" s="8">
        <v>45327</v>
      </c>
      <c r="B37" s="16">
        <v>387.0814</v>
      </c>
      <c r="C37" s="16">
        <v>400.4365</v>
      </c>
      <c r="D37" s="16">
        <v>350.7765</v>
      </c>
      <c r="E37" s="16">
        <v>321.9352</v>
      </c>
      <c r="F37" s="16">
        <v>285.467</v>
      </c>
      <c r="G37" s="16">
        <v>311.3521</v>
      </c>
      <c r="H37" s="16">
        <v>353.6946</v>
      </c>
      <c r="I37" s="16">
        <v>355.654</v>
      </c>
      <c r="J37" s="16">
        <v>236.4875</v>
      </c>
      <c r="K37" s="16">
        <v>312.4878</v>
      </c>
      <c r="L37" s="16">
        <v>50.0373</v>
      </c>
      <c r="M37" s="16">
        <v>229.8261</v>
      </c>
      <c r="N37" s="16">
        <v>196.0768</v>
      </c>
      <c r="O37" s="16">
        <v>76.1358</v>
      </c>
      <c r="P37" s="16">
        <v>76.3656</v>
      </c>
      <c r="Q37" s="16">
        <v>0</v>
      </c>
      <c r="R37" s="16">
        <v>0</v>
      </c>
      <c r="S37" s="16">
        <v>0</v>
      </c>
      <c r="T37" s="16">
        <v>328.2161</v>
      </c>
      <c r="U37" s="16">
        <v>320.6129</v>
      </c>
      <c r="V37" s="16">
        <v>326.3745</v>
      </c>
      <c r="W37" s="16">
        <v>0</v>
      </c>
      <c r="X37" s="16">
        <v>174.3212</v>
      </c>
      <c r="Y37" s="16">
        <v>125.5622</v>
      </c>
      <c r="Z37" s="16"/>
      <c r="AA37" s="17">
        <f t="shared" si="2"/>
        <v>400.4365</v>
      </c>
      <c r="AB37" s="17">
        <f t="shared" si="0"/>
        <v>0</v>
      </c>
      <c r="AC37" s="17">
        <f t="shared" si="1"/>
        <v>217.4542125</v>
      </c>
    </row>
    <row r="38" spans="1:29">
      <c r="A38" s="8">
        <v>45328</v>
      </c>
      <c r="B38" s="16">
        <v>351.0658</v>
      </c>
      <c r="C38" s="16">
        <v>346.3459</v>
      </c>
      <c r="D38" s="16">
        <v>306.0391</v>
      </c>
      <c r="E38" s="16">
        <v>302.6222</v>
      </c>
      <c r="F38" s="16">
        <v>312.29</v>
      </c>
      <c r="G38" s="16">
        <v>312.6675</v>
      </c>
      <c r="H38" s="16">
        <v>296.9013</v>
      </c>
      <c r="I38" s="16">
        <v>401.9662</v>
      </c>
      <c r="J38" s="16">
        <v>377.49</v>
      </c>
      <c r="K38" s="16">
        <v>395</v>
      </c>
      <c r="L38" s="16">
        <v>294.2062</v>
      </c>
      <c r="M38" s="16">
        <v>211.555</v>
      </c>
      <c r="N38" s="16">
        <v>314.805</v>
      </c>
      <c r="O38" s="16">
        <v>257.08</v>
      </c>
      <c r="P38" s="16">
        <v>318.75</v>
      </c>
      <c r="Q38" s="16">
        <v>255.3475</v>
      </c>
      <c r="R38" s="16">
        <v>350.4725</v>
      </c>
      <c r="S38" s="16">
        <v>545.415</v>
      </c>
      <c r="T38" s="16">
        <v>864.525</v>
      </c>
      <c r="U38" s="16">
        <v>662.0435</v>
      </c>
      <c r="V38" s="16">
        <v>597.379</v>
      </c>
      <c r="W38" s="16">
        <v>810.9272</v>
      </c>
      <c r="X38" s="16">
        <v>548.4918</v>
      </c>
      <c r="Y38" s="16">
        <v>591.0299</v>
      </c>
      <c r="Z38" s="16"/>
      <c r="AA38" s="17">
        <f t="shared" si="2"/>
        <v>864.525</v>
      </c>
      <c r="AB38" s="17">
        <f t="shared" si="0"/>
        <v>211.555</v>
      </c>
      <c r="AC38" s="17">
        <f t="shared" si="1"/>
        <v>417.683983333333</v>
      </c>
    </row>
    <row r="39" spans="1:29">
      <c r="A39" s="8">
        <v>45329</v>
      </c>
      <c r="B39" s="16">
        <v>376.5684</v>
      </c>
      <c r="C39" s="16">
        <v>395.025</v>
      </c>
      <c r="D39" s="16">
        <v>397.5</v>
      </c>
      <c r="E39" s="16">
        <v>336.55</v>
      </c>
      <c r="F39" s="16">
        <v>316.7175</v>
      </c>
      <c r="G39" s="16">
        <v>338.8325</v>
      </c>
      <c r="H39" s="16">
        <v>363.75</v>
      </c>
      <c r="I39" s="16">
        <v>543.8021</v>
      </c>
      <c r="J39" s="16">
        <v>605.3181</v>
      </c>
      <c r="K39" s="16">
        <v>781.882</v>
      </c>
      <c r="L39" s="16">
        <v>963.5</v>
      </c>
      <c r="M39" s="16">
        <v>927</v>
      </c>
      <c r="N39" s="16">
        <v>823.915</v>
      </c>
      <c r="O39" s="16">
        <v>563.25</v>
      </c>
      <c r="P39" s="16">
        <v>395.025</v>
      </c>
      <c r="Q39" s="16">
        <v>503.5</v>
      </c>
      <c r="R39" s="16">
        <v>687.4486</v>
      </c>
      <c r="S39" s="16">
        <v>907.8237</v>
      </c>
      <c r="T39" s="16">
        <v>844.1019</v>
      </c>
      <c r="U39" s="16">
        <v>579.5122</v>
      </c>
      <c r="V39" s="16">
        <v>416.3249</v>
      </c>
      <c r="W39" s="16">
        <v>428.328</v>
      </c>
      <c r="X39" s="16">
        <v>389.286</v>
      </c>
      <c r="Y39" s="16">
        <v>376.2877</v>
      </c>
      <c r="Z39" s="16"/>
      <c r="AA39" s="17">
        <f t="shared" si="2"/>
        <v>963.5</v>
      </c>
      <c r="AB39" s="17">
        <f t="shared" si="0"/>
        <v>316.7175</v>
      </c>
      <c r="AC39" s="17">
        <f t="shared" si="1"/>
        <v>552.552025</v>
      </c>
    </row>
    <row r="40" spans="1:29">
      <c r="A40" s="8">
        <v>45330</v>
      </c>
      <c r="B40" s="16">
        <v>547.0535</v>
      </c>
      <c r="C40" s="16">
        <v>333.631</v>
      </c>
      <c r="D40" s="16">
        <v>295.944</v>
      </c>
      <c r="E40" s="16">
        <v>149.996</v>
      </c>
      <c r="F40" s="16">
        <v>0</v>
      </c>
      <c r="G40" s="16">
        <v>0</v>
      </c>
      <c r="H40" s="16">
        <v>196.33</v>
      </c>
      <c r="I40" s="16">
        <v>224.9846</v>
      </c>
      <c r="J40" s="16">
        <v>306.2327</v>
      </c>
      <c r="K40" s="16">
        <v>310.1062</v>
      </c>
      <c r="L40" s="16">
        <v>318.7775</v>
      </c>
      <c r="M40" s="16">
        <v>329.775</v>
      </c>
      <c r="N40" s="16">
        <v>328.9967</v>
      </c>
      <c r="O40" s="16">
        <v>337</v>
      </c>
      <c r="P40" s="16">
        <v>342.5</v>
      </c>
      <c r="Q40" s="16">
        <v>383.75</v>
      </c>
      <c r="R40" s="16">
        <v>439.0025</v>
      </c>
      <c r="S40" s="16">
        <v>408.8825</v>
      </c>
      <c r="T40" s="16">
        <v>418.805</v>
      </c>
      <c r="U40" s="16">
        <v>527.505</v>
      </c>
      <c r="V40" s="16">
        <v>424.555</v>
      </c>
      <c r="W40" s="16">
        <v>652.055</v>
      </c>
      <c r="X40" s="16">
        <v>644.5</v>
      </c>
      <c r="Y40" s="16">
        <v>508.27</v>
      </c>
      <c r="Z40" s="16"/>
      <c r="AA40" s="17">
        <f t="shared" si="2"/>
        <v>652.055</v>
      </c>
      <c r="AB40" s="17">
        <f t="shared" si="0"/>
        <v>0</v>
      </c>
      <c r="AC40" s="17">
        <f t="shared" si="1"/>
        <v>351.193841666667</v>
      </c>
    </row>
    <row r="41" spans="1:29">
      <c r="A41" s="8">
        <v>45331</v>
      </c>
      <c r="B41" s="16">
        <v>697</v>
      </c>
      <c r="C41" s="16">
        <v>646.1656</v>
      </c>
      <c r="D41" s="16">
        <v>423.4934</v>
      </c>
      <c r="E41" s="16">
        <v>398</v>
      </c>
      <c r="F41" s="16">
        <v>386.25</v>
      </c>
      <c r="G41" s="16">
        <v>410.415</v>
      </c>
      <c r="H41" s="16">
        <v>431.9318</v>
      </c>
      <c r="I41" s="16">
        <v>541.2389</v>
      </c>
      <c r="J41" s="16">
        <v>504.5785</v>
      </c>
      <c r="K41" s="16">
        <v>387.4971</v>
      </c>
      <c r="L41" s="16">
        <v>348.75</v>
      </c>
      <c r="M41" s="16">
        <v>507.915</v>
      </c>
      <c r="N41" s="16">
        <v>436.31</v>
      </c>
      <c r="O41" s="16">
        <v>377.5</v>
      </c>
      <c r="P41" s="16">
        <v>392.915</v>
      </c>
      <c r="Q41" s="16">
        <v>563.61</v>
      </c>
      <c r="R41" s="16">
        <v>826</v>
      </c>
      <c r="S41" s="16">
        <v>579.44</v>
      </c>
      <c r="T41" s="16">
        <v>336.66</v>
      </c>
      <c r="U41" s="16">
        <v>375.0325</v>
      </c>
      <c r="V41" s="16">
        <v>364.3859</v>
      </c>
      <c r="W41" s="16">
        <v>374.3775</v>
      </c>
      <c r="X41" s="16">
        <v>779.5825</v>
      </c>
      <c r="Y41" s="16">
        <v>591.8096</v>
      </c>
      <c r="Z41" s="16"/>
      <c r="AA41" s="17">
        <f t="shared" si="2"/>
        <v>826</v>
      </c>
      <c r="AB41" s="17">
        <f t="shared" si="0"/>
        <v>336.66</v>
      </c>
      <c r="AC41" s="17">
        <f t="shared" si="1"/>
        <v>486.702429166667</v>
      </c>
    </row>
    <row r="42" spans="1:29">
      <c r="A42" s="8">
        <v>45332</v>
      </c>
      <c r="B42" s="16">
        <v>702.9226</v>
      </c>
      <c r="C42" s="16">
        <v>744.3553</v>
      </c>
      <c r="D42" s="16">
        <v>883.0146</v>
      </c>
      <c r="E42" s="16">
        <v>647.415</v>
      </c>
      <c r="F42" s="16">
        <v>400</v>
      </c>
      <c r="G42" s="16">
        <v>400.555</v>
      </c>
      <c r="H42" s="16">
        <v>353.805</v>
      </c>
      <c r="I42" s="16">
        <v>353.8772</v>
      </c>
      <c r="J42" s="16">
        <v>0</v>
      </c>
      <c r="K42" s="16">
        <v>64.5239</v>
      </c>
      <c r="L42" s="16">
        <v>50</v>
      </c>
      <c r="M42" s="16">
        <v>484.4955</v>
      </c>
      <c r="N42" s="16">
        <v>499.3497</v>
      </c>
      <c r="O42" s="16">
        <v>0</v>
      </c>
      <c r="P42" s="16">
        <v>500</v>
      </c>
      <c r="Q42" s="16">
        <v>1000</v>
      </c>
      <c r="R42" s="16">
        <v>398.915</v>
      </c>
      <c r="S42" s="16">
        <v>502.605</v>
      </c>
      <c r="T42" s="16">
        <v>652.9017</v>
      </c>
      <c r="U42" s="16">
        <v>750.5026</v>
      </c>
      <c r="V42" s="16">
        <v>647.3279</v>
      </c>
      <c r="W42" s="16">
        <v>609.915</v>
      </c>
      <c r="X42" s="16">
        <v>921.4812</v>
      </c>
      <c r="Y42" s="16">
        <v>652.7334</v>
      </c>
      <c r="Z42" s="16"/>
      <c r="AA42" s="17">
        <f t="shared" si="2"/>
        <v>1000</v>
      </c>
      <c r="AB42" s="17">
        <f t="shared" si="0"/>
        <v>0</v>
      </c>
      <c r="AC42" s="17">
        <f t="shared" si="1"/>
        <v>509.19565</v>
      </c>
    </row>
    <row r="43" spans="1:29">
      <c r="A43" s="8">
        <v>45333</v>
      </c>
      <c r="B43" s="16">
        <v>522.1734</v>
      </c>
      <c r="C43" s="16">
        <v>523.525</v>
      </c>
      <c r="D43" s="16">
        <v>407.5825</v>
      </c>
      <c r="E43" s="16">
        <v>381.5</v>
      </c>
      <c r="F43" s="16">
        <v>347.5575</v>
      </c>
      <c r="G43" s="16">
        <v>344.055</v>
      </c>
      <c r="H43" s="16">
        <v>386.25</v>
      </c>
      <c r="I43" s="16">
        <v>400.0775</v>
      </c>
      <c r="J43" s="16">
        <v>155.2914</v>
      </c>
      <c r="K43" s="16">
        <v>90.75</v>
      </c>
      <c r="L43" s="16">
        <v>628.8752</v>
      </c>
      <c r="M43" s="16">
        <v>855.152</v>
      </c>
      <c r="N43" s="16">
        <v>496.1425</v>
      </c>
      <c r="O43" s="16">
        <v>102.3083</v>
      </c>
      <c r="P43" s="16">
        <v>496.2321</v>
      </c>
      <c r="Q43" s="16">
        <v>847.5</v>
      </c>
      <c r="R43" s="16">
        <v>325.055</v>
      </c>
      <c r="S43" s="16">
        <v>120.08</v>
      </c>
      <c r="T43" s="16">
        <v>0</v>
      </c>
      <c r="U43" s="16">
        <v>0</v>
      </c>
      <c r="V43" s="16">
        <v>0</v>
      </c>
      <c r="W43" s="16">
        <v>0</v>
      </c>
      <c r="X43" s="16">
        <v>75.415</v>
      </c>
      <c r="Y43" s="16">
        <v>250.635</v>
      </c>
      <c r="Z43" s="16"/>
      <c r="AA43" s="17">
        <f t="shared" si="2"/>
        <v>855.152</v>
      </c>
      <c r="AB43" s="17">
        <f t="shared" si="0"/>
        <v>0</v>
      </c>
      <c r="AC43" s="17">
        <f t="shared" si="1"/>
        <v>323.173225</v>
      </c>
    </row>
    <row r="44" spans="1:29">
      <c r="A44" s="8">
        <v>45334</v>
      </c>
      <c r="B44" s="16">
        <v>479.0825</v>
      </c>
      <c r="C44" s="16">
        <v>152.915</v>
      </c>
      <c r="D44" s="16">
        <v>166.5</v>
      </c>
      <c r="E44" s="16">
        <v>245.38</v>
      </c>
      <c r="F44" s="16">
        <v>270.165</v>
      </c>
      <c r="G44" s="16">
        <v>100.58</v>
      </c>
      <c r="H44" s="16">
        <v>0</v>
      </c>
      <c r="I44" s="16">
        <v>75</v>
      </c>
      <c r="J44" s="16">
        <v>100.275</v>
      </c>
      <c r="K44" s="16">
        <v>724.1259</v>
      </c>
      <c r="L44" s="16">
        <v>996.469</v>
      </c>
      <c r="M44" s="16">
        <v>1000</v>
      </c>
      <c r="N44" s="16">
        <v>750</v>
      </c>
      <c r="O44" s="16">
        <v>0</v>
      </c>
      <c r="P44" s="16">
        <v>1000</v>
      </c>
      <c r="Q44" s="16">
        <v>1000</v>
      </c>
      <c r="R44" s="16">
        <v>0</v>
      </c>
      <c r="S44" s="16">
        <v>70.165</v>
      </c>
      <c r="T44" s="16">
        <v>0</v>
      </c>
      <c r="U44" s="16">
        <v>0</v>
      </c>
      <c r="V44" s="16">
        <v>0</v>
      </c>
      <c r="W44" s="16">
        <v>0</v>
      </c>
      <c r="X44" s="16">
        <v>141.25</v>
      </c>
      <c r="Y44" s="16">
        <v>0.25</v>
      </c>
      <c r="Z44" s="16"/>
      <c r="AA44" s="17">
        <f t="shared" si="2"/>
        <v>1000</v>
      </c>
      <c r="AB44" s="17">
        <f t="shared" si="0"/>
        <v>0</v>
      </c>
      <c r="AC44" s="17">
        <f t="shared" si="1"/>
        <v>303.006558333333</v>
      </c>
    </row>
    <row r="45" spans="1:29">
      <c r="A45" s="8">
        <v>45335</v>
      </c>
      <c r="B45" s="16">
        <v>340.065</v>
      </c>
      <c r="C45" s="16">
        <v>153.165</v>
      </c>
      <c r="D45" s="16">
        <v>262.025</v>
      </c>
      <c r="E45" s="16">
        <v>272.7775</v>
      </c>
      <c r="F45" s="16">
        <v>75.25</v>
      </c>
      <c r="G45" s="16">
        <v>0</v>
      </c>
      <c r="H45" s="16">
        <v>139.7525</v>
      </c>
      <c r="I45" s="16">
        <v>325.5325</v>
      </c>
      <c r="J45" s="16">
        <v>339.2825</v>
      </c>
      <c r="K45" s="16">
        <v>356.49</v>
      </c>
      <c r="L45" s="16">
        <v>170.25</v>
      </c>
      <c r="M45" s="16">
        <v>292.1993</v>
      </c>
      <c r="N45" s="16">
        <v>280.984</v>
      </c>
      <c r="O45" s="16">
        <v>171.1295</v>
      </c>
      <c r="P45" s="16">
        <v>170.6005</v>
      </c>
      <c r="Q45" s="16">
        <v>350.8293</v>
      </c>
      <c r="R45" s="16">
        <v>298.1197</v>
      </c>
      <c r="S45" s="16">
        <v>342.3459</v>
      </c>
      <c r="T45" s="16">
        <v>358.915</v>
      </c>
      <c r="U45" s="16">
        <v>395</v>
      </c>
      <c r="V45" s="16">
        <v>374.75</v>
      </c>
      <c r="W45" s="16">
        <v>361.33</v>
      </c>
      <c r="X45" s="16">
        <v>366.3025</v>
      </c>
      <c r="Y45" s="16">
        <v>373.75</v>
      </c>
      <c r="Z45" s="16"/>
      <c r="AA45" s="17">
        <f t="shared" si="2"/>
        <v>395</v>
      </c>
      <c r="AB45" s="17">
        <f t="shared" si="0"/>
        <v>0</v>
      </c>
      <c r="AC45" s="17">
        <f t="shared" si="1"/>
        <v>273.7852375</v>
      </c>
    </row>
    <row r="46" spans="1:29">
      <c r="A46" s="8">
        <v>45336</v>
      </c>
      <c r="B46" s="16">
        <v>533.505</v>
      </c>
      <c r="C46" s="16">
        <v>533.5</v>
      </c>
      <c r="D46" s="16">
        <v>541.0825</v>
      </c>
      <c r="E46" s="16">
        <v>409.8575</v>
      </c>
      <c r="F46" s="16">
        <v>422.5</v>
      </c>
      <c r="G46" s="16">
        <v>538</v>
      </c>
      <c r="H46" s="16">
        <v>467.7725</v>
      </c>
      <c r="I46" s="16">
        <v>782.5963</v>
      </c>
      <c r="J46" s="16">
        <v>411.41</v>
      </c>
      <c r="K46" s="16">
        <v>186</v>
      </c>
      <c r="L46" s="16">
        <v>211.8252</v>
      </c>
      <c r="M46" s="16">
        <v>156.8321</v>
      </c>
      <c r="N46" s="16">
        <v>244.25</v>
      </c>
      <c r="O46" s="16">
        <v>155.08</v>
      </c>
      <c r="P46" s="16">
        <v>230.745</v>
      </c>
      <c r="Q46" s="16">
        <v>288.83</v>
      </c>
      <c r="R46" s="16">
        <v>330.1238</v>
      </c>
      <c r="S46" s="16">
        <v>339.6125</v>
      </c>
      <c r="T46" s="16">
        <v>347.6125</v>
      </c>
      <c r="U46" s="16">
        <v>380.08</v>
      </c>
      <c r="V46" s="16">
        <v>340.66</v>
      </c>
      <c r="W46" s="16">
        <v>336.8575</v>
      </c>
      <c r="X46" s="16">
        <v>358.75</v>
      </c>
      <c r="Y46" s="16">
        <v>414.418</v>
      </c>
      <c r="Z46" s="16"/>
      <c r="AA46" s="17">
        <f t="shared" si="2"/>
        <v>782.5963</v>
      </c>
      <c r="AB46" s="17">
        <f t="shared" si="0"/>
        <v>155.08</v>
      </c>
      <c r="AC46" s="17">
        <f t="shared" si="1"/>
        <v>373.412516666667</v>
      </c>
    </row>
    <row r="47" spans="1:29">
      <c r="A47" s="8">
        <v>45337</v>
      </c>
      <c r="B47" s="16">
        <v>775.0567</v>
      </c>
      <c r="C47" s="16">
        <v>884.5395</v>
      </c>
      <c r="D47" s="16">
        <v>854</v>
      </c>
      <c r="E47" s="16">
        <v>586.03</v>
      </c>
      <c r="F47" s="16">
        <v>543.915</v>
      </c>
      <c r="G47" s="16">
        <v>437.69</v>
      </c>
      <c r="H47" s="16">
        <v>506.181</v>
      </c>
      <c r="I47" s="16">
        <v>492.915</v>
      </c>
      <c r="J47" s="16">
        <v>392.5</v>
      </c>
      <c r="K47" s="16">
        <v>345</v>
      </c>
      <c r="L47" s="16">
        <v>372.4475</v>
      </c>
      <c r="M47" s="16">
        <v>479.7878</v>
      </c>
      <c r="N47" s="16">
        <v>373.1546</v>
      </c>
      <c r="O47" s="16">
        <v>327.6128</v>
      </c>
      <c r="P47" s="16">
        <v>322.3325</v>
      </c>
      <c r="Q47" s="16">
        <v>362.6819</v>
      </c>
      <c r="R47" s="16">
        <v>371.9089</v>
      </c>
      <c r="S47" s="16">
        <v>529.4845</v>
      </c>
      <c r="T47" s="16">
        <v>729.25</v>
      </c>
      <c r="U47" s="16">
        <v>437.5375</v>
      </c>
      <c r="V47" s="16">
        <v>404.1245</v>
      </c>
      <c r="W47" s="16">
        <v>371.1519</v>
      </c>
      <c r="X47" s="16">
        <v>377.75</v>
      </c>
      <c r="Y47" s="16">
        <v>405.0625</v>
      </c>
      <c r="Z47" s="16"/>
      <c r="AA47" s="17">
        <f t="shared" si="2"/>
        <v>884.5395</v>
      </c>
      <c r="AB47" s="17">
        <f t="shared" si="0"/>
        <v>322.3325</v>
      </c>
      <c r="AC47" s="17">
        <f t="shared" si="1"/>
        <v>486.754754166667</v>
      </c>
    </row>
    <row r="48" spans="1:29">
      <c r="A48" s="8">
        <v>45338</v>
      </c>
      <c r="B48" s="16">
        <v>734.25</v>
      </c>
      <c r="C48" s="16">
        <v>548.665</v>
      </c>
      <c r="D48" s="16">
        <v>497.3835</v>
      </c>
      <c r="E48" s="16">
        <v>417.0052</v>
      </c>
      <c r="F48" s="16">
        <v>381.275</v>
      </c>
      <c r="G48" s="16">
        <v>354</v>
      </c>
      <c r="H48" s="16">
        <v>334.915</v>
      </c>
      <c r="I48" s="16">
        <v>379.26</v>
      </c>
      <c r="J48" s="16">
        <v>349.33</v>
      </c>
      <c r="K48" s="16">
        <v>350.255</v>
      </c>
      <c r="L48" s="16">
        <v>130.08</v>
      </c>
      <c r="M48" s="16">
        <v>107.58</v>
      </c>
      <c r="N48" s="16">
        <v>219.9175</v>
      </c>
      <c r="O48" s="16">
        <v>87.5</v>
      </c>
      <c r="P48" s="16">
        <v>253.2463</v>
      </c>
      <c r="Q48" s="16">
        <v>253.165</v>
      </c>
      <c r="R48" s="16">
        <v>247.5</v>
      </c>
      <c r="S48" s="16">
        <v>346.3093</v>
      </c>
      <c r="T48" s="16">
        <v>289.3253</v>
      </c>
      <c r="U48" s="16">
        <v>353.0878</v>
      </c>
      <c r="V48" s="16">
        <v>343.4323</v>
      </c>
      <c r="W48" s="16">
        <v>328.7409</v>
      </c>
      <c r="X48" s="16">
        <v>306.4461</v>
      </c>
      <c r="Y48" s="16">
        <v>369.9604</v>
      </c>
      <c r="Z48" s="16"/>
      <c r="AA48" s="17">
        <f t="shared" si="2"/>
        <v>734.25</v>
      </c>
      <c r="AB48" s="17">
        <f t="shared" si="0"/>
        <v>87.5</v>
      </c>
      <c r="AC48" s="17">
        <f t="shared" si="1"/>
        <v>332.609566666667</v>
      </c>
    </row>
    <row r="49" spans="1:29">
      <c r="A49" s="8">
        <v>45339</v>
      </c>
      <c r="B49" s="16">
        <v>407.58</v>
      </c>
      <c r="C49" s="16">
        <v>341.5</v>
      </c>
      <c r="D49" s="16">
        <v>229.625</v>
      </c>
      <c r="E49" s="16">
        <v>180.08</v>
      </c>
      <c r="F49" s="16">
        <v>229.525</v>
      </c>
      <c r="G49" s="16">
        <v>207.2525</v>
      </c>
      <c r="H49" s="16">
        <v>291.6375</v>
      </c>
      <c r="I49" s="16">
        <v>359.55</v>
      </c>
      <c r="J49" s="16">
        <v>387.75</v>
      </c>
      <c r="K49" s="16">
        <v>423.8324</v>
      </c>
      <c r="L49" s="16">
        <v>369.2032</v>
      </c>
      <c r="M49" s="16">
        <v>360.0904</v>
      </c>
      <c r="N49" s="16">
        <v>340.9988</v>
      </c>
      <c r="O49" s="16">
        <v>213.0097</v>
      </c>
      <c r="P49" s="16">
        <v>318.7525</v>
      </c>
      <c r="Q49" s="16">
        <v>292.19</v>
      </c>
      <c r="R49" s="16">
        <v>245.715</v>
      </c>
      <c r="S49" s="16">
        <v>342.75</v>
      </c>
      <c r="T49" s="16">
        <v>363.1927</v>
      </c>
      <c r="U49" s="16">
        <v>377.5</v>
      </c>
      <c r="V49" s="16">
        <v>371.632</v>
      </c>
      <c r="W49" s="16">
        <v>372.25</v>
      </c>
      <c r="X49" s="16">
        <v>311.3169</v>
      </c>
      <c r="Y49" s="16">
        <v>367.2454</v>
      </c>
      <c r="Z49" s="16"/>
      <c r="AA49" s="17">
        <f t="shared" si="2"/>
        <v>423.8324</v>
      </c>
      <c r="AB49" s="17">
        <f t="shared" si="0"/>
        <v>180.08</v>
      </c>
      <c r="AC49" s="17">
        <f t="shared" si="1"/>
        <v>321.007458333333</v>
      </c>
    </row>
    <row r="50" spans="1:29">
      <c r="A50" s="8">
        <v>45340</v>
      </c>
      <c r="B50" s="16">
        <v>466.25</v>
      </c>
      <c r="C50" s="16">
        <v>255.25</v>
      </c>
      <c r="D50" s="16">
        <v>225.5</v>
      </c>
      <c r="E50" s="16">
        <v>115.08</v>
      </c>
      <c r="F50" s="16">
        <v>304.7525</v>
      </c>
      <c r="G50" s="16">
        <v>253.5575</v>
      </c>
      <c r="H50" s="16">
        <v>345.755</v>
      </c>
      <c r="I50" s="16">
        <v>472.8075</v>
      </c>
      <c r="J50" s="16">
        <v>386.7775</v>
      </c>
      <c r="K50" s="16">
        <v>382.495</v>
      </c>
      <c r="L50" s="16">
        <v>364</v>
      </c>
      <c r="M50" s="16">
        <v>321.2271</v>
      </c>
      <c r="N50" s="16">
        <v>166.4425</v>
      </c>
      <c r="O50" s="16">
        <v>240.24</v>
      </c>
      <c r="P50" s="16">
        <v>134.75</v>
      </c>
      <c r="Q50" s="16">
        <v>340.0575</v>
      </c>
      <c r="R50" s="16">
        <v>337.5</v>
      </c>
      <c r="S50" s="16">
        <v>275.08</v>
      </c>
      <c r="T50" s="16">
        <v>374.1899</v>
      </c>
      <c r="U50" s="16">
        <v>421.25</v>
      </c>
      <c r="V50" s="16">
        <v>389.9535</v>
      </c>
      <c r="W50" s="16">
        <v>380</v>
      </c>
      <c r="X50" s="16">
        <v>365.005</v>
      </c>
      <c r="Y50" s="16">
        <v>341.3675</v>
      </c>
      <c r="Z50" s="16"/>
      <c r="AA50" s="17">
        <f t="shared" si="2"/>
        <v>472.8075</v>
      </c>
      <c r="AB50" s="17">
        <f t="shared" si="0"/>
        <v>115.08</v>
      </c>
      <c r="AC50" s="17">
        <f t="shared" si="1"/>
        <v>319.137</v>
      </c>
    </row>
    <row r="51" spans="1:29">
      <c r="A51" s="8">
        <v>45341</v>
      </c>
      <c r="B51" s="16">
        <v>355.3075</v>
      </c>
      <c r="C51" s="16">
        <v>355</v>
      </c>
      <c r="D51" s="16">
        <v>355</v>
      </c>
      <c r="E51" s="16">
        <v>334</v>
      </c>
      <c r="F51" s="16">
        <v>335.3075</v>
      </c>
      <c r="G51" s="16">
        <v>341.25</v>
      </c>
      <c r="H51" s="16">
        <v>348.755</v>
      </c>
      <c r="I51" s="16">
        <v>370</v>
      </c>
      <c r="J51" s="16">
        <v>531</v>
      </c>
      <c r="K51" s="16">
        <v>549.75</v>
      </c>
      <c r="L51" s="16">
        <v>400.165</v>
      </c>
      <c r="M51" s="16">
        <v>347.5</v>
      </c>
      <c r="N51" s="16">
        <v>166.4951</v>
      </c>
      <c r="O51" s="16">
        <v>249</v>
      </c>
      <c r="P51" s="16">
        <v>343.53</v>
      </c>
      <c r="Q51" s="16">
        <v>294.1308</v>
      </c>
      <c r="R51" s="16">
        <v>406.112</v>
      </c>
      <c r="S51" s="16">
        <v>399.3836</v>
      </c>
      <c r="T51" s="16">
        <v>399.816</v>
      </c>
      <c r="U51" s="16">
        <v>397.8756</v>
      </c>
      <c r="V51" s="16">
        <v>374.1137</v>
      </c>
      <c r="W51" s="16">
        <v>372.432</v>
      </c>
      <c r="X51" s="16">
        <v>319.1535</v>
      </c>
      <c r="Y51" s="16">
        <v>292.4693</v>
      </c>
      <c r="Z51" s="16"/>
      <c r="AA51" s="17">
        <f t="shared" si="2"/>
        <v>549.75</v>
      </c>
      <c r="AB51" s="17">
        <f t="shared" si="0"/>
        <v>166.4951</v>
      </c>
      <c r="AC51" s="17">
        <f t="shared" si="1"/>
        <v>359.897775</v>
      </c>
    </row>
    <row r="52" spans="1:29">
      <c r="A52" s="8">
        <v>45342</v>
      </c>
      <c r="B52" s="16">
        <v>348.9674</v>
      </c>
      <c r="C52" s="16">
        <v>346.8176</v>
      </c>
      <c r="D52" s="16">
        <v>318.1829</v>
      </c>
      <c r="E52" s="16">
        <v>152.9484</v>
      </c>
      <c r="F52" s="16">
        <v>75.2401</v>
      </c>
      <c r="G52" s="16">
        <v>254.0495</v>
      </c>
      <c r="H52" s="16">
        <v>351.4211</v>
      </c>
      <c r="I52" s="16">
        <v>384.1649</v>
      </c>
      <c r="J52" s="16">
        <v>399.2317</v>
      </c>
      <c r="K52" s="16">
        <v>371.5285</v>
      </c>
      <c r="L52" s="16">
        <v>328.8459</v>
      </c>
      <c r="M52" s="16">
        <v>237.11</v>
      </c>
      <c r="N52" s="16">
        <v>0</v>
      </c>
      <c r="O52" s="16">
        <v>0</v>
      </c>
      <c r="P52" s="16">
        <v>186.665</v>
      </c>
      <c r="Q52" s="16">
        <v>247.7029</v>
      </c>
      <c r="R52" s="16">
        <v>366.1545</v>
      </c>
      <c r="S52" s="16">
        <v>357.7288</v>
      </c>
      <c r="T52" s="16">
        <v>376.4584</v>
      </c>
      <c r="U52" s="16">
        <v>398.0196</v>
      </c>
      <c r="V52" s="16">
        <v>388.8587</v>
      </c>
      <c r="W52" s="16">
        <v>383.2087</v>
      </c>
      <c r="X52" s="16">
        <v>371.2716</v>
      </c>
      <c r="Y52" s="16">
        <v>349.7654</v>
      </c>
      <c r="Z52" s="16"/>
      <c r="AA52" s="17">
        <f t="shared" si="2"/>
        <v>399.2317</v>
      </c>
      <c r="AB52" s="17">
        <f t="shared" si="0"/>
        <v>0</v>
      </c>
      <c r="AC52" s="17">
        <f t="shared" si="1"/>
        <v>291.4309</v>
      </c>
    </row>
    <row r="53" spans="1:29">
      <c r="A53" s="8">
        <v>45343</v>
      </c>
      <c r="B53" s="16">
        <v>356.7613</v>
      </c>
      <c r="C53" s="16">
        <v>345.0785</v>
      </c>
      <c r="D53" s="16">
        <v>267.9744</v>
      </c>
      <c r="E53" s="16">
        <v>223.3706</v>
      </c>
      <c r="F53" s="16">
        <v>298.0183</v>
      </c>
      <c r="G53" s="16">
        <v>315.4477</v>
      </c>
      <c r="H53" s="16">
        <v>353.0398</v>
      </c>
      <c r="I53" s="16">
        <v>373.2376</v>
      </c>
      <c r="J53" s="16">
        <v>419.5801</v>
      </c>
      <c r="K53" s="16">
        <v>405.9654</v>
      </c>
      <c r="L53" s="16">
        <v>360.1759</v>
      </c>
      <c r="M53" s="16">
        <v>309.5575</v>
      </c>
      <c r="N53" s="16">
        <v>260.1425</v>
      </c>
      <c r="O53" s="16">
        <v>307.6627</v>
      </c>
      <c r="P53" s="16">
        <v>340.2925</v>
      </c>
      <c r="Q53" s="16">
        <v>354.8075</v>
      </c>
      <c r="R53" s="16">
        <v>399.9624</v>
      </c>
      <c r="S53" s="16">
        <v>381.3254</v>
      </c>
      <c r="T53" s="16">
        <v>386.1502</v>
      </c>
      <c r="U53" s="16">
        <v>398.7708</v>
      </c>
      <c r="V53" s="16">
        <v>389.7775</v>
      </c>
      <c r="W53" s="16">
        <v>388.5487</v>
      </c>
      <c r="X53" s="16">
        <v>369.4903</v>
      </c>
      <c r="Y53" s="16">
        <v>334.5</v>
      </c>
      <c r="Z53" s="16"/>
      <c r="AA53" s="17">
        <f t="shared" si="2"/>
        <v>419.5801</v>
      </c>
      <c r="AB53" s="17">
        <f t="shared" si="0"/>
        <v>223.3706</v>
      </c>
      <c r="AC53" s="17">
        <f t="shared" si="1"/>
        <v>347.4849</v>
      </c>
    </row>
    <row r="54" spans="1:29">
      <c r="A54" s="8">
        <v>45344</v>
      </c>
      <c r="B54" s="16">
        <v>374.0685</v>
      </c>
      <c r="C54" s="16">
        <v>371.3938</v>
      </c>
      <c r="D54" s="16">
        <v>364.4315</v>
      </c>
      <c r="E54" s="16">
        <v>353.5484</v>
      </c>
      <c r="F54" s="16">
        <v>348.5</v>
      </c>
      <c r="G54" s="16">
        <v>356.5</v>
      </c>
      <c r="H54" s="16">
        <v>381.0771</v>
      </c>
      <c r="I54" s="16">
        <v>404.3298</v>
      </c>
      <c r="J54" s="16">
        <v>638.0289</v>
      </c>
      <c r="K54" s="16">
        <v>654.6992</v>
      </c>
      <c r="L54" s="16">
        <v>420.9267</v>
      </c>
      <c r="M54" s="16">
        <v>385.2288</v>
      </c>
      <c r="N54" s="16">
        <v>357.28</v>
      </c>
      <c r="O54" s="16">
        <v>374.4626</v>
      </c>
      <c r="P54" s="16">
        <v>375.0186</v>
      </c>
      <c r="Q54" s="16">
        <v>370</v>
      </c>
      <c r="R54" s="16">
        <v>380.9687</v>
      </c>
      <c r="S54" s="16">
        <v>375.3672</v>
      </c>
      <c r="T54" s="16">
        <v>380.1697</v>
      </c>
      <c r="U54" s="16">
        <v>375.1608</v>
      </c>
      <c r="V54" s="16">
        <v>381.1398</v>
      </c>
      <c r="W54" s="16">
        <v>384.8742</v>
      </c>
      <c r="X54" s="16">
        <v>363.431</v>
      </c>
      <c r="Y54" s="16">
        <v>336.865</v>
      </c>
      <c r="Z54" s="16"/>
      <c r="AA54" s="17">
        <f t="shared" si="2"/>
        <v>654.6992</v>
      </c>
      <c r="AB54" s="17">
        <f t="shared" si="0"/>
        <v>336.865</v>
      </c>
      <c r="AC54" s="17">
        <f t="shared" si="1"/>
        <v>396.144595833333</v>
      </c>
    </row>
    <row r="55" spans="1:29">
      <c r="A55" s="8">
        <v>45345</v>
      </c>
      <c r="B55" s="16">
        <v>364.4192</v>
      </c>
      <c r="C55" s="16">
        <v>349.8628</v>
      </c>
      <c r="D55" s="16">
        <v>328.915</v>
      </c>
      <c r="E55" s="16">
        <v>315.1625</v>
      </c>
      <c r="F55" s="16">
        <v>318.9975</v>
      </c>
      <c r="G55" s="16">
        <v>318.41</v>
      </c>
      <c r="H55" s="16">
        <v>334.78</v>
      </c>
      <c r="I55" s="16">
        <v>354.9121</v>
      </c>
      <c r="J55" s="16">
        <v>384.1812</v>
      </c>
      <c r="K55" s="16">
        <v>382.1561</v>
      </c>
      <c r="L55" s="16">
        <v>374.2164</v>
      </c>
      <c r="M55" s="16">
        <v>353.8902</v>
      </c>
      <c r="N55" s="16">
        <v>243.0537</v>
      </c>
      <c r="O55" s="16">
        <v>361.2359</v>
      </c>
      <c r="P55" s="16">
        <v>361.8309</v>
      </c>
      <c r="Q55" s="16">
        <v>367.2435</v>
      </c>
      <c r="R55" s="16">
        <v>369.6348</v>
      </c>
      <c r="S55" s="16">
        <v>371.9638</v>
      </c>
      <c r="T55" s="16">
        <v>373.1625</v>
      </c>
      <c r="U55" s="16">
        <v>378.267</v>
      </c>
      <c r="V55" s="16">
        <v>373.0976</v>
      </c>
      <c r="W55" s="16">
        <v>374.4108</v>
      </c>
      <c r="X55" s="16">
        <v>360.8692</v>
      </c>
      <c r="Y55" s="16">
        <v>350</v>
      </c>
      <c r="Z55" s="16"/>
      <c r="AA55" s="17">
        <f t="shared" si="2"/>
        <v>384.1812</v>
      </c>
      <c r="AB55" s="17">
        <f t="shared" si="0"/>
        <v>243.0537</v>
      </c>
      <c r="AC55" s="17">
        <f t="shared" si="1"/>
        <v>352.694695833333</v>
      </c>
    </row>
    <row r="56" spans="1:29">
      <c r="A56" s="8">
        <v>45346</v>
      </c>
      <c r="B56" s="16">
        <v>365.3747</v>
      </c>
      <c r="C56" s="16">
        <v>336.6616</v>
      </c>
      <c r="D56" s="16">
        <v>317.8275</v>
      </c>
      <c r="E56" s="16">
        <v>317.8747</v>
      </c>
      <c r="F56" s="16">
        <v>218.165</v>
      </c>
      <c r="G56" s="16">
        <v>217.915</v>
      </c>
      <c r="H56" s="16">
        <v>313.75</v>
      </c>
      <c r="I56" s="16">
        <v>350.9243</v>
      </c>
      <c r="J56" s="16">
        <v>382.4425</v>
      </c>
      <c r="K56" s="16">
        <v>385.2413</v>
      </c>
      <c r="L56" s="16">
        <v>382.5</v>
      </c>
      <c r="M56" s="16">
        <v>359.0376</v>
      </c>
      <c r="N56" s="16">
        <v>226.2623</v>
      </c>
      <c r="O56" s="16">
        <v>387.9604</v>
      </c>
      <c r="P56" s="16">
        <v>369.5488</v>
      </c>
      <c r="Q56" s="16">
        <v>376.98</v>
      </c>
      <c r="R56" s="16">
        <v>381.5</v>
      </c>
      <c r="S56" s="16">
        <v>381.5</v>
      </c>
      <c r="T56" s="16">
        <v>380.5</v>
      </c>
      <c r="U56" s="16">
        <v>375.055</v>
      </c>
      <c r="V56" s="16">
        <v>363.25</v>
      </c>
      <c r="W56" s="16">
        <v>370.75</v>
      </c>
      <c r="X56" s="16">
        <v>363.5302</v>
      </c>
      <c r="Y56" s="16">
        <v>355.816</v>
      </c>
      <c r="Z56" s="16"/>
      <c r="AA56" s="17">
        <f t="shared" si="2"/>
        <v>387.9604</v>
      </c>
      <c r="AB56" s="17">
        <f t="shared" si="0"/>
        <v>217.915</v>
      </c>
      <c r="AC56" s="17">
        <f t="shared" si="1"/>
        <v>345.0152875</v>
      </c>
    </row>
    <row r="57" spans="1:29">
      <c r="A57" s="8">
        <v>45347</v>
      </c>
      <c r="B57" s="16">
        <v>401.065</v>
      </c>
      <c r="C57" s="16">
        <v>340.5</v>
      </c>
      <c r="D57" s="16">
        <v>324.33</v>
      </c>
      <c r="E57" s="16">
        <v>307.9125</v>
      </c>
      <c r="F57" s="16">
        <v>284.67</v>
      </c>
      <c r="G57" s="16">
        <v>226.3325</v>
      </c>
      <c r="H57" s="16">
        <v>304.7525</v>
      </c>
      <c r="I57" s="16">
        <v>349.6198</v>
      </c>
      <c r="J57" s="16">
        <v>370.75</v>
      </c>
      <c r="K57" s="16">
        <v>371.5156</v>
      </c>
      <c r="L57" s="16">
        <v>367.4904</v>
      </c>
      <c r="M57" s="16">
        <v>365.5043</v>
      </c>
      <c r="N57" s="16">
        <v>359.9703</v>
      </c>
      <c r="O57" s="16">
        <v>360.0429</v>
      </c>
      <c r="P57" s="16">
        <v>339.7389</v>
      </c>
      <c r="Q57" s="16">
        <v>343.1069</v>
      </c>
      <c r="R57" s="16">
        <v>372.1835</v>
      </c>
      <c r="S57" s="16">
        <v>395.549</v>
      </c>
      <c r="T57" s="16">
        <v>421.856</v>
      </c>
      <c r="U57" s="16">
        <v>482.3407</v>
      </c>
      <c r="V57" s="16">
        <v>453.7158</v>
      </c>
      <c r="W57" s="16">
        <v>482.329</v>
      </c>
      <c r="X57" s="16">
        <v>400.1739</v>
      </c>
      <c r="Y57" s="16">
        <v>372.9145</v>
      </c>
      <c r="Z57" s="16"/>
      <c r="AA57" s="17">
        <f t="shared" si="2"/>
        <v>482.3407</v>
      </c>
      <c r="AB57" s="17">
        <f t="shared" si="0"/>
        <v>226.3325</v>
      </c>
      <c r="AC57" s="17">
        <f t="shared" si="1"/>
        <v>366.5985</v>
      </c>
    </row>
    <row r="58" spans="1:29">
      <c r="A58" s="8">
        <v>45348</v>
      </c>
      <c r="B58" s="16">
        <v>389.4019</v>
      </c>
      <c r="C58" s="16">
        <v>366.6797</v>
      </c>
      <c r="D58" s="16">
        <v>356.124</v>
      </c>
      <c r="E58" s="16">
        <v>333.7434</v>
      </c>
      <c r="F58" s="16">
        <v>326.0313</v>
      </c>
      <c r="G58" s="16">
        <v>304.1586</v>
      </c>
      <c r="H58" s="16">
        <v>358.008</v>
      </c>
      <c r="I58" s="16">
        <v>374.9508</v>
      </c>
      <c r="J58" s="16">
        <v>407.2425</v>
      </c>
      <c r="K58" s="16">
        <v>421.556</v>
      </c>
      <c r="L58" s="16">
        <v>390.7848</v>
      </c>
      <c r="M58" s="16">
        <v>351.0099</v>
      </c>
      <c r="N58" s="16">
        <v>237.0916</v>
      </c>
      <c r="O58" s="16">
        <v>219.4159</v>
      </c>
      <c r="P58" s="16">
        <v>338.0092</v>
      </c>
      <c r="Q58" s="16">
        <v>359.0314</v>
      </c>
      <c r="R58" s="16">
        <v>373.7286</v>
      </c>
      <c r="S58" s="16">
        <v>379.3646</v>
      </c>
      <c r="T58" s="16">
        <v>387.6011</v>
      </c>
      <c r="U58" s="16">
        <v>408.6191</v>
      </c>
      <c r="V58" s="16">
        <v>429.5517</v>
      </c>
      <c r="W58" s="16">
        <v>434.1244</v>
      </c>
      <c r="X58" s="16">
        <v>380.3092</v>
      </c>
      <c r="Y58" s="16">
        <v>326.6619</v>
      </c>
      <c r="Z58" s="16"/>
      <c r="AA58" s="17">
        <f t="shared" si="2"/>
        <v>434.1244</v>
      </c>
      <c r="AB58" s="17">
        <f t="shared" si="0"/>
        <v>219.4159</v>
      </c>
      <c r="AC58" s="17">
        <f t="shared" si="1"/>
        <v>360.549983333333</v>
      </c>
    </row>
    <row r="59" spans="1:29">
      <c r="A59" s="8">
        <v>45349</v>
      </c>
      <c r="B59" s="16">
        <v>326.738</v>
      </c>
      <c r="C59" s="16">
        <v>329.8156</v>
      </c>
      <c r="D59" s="16">
        <v>322.8061</v>
      </c>
      <c r="E59" s="16">
        <v>303.7231</v>
      </c>
      <c r="F59" s="16">
        <v>301.1492</v>
      </c>
      <c r="G59" s="16">
        <v>270.638</v>
      </c>
      <c r="H59" s="16">
        <v>332.1187</v>
      </c>
      <c r="I59" s="16">
        <v>384.4392</v>
      </c>
      <c r="J59" s="16">
        <v>458.8096</v>
      </c>
      <c r="K59" s="16">
        <v>433.1997</v>
      </c>
      <c r="L59" s="16">
        <v>408.8314</v>
      </c>
      <c r="M59" s="16">
        <v>370.9316</v>
      </c>
      <c r="N59" s="16">
        <v>305.5121</v>
      </c>
      <c r="O59" s="16">
        <v>353.4943</v>
      </c>
      <c r="P59" s="16">
        <v>361.7889</v>
      </c>
      <c r="Q59" s="16">
        <v>374.0038</v>
      </c>
      <c r="R59" s="16">
        <v>383.7353</v>
      </c>
      <c r="S59" s="16">
        <v>395.2211</v>
      </c>
      <c r="T59" s="16">
        <v>403.4628</v>
      </c>
      <c r="U59" s="16">
        <v>419.3588</v>
      </c>
      <c r="V59" s="16">
        <v>414.9025</v>
      </c>
      <c r="W59" s="16">
        <v>401.4315</v>
      </c>
      <c r="X59" s="16">
        <v>387.3728</v>
      </c>
      <c r="Y59" s="16">
        <v>356.4016</v>
      </c>
      <c r="Z59" s="16"/>
      <c r="AA59" s="17">
        <f t="shared" si="2"/>
        <v>458.8096</v>
      </c>
      <c r="AB59" s="17">
        <f t="shared" si="0"/>
        <v>270.638</v>
      </c>
      <c r="AC59" s="17">
        <f t="shared" si="1"/>
        <v>366.661904166667</v>
      </c>
    </row>
    <row r="60" spans="1:29">
      <c r="A60" s="8">
        <v>45350</v>
      </c>
      <c r="B60" s="16">
        <v>365.1749</v>
      </c>
      <c r="C60" s="16">
        <v>351.7466</v>
      </c>
      <c r="D60" s="16">
        <v>324.315</v>
      </c>
      <c r="E60" s="16">
        <v>313.555</v>
      </c>
      <c r="F60" s="16">
        <v>227.8225</v>
      </c>
      <c r="G60" s="16">
        <v>302.2525</v>
      </c>
      <c r="H60" s="16">
        <v>351.6899</v>
      </c>
      <c r="I60" s="16">
        <v>387.4498</v>
      </c>
      <c r="J60" s="16">
        <v>512.0725</v>
      </c>
      <c r="K60" s="16">
        <v>565.0513</v>
      </c>
      <c r="L60" s="16">
        <v>500.1263</v>
      </c>
      <c r="M60" s="16">
        <v>386.3161</v>
      </c>
      <c r="N60" s="16">
        <v>341.2919</v>
      </c>
      <c r="O60" s="16">
        <v>367.8819</v>
      </c>
      <c r="P60" s="16">
        <v>374.0105</v>
      </c>
      <c r="Q60" s="16">
        <v>386.0344</v>
      </c>
      <c r="R60" s="16">
        <v>398.7662</v>
      </c>
      <c r="S60" s="16">
        <v>391.27</v>
      </c>
      <c r="T60" s="16">
        <v>407.1485</v>
      </c>
      <c r="U60" s="16">
        <v>447.215</v>
      </c>
      <c r="V60" s="16">
        <v>433.9536</v>
      </c>
      <c r="W60" s="16">
        <v>423.5533</v>
      </c>
      <c r="X60" s="16">
        <v>385.5</v>
      </c>
      <c r="Y60" s="16">
        <v>357.5</v>
      </c>
      <c r="Z60" s="16"/>
      <c r="AA60" s="17">
        <f t="shared" si="2"/>
        <v>565.0513</v>
      </c>
      <c r="AB60" s="17">
        <f t="shared" si="0"/>
        <v>227.8225</v>
      </c>
      <c r="AC60" s="17">
        <f t="shared" si="1"/>
        <v>387.5707375</v>
      </c>
    </row>
    <row r="61" spans="1:29">
      <c r="A61" s="8">
        <v>45351</v>
      </c>
      <c r="B61" s="16">
        <v>371.7499</v>
      </c>
      <c r="C61" s="16">
        <v>364.75</v>
      </c>
      <c r="D61" s="16">
        <v>355.815</v>
      </c>
      <c r="E61" s="16">
        <v>335.065</v>
      </c>
      <c r="F61" s="16">
        <v>330.25</v>
      </c>
      <c r="G61" s="16">
        <v>343.815</v>
      </c>
      <c r="H61" s="16">
        <v>364.1699</v>
      </c>
      <c r="I61" s="16">
        <v>384.242</v>
      </c>
      <c r="J61" s="16">
        <v>400.6459</v>
      </c>
      <c r="K61" s="16">
        <v>411.6379</v>
      </c>
      <c r="L61" s="16">
        <v>408.425</v>
      </c>
      <c r="M61" s="16">
        <v>397.2066</v>
      </c>
      <c r="N61" s="16">
        <v>352.2855</v>
      </c>
      <c r="O61" s="16">
        <v>369.0715</v>
      </c>
      <c r="P61" s="16">
        <v>376.0167</v>
      </c>
      <c r="Q61" s="16">
        <v>379.1203</v>
      </c>
      <c r="R61" s="16">
        <v>386.7466</v>
      </c>
      <c r="S61" s="16">
        <v>384.7487</v>
      </c>
      <c r="T61" s="16">
        <v>382.3076</v>
      </c>
      <c r="U61" s="16">
        <v>377.5072</v>
      </c>
      <c r="V61" s="16">
        <v>397.2578</v>
      </c>
      <c r="W61" s="16">
        <v>398.4982</v>
      </c>
      <c r="X61" s="16">
        <v>353.2441</v>
      </c>
      <c r="Y61" s="16">
        <v>329.5744</v>
      </c>
      <c r="Z61" s="16"/>
      <c r="AA61" s="17">
        <f t="shared" si="2"/>
        <v>411.6379</v>
      </c>
      <c r="AB61" s="17">
        <f t="shared" si="0"/>
        <v>329.5744</v>
      </c>
      <c r="AC61" s="17">
        <f t="shared" si="1"/>
        <v>373.089616666667</v>
      </c>
    </row>
    <row r="62" spans="1:29">
      <c r="A62" s="8">
        <v>45352</v>
      </c>
      <c r="B62" s="16">
        <v>346.4985</v>
      </c>
      <c r="C62" s="16">
        <v>349.7252</v>
      </c>
      <c r="D62" s="16">
        <v>302.0507</v>
      </c>
      <c r="E62" s="16">
        <v>147.9625</v>
      </c>
      <c r="F62" s="16">
        <v>285.3935</v>
      </c>
      <c r="G62" s="16">
        <v>174.8925</v>
      </c>
      <c r="H62" s="16">
        <v>340.5652</v>
      </c>
      <c r="I62" s="16">
        <v>381.3696</v>
      </c>
      <c r="J62" s="16">
        <v>391.8476</v>
      </c>
      <c r="K62" s="16">
        <v>403.0623</v>
      </c>
      <c r="L62" s="16">
        <v>410.5214</v>
      </c>
      <c r="M62" s="16">
        <v>395.9529</v>
      </c>
      <c r="N62" s="16">
        <v>264.8142</v>
      </c>
      <c r="O62" s="16">
        <v>369.5066</v>
      </c>
      <c r="P62" s="16">
        <v>386.8359</v>
      </c>
      <c r="Q62" s="16">
        <v>377.707</v>
      </c>
      <c r="R62" s="16">
        <v>386.7589</v>
      </c>
      <c r="S62" s="16">
        <v>400.9615</v>
      </c>
      <c r="T62" s="16">
        <v>382.7169</v>
      </c>
      <c r="U62" s="16">
        <v>410.9882</v>
      </c>
      <c r="V62" s="16">
        <v>424.8054</v>
      </c>
      <c r="W62" s="16">
        <v>409.7285</v>
      </c>
      <c r="X62" s="16">
        <v>391.5495</v>
      </c>
      <c r="Y62" s="16">
        <v>366.6551</v>
      </c>
      <c r="Z62" s="16"/>
      <c r="AA62" s="17">
        <f t="shared" si="2"/>
        <v>424.8054</v>
      </c>
      <c r="AB62" s="17">
        <f t="shared" si="0"/>
        <v>147.9625</v>
      </c>
      <c r="AC62" s="17">
        <f t="shared" si="1"/>
        <v>354.286233333333</v>
      </c>
    </row>
    <row r="63" spans="1:29">
      <c r="A63" s="8">
        <v>45353</v>
      </c>
      <c r="B63" s="16">
        <v>387.3391</v>
      </c>
      <c r="C63" s="16">
        <v>362.7823</v>
      </c>
      <c r="D63" s="16">
        <v>345.0907</v>
      </c>
      <c r="E63" s="16">
        <v>238.716</v>
      </c>
      <c r="F63" s="16">
        <v>178.3725</v>
      </c>
      <c r="G63" s="16">
        <v>225.0103</v>
      </c>
      <c r="H63" s="16">
        <v>320.9708</v>
      </c>
      <c r="I63" s="16">
        <v>364.8639</v>
      </c>
      <c r="J63" s="16">
        <v>406.0555</v>
      </c>
      <c r="K63" s="16">
        <v>436.0091</v>
      </c>
      <c r="L63" s="16">
        <v>440.4705</v>
      </c>
      <c r="M63" s="16">
        <v>397.0108</v>
      </c>
      <c r="N63" s="16">
        <v>342.8346</v>
      </c>
      <c r="O63" s="16">
        <v>359.9353</v>
      </c>
      <c r="P63" s="16">
        <v>375.116</v>
      </c>
      <c r="Q63" s="16">
        <v>394.717</v>
      </c>
      <c r="R63" s="16">
        <v>425.2484</v>
      </c>
      <c r="S63" s="16">
        <v>433.8726</v>
      </c>
      <c r="T63" s="16">
        <v>428.2602</v>
      </c>
      <c r="U63" s="16">
        <v>448.8968</v>
      </c>
      <c r="V63" s="16">
        <v>429.4549</v>
      </c>
      <c r="W63" s="16">
        <v>430.7197</v>
      </c>
      <c r="X63" s="16">
        <v>404.8854</v>
      </c>
      <c r="Y63" s="16">
        <v>382.3566</v>
      </c>
      <c r="Z63" s="16"/>
      <c r="AA63" s="17">
        <f t="shared" si="2"/>
        <v>448.8968</v>
      </c>
      <c r="AB63" s="17">
        <f t="shared" si="0"/>
        <v>178.3725</v>
      </c>
      <c r="AC63" s="17">
        <f t="shared" si="1"/>
        <v>373.291208333333</v>
      </c>
    </row>
    <row r="64" spans="1:29">
      <c r="A64" s="8">
        <v>45354</v>
      </c>
      <c r="B64" s="16">
        <v>420.0148</v>
      </c>
      <c r="C64" s="16">
        <v>398.4413</v>
      </c>
      <c r="D64" s="16">
        <v>372.5</v>
      </c>
      <c r="E64" s="16">
        <v>353.75</v>
      </c>
      <c r="F64" s="16">
        <v>340.5</v>
      </c>
      <c r="G64" s="16">
        <v>320.0275</v>
      </c>
      <c r="H64" s="16">
        <v>335.8875</v>
      </c>
      <c r="I64" s="16">
        <v>358.2053</v>
      </c>
      <c r="J64" s="16">
        <v>371.7283</v>
      </c>
      <c r="K64" s="16">
        <v>378.3659</v>
      </c>
      <c r="L64" s="16">
        <v>370.0476</v>
      </c>
      <c r="M64" s="16">
        <v>343.146</v>
      </c>
      <c r="N64" s="16">
        <v>213.6925</v>
      </c>
      <c r="O64" s="16">
        <v>230.7247</v>
      </c>
      <c r="P64" s="16">
        <v>315.8475</v>
      </c>
      <c r="Q64" s="16">
        <v>339.9127</v>
      </c>
      <c r="R64" s="16">
        <v>374.8291</v>
      </c>
      <c r="S64" s="16">
        <v>383.4315</v>
      </c>
      <c r="T64" s="16">
        <v>370.1559</v>
      </c>
      <c r="U64" s="16">
        <v>347.7079</v>
      </c>
      <c r="V64" s="16">
        <v>356.9205</v>
      </c>
      <c r="W64" s="16">
        <v>347.4978</v>
      </c>
      <c r="X64" s="16">
        <v>354.1593</v>
      </c>
      <c r="Y64" s="16">
        <v>111.287</v>
      </c>
      <c r="Z64" s="16"/>
      <c r="AA64" s="17">
        <f t="shared" si="2"/>
        <v>420.0148</v>
      </c>
      <c r="AB64" s="17">
        <f t="shared" si="0"/>
        <v>111.287</v>
      </c>
      <c r="AC64" s="17">
        <f t="shared" si="1"/>
        <v>337.865858333333</v>
      </c>
    </row>
    <row r="65" spans="1:29">
      <c r="A65" s="8">
        <v>45355</v>
      </c>
      <c r="B65" s="16">
        <v>178.0328</v>
      </c>
      <c r="C65" s="16">
        <v>318.7052</v>
      </c>
      <c r="D65" s="16">
        <v>309.6528</v>
      </c>
      <c r="E65" s="16">
        <v>260.2947</v>
      </c>
      <c r="F65" s="16">
        <v>97.0516</v>
      </c>
      <c r="G65" s="16">
        <v>388.7676</v>
      </c>
      <c r="H65" s="16">
        <v>205.9311</v>
      </c>
      <c r="I65" s="16">
        <v>367.4533</v>
      </c>
      <c r="J65" s="16">
        <v>390.4357</v>
      </c>
      <c r="K65" s="16">
        <v>417.9369</v>
      </c>
      <c r="L65" s="16">
        <v>386.8205</v>
      </c>
      <c r="M65" s="16">
        <v>361.5394</v>
      </c>
      <c r="N65" s="16">
        <v>198.131</v>
      </c>
      <c r="O65" s="16">
        <v>286.0136</v>
      </c>
      <c r="P65" s="16">
        <v>351.3637</v>
      </c>
      <c r="Q65" s="16">
        <v>372.5346</v>
      </c>
      <c r="R65" s="16">
        <v>381.5605</v>
      </c>
      <c r="S65" s="16">
        <v>395.4008</v>
      </c>
      <c r="T65" s="16">
        <v>386.3408</v>
      </c>
      <c r="U65" s="16">
        <v>400.0955</v>
      </c>
      <c r="V65" s="16">
        <v>386.02</v>
      </c>
      <c r="W65" s="16">
        <v>377.2818</v>
      </c>
      <c r="X65" s="16">
        <v>358.9006</v>
      </c>
      <c r="Y65" s="16">
        <v>283.4991</v>
      </c>
      <c r="Z65" s="16"/>
      <c r="AA65" s="17">
        <f t="shared" si="2"/>
        <v>417.9369</v>
      </c>
      <c r="AB65" s="17">
        <f t="shared" si="0"/>
        <v>97.0516</v>
      </c>
      <c r="AC65" s="17">
        <f t="shared" si="1"/>
        <v>327.49015</v>
      </c>
    </row>
    <row r="66" spans="1:29">
      <c r="A66" s="8">
        <v>45356</v>
      </c>
      <c r="B66" s="16">
        <v>353.2634</v>
      </c>
      <c r="C66" s="16">
        <v>328.9027</v>
      </c>
      <c r="D66" s="16">
        <v>277.87</v>
      </c>
      <c r="E66" s="16">
        <v>303.4645</v>
      </c>
      <c r="F66" s="16">
        <v>243.0807</v>
      </c>
      <c r="G66" s="16">
        <v>316.8346</v>
      </c>
      <c r="H66" s="16">
        <v>350.3843</v>
      </c>
      <c r="I66" s="16">
        <v>391.671</v>
      </c>
      <c r="J66" s="16">
        <v>410.3394</v>
      </c>
      <c r="K66" s="16">
        <v>512.0301</v>
      </c>
      <c r="L66" s="16">
        <v>399.3387</v>
      </c>
      <c r="M66" s="16">
        <v>386.4089</v>
      </c>
      <c r="N66" s="16">
        <v>247.4591</v>
      </c>
      <c r="O66" s="16">
        <v>419.5349</v>
      </c>
      <c r="P66" s="16">
        <v>350.6322</v>
      </c>
      <c r="Q66" s="16">
        <v>379.1051</v>
      </c>
      <c r="R66" s="16">
        <v>410.7179</v>
      </c>
      <c r="S66" s="16">
        <v>409.5403</v>
      </c>
      <c r="T66" s="16">
        <v>411.2673</v>
      </c>
      <c r="U66" s="16">
        <v>415.9973</v>
      </c>
      <c r="V66" s="16">
        <v>420.4247</v>
      </c>
      <c r="W66" s="16">
        <v>401.6875</v>
      </c>
      <c r="X66" s="16">
        <v>382.4418</v>
      </c>
      <c r="Y66" s="16">
        <v>365.2887</v>
      </c>
      <c r="Z66" s="16"/>
      <c r="AA66" s="17">
        <f t="shared" ref="AA66:AA129" si="3">MAX($B66:$Y66)</f>
        <v>512.0301</v>
      </c>
      <c r="AB66" s="17">
        <f t="shared" ref="AB66:AB129" si="4">MIN($B66:$Y66)</f>
        <v>243.0807</v>
      </c>
      <c r="AC66" s="17">
        <f t="shared" ref="AC66:AC129" si="5">AVERAGE($B66:$Y66)</f>
        <v>370.3202125</v>
      </c>
    </row>
    <row r="67" spans="1:29">
      <c r="A67" s="8">
        <v>45357</v>
      </c>
      <c r="B67" s="16">
        <v>389.546</v>
      </c>
      <c r="C67" s="16">
        <v>379.8926</v>
      </c>
      <c r="D67" s="16">
        <v>364.4395</v>
      </c>
      <c r="E67" s="16">
        <v>361.3006</v>
      </c>
      <c r="F67" s="16">
        <v>356.8505</v>
      </c>
      <c r="G67" s="16">
        <v>354.75</v>
      </c>
      <c r="H67" s="16">
        <v>375.4247</v>
      </c>
      <c r="I67" s="16">
        <v>404.8311</v>
      </c>
      <c r="J67" s="16">
        <v>417.5102</v>
      </c>
      <c r="K67" s="16">
        <v>407.098</v>
      </c>
      <c r="L67" s="16">
        <v>383.618</v>
      </c>
      <c r="M67" s="16">
        <v>370.5749</v>
      </c>
      <c r="N67" s="16">
        <v>313.5436</v>
      </c>
      <c r="O67" s="16">
        <v>335.2737</v>
      </c>
      <c r="P67" s="16">
        <v>350.3004</v>
      </c>
      <c r="Q67" s="16">
        <v>345.2969</v>
      </c>
      <c r="R67" s="16">
        <v>370.1139</v>
      </c>
      <c r="S67" s="16">
        <v>364.6301</v>
      </c>
      <c r="T67" s="16">
        <v>364.3758</v>
      </c>
      <c r="U67" s="16">
        <v>360.7568</v>
      </c>
      <c r="V67" s="16">
        <v>357.242</v>
      </c>
      <c r="W67" s="16">
        <v>345.166</v>
      </c>
      <c r="X67" s="16">
        <v>315.4643</v>
      </c>
      <c r="Y67" s="16">
        <v>233.8059</v>
      </c>
      <c r="Z67" s="16"/>
      <c r="AA67" s="17">
        <f t="shared" si="3"/>
        <v>417.5102</v>
      </c>
      <c r="AB67" s="17">
        <f t="shared" si="4"/>
        <v>233.8059</v>
      </c>
      <c r="AC67" s="17">
        <f t="shared" si="5"/>
        <v>359.241895833333</v>
      </c>
    </row>
    <row r="68" spans="1:29">
      <c r="A68" s="8">
        <v>45358</v>
      </c>
      <c r="B68" s="16">
        <v>292.2133</v>
      </c>
      <c r="C68" s="16">
        <v>323.8019</v>
      </c>
      <c r="D68" s="16">
        <v>289.6822</v>
      </c>
      <c r="E68" s="16">
        <v>273.3823</v>
      </c>
      <c r="F68" s="16">
        <v>162.764</v>
      </c>
      <c r="G68" s="16">
        <v>151.6528</v>
      </c>
      <c r="H68" s="16">
        <v>322.5761</v>
      </c>
      <c r="I68" s="16">
        <v>363.7657</v>
      </c>
      <c r="J68" s="16">
        <v>389.6325</v>
      </c>
      <c r="K68" s="16">
        <v>393.4965</v>
      </c>
      <c r="L68" s="16">
        <v>356.0729</v>
      </c>
      <c r="M68" s="16">
        <v>348.6077</v>
      </c>
      <c r="N68" s="16">
        <v>235.2453</v>
      </c>
      <c r="O68" s="16">
        <v>330.1811</v>
      </c>
      <c r="P68" s="16">
        <v>359.3637</v>
      </c>
      <c r="Q68" s="16">
        <v>371.539</v>
      </c>
      <c r="R68" s="16">
        <v>385.6823</v>
      </c>
      <c r="S68" s="16">
        <v>379.594</v>
      </c>
      <c r="T68" s="16">
        <v>383.6654</v>
      </c>
      <c r="U68" s="16">
        <v>388.2703</v>
      </c>
      <c r="V68" s="16">
        <v>387.4674</v>
      </c>
      <c r="W68" s="16">
        <v>382.1338</v>
      </c>
      <c r="X68" s="16">
        <v>353.3559</v>
      </c>
      <c r="Y68" s="16">
        <v>238.5074</v>
      </c>
      <c r="Z68" s="16"/>
      <c r="AA68" s="17">
        <f t="shared" si="3"/>
        <v>393.4965</v>
      </c>
      <c r="AB68" s="17">
        <f t="shared" si="4"/>
        <v>151.6528</v>
      </c>
      <c r="AC68" s="17">
        <f t="shared" si="5"/>
        <v>327.6105625</v>
      </c>
    </row>
    <row r="69" spans="1:29">
      <c r="A69" s="8">
        <v>45359</v>
      </c>
      <c r="B69" s="16">
        <v>340.7511</v>
      </c>
      <c r="C69" s="16">
        <v>344.3638</v>
      </c>
      <c r="D69" s="16">
        <v>317.5131</v>
      </c>
      <c r="E69" s="16">
        <v>280.9654</v>
      </c>
      <c r="F69" s="16">
        <v>291.7683</v>
      </c>
      <c r="G69" s="16">
        <v>304.9885</v>
      </c>
      <c r="H69" s="16">
        <v>335.7924</v>
      </c>
      <c r="I69" s="16">
        <v>359.8029</v>
      </c>
      <c r="J69" s="16">
        <v>381.9675</v>
      </c>
      <c r="K69" s="16">
        <v>364.7976</v>
      </c>
      <c r="L69" s="16">
        <v>312.0414</v>
      </c>
      <c r="M69" s="16">
        <v>310.3801</v>
      </c>
      <c r="N69" s="16">
        <v>101.5775</v>
      </c>
      <c r="O69" s="16">
        <v>156.2764</v>
      </c>
      <c r="P69" s="16">
        <v>317.4188</v>
      </c>
      <c r="Q69" s="16">
        <v>324.8494</v>
      </c>
      <c r="R69" s="16">
        <v>346.2943</v>
      </c>
      <c r="S69" s="16">
        <v>349.5905</v>
      </c>
      <c r="T69" s="16">
        <v>351.5163</v>
      </c>
      <c r="U69" s="16">
        <v>367.4825</v>
      </c>
      <c r="V69" s="16">
        <v>365.4358</v>
      </c>
      <c r="W69" s="16">
        <v>354.894</v>
      </c>
      <c r="X69" s="16">
        <v>347.7866</v>
      </c>
      <c r="Y69" s="16">
        <v>329.2656</v>
      </c>
      <c r="Z69" s="16"/>
      <c r="AA69" s="17">
        <f t="shared" si="3"/>
        <v>381.9675</v>
      </c>
      <c r="AB69" s="17">
        <f t="shared" si="4"/>
        <v>101.5775</v>
      </c>
      <c r="AC69" s="17">
        <f t="shared" si="5"/>
        <v>319.063325</v>
      </c>
    </row>
    <row r="70" spans="1:29">
      <c r="A70" s="8">
        <v>45360</v>
      </c>
      <c r="B70" s="16">
        <v>370.1291</v>
      </c>
      <c r="C70" s="16">
        <v>364.3487</v>
      </c>
      <c r="D70" s="16">
        <v>353.0557</v>
      </c>
      <c r="E70" s="16">
        <v>341.7398</v>
      </c>
      <c r="F70" s="16">
        <v>331.8466</v>
      </c>
      <c r="G70" s="16">
        <v>332.436</v>
      </c>
      <c r="H70" s="16">
        <v>348.3703</v>
      </c>
      <c r="I70" s="16">
        <v>371.2733</v>
      </c>
      <c r="J70" s="16">
        <v>391.3268</v>
      </c>
      <c r="K70" s="16">
        <v>397.1384</v>
      </c>
      <c r="L70" s="16">
        <v>393.6957</v>
      </c>
      <c r="M70" s="16">
        <v>389.9106</v>
      </c>
      <c r="N70" s="16">
        <v>265.569</v>
      </c>
      <c r="O70" s="16">
        <v>370.6558</v>
      </c>
      <c r="P70" s="16">
        <v>389.719</v>
      </c>
      <c r="Q70" s="16">
        <v>381.2406</v>
      </c>
      <c r="R70" s="16">
        <v>393.0977</v>
      </c>
      <c r="S70" s="16">
        <v>397.6097</v>
      </c>
      <c r="T70" s="16">
        <v>370.0473</v>
      </c>
      <c r="U70" s="16">
        <v>362.4049</v>
      </c>
      <c r="V70" s="16">
        <v>350.2393</v>
      </c>
      <c r="W70" s="16">
        <v>352.8639</v>
      </c>
      <c r="X70" s="16">
        <v>354.1267</v>
      </c>
      <c r="Y70" s="16">
        <v>337.2496</v>
      </c>
      <c r="Z70" s="16"/>
      <c r="AA70" s="17">
        <f t="shared" si="3"/>
        <v>397.6097</v>
      </c>
      <c r="AB70" s="17">
        <f t="shared" si="4"/>
        <v>265.569</v>
      </c>
      <c r="AC70" s="17">
        <f t="shared" si="5"/>
        <v>362.920604166667</v>
      </c>
    </row>
    <row r="71" spans="1:29">
      <c r="A71" s="8">
        <v>45361</v>
      </c>
      <c r="B71" s="16">
        <v>355.0148</v>
      </c>
      <c r="C71" s="16">
        <v>343.6753</v>
      </c>
      <c r="D71" s="16">
        <v>329.0495</v>
      </c>
      <c r="E71" s="16">
        <v>273.4298</v>
      </c>
      <c r="F71" s="16">
        <v>203.5762</v>
      </c>
      <c r="G71" s="16">
        <v>241.3365</v>
      </c>
      <c r="H71" s="16">
        <v>315.8873</v>
      </c>
      <c r="I71" s="16">
        <v>333.6103</v>
      </c>
      <c r="J71" s="16">
        <v>354.3166</v>
      </c>
      <c r="K71" s="16">
        <v>362.7083</v>
      </c>
      <c r="L71" s="16">
        <v>371.7118</v>
      </c>
      <c r="M71" s="16">
        <v>361.1713</v>
      </c>
      <c r="N71" s="16">
        <v>190.3777</v>
      </c>
      <c r="O71" s="16">
        <v>325.7863</v>
      </c>
      <c r="P71" s="16">
        <v>331.2162</v>
      </c>
      <c r="Q71" s="16">
        <v>352.1806</v>
      </c>
      <c r="R71" s="16">
        <v>370.86</v>
      </c>
      <c r="S71" s="16">
        <v>362.9155</v>
      </c>
      <c r="T71" s="16">
        <v>358.8217</v>
      </c>
      <c r="U71" s="16">
        <v>369.939</v>
      </c>
      <c r="V71" s="16">
        <v>371.0512</v>
      </c>
      <c r="W71" s="16">
        <v>362.0152</v>
      </c>
      <c r="X71" s="16">
        <v>344.9905</v>
      </c>
      <c r="Y71" s="16">
        <v>318.204</v>
      </c>
      <c r="Z71" s="16"/>
      <c r="AA71" s="17">
        <f t="shared" si="3"/>
        <v>371.7118</v>
      </c>
      <c r="AB71" s="17">
        <f t="shared" si="4"/>
        <v>190.3777</v>
      </c>
      <c r="AC71" s="17">
        <f t="shared" si="5"/>
        <v>329.3269</v>
      </c>
    </row>
    <row r="72" spans="1:29">
      <c r="A72" s="8">
        <v>45362</v>
      </c>
      <c r="B72" s="16">
        <v>337.4376</v>
      </c>
      <c r="C72" s="16">
        <v>344.6122</v>
      </c>
      <c r="D72" s="16">
        <v>320.8187</v>
      </c>
      <c r="E72" s="16">
        <v>308.8305</v>
      </c>
      <c r="F72" s="16">
        <v>305.9121</v>
      </c>
      <c r="G72" s="16">
        <v>315.2197</v>
      </c>
      <c r="H72" s="16">
        <v>354.4887</v>
      </c>
      <c r="I72" s="16">
        <v>375.6505</v>
      </c>
      <c r="J72" s="16">
        <v>393.6855</v>
      </c>
      <c r="K72" s="16">
        <v>395.9984</v>
      </c>
      <c r="L72" s="16">
        <v>383.143</v>
      </c>
      <c r="M72" s="16">
        <v>371.0221</v>
      </c>
      <c r="N72" s="16">
        <v>317.0926</v>
      </c>
      <c r="O72" s="16">
        <v>337.2535</v>
      </c>
      <c r="P72" s="16">
        <v>336.5939</v>
      </c>
      <c r="Q72" s="16">
        <v>354.8786</v>
      </c>
      <c r="R72" s="16">
        <v>361.7077</v>
      </c>
      <c r="S72" s="16">
        <v>346.1918</v>
      </c>
      <c r="T72" s="16">
        <v>357.6754</v>
      </c>
      <c r="U72" s="16">
        <v>378.504</v>
      </c>
      <c r="V72" s="16">
        <v>382.7367</v>
      </c>
      <c r="W72" s="16">
        <v>388.9975</v>
      </c>
      <c r="X72" s="16">
        <v>380.7941</v>
      </c>
      <c r="Y72" s="16">
        <v>359.788</v>
      </c>
      <c r="Z72" s="16"/>
      <c r="AA72" s="17">
        <f t="shared" si="3"/>
        <v>395.9984</v>
      </c>
      <c r="AB72" s="17">
        <f t="shared" si="4"/>
        <v>305.9121</v>
      </c>
      <c r="AC72" s="17">
        <f t="shared" si="5"/>
        <v>354.543033333333</v>
      </c>
    </row>
    <row r="73" spans="1:29">
      <c r="A73" s="8">
        <v>45363</v>
      </c>
      <c r="B73" s="16">
        <v>371.5679</v>
      </c>
      <c r="C73" s="16">
        <v>364.3055</v>
      </c>
      <c r="D73" s="16">
        <v>348.9315</v>
      </c>
      <c r="E73" s="16">
        <v>340.2967</v>
      </c>
      <c r="F73" s="16">
        <v>347.0139</v>
      </c>
      <c r="G73" s="16">
        <v>341.75</v>
      </c>
      <c r="H73" s="16">
        <v>355.9044</v>
      </c>
      <c r="I73" s="16">
        <v>375.8924</v>
      </c>
      <c r="J73" s="16">
        <v>382.0357</v>
      </c>
      <c r="K73" s="16">
        <v>366.1028</v>
      </c>
      <c r="L73" s="16">
        <v>347.1511</v>
      </c>
      <c r="M73" s="16">
        <v>331.0929</v>
      </c>
      <c r="N73" s="16">
        <v>12.2274</v>
      </c>
      <c r="O73" s="16">
        <v>224.8803</v>
      </c>
      <c r="P73" s="16">
        <v>191.4173</v>
      </c>
      <c r="Q73" s="16">
        <v>331.9092</v>
      </c>
      <c r="R73" s="16">
        <v>357.5548</v>
      </c>
      <c r="S73" s="16">
        <v>358.2351</v>
      </c>
      <c r="T73" s="16">
        <v>391.4975</v>
      </c>
      <c r="U73" s="16">
        <v>388.35</v>
      </c>
      <c r="V73" s="16">
        <v>380.6999</v>
      </c>
      <c r="W73" s="16">
        <v>371.4035</v>
      </c>
      <c r="X73" s="16">
        <v>358.1468</v>
      </c>
      <c r="Y73" s="16">
        <v>348</v>
      </c>
      <c r="Z73" s="16"/>
      <c r="AA73" s="17">
        <f t="shared" si="3"/>
        <v>391.4975</v>
      </c>
      <c r="AB73" s="17">
        <f t="shared" si="4"/>
        <v>12.2274</v>
      </c>
      <c r="AC73" s="17">
        <f t="shared" si="5"/>
        <v>332.765275</v>
      </c>
    </row>
    <row r="74" spans="1:29">
      <c r="A74" s="8">
        <v>45364</v>
      </c>
      <c r="B74" s="16">
        <v>349.4051</v>
      </c>
      <c r="C74" s="16">
        <v>339.9627</v>
      </c>
      <c r="D74" s="16">
        <v>326.6806</v>
      </c>
      <c r="E74" s="16">
        <v>324.9103</v>
      </c>
      <c r="F74" s="16">
        <v>303.8113</v>
      </c>
      <c r="G74" s="16">
        <v>302.6014</v>
      </c>
      <c r="H74" s="16">
        <v>332.8295</v>
      </c>
      <c r="I74" s="16">
        <v>341.9517</v>
      </c>
      <c r="J74" s="16">
        <v>373.8016</v>
      </c>
      <c r="K74" s="16">
        <v>374.6871</v>
      </c>
      <c r="L74" s="16">
        <v>357.0174</v>
      </c>
      <c r="M74" s="16">
        <v>324.2384</v>
      </c>
      <c r="N74" s="16">
        <v>184.4892</v>
      </c>
      <c r="O74" s="16">
        <v>328.7431</v>
      </c>
      <c r="P74" s="16">
        <v>355.0332</v>
      </c>
      <c r="Q74" s="16">
        <v>369.3888</v>
      </c>
      <c r="R74" s="16">
        <v>391.6863</v>
      </c>
      <c r="S74" s="16">
        <v>374.2464</v>
      </c>
      <c r="T74" s="16">
        <v>403.7917</v>
      </c>
      <c r="U74" s="16">
        <v>410.5052</v>
      </c>
      <c r="V74" s="16">
        <v>389.5803</v>
      </c>
      <c r="W74" s="16">
        <v>380.4305</v>
      </c>
      <c r="X74" s="16">
        <v>349.684</v>
      </c>
      <c r="Y74" s="16">
        <v>324.5771</v>
      </c>
      <c r="Z74" s="16"/>
      <c r="AA74" s="17">
        <f t="shared" si="3"/>
        <v>410.5052</v>
      </c>
      <c r="AB74" s="17">
        <f t="shared" si="4"/>
        <v>184.4892</v>
      </c>
      <c r="AC74" s="17">
        <f t="shared" si="5"/>
        <v>346.418870833333</v>
      </c>
    </row>
    <row r="75" spans="1:29">
      <c r="A75" s="8">
        <v>45365</v>
      </c>
      <c r="B75" s="16">
        <v>342.6518</v>
      </c>
      <c r="C75" s="16">
        <v>338.5918</v>
      </c>
      <c r="D75" s="16">
        <v>326.2225</v>
      </c>
      <c r="E75" s="16">
        <v>316.8136</v>
      </c>
      <c r="F75" s="16">
        <v>305.2138</v>
      </c>
      <c r="G75" s="16">
        <v>321.7915</v>
      </c>
      <c r="H75" s="16">
        <v>340.1912</v>
      </c>
      <c r="I75" s="16">
        <v>369.9895</v>
      </c>
      <c r="J75" s="16">
        <v>428.9945</v>
      </c>
      <c r="K75" s="16">
        <v>542.2878</v>
      </c>
      <c r="L75" s="16">
        <v>410.0173</v>
      </c>
      <c r="M75" s="16">
        <v>375.7369</v>
      </c>
      <c r="N75" s="16">
        <v>247.1635</v>
      </c>
      <c r="O75" s="16">
        <v>342.6603</v>
      </c>
      <c r="P75" s="16">
        <v>364.3251</v>
      </c>
      <c r="Q75" s="16">
        <v>416.7338</v>
      </c>
      <c r="R75" s="16">
        <v>637.7547</v>
      </c>
      <c r="S75" s="16">
        <v>464.6623</v>
      </c>
      <c r="T75" s="16">
        <v>384.5925</v>
      </c>
      <c r="U75" s="16">
        <v>382.1603</v>
      </c>
      <c r="V75" s="16">
        <v>381.4416</v>
      </c>
      <c r="W75" s="16">
        <v>378.5871</v>
      </c>
      <c r="X75" s="16">
        <v>361.5623</v>
      </c>
      <c r="Y75" s="16">
        <v>341.4614</v>
      </c>
      <c r="Z75" s="16"/>
      <c r="AA75" s="17">
        <f t="shared" si="3"/>
        <v>637.7547</v>
      </c>
      <c r="AB75" s="17">
        <f t="shared" si="4"/>
        <v>247.1635</v>
      </c>
      <c r="AC75" s="17">
        <f t="shared" si="5"/>
        <v>380.0669625</v>
      </c>
    </row>
    <row r="76" spans="1:29">
      <c r="A76" s="8">
        <v>45366</v>
      </c>
      <c r="B76" s="16">
        <v>361.621</v>
      </c>
      <c r="C76" s="16">
        <v>350.756</v>
      </c>
      <c r="D76" s="16">
        <v>336.1831</v>
      </c>
      <c r="E76" s="16">
        <v>336.4838</v>
      </c>
      <c r="F76" s="16">
        <v>318.733</v>
      </c>
      <c r="G76" s="16">
        <v>330.3442</v>
      </c>
      <c r="H76" s="16">
        <v>344.2438</v>
      </c>
      <c r="I76" s="16">
        <v>367.428</v>
      </c>
      <c r="J76" s="16">
        <v>373.9244</v>
      </c>
      <c r="K76" s="16">
        <v>383.0345</v>
      </c>
      <c r="L76" s="16">
        <v>369.0896</v>
      </c>
      <c r="M76" s="16">
        <v>346.6441</v>
      </c>
      <c r="N76" s="16">
        <v>209.3902</v>
      </c>
      <c r="O76" s="16">
        <v>241.3227</v>
      </c>
      <c r="P76" s="16">
        <v>347.6498</v>
      </c>
      <c r="Q76" s="16">
        <v>344.9772</v>
      </c>
      <c r="R76" s="16">
        <v>364.045</v>
      </c>
      <c r="S76" s="16">
        <v>367.1542</v>
      </c>
      <c r="T76" s="16">
        <v>366.5276</v>
      </c>
      <c r="U76" s="16">
        <v>365.3965</v>
      </c>
      <c r="V76" s="16">
        <v>353.7121</v>
      </c>
      <c r="W76" s="16">
        <v>343.5202</v>
      </c>
      <c r="X76" s="16">
        <v>345.7939</v>
      </c>
      <c r="Y76" s="16">
        <v>340.4768</v>
      </c>
      <c r="Z76" s="16"/>
      <c r="AA76" s="17">
        <f t="shared" si="3"/>
        <v>383.0345</v>
      </c>
      <c r="AB76" s="17">
        <f t="shared" si="4"/>
        <v>209.3902</v>
      </c>
      <c r="AC76" s="17">
        <f t="shared" si="5"/>
        <v>342.018820833333</v>
      </c>
    </row>
    <row r="77" spans="1:29">
      <c r="A77" s="8">
        <v>45367</v>
      </c>
      <c r="B77" s="16">
        <v>346.4115</v>
      </c>
      <c r="C77" s="16">
        <v>338.7106</v>
      </c>
      <c r="D77" s="16">
        <v>339.2991</v>
      </c>
      <c r="E77" s="16">
        <v>324.4703</v>
      </c>
      <c r="F77" s="16">
        <v>305.1605</v>
      </c>
      <c r="G77" s="16">
        <v>300.9166</v>
      </c>
      <c r="H77" s="16">
        <v>319.9917</v>
      </c>
      <c r="I77" s="16">
        <v>340.6145</v>
      </c>
      <c r="J77" s="16">
        <v>352.9147</v>
      </c>
      <c r="K77" s="16">
        <v>368.6037</v>
      </c>
      <c r="L77" s="16">
        <v>359.7903</v>
      </c>
      <c r="M77" s="16">
        <v>333.5927</v>
      </c>
      <c r="N77" s="16">
        <v>221.5513</v>
      </c>
      <c r="O77" s="16">
        <v>320.1565</v>
      </c>
      <c r="P77" s="16">
        <v>342.8312</v>
      </c>
      <c r="Q77" s="16">
        <v>342.7601</v>
      </c>
      <c r="R77" s="16">
        <v>362.9458</v>
      </c>
      <c r="S77" s="16">
        <v>363.1623</v>
      </c>
      <c r="T77" s="16">
        <v>367.2307</v>
      </c>
      <c r="U77" s="16">
        <v>368.939</v>
      </c>
      <c r="V77" s="16">
        <v>362.1492</v>
      </c>
      <c r="W77" s="16">
        <v>362.5431</v>
      </c>
      <c r="X77" s="16">
        <v>367.9209</v>
      </c>
      <c r="Y77" s="16">
        <v>351.2658</v>
      </c>
      <c r="Z77" s="16"/>
      <c r="AA77" s="17">
        <f t="shared" si="3"/>
        <v>368.939</v>
      </c>
      <c r="AB77" s="17">
        <f t="shared" si="4"/>
        <v>221.5513</v>
      </c>
      <c r="AC77" s="17">
        <f t="shared" si="5"/>
        <v>340.1638375</v>
      </c>
    </row>
    <row r="78" spans="1:29">
      <c r="A78" s="8">
        <v>45368</v>
      </c>
      <c r="B78" s="16">
        <v>422.9248</v>
      </c>
      <c r="C78" s="16">
        <v>347.9965</v>
      </c>
      <c r="D78" s="16">
        <v>334.7661</v>
      </c>
      <c r="E78" s="16">
        <v>337.09</v>
      </c>
      <c r="F78" s="16">
        <v>338.7615</v>
      </c>
      <c r="G78" s="16">
        <v>339.9201</v>
      </c>
      <c r="H78" s="16">
        <v>346.7567</v>
      </c>
      <c r="I78" s="16">
        <v>356.346</v>
      </c>
      <c r="J78" s="16">
        <v>342.6287</v>
      </c>
      <c r="K78" s="16">
        <v>347.7091</v>
      </c>
      <c r="L78" s="16">
        <v>335.6978</v>
      </c>
      <c r="M78" s="16">
        <v>329.2189</v>
      </c>
      <c r="N78" s="16">
        <v>12.4169</v>
      </c>
      <c r="O78" s="16">
        <v>85.9932</v>
      </c>
      <c r="P78" s="16">
        <v>302.8916</v>
      </c>
      <c r="Q78" s="16">
        <v>324.3354</v>
      </c>
      <c r="R78" s="16">
        <v>339.2974</v>
      </c>
      <c r="S78" s="16">
        <v>354.9473</v>
      </c>
      <c r="T78" s="16">
        <v>361.2801</v>
      </c>
      <c r="U78" s="16">
        <v>366.9557</v>
      </c>
      <c r="V78" s="16">
        <v>406.403</v>
      </c>
      <c r="W78" s="16">
        <v>387.5762</v>
      </c>
      <c r="X78" s="16">
        <v>375.8338</v>
      </c>
      <c r="Y78" s="16">
        <v>354.899</v>
      </c>
      <c r="Z78" s="16"/>
      <c r="AA78" s="17">
        <f t="shared" si="3"/>
        <v>422.9248</v>
      </c>
      <c r="AB78" s="17">
        <f t="shared" si="4"/>
        <v>12.4169</v>
      </c>
      <c r="AC78" s="17">
        <f t="shared" si="5"/>
        <v>327.193575</v>
      </c>
    </row>
    <row r="79" spans="1:29">
      <c r="A79" s="8">
        <v>45369</v>
      </c>
      <c r="B79" s="16">
        <v>365.0341</v>
      </c>
      <c r="C79" s="16">
        <v>357.8321</v>
      </c>
      <c r="D79" s="16">
        <v>342.0743</v>
      </c>
      <c r="E79" s="16">
        <v>336.445</v>
      </c>
      <c r="F79" s="16">
        <v>325.5313</v>
      </c>
      <c r="G79" s="16">
        <v>318.5215</v>
      </c>
      <c r="H79" s="16">
        <v>343.8899</v>
      </c>
      <c r="I79" s="16">
        <v>360.5186</v>
      </c>
      <c r="J79" s="16">
        <v>385.5822</v>
      </c>
      <c r="K79" s="16">
        <v>424.8604</v>
      </c>
      <c r="L79" s="16">
        <v>395.8374</v>
      </c>
      <c r="M79" s="16">
        <v>362.6922</v>
      </c>
      <c r="N79" s="16">
        <v>249.8319</v>
      </c>
      <c r="O79" s="16">
        <v>331.9566</v>
      </c>
      <c r="P79" s="16">
        <v>360.7397</v>
      </c>
      <c r="Q79" s="16">
        <v>371.8249</v>
      </c>
      <c r="R79" s="16">
        <v>382.5347</v>
      </c>
      <c r="S79" s="16">
        <v>367.7224</v>
      </c>
      <c r="T79" s="16">
        <v>382.5721</v>
      </c>
      <c r="U79" s="16">
        <v>388.0875</v>
      </c>
      <c r="V79" s="16">
        <v>367.765</v>
      </c>
      <c r="W79" s="16">
        <v>366.3912</v>
      </c>
      <c r="X79" s="16">
        <v>363.9534</v>
      </c>
      <c r="Y79" s="16">
        <v>336.9028</v>
      </c>
      <c r="Z79" s="16"/>
      <c r="AA79" s="17">
        <f t="shared" si="3"/>
        <v>424.8604</v>
      </c>
      <c r="AB79" s="17">
        <f t="shared" si="4"/>
        <v>249.8319</v>
      </c>
      <c r="AC79" s="17">
        <f t="shared" si="5"/>
        <v>357.879216666667</v>
      </c>
    </row>
    <row r="80" spans="1:29">
      <c r="A80" s="8">
        <v>45370</v>
      </c>
      <c r="B80" s="16">
        <v>364.3043</v>
      </c>
      <c r="C80" s="16">
        <v>344.9469</v>
      </c>
      <c r="D80" s="16">
        <v>335.4864</v>
      </c>
      <c r="E80" s="16">
        <v>327.1458</v>
      </c>
      <c r="F80" s="16">
        <v>314.0379</v>
      </c>
      <c r="G80" s="16">
        <v>320.0883</v>
      </c>
      <c r="H80" s="16">
        <v>334.8403</v>
      </c>
      <c r="I80" s="16">
        <v>354.9232</v>
      </c>
      <c r="J80" s="16">
        <v>362.1485</v>
      </c>
      <c r="K80" s="16">
        <v>363.7077</v>
      </c>
      <c r="L80" s="16">
        <v>351.7591</v>
      </c>
      <c r="M80" s="16">
        <v>322.2851</v>
      </c>
      <c r="N80" s="16">
        <v>73.8602</v>
      </c>
      <c r="O80" s="16">
        <v>229.8773</v>
      </c>
      <c r="P80" s="16">
        <v>297.7439</v>
      </c>
      <c r="Q80" s="16">
        <v>318.7741</v>
      </c>
      <c r="R80" s="16">
        <v>323.9795</v>
      </c>
      <c r="S80" s="16">
        <v>334.4945</v>
      </c>
      <c r="T80" s="16">
        <v>340.0677</v>
      </c>
      <c r="U80" s="16">
        <v>362.0932</v>
      </c>
      <c r="V80" s="16">
        <v>353.9306</v>
      </c>
      <c r="W80" s="16">
        <v>342.6128</v>
      </c>
      <c r="X80" s="16">
        <v>329.6789</v>
      </c>
      <c r="Y80" s="16">
        <v>317.7038</v>
      </c>
      <c r="Z80" s="16"/>
      <c r="AA80" s="17">
        <f t="shared" si="3"/>
        <v>364.3043</v>
      </c>
      <c r="AB80" s="17">
        <f t="shared" si="4"/>
        <v>73.8602</v>
      </c>
      <c r="AC80" s="17">
        <f t="shared" si="5"/>
        <v>321.687083333333</v>
      </c>
    </row>
    <row r="81" spans="1:29">
      <c r="A81" s="8">
        <v>45371</v>
      </c>
      <c r="B81" s="16">
        <v>383.9357</v>
      </c>
      <c r="C81" s="16">
        <v>342.3089</v>
      </c>
      <c r="D81" s="16">
        <v>320.8722</v>
      </c>
      <c r="E81" s="16">
        <v>304.2996</v>
      </c>
      <c r="F81" s="16">
        <v>293.519</v>
      </c>
      <c r="G81" s="16">
        <v>304.5101</v>
      </c>
      <c r="H81" s="16">
        <v>335.4922</v>
      </c>
      <c r="I81" s="16">
        <v>343.9444</v>
      </c>
      <c r="J81" s="16">
        <v>353.4559</v>
      </c>
      <c r="K81" s="16">
        <v>307.7019</v>
      </c>
      <c r="L81" s="16">
        <v>273.124</v>
      </c>
      <c r="M81" s="16">
        <v>254.5514</v>
      </c>
      <c r="N81" s="16">
        <v>84.0457</v>
      </c>
      <c r="O81" s="16">
        <v>257.3714</v>
      </c>
      <c r="P81" s="16">
        <v>318.551</v>
      </c>
      <c r="Q81" s="16">
        <v>340.4861</v>
      </c>
      <c r="R81" s="16">
        <v>374.8515</v>
      </c>
      <c r="S81" s="16">
        <v>348.1642</v>
      </c>
      <c r="T81" s="16">
        <v>358.1606</v>
      </c>
      <c r="U81" s="16">
        <v>369.2793</v>
      </c>
      <c r="V81" s="16">
        <v>350.6419</v>
      </c>
      <c r="W81" s="16">
        <v>337.1825</v>
      </c>
      <c r="X81" s="16">
        <v>332.5375</v>
      </c>
      <c r="Y81" s="16">
        <v>317.0007</v>
      </c>
      <c r="Z81" s="16"/>
      <c r="AA81" s="17">
        <f t="shared" si="3"/>
        <v>383.9357</v>
      </c>
      <c r="AB81" s="17">
        <f t="shared" si="4"/>
        <v>84.0457</v>
      </c>
      <c r="AC81" s="17">
        <f t="shared" si="5"/>
        <v>316.916154166667</v>
      </c>
    </row>
    <row r="82" spans="1:29">
      <c r="A82" s="8">
        <v>45372</v>
      </c>
      <c r="B82" s="16">
        <v>368.5396</v>
      </c>
      <c r="C82" s="16">
        <v>345.4787</v>
      </c>
      <c r="D82" s="16">
        <v>332.7633</v>
      </c>
      <c r="E82" s="16">
        <v>315.8491</v>
      </c>
      <c r="F82" s="16">
        <v>316.2808</v>
      </c>
      <c r="G82" s="16">
        <v>314.5976</v>
      </c>
      <c r="H82" s="16">
        <v>343.4634</v>
      </c>
      <c r="I82" s="16">
        <v>358.4334</v>
      </c>
      <c r="J82" s="16">
        <v>361.9587</v>
      </c>
      <c r="K82" s="16">
        <v>350.838</v>
      </c>
      <c r="L82" s="16">
        <v>335.6952</v>
      </c>
      <c r="M82" s="16">
        <v>285.6729</v>
      </c>
      <c r="N82" s="16">
        <v>170.918</v>
      </c>
      <c r="O82" s="16">
        <v>286.4901</v>
      </c>
      <c r="P82" s="16">
        <v>323.2237</v>
      </c>
      <c r="Q82" s="16">
        <v>360.0556</v>
      </c>
      <c r="R82" s="16">
        <v>411.7252</v>
      </c>
      <c r="S82" s="16">
        <v>370.327</v>
      </c>
      <c r="T82" s="16">
        <v>357.636</v>
      </c>
      <c r="U82" s="16">
        <v>392.1848</v>
      </c>
      <c r="V82" s="16">
        <v>356.4708</v>
      </c>
      <c r="W82" s="16">
        <v>361.3286</v>
      </c>
      <c r="X82" s="16">
        <v>347.2385</v>
      </c>
      <c r="Y82" s="16">
        <v>328.0384</v>
      </c>
      <c r="Z82" s="16"/>
      <c r="AA82" s="17">
        <f t="shared" si="3"/>
        <v>411.7252</v>
      </c>
      <c r="AB82" s="17">
        <f t="shared" si="4"/>
        <v>170.918</v>
      </c>
      <c r="AC82" s="17">
        <f t="shared" si="5"/>
        <v>337.300308333333</v>
      </c>
    </row>
    <row r="83" spans="1:29">
      <c r="A83" s="8">
        <v>45373</v>
      </c>
      <c r="B83" s="16">
        <v>379.1909</v>
      </c>
      <c r="C83" s="16">
        <v>339.8447</v>
      </c>
      <c r="D83" s="16">
        <v>326.5415</v>
      </c>
      <c r="E83" s="16">
        <v>312.2625</v>
      </c>
      <c r="F83" s="16">
        <v>302.8747</v>
      </c>
      <c r="G83" s="16">
        <v>310.5726</v>
      </c>
      <c r="H83" s="16">
        <v>334.4232</v>
      </c>
      <c r="I83" s="16">
        <v>355.9035</v>
      </c>
      <c r="J83" s="16">
        <v>551.0951</v>
      </c>
      <c r="K83" s="16">
        <v>458.1986</v>
      </c>
      <c r="L83" s="16">
        <v>558.4244</v>
      </c>
      <c r="M83" s="16">
        <v>384.4291</v>
      </c>
      <c r="N83" s="16">
        <v>272.6492</v>
      </c>
      <c r="O83" s="16">
        <v>370.7496</v>
      </c>
      <c r="P83" s="16">
        <v>443.4961</v>
      </c>
      <c r="Q83" s="16">
        <v>432.9319</v>
      </c>
      <c r="R83" s="16">
        <v>515.7233</v>
      </c>
      <c r="S83" s="16">
        <v>378.9822</v>
      </c>
      <c r="T83" s="16">
        <v>378.1289</v>
      </c>
      <c r="U83" s="16">
        <v>404.3007</v>
      </c>
      <c r="V83" s="16">
        <v>366.5564</v>
      </c>
      <c r="W83" s="16">
        <v>357.7287</v>
      </c>
      <c r="X83" s="16">
        <v>354.8062</v>
      </c>
      <c r="Y83" s="16">
        <v>323.101</v>
      </c>
      <c r="Z83" s="16"/>
      <c r="AA83" s="17">
        <f t="shared" si="3"/>
        <v>558.4244</v>
      </c>
      <c r="AB83" s="17">
        <f t="shared" si="4"/>
        <v>272.6492</v>
      </c>
      <c r="AC83" s="17">
        <f t="shared" si="5"/>
        <v>383.871458333333</v>
      </c>
    </row>
    <row r="84" spans="1:29">
      <c r="A84" s="8">
        <v>45374</v>
      </c>
      <c r="B84" s="16">
        <v>578.5419</v>
      </c>
      <c r="C84" s="16">
        <v>354.7474</v>
      </c>
      <c r="D84" s="16">
        <v>334.5356</v>
      </c>
      <c r="E84" s="16">
        <v>316.9232</v>
      </c>
      <c r="F84" s="16">
        <v>309.1514</v>
      </c>
      <c r="G84" s="16">
        <v>320.4533</v>
      </c>
      <c r="H84" s="16">
        <v>316.8255</v>
      </c>
      <c r="I84" s="16">
        <v>352.9782</v>
      </c>
      <c r="J84" s="16">
        <v>594.3849</v>
      </c>
      <c r="K84" s="16">
        <v>630.8146</v>
      </c>
      <c r="L84" s="16">
        <v>419.7928</v>
      </c>
      <c r="M84" s="16">
        <v>352.1094</v>
      </c>
      <c r="N84" s="16">
        <v>220.6844</v>
      </c>
      <c r="O84" s="16">
        <v>325.9414</v>
      </c>
      <c r="P84" s="16">
        <v>347.7759</v>
      </c>
      <c r="Q84" s="16">
        <v>366.7455</v>
      </c>
      <c r="R84" s="16">
        <v>526.1093</v>
      </c>
      <c r="S84" s="16">
        <v>391.576</v>
      </c>
      <c r="T84" s="16">
        <v>361.6137</v>
      </c>
      <c r="U84" s="16">
        <v>380.7028</v>
      </c>
      <c r="V84" s="16">
        <v>374.6462</v>
      </c>
      <c r="W84" s="16">
        <v>369.9691</v>
      </c>
      <c r="X84" s="16">
        <v>372.4655</v>
      </c>
      <c r="Y84" s="16">
        <v>357.4564</v>
      </c>
      <c r="Z84" s="16"/>
      <c r="AA84" s="17">
        <f t="shared" si="3"/>
        <v>630.8146</v>
      </c>
      <c r="AB84" s="17">
        <f t="shared" si="4"/>
        <v>220.6844</v>
      </c>
      <c r="AC84" s="17">
        <f t="shared" si="5"/>
        <v>386.53935</v>
      </c>
    </row>
    <row r="85" spans="1:29">
      <c r="A85" s="8">
        <v>45375</v>
      </c>
      <c r="B85" s="16">
        <v>629.5889</v>
      </c>
      <c r="C85" s="16">
        <v>381.7512</v>
      </c>
      <c r="D85" s="16">
        <v>356.7351</v>
      </c>
      <c r="E85" s="16">
        <v>359.5219</v>
      </c>
      <c r="F85" s="16">
        <v>330.6264</v>
      </c>
      <c r="G85" s="16">
        <v>330.4364</v>
      </c>
      <c r="H85" s="16">
        <v>342.9433</v>
      </c>
      <c r="I85" s="16">
        <v>353.8927</v>
      </c>
      <c r="J85" s="16">
        <v>351.8543</v>
      </c>
      <c r="K85" s="16">
        <v>343.9182</v>
      </c>
      <c r="L85" s="16">
        <v>318.4316</v>
      </c>
      <c r="M85" s="16">
        <v>312.3293</v>
      </c>
      <c r="N85" s="16">
        <v>125.7244</v>
      </c>
      <c r="O85" s="16">
        <v>321.6769</v>
      </c>
      <c r="P85" s="16">
        <v>324.1952</v>
      </c>
      <c r="Q85" s="16">
        <v>338.1491</v>
      </c>
      <c r="R85" s="16">
        <v>355.4948</v>
      </c>
      <c r="S85" s="16">
        <v>362.351</v>
      </c>
      <c r="T85" s="16">
        <v>374.0656</v>
      </c>
      <c r="U85" s="16">
        <v>417.6174</v>
      </c>
      <c r="V85" s="16">
        <v>531.2062</v>
      </c>
      <c r="W85" s="16">
        <v>424.1728</v>
      </c>
      <c r="X85" s="16">
        <v>395.3565</v>
      </c>
      <c r="Y85" s="16">
        <v>367.3375</v>
      </c>
      <c r="Z85" s="16"/>
      <c r="AA85" s="17">
        <f t="shared" si="3"/>
        <v>629.5889</v>
      </c>
      <c r="AB85" s="17">
        <f t="shared" si="4"/>
        <v>125.7244</v>
      </c>
      <c r="AC85" s="17">
        <f t="shared" si="5"/>
        <v>364.5573625</v>
      </c>
    </row>
    <row r="86" spans="1:29">
      <c r="A86" s="8">
        <v>45376</v>
      </c>
      <c r="B86" s="16">
        <v>535.7797</v>
      </c>
      <c r="C86" s="16">
        <v>425.3045</v>
      </c>
      <c r="D86" s="16">
        <v>364.5964</v>
      </c>
      <c r="E86" s="16">
        <v>352.2018</v>
      </c>
      <c r="F86" s="16">
        <v>347.5755</v>
      </c>
      <c r="G86" s="16">
        <v>353.5795</v>
      </c>
      <c r="H86" s="16">
        <v>423.7641</v>
      </c>
      <c r="I86" s="16">
        <v>623.3124</v>
      </c>
      <c r="J86" s="16">
        <v>798.697</v>
      </c>
      <c r="K86" s="16">
        <v>939.9754</v>
      </c>
      <c r="L86" s="16">
        <v>582.8955</v>
      </c>
      <c r="M86" s="16">
        <v>439.1816</v>
      </c>
      <c r="N86" s="16">
        <v>358.1802</v>
      </c>
      <c r="O86" s="16">
        <v>560.1252</v>
      </c>
      <c r="P86" s="16">
        <v>540.8304</v>
      </c>
      <c r="Q86" s="16">
        <v>518.3939</v>
      </c>
      <c r="R86" s="16">
        <v>527.2025</v>
      </c>
      <c r="S86" s="16">
        <v>402.8984</v>
      </c>
      <c r="T86" s="16">
        <v>420.8917</v>
      </c>
      <c r="U86" s="16">
        <v>490.6371</v>
      </c>
      <c r="V86" s="16">
        <v>411.9121</v>
      </c>
      <c r="W86" s="16">
        <v>427.2905</v>
      </c>
      <c r="X86" s="16">
        <v>403.7307</v>
      </c>
      <c r="Y86" s="16">
        <v>360.077</v>
      </c>
      <c r="Z86" s="16"/>
      <c r="AA86" s="17">
        <f t="shared" si="3"/>
        <v>939.9754</v>
      </c>
      <c r="AB86" s="17">
        <f t="shared" si="4"/>
        <v>347.5755</v>
      </c>
      <c r="AC86" s="17">
        <f t="shared" si="5"/>
        <v>483.7097125</v>
      </c>
    </row>
    <row r="87" spans="1:29">
      <c r="A87" s="8">
        <v>45377</v>
      </c>
      <c r="B87" s="16">
        <v>817.0432</v>
      </c>
      <c r="C87" s="16">
        <v>457.4496</v>
      </c>
      <c r="D87" s="16">
        <v>376.8644</v>
      </c>
      <c r="E87" s="16">
        <v>355.3935</v>
      </c>
      <c r="F87" s="16">
        <v>338.9518</v>
      </c>
      <c r="G87" s="16">
        <v>337.0845</v>
      </c>
      <c r="H87" s="16">
        <v>375.0007</v>
      </c>
      <c r="I87" s="16">
        <v>464.2755</v>
      </c>
      <c r="J87" s="16">
        <v>617.1228</v>
      </c>
      <c r="K87" s="16">
        <v>465.5431</v>
      </c>
      <c r="L87" s="16">
        <v>384.9686</v>
      </c>
      <c r="M87" s="16">
        <v>355.0148</v>
      </c>
      <c r="N87" s="16">
        <v>226.8173</v>
      </c>
      <c r="O87" s="16">
        <v>333.7769</v>
      </c>
      <c r="P87" s="16">
        <v>364.2453</v>
      </c>
      <c r="Q87" s="16">
        <v>406.3117</v>
      </c>
      <c r="R87" s="16">
        <v>497.6077</v>
      </c>
      <c r="S87" s="16">
        <v>438.3939</v>
      </c>
      <c r="T87" s="16">
        <v>418.7771</v>
      </c>
      <c r="U87" s="16">
        <v>563.2376</v>
      </c>
      <c r="V87" s="16">
        <v>440.5398</v>
      </c>
      <c r="W87" s="16">
        <v>420.8299</v>
      </c>
      <c r="X87" s="16">
        <v>377.3934</v>
      </c>
      <c r="Y87" s="16">
        <v>350.6654</v>
      </c>
      <c r="Z87" s="16"/>
      <c r="AA87" s="17">
        <f t="shared" si="3"/>
        <v>817.0432</v>
      </c>
      <c r="AB87" s="17">
        <f t="shared" si="4"/>
        <v>226.8173</v>
      </c>
      <c r="AC87" s="17">
        <f t="shared" si="5"/>
        <v>424.304520833333</v>
      </c>
    </row>
    <row r="88" spans="1:29">
      <c r="A88" s="8">
        <v>45378</v>
      </c>
      <c r="B88" s="16">
        <v>506.2774</v>
      </c>
      <c r="C88" s="16">
        <v>368.381</v>
      </c>
      <c r="D88" s="16">
        <v>350.4551</v>
      </c>
      <c r="E88" s="16">
        <v>338.4953</v>
      </c>
      <c r="F88" s="16">
        <v>323.8017</v>
      </c>
      <c r="G88" s="16">
        <v>337.6743</v>
      </c>
      <c r="H88" s="16">
        <v>370.6494</v>
      </c>
      <c r="I88" s="16">
        <v>406.3551</v>
      </c>
      <c r="J88" s="16">
        <v>670.4725</v>
      </c>
      <c r="K88" s="16">
        <v>596.2292</v>
      </c>
      <c r="L88" s="16">
        <v>377.0201</v>
      </c>
      <c r="M88" s="16">
        <v>351.0998</v>
      </c>
      <c r="N88" s="16">
        <v>154.5955</v>
      </c>
      <c r="O88" s="16">
        <v>310.3547</v>
      </c>
      <c r="P88" s="16">
        <v>343.342</v>
      </c>
      <c r="Q88" s="16">
        <v>353.906</v>
      </c>
      <c r="R88" s="16">
        <v>357.8241</v>
      </c>
      <c r="S88" s="16">
        <v>354.9628</v>
      </c>
      <c r="T88" s="16">
        <v>360.1065</v>
      </c>
      <c r="U88" s="16">
        <v>373.8217</v>
      </c>
      <c r="V88" s="16">
        <v>364.8001</v>
      </c>
      <c r="W88" s="16">
        <v>355.9772</v>
      </c>
      <c r="X88" s="16">
        <v>353.5713</v>
      </c>
      <c r="Y88" s="16">
        <v>318.0905</v>
      </c>
      <c r="Z88" s="16"/>
      <c r="AA88" s="17">
        <f t="shared" si="3"/>
        <v>670.4725</v>
      </c>
      <c r="AB88" s="17">
        <f t="shared" si="4"/>
        <v>154.5955</v>
      </c>
      <c r="AC88" s="17">
        <f t="shared" si="5"/>
        <v>374.9276375</v>
      </c>
    </row>
    <row r="89" spans="1:29">
      <c r="A89" s="8">
        <v>45379</v>
      </c>
      <c r="B89" s="16">
        <v>327.9363</v>
      </c>
      <c r="C89" s="16">
        <v>355.4355</v>
      </c>
      <c r="D89" s="16">
        <v>354.1152</v>
      </c>
      <c r="E89" s="16">
        <v>327.6139</v>
      </c>
      <c r="F89" s="16">
        <v>287.1546</v>
      </c>
      <c r="G89" s="16">
        <v>304.2924</v>
      </c>
      <c r="H89" s="16">
        <v>385.9654</v>
      </c>
      <c r="I89" s="16">
        <v>469.7741</v>
      </c>
      <c r="J89" s="16">
        <v>511.388</v>
      </c>
      <c r="K89" s="16">
        <v>504.5714</v>
      </c>
      <c r="L89" s="16">
        <v>403.9533</v>
      </c>
      <c r="M89" s="16">
        <v>408.1662</v>
      </c>
      <c r="N89" s="16">
        <v>356.9059</v>
      </c>
      <c r="O89" s="16">
        <v>404.1368</v>
      </c>
      <c r="P89" s="16">
        <v>424.348</v>
      </c>
      <c r="Q89" s="16">
        <v>419.4828</v>
      </c>
      <c r="R89" s="16">
        <v>413.2629</v>
      </c>
      <c r="S89" s="16">
        <v>444.4745</v>
      </c>
      <c r="T89" s="16">
        <v>448.5273</v>
      </c>
      <c r="U89" s="16">
        <v>454.8648</v>
      </c>
      <c r="V89" s="16">
        <v>398.7837</v>
      </c>
      <c r="W89" s="16">
        <v>436.6893</v>
      </c>
      <c r="X89" s="16">
        <v>420.062</v>
      </c>
      <c r="Y89" s="16">
        <v>404.0798</v>
      </c>
      <c r="Z89" s="16"/>
      <c r="AA89" s="17">
        <f t="shared" si="3"/>
        <v>511.388</v>
      </c>
      <c r="AB89" s="17">
        <f t="shared" si="4"/>
        <v>287.1546</v>
      </c>
      <c r="AC89" s="17">
        <f t="shared" si="5"/>
        <v>402.7493375</v>
      </c>
    </row>
    <row r="90" spans="1:29">
      <c r="A90" s="8">
        <v>45380</v>
      </c>
      <c r="B90" s="16">
        <v>423.968</v>
      </c>
      <c r="C90" s="16">
        <v>417.9848</v>
      </c>
      <c r="D90" s="16">
        <v>372.2745</v>
      </c>
      <c r="E90" s="16">
        <v>351.414</v>
      </c>
      <c r="F90" s="16">
        <v>340.7391</v>
      </c>
      <c r="G90" s="16">
        <v>341.1322</v>
      </c>
      <c r="H90" s="16">
        <v>385.7979</v>
      </c>
      <c r="I90" s="16">
        <v>419.9664</v>
      </c>
      <c r="J90" s="16">
        <v>468.4126</v>
      </c>
      <c r="K90" s="16">
        <v>459.2773</v>
      </c>
      <c r="L90" s="16">
        <v>376.74</v>
      </c>
      <c r="M90" s="16">
        <v>344.523</v>
      </c>
      <c r="N90" s="16">
        <v>226.0684</v>
      </c>
      <c r="O90" s="16">
        <v>324.5662</v>
      </c>
      <c r="P90" s="16">
        <v>371.6541</v>
      </c>
      <c r="Q90" s="16">
        <v>401.3516</v>
      </c>
      <c r="R90" s="16">
        <v>429.1016</v>
      </c>
      <c r="S90" s="16">
        <v>465.3931</v>
      </c>
      <c r="T90" s="16">
        <v>446.7192</v>
      </c>
      <c r="U90" s="16">
        <v>383.3478</v>
      </c>
      <c r="V90" s="16">
        <v>386.0903</v>
      </c>
      <c r="W90" s="16">
        <v>396.2843</v>
      </c>
      <c r="X90" s="16">
        <v>394.7537</v>
      </c>
      <c r="Y90" s="16">
        <v>365.707</v>
      </c>
      <c r="Z90" s="16"/>
      <c r="AA90" s="17">
        <f t="shared" si="3"/>
        <v>468.4126</v>
      </c>
      <c r="AB90" s="17">
        <f t="shared" si="4"/>
        <v>226.0684</v>
      </c>
      <c r="AC90" s="17">
        <f t="shared" si="5"/>
        <v>387.2194625</v>
      </c>
    </row>
    <row r="91" spans="1:29">
      <c r="A91" s="8">
        <v>45381</v>
      </c>
      <c r="B91" s="16">
        <v>401.1389</v>
      </c>
      <c r="C91" s="16">
        <v>376.8859</v>
      </c>
      <c r="D91" s="16">
        <v>347.3065</v>
      </c>
      <c r="E91" s="16">
        <v>322.8496</v>
      </c>
      <c r="F91" s="16">
        <v>309.0952</v>
      </c>
      <c r="G91" s="16">
        <v>314.2999</v>
      </c>
      <c r="H91" s="16">
        <v>350.7091</v>
      </c>
      <c r="I91" s="16">
        <v>374.4757</v>
      </c>
      <c r="J91" s="16">
        <v>402.7355</v>
      </c>
      <c r="K91" s="16">
        <v>396.2033</v>
      </c>
      <c r="L91" s="16">
        <v>374.2022</v>
      </c>
      <c r="M91" s="16">
        <v>419.2716</v>
      </c>
      <c r="N91" s="16">
        <v>305.3722</v>
      </c>
      <c r="O91" s="16">
        <v>363.7654</v>
      </c>
      <c r="P91" s="16">
        <v>428.1345</v>
      </c>
      <c r="Q91" s="16">
        <v>474.5717</v>
      </c>
      <c r="R91" s="16">
        <v>508.5504</v>
      </c>
      <c r="S91" s="16">
        <v>458.8863</v>
      </c>
      <c r="T91" s="16">
        <v>426.1288</v>
      </c>
      <c r="U91" s="16">
        <v>417.8216</v>
      </c>
      <c r="V91" s="16">
        <v>406.1535</v>
      </c>
      <c r="W91" s="16">
        <v>402.0327</v>
      </c>
      <c r="X91" s="16">
        <v>422.8978</v>
      </c>
      <c r="Y91" s="16">
        <v>365.2848</v>
      </c>
      <c r="Z91" s="16"/>
      <c r="AA91" s="17">
        <f t="shared" si="3"/>
        <v>508.5504</v>
      </c>
      <c r="AB91" s="17">
        <f t="shared" si="4"/>
        <v>305.3722</v>
      </c>
      <c r="AC91" s="17">
        <f t="shared" si="5"/>
        <v>390.365545833333</v>
      </c>
    </row>
    <row r="92" spans="1:29">
      <c r="A92" s="8">
        <v>45382</v>
      </c>
      <c r="B92" s="16">
        <v>382.2797</v>
      </c>
      <c r="C92" s="16">
        <v>368.4005</v>
      </c>
      <c r="D92" s="16">
        <v>338.738</v>
      </c>
      <c r="E92" s="16">
        <v>332.4388</v>
      </c>
      <c r="F92" s="16">
        <v>323.2407</v>
      </c>
      <c r="G92" s="16">
        <v>320.6903</v>
      </c>
      <c r="H92" s="16">
        <v>327.45</v>
      </c>
      <c r="I92" s="16">
        <v>333.2512</v>
      </c>
      <c r="J92" s="16">
        <v>332.0414</v>
      </c>
      <c r="K92" s="16">
        <v>343.5527</v>
      </c>
      <c r="L92" s="16">
        <v>335.7435</v>
      </c>
      <c r="M92" s="16">
        <v>308.9139</v>
      </c>
      <c r="N92" s="16">
        <v>286.7999</v>
      </c>
      <c r="O92" s="16">
        <v>404.2619</v>
      </c>
      <c r="P92" s="16">
        <v>463.1366</v>
      </c>
      <c r="Q92" s="16">
        <v>396.6607</v>
      </c>
      <c r="R92" s="16">
        <v>435.686</v>
      </c>
      <c r="S92" s="16">
        <v>544.9602</v>
      </c>
      <c r="T92" s="16">
        <v>490.1611</v>
      </c>
      <c r="U92" s="16">
        <v>480.9776</v>
      </c>
      <c r="V92" s="16">
        <v>470.8206</v>
      </c>
      <c r="W92" s="16">
        <v>423.5675</v>
      </c>
      <c r="X92" s="16">
        <v>389.0588</v>
      </c>
      <c r="Y92" s="16">
        <v>341.3898</v>
      </c>
      <c r="Z92" s="16"/>
      <c r="AA92" s="17">
        <f t="shared" si="3"/>
        <v>544.9602</v>
      </c>
      <c r="AB92" s="17">
        <f t="shared" si="4"/>
        <v>286.7999</v>
      </c>
      <c r="AC92" s="17">
        <f t="shared" si="5"/>
        <v>382.259225</v>
      </c>
    </row>
    <row r="93" spans="1:29">
      <c r="A93" s="8">
        <v>45383</v>
      </c>
      <c r="B93" s="16">
        <v>371.66</v>
      </c>
      <c r="C93" s="16">
        <v>372.24</v>
      </c>
      <c r="D93" s="16">
        <v>345.66</v>
      </c>
      <c r="E93" s="16">
        <v>333.73</v>
      </c>
      <c r="F93" s="16">
        <v>311.75</v>
      </c>
      <c r="G93" s="16">
        <v>330.72</v>
      </c>
      <c r="H93" s="16">
        <v>354.65</v>
      </c>
      <c r="I93" s="16">
        <v>371.17</v>
      </c>
      <c r="J93" s="16">
        <v>707</v>
      </c>
      <c r="K93" s="16">
        <v>604.42</v>
      </c>
      <c r="L93" s="16">
        <v>433.46</v>
      </c>
      <c r="M93" s="16">
        <v>359.63</v>
      </c>
      <c r="N93" s="16">
        <v>227.84</v>
      </c>
      <c r="O93" s="16">
        <v>339.8</v>
      </c>
      <c r="P93" s="16">
        <v>387.01</v>
      </c>
      <c r="Q93" s="16">
        <v>378.64</v>
      </c>
      <c r="R93" s="16">
        <v>439.04</v>
      </c>
      <c r="S93" s="16">
        <v>491.63</v>
      </c>
      <c r="T93" s="16">
        <v>375.22</v>
      </c>
      <c r="U93" s="16">
        <v>385.14</v>
      </c>
      <c r="V93" s="16">
        <v>370.94</v>
      </c>
      <c r="W93" s="16">
        <v>360.27</v>
      </c>
      <c r="X93" s="16">
        <v>343.21</v>
      </c>
      <c r="Y93" s="16">
        <v>331.15</v>
      </c>
      <c r="Z93" s="16"/>
      <c r="AA93" s="17">
        <f t="shared" si="3"/>
        <v>707</v>
      </c>
      <c r="AB93" s="17">
        <f t="shared" si="4"/>
        <v>227.84</v>
      </c>
      <c r="AC93" s="17">
        <f t="shared" si="5"/>
        <v>388.5825</v>
      </c>
    </row>
    <row r="94" spans="1:29">
      <c r="A94" s="8">
        <v>45384</v>
      </c>
      <c r="B94" s="16">
        <v>353.7836</v>
      </c>
      <c r="C94" s="16">
        <v>355.4858</v>
      </c>
      <c r="D94" s="16">
        <v>345.3245</v>
      </c>
      <c r="E94" s="16">
        <v>322.7246</v>
      </c>
      <c r="F94" s="16">
        <v>274.984</v>
      </c>
      <c r="G94" s="16">
        <v>327.241</v>
      </c>
      <c r="H94" s="16">
        <v>347.3493</v>
      </c>
      <c r="I94" s="16">
        <v>363.8732</v>
      </c>
      <c r="J94" s="16">
        <v>388.049</v>
      </c>
      <c r="K94" s="16">
        <v>368.1695</v>
      </c>
      <c r="L94" s="16">
        <v>359.2567</v>
      </c>
      <c r="M94" s="16">
        <v>343.9275</v>
      </c>
      <c r="N94" s="16">
        <v>178.9775</v>
      </c>
      <c r="O94" s="16">
        <v>311.2147</v>
      </c>
      <c r="P94" s="16">
        <v>338.6255</v>
      </c>
      <c r="Q94" s="16">
        <v>360.6874</v>
      </c>
      <c r="R94" s="16">
        <v>381.7546</v>
      </c>
      <c r="S94" s="16">
        <v>360.7674</v>
      </c>
      <c r="T94" s="16">
        <v>354.5734</v>
      </c>
      <c r="U94" s="16">
        <v>365.5124</v>
      </c>
      <c r="V94" s="16">
        <v>362.3499</v>
      </c>
      <c r="W94" s="16">
        <v>377.928</v>
      </c>
      <c r="X94" s="16">
        <v>363.4543</v>
      </c>
      <c r="Y94" s="16">
        <v>345.8718</v>
      </c>
      <c r="Z94" s="16"/>
      <c r="AA94" s="17">
        <f t="shared" si="3"/>
        <v>388.049</v>
      </c>
      <c r="AB94" s="17">
        <f t="shared" si="4"/>
        <v>178.9775</v>
      </c>
      <c r="AC94" s="17">
        <f t="shared" si="5"/>
        <v>343.828566666667</v>
      </c>
    </row>
    <row r="95" spans="1:29">
      <c r="A95" s="8">
        <v>45385</v>
      </c>
      <c r="B95" s="16">
        <v>404.714</v>
      </c>
      <c r="C95" s="16">
        <v>413.6748</v>
      </c>
      <c r="D95" s="16">
        <v>364.1985</v>
      </c>
      <c r="E95" s="16">
        <v>344.1103</v>
      </c>
      <c r="F95" s="16">
        <v>342.242</v>
      </c>
      <c r="G95" s="16">
        <v>343.9413</v>
      </c>
      <c r="H95" s="16">
        <v>365.0427</v>
      </c>
      <c r="I95" s="16">
        <v>369.1395</v>
      </c>
      <c r="J95" s="16">
        <v>451.3894</v>
      </c>
      <c r="K95" s="16">
        <v>439.8159</v>
      </c>
      <c r="L95" s="16">
        <v>420.995</v>
      </c>
      <c r="M95" s="16">
        <v>393.6374</v>
      </c>
      <c r="N95" s="16">
        <v>343.3583</v>
      </c>
      <c r="O95" s="16">
        <v>374.7072</v>
      </c>
      <c r="P95" s="16">
        <v>400.6762</v>
      </c>
      <c r="Q95" s="16">
        <v>400.9487</v>
      </c>
      <c r="R95" s="16">
        <v>388.609</v>
      </c>
      <c r="S95" s="16">
        <v>367.2387</v>
      </c>
      <c r="T95" s="16">
        <v>358.314</v>
      </c>
      <c r="U95" s="16">
        <v>367.1524</v>
      </c>
      <c r="V95" s="16">
        <v>358.1994</v>
      </c>
      <c r="W95" s="16">
        <v>362.3975</v>
      </c>
      <c r="X95" s="16">
        <v>363.3382</v>
      </c>
      <c r="Y95" s="16">
        <v>364.2508</v>
      </c>
      <c r="Z95" s="16"/>
      <c r="AA95" s="17">
        <f t="shared" si="3"/>
        <v>451.3894</v>
      </c>
      <c r="AB95" s="17">
        <f t="shared" si="4"/>
        <v>342.242</v>
      </c>
      <c r="AC95" s="17">
        <f t="shared" si="5"/>
        <v>379.2538</v>
      </c>
    </row>
    <row r="96" spans="1:29">
      <c r="A96" s="8">
        <v>45386</v>
      </c>
      <c r="B96" s="16">
        <v>627.4216</v>
      </c>
      <c r="C96" s="16">
        <v>500.3987</v>
      </c>
      <c r="D96" s="16">
        <v>386.1318</v>
      </c>
      <c r="E96" s="16">
        <v>367.4433</v>
      </c>
      <c r="F96" s="16">
        <v>366.6262</v>
      </c>
      <c r="G96" s="16">
        <v>361.2552</v>
      </c>
      <c r="H96" s="16">
        <v>368.75</v>
      </c>
      <c r="I96" s="16">
        <v>365.1746</v>
      </c>
      <c r="J96" s="16">
        <v>197.5021</v>
      </c>
      <c r="K96" s="16">
        <v>195.1311</v>
      </c>
      <c r="L96" s="16">
        <v>21.5371</v>
      </c>
      <c r="M96" s="16">
        <v>49.6093</v>
      </c>
      <c r="N96" s="16">
        <v>94.341</v>
      </c>
      <c r="O96" s="16">
        <v>0</v>
      </c>
      <c r="P96" s="16">
        <v>0</v>
      </c>
      <c r="Q96" s="16">
        <v>120.2287</v>
      </c>
      <c r="R96" s="16">
        <v>259.9686</v>
      </c>
      <c r="S96" s="16">
        <v>326.8126</v>
      </c>
      <c r="T96" s="16">
        <v>241.8798</v>
      </c>
      <c r="U96" s="16">
        <v>353.8176</v>
      </c>
      <c r="V96" s="16">
        <v>357.918</v>
      </c>
      <c r="W96" s="16">
        <v>359.5</v>
      </c>
      <c r="X96" s="16">
        <v>357.0275</v>
      </c>
      <c r="Y96" s="16">
        <v>338.75</v>
      </c>
      <c r="Z96" s="16"/>
      <c r="AA96" s="17">
        <f t="shared" si="3"/>
        <v>627.4216</v>
      </c>
      <c r="AB96" s="17">
        <f t="shared" si="4"/>
        <v>0</v>
      </c>
      <c r="AC96" s="17">
        <f t="shared" si="5"/>
        <v>275.7177</v>
      </c>
    </row>
    <row r="97" spans="1:29">
      <c r="A97" s="8">
        <v>45387</v>
      </c>
      <c r="B97" s="16">
        <v>473.75</v>
      </c>
      <c r="C97" s="16">
        <v>353.4692</v>
      </c>
      <c r="D97" s="16">
        <v>332.1797</v>
      </c>
      <c r="E97" s="16">
        <v>236.9649</v>
      </c>
      <c r="F97" s="16">
        <v>69.6746</v>
      </c>
      <c r="G97" s="16">
        <v>0</v>
      </c>
      <c r="H97" s="16">
        <v>179.84</v>
      </c>
      <c r="I97" s="16">
        <v>340.1781</v>
      </c>
      <c r="J97" s="16">
        <v>365.32</v>
      </c>
      <c r="K97" s="16">
        <v>356.8345</v>
      </c>
      <c r="L97" s="16">
        <v>356.0441</v>
      </c>
      <c r="M97" s="16">
        <v>340.2392</v>
      </c>
      <c r="N97" s="16">
        <v>349.7822</v>
      </c>
      <c r="O97" s="16">
        <v>360.0006</v>
      </c>
      <c r="P97" s="16">
        <v>362.7871</v>
      </c>
      <c r="Q97" s="16">
        <v>367.152</v>
      </c>
      <c r="R97" s="16">
        <v>338.6072</v>
      </c>
      <c r="S97" s="16">
        <v>337.1259</v>
      </c>
      <c r="T97" s="16">
        <v>339.2059</v>
      </c>
      <c r="U97" s="16">
        <v>322.9216</v>
      </c>
      <c r="V97" s="16">
        <v>329.5383</v>
      </c>
      <c r="W97" s="16">
        <v>313.1279</v>
      </c>
      <c r="X97" s="16">
        <v>298.4994</v>
      </c>
      <c r="Y97" s="16">
        <v>285.4769</v>
      </c>
      <c r="Z97" s="16"/>
      <c r="AA97" s="17">
        <f t="shared" si="3"/>
        <v>473.75</v>
      </c>
      <c r="AB97" s="17">
        <f t="shared" si="4"/>
        <v>0</v>
      </c>
      <c r="AC97" s="17">
        <f t="shared" si="5"/>
        <v>308.6966375</v>
      </c>
    </row>
    <row r="98" spans="1:29">
      <c r="A98" s="8">
        <v>45388</v>
      </c>
      <c r="B98" s="16">
        <v>394.432</v>
      </c>
      <c r="C98" s="16">
        <v>362.8951</v>
      </c>
      <c r="D98" s="16">
        <v>312.7883</v>
      </c>
      <c r="E98" s="16">
        <v>256.6585</v>
      </c>
      <c r="F98" s="16">
        <v>143.8386</v>
      </c>
      <c r="G98" s="16">
        <v>189.4801</v>
      </c>
      <c r="H98" s="16">
        <v>208.537</v>
      </c>
      <c r="I98" s="16">
        <v>357.6882</v>
      </c>
      <c r="J98" s="16">
        <v>380.4325</v>
      </c>
      <c r="K98" s="16">
        <v>388.426</v>
      </c>
      <c r="L98" s="16">
        <v>397.5629</v>
      </c>
      <c r="M98" s="16">
        <v>393.8468</v>
      </c>
      <c r="N98" s="16">
        <v>262.9869</v>
      </c>
      <c r="O98" s="16">
        <v>368.3991</v>
      </c>
      <c r="P98" s="16">
        <v>387.5897</v>
      </c>
      <c r="Q98" s="16">
        <v>391.8952</v>
      </c>
      <c r="R98" s="16">
        <v>395.8848</v>
      </c>
      <c r="S98" s="16">
        <v>377.6241</v>
      </c>
      <c r="T98" s="16">
        <v>355.6832</v>
      </c>
      <c r="U98" s="16">
        <v>354.7838</v>
      </c>
      <c r="V98" s="16">
        <v>351.4599</v>
      </c>
      <c r="W98" s="16">
        <v>358.7571</v>
      </c>
      <c r="X98" s="16">
        <v>318.7592</v>
      </c>
      <c r="Y98" s="16">
        <v>291.7667</v>
      </c>
      <c r="Z98" s="16"/>
      <c r="AA98" s="17">
        <f t="shared" si="3"/>
        <v>397.5629</v>
      </c>
      <c r="AB98" s="17">
        <f t="shared" si="4"/>
        <v>143.8386</v>
      </c>
      <c r="AC98" s="17">
        <f t="shared" si="5"/>
        <v>333.4239875</v>
      </c>
    </row>
    <row r="99" spans="1:29">
      <c r="A99" s="8">
        <v>45389</v>
      </c>
      <c r="B99" s="16">
        <v>441.176</v>
      </c>
      <c r="C99" s="16">
        <v>327.8591</v>
      </c>
      <c r="D99" s="16">
        <v>314.064</v>
      </c>
      <c r="E99" s="16">
        <v>298.9005</v>
      </c>
      <c r="F99" s="16">
        <v>293.0177</v>
      </c>
      <c r="G99" s="16">
        <v>297.1942</v>
      </c>
      <c r="H99" s="16">
        <v>322.0894</v>
      </c>
      <c r="I99" s="16">
        <v>344.188</v>
      </c>
      <c r="J99" s="16">
        <v>366.2465</v>
      </c>
      <c r="K99" s="16">
        <v>440.5096</v>
      </c>
      <c r="L99" s="16">
        <v>638.6059</v>
      </c>
      <c r="M99" s="16">
        <v>518.9084</v>
      </c>
      <c r="N99" s="16">
        <v>384.7313</v>
      </c>
      <c r="O99" s="16">
        <v>539.3079</v>
      </c>
      <c r="P99" s="16">
        <v>662.1699</v>
      </c>
      <c r="Q99" s="16">
        <v>422.7899</v>
      </c>
      <c r="R99" s="16">
        <v>388.1361</v>
      </c>
      <c r="S99" s="16">
        <v>395.3308</v>
      </c>
      <c r="T99" s="16">
        <v>379.9484</v>
      </c>
      <c r="U99" s="16">
        <v>375.7337</v>
      </c>
      <c r="V99" s="16">
        <v>367.998</v>
      </c>
      <c r="W99" s="16">
        <v>364.6726</v>
      </c>
      <c r="X99" s="16">
        <v>342.3873</v>
      </c>
      <c r="Y99" s="16">
        <v>314.1734</v>
      </c>
      <c r="Z99" s="16"/>
      <c r="AA99" s="17">
        <f t="shared" si="3"/>
        <v>662.1699</v>
      </c>
      <c r="AB99" s="17">
        <f t="shared" si="4"/>
        <v>293.0177</v>
      </c>
      <c r="AC99" s="17">
        <f t="shared" si="5"/>
        <v>397.505775</v>
      </c>
    </row>
    <row r="100" spans="1:29">
      <c r="A100" s="8">
        <v>45390</v>
      </c>
      <c r="B100" s="16">
        <v>358.6403</v>
      </c>
      <c r="C100" s="16">
        <v>345.5805</v>
      </c>
      <c r="D100" s="16">
        <v>328.6763</v>
      </c>
      <c r="E100" s="16">
        <v>318.1594</v>
      </c>
      <c r="F100" s="16">
        <v>306.0571</v>
      </c>
      <c r="G100" s="16">
        <v>306.0825</v>
      </c>
      <c r="H100" s="16">
        <v>330.1263</v>
      </c>
      <c r="I100" s="16">
        <v>356.9894</v>
      </c>
      <c r="J100" s="16">
        <v>398.4829</v>
      </c>
      <c r="K100" s="16">
        <v>390.1681</v>
      </c>
      <c r="L100" s="16">
        <v>380.9491</v>
      </c>
      <c r="M100" s="16">
        <v>372.2352</v>
      </c>
      <c r="N100" s="16">
        <v>235.3575</v>
      </c>
      <c r="O100" s="16">
        <v>337.203</v>
      </c>
      <c r="P100" s="16">
        <v>365.7291</v>
      </c>
      <c r="Q100" s="16">
        <v>368.5328</v>
      </c>
      <c r="R100" s="16">
        <v>369.1375</v>
      </c>
      <c r="S100" s="16">
        <v>356.7388</v>
      </c>
      <c r="T100" s="16">
        <v>340.0854</v>
      </c>
      <c r="U100" s="16">
        <v>360.0461</v>
      </c>
      <c r="V100" s="16">
        <v>362.8299</v>
      </c>
      <c r="W100" s="16">
        <v>356.8959</v>
      </c>
      <c r="X100" s="16">
        <v>341.4366</v>
      </c>
      <c r="Y100" s="16">
        <v>280.3541</v>
      </c>
      <c r="Z100" s="16"/>
      <c r="AA100" s="17">
        <f t="shared" si="3"/>
        <v>398.4829</v>
      </c>
      <c r="AB100" s="17">
        <f t="shared" si="4"/>
        <v>235.3575</v>
      </c>
      <c r="AC100" s="17">
        <f t="shared" si="5"/>
        <v>344.437241666667</v>
      </c>
    </row>
    <row r="101" spans="1:29">
      <c r="A101" s="8">
        <v>45391</v>
      </c>
      <c r="B101" s="16">
        <v>320.3528</v>
      </c>
      <c r="C101" s="16">
        <v>310.4787</v>
      </c>
      <c r="D101" s="16">
        <v>184.4895</v>
      </c>
      <c r="E101" s="16">
        <v>50.1955</v>
      </c>
      <c r="F101" s="16">
        <v>0</v>
      </c>
      <c r="G101" s="16">
        <v>0</v>
      </c>
      <c r="H101" s="16">
        <v>221.946</v>
      </c>
      <c r="I101" s="16">
        <v>309.4915</v>
      </c>
      <c r="J101" s="16">
        <v>332.208</v>
      </c>
      <c r="K101" s="16">
        <v>333.9643</v>
      </c>
      <c r="L101" s="16">
        <v>285.836</v>
      </c>
      <c r="M101" s="16">
        <v>69.2768</v>
      </c>
      <c r="N101" s="16">
        <v>0</v>
      </c>
      <c r="O101" s="16">
        <v>302.1869</v>
      </c>
      <c r="P101" s="16">
        <v>312.2284</v>
      </c>
      <c r="Q101" s="16">
        <v>331.6639</v>
      </c>
      <c r="R101" s="16">
        <v>352.2534</v>
      </c>
      <c r="S101" s="16">
        <v>345.8562</v>
      </c>
      <c r="T101" s="16">
        <v>337.724</v>
      </c>
      <c r="U101" s="16">
        <v>348.0064</v>
      </c>
      <c r="V101" s="16">
        <v>335.2656</v>
      </c>
      <c r="W101" s="16">
        <v>318.6061</v>
      </c>
      <c r="X101" s="16">
        <v>285.8075</v>
      </c>
      <c r="Y101" s="16">
        <v>1.5596</v>
      </c>
      <c r="Z101" s="16"/>
      <c r="AA101" s="17">
        <f t="shared" si="3"/>
        <v>352.2534</v>
      </c>
      <c r="AB101" s="17">
        <f t="shared" si="4"/>
        <v>0</v>
      </c>
      <c r="AC101" s="17">
        <f t="shared" si="5"/>
        <v>237.0582125</v>
      </c>
    </row>
    <row r="102" spans="1:29">
      <c r="A102" s="8">
        <v>45392</v>
      </c>
      <c r="B102" s="16">
        <v>217.4168</v>
      </c>
      <c r="C102" s="16">
        <v>66.5291</v>
      </c>
      <c r="D102" s="16">
        <v>63.3339</v>
      </c>
      <c r="E102" s="16">
        <v>0</v>
      </c>
      <c r="F102" s="16">
        <v>0</v>
      </c>
      <c r="G102" s="16">
        <v>0</v>
      </c>
      <c r="H102" s="16">
        <v>215.0538</v>
      </c>
      <c r="I102" s="16">
        <v>302.2297</v>
      </c>
      <c r="J102" s="16">
        <v>374.9797</v>
      </c>
      <c r="K102" s="16">
        <v>358.6768</v>
      </c>
      <c r="L102" s="16">
        <v>313.0605</v>
      </c>
      <c r="M102" s="16">
        <v>298.2582</v>
      </c>
      <c r="N102" s="16">
        <v>0</v>
      </c>
      <c r="O102" s="16">
        <v>76.4089</v>
      </c>
      <c r="P102" s="16">
        <v>301.3622</v>
      </c>
      <c r="Q102" s="16">
        <v>339.4559</v>
      </c>
      <c r="R102" s="16">
        <v>368.6581</v>
      </c>
      <c r="S102" s="16">
        <v>367.5017</v>
      </c>
      <c r="T102" s="16">
        <v>326.9254</v>
      </c>
      <c r="U102" s="16">
        <v>369.6401</v>
      </c>
      <c r="V102" s="16">
        <v>350.8154</v>
      </c>
      <c r="W102" s="16">
        <v>342.4987</v>
      </c>
      <c r="X102" s="16">
        <v>318.9899</v>
      </c>
      <c r="Y102" s="16">
        <v>210.7386</v>
      </c>
      <c r="Z102" s="16"/>
      <c r="AA102" s="17">
        <f t="shared" si="3"/>
        <v>374.9797</v>
      </c>
      <c r="AB102" s="17">
        <f t="shared" si="4"/>
        <v>0</v>
      </c>
      <c r="AC102" s="17">
        <f t="shared" si="5"/>
        <v>232.605558333333</v>
      </c>
    </row>
    <row r="103" spans="1:29">
      <c r="A103" s="8">
        <v>45393</v>
      </c>
      <c r="B103" s="16">
        <v>309.639</v>
      </c>
      <c r="C103" s="16">
        <v>290.8258</v>
      </c>
      <c r="D103" s="16">
        <v>280.8078</v>
      </c>
      <c r="E103" s="16">
        <v>270.9268</v>
      </c>
      <c r="F103" s="16">
        <v>69.7797</v>
      </c>
      <c r="G103" s="16">
        <v>186.2579</v>
      </c>
      <c r="H103" s="16">
        <v>309.0767</v>
      </c>
      <c r="I103" s="16">
        <v>323.1555</v>
      </c>
      <c r="J103" s="16">
        <v>369.1514</v>
      </c>
      <c r="K103" s="16">
        <v>355.3205</v>
      </c>
      <c r="L103" s="16">
        <v>339.3179</v>
      </c>
      <c r="M103" s="16">
        <v>325.3159</v>
      </c>
      <c r="N103" s="16">
        <v>199.249</v>
      </c>
      <c r="O103" s="16">
        <v>314.038</v>
      </c>
      <c r="P103" s="16">
        <v>337.2278</v>
      </c>
      <c r="Q103" s="16">
        <v>351.8669</v>
      </c>
      <c r="R103" s="16">
        <v>536.5445</v>
      </c>
      <c r="S103" s="16">
        <v>505.3222</v>
      </c>
      <c r="T103" s="16">
        <v>436.3711</v>
      </c>
      <c r="U103" s="16">
        <v>469.7743</v>
      </c>
      <c r="V103" s="16">
        <v>444.3362</v>
      </c>
      <c r="W103" s="16">
        <v>361.5466</v>
      </c>
      <c r="X103" s="16">
        <v>332.1723</v>
      </c>
      <c r="Y103" s="16">
        <v>299.1884</v>
      </c>
      <c r="Z103" s="16"/>
      <c r="AA103" s="17">
        <f t="shared" si="3"/>
        <v>536.5445</v>
      </c>
      <c r="AB103" s="17">
        <f t="shared" si="4"/>
        <v>69.7797</v>
      </c>
      <c r="AC103" s="17">
        <f t="shared" si="5"/>
        <v>334.050508333333</v>
      </c>
    </row>
    <row r="104" spans="1:29">
      <c r="A104" s="8">
        <v>45394</v>
      </c>
      <c r="B104" s="16">
        <v>352.0383</v>
      </c>
      <c r="C104" s="16">
        <v>346.4672</v>
      </c>
      <c r="D104" s="16">
        <v>332.2154</v>
      </c>
      <c r="E104" s="16">
        <v>309.6437</v>
      </c>
      <c r="F104" s="16">
        <v>305.4545</v>
      </c>
      <c r="G104" s="16">
        <v>312.329</v>
      </c>
      <c r="H104" s="16">
        <v>342.703</v>
      </c>
      <c r="I104" s="16">
        <v>355.4949</v>
      </c>
      <c r="J104" s="16">
        <v>391.5619</v>
      </c>
      <c r="K104" s="16">
        <v>389.7201</v>
      </c>
      <c r="L104" s="16">
        <v>362.5954</v>
      </c>
      <c r="M104" s="16">
        <v>325.8138</v>
      </c>
      <c r="N104" s="16">
        <v>226.5506</v>
      </c>
      <c r="O104" s="16">
        <v>342.8955</v>
      </c>
      <c r="P104" s="16">
        <v>346.9507</v>
      </c>
      <c r="Q104" s="16">
        <v>382.5716</v>
      </c>
      <c r="R104" s="16">
        <v>384.6214</v>
      </c>
      <c r="S104" s="16">
        <v>371.204</v>
      </c>
      <c r="T104" s="16">
        <v>344.5457</v>
      </c>
      <c r="U104" s="16">
        <v>379.2818</v>
      </c>
      <c r="V104" s="16">
        <v>386.8479</v>
      </c>
      <c r="W104" s="16">
        <v>374.7898</v>
      </c>
      <c r="X104" s="16">
        <v>367.7758</v>
      </c>
      <c r="Y104" s="16">
        <v>340.1584</v>
      </c>
      <c r="Z104" s="16"/>
      <c r="AA104" s="17">
        <f t="shared" si="3"/>
        <v>391.5619</v>
      </c>
      <c r="AB104" s="17">
        <f t="shared" si="4"/>
        <v>226.5506</v>
      </c>
      <c r="AC104" s="17">
        <f t="shared" si="5"/>
        <v>348.926266666667</v>
      </c>
    </row>
    <row r="105" spans="1:29">
      <c r="A105" s="8">
        <v>45395</v>
      </c>
      <c r="B105" s="16">
        <v>623.5709</v>
      </c>
      <c r="C105" s="16">
        <v>400.2058</v>
      </c>
      <c r="D105" s="16">
        <v>338.8506</v>
      </c>
      <c r="E105" s="16">
        <v>315.7097</v>
      </c>
      <c r="F105" s="16">
        <v>301.6819</v>
      </c>
      <c r="G105" s="16">
        <v>294.7635</v>
      </c>
      <c r="H105" s="16">
        <v>316.1732</v>
      </c>
      <c r="I105" s="16">
        <v>319.478</v>
      </c>
      <c r="J105" s="16">
        <v>340.2126</v>
      </c>
      <c r="K105" s="16">
        <v>337.3336</v>
      </c>
      <c r="L105" s="16">
        <v>323.5311</v>
      </c>
      <c r="M105" s="16">
        <v>294.263</v>
      </c>
      <c r="N105" s="16">
        <v>81.5295</v>
      </c>
      <c r="O105" s="16">
        <v>315.0047</v>
      </c>
      <c r="P105" s="16">
        <v>354.2217</v>
      </c>
      <c r="Q105" s="16">
        <v>373.9067</v>
      </c>
      <c r="R105" s="16">
        <v>466.4823</v>
      </c>
      <c r="S105" s="16">
        <v>352.1505</v>
      </c>
      <c r="T105" s="16">
        <v>329.4044</v>
      </c>
      <c r="U105" s="16">
        <v>352.0844</v>
      </c>
      <c r="V105" s="16">
        <v>338.4458</v>
      </c>
      <c r="W105" s="16">
        <v>332.2032</v>
      </c>
      <c r="X105" s="16">
        <v>345.3114</v>
      </c>
      <c r="Y105" s="16">
        <v>323.5674</v>
      </c>
      <c r="Z105" s="16"/>
      <c r="AA105" s="17">
        <f t="shared" si="3"/>
        <v>623.5709</v>
      </c>
      <c r="AB105" s="17">
        <f t="shared" si="4"/>
        <v>81.5295</v>
      </c>
      <c r="AC105" s="17">
        <f t="shared" si="5"/>
        <v>340.420245833333</v>
      </c>
    </row>
    <row r="106" spans="1:29">
      <c r="A106" s="8">
        <v>45396</v>
      </c>
      <c r="B106" s="16">
        <v>673.0707</v>
      </c>
      <c r="C106" s="16">
        <v>559.9132</v>
      </c>
      <c r="D106" s="16">
        <v>381.6405</v>
      </c>
      <c r="E106" s="16">
        <v>358.4792</v>
      </c>
      <c r="F106" s="16">
        <v>346.7939</v>
      </c>
      <c r="G106" s="16">
        <v>334.5269</v>
      </c>
      <c r="H106" s="16">
        <v>347.0254</v>
      </c>
      <c r="I106" s="16">
        <v>351.4917</v>
      </c>
      <c r="J106" s="16">
        <v>337.9764</v>
      </c>
      <c r="K106" s="16">
        <v>326.7045</v>
      </c>
      <c r="L106" s="16">
        <v>332.7425</v>
      </c>
      <c r="M106" s="16">
        <v>299.4992</v>
      </c>
      <c r="N106" s="16">
        <v>232.3276</v>
      </c>
      <c r="O106" s="16">
        <v>326.6126</v>
      </c>
      <c r="P106" s="16">
        <v>362.46</v>
      </c>
      <c r="Q106" s="16">
        <v>345.3696</v>
      </c>
      <c r="R106" s="16">
        <v>365.2416</v>
      </c>
      <c r="S106" s="16">
        <v>355.3375</v>
      </c>
      <c r="T106" s="16">
        <v>351.816</v>
      </c>
      <c r="U106" s="16">
        <v>410.4945</v>
      </c>
      <c r="V106" s="16">
        <v>437.4386</v>
      </c>
      <c r="W106" s="16">
        <v>609.0946</v>
      </c>
      <c r="X106" s="16">
        <v>404.1318</v>
      </c>
      <c r="Y106" s="16">
        <v>364.2169</v>
      </c>
      <c r="Z106" s="16"/>
      <c r="AA106" s="17">
        <f t="shared" si="3"/>
        <v>673.0707</v>
      </c>
      <c r="AB106" s="17">
        <f t="shared" si="4"/>
        <v>232.3276</v>
      </c>
      <c r="AC106" s="17">
        <f t="shared" si="5"/>
        <v>383.933558333333</v>
      </c>
    </row>
    <row r="107" spans="1:29">
      <c r="A107" s="8">
        <v>45397</v>
      </c>
      <c r="B107" s="16">
        <v>854.8078</v>
      </c>
      <c r="C107" s="16">
        <v>518.7263</v>
      </c>
      <c r="D107" s="16">
        <v>370.7891</v>
      </c>
      <c r="E107" s="16">
        <v>341.3189</v>
      </c>
      <c r="F107" s="16">
        <v>327.4461</v>
      </c>
      <c r="G107" s="16">
        <v>329.5223</v>
      </c>
      <c r="H107" s="16">
        <v>391.6003</v>
      </c>
      <c r="I107" s="16">
        <v>450.4902</v>
      </c>
      <c r="J107" s="16">
        <v>640.8865</v>
      </c>
      <c r="K107" s="16">
        <v>637.4977</v>
      </c>
      <c r="L107" s="16">
        <v>405.9967</v>
      </c>
      <c r="M107" s="16">
        <v>361.3603</v>
      </c>
      <c r="N107" s="16">
        <v>319.2359</v>
      </c>
      <c r="O107" s="16">
        <v>376.929</v>
      </c>
      <c r="P107" s="16">
        <v>433.287</v>
      </c>
      <c r="Q107" s="16">
        <v>497.0223</v>
      </c>
      <c r="R107" s="16">
        <v>410.6446</v>
      </c>
      <c r="S107" s="16">
        <v>404.7783</v>
      </c>
      <c r="T107" s="16">
        <v>378.3273</v>
      </c>
      <c r="U107" s="16">
        <v>420.8428</v>
      </c>
      <c r="V107" s="16">
        <v>427.4718</v>
      </c>
      <c r="W107" s="16">
        <v>447.8307</v>
      </c>
      <c r="X107" s="16">
        <v>384.3478</v>
      </c>
      <c r="Y107" s="16">
        <v>350.9981</v>
      </c>
      <c r="Z107" s="16"/>
      <c r="AA107" s="17">
        <f t="shared" si="3"/>
        <v>854.8078</v>
      </c>
      <c r="AB107" s="17">
        <f t="shared" si="4"/>
        <v>319.2359</v>
      </c>
      <c r="AC107" s="17">
        <f t="shared" si="5"/>
        <v>436.756575</v>
      </c>
    </row>
    <row r="108" spans="1:29">
      <c r="A108" s="8">
        <v>45398</v>
      </c>
      <c r="B108" s="16">
        <v>386.2714</v>
      </c>
      <c r="C108" s="16">
        <v>370.6621</v>
      </c>
      <c r="D108" s="16">
        <v>352.218</v>
      </c>
      <c r="E108" s="16">
        <v>328.7403</v>
      </c>
      <c r="F108" s="16">
        <v>324.2624</v>
      </c>
      <c r="G108" s="16">
        <v>315.5695</v>
      </c>
      <c r="H108" s="16">
        <v>340.4483</v>
      </c>
      <c r="I108" s="16">
        <v>348.5686</v>
      </c>
      <c r="J108" s="16">
        <v>388.6686</v>
      </c>
      <c r="K108" s="16">
        <v>405.762</v>
      </c>
      <c r="L108" s="16">
        <v>386.7994</v>
      </c>
      <c r="M108" s="16">
        <v>341.0944</v>
      </c>
      <c r="N108" s="16">
        <v>307.062</v>
      </c>
      <c r="O108" s="16">
        <v>324.4668</v>
      </c>
      <c r="P108" s="16">
        <v>352.3758</v>
      </c>
      <c r="Q108" s="16">
        <v>357.6029</v>
      </c>
      <c r="R108" s="16">
        <v>377.1457</v>
      </c>
      <c r="S108" s="16">
        <v>374.7683</v>
      </c>
      <c r="T108" s="16">
        <v>364.0309</v>
      </c>
      <c r="U108" s="16">
        <v>379.5071</v>
      </c>
      <c r="V108" s="16">
        <v>397.8054</v>
      </c>
      <c r="W108" s="16">
        <v>425.6042</v>
      </c>
      <c r="X108" s="16">
        <v>413.5905</v>
      </c>
      <c r="Y108" s="16">
        <v>368.1185</v>
      </c>
      <c r="Z108" s="16"/>
      <c r="AA108" s="17">
        <f t="shared" si="3"/>
        <v>425.6042</v>
      </c>
      <c r="AB108" s="17">
        <f t="shared" si="4"/>
        <v>307.062</v>
      </c>
      <c r="AC108" s="17">
        <f t="shared" si="5"/>
        <v>363.797629166667</v>
      </c>
    </row>
    <row r="109" spans="1:29">
      <c r="A109" s="8">
        <v>45399</v>
      </c>
      <c r="B109" s="16">
        <v>661.213</v>
      </c>
      <c r="C109" s="16">
        <v>529.7605</v>
      </c>
      <c r="D109" s="16">
        <v>368.8782</v>
      </c>
      <c r="E109" s="16">
        <v>350.2407</v>
      </c>
      <c r="F109" s="16">
        <v>337.6043</v>
      </c>
      <c r="G109" s="16">
        <v>337.6701</v>
      </c>
      <c r="H109" s="16">
        <v>360.7435</v>
      </c>
      <c r="I109" s="16">
        <v>360.0547</v>
      </c>
      <c r="J109" s="16">
        <v>433.0014</v>
      </c>
      <c r="K109" s="16">
        <v>557.0344</v>
      </c>
      <c r="L109" s="16">
        <v>814.6072</v>
      </c>
      <c r="M109" s="16">
        <v>683.921</v>
      </c>
      <c r="N109" s="16">
        <v>427.9188</v>
      </c>
      <c r="O109" s="16">
        <v>614.9267</v>
      </c>
      <c r="P109" s="16">
        <v>762.1307</v>
      </c>
      <c r="Q109" s="16">
        <v>732.1599</v>
      </c>
      <c r="R109" s="16">
        <v>493.3386</v>
      </c>
      <c r="S109" s="16">
        <v>486.0712</v>
      </c>
      <c r="T109" s="16">
        <v>378.593</v>
      </c>
      <c r="U109" s="16">
        <v>394.8007</v>
      </c>
      <c r="V109" s="16">
        <v>556.8652</v>
      </c>
      <c r="W109" s="16">
        <v>747.467</v>
      </c>
      <c r="X109" s="16">
        <v>609.1209</v>
      </c>
      <c r="Y109" s="16">
        <v>402.4373</v>
      </c>
      <c r="Z109" s="16"/>
      <c r="AA109" s="17">
        <f t="shared" si="3"/>
        <v>814.6072</v>
      </c>
      <c r="AB109" s="17">
        <f t="shared" si="4"/>
        <v>337.6043</v>
      </c>
      <c r="AC109" s="17">
        <f t="shared" si="5"/>
        <v>516.689958333333</v>
      </c>
    </row>
    <row r="110" spans="1:29">
      <c r="A110" s="8">
        <v>45400</v>
      </c>
      <c r="B110" s="16">
        <v>664.9842</v>
      </c>
      <c r="C110" s="16">
        <v>703.0028</v>
      </c>
      <c r="D110" s="16">
        <v>500.7736</v>
      </c>
      <c r="E110" s="16">
        <v>370.7037</v>
      </c>
      <c r="F110" s="16">
        <v>358.6773</v>
      </c>
      <c r="G110" s="16">
        <v>358.5347</v>
      </c>
      <c r="H110" s="16">
        <v>372.6261</v>
      </c>
      <c r="I110" s="16">
        <v>388.6933</v>
      </c>
      <c r="J110" s="16">
        <v>686.9317</v>
      </c>
      <c r="K110" s="16">
        <v>723.2778</v>
      </c>
      <c r="L110" s="16">
        <v>490.7389</v>
      </c>
      <c r="M110" s="16">
        <v>525.2955</v>
      </c>
      <c r="N110" s="16">
        <v>346.8702</v>
      </c>
      <c r="O110" s="16">
        <v>374.84</v>
      </c>
      <c r="P110" s="16">
        <v>364.522</v>
      </c>
      <c r="Q110" s="16">
        <v>353.1155</v>
      </c>
      <c r="R110" s="16">
        <v>347.2718</v>
      </c>
      <c r="S110" s="16">
        <v>304.3165</v>
      </c>
      <c r="T110" s="16">
        <v>334.606</v>
      </c>
      <c r="U110" s="16">
        <v>355.6059</v>
      </c>
      <c r="V110" s="16">
        <v>352.9319</v>
      </c>
      <c r="W110" s="16">
        <v>344.33</v>
      </c>
      <c r="X110" s="16">
        <v>327.4288</v>
      </c>
      <c r="Y110" s="16">
        <v>303.7889</v>
      </c>
      <c r="Z110" s="16"/>
      <c r="AA110" s="17">
        <f t="shared" si="3"/>
        <v>723.2778</v>
      </c>
      <c r="AB110" s="17">
        <f t="shared" si="4"/>
        <v>303.7889</v>
      </c>
      <c r="AC110" s="17">
        <f t="shared" si="5"/>
        <v>427.2444625</v>
      </c>
    </row>
    <row r="111" spans="1:29">
      <c r="A111" s="8">
        <v>45401</v>
      </c>
      <c r="B111" s="16">
        <v>358.8818</v>
      </c>
      <c r="C111" s="16">
        <v>356.4033</v>
      </c>
      <c r="D111" s="16">
        <v>348.6536</v>
      </c>
      <c r="E111" s="16">
        <v>328.038</v>
      </c>
      <c r="F111" s="16">
        <v>323.893</v>
      </c>
      <c r="G111" s="16">
        <v>307.5853</v>
      </c>
      <c r="H111" s="16">
        <v>338.6064</v>
      </c>
      <c r="I111" s="16">
        <v>351.3999</v>
      </c>
      <c r="J111" s="16">
        <v>623.4024</v>
      </c>
      <c r="K111" s="16">
        <v>806.2995</v>
      </c>
      <c r="L111" s="16">
        <v>414.5032</v>
      </c>
      <c r="M111" s="16">
        <v>376.6846</v>
      </c>
      <c r="N111" s="16">
        <v>343.6845</v>
      </c>
      <c r="O111" s="16">
        <v>374.5525</v>
      </c>
      <c r="P111" s="16">
        <v>417.7846</v>
      </c>
      <c r="Q111" s="16">
        <v>432.6421</v>
      </c>
      <c r="R111" s="16">
        <v>402.1465</v>
      </c>
      <c r="S111" s="16">
        <v>375.3348</v>
      </c>
      <c r="T111" s="16">
        <v>360.2773</v>
      </c>
      <c r="U111" s="16">
        <v>376.8551</v>
      </c>
      <c r="V111" s="16">
        <v>385.1293</v>
      </c>
      <c r="W111" s="16">
        <v>400.6746</v>
      </c>
      <c r="X111" s="16">
        <v>365.787</v>
      </c>
      <c r="Y111" s="16">
        <v>337.4417</v>
      </c>
      <c r="Z111" s="16"/>
      <c r="AA111" s="17">
        <f t="shared" si="3"/>
        <v>806.2995</v>
      </c>
      <c r="AB111" s="17">
        <f t="shared" si="4"/>
        <v>307.5853</v>
      </c>
      <c r="AC111" s="17">
        <f t="shared" si="5"/>
        <v>396.110875</v>
      </c>
    </row>
    <row r="112" spans="1:29">
      <c r="A112" s="8">
        <v>45402</v>
      </c>
      <c r="B112" s="16">
        <v>448.8737</v>
      </c>
      <c r="C112" s="16">
        <v>372.2015</v>
      </c>
      <c r="D112" s="16">
        <v>357.0785</v>
      </c>
      <c r="E112" s="16">
        <v>339.4229</v>
      </c>
      <c r="F112" s="16">
        <v>335.9948</v>
      </c>
      <c r="G112" s="16">
        <v>337.0946</v>
      </c>
      <c r="H112" s="16">
        <v>350.8032</v>
      </c>
      <c r="I112" s="16">
        <v>352.3462</v>
      </c>
      <c r="J112" s="16">
        <v>388.1224</v>
      </c>
      <c r="K112" s="16">
        <v>570.4698</v>
      </c>
      <c r="L112" s="16">
        <v>524.4471</v>
      </c>
      <c r="M112" s="16">
        <v>452.1883</v>
      </c>
      <c r="N112" s="16">
        <v>360.7577</v>
      </c>
      <c r="O112" s="16">
        <v>420.2763</v>
      </c>
      <c r="P112" s="16">
        <v>425.0027</v>
      </c>
      <c r="Q112" s="16">
        <v>601.3428</v>
      </c>
      <c r="R112" s="16">
        <v>381.8014</v>
      </c>
      <c r="S112" s="16">
        <v>382.5309</v>
      </c>
      <c r="T112" s="16">
        <v>367.2009</v>
      </c>
      <c r="U112" s="16">
        <v>352.4682</v>
      </c>
      <c r="V112" s="16">
        <v>354.2002</v>
      </c>
      <c r="W112" s="16">
        <v>355.2585</v>
      </c>
      <c r="X112" s="16">
        <v>355.553</v>
      </c>
      <c r="Y112" s="16">
        <v>320.432</v>
      </c>
      <c r="Z112" s="16"/>
      <c r="AA112" s="17">
        <f t="shared" si="3"/>
        <v>601.3428</v>
      </c>
      <c r="AB112" s="17">
        <f t="shared" si="4"/>
        <v>320.432</v>
      </c>
      <c r="AC112" s="17">
        <f t="shared" si="5"/>
        <v>396.077816666667</v>
      </c>
    </row>
    <row r="113" spans="1:29">
      <c r="A113" s="8">
        <v>45403</v>
      </c>
      <c r="B113" s="16">
        <v>488.8463</v>
      </c>
      <c r="C113" s="16">
        <v>381.1524</v>
      </c>
      <c r="D113" s="16">
        <v>367.4366</v>
      </c>
      <c r="E113" s="16">
        <v>353.3107</v>
      </c>
      <c r="F113" s="16">
        <v>332.3148</v>
      </c>
      <c r="G113" s="16">
        <v>331.7174</v>
      </c>
      <c r="H113" s="16">
        <v>346.8623</v>
      </c>
      <c r="I113" s="16">
        <v>350.2129</v>
      </c>
      <c r="J113" s="16">
        <v>346.6184</v>
      </c>
      <c r="K113" s="16">
        <v>457.3701</v>
      </c>
      <c r="L113" s="16">
        <v>379.1112</v>
      </c>
      <c r="M113" s="16">
        <v>372.6737</v>
      </c>
      <c r="N113" s="16">
        <v>345.0575</v>
      </c>
      <c r="O113" s="16">
        <v>354.7674</v>
      </c>
      <c r="P113" s="16">
        <v>335.1036</v>
      </c>
      <c r="Q113" s="16">
        <v>322.7512</v>
      </c>
      <c r="R113" s="16">
        <v>309.5469</v>
      </c>
      <c r="S113" s="16">
        <v>281.8675</v>
      </c>
      <c r="T113" s="16">
        <v>328.072</v>
      </c>
      <c r="U113" s="16">
        <v>339.915</v>
      </c>
      <c r="V113" s="16">
        <v>338.7653</v>
      </c>
      <c r="W113" s="16">
        <v>344.904</v>
      </c>
      <c r="X113" s="16">
        <v>339.0808</v>
      </c>
      <c r="Y113" s="16">
        <v>131.1229</v>
      </c>
      <c r="Z113" s="16"/>
      <c r="AA113" s="17">
        <f t="shared" si="3"/>
        <v>488.8463</v>
      </c>
      <c r="AB113" s="17">
        <f t="shared" si="4"/>
        <v>131.1229</v>
      </c>
      <c r="AC113" s="17">
        <f t="shared" si="5"/>
        <v>344.940870833333</v>
      </c>
    </row>
    <row r="114" spans="1:29">
      <c r="A114" s="8">
        <v>45404</v>
      </c>
      <c r="B114" s="16">
        <v>530.8147</v>
      </c>
      <c r="C114" s="16">
        <v>356.4265</v>
      </c>
      <c r="D114" s="16">
        <v>332.3786</v>
      </c>
      <c r="E114" s="16">
        <v>327.6136</v>
      </c>
      <c r="F114" s="16">
        <v>329.1141</v>
      </c>
      <c r="G114" s="16">
        <v>342.25</v>
      </c>
      <c r="H114" s="16">
        <v>364.8685</v>
      </c>
      <c r="I114" s="16">
        <v>376.9833</v>
      </c>
      <c r="J114" s="16">
        <v>635.5123</v>
      </c>
      <c r="K114" s="16">
        <v>404.8254</v>
      </c>
      <c r="L114" s="16">
        <v>378.2728</v>
      </c>
      <c r="M114" s="16">
        <v>365.0949</v>
      </c>
      <c r="N114" s="16">
        <v>350.208</v>
      </c>
      <c r="O114" s="16">
        <v>361.5861</v>
      </c>
      <c r="P114" s="16">
        <v>390.6942</v>
      </c>
      <c r="Q114" s="16">
        <v>394.1299</v>
      </c>
      <c r="R114" s="16">
        <v>409.8377</v>
      </c>
      <c r="S114" s="16">
        <v>382.5575</v>
      </c>
      <c r="T114" s="16">
        <v>398.8847</v>
      </c>
      <c r="U114" s="16">
        <v>447.6121</v>
      </c>
      <c r="V114" s="16">
        <v>485.1345</v>
      </c>
      <c r="W114" s="16">
        <v>449.7588</v>
      </c>
      <c r="X114" s="16">
        <v>386.3764</v>
      </c>
      <c r="Y114" s="16">
        <v>355.9095</v>
      </c>
      <c r="Z114" s="16"/>
      <c r="AA114" s="17">
        <f t="shared" si="3"/>
        <v>635.5123</v>
      </c>
      <c r="AB114" s="17">
        <f t="shared" si="4"/>
        <v>327.6136</v>
      </c>
      <c r="AC114" s="17">
        <f t="shared" si="5"/>
        <v>398.2018375</v>
      </c>
    </row>
    <row r="115" spans="1:29">
      <c r="A115" s="8">
        <v>45405</v>
      </c>
      <c r="B115" s="16">
        <v>378.7605</v>
      </c>
      <c r="C115" s="16">
        <v>373.1273</v>
      </c>
      <c r="D115" s="16">
        <v>365.7293</v>
      </c>
      <c r="E115" s="16">
        <v>353.9265</v>
      </c>
      <c r="F115" s="16">
        <v>351.0832</v>
      </c>
      <c r="G115" s="16">
        <v>351.115</v>
      </c>
      <c r="H115" s="16">
        <v>368.5607</v>
      </c>
      <c r="I115" s="16">
        <v>380.3754</v>
      </c>
      <c r="J115" s="16">
        <v>628.0017</v>
      </c>
      <c r="K115" s="16">
        <v>471.9575</v>
      </c>
      <c r="L115" s="16">
        <v>447.1465</v>
      </c>
      <c r="M115" s="16">
        <v>450.3271</v>
      </c>
      <c r="N115" s="16">
        <v>354.5337</v>
      </c>
      <c r="O115" s="16">
        <v>423.2242</v>
      </c>
      <c r="P115" s="16">
        <v>390.3523</v>
      </c>
      <c r="Q115" s="16">
        <v>461.413</v>
      </c>
      <c r="R115" s="16">
        <v>546.0689</v>
      </c>
      <c r="S115" s="16">
        <v>524.0671</v>
      </c>
      <c r="T115" s="16">
        <v>615.8985</v>
      </c>
      <c r="U115" s="16">
        <v>768.5037</v>
      </c>
      <c r="V115" s="16">
        <v>561.6665</v>
      </c>
      <c r="W115" s="16">
        <v>979.8702</v>
      </c>
      <c r="X115" s="16">
        <v>381.7722</v>
      </c>
      <c r="Y115" s="16">
        <v>342.105</v>
      </c>
      <c r="Z115" s="16"/>
      <c r="AA115" s="17">
        <f t="shared" si="3"/>
        <v>979.8702</v>
      </c>
      <c r="AB115" s="17">
        <f t="shared" si="4"/>
        <v>342.105</v>
      </c>
      <c r="AC115" s="17">
        <f t="shared" si="5"/>
        <v>469.566083333333</v>
      </c>
    </row>
    <row r="116" spans="1:29">
      <c r="A116" s="8">
        <v>45406</v>
      </c>
      <c r="B116" s="16">
        <v>364.6525</v>
      </c>
      <c r="C116" s="16">
        <v>363.0985</v>
      </c>
      <c r="D116" s="16">
        <v>348.8934</v>
      </c>
      <c r="E116" s="16">
        <v>342.0257</v>
      </c>
      <c r="F116" s="16">
        <v>332.1225</v>
      </c>
      <c r="G116" s="16">
        <v>343.9351</v>
      </c>
      <c r="H116" s="16">
        <v>374.8714</v>
      </c>
      <c r="I116" s="16">
        <v>373.6159</v>
      </c>
      <c r="J116" s="16">
        <v>464.6452</v>
      </c>
      <c r="K116" s="16">
        <v>445.733</v>
      </c>
      <c r="L116" s="16">
        <v>378.451</v>
      </c>
      <c r="M116" s="16">
        <v>366.4511</v>
      </c>
      <c r="N116" s="16">
        <v>346.0895</v>
      </c>
      <c r="O116" s="16">
        <v>359.3296</v>
      </c>
      <c r="P116" s="16">
        <v>413.6256</v>
      </c>
      <c r="Q116" s="16">
        <v>632.8412</v>
      </c>
      <c r="R116" s="16">
        <v>704.1343</v>
      </c>
      <c r="S116" s="16">
        <v>621.2655</v>
      </c>
      <c r="T116" s="16">
        <v>419.8304</v>
      </c>
      <c r="U116" s="16">
        <v>420.9842</v>
      </c>
      <c r="V116" s="16">
        <v>426.2995</v>
      </c>
      <c r="W116" s="16">
        <v>381.7559</v>
      </c>
      <c r="X116" s="16">
        <v>365.0897</v>
      </c>
      <c r="Y116" s="16">
        <v>333.3236</v>
      </c>
      <c r="Z116" s="16"/>
      <c r="AA116" s="17">
        <f t="shared" si="3"/>
        <v>704.1343</v>
      </c>
      <c r="AB116" s="17">
        <f t="shared" si="4"/>
        <v>332.1225</v>
      </c>
      <c r="AC116" s="17">
        <f t="shared" si="5"/>
        <v>413.4610125</v>
      </c>
    </row>
    <row r="117" spans="1:29">
      <c r="A117" s="8">
        <v>45407</v>
      </c>
      <c r="B117" s="16">
        <v>355.3205</v>
      </c>
      <c r="C117" s="16">
        <v>347.4358</v>
      </c>
      <c r="D117" s="16">
        <v>329.8547</v>
      </c>
      <c r="E117" s="16">
        <v>320.5048</v>
      </c>
      <c r="F117" s="16">
        <v>312.8492</v>
      </c>
      <c r="G117" s="16">
        <v>314.4882</v>
      </c>
      <c r="H117" s="16">
        <v>347.3549</v>
      </c>
      <c r="I117" s="16">
        <v>346.418</v>
      </c>
      <c r="J117" s="16">
        <v>494.9137</v>
      </c>
      <c r="K117" s="16">
        <v>583.6067</v>
      </c>
      <c r="L117" s="16">
        <v>532.2855</v>
      </c>
      <c r="M117" s="16">
        <v>375.4699</v>
      </c>
      <c r="N117" s="16">
        <v>249.25</v>
      </c>
      <c r="O117" s="16">
        <v>363.3687</v>
      </c>
      <c r="P117" s="16">
        <v>378.5634</v>
      </c>
      <c r="Q117" s="16">
        <v>381.1815</v>
      </c>
      <c r="R117" s="16">
        <v>406.3171</v>
      </c>
      <c r="S117" s="16">
        <v>446.34</v>
      </c>
      <c r="T117" s="16">
        <v>396.2844</v>
      </c>
      <c r="U117" s="16">
        <v>443.9087</v>
      </c>
      <c r="V117" s="16">
        <v>421.5231</v>
      </c>
      <c r="W117" s="16">
        <v>403.9407</v>
      </c>
      <c r="X117" s="16">
        <v>380.9806</v>
      </c>
      <c r="Y117" s="16">
        <v>353.4717</v>
      </c>
      <c r="Z117" s="16"/>
      <c r="AA117" s="17">
        <f t="shared" si="3"/>
        <v>583.6067</v>
      </c>
      <c r="AB117" s="17">
        <f t="shared" si="4"/>
        <v>249.25</v>
      </c>
      <c r="AC117" s="17">
        <f t="shared" si="5"/>
        <v>386.901325</v>
      </c>
    </row>
    <row r="118" spans="1:29">
      <c r="A118" s="8">
        <v>45408</v>
      </c>
      <c r="B118" s="16" t="s">
        <v>39</v>
      </c>
      <c r="C118" s="16" t="s">
        <v>40</v>
      </c>
      <c r="D118" s="16" t="s">
        <v>41</v>
      </c>
      <c r="E118" s="16" t="s">
        <v>42</v>
      </c>
      <c r="F118" s="16" t="s">
        <v>43</v>
      </c>
      <c r="G118" s="16" t="s">
        <v>44</v>
      </c>
      <c r="H118" s="16" t="s">
        <v>45</v>
      </c>
      <c r="I118" s="16" t="s">
        <v>46</v>
      </c>
      <c r="J118" s="16" t="s">
        <v>47</v>
      </c>
      <c r="K118" s="16" t="s">
        <v>48</v>
      </c>
      <c r="L118" s="16" t="s">
        <v>49</v>
      </c>
      <c r="M118" s="16" t="s">
        <v>50</v>
      </c>
      <c r="N118" s="16" t="s">
        <v>51</v>
      </c>
      <c r="O118" s="16" t="s">
        <v>52</v>
      </c>
      <c r="P118" s="16" t="s">
        <v>53</v>
      </c>
      <c r="Q118" s="16" t="s">
        <v>54</v>
      </c>
      <c r="R118" s="16" t="s">
        <v>55</v>
      </c>
      <c r="S118" s="16" t="s">
        <v>56</v>
      </c>
      <c r="T118" s="16" t="s">
        <v>57</v>
      </c>
      <c r="U118" s="16" t="s">
        <v>58</v>
      </c>
      <c r="V118" s="16" t="s">
        <v>59</v>
      </c>
      <c r="W118" s="16" t="s">
        <v>60</v>
      </c>
      <c r="X118" s="16" t="s">
        <v>61</v>
      </c>
      <c r="Y118" s="16" t="s">
        <v>62</v>
      </c>
      <c r="Z118" s="16"/>
      <c r="AA118" s="17">
        <f t="shared" si="3"/>
        <v>0</v>
      </c>
      <c r="AB118" s="17">
        <f t="shared" si="4"/>
        <v>0</v>
      </c>
      <c r="AC118" s="17" t="e">
        <f t="shared" si="5"/>
        <v>#DIV/0!</v>
      </c>
    </row>
    <row r="119" spans="1:29">
      <c r="A119" s="8">
        <v>45409</v>
      </c>
      <c r="B119" s="16">
        <v>639.6123</v>
      </c>
      <c r="C119" s="16">
        <v>510.5282</v>
      </c>
      <c r="D119" s="16">
        <v>384.9313</v>
      </c>
      <c r="E119" s="16">
        <v>365.6797</v>
      </c>
      <c r="F119" s="16">
        <v>359.4053</v>
      </c>
      <c r="G119" s="16">
        <v>352.8537</v>
      </c>
      <c r="H119" s="16">
        <v>365.8227</v>
      </c>
      <c r="I119" s="16">
        <v>368.423</v>
      </c>
      <c r="J119" s="16">
        <v>396.3752</v>
      </c>
      <c r="K119" s="16">
        <v>407.3947</v>
      </c>
      <c r="L119" s="16">
        <v>473.6935</v>
      </c>
      <c r="M119" s="16">
        <v>503.6344</v>
      </c>
      <c r="N119" s="16">
        <v>336.8174</v>
      </c>
      <c r="O119" s="16">
        <v>479.9354</v>
      </c>
      <c r="P119" s="16">
        <v>659.4144</v>
      </c>
      <c r="Q119" s="16">
        <v>609.4471</v>
      </c>
      <c r="R119" s="16">
        <v>512.6966</v>
      </c>
      <c r="S119" s="16">
        <v>464.9979</v>
      </c>
      <c r="T119" s="16">
        <v>379.2056</v>
      </c>
      <c r="U119" s="16">
        <v>383.618</v>
      </c>
      <c r="V119" s="16">
        <v>360.3029</v>
      </c>
      <c r="W119" s="16">
        <v>366.6573</v>
      </c>
      <c r="X119" s="16">
        <v>345.4798</v>
      </c>
      <c r="Y119" s="16">
        <v>335.5053</v>
      </c>
      <c r="Z119" s="16"/>
      <c r="AA119" s="17">
        <f t="shared" si="3"/>
        <v>659.4144</v>
      </c>
      <c r="AB119" s="17">
        <f t="shared" si="4"/>
        <v>335.5053</v>
      </c>
      <c r="AC119" s="17">
        <f t="shared" si="5"/>
        <v>431.7679875</v>
      </c>
    </row>
    <row r="120" spans="1:29">
      <c r="A120" s="8">
        <v>45410</v>
      </c>
      <c r="B120" s="16">
        <v>378.3639</v>
      </c>
      <c r="C120" s="16">
        <v>378.756</v>
      </c>
      <c r="D120" s="16">
        <v>362.1533</v>
      </c>
      <c r="E120" s="16">
        <v>362.4975</v>
      </c>
      <c r="F120" s="16">
        <v>335.8054</v>
      </c>
      <c r="G120" s="16">
        <v>331.7076</v>
      </c>
      <c r="H120" s="16">
        <v>353.0857</v>
      </c>
      <c r="I120" s="16">
        <v>346.876</v>
      </c>
      <c r="J120" s="16">
        <v>379.7798</v>
      </c>
      <c r="K120" s="16">
        <v>374.6914</v>
      </c>
      <c r="L120" s="16">
        <v>376.324</v>
      </c>
      <c r="M120" s="16">
        <v>338.1124</v>
      </c>
      <c r="N120" s="16">
        <v>278.6377</v>
      </c>
      <c r="O120" s="16">
        <v>351.3386</v>
      </c>
      <c r="P120" s="16">
        <v>365.9023</v>
      </c>
      <c r="Q120" s="16">
        <v>355.3784</v>
      </c>
      <c r="R120" s="16">
        <v>369.5679</v>
      </c>
      <c r="S120" s="16">
        <v>368.3411</v>
      </c>
      <c r="T120" s="16">
        <v>355.0369</v>
      </c>
      <c r="U120" s="16">
        <v>344.8904</v>
      </c>
      <c r="V120" s="16">
        <v>354.3781</v>
      </c>
      <c r="W120" s="16">
        <v>364.5683</v>
      </c>
      <c r="X120" s="16">
        <v>354.6885</v>
      </c>
      <c r="Y120" s="16">
        <v>325.2992</v>
      </c>
      <c r="Z120" s="16"/>
      <c r="AA120" s="17">
        <f t="shared" si="3"/>
        <v>379.7798</v>
      </c>
      <c r="AB120" s="17">
        <f t="shared" si="4"/>
        <v>278.6377</v>
      </c>
      <c r="AC120" s="17">
        <f t="shared" si="5"/>
        <v>354.424183333333</v>
      </c>
    </row>
    <row r="121" spans="1:29">
      <c r="A121" s="8">
        <v>45411</v>
      </c>
      <c r="B121" s="16">
        <v>365.6074</v>
      </c>
      <c r="C121" s="16">
        <v>364.5604</v>
      </c>
      <c r="D121" s="16">
        <v>342.575</v>
      </c>
      <c r="E121" s="16">
        <v>305.5092</v>
      </c>
      <c r="F121" s="16">
        <v>243.7025</v>
      </c>
      <c r="G121" s="16">
        <v>304.4371</v>
      </c>
      <c r="H121" s="16">
        <v>335.9208</v>
      </c>
      <c r="I121" s="16">
        <v>348.332</v>
      </c>
      <c r="J121" s="16">
        <v>370.9915</v>
      </c>
      <c r="K121" s="16">
        <v>366.3128</v>
      </c>
      <c r="L121" s="16">
        <v>353.2389</v>
      </c>
      <c r="M121" s="16">
        <v>352.6609</v>
      </c>
      <c r="N121" s="16">
        <v>248.8229</v>
      </c>
      <c r="O121" s="16">
        <v>364.2571</v>
      </c>
      <c r="P121" s="16">
        <v>363.4186</v>
      </c>
      <c r="Q121" s="16">
        <v>378.742</v>
      </c>
      <c r="R121" s="16">
        <v>495.4182</v>
      </c>
      <c r="S121" s="16">
        <v>366.2283</v>
      </c>
      <c r="T121" s="16">
        <v>375.05</v>
      </c>
      <c r="U121" s="16">
        <v>407.4852</v>
      </c>
      <c r="V121" s="16">
        <v>389.8571</v>
      </c>
      <c r="W121" s="16">
        <v>396.8009</v>
      </c>
      <c r="X121" s="16">
        <v>375.6726</v>
      </c>
      <c r="Y121" s="16">
        <v>357.2372</v>
      </c>
      <c r="Z121" s="16"/>
      <c r="AA121" s="17">
        <f t="shared" si="3"/>
        <v>495.4182</v>
      </c>
      <c r="AB121" s="17">
        <f t="shared" si="4"/>
        <v>243.7025</v>
      </c>
      <c r="AC121" s="17">
        <f t="shared" si="5"/>
        <v>357.201608333333</v>
      </c>
    </row>
    <row r="122" spans="1:29">
      <c r="A122" s="8">
        <v>45412</v>
      </c>
      <c r="B122" s="16">
        <v>366.8152</v>
      </c>
      <c r="C122" s="16">
        <v>368.4091</v>
      </c>
      <c r="D122" s="16">
        <v>351.3892</v>
      </c>
      <c r="E122" s="16">
        <v>327.3717</v>
      </c>
      <c r="F122" s="16">
        <v>307.0597</v>
      </c>
      <c r="G122" s="16">
        <v>307.2438</v>
      </c>
      <c r="H122" s="16">
        <v>335.7617</v>
      </c>
      <c r="I122" s="16">
        <v>341.7796</v>
      </c>
      <c r="J122" s="16">
        <v>373.4182</v>
      </c>
      <c r="K122" s="16">
        <v>389.7693</v>
      </c>
      <c r="L122" s="16">
        <v>406.0687</v>
      </c>
      <c r="M122" s="16">
        <v>392.4664</v>
      </c>
      <c r="N122" s="16">
        <v>251.788</v>
      </c>
      <c r="O122" s="16">
        <v>341.787</v>
      </c>
      <c r="P122" s="16">
        <v>356.1111</v>
      </c>
      <c r="Q122" s="16">
        <v>352.0948</v>
      </c>
      <c r="R122" s="16">
        <v>361.3026</v>
      </c>
      <c r="S122" s="16">
        <v>329.623</v>
      </c>
      <c r="T122" s="16">
        <v>344.4632</v>
      </c>
      <c r="U122" s="16">
        <v>356.5765</v>
      </c>
      <c r="V122" s="16">
        <v>362.5</v>
      </c>
      <c r="W122" s="16">
        <v>365.4348</v>
      </c>
      <c r="X122" s="16">
        <v>360.8325</v>
      </c>
      <c r="Y122" s="16">
        <v>335</v>
      </c>
      <c r="Z122" s="16"/>
      <c r="AA122" s="17">
        <f t="shared" si="3"/>
        <v>406.0687</v>
      </c>
      <c r="AB122" s="17">
        <f t="shared" si="4"/>
        <v>251.788</v>
      </c>
      <c r="AC122" s="17">
        <f t="shared" si="5"/>
        <v>349.377754166667</v>
      </c>
    </row>
    <row r="123" spans="1:29">
      <c r="A123" s="8">
        <v>45413</v>
      </c>
      <c r="B123" s="16">
        <v>519.9039</v>
      </c>
      <c r="C123" s="16">
        <v>360.036</v>
      </c>
      <c r="D123" s="16">
        <v>336.25</v>
      </c>
      <c r="E123" s="16">
        <v>232.5</v>
      </c>
      <c r="F123" s="16">
        <v>70.09</v>
      </c>
      <c r="G123" s="16">
        <v>0</v>
      </c>
      <c r="H123" s="16">
        <v>0</v>
      </c>
      <c r="I123" s="16">
        <v>33.1444</v>
      </c>
      <c r="J123" s="16">
        <v>10.9526</v>
      </c>
      <c r="K123" s="16">
        <v>167.5007</v>
      </c>
      <c r="L123" s="16">
        <v>10.1268</v>
      </c>
      <c r="M123" s="16">
        <v>0</v>
      </c>
      <c r="N123" s="16">
        <v>7.1294</v>
      </c>
      <c r="O123" s="16">
        <v>0</v>
      </c>
      <c r="P123" s="16">
        <v>0</v>
      </c>
      <c r="Q123" s="16">
        <v>0</v>
      </c>
      <c r="R123" s="16">
        <v>0</v>
      </c>
      <c r="S123" s="16">
        <v>11.2188</v>
      </c>
      <c r="T123" s="16">
        <v>29.9113</v>
      </c>
      <c r="U123" s="16">
        <v>26.5265</v>
      </c>
      <c r="V123" s="16">
        <v>36.7854</v>
      </c>
      <c r="W123" s="16">
        <v>37.6084</v>
      </c>
      <c r="X123" s="16">
        <v>48.6695</v>
      </c>
      <c r="Y123" s="16">
        <v>0.0003</v>
      </c>
      <c r="Z123" s="16"/>
      <c r="AA123" s="17">
        <f t="shared" si="3"/>
        <v>519.9039</v>
      </c>
      <c r="AB123" s="17">
        <f t="shared" si="4"/>
        <v>0</v>
      </c>
      <c r="AC123" s="17">
        <f t="shared" si="5"/>
        <v>80.76475</v>
      </c>
    </row>
    <row r="124" spans="1:29">
      <c r="A124" s="8">
        <v>45414</v>
      </c>
      <c r="B124" s="16">
        <v>267.4384</v>
      </c>
      <c r="C124" s="16">
        <v>0</v>
      </c>
      <c r="D124" s="16">
        <v>0</v>
      </c>
      <c r="E124" s="16">
        <v>0</v>
      </c>
      <c r="F124" s="16">
        <v>0</v>
      </c>
      <c r="G124" s="16">
        <v>0</v>
      </c>
      <c r="H124" s="16">
        <v>26.4359</v>
      </c>
      <c r="I124" s="16">
        <v>0</v>
      </c>
      <c r="J124" s="16">
        <v>18.8723</v>
      </c>
      <c r="K124" s="16">
        <v>42.6421</v>
      </c>
      <c r="L124" s="16">
        <v>24.7517</v>
      </c>
      <c r="M124" s="16">
        <v>95.8093</v>
      </c>
      <c r="N124" s="16">
        <v>63.9398</v>
      </c>
      <c r="O124" s="16">
        <v>139.8443</v>
      </c>
      <c r="P124" s="16">
        <v>11.6401</v>
      </c>
      <c r="Q124" s="16">
        <v>46.1357</v>
      </c>
      <c r="R124" s="16">
        <v>46.595</v>
      </c>
      <c r="S124" s="16">
        <v>71.317</v>
      </c>
      <c r="T124" s="16">
        <v>186.36</v>
      </c>
      <c r="U124" s="16">
        <v>246.7179</v>
      </c>
      <c r="V124" s="16">
        <v>268.6283</v>
      </c>
      <c r="W124" s="16">
        <v>242.3261</v>
      </c>
      <c r="X124" s="16">
        <v>279.8177</v>
      </c>
      <c r="Y124" s="16">
        <v>135.2895</v>
      </c>
      <c r="Z124" s="16"/>
      <c r="AA124" s="17">
        <f t="shared" si="3"/>
        <v>279.8177</v>
      </c>
      <c r="AB124" s="17">
        <f t="shared" si="4"/>
        <v>0</v>
      </c>
      <c r="AC124" s="17">
        <f t="shared" si="5"/>
        <v>92.2733791666667</v>
      </c>
    </row>
    <row r="125" spans="1:29">
      <c r="A125" s="8">
        <v>45415</v>
      </c>
      <c r="B125" s="16">
        <v>336.3982</v>
      </c>
      <c r="C125" s="16">
        <v>315.8385</v>
      </c>
      <c r="D125" s="16">
        <v>312.4477</v>
      </c>
      <c r="E125" s="16">
        <v>293.0382</v>
      </c>
      <c r="F125" s="16">
        <v>38.1051</v>
      </c>
      <c r="G125" s="16">
        <v>154.8114</v>
      </c>
      <c r="H125" s="16">
        <v>289.7551</v>
      </c>
      <c r="I125" s="16">
        <v>292.518</v>
      </c>
      <c r="J125" s="16">
        <v>367.4243</v>
      </c>
      <c r="K125" s="16">
        <v>321.3078</v>
      </c>
      <c r="L125" s="16">
        <v>295.3585</v>
      </c>
      <c r="M125" s="16">
        <v>287.7154</v>
      </c>
      <c r="N125" s="16">
        <v>264.6678</v>
      </c>
      <c r="O125" s="16">
        <v>303.099</v>
      </c>
      <c r="P125" s="16">
        <v>274.52</v>
      </c>
      <c r="Q125" s="16">
        <v>313.3062</v>
      </c>
      <c r="R125" s="16">
        <v>345.9668</v>
      </c>
      <c r="S125" s="16">
        <v>338.3138</v>
      </c>
      <c r="T125" s="16">
        <v>325.1747</v>
      </c>
      <c r="U125" s="16">
        <v>332.8235</v>
      </c>
      <c r="V125" s="16">
        <v>314.6971</v>
      </c>
      <c r="W125" s="16">
        <v>294.2416</v>
      </c>
      <c r="X125" s="16">
        <v>321.7219</v>
      </c>
      <c r="Y125" s="16">
        <v>316.5676</v>
      </c>
      <c r="Z125" s="16"/>
      <c r="AA125" s="17">
        <f t="shared" si="3"/>
        <v>367.4243</v>
      </c>
      <c r="AB125" s="17">
        <f t="shared" si="4"/>
        <v>38.1051</v>
      </c>
      <c r="AC125" s="17">
        <f t="shared" si="5"/>
        <v>293.742425</v>
      </c>
    </row>
    <row r="126" spans="1:29">
      <c r="A126" s="8">
        <v>45416</v>
      </c>
      <c r="B126" s="16">
        <v>476.9168</v>
      </c>
      <c r="C126" s="16">
        <v>345.7867</v>
      </c>
      <c r="D126" s="16">
        <v>332.0172</v>
      </c>
      <c r="E126" s="16">
        <v>316.042</v>
      </c>
      <c r="F126" s="16">
        <v>307.4983</v>
      </c>
      <c r="G126" s="16">
        <v>309.5745</v>
      </c>
      <c r="H126" s="16">
        <v>323.9403</v>
      </c>
      <c r="I126" s="16">
        <v>340.9868</v>
      </c>
      <c r="J126" s="16">
        <v>360.5564</v>
      </c>
      <c r="K126" s="16">
        <v>360.7785</v>
      </c>
      <c r="L126" s="16">
        <v>360.0247</v>
      </c>
      <c r="M126" s="16">
        <v>340.2681</v>
      </c>
      <c r="N126" s="16">
        <v>332.247</v>
      </c>
      <c r="O126" s="16">
        <v>346.0054</v>
      </c>
      <c r="P126" s="16">
        <v>353.2056</v>
      </c>
      <c r="Q126" s="16">
        <v>357.7957</v>
      </c>
      <c r="R126" s="16">
        <v>324.158</v>
      </c>
      <c r="S126" s="16">
        <v>332.1717</v>
      </c>
      <c r="T126" s="16">
        <v>323.2892</v>
      </c>
      <c r="U126" s="16">
        <v>335.9397</v>
      </c>
      <c r="V126" s="16">
        <v>334.9423</v>
      </c>
      <c r="W126" s="16">
        <v>319.5117</v>
      </c>
      <c r="X126" s="16">
        <v>317.4644</v>
      </c>
      <c r="Y126" s="16">
        <v>308.8321</v>
      </c>
      <c r="Z126" s="16"/>
      <c r="AA126" s="17">
        <f t="shared" si="3"/>
        <v>476.9168</v>
      </c>
      <c r="AB126" s="17">
        <f t="shared" si="4"/>
        <v>307.4983</v>
      </c>
      <c r="AC126" s="17">
        <f t="shared" si="5"/>
        <v>339.998045833333</v>
      </c>
    </row>
    <row r="127" spans="1:29">
      <c r="A127" s="8">
        <v>45417</v>
      </c>
      <c r="B127" s="16">
        <v>354.7043</v>
      </c>
      <c r="C127" s="16">
        <v>360.0891</v>
      </c>
      <c r="D127" s="16">
        <v>356.9806</v>
      </c>
      <c r="E127" s="16">
        <v>343.5941</v>
      </c>
      <c r="F127" s="16">
        <v>334.7432</v>
      </c>
      <c r="G127" s="16">
        <v>334.6486</v>
      </c>
      <c r="H127" s="16">
        <v>351.0619</v>
      </c>
      <c r="I127" s="16">
        <v>348.5929</v>
      </c>
      <c r="J127" s="16">
        <v>359.6102</v>
      </c>
      <c r="K127" s="16">
        <v>357.1993</v>
      </c>
      <c r="L127" s="16">
        <v>307.4919</v>
      </c>
      <c r="M127" s="16">
        <v>164.6278</v>
      </c>
      <c r="N127" s="16">
        <v>85.3201</v>
      </c>
      <c r="O127" s="16">
        <v>116.6878</v>
      </c>
      <c r="P127" s="16">
        <v>165.1398</v>
      </c>
      <c r="Q127" s="16">
        <v>305.3043</v>
      </c>
      <c r="R127" s="16">
        <v>341.4505</v>
      </c>
      <c r="S127" s="16">
        <v>351.7836</v>
      </c>
      <c r="T127" s="16">
        <v>352.0655</v>
      </c>
      <c r="U127" s="16">
        <v>354.7512</v>
      </c>
      <c r="V127" s="16">
        <v>370.2857</v>
      </c>
      <c r="W127" s="16">
        <v>379.553</v>
      </c>
      <c r="X127" s="16">
        <v>382.1786</v>
      </c>
      <c r="Y127" s="16">
        <v>374.109</v>
      </c>
      <c r="Z127" s="16"/>
      <c r="AA127" s="17">
        <f t="shared" si="3"/>
        <v>382.1786</v>
      </c>
      <c r="AB127" s="17">
        <f t="shared" si="4"/>
        <v>85.3201</v>
      </c>
      <c r="AC127" s="17">
        <f t="shared" si="5"/>
        <v>314.665541666667</v>
      </c>
    </row>
    <row r="128" spans="1:29">
      <c r="A128" s="8">
        <v>45418</v>
      </c>
      <c r="B128" s="16">
        <v>467.3012</v>
      </c>
      <c r="C128" s="16">
        <v>370.229</v>
      </c>
      <c r="D128" s="16">
        <v>364.7787</v>
      </c>
      <c r="E128" s="16">
        <v>359.0326</v>
      </c>
      <c r="F128" s="16">
        <v>342.0191</v>
      </c>
      <c r="G128" s="16">
        <v>344.8116</v>
      </c>
      <c r="H128" s="16">
        <v>361.87</v>
      </c>
      <c r="I128" s="16">
        <v>373.3718</v>
      </c>
      <c r="J128" s="16">
        <v>474.8999</v>
      </c>
      <c r="K128" s="16">
        <v>399.0984</v>
      </c>
      <c r="L128" s="16">
        <v>366.0466</v>
      </c>
      <c r="M128" s="16">
        <v>353.4326</v>
      </c>
      <c r="N128" s="16">
        <v>363.8052</v>
      </c>
      <c r="O128" s="16">
        <v>512.9827</v>
      </c>
      <c r="P128" s="16">
        <v>640.3833</v>
      </c>
      <c r="Q128" s="16">
        <v>670.2232</v>
      </c>
      <c r="R128" s="16">
        <v>955.4559</v>
      </c>
      <c r="S128" s="16">
        <v>675.1084</v>
      </c>
      <c r="T128" s="16">
        <v>454.1903</v>
      </c>
      <c r="U128" s="16">
        <v>453.8786</v>
      </c>
      <c r="V128" s="16">
        <v>408.2849</v>
      </c>
      <c r="W128" s="16">
        <v>384.2542</v>
      </c>
      <c r="X128" s="16">
        <v>365.5805</v>
      </c>
      <c r="Y128" s="16">
        <v>361.4394</v>
      </c>
      <c r="Z128" s="16"/>
      <c r="AA128" s="17">
        <f t="shared" si="3"/>
        <v>955.4559</v>
      </c>
      <c r="AB128" s="17">
        <f t="shared" si="4"/>
        <v>342.0191</v>
      </c>
      <c r="AC128" s="17">
        <f t="shared" si="5"/>
        <v>450.9365875</v>
      </c>
    </row>
    <row r="129" spans="1:29">
      <c r="A129" s="8">
        <v>45419</v>
      </c>
      <c r="B129" s="16">
        <v>478.2707</v>
      </c>
      <c r="C129" s="16">
        <v>371.1719</v>
      </c>
      <c r="D129" s="16">
        <v>359.7645</v>
      </c>
      <c r="E129" s="16">
        <v>352.8392</v>
      </c>
      <c r="F129" s="16">
        <v>342.0534</v>
      </c>
      <c r="G129" s="16">
        <v>342.672</v>
      </c>
      <c r="H129" s="16">
        <v>354.0979</v>
      </c>
      <c r="I129" s="16">
        <v>362.9219</v>
      </c>
      <c r="J129" s="16">
        <v>373.5865</v>
      </c>
      <c r="K129" s="16">
        <v>370.5042</v>
      </c>
      <c r="L129" s="16">
        <v>360.1558</v>
      </c>
      <c r="M129" s="16">
        <v>352.1976</v>
      </c>
      <c r="N129" s="16">
        <v>334.0636</v>
      </c>
      <c r="O129" s="16">
        <v>356.7421</v>
      </c>
      <c r="P129" s="16">
        <v>368.3967</v>
      </c>
      <c r="Q129" s="16">
        <v>380.6915</v>
      </c>
      <c r="R129" s="16">
        <v>387.8496</v>
      </c>
      <c r="S129" s="16">
        <v>378.1916</v>
      </c>
      <c r="T129" s="16">
        <v>374.8373</v>
      </c>
      <c r="U129" s="16">
        <v>389.5192</v>
      </c>
      <c r="V129" s="16">
        <v>387.165</v>
      </c>
      <c r="W129" s="16">
        <v>374.25</v>
      </c>
      <c r="X129" s="16">
        <v>375.415</v>
      </c>
      <c r="Y129" s="16">
        <v>364.582</v>
      </c>
      <c r="Z129" s="16"/>
      <c r="AA129" s="17">
        <f t="shared" si="3"/>
        <v>478.2707</v>
      </c>
      <c r="AB129" s="17">
        <f t="shared" si="4"/>
        <v>334.0636</v>
      </c>
      <c r="AC129" s="17">
        <f t="shared" si="5"/>
        <v>370.497466666667</v>
      </c>
    </row>
    <row r="130" spans="1:29">
      <c r="A130" s="8">
        <v>45420</v>
      </c>
      <c r="B130" s="16">
        <v>384.2453</v>
      </c>
      <c r="C130" s="16">
        <v>374.7359</v>
      </c>
      <c r="D130" s="16">
        <v>363.6675</v>
      </c>
      <c r="E130" s="16">
        <v>350.5429</v>
      </c>
      <c r="F130" s="16">
        <v>350</v>
      </c>
      <c r="G130" s="16">
        <v>343.4975</v>
      </c>
      <c r="H130" s="16">
        <v>357.5825</v>
      </c>
      <c r="I130" s="16">
        <v>363.5</v>
      </c>
      <c r="J130" s="16">
        <v>384.5019</v>
      </c>
      <c r="K130" s="16">
        <v>389.7296</v>
      </c>
      <c r="L130" s="16">
        <v>364.75</v>
      </c>
      <c r="M130" s="16">
        <v>352.9424</v>
      </c>
      <c r="N130" s="16">
        <v>347.0861</v>
      </c>
      <c r="O130" s="16">
        <v>372.4761</v>
      </c>
      <c r="P130" s="16">
        <v>364.2806</v>
      </c>
      <c r="Q130" s="16">
        <v>368.6516</v>
      </c>
      <c r="R130" s="16">
        <v>380.6178</v>
      </c>
      <c r="S130" s="16">
        <v>366.4479</v>
      </c>
      <c r="T130" s="16">
        <v>361.2131</v>
      </c>
      <c r="U130" s="16">
        <v>371.1758</v>
      </c>
      <c r="V130" s="16">
        <v>373.2642</v>
      </c>
      <c r="W130" s="16">
        <v>361.2504</v>
      </c>
      <c r="X130" s="16">
        <v>350.895</v>
      </c>
      <c r="Y130" s="16">
        <v>340.3799</v>
      </c>
      <c r="Z130" s="16"/>
      <c r="AA130" s="17">
        <f t="shared" ref="AA130:AA193" si="6">MAX($B130:$Y130)</f>
        <v>389.7296</v>
      </c>
      <c r="AB130" s="17">
        <f t="shared" ref="AB130:AB193" si="7">MIN($B130:$Y130)</f>
        <v>340.3799</v>
      </c>
      <c r="AC130" s="17">
        <f t="shared" ref="AC130:AC193" si="8">AVERAGE($B130:$Y130)</f>
        <v>364.05975</v>
      </c>
    </row>
    <row r="131" spans="1:29">
      <c r="A131" s="8">
        <v>45421</v>
      </c>
      <c r="B131" s="16">
        <v>355.7744</v>
      </c>
      <c r="C131" s="16">
        <v>341.2406</v>
      </c>
      <c r="D131" s="16">
        <v>328.6148</v>
      </c>
      <c r="E131" s="16">
        <v>322.86</v>
      </c>
      <c r="F131" s="16">
        <v>309.5665</v>
      </c>
      <c r="G131" s="16">
        <v>311.9596</v>
      </c>
      <c r="H131" s="16">
        <v>333.2806</v>
      </c>
      <c r="I131" s="16">
        <v>329.2326</v>
      </c>
      <c r="J131" s="16">
        <v>344.945</v>
      </c>
      <c r="K131" s="16">
        <v>338.9092</v>
      </c>
      <c r="L131" s="16">
        <v>320.8942</v>
      </c>
      <c r="M131" s="16">
        <v>315.0841</v>
      </c>
      <c r="N131" s="16">
        <v>232.1692</v>
      </c>
      <c r="O131" s="16">
        <v>336.849</v>
      </c>
      <c r="P131" s="16">
        <v>358.2429</v>
      </c>
      <c r="Q131" s="16">
        <v>361.2253</v>
      </c>
      <c r="R131" s="16">
        <v>363.0919</v>
      </c>
      <c r="S131" s="16">
        <v>257.5018</v>
      </c>
      <c r="T131" s="16">
        <v>337.3576</v>
      </c>
      <c r="U131" s="16">
        <v>348.3939</v>
      </c>
      <c r="V131" s="16">
        <v>352.091</v>
      </c>
      <c r="W131" s="16">
        <v>330.6921</v>
      </c>
      <c r="X131" s="16">
        <v>319.3916</v>
      </c>
      <c r="Y131" s="16">
        <v>240.9243</v>
      </c>
      <c r="Z131" s="16"/>
      <c r="AA131" s="17">
        <f t="shared" si="6"/>
        <v>363.0919</v>
      </c>
      <c r="AB131" s="17">
        <f t="shared" si="7"/>
        <v>232.1692</v>
      </c>
      <c r="AC131" s="17">
        <f t="shared" si="8"/>
        <v>324.595508333333</v>
      </c>
    </row>
    <row r="132" spans="1:29">
      <c r="A132" s="8">
        <v>45422</v>
      </c>
      <c r="B132" s="16">
        <v>325.4137</v>
      </c>
      <c r="C132" s="16">
        <v>317.8252</v>
      </c>
      <c r="D132" s="16">
        <v>304.4892</v>
      </c>
      <c r="E132" s="16">
        <v>224.4838</v>
      </c>
      <c r="F132" s="16">
        <v>0</v>
      </c>
      <c r="G132" s="16">
        <v>0</v>
      </c>
      <c r="H132" s="16">
        <v>308.1426</v>
      </c>
      <c r="I132" s="16">
        <v>309.8593</v>
      </c>
      <c r="J132" s="16">
        <v>330.628</v>
      </c>
      <c r="K132" s="16">
        <v>325.9651</v>
      </c>
      <c r="L132" s="16">
        <v>317.418</v>
      </c>
      <c r="M132" s="16">
        <v>287.6323</v>
      </c>
      <c r="N132" s="16">
        <v>154.6753</v>
      </c>
      <c r="O132" s="16">
        <v>325.5012</v>
      </c>
      <c r="P132" s="16">
        <v>336.5924</v>
      </c>
      <c r="Q132" s="16">
        <v>349.015</v>
      </c>
      <c r="R132" s="16">
        <v>360.0428</v>
      </c>
      <c r="S132" s="16">
        <v>250.5895</v>
      </c>
      <c r="T132" s="16">
        <v>213.4294</v>
      </c>
      <c r="U132" s="16">
        <v>329.3071</v>
      </c>
      <c r="V132" s="16">
        <v>343.25</v>
      </c>
      <c r="W132" s="16">
        <v>331.365</v>
      </c>
      <c r="X132" s="16">
        <v>341.2475</v>
      </c>
      <c r="Y132" s="16">
        <v>338.2157</v>
      </c>
      <c r="Z132" s="16"/>
      <c r="AA132" s="17">
        <f t="shared" si="6"/>
        <v>360.0428</v>
      </c>
      <c r="AB132" s="17">
        <f t="shared" si="7"/>
        <v>0</v>
      </c>
      <c r="AC132" s="17">
        <f t="shared" si="8"/>
        <v>280.212004166667</v>
      </c>
    </row>
    <row r="133" spans="1:29">
      <c r="A133" s="8">
        <v>45423</v>
      </c>
      <c r="B133" s="16">
        <v>346.303</v>
      </c>
      <c r="C133" s="16">
        <v>346.214</v>
      </c>
      <c r="D133" s="16">
        <v>337.9575</v>
      </c>
      <c r="E133" s="16">
        <v>330.4326</v>
      </c>
      <c r="F133" s="16">
        <v>324.9624</v>
      </c>
      <c r="G133" s="16">
        <v>326.5</v>
      </c>
      <c r="H133" s="16">
        <v>340.0334</v>
      </c>
      <c r="I133" s="16">
        <v>341.1281</v>
      </c>
      <c r="J133" s="16">
        <v>355.3343</v>
      </c>
      <c r="K133" s="16">
        <v>368.7605</v>
      </c>
      <c r="L133" s="16">
        <v>340.7062</v>
      </c>
      <c r="M133" s="16">
        <v>331.6284</v>
      </c>
      <c r="N133" s="16">
        <v>246.2331</v>
      </c>
      <c r="O133" s="16">
        <v>347.493</v>
      </c>
      <c r="P133" s="16">
        <v>374.3336</v>
      </c>
      <c r="Q133" s="16">
        <v>388.0315</v>
      </c>
      <c r="R133" s="16">
        <v>396.486</v>
      </c>
      <c r="S133" s="16">
        <v>357.6742</v>
      </c>
      <c r="T133" s="16">
        <v>345.9738</v>
      </c>
      <c r="U133" s="16">
        <v>365.9331</v>
      </c>
      <c r="V133" s="16">
        <v>372.7284</v>
      </c>
      <c r="W133" s="16">
        <v>365.1123</v>
      </c>
      <c r="X133" s="16">
        <v>390.1118</v>
      </c>
      <c r="Y133" s="16">
        <v>371.4596</v>
      </c>
      <c r="Z133" s="16"/>
      <c r="AA133" s="17">
        <f t="shared" si="6"/>
        <v>396.486</v>
      </c>
      <c r="AB133" s="17">
        <f t="shared" si="7"/>
        <v>246.2331</v>
      </c>
      <c r="AC133" s="17">
        <f t="shared" si="8"/>
        <v>350.48045</v>
      </c>
    </row>
    <row r="134" spans="1:29">
      <c r="A134" s="8">
        <v>45424</v>
      </c>
      <c r="B134" s="16">
        <v>397.9106</v>
      </c>
      <c r="C134" s="16">
        <v>375.0924</v>
      </c>
      <c r="D134" s="16">
        <v>361.4196</v>
      </c>
      <c r="E134" s="16">
        <v>350.8247</v>
      </c>
      <c r="F134" s="16">
        <v>346.9713</v>
      </c>
      <c r="G134" s="16">
        <v>339.9627</v>
      </c>
      <c r="H134" s="16">
        <v>346.3687</v>
      </c>
      <c r="I134" s="16">
        <v>343.2944</v>
      </c>
      <c r="J134" s="16">
        <v>333.6697</v>
      </c>
      <c r="K134" s="16">
        <v>326.3101</v>
      </c>
      <c r="L134" s="16">
        <v>319.8403</v>
      </c>
      <c r="M134" s="16">
        <v>323.4691</v>
      </c>
      <c r="N134" s="16">
        <v>323.9462</v>
      </c>
      <c r="O134" s="16">
        <v>336.48</v>
      </c>
      <c r="P134" s="16">
        <v>338.8735</v>
      </c>
      <c r="Q134" s="16">
        <v>324.372</v>
      </c>
      <c r="R134" s="16">
        <v>345.6531</v>
      </c>
      <c r="S134" s="16">
        <v>350.0873</v>
      </c>
      <c r="T134" s="16">
        <v>333.1424</v>
      </c>
      <c r="U134" s="16">
        <v>328.7445</v>
      </c>
      <c r="V134" s="16">
        <v>339.938</v>
      </c>
      <c r="W134" s="16">
        <v>343.5036</v>
      </c>
      <c r="X134" s="16">
        <v>342.5097</v>
      </c>
      <c r="Y134" s="16">
        <v>339.7257</v>
      </c>
      <c r="Z134" s="16"/>
      <c r="AA134" s="17">
        <f t="shared" si="6"/>
        <v>397.9106</v>
      </c>
      <c r="AB134" s="17">
        <f t="shared" si="7"/>
        <v>319.8403</v>
      </c>
      <c r="AC134" s="17">
        <f t="shared" si="8"/>
        <v>342.171233333333</v>
      </c>
    </row>
    <row r="135" spans="1:29">
      <c r="A135" s="8">
        <v>45425</v>
      </c>
      <c r="B135" s="16">
        <v>348.7908</v>
      </c>
      <c r="C135" s="16">
        <v>341.4094</v>
      </c>
      <c r="D135" s="16">
        <v>331.4197</v>
      </c>
      <c r="E135" s="16">
        <v>306.695</v>
      </c>
      <c r="F135" s="16">
        <v>225.5</v>
      </c>
      <c r="G135" s="16">
        <v>273.84</v>
      </c>
      <c r="H135" s="16">
        <v>327.6638</v>
      </c>
      <c r="I135" s="16">
        <v>330.4815</v>
      </c>
      <c r="J135" s="16">
        <v>355.7302</v>
      </c>
      <c r="K135" s="16">
        <v>346.7497</v>
      </c>
      <c r="L135" s="16">
        <v>236.7846</v>
      </c>
      <c r="M135" s="16">
        <v>272.0259</v>
      </c>
      <c r="N135" s="16">
        <v>97.5122</v>
      </c>
      <c r="O135" s="16">
        <v>272.1812</v>
      </c>
      <c r="P135" s="16">
        <v>337.706</v>
      </c>
      <c r="Q135" s="16">
        <v>346.1891</v>
      </c>
      <c r="R135" s="16">
        <v>347.2401</v>
      </c>
      <c r="S135" s="16">
        <v>357.4267</v>
      </c>
      <c r="T135" s="16">
        <v>349.1056</v>
      </c>
      <c r="U135" s="16">
        <v>366.1721</v>
      </c>
      <c r="V135" s="16">
        <v>367.2628</v>
      </c>
      <c r="W135" s="16">
        <v>352.3421</v>
      </c>
      <c r="X135" s="16">
        <v>348.1236</v>
      </c>
      <c r="Y135" s="16">
        <v>342.8657</v>
      </c>
      <c r="Z135" s="16"/>
      <c r="AA135" s="17">
        <f t="shared" si="6"/>
        <v>367.2628</v>
      </c>
      <c r="AB135" s="17">
        <f t="shared" si="7"/>
        <v>97.5122</v>
      </c>
      <c r="AC135" s="17">
        <f t="shared" si="8"/>
        <v>315.884075</v>
      </c>
    </row>
    <row r="136" spans="1:29">
      <c r="A136" s="8">
        <v>45426</v>
      </c>
      <c r="B136" s="16">
        <v>322.6572</v>
      </c>
      <c r="C136" s="16">
        <v>315.3889</v>
      </c>
      <c r="D136" s="16">
        <v>323.4226</v>
      </c>
      <c r="E136" s="16">
        <v>303.6358</v>
      </c>
      <c r="F136" s="16">
        <v>147.1507</v>
      </c>
      <c r="G136" s="16">
        <v>0</v>
      </c>
      <c r="H136" s="16">
        <v>311.8153</v>
      </c>
      <c r="I136" s="16">
        <v>307.4757</v>
      </c>
      <c r="J136" s="16">
        <v>325.5422</v>
      </c>
      <c r="K136" s="16">
        <v>165.3184</v>
      </c>
      <c r="L136" s="16">
        <v>30.4047</v>
      </c>
      <c r="M136" s="16">
        <v>148.5818</v>
      </c>
      <c r="N136" s="16">
        <v>92.3594</v>
      </c>
      <c r="O136" s="16">
        <v>69.8261</v>
      </c>
      <c r="P136" s="16">
        <v>22.6444</v>
      </c>
      <c r="Q136" s="16">
        <v>130.5791</v>
      </c>
      <c r="R136" s="16">
        <v>304.2115</v>
      </c>
      <c r="S136" s="16">
        <v>333.7097</v>
      </c>
      <c r="T136" s="16">
        <v>335.1966</v>
      </c>
      <c r="U136" s="16">
        <v>346.5056</v>
      </c>
      <c r="V136" s="16">
        <v>344.1901</v>
      </c>
      <c r="W136" s="16">
        <v>340.3401</v>
      </c>
      <c r="X136" s="16">
        <v>337.4017</v>
      </c>
      <c r="Y136" s="16">
        <v>337.8892</v>
      </c>
      <c r="Z136" s="16"/>
      <c r="AA136" s="17">
        <f t="shared" si="6"/>
        <v>346.5056</v>
      </c>
      <c r="AB136" s="17">
        <f t="shared" si="7"/>
        <v>0</v>
      </c>
      <c r="AC136" s="17">
        <f t="shared" si="8"/>
        <v>237.343616666667</v>
      </c>
    </row>
    <row r="137" spans="1:29">
      <c r="A137" s="8">
        <v>45427</v>
      </c>
      <c r="B137" s="16">
        <v>337.5716</v>
      </c>
      <c r="C137" s="16">
        <v>338.6925</v>
      </c>
      <c r="D137" s="16">
        <v>329.4101</v>
      </c>
      <c r="E137" s="16">
        <v>311.6225</v>
      </c>
      <c r="F137" s="16">
        <v>308.25</v>
      </c>
      <c r="G137" s="16">
        <v>305.84</v>
      </c>
      <c r="H137" s="16">
        <v>329.944</v>
      </c>
      <c r="I137" s="16">
        <v>322.5</v>
      </c>
      <c r="J137" s="16">
        <v>330.0241</v>
      </c>
      <c r="K137" s="16">
        <v>320.0791</v>
      </c>
      <c r="L137" s="16">
        <v>123.7942</v>
      </c>
      <c r="M137" s="16">
        <v>146.895</v>
      </c>
      <c r="N137" s="16">
        <v>199.7852</v>
      </c>
      <c r="O137" s="16">
        <v>244.0396</v>
      </c>
      <c r="P137" s="16">
        <v>296.3732</v>
      </c>
      <c r="Q137" s="16">
        <v>333.0594</v>
      </c>
      <c r="R137" s="16">
        <v>349.97</v>
      </c>
      <c r="S137" s="16">
        <v>357.2652</v>
      </c>
      <c r="T137" s="16">
        <v>340.7335</v>
      </c>
      <c r="U137" s="16">
        <v>365.2773</v>
      </c>
      <c r="V137" s="16">
        <v>348.5491</v>
      </c>
      <c r="W137" s="16">
        <v>343.2569</v>
      </c>
      <c r="X137" s="16">
        <v>343.1276</v>
      </c>
      <c r="Y137" s="16">
        <v>339.9254</v>
      </c>
      <c r="Z137" s="16"/>
      <c r="AA137" s="17">
        <f t="shared" si="6"/>
        <v>365.2773</v>
      </c>
      <c r="AB137" s="17">
        <f t="shared" si="7"/>
        <v>123.7942</v>
      </c>
      <c r="AC137" s="17">
        <f t="shared" si="8"/>
        <v>306.9160625</v>
      </c>
    </row>
    <row r="138" spans="1:29">
      <c r="A138" s="8">
        <v>45428</v>
      </c>
      <c r="B138" s="16">
        <v>326.1293</v>
      </c>
      <c r="C138" s="16">
        <v>328.75</v>
      </c>
      <c r="D138" s="16">
        <v>316.2825</v>
      </c>
      <c r="E138" s="16">
        <v>299.225</v>
      </c>
      <c r="F138" s="16">
        <v>236.1014</v>
      </c>
      <c r="G138" s="16">
        <v>51.75</v>
      </c>
      <c r="H138" s="16">
        <v>224.195</v>
      </c>
      <c r="I138" s="16">
        <v>203</v>
      </c>
      <c r="J138" s="16">
        <v>225.5486</v>
      </c>
      <c r="K138" s="16">
        <v>184.6372</v>
      </c>
      <c r="L138" s="16">
        <v>41.411</v>
      </c>
      <c r="M138" s="16">
        <v>133.9402</v>
      </c>
      <c r="N138" s="16">
        <v>148.6855</v>
      </c>
      <c r="O138" s="16">
        <v>306.8017</v>
      </c>
      <c r="P138" s="16">
        <v>230.8393</v>
      </c>
      <c r="Q138" s="16">
        <v>260.1869</v>
      </c>
      <c r="R138" s="16">
        <v>195.7161</v>
      </c>
      <c r="S138" s="16">
        <v>163.5305</v>
      </c>
      <c r="T138" s="16">
        <v>104.8716</v>
      </c>
      <c r="U138" s="16">
        <v>305.629</v>
      </c>
      <c r="V138" s="16">
        <v>306.2202</v>
      </c>
      <c r="W138" s="16">
        <v>307.862</v>
      </c>
      <c r="X138" s="16">
        <v>311.5911</v>
      </c>
      <c r="Y138" s="16">
        <v>308.0887</v>
      </c>
      <c r="Z138" s="16"/>
      <c r="AA138" s="17">
        <f t="shared" si="6"/>
        <v>328.75</v>
      </c>
      <c r="AB138" s="17">
        <f t="shared" si="7"/>
        <v>41.411</v>
      </c>
      <c r="AC138" s="17">
        <f t="shared" si="8"/>
        <v>230.041366666667</v>
      </c>
    </row>
    <row r="139" spans="1:29">
      <c r="A139" s="8">
        <v>45429</v>
      </c>
      <c r="B139" s="16">
        <v>323.4335</v>
      </c>
      <c r="C139" s="16">
        <v>325.36</v>
      </c>
      <c r="D139" s="16">
        <v>312.5</v>
      </c>
      <c r="E139" s="16">
        <v>298.195</v>
      </c>
      <c r="F139" s="16">
        <v>162.5</v>
      </c>
      <c r="G139" s="16">
        <v>188.59</v>
      </c>
      <c r="H139" s="16">
        <v>305.8675</v>
      </c>
      <c r="I139" s="16">
        <v>289.095</v>
      </c>
      <c r="J139" s="16">
        <v>318.6571</v>
      </c>
      <c r="K139" s="16">
        <v>323.2022</v>
      </c>
      <c r="L139" s="16">
        <v>297.9967</v>
      </c>
      <c r="M139" s="16">
        <v>324.2885</v>
      </c>
      <c r="N139" s="16">
        <v>252.0238</v>
      </c>
      <c r="O139" s="16">
        <v>377.6728</v>
      </c>
      <c r="P139" s="16">
        <v>364.4947</v>
      </c>
      <c r="Q139" s="16">
        <v>348.7226</v>
      </c>
      <c r="R139" s="16">
        <v>342.1239</v>
      </c>
      <c r="S139" s="16">
        <v>332.6158</v>
      </c>
      <c r="T139" s="16">
        <v>329.1995</v>
      </c>
      <c r="U139" s="16">
        <v>343.1395</v>
      </c>
      <c r="V139" s="16">
        <v>345.4635</v>
      </c>
      <c r="W139" s="16">
        <v>343.3988</v>
      </c>
      <c r="X139" s="16">
        <v>340.6169</v>
      </c>
      <c r="Y139" s="16">
        <v>340.1841</v>
      </c>
      <c r="Z139" s="16"/>
      <c r="AA139" s="17">
        <f t="shared" si="6"/>
        <v>377.6728</v>
      </c>
      <c r="AB139" s="17">
        <f t="shared" si="7"/>
        <v>162.5</v>
      </c>
      <c r="AC139" s="17">
        <f t="shared" si="8"/>
        <v>313.722558333333</v>
      </c>
    </row>
    <row r="140" spans="1:29">
      <c r="A140" s="8">
        <v>45430</v>
      </c>
      <c r="B140" s="16">
        <v>349.5</v>
      </c>
      <c r="C140" s="16">
        <v>341.7074</v>
      </c>
      <c r="D140" s="16">
        <v>335.1436</v>
      </c>
      <c r="E140" s="16">
        <v>322.9623</v>
      </c>
      <c r="F140" s="16">
        <v>315.7825</v>
      </c>
      <c r="G140" s="16">
        <v>314.47</v>
      </c>
      <c r="H140" s="16">
        <v>318.7206</v>
      </c>
      <c r="I140" s="16">
        <v>315.5804</v>
      </c>
      <c r="J140" s="16">
        <v>323.0159</v>
      </c>
      <c r="K140" s="16">
        <v>323.7349</v>
      </c>
      <c r="L140" s="16">
        <v>326.2624</v>
      </c>
      <c r="M140" s="16">
        <v>320.1494</v>
      </c>
      <c r="N140" s="16">
        <v>238.3149</v>
      </c>
      <c r="O140" s="16">
        <v>341.3188</v>
      </c>
      <c r="P140" s="16">
        <v>428.2471</v>
      </c>
      <c r="Q140" s="16">
        <v>333.3799</v>
      </c>
      <c r="R140" s="16">
        <v>343.7793</v>
      </c>
      <c r="S140" s="16">
        <v>197.3871</v>
      </c>
      <c r="T140" s="16">
        <v>154.2081</v>
      </c>
      <c r="U140" s="16">
        <v>259.684</v>
      </c>
      <c r="V140" s="16">
        <v>318.0491</v>
      </c>
      <c r="W140" s="16">
        <v>301.9267</v>
      </c>
      <c r="X140" s="16">
        <v>269.2687</v>
      </c>
      <c r="Y140" s="16">
        <v>284.602</v>
      </c>
      <c r="Z140" s="16"/>
      <c r="AA140" s="17">
        <f t="shared" si="6"/>
        <v>428.2471</v>
      </c>
      <c r="AB140" s="17">
        <f t="shared" si="7"/>
        <v>154.2081</v>
      </c>
      <c r="AC140" s="17">
        <f t="shared" si="8"/>
        <v>307.383129166667</v>
      </c>
    </row>
    <row r="141" spans="1:29">
      <c r="A141" s="8">
        <v>45431</v>
      </c>
      <c r="B141" s="16">
        <v>339.0796</v>
      </c>
      <c r="C141" s="16">
        <v>320.7616</v>
      </c>
      <c r="D141" s="16">
        <v>307.2797</v>
      </c>
      <c r="E141" s="16">
        <v>223.0912</v>
      </c>
      <c r="F141" s="16">
        <v>142.695</v>
      </c>
      <c r="G141" s="16">
        <v>73.8675</v>
      </c>
      <c r="H141" s="16">
        <v>219.535</v>
      </c>
      <c r="I141" s="16">
        <v>143.8675</v>
      </c>
      <c r="J141" s="16">
        <v>74.09</v>
      </c>
      <c r="K141" s="16">
        <v>0</v>
      </c>
      <c r="L141" s="16">
        <v>1.4006</v>
      </c>
      <c r="M141" s="16">
        <v>73.3311</v>
      </c>
      <c r="N141" s="16">
        <v>228.9652</v>
      </c>
      <c r="O141" s="16">
        <v>303.93</v>
      </c>
      <c r="P141" s="16">
        <v>292.4607</v>
      </c>
      <c r="Q141" s="16">
        <v>154.3598</v>
      </c>
      <c r="R141" s="16">
        <v>4.4377</v>
      </c>
      <c r="S141" s="16">
        <v>0</v>
      </c>
      <c r="T141" s="16">
        <v>0</v>
      </c>
      <c r="U141" s="16">
        <v>64.1506</v>
      </c>
      <c r="V141" s="16">
        <v>66.8154</v>
      </c>
      <c r="W141" s="16">
        <v>198.1977</v>
      </c>
      <c r="X141" s="16">
        <v>237.2554</v>
      </c>
      <c r="Y141" s="16">
        <v>274.1084</v>
      </c>
      <c r="Z141" s="16"/>
      <c r="AA141" s="17">
        <f t="shared" si="6"/>
        <v>339.0796</v>
      </c>
      <c r="AB141" s="17">
        <f t="shared" si="7"/>
        <v>0</v>
      </c>
      <c r="AC141" s="17">
        <f t="shared" si="8"/>
        <v>155.986654166667</v>
      </c>
    </row>
    <row r="142" spans="1:29">
      <c r="A142" s="8">
        <v>45432</v>
      </c>
      <c r="B142" s="16">
        <v>303.5575</v>
      </c>
      <c r="C142" s="16">
        <v>288.9136</v>
      </c>
      <c r="D142" s="16">
        <v>68.1887</v>
      </c>
      <c r="E142" s="16">
        <v>0</v>
      </c>
      <c r="F142" s="16">
        <v>0</v>
      </c>
      <c r="G142" s="16">
        <v>0</v>
      </c>
      <c r="H142" s="16">
        <v>229.7702</v>
      </c>
      <c r="I142" s="16">
        <v>303.6074</v>
      </c>
      <c r="J142" s="16">
        <v>316.8768</v>
      </c>
      <c r="K142" s="16">
        <v>333.7437</v>
      </c>
      <c r="L142" s="16">
        <v>331.1858</v>
      </c>
      <c r="M142" s="16">
        <v>328.6728</v>
      </c>
      <c r="N142" s="16">
        <v>231.6116</v>
      </c>
      <c r="O142" s="16">
        <v>331.8339</v>
      </c>
      <c r="P142" s="16">
        <v>341.7163</v>
      </c>
      <c r="Q142" s="16">
        <v>337.7151</v>
      </c>
      <c r="R142" s="16">
        <v>339.3315</v>
      </c>
      <c r="S142" s="16">
        <v>323.0037</v>
      </c>
      <c r="T142" s="16">
        <v>314.0236</v>
      </c>
      <c r="U142" s="16">
        <v>320.6468</v>
      </c>
      <c r="V142" s="16">
        <v>315.4593</v>
      </c>
      <c r="W142" s="16">
        <v>307.9139</v>
      </c>
      <c r="X142" s="16">
        <v>154.0424</v>
      </c>
      <c r="Y142" s="16">
        <v>72.3014</v>
      </c>
      <c r="Z142" s="16"/>
      <c r="AA142" s="17">
        <f t="shared" si="6"/>
        <v>341.7163</v>
      </c>
      <c r="AB142" s="17">
        <f t="shared" si="7"/>
        <v>0</v>
      </c>
      <c r="AC142" s="17">
        <f t="shared" si="8"/>
        <v>245.588166666667</v>
      </c>
    </row>
    <row r="143" spans="1:29">
      <c r="A143" s="8">
        <v>45433</v>
      </c>
      <c r="B143" s="16">
        <v>220.9854</v>
      </c>
      <c r="C143" s="16">
        <v>287.7821</v>
      </c>
      <c r="D143" s="16">
        <v>283.8051</v>
      </c>
      <c r="E143" s="16">
        <v>204.7024</v>
      </c>
      <c r="F143" s="16">
        <v>70.5</v>
      </c>
      <c r="G143" s="16">
        <v>212.5045</v>
      </c>
      <c r="H143" s="16">
        <v>305.2051</v>
      </c>
      <c r="I143" s="16">
        <v>307.983</v>
      </c>
      <c r="J143" s="16">
        <v>320.0972</v>
      </c>
      <c r="K143" s="16">
        <v>324.7023</v>
      </c>
      <c r="L143" s="16">
        <v>325.0624</v>
      </c>
      <c r="M143" s="16">
        <v>315.7815</v>
      </c>
      <c r="N143" s="16">
        <v>221.4205</v>
      </c>
      <c r="O143" s="16">
        <v>308.5977</v>
      </c>
      <c r="P143" s="16">
        <v>320.6266</v>
      </c>
      <c r="Q143" s="16">
        <v>322.5225</v>
      </c>
      <c r="R143" s="16">
        <v>340.3844</v>
      </c>
      <c r="S143" s="16">
        <v>312.3587</v>
      </c>
      <c r="T143" s="16">
        <v>316.46</v>
      </c>
      <c r="U143" s="16">
        <v>331.8794</v>
      </c>
      <c r="V143" s="16">
        <v>322.7688</v>
      </c>
      <c r="W143" s="16">
        <v>321.4433</v>
      </c>
      <c r="X143" s="16">
        <v>301.4386</v>
      </c>
      <c r="Y143" s="16">
        <v>277.1122</v>
      </c>
      <c r="Z143" s="16"/>
      <c r="AA143" s="17">
        <f t="shared" si="6"/>
        <v>340.3844</v>
      </c>
      <c r="AB143" s="17">
        <f t="shared" si="7"/>
        <v>70.5</v>
      </c>
      <c r="AC143" s="17">
        <f t="shared" si="8"/>
        <v>286.505154166667</v>
      </c>
    </row>
    <row r="144" spans="1:29">
      <c r="A144" s="8">
        <v>45434</v>
      </c>
      <c r="B144" s="16">
        <v>314.3849</v>
      </c>
      <c r="C144" s="16">
        <v>312.037</v>
      </c>
      <c r="D144" s="16">
        <v>296.7384</v>
      </c>
      <c r="E144" s="16">
        <v>216.0466</v>
      </c>
      <c r="F144" s="16">
        <v>71.7947</v>
      </c>
      <c r="G144" s="16">
        <v>73.4682</v>
      </c>
      <c r="H144" s="16">
        <v>296.9911</v>
      </c>
      <c r="I144" s="16">
        <v>306.1113</v>
      </c>
      <c r="J144" s="16">
        <v>323.5845</v>
      </c>
      <c r="K144" s="16">
        <v>330.4562</v>
      </c>
      <c r="L144" s="16">
        <v>309.1326</v>
      </c>
      <c r="M144" s="16">
        <v>309.3581</v>
      </c>
      <c r="N144" s="16">
        <v>222.2074</v>
      </c>
      <c r="O144" s="16">
        <v>302.0445</v>
      </c>
      <c r="P144" s="16">
        <v>325.1335</v>
      </c>
      <c r="Q144" s="16">
        <v>347.0781</v>
      </c>
      <c r="R144" s="16">
        <v>357.0219</v>
      </c>
      <c r="S144" s="16">
        <v>338.6868</v>
      </c>
      <c r="T144" s="16">
        <v>343.9454</v>
      </c>
      <c r="U144" s="16">
        <v>366.6221</v>
      </c>
      <c r="V144" s="16">
        <v>345.8944</v>
      </c>
      <c r="W144" s="16">
        <v>330.2078</v>
      </c>
      <c r="X144" s="16">
        <v>314.699</v>
      </c>
      <c r="Y144" s="16">
        <v>301.5172</v>
      </c>
      <c r="Z144" s="16"/>
      <c r="AA144" s="17">
        <f t="shared" si="6"/>
        <v>366.6221</v>
      </c>
      <c r="AB144" s="17">
        <f t="shared" si="7"/>
        <v>71.7947</v>
      </c>
      <c r="AC144" s="17">
        <f t="shared" si="8"/>
        <v>293.965070833333</v>
      </c>
    </row>
    <row r="145" spans="1:29">
      <c r="A145" s="8">
        <v>45435</v>
      </c>
      <c r="B145" s="16">
        <v>319.0206</v>
      </c>
      <c r="C145" s="16">
        <v>318.4601</v>
      </c>
      <c r="D145" s="16">
        <v>310.9287</v>
      </c>
      <c r="E145" s="16">
        <v>295.314</v>
      </c>
      <c r="F145" s="16">
        <v>280.8859</v>
      </c>
      <c r="G145" s="16">
        <v>279.4006</v>
      </c>
      <c r="H145" s="16">
        <v>307.1528</v>
      </c>
      <c r="I145" s="16">
        <v>308.0084</v>
      </c>
      <c r="J145" s="16">
        <v>335.5002</v>
      </c>
      <c r="K145" s="16">
        <v>345.2931</v>
      </c>
      <c r="L145" s="16">
        <v>326.1089</v>
      </c>
      <c r="M145" s="16">
        <v>311.5996</v>
      </c>
      <c r="N145" s="16">
        <v>223.4964</v>
      </c>
      <c r="O145" s="16">
        <v>314.3263</v>
      </c>
      <c r="P145" s="16">
        <v>321.371</v>
      </c>
      <c r="Q145" s="16">
        <v>326.4927</v>
      </c>
      <c r="R145" s="16">
        <v>329.3848</v>
      </c>
      <c r="S145" s="16">
        <v>331.4341</v>
      </c>
      <c r="T145" s="16">
        <v>328.0878</v>
      </c>
      <c r="U145" s="16">
        <v>336.9568</v>
      </c>
      <c r="V145" s="16">
        <v>337.9221</v>
      </c>
      <c r="W145" s="16">
        <v>329.945</v>
      </c>
      <c r="X145" s="16">
        <v>308.3861</v>
      </c>
      <c r="Y145" s="16">
        <v>296.6622</v>
      </c>
      <c r="Z145" s="16"/>
      <c r="AA145" s="17">
        <f t="shared" si="6"/>
        <v>345.2931</v>
      </c>
      <c r="AB145" s="17">
        <f t="shared" si="7"/>
        <v>223.4964</v>
      </c>
      <c r="AC145" s="17">
        <f t="shared" si="8"/>
        <v>313.422425</v>
      </c>
    </row>
    <row r="146" spans="1:29">
      <c r="A146" s="8">
        <v>45436</v>
      </c>
      <c r="B146" s="16">
        <v>301.2007</v>
      </c>
      <c r="C146" s="16">
        <v>297.4022</v>
      </c>
      <c r="D146" s="16">
        <v>262.5104</v>
      </c>
      <c r="E146" s="16">
        <v>232.9324</v>
      </c>
      <c r="F146" s="16">
        <v>99.3426</v>
      </c>
      <c r="G146" s="16">
        <v>177.1688</v>
      </c>
      <c r="H146" s="16">
        <v>285.9302</v>
      </c>
      <c r="I146" s="16">
        <v>292.4613</v>
      </c>
      <c r="J146" s="16">
        <v>322.9919</v>
      </c>
      <c r="K146" s="16">
        <v>329.9814</v>
      </c>
      <c r="L146" s="16">
        <v>314.2652</v>
      </c>
      <c r="M146" s="16">
        <v>314.0763</v>
      </c>
      <c r="N146" s="16">
        <v>229.0084</v>
      </c>
      <c r="O146" s="16">
        <v>306.5752</v>
      </c>
      <c r="P146" s="16">
        <v>306.8356</v>
      </c>
      <c r="Q146" s="16">
        <v>325.9434</v>
      </c>
      <c r="R146" s="16">
        <v>325.6335</v>
      </c>
      <c r="S146" s="16">
        <v>304.9535</v>
      </c>
      <c r="T146" s="16">
        <v>301.2212</v>
      </c>
      <c r="U146" s="16">
        <v>318.0992</v>
      </c>
      <c r="V146" s="16">
        <v>313.9008</v>
      </c>
      <c r="W146" s="16">
        <v>302.0689</v>
      </c>
      <c r="X146" s="16">
        <v>278.5685</v>
      </c>
      <c r="Y146" s="16">
        <v>238.4071</v>
      </c>
      <c r="Z146" s="16"/>
      <c r="AA146" s="17">
        <f t="shared" si="6"/>
        <v>329.9814</v>
      </c>
      <c r="AB146" s="17">
        <f t="shared" si="7"/>
        <v>99.3426</v>
      </c>
      <c r="AC146" s="17">
        <f t="shared" si="8"/>
        <v>282.5616125</v>
      </c>
    </row>
    <row r="147" spans="1:29">
      <c r="A147" s="8">
        <v>45437</v>
      </c>
      <c r="B147" s="16">
        <v>312.2502</v>
      </c>
      <c r="C147" s="16">
        <v>299.8553</v>
      </c>
      <c r="D147" s="16">
        <v>272.2235</v>
      </c>
      <c r="E147" s="16">
        <v>268.3569</v>
      </c>
      <c r="F147" s="16">
        <v>242.423</v>
      </c>
      <c r="G147" s="16">
        <v>180.3385</v>
      </c>
      <c r="H147" s="16">
        <v>277.2844</v>
      </c>
      <c r="I147" s="16">
        <v>206.8904</v>
      </c>
      <c r="J147" s="16">
        <v>292.505</v>
      </c>
      <c r="K147" s="16">
        <v>302.4624</v>
      </c>
      <c r="L147" s="16">
        <v>298.3905</v>
      </c>
      <c r="M147" s="16">
        <v>298.2519</v>
      </c>
      <c r="N147" s="16">
        <v>208.1061</v>
      </c>
      <c r="O147" s="16">
        <v>302.8736</v>
      </c>
      <c r="P147" s="16">
        <v>323.1396</v>
      </c>
      <c r="Q147" s="16">
        <v>322.3372</v>
      </c>
      <c r="R147" s="16">
        <v>331.6952</v>
      </c>
      <c r="S147" s="16">
        <v>318.0179</v>
      </c>
      <c r="T147" s="16">
        <v>322.1987</v>
      </c>
      <c r="U147" s="16">
        <v>331.1307</v>
      </c>
      <c r="V147" s="16">
        <v>323.4126</v>
      </c>
      <c r="W147" s="16">
        <v>317.0396</v>
      </c>
      <c r="X147" s="16">
        <v>302.4418</v>
      </c>
      <c r="Y147" s="16">
        <v>300.2651</v>
      </c>
      <c r="Z147" s="16"/>
      <c r="AA147" s="17">
        <f t="shared" si="6"/>
        <v>331.6952</v>
      </c>
      <c r="AB147" s="17">
        <f t="shared" si="7"/>
        <v>180.3385</v>
      </c>
      <c r="AC147" s="17">
        <f t="shared" si="8"/>
        <v>289.745420833333</v>
      </c>
    </row>
    <row r="148" spans="1:29">
      <c r="A148" s="8">
        <v>45438</v>
      </c>
      <c r="B148" s="16">
        <v>323.8001</v>
      </c>
      <c r="C148" s="16">
        <v>302.4038</v>
      </c>
      <c r="D148" s="16">
        <v>261.8513</v>
      </c>
      <c r="E148" s="16">
        <v>0</v>
      </c>
      <c r="F148" s="16">
        <v>0</v>
      </c>
      <c r="G148" s="16">
        <v>0</v>
      </c>
      <c r="H148" s="16">
        <v>66.5147</v>
      </c>
      <c r="I148" s="16">
        <v>0</v>
      </c>
      <c r="J148" s="16">
        <v>2.2851</v>
      </c>
      <c r="K148" s="16">
        <v>27.2032</v>
      </c>
      <c r="L148" s="16">
        <v>11.7093</v>
      </c>
      <c r="M148" s="16">
        <v>63.2781</v>
      </c>
      <c r="N148" s="16">
        <v>12.1188</v>
      </c>
      <c r="O148" s="16">
        <v>142.8206</v>
      </c>
      <c r="P148" s="16">
        <v>197.5438</v>
      </c>
      <c r="Q148" s="16">
        <v>72.2044</v>
      </c>
      <c r="R148" s="16">
        <v>287.3917</v>
      </c>
      <c r="S148" s="16">
        <v>303.3678</v>
      </c>
      <c r="T148" s="16">
        <v>280.7211</v>
      </c>
      <c r="U148" s="16">
        <v>297.6579</v>
      </c>
      <c r="V148" s="16">
        <v>289.0987</v>
      </c>
      <c r="W148" s="16">
        <v>298.5104</v>
      </c>
      <c r="X148" s="16">
        <v>277.0467</v>
      </c>
      <c r="Y148" s="16">
        <v>280.832</v>
      </c>
      <c r="Z148" s="16"/>
      <c r="AA148" s="17">
        <f t="shared" si="6"/>
        <v>323.8001</v>
      </c>
      <c r="AB148" s="17">
        <f t="shared" si="7"/>
        <v>0</v>
      </c>
      <c r="AC148" s="17">
        <f t="shared" si="8"/>
        <v>158.264979166667</v>
      </c>
    </row>
    <row r="149" spans="1:29">
      <c r="A149" s="8">
        <v>45439</v>
      </c>
      <c r="B149" s="16">
        <v>322.3599</v>
      </c>
      <c r="C149" s="16">
        <v>306.9045</v>
      </c>
      <c r="D149" s="16">
        <v>295.5615</v>
      </c>
      <c r="E149" s="16">
        <v>268.6683</v>
      </c>
      <c r="F149" s="16">
        <v>69.9375</v>
      </c>
      <c r="G149" s="16">
        <v>0.0863</v>
      </c>
      <c r="H149" s="16">
        <v>205.0377</v>
      </c>
      <c r="I149" s="16">
        <v>207.5326</v>
      </c>
      <c r="J149" s="16">
        <v>318.987</v>
      </c>
      <c r="K149" s="16">
        <v>343.384</v>
      </c>
      <c r="L149" s="16">
        <v>376.1385</v>
      </c>
      <c r="M149" s="16">
        <v>346.5648</v>
      </c>
      <c r="N149" s="16">
        <v>287.1675</v>
      </c>
      <c r="O149" s="16">
        <v>321.529</v>
      </c>
      <c r="P149" s="16">
        <v>335.5033</v>
      </c>
      <c r="Q149" s="16">
        <v>356.9329</v>
      </c>
      <c r="R149" s="16">
        <v>370.2784</v>
      </c>
      <c r="S149" s="16">
        <v>342.8619</v>
      </c>
      <c r="T149" s="16">
        <v>333.1937</v>
      </c>
      <c r="U149" s="16">
        <v>329.3065</v>
      </c>
      <c r="V149" s="16">
        <v>346.6923</v>
      </c>
      <c r="W149" s="16">
        <v>337.8639</v>
      </c>
      <c r="X149" s="16">
        <v>322.8504</v>
      </c>
      <c r="Y149" s="16">
        <v>308.1732</v>
      </c>
      <c r="Z149" s="16"/>
      <c r="AA149" s="17">
        <f t="shared" si="6"/>
        <v>376.1385</v>
      </c>
      <c r="AB149" s="17">
        <f t="shared" si="7"/>
        <v>0.0863</v>
      </c>
      <c r="AC149" s="17">
        <f t="shared" si="8"/>
        <v>293.896483333333</v>
      </c>
    </row>
    <row r="150" spans="1:29">
      <c r="A150" s="8">
        <v>45440</v>
      </c>
      <c r="B150" s="16">
        <v>316.4354</v>
      </c>
      <c r="C150" s="16">
        <v>306.2835</v>
      </c>
      <c r="D150" s="16">
        <v>284.8301</v>
      </c>
      <c r="E150" s="16">
        <v>193.1181</v>
      </c>
      <c r="F150" s="16">
        <v>29.7009</v>
      </c>
      <c r="G150" s="16">
        <v>29.6974</v>
      </c>
      <c r="H150" s="16">
        <v>298.3579</v>
      </c>
      <c r="I150" s="16">
        <v>288.3028</v>
      </c>
      <c r="J150" s="16">
        <v>325.3807</v>
      </c>
      <c r="K150" s="16">
        <v>325.5298</v>
      </c>
      <c r="L150" s="16">
        <v>324.915</v>
      </c>
      <c r="M150" s="16">
        <v>322.8033</v>
      </c>
      <c r="N150" s="16">
        <v>300.8391</v>
      </c>
      <c r="O150" s="16">
        <v>339.9675</v>
      </c>
      <c r="P150" s="16">
        <v>323.8339</v>
      </c>
      <c r="Q150" s="16">
        <v>323.8881</v>
      </c>
      <c r="R150" s="16">
        <v>323.9648</v>
      </c>
      <c r="S150" s="16">
        <v>316.6089</v>
      </c>
      <c r="T150" s="16">
        <v>303.3472</v>
      </c>
      <c r="U150" s="16">
        <v>319.2592</v>
      </c>
      <c r="V150" s="16">
        <v>318.5718</v>
      </c>
      <c r="W150" s="16">
        <v>302.8699</v>
      </c>
      <c r="X150" s="16">
        <v>200.2684</v>
      </c>
      <c r="Y150" s="16">
        <v>108.9319</v>
      </c>
      <c r="Z150" s="16"/>
      <c r="AA150" s="17">
        <f t="shared" si="6"/>
        <v>339.9675</v>
      </c>
      <c r="AB150" s="17">
        <f t="shared" si="7"/>
        <v>29.6974</v>
      </c>
      <c r="AC150" s="17">
        <f t="shared" si="8"/>
        <v>271.987733333333</v>
      </c>
    </row>
    <row r="151" spans="1:29">
      <c r="A151" s="8">
        <v>45441</v>
      </c>
      <c r="B151" s="16">
        <v>204.8145</v>
      </c>
      <c r="C151" s="16">
        <v>137.4346</v>
      </c>
      <c r="D151" s="16">
        <v>0</v>
      </c>
      <c r="E151" s="16">
        <v>0</v>
      </c>
      <c r="F151" s="16">
        <v>0</v>
      </c>
      <c r="G151" s="16">
        <v>0</v>
      </c>
      <c r="H151" s="16">
        <v>0</v>
      </c>
      <c r="I151" s="16">
        <v>0.9763</v>
      </c>
      <c r="J151" s="16">
        <v>129.8038</v>
      </c>
      <c r="K151" s="16">
        <v>41.9847</v>
      </c>
      <c r="L151" s="16">
        <v>0</v>
      </c>
      <c r="M151" s="16">
        <v>0</v>
      </c>
      <c r="N151" s="16">
        <v>0</v>
      </c>
      <c r="O151" s="16">
        <v>4.238</v>
      </c>
      <c r="P151" s="16">
        <v>3.5397</v>
      </c>
      <c r="Q151" s="16">
        <v>104.2485</v>
      </c>
      <c r="R151" s="16">
        <v>40.7298</v>
      </c>
      <c r="S151" s="16">
        <v>28.0367</v>
      </c>
      <c r="T151" s="16">
        <v>4.6857</v>
      </c>
      <c r="U151" s="16">
        <v>112.9771</v>
      </c>
      <c r="V151" s="16">
        <v>28.3465</v>
      </c>
      <c r="W151" s="16">
        <v>169.0384</v>
      </c>
      <c r="X151" s="16">
        <v>163.51</v>
      </c>
      <c r="Y151" s="16">
        <v>0</v>
      </c>
      <c r="Z151" s="16"/>
      <c r="AA151" s="17">
        <f t="shared" si="6"/>
        <v>204.8145</v>
      </c>
      <c r="AB151" s="17">
        <f t="shared" si="7"/>
        <v>0</v>
      </c>
      <c r="AC151" s="17">
        <f t="shared" si="8"/>
        <v>48.9318458333333</v>
      </c>
    </row>
    <row r="152" spans="1:29">
      <c r="A152" s="8">
        <v>45442</v>
      </c>
      <c r="B152" s="16">
        <v>227.5775</v>
      </c>
      <c r="C152" s="16">
        <v>276.7721</v>
      </c>
      <c r="D152" s="16">
        <v>239.5937</v>
      </c>
      <c r="E152" s="16">
        <v>272.2967</v>
      </c>
      <c r="F152" s="16">
        <v>67.6363</v>
      </c>
      <c r="G152" s="16">
        <v>0</v>
      </c>
      <c r="H152" s="16">
        <v>283.1288</v>
      </c>
      <c r="I152" s="16">
        <v>138.7721</v>
      </c>
      <c r="J152" s="16">
        <v>283.8614</v>
      </c>
      <c r="K152" s="16">
        <v>117.1962</v>
      </c>
      <c r="L152" s="16">
        <v>58.956</v>
      </c>
      <c r="M152" s="16">
        <v>211.0009</v>
      </c>
      <c r="N152" s="16">
        <v>211.5456</v>
      </c>
      <c r="O152" s="16">
        <v>288.0271</v>
      </c>
      <c r="P152" s="16">
        <v>315.5476</v>
      </c>
      <c r="Q152" s="16">
        <v>315.0015</v>
      </c>
      <c r="R152" s="16">
        <v>318.4623</v>
      </c>
      <c r="S152" s="16">
        <v>311.2556</v>
      </c>
      <c r="T152" s="16">
        <v>300.8672</v>
      </c>
      <c r="U152" s="16">
        <v>327.9481</v>
      </c>
      <c r="V152" s="16">
        <v>312.5997</v>
      </c>
      <c r="W152" s="16">
        <v>302.3774</v>
      </c>
      <c r="X152" s="16">
        <v>293.6096</v>
      </c>
      <c r="Y152" s="16">
        <v>203.986</v>
      </c>
      <c r="Z152" s="16"/>
      <c r="AA152" s="17">
        <f t="shared" si="6"/>
        <v>327.9481</v>
      </c>
      <c r="AB152" s="17">
        <f t="shared" si="7"/>
        <v>0</v>
      </c>
      <c r="AC152" s="17">
        <f t="shared" si="8"/>
        <v>236.584141666667</v>
      </c>
    </row>
    <row r="153" spans="1:29">
      <c r="A153" s="8">
        <v>45443</v>
      </c>
      <c r="B153" s="16">
        <v>273.1498</v>
      </c>
      <c r="C153" s="16">
        <v>281.0526</v>
      </c>
      <c r="D153" s="16">
        <v>264.1391</v>
      </c>
      <c r="E153" s="16">
        <v>240.0283</v>
      </c>
      <c r="F153" s="16">
        <v>98.0894</v>
      </c>
      <c r="G153" s="16">
        <v>0</v>
      </c>
      <c r="H153" s="16">
        <v>174.198</v>
      </c>
      <c r="I153" s="16">
        <v>132.3214</v>
      </c>
      <c r="J153" s="16">
        <v>289.2762</v>
      </c>
      <c r="K153" s="16">
        <v>323.4502</v>
      </c>
      <c r="L153" s="16">
        <v>339.4943</v>
      </c>
      <c r="M153" s="16">
        <v>319.4913</v>
      </c>
      <c r="N153" s="16">
        <v>203.6254</v>
      </c>
      <c r="O153" s="16">
        <v>301.265</v>
      </c>
      <c r="P153" s="16">
        <v>318.5164</v>
      </c>
      <c r="Q153" s="16">
        <v>321.8959</v>
      </c>
      <c r="R153" s="16">
        <v>325.0284</v>
      </c>
      <c r="S153" s="16">
        <v>298.7643</v>
      </c>
      <c r="T153" s="16">
        <v>294.8658</v>
      </c>
      <c r="U153" s="16">
        <v>313.1448</v>
      </c>
      <c r="V153" s="16">
        <v>310.9515</v>
      </c>
      <c r="W153" s="16">
        <v>285.4198</v>
      </c>
      <c r="X153" s="16">
        <v>246.1541</v>
      </c>
      <c r="Y153" s="16">
        <v>265.3541</v>
      </c>
      <c r="Z153" s="16"/>
      <c r="AA153" s="17">
        <f t="shared" si="6"/>
        <v>339.4943</v>
      </c>
      <c r="AB153" s="17">
        <f t="shared" si="7"/>
        <v>0</v>
      </c>
      <c r="AC153" s="17">
        <f t="shared" si="8"/>
        <v>259.153170833333</v>
      </c>
    </row>
    <row r="154" spans="1:29">
      <c r="A154" s="8">
        <v>45444</v>
      </c>
      <c r="B154" s="16">
        <v>332.1535</v>
      </c>
      <c r="C154" s="16">
        <v>303.7629</v>
      </c>
      <c r="D154" s="16">
        <v>271.7688</v>
      </c>
      <c r="E154" s="16">
        <v>182.6285</v>
      </c>
      <c r="F154" s="16">
        <v>0</v>
      </c>
      <c r="G154" s="16">
        <v>0</v>
      </c>
      <c r="H154" s="16">
        <v>248.191</v>
      </c>
      <c r="I154" s="16">
        <v>62.4166</v>
      </c>
      <c r="J154" s="16">
        <v>236.5515</v>
      </c>
      <c r="K154" s="16">
        <v>249.2314</v>
      </c>
      <c r="L154" s="16">
        <v>294.844</v>
      </c>
      <c r="M154" s="16">
        <v>364.1261</v>
      </c>
      <c r="N154" s="16">
        <v>204.511</v>
      </c>
      <c r="O154" s="16">
        <v>262.4342</v>
      </c>
      <c r="P154" s="16">
        <v>227.7665</v>
      </c>
      <c r="Q154" s="16">
        <v>307.5013</v>
      </c>
      <c r="R154" s="16">
        <v>306.7193</v>
      </c>
      <c r="S154" s="16">
        <v>305.6947</v>
      </c>
      <c r="T154" s="16">
        <v>313.5899</v>
      </c>
      <c r="U154" s="16">
        <v>313.7475</v>
      </c>
      <c r="V154" s="16">
        <v>315.557</v>
      </c>
      <c r="W154" s="16">
        <v>308.7775</v>
      </c>
      <c r="X154" s="16">
        <v>300.5968</v>
      </c>
      <c r="Y154" s="16">
        <v>303.22</v>
      </c>
      <c r="Z154" s="16"/>
      <c r="AA154" s="17">
        <f t="shared" si="6"/>
        <v>364.1261</v>
      </c>
      <c r="AB154" s="17">
        <f t="shared" si="7"/>
        <v>0</v>
      </c>
      <c r="AC154" s="17">
        <f t="shared" si="8"/>
        <v>250.657916666667</v>
      </c>
    </row>
    <row r="155" spans="1:29">
      <c r="A155" s="8">
        <v>45445</v>
      </c>
      <c r="B155" s="16">
        <v>324.6475</v>
      </c>
      <c r="C155" s="16">
        <v>305.0875</v>
      </c>
      <c r="D155" s="16">
        <v>292.3911</v>
      </c>
      <c r="E155" s="16">
        <v>273.9575</v>
      </c>
      <c r="F155" s="16">
        <v>200</v>
      </c>
      <c r="G155" s="16">
        <v>185.09</v>
      </c>
      <c r="H155" s="16">
        <v>264.61</v>
      </c>
      <c r="I155" s="16">
        <v>3.0278</v>
      </c>
      <c r="J155" s="16">
        <v>0</v>
      </c>
      <c r="K155" s="16">
        <v>30.8536</v>
      </c>
      <c r="L155" s="16">
        <v>37.5796</v>
      </c>
      <c r="M155" s="16">
        <v>263.2783</v>
      </c>
      <c r="N155" s="16">
        <v>153.4189</v>
      </c>
      <c r="O155" s="16">
        <v>297.1199</v>
      </c>
      <c r="P155" s="16">
        <v>298.589</v>
      </c>
      <c r="Q155" s="16">
        <v>316.4775</v>
      </c>
      <c r="R155" s="16">
        <v>302.6765</v>
      </c>
      <c r="S155" s="16">
        <v>353.2987</v>
      </c>
      <c r="T155" s="16">
        <v>341.8605</v>
      </c>
      <c r="U155" s="16">
        <v>351.2599</v>
      </c>
      <c r="V155" s="16">
        <v>363.2029</v>
      </c>
      <c r="W155" s="16">
        <v>508.3358</v>
      </c>
      <c r="X155" s="16">
        <v>363.5931</v>
      </c>
      <c r="Y155" s="16">
        <v>321.7381</v>
      </c>
      <c r="Z155" s="16"/>
      <c r="AA155" s="17">
        <f t="shared" si="6"/>
        <v>508.3358</v>
      </c>
      <c r="AB155" s="17">
        <f t="shared" si="7"/>
        <v>0</v>
      </c>
      <c r="AC155" s="17">
        <f t="shared" si="8"/>
        <v>256.3372375</v>
      </c>
    </row>
    <row r="156" spans="1:29">
      <c r="A156" s="8">
        <v>45446</v>
      </c>
      <c r="B156" s="16">
        <v>323.2973</v>
      </c>
      <c r="C156" s="16">
        <v>355.5719</v>
      </c>
      <c r="D156" s="16">
        <v>318.9752</v>
      </c>
      <c r="E156" s="16">
        <v>297</v>
      </c>
      <c r="F156" s="16">
        <v>268.2325</v>
      </c>
      <c r="G156" s="16">
        <v>269.575</v>
      </c>
      <c r="H156" s="16">
        <v>297.53</v>
      </c>
      <c r="I156" s="16">
        <v>300.5275</v>
      </c>
      <c r="J156" s="16">
        <v>374.9526</v>
      </c>
      <c r="K156" s="16">
        <v>405.4978</v>
      </c>
      <c r="L156" s="16">
        <v>345.1299</v>
      </c>
      <c r="M156" s="16">
        <v>327.7453</v>
      </c>
      <c r="N156" s="16">
        <v>228.1231</v>
      </c>
      <c r="O156" s="16">
        <v>310.0381</v>
      </c>
      <c r="P156" s="16">
        <v>319.6178</v>
      </c>
      <c r="Q156" s="16">
        <v>320.5752</v>
      </c>
      <c r="R156" s="16">
        <v>335.1251</v>
      </c>
      <c r="S156" s="16">
        <v>316.9969</v>
      </c>
      <c r="T156" s="16">
        <v>302.0766</v>
      </c>
      <c r="U156" s="16">
        <v>314.7031</v>
      </c>
      <c r="V156" s="16">
        <v>306.6088</v>
      </c>
      <c r="W156" s="16">
        <v>192.1724</v>
      </c>
      <c r="X156" s="16">
        <v>232.6275</v>
      </c>
      <c r="Y156" s="16">
        <v>275.0096</v>
      </c>
      <c r="Z156" s="16"/>
      <c r="AA156" s="17">
        <f t="shared" si="6"/>
        <v>405.4978</v>
      </c>
      <c r="AB156" s="17">
        <f t="shared" si="7"/>
        <v>192.1724</v>
      </c>
      <c r="AC156" s="17">
        <f t="shared" si="8"/>
        <v>305.737883333333</v>
      </c>
    </row>
    <row r="157" spans="1:29">
      <c r="A157" s="8">
        <v>45447</v>
      </c>
      <c r="B157" s="16">
        <v>301.0101</v>
      </c>
      <c r="C157" s="16">
        <v>289.0907</v>
      </c>
      <c r="D157" s="16">
        <v>119.195</v>
      </c>
      <c r="E157" s="16">
        <v>0</v>
      </c>
      <c r="F157" s="16">
        <v>0</v>
      </c>
      <c r="G157" s="16">
        <v>17.2129</v>
      </c>
      <c r="H157" s="16">
        <v>284.6685</v>
      </c>
      <c r="I157" s="16">
        <v>277.7033</v>
      </c>
      <c r="J157" s="16">
        <v>325.1448</v>
      </c>
      <c r="K157" s="16">
        <v>328.3013</v>
      </c>
      <c r="L157" s="16">
        <v>328.7308</v>
      </c>
      <c r="M157" s="16">
        <v>321.7766</v>
      </c>
      <c r="N157" s="16">
        <v>220.5204</v>
      </c>
      <c r="O157" s="16">
        <v>291.4562</v>
      </c>
      <c r="P157" s="16">
        <v>310.8703</v>
      </c>
      <c r="Q157" s="16">
        <v>312.1711</v>
      </c>
      <c r="R157" s="16">
        <v>305.3229</v>
      </c>
      <c r="S157" s="16">
        <v>249.8463</v>
      </c>
      <c r="T157" s="16">
        <v>201.4564</v>
      </c>
      <c r="U157" s="16">
        <v>305.5503</v>
      </c>
      <c r="V157" s="16">
        <v>284.2255</v>
      </c>
      <c r="W157" s="16">
        <v>146.278</v>
      </c>
      <c r="X157" s="16">
        <v>58.275</v>
      </c>
      <c r="Y157" s="16">
        <v>0</v>
      </c>
      <c r="Z157" s="16"/>
      <c r="AA157" s="17">
        <f t="shared" si="6"/>
        <v>328.7308</v>
      </c>
      <c r="AB157" s="17">
        <f t="shared" si="7"/>
        <v>0</v>
      </c>
      <c r="AC157" s="17">
        <f t="shared" si="8"/>
        <v>219.950266666667</v>
      </c>
    </row>
    <row r="158" spans="1:29">
      <c r="A158" s="8">
        <v>45448</v>
      </c>
      <c r="B158" s="16">
        <v>210.7017</v>
      </c>
      <c r="C158" s="16">
        <v>0</v>
      </c>
      <c r="D158" s="16">
        <v>50</v>
      </c>
      <c r="E158" s="16">
        <v>0</v>
      </c>
      <c r="F158" s="16">
        <v>0</v>
      </c>
      <c r="G158" s="16">
        <v>0</v>
      </c>
      <c r="H158" s="16">
        <v>205</v>
      </c>
      <c r="I158" s="16">
        <v>192.3569</v>
      </c>
      <c r="J158" s="16">
        <v>309.9048</v>
      </c>
      <c r="K158" s="16">
        <v>315.305</v>
      </c>
      <c r="L158" s="16">
        <v>325.1437</v>
      </c>
      <c r="M158" s="16">
        <v>305.1178</v>
      </c>
      <c r="N158" s="16">
        <v>199.6933</v>
      </c>
      <c r="O158" s="16">
        <v>291.0802</v>
      </c>
      <c r="P158" s="16">
        <v>304.2963</v>
      </c>
      <c r="Q158" s="16">
        <v>321.6446</v>
      </c>
      <c r="R158" s="16">
        <v>330.3666</v>
      </c>
      <c r="S158" s="16">
        <v>325.5306</v>
      </c>
      <c r="T158" s="16">
        <v>303.2676</v>
      </c>
      <c r="U158" s="16">
        <v>325.8084</v>
      </c>
      <c r="V158" s="16">
        <v>326.4992</v>
      </c>
      <c r="W158" s="16">
        <v>315.326</v>
      </c>
      <c r="X158" s="16">
        <v>242.1675</v>
      </c>
      <c r="Y158" s="16">
        <v>131.2267</v>
      </c>
      <c r="Z158" s="16"/>
      <c r="AA158" s="17">
        <f t="shared" si="6"/>
        <v>330.3666</v>
      </c>
      <c r="AB158" s="17">
        <f t="shared" si="7"/>
        <v>0</v>
      </c>
      <c r="AC158" s="17">
        <f t="shared" si="8"/>
        <v>222.1015375</v>
      </c>
    </row>
    <row r="159" spans="1:29">
      <c r="A159" s="8">
        <v>45449</v>
      </c>
      <c r="B159" s="16">
        <v>280.5941</v>
      </c>
      <c r="C159" s="16">
        <v>196.1826</v>
      </c>
      <c r="D159" s="16">
        <v>139.0769</v>
      </c>
      <c r="E159" s="16">
        <v>59.0716</v>
      </c>
      <c r="F159" s="16">
        <v>0.5479</v>
      </c>
      <c r="G159" s="16">
        <v>58.37</v>
      </c>
      <c r="H159" s="16">
        <v>224.7985</v>
      </c>
      <c r="I159" s="16">
        <v>114.56</v>
      </c>
      <c r="J159" s="16">
        <v>287.9994</v>
      </c>
      <c r="K159" s="16">
        <v>311.1442</v>
      </c>
      <c r="L159" s="16">
        <v>513.6957</v>
      </c>
      <c r="M159" s="16">
        <v>334.4059</v>
      </c>
      <c r="N159" s="16">
        <v>80.6699</v>
      </c>
      <c r="O159" s="16">
        <v>292.7125</v>
      </c>
      <c r="P159" s="16">
        <v>346.2433</v>
      </c>
      <c r="Q159" s="16">
        <v>400.445</v>
      </c>
      <c r="R159" s="16">
        <v>532.2924</v>
      </c>
      <c r="S159" s="16">
        <v>428.5306</v>
      </c>
      <c r="T159" s="16">
        <v>456.8209</v>
      </c>
      <c r="U159" s="16">
        <v>443.5046</v>
      </c>
      <c r="V159" s="16">
        <v>480.7782</v>
      </c>
      <c r="W159" s="16">
        <v>344.8006</v>
      </c>
      <c r="X159" s="16">
        <v>301.093</v>
      </c>
      <c r="Y159" s="16">
        <v>253.035</v>
      </c>
      <c r="Z159" s="16"/>
      <c r="AA159" s="17">
        <f t="shared" si="6"/>
        <v>532.2924</v>
      </c>
      <c r="AB159" s="17">
        <f t="shared" si="7"/>
        <v>0.5479</v>
      </c>
      <c r="AC159" s="17">
        <f t="shared" si="8"/>
        <v>286.723866666667</v>
      </c>
    </row>
    <row r="160" spans="1:29">
      <c r="A160" s="8">
        <v>45450</v>
      </c>
      <c r="B160" s="16">
        <v>293.6291</v>
      </c>
      <c r="C160" s="16">
        <v>184.8172</v>
      </c>
      <c r="D160" s="16">
        <v>49.9467</v>
      </c>
      <c r="E160" s="16">
        <v>6.4474</v>
      </c>
      <c r="F160" s="16">
        <v>0.4614</v>
      </c>
      <c r="G160" s="16">
        <v>1.3528</v>
      </c>
      <c r="H160" s="16">
        <v>153.9544</v>
      </c>
      <c r="I160" s="16">
        <v>203.1084</v>
      </c>
      <c r="J160" s="16">
        <v>298.2566</v>
      </c>
      <c r="K160" s="16">
        <v>325.4077</v>
      </c>
      <c r="L160" s="16">
        <v>333.2263</v>
      </c>
      <c r="M160" s="16">
        <v>308.8874</v>
      </c>
      <c r="N160" s="16">
        <v>33.9786</v>
      </c>
      <c r="O160" s="16">
        <v>291.2125</v>
      </c>
      <c r="P160" s="16">
        <v>306.7451</v>
      </c>
      <c r="Q160" s="16">
        <v>323.5325</v>
      </c>
      <c r="R160" s="16">
        <v>348.3019</v>
      </c>
      <c r="S160" s="16">
        <v>335.1568</v>
      </c>
      <c r="T160" s="16">
        <v>316.0349</v>
      </c>
      <c r="U160" s="16">
        <v>335.7275</v>
      </c>
      <c r="V160" s="16">
        <v>325.5268</v>
      </c>
      <c r="W160" s="16">
        <v>320.9692</v>
      </c>
      <c r="X160" s="16">
        <v>310.5529</v>
      </c>
      <c r="Y160" s="16">
        <v>307.6513</v>
      </c>
      <c r="Z160" s="16"/>
      <c r="AA160" s="17">
        <f t="shared" si="6"/>
        <v>348.3019</v>
      </c>
      <c r="AB160" s="17">
        <f t="shared" si="7"/>
        <v>0.4614</v>
      </c>
      <c r="AC160" s="17">
        <f t="shared" si="8"/>
        <v>238.120225</v>
      </c>
    </row>
    <row r="161" spans="1:29">
      <c r="A161" s="8">
        <v>45451</v>
      </c>
      <c r="B161" s="16">
        <v>330.0111</v>
      </c>
      <c r="C161" s="16">
        <v>317.1586</v>
      </c>
      <c r="D161" s="16">
        <v>312.3979</v>
      </c>
      <c r="E161" s="16">
        <v>302.0343</v>
      </c>
      <c r="F161" s="16">
        <v>283</v>
      </c>
      <c r="G161" s="16">
        <v>277.1275</v>
      </c>
      <c r="H161" s="16">
        <v>309.5698</v>
      </c>
      <c r="I161" s="16">
        <v>305</v>
      </c>
      <c r="J161" s="16">
        <v>316.2387</v>
      </c>
      <c r="K161" s="16">
        <v>337.9383</v>
      </c>
      <c r="L161" s="16">
        <v>344.5475</v>
      </c>
      <c r="M161" s="16">
        <v>333.1454</v>
      </c>
      <c r="N161" s="16">
        <v>242.5319</v>
      </c>
      <c r="O161" s="16">
        <v>323.6794</v>
      </c>
      <c r="P161" s="16">
        <v>336.9161</v>
      </c>
      <c r="Q161" s="16">
        <v>345.1826</v>
      </c>
      <c r="R161" s="16">
        <v>334.3018</v>
      </c>
      <c r="S161" s="16">
        <v>336.2286</v>
      </c>
      <c r="T161" s="16">
        <v>325.4145</v>
      </c>
      <c r="U161" s="16">
        <v>371.0338</v>
      </c>
      <c r="V161" s="16">
        <v>393.2756</v>
      </c>
      <c r="W161" s="16">
        <v>515.7264</v>
      </c>
      <c r="X161" s="16">
        <v>350.372</v>
      </c>
      <c r="Y161" s="16">
        <v>307.17</v>
      </c>
      <c r="Z161" s="16"/>
      <c r="AA161" s="17">
        <f t="shared" si="6"/>
        <v>515.7264</v>
      </c>
      <c r="AB161" s="17">
        <f t="shared" si="7"/>
        <v>242.5319</v>
      </c>
      <c r="AC161" s="17">
        <f t="shared" si="8"/>
        <v>331.250075</v>
      </c>
    </row>
    <row r="162" spans="1:29">
      <c r="A162" s="8">
        <v>45452</v>
      </c>
      <c r="B162" s="16">
        <v>344.1113</v>
      </c>
      <c r="C162" s="16">
        <v>352.1032</v>
      </c>
      <c r="D162" s="16">
        <v>321.9726</v>
      </c>
      <c r="E162" s="16">
        <v>312.893</v>
      </c>
      <c r="F162" s="16">
        <v>288.6669</v>
      </c>
      <c r="G162" s="16">
        <v>185.0209</v>
      </c>
      <c r="H162" s="16">
        <v>302.0097</v>
      </c>
      <c r="I162" s="16">
        <v>295.0398</v>
      </c>
      <c r="J162" s="16">
        <v>171.8558</v>
      </c>
      <c r="K162" s="16">
        <v>237.6945</v>
      </c>
      <c r="L162" s="16">
        <v>228.0559</v>
      </c>
      <c r="M162" s="16">
        <v>100.3232</v>
      </c>
      <c r="N162" s="16">
        <v>24.6332</v>
      </c>
      <c r="O162" s="16">
        <v>214.3675</v>
      </c>
      <c r="P162" s="16">
        <v>46.9539</v>
      </c>
      <c r="Q162" s="16">
        <v>69.7853</v>
      </c>
      <c r="R162" s="16">
        <v>71.6149</v>
      </c>
      <c r="S162" s="16">
        <v>47.1623</v>
      </c>
      <c r="T162" s="16">
        <v>103.6091</v>
      </c>
      <c r="U162" s="16">
        <v>251.2347</v>
      </c>
      <c r="V162" s="16">
        <v>297.9526</v>
      </c>
      <c r="W162" s="16">
        <v>301.3942</v>
      </c>
      <c r="X162" s="16">
        <v>301.4653</v>
      </c>
      <c r="Y162" s="16">
        <v>68.7792</v>
      </c>
      <c r="Z162" s="16"/>
      <c r="AA162" s="17">
        <f t="shared" si="6"/>
        <v>352.1032</v>
      </c>
      <c r="AB162" s="17">
        <f t="shared" si="7"/>
        <v>24.6332</v>
      </c>
      <c r="AC162" s="17">
        <f t="shared" si="8"/>
        <v>205.779125</v>
      </c>
    </row>
    <row r="163" spans="1:29">
      <c r="A163" s="8">
        <v>45453</v>
      </c>
      <c r="B163" s="16">
        <v>299.8229</v>
      </c>
      <c r="C163" s="16">
        <v>307.3116</v>
      </c>
      <c r="D163" s="16">
        <v>107.5525</v>
      </c>
      <c r="E163" s="16">
        <v>0</v>
      </c>
      <c r="F163" s="16">
        <v>0</v>
      </c>
      <c r="G163" s="16">
        <v>0</v>
      </c>
      <c r="H163" s="16">
        <v>0</v>
      </c>
      <c r="I163" s="16">
        <v>0</v>
      </c>
      <c r="J163" s="16">
        <v>65.3675</v>
      </c>
      <c r="K163" s="16">
        <v>0</v>
      </c>
      <c r="L163" s="16">
        <v>134.3971</v>
      </c>
      <c r="M163" s="16">
        <v>65.5958</v>
      </c>
      <c r="N163" s="16">
        <v>198.0478</v>
      </c>
      <c r="O163" s="16">
        <v>0.75</v>
      </c>
      <c r="P163" s="16">
        <v>50.8826</v>
      </c>
      <c r="Q163" s="16">
        <v>150.1367</v>
      </c>
      <c r="R163" s="16">
        <v>6.3146</v>
      </c>
      <c r="S163" s="16">
        <v>35.3208</v>
      </c>
      <c r="T163" s="16">
        <v>43.3556</v>
      </c>
      <c r="U163" s="16">
        <v>262.8033</v>
      </c>
      <c r="V163" s="16">
        <v>644.9711</v>
      </c>
      <c r="W163" s="16">
        <v>702.0395</v>
      </c>
      <c r="X163" s="16">
        <v>360.5821</v>
      </c>
      <c r="Y163" s="16">
        <v>297.7473</v>
      </c>
      <c r="Z163" s="16"/>
      <c r="AA163" s="17">
        <f t="shared" si="6"/>
        <v>702.0395</v>
      </c>
      <c r="AB163" s="17">
        <f t="shared" si="7"/>
        <v>0</v>
      </c>
      <c r="AC163" s="17">
        <f t="shared" si="8"/>
        <v>155.541616666667</v>
      </c>
    </row>
    <row r="164" spans="1:29">
      <c r="A164" s="8">
        <v>45454</v>
      </c>
      <c r="B164" s="16">
        <v>499.4455</v>
      </c>
      <c r="C164" s="16">
        <v>392.3659</v>
      </c>
      <c r="D164" s="16">
        <v>343.25</v>
      </c>
      <c r="E164" s="16">
        <v>308.56</v>
      </c>
      <c r="F164" s="16">
        <v>289.77</v>
      </c>
      <c r="G164" s="16">
        <v>217.895</v>
      </c>
      <c r="H164" s="16">
        <v>334.8675</v>
      </c>
      <c r="I164" s="16">
        <v>313.8471</v>
      </c>
      <c r="J164" s="16">
        <v>938.5858</v>
      </c>
      <c r="K164" s="16">
        <v>996.429</v>
      </c>
      <c r="L164" s="16">
        <v>628.7043</v>
      </c>
      <c r="M164" s="16">
        <v>801.0096</v>
      </c>
      <c r="N164" s="16">
        <v>382.3242</v>
      </c>
      <c r="O164" s="16">
        <v>684.007</v>
      </c>
      <c r="P164" s="16">
        <v>667.2348</v>
      </c>
      <c r="Q164" s="16">
        <v>832.3773</v>
      </c>
      <c r="R164" s="16">
        <v>653.9378</v>
      </c>
      <c r="S164" s="16">
        <v>423.919</v>
      </c>
      <c r="T164" s="16">
        <v>349.4824</v>
      </c>
      <c r="U164" s="16">
        <v>438.4036</v>
      </c>
      <c r="V164" s="16">
        <v>539.373</v>
      </c>
      <c r="W164" s="16">
        <v>858.2809</v>
      </c>
      <c r="X164" s="16">
        <v>411.8432</v>
      </c>
      <c r="Y164" s="16">
        <v>345.3428</v>
      </c>
      <c r="Z164" s="16"/>
      <c r="AA164" s="17">
        <f t="shared" si="6"/>
        <v>996.429</v>
      </c>
      <c r="AB164" s="17">
        <f t="shared" si="7"/>
        <v>217.895</v>
      </c>
      <c r="AC164" s="17">
        <f t="shared" si="8"/>
        <v>527.135654166667</v>
      </c>
    </row>
    <row r="165" spans="1:29">
      <c r="A165" s="8">
        <v>45455</v>
      </c>
      <c r="B165" s="16">
        <v>528.7683</v>
      </c>
      <c r="C165" s="16">
        <v>370.9647</v>
      </c>
      <c r="D165" s="16">
        <v>331.1745</v>
      </c>
      <c r="E165" s="16">
        <v>322.2166</v>
      </c>
      <c r="F165" s="16">
        <v>316.6286</v>
      </c>
      <c r="G165" s="16">
        <v>316.5526</v>
      </c>
      <c r="H165" s="16">
        <v>334.2618</v>
      </c>
      <c r="I165" s="16">
        <v>330.1405</v>
      </c>
      <c r="J165" s="16">
        <v>357.9861</v>
      </c>
      <c r="K165" s="16">
        <v>353.8528</v>
      </c>
      <c r="L165" s="16">
        <v>355.8394</v>
      </c>
      <c r="M165" s="16">
        <v>345.3781</v>
      </c>
      <c r="N165" s="16">
        <v>314.7792</v>
      </c>
      <c r="O165" s="16">
        <v>404.8797</v>
      </c>
      <c r="P165" s="16">
        <v>374.8288</v>
      </c>
      <c r="Q165" s="16">
        <v>355.4207</v>
      </c>
      <c r="R165" s="16">
        <v>382.1239</v>
      </c>
      <c r="S165" s="16">
        <v>360.2706</v>
      </c>
      <c r="T165" s="16">
        <v>335.8439</v>
      </c>
      <c r="U165" s="16">
        <v>390.2117</v>
      </c>
      <c r="V165" s="16">
        <v>410.0757</v>
      </c>
      <c r="W165" s="16">
        <v>432.2486</v>
      </c>
      <c r="X165" s="16">
        <v>385.5571</v>
      </c>
      <c r="Y165" s="16">
        <v>360.1984</v>
      </c>
      <c r="Z165" s="16"/>
      <c r="AA165" s="17">
        <f t="shared" si="6"/>
        <v>528.7683</v>
      </c>
      <c r="AB165" s="17">
        <f t="shared" si="7"/>
        <v>314.7792</v>
      </c>
      <c r="AC165" s="17">
        <f t="shared" si="8"/>
        <v>365.425095833333</v>
      </c>
    </row>
    <row r="166" spans="1:29">
      <c r="A166" s="8">
        <v>45456</v>
      </c>
      <c r="B166" s="16">
        <v>403.2972</v>
      </c>
      <c r="C166" s="16">
        <v>368.9957</v>
      </c>
      <c r="D166" s="16">
        <v>332.8745</v>
      </c>
      <c r="E166" s="16">
        <v>319.6338</v>
      </c>
      <c r="F166" s="16">
        <v>308.2154</v>
      </c>
      <c r="G166" s="16">
        <v>306.865</v>
      </c>
      <c r="H166" s="16">
        <v>317</v>
      </c>
      <c r="I166" s="16">
        <v>310.56</v>
      </c>
      <c r="J166" s="16">
        <v>350.5227</v>
      </c>
      <c r="K166" s="16">
        <v>361.123</v>
      </c>
      <c r="L166" s="16">
        <v>296.5904</v>
      </c>
      <c r="M166" s="16">
        <v>306.9728</v>
      </c>
      <c r="N166" s="16">
        <v>231.995</v>
      </c>
      <c r="O166" s="16">
        <v>319.422</v>
      </c>
      <c r="P166" s="16">
        <v>316.6375</v>
      </c>
      <c r="Q166" s="16">
        <v>327.5519</v>
      </c>
      <c r="R166" s="16">
        <v>342.5261</v>
      </c>
      <c r="S166" s="16">
        <v>420.8458</v>
      </c>
      <c r="T166" s="16">
        <v>377.3015</v>
      </c>
      <c r="U166" s="16">
        <v>448.3112</v>
      </c>
      <c r="V166" s="16">
        <v>452.0628</v>
      </c>
      <c r="W166" s="16">
        <v>429.0199</v>
      </c>
      <c r="X166" s="16">
        <v>389.9706</v>
      </c>
      <c r="Y166" s="16">
        <v>388.5998</v>
      </c>
      <c r="Z166" s="16"/>
      <c r="AA166" s="17">
        <f t="shared" si="6"/>
        <v>452.0628</v>
      </c>
      <c r="AB166" s="17">
        <f t="shared" si="7"/>
        <v>231.995</v>
      </c>
      <c r="AC166" s="17">
        <f t="shared" si="8"/>
        <v>351.120608333333</v>
      </c>
    </row>
    <row r="167" spans="1:29">
      <c r="A167" s="8">
        <v>45457</v>
      </c>
      <c r="B167" s="16">
        <v>410.9114</v>
      </c>
      <c r="C167" s="16">
        <v>369.1296</v>
      </c>
      <c r="D167" s="16">
        <v>334.2134</v>
      </c>
      <c r="E167" s="16">
        <v>313.8482</v>
      </c>
      <c r="F167" s="16">
        <v>306.9388</v>
      </c>
      <c r="G167" s="16">
        <v>297.229</v>
      </c>
      <c r="H167" s="16">
        <v>311.4639</v>
      </c>
      <c r="I167" s="16">
        <v>301.037</v>
      </c>
      <c r="J167" s="16">
        <v>345.7307</v>
      </c>
      <c r="K167" s="16">
        <v>354.8646</v>
      </c>
      <c r="L167" s="16">
        <v>265.1897</v>
      </c>
      <c r="M167" s="16">
        <v>199.7932</v>
      </c>
      <c r="N167" s="16">
        <v>131.9444</v>
      </c>
      <c r="O167" s="16">
        <v>300.0391</v>
      </c>
      <c r="P167" s="16">
        <v>263.0604</v>
      </c>
      <c r="Q167" s="16">
        <v>270.371</v>
      </c>
      <c r="R167" s="16">
        <v>286.5971</v>
      </c>
      <c r="S167" s="16">
        <v>265.4647</v>
      </c>
      <c r="T167" s="16">
        <v>276.3414</v>
      </c>
      <c r="U167" s="16">
        <v>314.3544</v>
      </c>
      <c r="V167" s="16">
        <v>326.4969</v>
      </c>
      <c r="W167" s="16">
        <v>328.1307</v>
      </c>
      <c r="X167" s="16">
        <v>337.2569</v>
      </c>
      <c r="Y167" s="16">
        <v>341.8874</v>
      </c>
      <c r="Z167" s="16"/>
      <c r="AA167" s="17">
        <f t="shared" si="6"/>
        <v>410.9114</v>
      </c>
      <c r="AB167" s="17">
        <f t="shared" si="7"/>
        <v>131.9444</v>
      </c>
      <c r="AC167" s="17">
        <f t="shared" si="8"/>
        <v>302.1789125</v>
      </c>
    </row>
    <row r="168" spans="1:29">
      <c r="A168" s="8">
        <v>45458</v>
      </c>
      <c r="B168" s="16">
        <v>363.4492</v>
      </c>
      <c r="C168" s="16">
        <v>359.7205</v>
      </c>
      <c r="D168" s="16">
        <v>327.4414</v>
      </c>
      <c r="E168" s="16">
        <v>313.8681</v>
      </c>
      <c r="F168" s="16">
        <v>306.5278</v>
      </c>
      <c r="G168" s="16">
        <v>300.0327</v>
      </c>
      <c r="H168" s="16">
        <v>303.4286</v>
      </c>
      <c r="I168" s="16">
        <v>296.2045</v>
      </c>
      <c r="J168" s="16">
        <v>303.7257</v>
      </c>
      <c r="K168" s="16">
        <v>275.0477</v>
      </c>
      <c r="L168" s="16">
        <v>194.7121</v>
      </c>
      <c r="M168" s="16">
        <v>247.7559</v>
      </c>
      <c r="N168" s="16">
        <v>193.6063</v>
      </c>
      <c r="O168" s="16">
        <v>302.8563</v>
      </c>
      <c r="P168" s="16">
        <v>306.8607</v>
      </c>
      <c r="Q168" s="16">
        <v>296.1249</v>
      </c>
      <c r="R168" s="16">
        <v>305.2129</v>
      </c>
      <c r="S168" s="16">
        <v>306.4081</v>
      </c>
      <c r="T168" s="16">
        <v>293.3771</v>
      </c>
      <c r="U168" s="16">
        <v>300.4313</v>
      </c>
      <c r="V168" s="16">
        <v>311.5619</v>
      </c>
      <c r="W168" s="16">
        <v>305.1224</v>
      </c>
      <c r="X168" s="16">
        <v>293.4055</v>
      </c>
      <c r="Y168" s="16">
        <v>291.0436</v>
      </c>
      <c r="Z168" s="16"/>
      <c r="AA168" s="17">
        <f t="shared" si="6"/>
        <v>363.4492</v>
      </c>
      <c r="AB168" s="17">
        <f t="shared" si="7"/>
        <v>193.6063</v>
      </c>
      <c r="AC168" s="17">
        <f t="shared" si="8"/>
        <v>295.746883333333</v>
      </c>
    </row>
    <row r="169" spans="1:29">
      <c r="A169" s="8">
        <v>45459</v>
      </c>
      <c r="B169" s="16">
        <v>349.8721</v>
      </c>
      <c r="C169" s="16">
        <v>318.6725</v>
      </c>
      <c r="D169" s="16">
        <v>307.1465</v>
      </c>
      <c r="E169" s="16">
        <v>296.3549</v>
      </c>
      <c r="F169" s="16">
        <v>256.7406</v>
      </c>
      <c r="G169" s="16">
        <v>52.2824</v>
      </c>
      <c r="H169" s="16">
        <v>0</v>
      </c>
      <c r="I169" s="16">
        <v>0</v>
      </c>
      <c r="J169" s="16">
        <v>82.5</v>
      </c>
      <c r="K169" s="16">
        <v>11.6345</v>
      </c>
      <c r="L169" s="16">
        <v>60.2181</v>
      </c>
      <c r="M169" s="16">
        <v>287.6546</v>
      </c>
      <c r="N169" s="16">
        <v>70.097</v>
      </c>
      <c r="O169" s="16">
        <v>277.2785</v>
      </c>
      <c r="P169" s="16">
        <v>139.2739</v>
      </c>
      <c r="Q169" s="16">
        <v>75.2808</v>
      </c>
      <c r="R169" s="16">
        <v>65.546</v>
      </c>
      <c r="S169" s="16">
        <v>44.3154</v>
      </c>
      <c r="T169" s="16">
        <v>54.0209</v>
      </c>
      <c r="U169" s="16">
        <v>104.1578</v>
      </c>
      <c r="V169" s="16">
        <v>273.2263</v>
      </c>
      <c r="W169" s="16">
        <v>303.0735</v>
      </c>
      <c r="X169" s="16">
        <v>216.7957</v>
      </c>
      <c r="Y169" s="16">
        <v>275.1898</v>
      </c>
      <c r="Z169" s="16"/>
      <c r="AA169" s="17">
        <f t="shared" si="6"/>
        <v>349.8721</v>
      </c>
      <c r="AB169" s="17">
        <f t="shared" si="7"/>
        <v>0</v>
      </c>
      <c r="AC169" s="17">
        <f t="shared" si="8"/>
        <v>163.388825</v>
      </c>
    </row>
    <row r="170" spans="1:29">
      <c r="A170" s="8">
        <v>45460</v>
      </c>
      <c r="B170" s="16">
        <v>303.2915</v>
      </c>
      <c r="C170" s="16">
        <v>255.9142</v>
      </c>
      <c r="D170" s="16">
        <v>56.0866</v>
      </c>
      <c r="E170" s="16">
        <v>55.0328</v>
      </c>
      <c r="F170" s="16">
        <v>0</v>
      </c>
      <c r="G170" s="16">
        <v>0.0002</v>
      </c>
      <c r="H170" s="16">
        <v>9.6086</v>
      </c>
      <c r="I170" s="16">
        <v>75.9197</v>
      </c>
      <c r="J170" s="16">
        <v>318.7487</v>
      </c>
      <c r="K170" s="16">
        <v>322.579</v>
      </c>
      <c r="L170" s="16">
        <v>313.7516</v>
      </c>
      <c r="M170" s="16">
        <v>299.0738</v>
      </c>
      <c r="N170" s="16">
        <v>166.5309</v>
      </c>
      <c r="O170" s="16">
        <v>310.704</v>
      </c>
      <c r="P170" s="16">
        <v>287.6001</v>
      </c>
      <c r="Q170" s="16">
        <v>300.5588</v>
      </c>
      <c r="R170" s="16">
        <v>350.5294</v>
      </c>
      <c r="S170" s="16">
        <v>358.9634</v>
      </c>
      <c r="T170" s="16">
        <v>323.7979</v>
      </c>
      <c r="U170" s="16">
        <v>358.8686</v>
      </c>
      <c r="V170" s="16">
        <v>355.161</v>
      </c>
      <c r="W170" s="16">
        <v>357.4592</v>
      </c>
      <c r="X170" s="16">
        <v>339.4005</v>
      </c>
      <c r="Y170" s="16">
        <v>326.2309</v>
      </c>
      <c r="Z170" s="16"/>
      <c r="AA170" s="17">
        <f t="shared" si="6"/>
        <v>358.9634</v>
      </c>
      <c r="AB170" s="17">
        <f t="shared" si="7"/>
        <v>0</v>
      </c>
      <c r="AC170" s="17">
        <f t="shared" si="8"/>
        <v>243.575475</v>
      </c>
    </row>
    <row r="171" spans="1:29">
      <c r="A171" s="8">
        <v>45461</v>
      </c>
      <c r="B171" s="16">
        <v>345.4926</v>
      </c>
      <c r="C171" s="16">
        <v>324.0909</v>
      </c>
      <c r="D171" s="16">
        <v>309.5892</v>
      </c>
      <c r="E171" s="16">
        <v>263.34</v>
      </c>
      <c r="F171" s="16">
        <v>237.34</v>
      </c>
      <c r="G171" s="16">
        <v>248.9842</v>
      </c>
      <c r="H171" s="16">
        <v>290.7436</v>
      </c>
      <c r="I171" s="16">
        <v>295.7834</v>
      </c>
      <c r="J171" s="16">
        <v>335.7995</v>
      </c>
      <c r="K171" s="16">
        <v>339.0897</v>
      </c>
      <c r="L171" s="16">
        <v>329.0693</v>
      </c>
      <c r="M171" s="16">
        <v>334.946</v>
      </c>
      <c r="N171" s="16">
        <v>317.1177</v>
      </c>
      <c r="O171" s="16">
        <v>335.8009</v>
      </c>
      <c r="P171" s="16">
        <v>334.2097</v>
      </c>
      <c r="Q171" s="16">
        <v>343.7856</v>
      </c>
      <c r="R171" s="16">
        <v>350.3972</v>
      </c>
      <c r="S171" s="16">
        <v>337.9325</v>
      </c>
      <c r="T171" s="16">
        <v>332.534</v>
      </c>
      <c r="U171" s="16">
        <v>349.1579</v>
      </c>
      <c r="V171" s="16">
        <v>353.6734</v>
      </c>
      <c r="W171" s="16">
        <v>364.4018</v>
      </c>
      <c r="X171" s="16">
        <v>342.8867</v>
      </c>
      <c r="Y171" s="16">
        <v>333.6358</v>
      </c>
      <c r="Z171" s="16"/>
      <c r="AA171" s="17">
        <f t="shared" si="6"/>
        <v>364.4018</v>
      </c>
      <c r="AB171" s="17">
        <f t="shared" si="7"/>
        <v>237.34</v>
      </c>
      <c r="AC171" s="17">
        <f t="shared" si="8"/>
        <v>322.9084</v>
      </c>
    </row>
    <row r="172" spans="1:29">
      <c r="A172" s="8">
        <v>45462</v>
      </c>
      <c r="B172" s="16">
        <v>337.3701</v>
      </c>
      <c r="C172" s="16">
        <v>326.0327</v>
      </c>
      <c r="D172" s="16">
        <v>304.8919</v>
      </c>
      <c r="E172" s="16">
        <v>277.4872</v>
      </c>
      <c r="F172" s="16">
        <v>133.904</v>
      </c>
      <c r="G172" s="16">
        <v>6.4619</v>
      </c>
      <c r="H172" s="16">
        <v>220.2127</v>
      </c>
      <c r="I172" s="16">
        <v>200.9917</v>
      </c>
      <c r="J172" s="16">
        <v>309.0965</v>
      </c>
      <c r="K172" s="16">
        <v>306.2961</v>
      </c>
      <c r="L172" s="16">
        <v>286.7499</v>
      </c>
      <c r="M172" s="16">
        <v>316.2945</v>
      </c>
      <c r="N172" s="16">
        <v>207.7221</v>
      </c>
      <c r="O172" s="16">
        <v>304.694</v>
      </c>
      <c r="P172" s="16">
        <v>228.4416</v>
      </c>
      <c r="Q172" s="16">
        <v>317.7664</v>
      </c>
      <c r="R172" s="16">
        <v>348.2895</v>
      </c>
      <c r="S172" s="16">
        <v>323.859</v>
      </c>
      <c r="T172" s="16">
        <v>310.7274</v>
      </c>
      <c r="U172" s="16">
        <v>333.024</v>
      </c>
      <c r="V172" s="16">
        <v>334.4751</v>
      </c>
      <c r="W172" s="16">
        <v>325.1305</v>
      </c>
      <c r="X172" s="16">
        <v>319.4852</v>
      </c>
      <c r="Y172" s="16">
        <v>308.5406</v>
      </c>
      <c r="Z172" s="16"/>
      <c r="AA172" s="17">
        <f t="shared" si="6"/>
        <v>348.2895</v>
      </c>
      <c r="AB172" s="17">
        <f t="shared" si="7"/>
        <v>6.4619</v>
      </c>
      <c r="AC172" s="17">
        <f t="shared" si="8"/>
        <v>278.664358333333</v>
      </c>
    </row>
    <row r="173" spans="1:29">
      <c r="A173" s="8">
        <v>45463</v>
      </c>
      <c r="B173" s="16">
        <v>330.1667</v>
      </c>
      <c r="C173" s="16">
        <v>321.481</v>
      </c>
      <c r="D173" s="16">
        <v>303.6928</v>
      </c>
      <c r="E173" s="16">
        <v>281.0128</v>
      </c>
      <c r="F173" s="16">
        <v>244.6496</v>
      </c>
      <c r="G173" s="16">
        <v>164.533</v>
      </c>
      <c r="H173" s="16">
        <v>241.6411</v>
      </c>
      <c r="I173" s="16">
        <v>129.3165</v>
      </c>
      <c r="J173" s="16">
        <v>285.9868</v>
      </c>
      <c r="K173" s="16">
        <v>266.6236</v>
      </c>
      <c r="L173" s="16">
        <v>241.5397</v>
      </c>
      <c r="M173" s="16">
        <v>180.396</v>
      </c>
      <c r="N173" s="16">
        <v>171.4027</v>
      </c>
      <c r="O173" s="16">
        <v>245.716</v>
      </c>
      <c r="P173" s="16">
        <v>285.539</v>
      </c>
      <c r="Q173" s="16">
        <v>291.852</v>
      </c>
      <c r="R173" s="16">
        <v>342.3835</v>
      </c>
      <c r="S173" s="16">
        <v>340.2996</v>
      </c>
      <c r="T173" s="16">
        <v>298.3823</v>
      </c>
      <c r="U173" s="16">
        <v>323.8376</v>
      </c>
      <c r="V173" s="16">
        <v>317.4551</v>
      </c>
      <c r="W173" s="16">
        <v>336.9676</v>
      </c>
      <c r="X173" s="16">
        <v>331.9377</v>
      </c>
      <c r="Y173" s="16">
        <v>319.4484</v>
      </c>
      <c r="Z173" s="16"/>
      <c r="AA173" s="17">
        <f t="shared" si="6"/>
        <v>342.3835</v>
      </c>
      <c r="AB173" s="17">
        <f t="shared" si="7"/>
        <v>129.3165</v>
      </c>
      <c r="AC173" s="17">
        <f t="shared" si="8"/>
        <v>274.8442125</v>
      </c>
    </row>
    <row r="174" spans="1:29">
      <c r="A174" s="8">
        <v>45464</v>
      </c>
      <c r="B174" s="16">
        <v>357.8982</v>
      </c>
      <c r="C174" s="16">
        <v>341.4189</v>
      </c>
      <c r="D174" s="16">
        <v>323.316</v>
      </c>
      <c r="E174" s="16">
        <v>310.33</v>
      </c>
      <c r="F174" s="16">
        <v>298.8968</v>
      </c>
      <c r="G174" s="16">
        <v>279.992</v>
      </c>
      <c r="H174" s="16">
        <v>280.5414</v>
      </c>
      <c r="I174" s="16">
        <v>256.0629</v>
      </c>
      <c r="J174" s="16">
        <v>303.7139</v>
      </c>
      <c r="K174" s="16">
        <v>210.7287</v>
      </c>
      <c r="L174" s="16">
        <v>160.478</v>
      </c>
      <c r="M174" s="16">
        <v>18.3132</v>
      </c>
      <c r="N174" s="16">
        <v>42.5134</v>
      </c>
      <c r="O174" s="16">
        <v>124.1807</v>
      </c>
      <c r="P174" s="16">
        <v>154.0336</v>
      </c>
      <c r="Q174" s="16">
        <v>299.5502</v>
      </c>
      <c r="R174" s="16">
        <v>312.7167</v>
      </c>
      <c r="S174" s="16">
        <v>311.4787</v>
      </c>
      <c r="T174" s="16">
        <v>313.1277</v>
      </c>
      <c r="U174" s="16">
        <v>346.1316</v>
      </c>
      <c r="V174" s="16">
        <v>348.0648</v>
      </c>
      <c r="W174" s="16">
        <v>352.7336</v>
      </c>
      <c r="X174" s="16">
        <v>348.0312</v>
      </c>
      <c r="Y174" s="16">
        <v>347.5745</v>
      </c>
      <c r="Z174" s="16"/>
      <c r="AA174" s="17">
        <f t="shared" si="6"/>
        <v>357.8982</v>
      </c>
      <c r="AB174" s="17">
        <f t="shared" si="7"/>
        <v>18.3132</v>
      </c>
      <c r="AC174" s="17">
        <f t="shared" si="8"/>
        <v>268.409445833333</v>
      </c>
    </row>
    <row r="175" spans="1:29">
      <c r="A175" s="8">
        <v>45465</v>
      </c>
      <c r="B175" s="16">
        <v>409.7924</v>
      </c>
      <c r="C175" s="16">
        <v>390.7561</v>
      </c>
      <c r="D175" s="16">
        <v>350.9962</v>
      </c>
      <c r="E175" s="16">
        <v>322.0115</v>
      </c>
      <c r="F175" s="16">
        <v>306.8539</v>
      </c>
      <c r="G175" s="16">
        <v>304.1028</v>
      </c>
      <c r="H175" s="16">
        <v>299.625</v>
      </c>
      <c r="I175" s="16">
        <v>283.0507</v>
      </c>
      <c r="J175" s="16">
        <v>295.2214</v>
      </c>
      <c r="K175" s="16">
        <v>291.7837</v>
      </c>
      <c r="L175" s="16">
        <v>248.7908</v>
      </c>
      <c r="M175" s="16">
        <v>271.2204</v>
      </c>
      <c r="N175" s="16">
        <v>148.8546</v>
      </c>
      <c r="O175" s="16">
        <v>270.6225</v>
      </c>
      <c r="P175" s="16">
        <v>316.9553</v>
      </c>
      <c r="Q175" s="16">
        <v>307.3737</v>
      </c>
      <c r="R175" s="16">
        <v>369.5675</v>
      </c>
      <c r="S175" s="16">
        <v>331.72</v>
      </c>
      <c r="T175" s="16">
        <v>314.7146</v>
      </c>
      <c r="U175" s="16">
        <v>325.2893</v>
      </c>
      <c r="V175" s="16">
        <v>330.4383</v>
      </c>
      <c r="W175" s="16">
        <v>349.3632</v>
      </c>
      <c r="X175" s="16">
        <v>375.6739</v>
      </c>
      <c r="Y175" s="16">
        <v>364.7258</v>
      </c>
      <c r="Z175" s="16"/>
      <c r="AA175" s="17">
        <f t="shared" si="6"/>
        <v>409.7924</v>
      </c>
      <c r="AB175" s="17">
        <f t="shared" si="7"/>
        <v>148.8546</v>
      </c>
      <c r="AC175" s="17">
        <f t="shared" si="8"/>
        <v>315.81265</v>
      </c>
    </row>
    <row r="176" spans="1:29">
      <c r="A176" s="8">
        <v>45466</v>
      </c>
      <c r="B176" s="16">
        <v>882.2603</v>
      </c>
      <c r="C176" s="16">
        <v>540.9212</v>
      </c>
      <c r="D176" s="16">
        <v>338.2705</v>
      </c>
      <c r="E176" s="16">
        <v>326.0982</v>
      </c>
      <c r="F176" s="16">
        <v>302.7543</v>
      </c>
      <c r="G176" s="16">
        <v>293.7997</v>
      </c>
      <c r="H176" s="16">
        <v>289.431</v>
      </c>
      <c r="I176" s="16">
        <v>258.7445</v>
      </c>
      <c r="J176" s="16">
        <v>104.7122</v>
      </c>
      <c r="K176" s="16">
        <v>4.6298</v>
      </c>
      <c r="L176" s="16">
        <v>44.7946</v>
      </c>
      <c r="M176" s="16">
        <v>137.5331</v>
      </c>
      <c r="N176" s="16">
        <v>125.6297</v>
      </c>
      <c r="O176" s="16">
        <v>296.0884</v>
      </c>
      <c r="P176" s="16">
        <v>267.6408</v>
      </c>
      <c r="Q176" s="16">
        <v>277.297</v>
      </c>
      <c r="R176" s="16">
        <v>309.2591</v>
      </c>
      <c r="S176" s="16">
        <v>309.405</v>
      </c>
      <c r="T176" s="16">
        <v>302.395</v>
      </c>
      <c r="U176" s="16">
        <v>316.3175</v>
      </c>
      <c r="V176" s="16">
        <v>335.0356</v>
      </c>
      <c r="W176" s="16">
        <v>348.8912</v>
      </c>
      <c r="X176" s="16">
        <v>329.5929</v>
      </c>
      <c r="Y176" s="16">
        <v>306.8869</v>
      </c>
      <c r="Z176" s="16"/>
      <c r="AA176" s="17">
        <f t="shared" si="6"/>
        <v>882.2603</v>
      </c>
      <c r="AB176" s="17">
        <f t="shared" si="7"/>
        <v>4.6298</v>
      </c>
      <c r="AC176" s="17">
        <f t="shared" si="8"/>
        <v>293.682854166667</v>
      </c>
    </row>
    <row r="177" spans="1:29">
      <c r="A177" s="8">
        <v>45467</v>
      </c>
      <c r="B177" s="16">
        <v>234.7144</v>
      </c>
      <c r="C177" s="16">
        <v>309.5447</v>
      </c>
      <c r="D177" s="16">
        <v>300.9024</v>
      </c>
      <c r="E177" s="16">
        <v>223.9182</v>
      </c>
      <c r="F177" s="16">
        <v>237.1666</v>
      </c>
      <c r="G177" s="16">
        <v>268.8167</v>
      </c>
      <c r="H177" s="16">
        <v>283.2776</v>
      </c>
      <c r="I177" s="16">
        <v>275.3457</v>
      </c>
      <c r="J177" s="16">
        <v>331.3271</v>
      </c>
      <c r="K177" s="16">
        <v>328.5837</v>
      </c>
      <c r="L177" s="16">
        <v>316.7078</v>
      </c>
      <c r="M177" s="16">
        <v>321.6955</v>
      </c>
      <c r="N177" s="16">
        <v>319.1754</v>
      </c>
      <c r="O177" s="16">
        <v>361.0893</v>
      </c>
      <c r="P177" s="16">
        <v>345.8286</v>
      </c>
      <c r="Q177" s="16">
        <v>323.8169</v>
      </c>
      <c r="R177" s="16">
        <v>340.9385</v>
      </c>
      <c r="S177" s="16">
        <v>384.4777</v>
      </c>
      <c r="T177" s="16">
        <v>372.9894</v>
      </c>
      <c r="U177" s="16">
        <v>400.8699</v>
      </c>
      <c r="V177" s="16">
        <v>392.9582</v>
      </c>
      <c r="W177" s="16">
        <v>394.9318</v>
      </c>
      <c r="X177" s="16">
        <v>377.1545</v>
      </c>
      <c r="Y177" s="16">
        <v>348.4441</v>
      </c>
      <c r="Z177" s="16"/>
      <c r="AA177" s="17">
        <f t="shared" si="6"/>
        <v>400.8699</v>
      </c>
      <c r="AB177" s="17">
        <f t="shared" si="7"/>
        <v>223.9182</v>
      </c>
      <c r="AC177" s="17">
        <f t="shared" si="8"/>
        <v>324.7781125</v>
      </c>
    </row>
    <row r="178" spans="1:29">
      <c r="A178" s="8">
        <v>45468</v>
      </c>
      <c r="B178" s="16">
        <v>307.7128</v>
      </c>
      <c r="C178" s="16">
        <v>288.4605</v>
      </c>
      <c r="D178" s="16">
        <v>246.0445</v>
      </c>
      <c r="E178" s="16">
        <v>133.0517</v>
      </c>
      <c r="F178" s="16">
        <v>68.7</v>
      </c>
      <c r="G178" s="16">
        <v>51.57</v>
      </c>
      <c r="H178" s="16">
        <v>39.44</v>
      </c>
      <c r="I178" s="16">
        <v>16.9397</v>
      </c>
      <c r="J178" s="16">
        <v>243.5058</v>
      </c>
      <c r="K178" s="16">
        <v>308.1063</v>
      </c>
      <c r="L178" s="16">
        <v>313.7641</v>
      </c>
      <c r="M178" s="16">
        <v>307.981</v>
      </c>
      <c r="N178" s="16">
        <v>260.0633</v>
      </c>
      <c r="O178" s="16">
        <v>283.8875</v>
      </c>
      <c r="P178" s="16">
        <v>309.1943</v>
      </c>
      <c r="Q178" s="16">
        <v>317.8227</v>
      </c>
      <c r="R178" s="16">
        <v>336.7428</v>
      </c>
      <c r="S178" s="16">
        <v>334.6404</v>
      </c>
      <c r="T178" s="16">
        <v>322.7692</v>
      </c>
      <c r="U178" s="16">
        <v>356.5461</v>
      </c>
      <c r="V178" s="16">
        <v>356.5027</v>
      </c>
      <c r="W178" s="16">
        <v>360.3665</v>
      </c>
      <c r="X178" s="16">
        <v>319.0793</v>
      </c>
      <c r="Y178" s="16">
        <v>307.2605</v>
      </c>
      <c r="Z178" s="16"/>
      <c r="AA178" s="17">
        <f t="shared" si="6"/>
        <v>360.3665</v>
      </c>
      <c r="AB178" s="17">
        <f t="shared" si="7"/>
        <v>16.9397</v>
      </c>
      <c r="AC178" s="17">
        <f t="shared" si="8"/>
        <v>257.9229875</v>
      </c>
    </row>
    <row r="179" spans="1:29">
      <c r="A179" s="8">
        <v>45469</v>
      </c>
      <c r="B179" s="16">
        <v>267.966</v>
      </c>
      <c r="C179" s="16">
        <v>266.3352</v>
      </c>
      <c r="D179" s="16">
        <v>253.0124</v>
      </c>
      <c r="E179" s="16">
        <v>241.037</v>
      </c>
      <c r="F179" s="16">
        <v>246.1606</v>
      </c>
      <c r="G179" s="16">
        <v>260.6605</v>
      </c>
      <c r="H179" s="16">
        <v>290.4583</v>
      </c>
      <c r="I179" s="16">
        <v>291.0834</v>
      </c>
      <c r="J179" s="16">
        <v>306.982</v>
      </c>
      <c r="K179" s="16">
        <v>313.7675</v>
      </c>
      <c r="L179" s="16">
        <v>322.6146</v>
      </c>
      <c r="M179" s="16">
        <v>323.6513</v>
      </c>
      <c r="N179" s="16">
        <v>240.4404</v>
      </c>
      <c r="O179" s="16">
        <v>313.4823</v>
      </c>
      <c r="P179" s="16">
        <v>308.2182</v>
      </c>
      <c r="Q179" s="16">
        <v>360.6819</v>
      </c>
      <c r="R179" s="16">
        <v>407.7669</v>
      </c>
      <c r="S179" s="16">
        <v>368.6538</v>
      </c>
      <c r="T179" s="16">
        <v>333.7217</v>
      </c>
      <c r="U179" s="16">
        <v>352.8516</v>
      </c>
      <c r="V179" s="16">
        <v>386.0637</v>
      </c>
      <c r="W179" s="16">
        <v>373.8609</v>
      </c>
      <c r="X179" s="16">
        <v>354.4639</v>
      </c>
      <c r="Y179" s="16">
        <v>331.6595</v>
      </c>
      <c r="Z179" s="16"/>
      <c r="AA179" s="17">
        <f t="shared" si="6"/>
        <v>407.7669</v>
      </c>
      <c r="AB179" s="17">
        <f t="shared" si="7"/>
        <v>240.4404</v>
      </c>
      <c r="AC179" s="17">
        <f t="shared" si="8"/>
        <v>313.149733333333</v>
      </c>
    </row>
    <row r="180" spans="1:29">
      <c r="A180" s="8">
        <v>45470</v>
      </c>
      <c r="B180" s="16">
        <v>325.0813</v>
      </c>
      <c r="C180" s="16">
        <v>311.2561</v>
      </c>
      <c r="D180" s="16">
        <v>297.4809</v>
      </c>
      <c r="E180" s="16">
        <v>292.6477</v>
      </c>
      <c r="F180" s="16">
        <v>286.7176</v>
      </c>
      <c r="G180" s="16">
        <v>269.6908</v>
      </c>
      <c r="H180" s="16">
        <v>286.5046</v>
      </c>
      <c r="I180" s="16">
        <v>289.0221</v>
      </c>
      <c r="J180" s="16">
        <v>304.1058</v>
      </c>
      <c r="K180" s="16">
        <v>325.5488</v>
      </c>
      <c r="L180" s="16">
        <v>331.0633</v>
      </c>
      <c r="M180" s="16">
        <v>354.6396</v>
      </c>
      <c r="N180" s="16">
        <v>305.9484</v>
      </c>
      <c r="O180" s="16">
        <v>345.6453</v>
      </c>
      <c r="P180" s="16">
        <v>344.123</v>
      </c>
      <c r="Q180" s="16">
        <v>342.6937</v>
      </c>
      <c r="R180" s="16">
        <v>369.3315</v>
      </c>
      <c r="S180" s="16">
        <v>357.2304</v>
      </c>
      <c r="T180" s="16">
        <v>349.5079</v>
      </c>
      <c r="U180" s="16">
        <v>431.5313</v>
      </c>
      <c r="V180" s="16">
        <v>443.2169</v>
      </c>
      <c r="W180" s="16">
        <v>460.1671</v>
      </c>
      <c r="X180" s="16">
        <v>360.7167</v>
      </c>
      <c r="Y180" s="16">
        <v>333.9981</v>
      </c>
      <c r="Z180" s="16"/>
      <c r="AA180" s="17">
        <f t="shared" si="6"/>
        <v>460.1671</v>
      </c>
      <c r="AB180" s="17">
        <f t="shared" si="7"/>
        <v>269.6908</v>
      </c>
      <c r="AC180" s="17">
        <f t="shared" si="8"/>
        <v>338.2445375</v>
      </c>
    </row>
    <row r="181" spans="1:29">
      <c r="A181" s="8">
        <v>45471</v>
      </c>
      <c r="B181" s="16">
        <v>336.5537</v>
      </c>
      <c r="C181" s="16">
        <v>317.393</v>
      </c>
      <c r="D181" s="16">
        <v>302.8902</v>
      </c>
      <c r="E181" s="16">
        <v>294.2569</v>
      </c>
      <c r="F181" s="16">
        <v>285.5105</v>
      </c>
      <c r="G181" s="16">
        <v>265.8678</v>
      </c>
      <c r="H181" s="16">
        <v>291.2069</v>
      </c>
      <c r="I181" s="16">
        <v>276.407</v>
      </c>
      <c r="J181" s="16">
        <v>302.9625</v>
      </c>
      <c r="K181" s="16">
        <v>317.3977</v>
      </c>
      <c r="L181" s="16">
        <v>338.7249</v>
      </c>
      <c r="M181" s="16">
        <v>318.2372</v>
      </c>
      <c r="N181" s="16">
        <v>282.0293</v>
      </c>
      <c r="O181" s="16">
        <v>324.9369</v>
      </c>
      <c r="P181" s="16">
        <v>334.3034</v>
      </c>
      <c r="Q181" s="16">
        <v>348.3349</v>
      </c>
      <c r="R181" s="16">
        <v>391.7828</v>
      </c>
      <c r="S181" s="16">
        <v>350.0628</v>
      </c>
      <c r="T181" s="16">
        <v>336.9595</v>
      </c>
      <c r="U181" s="16">
        <v>353.8355</v>
      </c>
      <c r="V181" s="16">
        <v>349.2093</v>
      </c>
      <c r="W181" s="16">
        <v>356.9137</v>
      </c>
      <c r="X181" s="16">
        <v>365.6025</v>
      </c>
      <c r="Y181" s="16">
        <v>362.6334</v>
      </c>
      <c r="Z181" s="16"/>
      <c r="AA181" s="17">
        <f t="shared" si="6"/>
        <v>391.7828</v>
      </c>
      <c r="AB181" s="17">
        <f t="shared" si="7"/>
        <v>265.8678</v>
      </c>
      <c r="AC181" s="17">
        <f t="shared" si="8"/>
        <v>325.167179166667</v>
      </c>
    </row>
    <row r="182" spans="1:29">
      <c r="A182" s="8">
        <v>45472</v>
      </c>
      <c r="B182" s="16">
        <v>377.3265</v>
      </c>
      <c r="C182" s="16">
        <v>321.5521</v>
      </c>
      <c r="D182" s="16">
        <v>301.8249</v>
      </c>
      <c r="E182" s="16">
        <v>295.7529</v>
      </c>
      <c r="F182" s="16">
        <v>273.4403</v>
      </c>
      <c r="G182" s="16">
        <v>255.5018</v>
      </c>
      <c r="H182" s="16">
        <v>254.8221</v>
      </c>
      <c r="I182" s="16">
        <v>164.146</v>
      </c>
      <c r="J182" s="16">
        <v>226.6603</v>
      </c>
      <c r="K182" s="16">
        <v>253.8378</v>
      </c>
      <c r="L182" s="16">
        <v>228.3697</v>
      </c>
      <c r="M182" s="16">
        <v>269.7796</v>
      </c>
      <c r="N182" s="16">
        <v>233.0311</v>
      </c>
      <c r="O182" s="16">
        <v>271.8848</v>
      </c>
      <c r="P182" s="16">
        <v>302.0804</v>
      </c>
      <c r="Q182" s="16">
        <v>301.5309</v>
      </c>
      <c r="R182" s="16">
        <v>334.7195</v>
      </c>
      <c r="S182" s="16">
        <v>296.0025</v>
      </c>
      <c r="T182" s="16">
        <v>281.228</v>
      </c>
      <c r="U182" s="16">
        <v>329.2314</v>
      </c>
      <c r="V182" s="16">
        <v>314.2725</v>
      </c>
      <c r="W182" s="16">
        <v>314.1977</v>
      </c>
      <c r="X182" s="16">
        <v>309.4711</v>
      </c>
      <c r="Y182" s="16">
        <v>288.4207</v>
      </c>
      <c r="Z182" s="16"/>
      <c r="AA182" s="17">
        <f t="shared" si="6"/>
        <v>377.3265</v>
      </c>
      <c r="AB182" s="17">
        <f t="shared" si="7"/>
        <v>164.146</v>
      </c>
      <c r="AC182" s="17">
        <f t="shared" si="8"/>
        <v>283.295191666667</v>
      </c>
    </row>
    <row r="183" spans="1:29">
      <c r="A183" s="8">
        <v>45473</v>
      </c>
      <c r="B183" s="16">
        <v>307.0694</v>
      </c>
      <c r="C183" s="16">
        <v>269.2754</v>
      </c>
      <c r="D183" s="16">
        <v>29.4504</v>
      </c>
      <c r="E183" s="16">
        <v>98.2299</v>
      </c>
      <c r="F183" s="16">
        <v>121.1963</v>
      </c>
      <c r="G183" s="16">
        <v>0</v>
      </c>
      <c r="H183" s="16">
        <v>0</v>
      </c>
      <c r="I183" s="16">
        <v>0</v>
      </c>
      <c r="J183" s="16">
        <v>0</v>
      </c>
      <c r="K183" s="16">
        <v>25.0034</v>
      </c>
      <c r="L183" s="16">
        <v>102.5769</v>
      </c>
      <c r="M183" s="16">
        <v>222.6028</v>
      </c>
      <c r="N183" s="16">
        <v>16.1657</v>
      </c>
      <c r="O183" s="16">
        <v>176.3688</v>
      </c>
      <c r="P183" s="16">
        <v>177.2439</v>
      </c>
      <c r="Q183" s="16">
        <v>102.5438</v>
      </c>
      <c r="R183" s="16">
        <v>196.0125</v>
      </c>
      <c r="S183" s="16">
        <v>167.593</v>
      </c>
      <c r="T183" s="16">
        <v>166.901</v>
      </c>
      <c r="U183" s="16">
        <v>253.7541</v>
      </c>
      <c r="V183" s="16">
        <v>318.4393</v>
      </c>
      <c r="W183" s="16">
        <v>326.5278</v>
      </c>
      <c r="X183" s="16">
        <v>302.2013</v>
      </c>
      <c r="Y183" s="16">
        <v>222.2441</v>
      </c>
      <c r="Z183" s="16"/>
      <c r="AA183" s="17">
        <f t="shared" si="6"/>
        <v>326.5278</v>
      </c>
      <c r="AB183" s="17">
        <f t="shared" si="7"/>
        <v>0</v>
      </c>
      <c r="AC183" s="17">
        <f t="shared" si="8"/>
        <v>150.058325</v>
      </c>
    </row>
    <row r="184" spans="1:29">
      <c r="A184" s="8">
        <v>45474</v>
      </c>
      <c r="B184" s="16">
        <v>309.8456</v>
      </c>
      <c r="C184" s="16">
        <v>305.9749</v>
      </c>
      <c r="D184" s="16">
        <v>279.9556</v>
      </c>
      <c r="E184" s="16">
        <v>235.2175</v>
      </c>
      <c r="F184" s="16">
        <v>53.9337</v>
      </c>
      <c r="G184" s="16">
        <v>0</v>
      </c>
      <c r="H184" s="16">
        <v>2.4301</v>
      </c>
      <c r="I184" s="16">
        <v>74.5104</v>
      </c>
      <c r="J184" s="16">
        <v>267.5896</v>
      </c>
      <c r="K184" s="16">
        <v>262.3912</v>
      </c>
      <c r="L184" s="16">
        <v>217.1877</v>
      </c>
      <c r="M184" s="16">
        <v>155.5193</v>
      </c>
      <c r="N184" s="16">
        <v>166.8329</v>
      </c>
      <c r="O184" s="16">
        <v>253.3909</v>
      </c>
      <c r="P184" s="16">
        <v>191.4215</v>
      </c>
      <c r="Q184" s="16">
        <v>141.1589</v>
      </c>
      <c r="R184" s="16">
        <v>257.9949</v>
      </c>
      <c r="S184" s="16">
        <v>304.3151</v>
      </c>
      <c r="T184" s="16">
        <v>317.7971</v>
      </c>
      <c r="U184" s="16">
        <v>338.3069</v>
      </c>
      <c r="V184" s="16">
        <v>337.5392</v>
      </c>
      <c r="W184" s="16">
        <v>362.4968</v>
      </c>
      <c r="X184" s="16">
        <v>361.9736</v>
      </c>
      <c r="Y184" s="16">
        <v>338.3796</v>
      </c>
      <c r="Z184" s="16"/>
      <c r="AA184" s="17">
        <f t="shared" si="6"/>
        <v>362.4968</v>
      </c>
      <c r="AB184" s="17">
        <f t="shared" si="7"/>
        <v>0</v>
      </c>
      <c r="AC184" s="17">
        <f t="shared" si="8"/>
        <v>230.673458333333</v>
      </c>
    </row>
    <row r="185" spans="1:29">
      <c r="A185" s="8">
        <v>45475</v>
      </c>
      <c r="B185" s="16">
        <v>353.6226</v>
      </c>
      <c r="C185" s="16">
        <v>323.3479</v>
      </c>
      <c r="D185" s="16">
        <v>309.6989</v>
      </c>
      <c r="E185" s="16">
        <v>299.4828</v>
      </c>
      <c r="F185" s="16">
        <v>289.4121</v>
      </c>
      <c r="G185" s="16">
        <v>289.9663</v>
      </c>
      <c r="H185" s="16">
        <v>285.8102</v>
      </c>
      <c r="I185" s="16">
        <v>273.9989</v>
      </c>
      <c r="J185" s="16">
        <v>313.6929</v>
      </c>
      <c r="K185" s="16">
        <v>361.7072</v>
      </c>
      <c r="L185" s="16">
        <v>323.7899</v>
      </c>
      <c r="M185" s="16">
        <v>315.8976</v>
      </c>
      <c r="N185" s="16">
        <v>240.3784</v>
      </c>
      <c r="O185" s="16">
        <v>307.2226</v>
      </c>
      <c r="P185" s="16">
        <v>322.0207</v>
      </c>
      <c r="Q185" s="16">
        <v>326.4618</v>
      </c>
      <c r="R185" s="16">
        <v>334.8044</v>
      </c>
      <c r="S185" s="16">
        <v>336.2679</v>
      </c>
      <c r="T185" s="16">
        <v>320.8572</v>
      </c>
      <c r="U185" s="16">
        <v>369.7526</v>
      </c>
      <c r="V185" s="16">
        <v>346.4759</v>
      </c>
      <c r="W185" s="16">
        <v>403.0998</v>
      </c>
      <c r="X185" s="16">
        <v>402.028</v>
      </c>
      <c r="Y185" s="16">
        <v>348.3281</v>
      </c>
      <c r="Z185" s="16"/>
      <c r="AA185" s="17">
        <f t="shared" si="6"/>
        <v>403.0998</v>
      </c>
      <c r="AB185" s="17">
        <f t="shared" si="7"/>
        <v>240.3784</v>
      </c>
      <c r="AC185" s="17">
        <f t="shared" si="8"/>
        <v>324.9218625</v>
      </c>
    </row>
    <row r="186" spans="1:29">
      <c r="A186" s="8">
        <v>45476</v>
      </c>
      <c r="B186" s="16">
        <v>370.6061</v>
      </c>
      <c r="C186" s="16">
        <v>343.2189</v>
      </c>
      <c r="D186" s="16">
        <v>315.4615</v>
      </c>
      <c r="E186" s="16">
        <v>303.2511</v>
      </c>
      <c r="F186" s="16">
        <v>301.0519</v>
      </c>
      <c r="G186" s="16">
        <v>296.3999</v>
      </c>
      <c r="H186" s="16">
        <v>300.8631</v>
      </c>
      <c r="I186" s="16">
        <v>297.0183</v>
      </c>
      <c r="J186" s="16">
        <v>305.4768</v>
      </c>
      <c r="K186" s="16">
        <v>323.3299</v>
      </c>
      <c r="L186" s="16">
        <v>212.9002</v>
      </c>
      <c r="M186" s="16">
        <v>195.5438</v>
      </c>
      <c r="N186" s="16">
        <v>260.4388</v>
      </c>
      <c r="O186" s="16">
        <v>315.1544</v>
      </c>
      <c r="P186" s="16">
        <v>316.1985</v>
      </c>
      <c r="Q186" s="16">
        <v>305.1154</v>
      </c>
      <c r="R186" s="16">
        <v>323.8717</v>
      </c>
      <c r="S186" s="16">
        <v>333.4858</v>
      </c>
      <c r="T186" s="16">
        <v>319.7149</v>
      </c>
      <c r="U186" s="16">
        <v>334.4706</v>
      </c>
      <c r="V186" s="16">
        <v>337.4314</v>
      </c>
      <c r="W186" s="16">
        <v>352.5667</v>
      </c>
      <c r="X186" s="16">
        <v>353.3868</v>
      </c>
      <c r="Y186" s="16">
        <v>344.1488</v>
      </c>
      <c r="Z186" s="16"/>
      <c r="AA186" s="17">
        <f t="shared" si="6"/>
        <v>370.6061</v>
      </c>
      <c r="AB186" s="17">
        <f t="shared" si="7"/>
        <v>195.5438</v>
      </c>
      <c r="AC186" s="17">
        <f t="shared" si="8"/>
        <v>310.8793875</v>
      </c>
    </row>
    <row r="187" spans="1:29">
      <c r="A187" s="8">
        <v>45477</v>
      </c>
      <c r="B187" s="16">
        <v>383.4205</v>
      </c>
      <c r="C187" s="16">
        <v>368.3256</v>
      </c>
      <c r="D187" s="16">
        <v>340.624</v>
      </c>
      <c r="E187" s="16">
        <v>328.5213</v>
      </c>
      <c r="F187" s="16">
        <v>320.9161</v>
      </c>
      <c r="G187" s="16">
        <v>320.8626</v>
      </c>
      <c r="H187" s="16">
        <v>315.9693</v>
      </c>
      <c r="I187" s="16">
        <v>306.8954</v>
      </c>
      <c r="J187" s="16">
        <v>325.0915</v>
      </c>
      <c r="K187" s="16">
        <v>322.3662</v>
      </c>
      <c r="L187" s="16">
        <v>314.6045</v>
      </c>
      <c r="M187" s="16">
        <v>295.5011</v>
      </c>
      <c r="N187" s="16">
        <v>293.0034</v>
      </c>
      <c r="O187" s="16">
        <v>328.3865</v>
      </c>
      <c r="P187" s="16">
        <v>319.8736</v>
      </c>
      <c r="Q187" s="16">
        <v>280.8644</v>
      </c>
      <c r="R187" s="16">
        <v>302.7515</v>
      </c>
      <c r="S187" s="16">
        <v>327.935</v>
      </c>
      <c r="T187" s="16">
        <v>329.8843</v>
      </c>
      <c r="U187" s="16">
        <v>355.3743</v>
      </c>
      <c r="V187" s="16">
        <v>361.923</v>
      </c>
      <c r="W187" s="16">
        <v>387.8709</v>
      </c>
      <c r="X187" s="16">
        <v>365.0206</v>
      </c>
      <c r="Y187" s="16">
        <v>350.2786</v>
      </c>
      <c r="Z187" s="16"/>
      <c r="AA187" s="17">
        <f t="shared" si="6"/>
        <v>387.8709</v>
      </c>
      <c r="AB187" s="17">
        <f t="shared" si="7"/>
        <v>280.8644</v>
      </c>
      <c r="AC187" s="17">
        <f t="shared" si="8"/>
        <v>331.094341666667</v>
      </c>
    </row>
    <row r="188" spans="1:29">
      <c r="A188" s="8">
        <v>45478</v>
      </c>
      <c r="B188" s="16">
        <v>406.2036</v>
      </c>
      <c r="C188" s="16">
        <v>358.4208</v>
      </c>
      <c r="D188" s="16">
        <v>330.9464</v>
      </c>
      <c r="E188" s="16">
        <v>315.8179</v>
      </c>
      <c r="F188" s="16">
        <v>303.1716</v>
      </c>
      <c r="G188" s="16">
        <v>298.4664</v>
      </c>
      <c r="H188" s="16">
        <v>303.1482</v>
      </c>
      <c r="I188" s="16">
        <v>296.3137</v>
      </c>
      <c r="J188" s="16">
        <v>310.9991</v>
      </c>
      <c r="K188" s="16">
        <v>309.4696</v>
      </c>
      <c r="L188" s="16">
        <v>243.1033</v>
      </c>
      <c r="M188" s="16">
        <v>254.1338</v>
      </c>
      <c r="N188" s="16">
        <v>309.9876</v>
      </c>
      <c r="O188" s="16">
        <v>328.3775</v>
      </c>
      <c r="P188" s="16">
        <v>313.2611</v>
      </c>
      <c r="Q188" s="16">
        <v>287.1586</v>
      </c>
      <c r="R188" s="16">
        <v>295.5455</v>
      </c>
      <c r="S188" s="16">
        <v>327.9989</v>
      </c>
      <c r="T188" s="16">
        <v>317.6785</v>
      </c>
      <c r="U188" s="16">
        <v>338.0999</v>
      </c>
      <c r="V188" s="16">
        <v>339.5082</v>
      </c>
      <c r="W188" s="16">
        <v>379.4484</v>
      </c>
      <c r="X188" s="16">
        <v>384.8669</v>
      </c>
      <c r="Y188" s="16">
        <v>356.5925</v>
      </c>
      <c r="Z188" s="16"/>
      <c r="AA188" s="17">
        <f t="shared" si="6"/>
        <v>406.2036</v>
      </c>
      <c r="AB188" s="17">
        <f t="shared" si="7"/>
        <v>243.1033</v>
      </c>
      <c r="AC188" s="17">
        <f t="shared" si="8"/>
        <v>321.196583333333</v>
      </c>
    </row>
    <row r="189" spans="1:29">
      <c r="A189" s="8">
        <v>45479</v>
      </c>
      <c r="B189" s="16">
        <v>569.2013</v>
      </c>
      <c r="C189" s="16">
        <v>431.6892</v>
      </c>
      <c r="D189" s="16">
        <v>359.7357</v>
      </c>
      <c r="E189" s="16">
        <v>336.505</v>
      </c>
      <c r="F189" s="16">
        <v>319.8962</v>
      </c>
      <c r="G189" s="16">
        <v>309.9235</v>
      </c>
      <c r="H189" s="16">
        <v>311.7942</v>
      </c>
      <c r="I189" s="16">
        <v>306.75</v>
      </c>
      <c r="J189" s="16">
        <v>307.973</v>
      </c>
      <c r="K189" s="16">
        <v>320.6719</v>
      </c>
      <c r="L189" s="16">
        <v>301.8873</v>
      </c>
      <c r="M189" s="16">
        <v>315.7137</v>
      </c>
      <c r="N189" s="16">
        <v>275.7212</v>
      </c>
      <c r="O189" s="16">
        <v>357.7926</v>
      </c>
      <c r="P189" s="16">
        <v>349.518</v>
      </c>
      <c r="Q189" s="16">
        <v>357.9492</v>
      </c>
      <c r="R189" s="16">
        <v>423.9705</v>
      </c>
      <c r="S189" s="16">
        <v>381.0502</v>
      </c>
      <c r="T189" s="16">
        <v>337.2818</v>
      </c>
      <c r="U189" s="16">
        <v>366.1359</v>
      </c>
      <c r="V189" s="16">
        <v>369.0787</v>
      </c>
      <c r="W189" s="16">
        <v>529.5894</v>
      </c>
      <c r="X189" s="16">
        <v>470.9874</v>
      </c>
      <c r="Y189" s="16">
        <v>489.1331</v>
      </c>
      <c r="Z189" s="16"/>
      <c r="AA189" s="17">
        <f t="shared" si="6"/>
        <v>569.2013</v>
      </c>
      <c r="AB189" s="17">
        <f t="shared" si="7"/>
        <v>275.7212</v>
      </c>
      <c r="AC189" s="17">
        <f t="shared" si="8"/>
        <v>370.831208333333</v>
      </c>
    </row>
    <row r="190" spans="1:29">
      <c r="A190" s="8">
        <v>45480</v>
      </c>
      <c r="B190" s="16">
        <v>749.9045</v>
      </c>
      <c r="C190" s="16">
        <v>412.5155</v>
      </c>
      <c r="D190" s="16">
        <v>373.1443</v>
      </c>
      <c r="E190" s="16">
        <v>354.1836</v>
      </c>
      <c r="F190" s="16">
        <v>336.4701</v>
      </c>
      <c r="G190" s="16">
        <v>327.8211</v>
      </c>
      <c r="H190" s="16">
        <v>325.0891</v>
      </c>
      <c r="I190" s="16">
        <v>315.9237</v>
      </c>
      <c r="J190" s="16">
        <v>306.1817</v>
      </c>
      <c r="K190" s="16">
        <v>305.3219</v>
      </c>
      <c r="L190" s="16">
        <v>243.4094</v>
      </c>
      <c r="M190" s="16">
        <v>225.2094</v>
      </c>
      <c r="N190" s="16">
        <v>257.6139</v>
      </c>
      <c r="O190" s="16">
        <v>320.2773</v>
      </c>
      <c r="P190" s="16">
        <v>313.2788</v>
      </c>
      <c r="Q190" s="16">
        <v>292.0024</v>
      </c>
      <c r="R190" s="16">
        <v>307.9428</v>
      </c>
      <c r="S190" s="16">
        <v>317.3171</v>
      </c>
      <c r="T190" s="16">
        <v>318.0609</v>
      </c>
      <c r="U190" s="16">
        <v>325.9654</v>
      </c>
      <c r="V190" s="16">
        <v>334.9454</v>
      </c>
      <c r="W190" s="16">
        <v>376.6221</v>
      </c>
      <c r="X190" s="16">
        <v>370.9268</v>
      </c>
      <c r="Y190" s="16">
        <v>356.6352</v>
      </c>
      <c r="Z190" s="16"/>
      <c r="AA190" s="17">
        <f t="shared" si="6"/>
        <v>749.9045</v>
      </c>
      <c r="AB190" s="17">
        <f t="shared" si="7"/>
        <v>225.2094</v>
      </c>
      <c r="AC190" s="17">
        <f t="shared" si="8"/>
        <v>340.281766666667</v>
      </c>
    </row>
    <row r="191" spans="1:29">
      <c r="A191" s="8">
        <v>45481</v>
      </c>
      <c r="B191" s="16">
        <v>602.5539</v>
      </c>
      <c r="C191" s="16">
        <v>389.7987</v>
      </c>
      <c r="D191" s="16">
        <v>351.7549</v>
      </c>
      <c r="E191" s="16">
        <v>338.223</v>
      </c>
      <c r="F191" s="16">
        <v>332.6958</v>
      </c>
      <c r="G191" s="16">
        <v>324.3127</v>
      </c>
      <c r="H191" s="16">
        <v>328.8905</v>
      </c>
      <c r="I191" s="16">
        <v>318.413</v>
      </c>
      <c r="J191" s="16">
        <v>336.4694</v>
      </c>
      <c r="K191" s="16">
        <v>366.4039</v>
      </c>
      <c r="L191" s="16">
        <v>356.093</v>
      </c>
      <c r="M191" s="16">
        <v>359.9951</v>
      </c>
      <c r="N191" s="16">
        <v>291.6241</v>
      </c>
      <c r="O191" s="16">
        <v>334.4753</v>
      </c>
      <c r="P191" s="16">
        <v>342.4727</v>
      </c>
      <c r="Q191" s="16">
        <v>342.2168</v>
      </c>
      <c r="R191" s="16">
        <v>397.6303</v>
      </c>
      <c r="S191" s="16">
        <v>387.2365</v>
      </c>
      <c r="T191" s="16">
        <v>342.6391</v>
      </c>
      <c r="U191" s="16">
        <v>361.2414</v>
      </c>
      <c r="V191" s="16">
        <v>361.3343</v>
      </c>
      <c r="W191" s="16">
        <v>393.3621</v>
      </c>
      <c r="X191" s="16">
        <v>402.2281</v>
      </c>
      <c r="Y191" s="16">
        <v>364.0536</v>
      </c>
      <c r="Z191" s="16"/>
      <c r="AA191" s="17">
        <f t="shared" si="6"/>
        <v>602.5539</v>
      </c>
      <c r="AB191" s="17">
        <f t="shared" si="7"/>
        <v>291.6241</v>
      </c>
      <c r="AC191" s="17">
        <f t="shared" si="8"/>
        <v>363.588258333333</v>
      </c>
    </row>
    <row r="192" spans="1:29">
      <c r="A192" s="8">
        <v>45482</v>
      </c>
      <c r="B192" s="16">
        <v>560.2818</v>
      </c>
      <c r="C192" s="16">
        <v>391.2499</v>
      </c>
      <c r="D192" s="16">
        <v>351.3741</v>
      </c>
      <c r="E192" s="16">
        <v>339.9526</v>
      </c>
      <c r="F192" s="16">
        <v>330.9954</v>
      </c>
      <c r="G192" s="16">
        <v>319.7352</v>
      </c>
      <c r="H192" s="16">
        <v>324.2443</v>
      </c>
      <c r="I192" s="16">
        <v>313.2157</v>
      </c>
      <c r="J192" s="16">
        <v>332.9128</v>
      </c>
      <c r="K192" s="16">
        <v>380.4028</v>
      </c>
      <c r="L192" s="16">
        <v>363.5816</v>
      </c>
      <c r="M192" s="16">
        <v>331.2115</v>
      </c>
      <c r="N192" s="16">
        <v>280.4313</v>
      </c>
      <c r="O192" s="16">
        <v>356.6454</v>
      </c>
      <c r="P192" s="16">
        <v>357.4552</v>
      </c>
      <c r="Q192" s="16">
        <v>392.7473</v>
      </c>
      <c r="R192" s="16">
        <v>388.475</v>
      </c>
      <c r="S192" s="16">
        <v>391.7267</v>
      </c>
      <c r="T192" s="16">
        <v>354.9244</v>
      </c>
      <c r="U192" s="16">
        <v>384.5912</v>
      </c>
      <c r="V192" s="16">
        <v>367.868</v>
      </c>
      <c r="W192" s="16">
        <v>370.216</v>
      </c>
      <c r="X192" s="16">
        <v>381.5989</v>
      </c>
      <c r="Y192" s="16">
        <v>367.5922</v>
      </c>
      <c r="Z192" s="16"/>
      <c r="AA192" s="17">
        <f t="shared" si="6"/>
        <v>560.2818</v>
      </c>
      <c r="AB192" s="17">
        <f t="shared" si="7"/>
        <v>280.4313</v>
      </c>
      <c r="AC192" s="17">
        <f t="shared" si="8"/>
        <v>363.8928875</v>
      </c>
    </row>
    <row r="193" spans="1:29">
      <c r="A193" s="8">
        <v>45483</v>
      </c>
      <c r="B193" s="16">
        <v>674.8577</v>
      </c>
      <c r="C193" s="16">
        <v>578.0573</v>
      </c>
      <c r="D193" s="16">
        <v>384.7691</v>
      </c>
      <c r="E193" s="16">
        <v>352.0032</v>
      </c>
      <c r="F193" s="16">
        <v>340.5792</v>
      </c>
      <c r="G193" s="16">
        <v>336.5559</v>
      </c>
      <c r="H193" s="16">
        <v>338.2868</v>
      </c>
      <c r="I193" s="16">
        <v>321.5545</v>
      </c>
      <c r="J193" s="16">
        <v>349.3751</v>
      </c>
      <c r="K193" s="16">
        <v>430.8615</v>
      </c>
      <c r="L193" s="16">
        <v>375.3096</v>
      </c>
      <c r="M193" s="16">
        <v>366.9881</v>
      </c>
      <c r="N193" s="16">
        <v>279.0491</v>
      </c>
      <c r="O193" s="16">
        <v>416.2914</v>
      </c>
      <c r="P193" s="16">
        <v>391.676</v>
      </c>
      <c r="Q193" s="16">
        <v>422.2006</v>
      </c>
      <c r="R193" s="16">
        <v>372.0006</v>
      </c>
      <c r="S193" s="16">
        <v>390.2648</v>
      </c>
      <c r="T193" s="16">
        <v>344.9222</v>
      </c>
      <c r="U193" s="16">
        <v>366.8731</v>
      </c>
      <c r="V193" s="16">
        <v>369.3697</v>
      </c>
      <c r="W193" s="16">
        <v>376.9004</v>
      </c>
      <c r="X193" s="16">
        <v>400.5668</v>
      </c>
      <c r="Y193" s="16">
        <v>375.7315</v>
      </c>
      <c r="Z193" s="16"/>
      <c r="AA193" s="17">
        <f t="shared" si="6"/>
        <v>674.8577</v>
      </c>
      <c r="AB193" s="17">
        <f t="shared" si="7"/>
        <v>279.0491</v>
      </c>
      <c r="AC193" s="17">
        <f t="shared" si="8"/>
        <v>389.793508333333</v>
      </c>
    </row>
    <row r="194" spans="1:29">
      <c r="A194" s="8">
        <v>45484</v>
      </c>
      <c r="B194" s="16">
        <v>651.7608</v>
      </c>
      <c r="C194" s="16">
        <v>525.0629</v>
      </c>
      <c r="D194" s="16">
        <v>392.5617</v>
      </c>
      <c r="E194" s="16">
        <v>356.2958</v>
      </c>
      <c r="F194" s="16">
        <v>344.8048</v>
      </c>
      <c r="G194" s="16">
        <v>337.9374</v>
      </c>
      <c r="H194" s="16">
        <v>339.8028</v>
      </c>
      <c r="I194" s="16">
        <v>330.6254</v>
      </c>
      <c r="J194" s="16">
        <v>346.6558</v>
      </c>
      <c r="K194" s="16">
        <v>353.7136</v>
      </c>
      <c r="L194" s="16">
        <v>354.0843</v>
      </c>
      <c r="M194" s="16">
        <v>344.5971</v>
      </c>
      <c r="N194" s="16">
        <v>257.1059</v>
      </c>
      <c r="O194" s="16">
        <v>343.8522</v>
      </c>
      <c r="P194" s="16">
        <v>348.8365</v>
      </c>
      <c r="Q194" s="16">
        <v>354.84</v>
      </c>
      <c r="R194" s="16">
        <v>352.359</v>
      </c>
      <c r="S194" s="16">
        <v>354.0342</v>
      </c>
      <c r="T194" s="16">
        <v>341.0888</v>
      </c>
      <c r="U194" s="16">
        <v>351.7889</v>
      </c>
      <c r="V194" s="16">
        <v>350.0607</v>
      </c>
      <c r="W194" s="16">
        <v>355.2358</v>
      </c>
      <c r="X194" s="16">
        <v>367.9144</v>
      </c>
      <c r="Y194" s="16">
        <v>369.4583</v>
      </c>
      <c r="Z194" s="16"/>
      <c r="AA194" s="17">
        <f t="shared" ref="AA194:AA257" si="9">MAX($B194:$Y194)</f>
        <v>651.7608</v>
      </c>
      <c r="AB194" s="17">
        <f t="shared" ref="AB194:AB257" si="10">MIN($B194:$Y194)</f>
        <v>257.1059</v>
      </c>
      <c r="AC194" s="17">
        <f t="shared" ref="AC194:AC257" si="11">AVERAGE($B194:$Y194)</f>
        <v>367.686545833333</v>
      </c>
    </row>
    <row r="195" spans="1:29">
      <c r="A195" s="8">
        <v>45485</v>
      </c>
      <c r="B195" s="16">
        <v>529.1094</v>
      </c>
      <c r="C195" s="16">
        <v>383.9217</v>
      </c>
      <c r="D195" s="16">
        <v>358.2359</v>
      </c>
      <c r="E195" s="16">
        <v>346.9992</v>
      </c>
      <c r="F195" s="16">
        <v>335.5324</v>
      </c>
      <c r="G195" s="16">
        <v>330.1874</v>
      </c>
      <c r="H195" s="16">
        <v>330.1252</v>
      </c>
      <c r="I195" s="16">
        <v>323.1694</v>
      </c>
      <c r="J195" s="16">
        <v>343.523</v>
      </c>
      <c r="K195" s="16">
        <v>348.1196</v>
      </c>
      <c r="L195" s="16">
        <v>338.3793</v>
      </c>
      <c r="M195" s="16">
        <v>341.9797</v>
      </c>
      <c r="N195" s="16">
        <v>325.0797</v>
      </c>
      <c r="O195" s="16">
        <v>347.2144</v>
      </c>
      <c r="P195" s="16">
        <v>352.4548</v>
      </c>
      <c r="Q195" s="16">
        <v>348.8639</v>
      </c>
      <c r="R195" s="16">
        <v>340.9605</v>
      </c>
      <c r="S195" s="16">
        <v>339.7414</v>
      </c>
      <c r="T195" s="16">
        <v>324.8892</v>
      </c>
      <c r="U195" s="16">
        <v>344.6404</v>
      </c>
      <c r="V195" s="16">
        <v>343.0656</v>
      </c>
      <c r="W195" s="16">
        <v>341.7617</v>
      </c>
      <c r="X195" s="16">
        <v>347.9654</v>
      </c>
      <c r="Y195" s="16">
        <v>348.518</v>
      </c>
      <c r="Z195" s="16"/>
      <c r="AA195" s="17">
        <f t="shared" si="9"/>
        <v>529.1094</v>
      </c>
      <c r="AB195" s="17">
        <f t="shared" si="10"/>
        <v>323.1694</v>
      </c>
      <c r="AC195" s="17">
        <f t="shared" si="11"/>
        <v>350.60155</v>
      </c>
    </row>
    <row r="196" spans="1:29">
      <c r="A196" s="8">
        <v>45486</v>
      </c>
      <c r="B196" s="16">
        <v>406.0144</v>
      </c>
      <c r="C196" s="16">
        <v>376.854</v>
      </c>
      <c r="D196" s="16">
        <v>356.4985</v>
      </c>
      <c r="E196" s="16">
        <v>349.7204</v>
      </c>
      <c r="F196" s="16">
        <v>336.8661</v>
      </c>
      <c r="G196" s="16">
        <v>326.8134</v>
      </c>
      <c r="H196" s="16">
        <v>329.1957</v>
      </c>
      <c r="I196" s="16">
        <v>317.4587</v>
      </c>
      <c r="J196" s="16">
        <v>332.8191</v>
      </c>
      <c r="K196" s="16">
        <v>313.9171</v>
      </c>
      <c r="L196" s="16">
        <v>275.2008</v>
      </c>
      <c r="M196" s="16">
        <v>319.1812</v>
      </c>
      <c r="N196" s="16">
        <v>282.3395</v>
      </c>
      <c r="O196" s="16">
        <v>396.0342</v>
      </c>
      <c r="P196" s="16">
        <v>418.978</v>
      </c>
      <c r="Q196" s="16">
        <v>342.3474</v>
      </c>
      <c r="R196" s="16">
        <v>362.4935</v>
      </c>
      <c r="S196" s="16">
        <v>376.629</v>
      </c>
      <c r="T196" s="16">
        <v>342.7629</v>
      </c>
      <c r="U196" s="16">
        <v>352.2925</v>
      </c>
      <c r="V196" s="16">
        <v>350.2523</v>
      </c>
      <c r="W196" s="16">
        <v>351.7897</v>
      </c>
      <c r="X196" s="16">
        <v>360.3259</v>
      </c>
      <c r="Y196" s="16">
        <v>370.8728</v>
      </c>
      <c r="Z196" s="16"/>
      <c r="AA196" s="17">
        <f t="shared" si="9"/>
        <v>418.978</v>
      </c>
      <c r="AB196" s="17">
        <f t="shared" si="10"/>
        <v>275.2008</v>
      </c>
      <c r="AC196" s="17">
        <f t="shared" si="11"/>
        <v>347.819045833333</v>
      </c>
    </row>
    <row r="197" spans="1:29">
      <c r="A197" s="8">
        <v>45487</v>
      </c>
      <c r="B197" s="16">
        <v>417.2243</v>
      </c>
      <c r="C197" s="16">
        <v>376.0907</v>
      </c>
      <c r="D197" s="16">
        <v>358.2602</v>
      </c>
      <c r="E197" s="16">
        <v>342.4062</v>
      </c>
      <c r="F197" s="16">
        <v>329.7013</v>
      </c>
      <c r="G197" s="16">
        <v>321.7078</v>
      </c>
      <c r="H197" s="16">
        <v>318.7862</v>
      </c>
      <c r="I197" s="16">
        <v>301.9993</v>
      </c>
      <c r="J197" s="16">
        <v>222.891</v>
      </c>
      <c r="K197" s="16">
        <v>216.614</v>
      </c>
      <c r="L197" s="16">
        <v>162.6677</v>
      </c>
      <c r="M197" s="16">
        <v>176.6868</v>
      </c>
      <c r="N197" s="16">
        <v>200.0822</v>
      </c>
      <c r="O197" s="16">
        <v>309.59</v>
      </c>
      <c r="P197" s="16">
        <v>221.5719</v>
      </c>
      <c r="Q197" s="16">
        <v>206.7384</v>
      </c>
      <c r="R197" s="16">
        <v>220.6179</v>
      </c>
      <c r="S197" s="16">
        <v>300.0661</v>
      </c>
      <c r="T197" s="16">
        <v>302.3533</v>
      </c>
      <c r="U197" s="16">
        <v>313.9946</v>
      </c>
      <c r="V197" s="16">
        <v>329.3809</v>
      </c>
      <c r="W197" s="16">
        <v>335.9046</v>
      </c>
      <c r="X197" s="16">
        <v>340.2445</v>
      </c>
      <c r="Y197" s="16">
        <v>349.9031</v>
      </c>
      <c r="Z197" s="16"/>
      <c r="AA197" s="17">
        <f t="shared" si="9"/>
        <v>417.2243</v>
      </c>
      <c r="AB197" s="17">
        <f t="shared" si="10"/>
        <v>162.6677</v>
      </c>
      <c r="AC197" s="17">
        <f t="shared" si="11"/>
        <v>290.645125</v>
      </c>
    </row>
    <row r="198" spans="1:29">
      <c r="A198" s="8">
        <v>45488</v>
      </c>
      <c r="B198" s="16">
        <v>379.4132</v>
      </c>
      <c r="C198" s="16">
        <v>348.8534</v>
      </c>
      <c r="D198" s="16">
        <v>333.4955</v>
      </c>
      <c r="E198" s="16">
        <v>329.6182</v>
      </c>
      <c r="F198" s="16">
        <v>316.0061</v>
      </c>
      <c r="G198" s="16">
        <v>308.4384</v>
      </c>
      <c r="H198" s="16">
        <v>310.1587</v>
      </c>
      <c r="I198" s="16">
        <v>303.0529</v>
      </c>
      <c r="J198" s="16">
        <v>327.5938</v>
      </c>
      <c r="K198" s="16">
        <v>378.0882</v>
      </c>
      <c r="L198" s="16">
        <v>338.87</v>
      </c>
      <c r="M198" s="16">
        <v>341.6454</v>
      </c>
      <c r="N198" s="16">
        <v>263.8718</v>
      </c>
      <c r="O198" s="16">
        <v>360.8556</v>
      </c>
      <c r="P198" s="16">
        <v>379.0383</v>
      </c>
      <c r="Q198" s="16">
        <v>407.1337</v>
      </c>
      <c r="R198" s="16">
        <v>435.6643</v>
      </c>
      <c r="S198" s="16">
        <v>377.5503</v>
      </c>
      <c r="T198" s="16">
        <v>335.8993</v>
      </c>
      <c r="U198" s="16">
        <v>374.6671</v>
      </c>
      <c r="V198" s="16">
        <v>358.8787</v>
      </c>
      <c r="W198" s="16">
        <v>363.396</v>
      </c>
      <c r="X198" s="16">
        <v>355.2923</v>
      </c>
      <c r="Y198" s="16">
        <v>349.8287</v>
      </c>
      <c r="Z198" s="16"/>
      <c r="AA198" s="17">
        <f t="shared" si="9"/>
        <v>435.6643</v>
      </c>
      <c r="AB198" s="17">
        <f t="shared" si="10"/>
        <v>263.8718</v>
      </c>
      <c r="AC198" s="17">
        <f t="shared" si="11"/>
        <v>349.054579166667</v>
      </c>
    </row>
    <row r="199" spans="1:29">
      <c r="A199" s="8">
        <v>45489</v>
      </c>
      <c r="B199" s="16">
        <v>367.6055</v>
      </c>
      <c r="C199" s="16">
        <v>343.3885</v>
      </c>
      <c r="D199" s="16">
        <v>329.8305</v>
      </c>
      <c r="E199" s="16">
        <v>323.805</v>
      </c>
      <c r="F199" s="16">
        <v>310.2673</v>
      </c>
      <c r="G199" s="16">
        <v>304.0898</v>
      </c>
      <c r="H199" s="16">
        <v>304.0065</v>
      </c>
      <c r="I199" s="16">
        <v>303.9085</v>
      </c>
      <c r="J199" s="16">
        <v>315.0227</v>
      </c>
      <c r="K199" s="16">
        <v>342.593</v>
      </c>
      <c r="L199" s="16">
        <v>363.3754</v>
      </c>
      <c r="M199" s="16">
        <v>336.4945</v>
      </c>
      <c r="N199" s="16">
        <v>313.1562</v>
      </c>
      <c r="O199" s="16">
        <v>317.612</v>
      </c>
      <c r="P199" s="16">
        <v>389.6044</v>
      </c>
      <c r="Q199" s="16">
        <v>332.3401</v>
      </c>
      <c r="R199" s="16">
        <v>332.6868</v>
      </c>
      <c r="S199" s="16">
        <v>325.4752</v>
      </c>
      <c r="T199" s="16">
        <v>309.7825</v>
      </c>
      <c r="U199" s="16">
        <v>317.629</v>
      </c>
      <c r="V199" s="16">
        <v>317.4063</v>
      </c>
      <c r="W199" s="16">
        <v>329.6956</v>
      </c>
      <c r="X199" s="16">
        <v>329.0589</v>
      </c>
      <c r="Y199" s="16">
        <v>317.5946</v>
      </c>
      <c r="Z199" s="16"/>
      <c r="AA199" s="17">
        <f t="shared" si="9"/>
        <v>389.6044</v>
      </c>
      <c r="AB199" s="17">
        <f t="shared" si="10"/>
        <v>303.9085</v>
      </c>
      <c r="AC199" s="17">
        <f t="shared" si="11"/>
        <v>328.184533333333</v>
      </c>
    </row>
    <row r="200" spans="1:29">
      <c r="A200" s="8">
        <v>45490</v>
      </c>
      <c r="B200" s="16">
        <v>322.4789</v>
      </c>
      <c r="C200" s="16">
        <v>316.9503</v>
      </c>
      <c r="D200" s="16">
        <v>310.9699</v>
      </c>
      <c r="E200" s="16">
        <v>305.0131</v>
      </c>
      <c r="F200" s="16">
        <v>298.0688</v>
      </c>
      <c r="G200" s="16">
        <v>271.9812</v>
      </c>
      <c r="H200" s="16">
        <v>296.7285</v>
      </c>
      <c r="I200" s="16">
        <v>285.116</v>
      </c>
      <c r="J200" s="16">
        <v>310.6524</v>
      </c>
      <c r="K200" s="16">
        <v>320.3667</v>
      </c>
      <c r="L200" s="16">
        <v>326.2096</v>
      </c>
      <c r="M200" s="16">
        <v>327.6179</v>
      </c>
      <c r="N200" s="16">
        <v>249.7327</v>
      </c>
      <c r="O200" s="16">
        <v>330.9244</v>
      </c>
      <c r="P200" s="16">
        <v>331.1766</v>
      </c>
      <c r="Q200" s="16">
        <v>330.6663</v>
      </c>
      <c r="R200" s="16">
        <v>335.554</v>
      </c>
      <c r="S200" s="16">
        <v>322.0668</v>
      </c>
      <c r="T200" s="16">
        <v>306.4074</v>
      </c>
      <c r="U200" s="16">
        <v>319.2009</v>
      </c>
      <c r="V200" s="16">
        <v>321.7839</v>
      </c>
      <c r="W200" s="16">
        <v>325.627</v>
      </c>
      <c r="X200" s="16">
        <v>318.4486</v>
      </c>
      <c r="Y200" s="16">
        <v>312.4954</v>
      </c>
      <c r="Z200" s="16"/>
      <c r="AA200" s="17">
        <f t="shared" si="9"/>
        <v>335.554</v>
      </c>
      <c r="AB200" s="17">
        <f t="shared" si="10"/>
        <v>249.7327</v>
      </c>
      <c r="AC200" s="17">
        <f t="shared" si="11"/>
        <v>312.343220833333</v>
      </c>
    </row>
    <row r="201" spans="1:29">
      <c r="A201" s="8">
        <v>45491</v>
      </c>
      <c r="B201" s="16">
        <v>346.871</v>
      </c>
      <c r="C201" s="16">
        <v>317.4957</v>
      </c>
      <c r="D201" s="16">
        <v>314.2072</v>
      </c>
      <c r="E201" s="16">
        <v>310.3426</v>
      </c>
      <c r="F201" s="16">
        <v>303.8702</v>
      </c>
      <c r="G201" s="16">
        <v>305.2677</v>
      </c>
      <c r="H201" s="16">
        <v>306.3926</v>
      </c>
      <c r="I201" s="16">
        <v>304.1717</v>
      </c>
      <c r="J201" s="16">
        <v>322.4059</v>
      </c>
      <c r="K201" s="16">
        <v>332.9455</v>
      </c>
      <c r="L201" s="16">
        <v>341.2728</v>
      </c>
      <c r="M201" s="16">
        <v>342.0817</v>
      </c>
      <c r="N201" s="16">
        <v>304.0053</v>
      </c>
      <c r="O201" s="16">
        <v>323.3643</v>
      </c>
      <c r="P201" s="16">
        <v>330.8864</v>
      </c>
      <c r="Q201" s="16">
        <v>279.8825</v>
      </c>
      <c r="R201" s="16">
        <v>317.2103</v>
      </c>
      <c r="S201" s="16">
        <v>308.1038</v>
      </c>
      <c r="T201" s="16">
        <v>301.1487</v>
      </c>
      <c r="U201" s="16">
        <v>313.8648</v>
      </c>
      <c r="V201" s="16">
        <v>314.621</v>
      </c>
      <c r="W201" s="16">
        <v>314.7445</v>
      </c>
      <c r="X201" s="16">
        <v>309.5602</v>
      </c>
      <c r="Y201" s="16">
        <v>305.2133</v>
      </c>
      <c r="Z201" s="16"/>
      <c r="AA201" s="17">
        <f t="shared" si="9"/>
        <v>346.871</v>
      </c>
      <c r="AB201" s="17">
        <f t="shared" si="10"/>
        <v>279.8825</v>
      </c>
      <c r="AC201" s="17">
        <f t="shared" si="11"/>
        <v>315.4137375</v>
      </c>
    </row>
    <row r="202" spans="1:29">
      <c r="A202" s="8">
        <v>45492</v>
      </c>
      <c r="B202" s="16">
        <v>319.1076</v>
      </c>
      <c r="C202" s="16">
        <v>315.1461</v>
      </c>
      <c r="D202" s="16">
        <v>309.3644</v>
      </c>
      <c r="E202" s="16">
        <v>306.6108</v>
      </c>
      <c r="F202" s="16">
        <v>298.7253</v>
      </c>
      <c r="G202" s="16">
        <v>295.7179</v>
      </c>
      <c r="H202" s="16">
        <v>299.7818</v>
      </c>
      <c r="I202" s="16">
        <v>289.8705</v>
      </c>
      <c r="J202" s="16">
        <v>310.6812</v>
      </c>
      <c r="K202" s="16">
        <v>302.8461</v>
      </c>
      <c r="L202" s="16">
        <v>312.262</v>
      </c>
      <c r="M202" s="16">
        <v>321.1437</v>
      </c>
      <c r="N202" s="16">
        <v>239.813</v>
      </c>
      <c r="O202" s="16">
        <v>315.4949</v>
      </c>
      <c r="P202" s="16">
        <v>345.7386</v>
      </c>
      <c r="Q202" s="16">
        <v>340.4172</v>
      </c>
      <c r="R202" s="16">
        <v>335.5385</v>
      </c>
      <c r="S202" s="16">
        <v>337.5456</v>
      </c>
      <c r="T202" s="16">
        <v>315.148</v>
      </c>
      <c r="U202" s="16">
        <v>342.2484</v>
      </c>
      <c r="V202" s="16">
        <v>339.7303</v>
      </c>
      <c r="W202" s="16">
        <v>330.9595</v>
      </c>
      <c r="X202" s="16">
        <v>331.2974</v>
      </c>
      <c r="Y202" s="16">
        <v>317.5606</v>
      </c>
      <c r="Z202" s="16"/>
      <c r="AA202" s="17">
        <f t="shared" si="9"/>
        <v>345.7386</v>
      </c>
      <c r="AB202" s="17">
        <f t="shared" si="10"/>
        <v>239.813</v>
      </c>
      <c r="AC202" s="17">
        <f t="shared" si="11"/>
        <v>315.531225</v>
      </c>
    </row>
    <row r="203" spans="1:29">
      <c r="A203" s="8">
        <v>45493</v>
      </c>
      <c r="B203" s="16">
        <v>327.9546</v>
      </c>
      <c r="C203" s="16">
        <v>316.931</v>
      </c>
      <c r="D203" s="16">
        <v>318.71</v>
      </c>
      <c r="E203" s="16">
        <v>316.6695</v>
      </c>
      <c r="F203" s="16">
        <v>307.0946</v>
      </c>
      <c r="G203" s="16">
        <v>304.9617</v>
      </c>
      <c r="H203" s="16">
        <v>303.5625</v>
      </c>
      <c r="I203" s="16">
        <v>297.5194</v>
      </c>
      <c r="J203" s="16">
        <v>320.8382</v>
      </c>
      <c r="K203" s="16">
        <v>339.4049</v>
      </c>
      <c r="L203" s="16">
        <v>355.2683</v>
      </c>
      <c r="M203" s="16">
        <v>286.2584</v>
      </c>
      <c r="N203" s="16">
        <v>228.1453</v>
      </c>
      <c r="O203" s="16">
        <v>304.625</v>
      </c>
      <c r="P203" s="16">
        <v>344.0707</v>
      </c>
      <c r="Q203" s="16">
        <v>335.0831</v>
      </c>
      <c r="R203" s="16">
        <v>338.237</v>
      </c>
      <c r="S203" s="16">
        <v>318.6692</v>
      </c>
      <c r="T203" s="16">
        <v>315.3331</v>
      </c>
      <c r="U203" s="16">
        <v>340.3784</v>
      </c>
      <c r="V203" s="16">
        <v>339.361</v>
      </c>
      <c r="W203" s="16">
        <v>345.7802</v>
      </c>
      <c r="X203" s="16">
        <v>336.0968</v>
      </c>
      <c r="Y203" s="16">
        <v>328.4005</v>
      </c>
      <c r="Z203" s="16"/>
      <c r="AA203" s="17">
        <f t="shared" si="9"/>
        <v>355.2683</v>
      </c>
      <c r="AB203" s="17">
        <f t="shared" si="10"/>
        <v>228.1453</v>
      </c>
      <c r="AC203" s="17">
        <f t="shared" si="11"/>
        <v>319.556391666667</v>
      </c>
    </row>
    <row r="204" spans="1:29">
      <c r="A204" s="8">
        <v>45494</v>
      </c>
      <c r="B204" s="16">
        <v>364.9374</v>
      </c>
      <c r="C204" s="16">
        <v>338.3827</v>
      </c>
      <c r="D204" s="16">
        <v>338.2861</v>
      </c>
      <c r="E204" s="16">
        <v>323.8533</v>
      </c>
      <c r="F204" s="16">
        <v>315.9237</v>
      </c>
      <c r="G204" s="16">
        <v>313.4812</v>
      </c>
      <c r="H204" s="16">
        <v>310.4994</v>
      </c>
      <c r="I204" s="16">
        <v>304.7422</v>
      </c>
      <c r="J204" s="16">
        <v>241.4523</v>
      </c>
      <c r="K204" s="16">
        <v>278.2473</v>
      </c>
      <c r="L204" s="16">
        <v>191.7257</v>
      </c>
      <c r="M204" s="16">
        <v>153.1903</v>
      </c>
      <c r="N204" s="16">
        <v>138.4386</v>
      </c>
      <c r="O204" s="16">
        <v>225.3644</v>
      </c>
      <c r="P204" s="16">
        <v>281.7266</v>
      </c>
      <c r="Q204" s="16">
        <v>213.7224</v>
      </c>
      <c r="R204" s="16">
        <v>203.4696</v>
      </c>
      <c r="S204" s="16">
        <v>217.8294</v>
      </c>
      <c r="T204" s="16">
        <v>244.0251</v>
      </c>
      <c r="U204" s="16">
        <v>304.6059</v>
      </c>
      <c r="V204" s="16">
        <v>312.5947</v>
      </c>
      <c r="W204" s="16">
        <v>314.9787</v>
      </c>
      <c r="X204" s="16">
        <v>318.0081</v>
      </c>
      <c r="Y204" s="16">
        <v>315.607</v>
      </c>
      <c r="Z204" s="16"/>
      <c r="AA204" s="17">
        <f t="shared" si="9"/>
        <v>364.9374</v>
      </c>
      <c r="AB204" s="17">
        <f t="shared" si="10"/>
        <v>138.4386</v>
      </c>
      <c r="AC204" s="17">
        <f t="shared" si="11"/>
        <v>273.545504166667</v>
      </c>
    </row>
    <row r="205" spans="1:29">
      <c r="A205" s="8">
        <v>45495</v>
      </c>
      <c r="B205" s="16">
        <v>324.429</v>
      </c>
      <c r="C205" s="16">
        <v>309.7002</v>
      </c>
      <c r="D205" s="16">
        <v>310.5628</v>
      </c>
      <c r="E205" s="16">
        <v>303.658</v>
      </c>
      <c r="F205" s="16">
        <v>294.3139</v>
      </c>
      <c r="G205" s="16">
        <v>288.3645</v>
      </c>
      <c r="H205" s="16">
        <v>293.1637</v>
      </c>
      <c r="I205" s="16">
        <v>297.3092</v>
      </c>
      <c r="J205" s="16">
        <v>401.3186</v>
      </c>
      <c r="K205" s="16">
        <v>399.0595</v>
      </c>
      <c r="L205" s="16">
        <v>258.17</v>
      </c>
      <c r="M205" s="16">
        <v>294.0905</v>
      </c>
      <c r="N205" s="16">
        <v>274.539</v>
      </c>
      <c r="O205" s="16">
        <v>337.5438</v>
      </c>
      <c r="P205" s="16">
        <v>546.3094</v>
      </c>
      <c r="Q205" s="16">
        <v>513.7049</v>
      </c>
      <c r="R205" s="16">
        <v>507.5785</v>
      </c>
      <c r="S205" s="16">
        <v>506.2429</v>
      </c>
      <c r="T205" s="16">
        <v>353.6118</v>
      </c>
      <c r="U205" s="16">
        <v>503.6711</v>
      </c>
      <c r="V205" s="16">
        <v>463.8101</v>
      </c>
      <c r="W205" s="16">
        <v>415.004</v>
      </c>
      <c r="X205" s="16">
        <v>361.3651</v>
      </c>
      <c r="Y205" s="16">
        <v>335.7274</v>
      </c>
      <c r="Z205" s="16"/>
      <c r="AA205" s="17">
        <f t="shared" si="9"/>
        <v>546.3094</v>
      </c>
      <c r="AB205" s="17">
        <f t="shared" si="10"/>
        <v>258.17</v>
      </c>
      <c r="AC205" s="17">
        <f t="shared" si="11"/>
        <v>370.551995833333</v>
      </c>
    </row>
    <row r="206" spans="1:29">
      <c r="A206" s="8">
        <v>45496</v>
      </c>
      <c r="B206" s="16">
        <v>363.0866</v>
      </c>
      <c r="C206" s="16">
        <v>343.8831</v>
      </c>
      <c r="D206" s="16">
        <v>333.1268</v>
      </c>
      <c r="E206" s="16">
        <v>324.1152</v>
      </c>
      <c r="F206" s="16">
        <v>317.0177</v>
      </c>
      <c r="G206" s="16">
        <v>309.9871</v>
      </c>
      <c r="H206" s="16">
        <v>316.0519</v>
      </c>
      <c r="I206" s="16">
        <v>312.8997</v>
      </c>
      <c r="J206" s="16">
        <v>332.4994</v>
      </c>
      <c r="K206" s="16">
        <v>342.1896</v>
      </c>
      <c r="L206" s="16">
        <v>334.1301</v>
      </c>
      <c r="M206" s="16">
        <v>316.0344</v>
      </c>
      <c r="N206" s="16">
        <v>247.9655</v>
      </c>
      <c r="O206" s="16">
        <v>388.6941</v>
      </c>
      <c r="P206" s="16">
        <v>408.6595</v>
      </c>
      <c r="Q206" s="16">
        <v>376.7409</v>
      </c>
      <c r="R206" s="16">
        <v>416.1924</v>
      </c>
      <c r="S206" s="16">
        <v>407.0585</v>
      </c>
      <c r="T206" s="16">
        <v>349.9355</v>
      </c>
      <c r="U206" s="16">
        <v>451.0413</v>
      </c>
      <c r="V206" s="16">
        <v>472.6515</v>
      </c>
      <c r="W206" s="16">
        <v>455.1377</v>
      </c>
      <c r="X206" s="16">
        <v>402.7895</v>
      </c>
      <c r="Y206" s="16">
        <v>368.3766</v>
      </c>
      <c r="Z206" s="16"/>
      <c r="AA206" s="17">
        <f t="shared" si="9"/>
        <v>472.6515</v>
      </c>
      <c r="AB206" s="17">
        <f t="shared" si="10"/>
        <v>247.9655</v>
      </c>
      <c r="AC206" s="17">
        <f t="shared" si="11"/>
        <v>362.094358333333</v>
      </c>
    </row>
    <row r="207" spans="1:29">
      <c r="A207" s="8">
        <v>45497</v>
      </c>
      <c r="B207" s="16">
        <v>368.6566</v>
      </c>
      <c r="C207" s="16">
        <v>348.0267</v>
      </c>
      <c r="D207" s="16">
        <v>351.5003</v>
      </c>
      <c r="E207" s="16">
        <v>335.082</v>
      </c>
      <c r="F207" s="16">
        <v>324.6571</v>
      </c>
      <c r="G207" s="16">
        <v>317.433</v>
      </c>
      <c r="H207" s="16">
        <v>320.9898</v>
      </c>
      <c r="I207" s="16">
        <v>318.74</v>
      </c>
      <c r="J207" s="16">
        <v>336.3967</v>
      </c>
      <c r="K207" s="16">
        <v>347.7012</v>
      </c>
      <c r="L207" s="16">
        <v>336.4884</v>
      </c>
      <c r="M207" s="16">
        <v>318.7276</v>
      </c>
      <c r="N207" s="16">
        <v>295.0842</v>
      </c>
      <c r="O207" s="16">
        <v>370.3217</v>
      </c>
      <c r="P207" s="16">
        <v>348.2485</v>
      </c>
      <c r="Q207" s="16">
        <v>350.7177</v>
      </c>
      <c r="R207" s="16">
        <v>356.3802</v>
      </c>
      <c r="S207" s="16">
        <v>345.5022</v>
      </c>
      <c r="T207" s="16">
        <v>337.6645</v>
      </c>
      <c r="U207" s="16">
        <v>358.1286</v>
      </c>
      <c r="V207" s="16">
        <v>354.8325</v>
      </c>
      <c r="W207" s="16">
        <v>360.5938</v>
      </c>
      <c r="X207" s="16">
        <v>390.466</v>
      </c>
      <c r="Y207" s="16">
        <v>368.5032</v>
      </c>
      <c r="Z207" s="16"/>
      <c r="AA207" s="17">
        <f t="shared" si="9"/>
        <v>390.466</v>
      </c>
      <c r="AB207" s="17">
        <f t="shared" si="10"/>
        <v>295.0842</v>
      </c>
      <c r="AC207" s="17">
        <f t="shared" si="11"/>
        <v>344.201770833333</v>
      </c>
    </row>
    <row r="208" spans="1:29">
      <c r="A208" s="8">
        <v>45498</v>
      </c>
      <c r="B208" s="16">
        <v>352.4656</v>
      </c>
      <c r="C208" s="16">
        <v>354.6529</v>
      </c>
      <c r="D208" s="16">
        <v>358.1587</v>
      </c>
      <c r="E208" s="16">
        <v>332.7577</v>
      </c>
      <c r="F208" s="16">
        <v>321.27</v>
      </c>
      <c r="G208" s="16">
        <v>311.81</v>
      </c>
      <c r="H208" s="16">
        <v>310.53</v>
      </c>
      <c r="I208" s="16">
        <v>306.81</v>
      </c>
      <c r="J208" s="16">
        <v>314.4389</v>
      </c>
      <c r="K208" s="16">
        <v>327.9915</v>
      </c>
      <c r="L208" s="16">
        <v>340.3872</v>
      </c>
      <c r="M208" s="16">
        <v>300.5563</v>
      </c>
      <c r="N208" s="16">
        <v>210.0212</v>
      </c>
      <c r="O208" s="16">
        <v>363.3136</v>
      </c>
      <c r="P208" s="16">
        <v>373.1475</v>
      </c>
      <c r="Q208" s="16">
        <v>416.5245</v>
      </c>
      <c r="R208" s="16">
        <v>425.1936</v>
      </c>
      <c r="S208" s="16">
        <v>380.6565</v>
      </c>
      <c r="T208" s="16">
        <v>350.604</v>
      </c>
      <c r="U208" s="16">
        <v>386.9397</v>
      </c>
      <c r="V208" s="16">
        <v>435.0464</v>
      </c>
      <c r="W208" s="16">
        <v>408.9603</v>
      </c>
      <c r="X208" s="16">
        <v>394.14</v>
      </c>
      <c r="Y208" s="16">
        <v>355.0299</v>
      </c>
      <c r="Z208" s="16"/>
      <c r="AA208" s="17">
        <f t="shared" si="9"/>
        <v>435.0464</v>
      </c>
      <c r="AB208" s="17">
        <f t="shared" si="10"/>
        <v>210.0212</v>
      </c>
      <c r="AC208" s="17">
        <f t="shared" si="11"/>
        <v>351.308583333333</v>
      </c>
    </row>
    <row r="209" spans="1:29">
      <c r="A209" s="8">
        <v>45499</v>
      </c>
      <c r="B209" s="16">
        <v>534.5</v>
      </c>
      <c r="C209" s="16">
        <v>487.5017</v>
      </c>
      <c r="D209" s="16">
        <v>431.1522</v>
      </c>
      <c r="E209" s="16">
        <v>360.0699</v>
      </c>
      <c r="F209" s="16">
        <v>332.444</v>
      </c>
      <c r="G209" s="16">
        <v>315.9591</v>
      </c>
      <c r="H209" s="16">
        <v>312.6218</v>
      </c>
      <c r="I209" s="16">
        <v>311.8699</v>
      </c>
      <c r="J209" s="16">
        <v>330.8607</v>
      </c>
      <c r="K209" s="16">
        <v>356.1447</v>
      </c>
      <c r="L209" s="16">
        <v>341.9372</v>
      </c>
      <c r="M209" s="16">
        <v>339.7632</v>
      </c>
      <c r="N209" s="16">
        <v>282.6659</v>
      </c>
      <c r="O209" s="16">
        <v>332.1808</v>
      </c>
      <c r="P209" s="16">
        <v>367.5914</v>
      </c>
      <c r="Q209" s="16">
        <v>362.5815</v>
      </c>
      <c r="R209" s="16">
        <v>369.2311</v>
      </c>
      <c r="S209" s="16">
        <v>355.2755</v>
      </c>
      <c r="T209" s="16">
        <v>318.067</v>
      </c>
      <c r="U209" s="16">
        <v>323.8888</v>
      </c>
      <c r="V209" s="16">
        <v>320.2139</v>
      </c>
      <c r="W209" s="16">
        <v>320.085</v>
      </c>
      <c r="X209" s="16">
        <v>325.0946</v>
      </c>
      <c r="Y209" s="16">
        <v>318.7882</v>
      </c>
      <c r="Z209" s="16"/>
      <c r="AA209" s="17">
        <f t="shared" si="9"/>
        <v>534.5</v>
      </c>
      <c r="AB209" s="17">
        <f t="shared" si="10"/>
        <v>282.6659</v>
      </c>
      <c r="AC209" s="17">
        <f t="shared" si="11"/>
        <v>352.103670833333</v>
      </c>
    </row>
    <row r="210" spans="1:29">
      <c r="A210" s="8">
        <v>45500</v>
      </c>
      <c r="B210" s="16">
        <v>363.6094</v>
      </c>
      <c r="C210" s="16">
        <v>324.3899</v>
      </c>
      <c r="D210" s="16">
        <v>317.8934</v>
      </c>
      <c r="E210" s="16">
        <v>310.1908</v>
      </c>
      <c r="F210" s="16">
        <v>302.716</v>
      </c>
      <c r="G210" s="16">
        <v>292.61</v>
      </c>
      <c r="H210" s="16">
        <v>289.665</v>
      </c>
      <c r="I210" s="16">
        <v>277.605</v>
      </c>
      <c r="J210" s="16">
        <v>310.3148</v>
      </c>
      <c r="K210" s="16">
        <v>320.8466</v>
      </c>
      <c r="L210" s="16">
        <v>314.9025</v>
      </c>
      <c r="M210" s="16">
        <v>278.1817</v>
      </c>
      <c r="N210" s="16">
        <v>93.8667</v>
      </c>
      <c r="O210" s="16">
        <v>287.1581</v>
      </c>
      <c r="P210" s="16">
        <v>278.2421</v>
      </c>
      <c r="Q210" s="16">
        <v>284.9298</v>
      </c>
      <c r="R210" s="16">
        <v>282.1292</v>
      </c>
      <c r="S210" s="16">
        <v>261.0827</v>
      </c>
      <c r="T210" s="16">
        <v>272.7103</v>
      </c>
      <c r="U210" s="16">
        <v>300.8014</v>
      </c>
      <c r="V210" s="16">
        <v>306.7525</v>
      </c>
      <c r="W210" s="16">
        <v>311.0728</v>
      </c>
      <c r="X210" s="16">
        <v>300.4867</v>
      </c>
      <c r="Y210" s="16">
        <v>252.7759</v>
      </c>
      <c r="Z210" s="16"/>
      <c r="AA210" s="17">
        <f t="shared" si="9"/>
        <v>363.6094</v>
      </c>
      <c r="AB210" s="17">
        <f t="shared" si="10"/>
        <v>93.8667</v>
      </c>
      <c r="AC210" s="17">
        <f t="shared" si="11"/>
        <v>288.955554166667</v>
      </c>
    </row>
    <row r="211" spans="1:29">
      <c r="A211" s="8">
        <v>45501</v>
      </c>
      <c r="B211" s="16">
        <v>285.9142</v>
      </c>
      <c r="C211" s="16">
        <v>291.1383</v>
      </c>
      <c r="D211" s="16">
        <v>292.8369</v>
      </c>
      <c r="E211" s="16">
        <v>262.4596</v>
      </c>
      <c r="F211" s="16">
        <v>56.4134</v>
      </c>
      <c r="G211" s="16">
        <v>2.1021</v>
      </c>
      <c r="H211" s="16">
        <v>4.5492</v>
      </c>
      <c r="I211" s="16">
        <v>6.6059</v>
      </c>
      <c r="J211" s="16">
        <v>1.766</v>
      </c>
      <c r="K211" s="16">
        <v>0</v>
      </c>
      <c r="L211" s="16">
        <v>18.5498</v>
      </c>
      <c r="M211" s="16">
        <v>159.6818</v>
      </c>
      <c r="N211" s="16">
        <v>152.59</v>
      </c>
      <c r="O211" s="16">
        <v>9.2044</v>
      </c>
      <c r="P211" s="16">
        <v>0</v>
      </c>
      <c r="Q211" s="16">
        <v>12.5919</v>
      </c>
      <c r="R211" s="16">
        <v>12.6082</v>
      </c>
      <c r="S211" s="16">
        <v>12.9739</v>
      </c>
      <c r="T211" s="16">
        <v>7.8929</v>
      </c>
      <c r="U211" s="16">
        <v>2.5814</v>
      </c>
      <c r="V211" s="16">
        <v>11.2387</v>
      </c>
      <c r="W211" s="16">
        <v>17.4134</v>
      </c>
      <c r="X211" s="16">
        <v>13.3979</v>
      </c>
      <c r="Y211" s="16">
        <v>5.3736</v>
      </c>
      <c r="Z211" s="16"/>
      <c r="AA211" s="17">
        <f t="shared" si="9"/>
        <v>292.8369</v>
      </c>
      <c r="AB211" s="17">
        <f t="shared" si="10"/>
        <v>0</v>
      </c>
      <c r="AC211" s="17">
        <f t="shared" si="11"/>
        <v>68.3284791666667</v>
      </c>
    </row>
    <row r="212" spans="1:29">
      <c r="A212" s="8">
        <v>45502</v>
      </c>
      <c r="B212" s="16">
        <v>122.1292</v>
      </c>
      <c r="C212" s="16">
        <v>7.4775</v>
      </c>
      <c r="D212" s="16">
        <v>0.9855</v>
      </c>
      <c r="E212" s="16">
        <v>0</v>
      </c>
      <c r="F212" s="16">
        <v>0.25</v>
      </c>
      <c r="G212" s="16">
        <v>0</v>
      </c>
      <c r="H212" s="16">
        <v>89.58</v>
      </c>
      <c r="I212" s="16">
        <v>207.5</v>
      </c>
      <c r="J212" s="16">
        <v>340.9698</v>
      </c>
      <c r="K212" s="16">
        <v>409.7829</v>
      </c>
      <c r="L212" s="16">
        <v>381.4192</v>
      </c>
      <c r="M212" s="16">
        <v>301.9385</v>
      </c>
      <c r="N212" s="16">
        <v>196.7881</v>
      </c>
      <c r="O212" s="16">
        <v>275.1068</v>
      </c>
      <c r="P212" s="16">
        <v>307.6501</v>
      </c>
      <c r="Q212" s="16">
        <v>306.3557</v>
      </c>
      <c r="R212" s="16">
        <v>311.9277</v>
      </c>
      <c r="S212" s="16">
        <v>239.3819</v>
      </c>
      <c r="T212" s="16">
        <v>291.3927</v>
      </c>
      <c r="U212" s="16">
        <v>312.5612</v>
      </c>
      <c r="V212" s="16">
        <v>315.025</v>
      </c>
      <c r="W212" s="16">
        <v>289.6113</v>
      </c>
      <c r="X212" s="16">
        <v>272.9926</v>
      </c>
      <c r="Y212" s="16">
        <v>72.0843</v>
      </c>
      <c r="Z212" s="16"/>
      <c r="AA212" s="17">
        <f t="shared" si="9"/>
        <v>409.7829</v>
      </c>
      <c r="AB212" s="17">
        <f t="shared" si="10"/>
        <v>0</v>
      </c>
      <c r="AC212" s="17">
        <f t="shared" si="11"/>
        <v>210.537916666667</v>
      </c>
    </row>
    <row r="213" spans="1:29">
      <c r="A213" s="8">
        <v>45503</v>
      </c>
      <c r="B213" s="16">
        <v>285.5769</v>
      </c>
      <c r="C213" s="16">
        <v>283.3316</v>
      </c>
      <c r="D213" s="16">
        <v>261.3986</v>
      </c>
      <c r="E213" s="16">
        <v>53</v>
      </c>
      <c r="F213" s="16">
        <v>0</v>
      </c>
      <c r="G213" s="16">
        <v>0</v>
      </c>
      <c r="H213" s="16">
        <v>201.3025</v>
      </c>
      <c r="I213" s="16">
        <v>274.1912</v>
      </c>
      <c r="J213" s="16">
        <v>317.2573</v>
      </c>
      <c r="K213" s="16">
        <v>325.8962</v>
      </c>
      <c r="L213" s="16">
        <v>321.0821</v>
      </c>
      <c r="M213" s="16">
        <v>304.115</v>
      </c>
      <c r="N213" s="16">
        <v>181.8682</v>
      </c>
      <c r="O213" s="16">
        <v>302.0125</v>
      </c>
      <c r="P213" s="16">
        <v>305.0193</v>
      </c>
      <c r="Q213" s="16">
        <v>308.5884</v>
      </c>
      <c r="R213" s="16">
        <v>308.707</v>
      </c>
      <c r="S213" s="16">
        <v>304.5301</v>
      </c>
      <c r="T213" s="16">
        <v>300.3597</v>
      </c>
      <c r="U213" s="16">
        <v>310.1838</v>
      </c>
      <c r="V213" s="16">
        <v>311.9062</v>
      </c>
      <c r="W213" s="16">
        <v>298.7435</v>
      </c>
      <c r="X213" s="16">
        <v>292.6092</v>
      </c>
      <c r="Y213" s="16">
        <v>173.3275</v>
      </c>
      <c r="Z213" s="16"/>
      <c r="AA213" s="17">
        <f t="shared" si="9"/>
        <v>325.8962</v>
      </c>
      <c r="AB213" s="17">
        <f t="shared" si="10"/>
        <v>0</v>
      </c>
      <c r="AC213" s="17">
        <f t="shared" si="11"/>
        <v>251.04195</v>
      </c>
    </row>
    <row r="214" spans="1:29">
      <c r="A214" s="8">
        <v>45504</v>
      </c>
      <c r="B214" s="16">
        <v>214.3577</v>
      </c>
      <c r="C214" s="16">
        <v>269.7112</v>
      </c>
      <c r="D214" s="16">
        <v>226</v>
      </c>
      <c r="E214" s="16">
        <v>110</v>
      </c>
      <c r="F214" s="16">
        <v>48.5</v>
      </c>
      <c r="G214" s="16">
        <v>0</v>
      </c>
      <c r="H214" s="16">
        <v>96</v>
      </c>
      <c r="I214" s="16">
        <v>215.2551</v>
      </c>
      <c r="J214" s="16">
        <v>280.2751</v>
      </c>
      <c r="K214" s="16">
        <v>293.6887</v>
      </c>
      <c r="L214" s="16">
        <v>235.2339</v>
      </c>
      <c r="M214" s="16">
        <v>226.7478</v>
      </c>
      <c r="N214" s="16">
        <v>54.4824</v>
      </c>
      <c r="O214" s="16">
        <v>111.2662</v>
      </c>
      <c r="P214" s="16">
        <v>138.5654</v>
      </c>
      <c r="Q214" s="16">
        <v>207.6948</v>
      </c>
      <c r="R214" s="16">
        <v>242.5617</v>
      </c>
      <c r="S214" s="16">
        <v>189.6791</v>
      </c>
      <c r="T214" s="16">
        <v>165.7428</v>
      </c>
      <c r="U214" s="16">
        <v>254.9358</v>
      </c>
      <c r="V214" s="16">
        <v>289.4394</v>
      </c>
      <c r="W214" s="16">
        <v>284.6752</v>
      </c>
      <c r="X214" s="16">
        <v>303.2966</v>
      </c>
      <c r="Y214" s="16">
        <v>273.1106</v>
      </c>
      <c r="Z214" s="16"/>
      <c r="AA214" s="17">
        <f t="shared" si="9"/>
        <v>303.2966</v>
      </c>
      <c r="AB214" s="17">
        <f t="shared" si="10"/>
        <v>0</v>
      </c>
      <c r="AC214" s="17">
        <f t="shared" si="11"/>
        <v>197.134145833333</v>
      </c>
    </row>
    <row r="215" spans="1:29">
      <c r="A215" s="8">
        <v>45505</v>
      </c>
      <c r="B215" s="16">
        <v>279.0073</v>
      </c>
      <c r="C215" s="16">
        <v>179.9436</v>
      </c>
      <c r="D215" s="16">
        <v>14.4797</v>
      </c>
      <c r="E215" s="16">
        <v>0.292</v>
      </c>
      <c r="F215" s="16">
        <v>0</v>
      </c>
      <c r="G215" s="16">
        <v>0</v>
      </c>
      <c r="H215" s="16">
        <v>1.0588</v>
      </c>
      <c r="I215" s="16">
        <v>2.8092</v>
      </c>
      <c r="J215" s="16">
        <v>217.9799</v>
      </c>
      <c r="K215" s="16">
        <v>156.5699</v>
      </c>
      <c r="L215" s="16">
        <v>115.0464</v>
      </c>
      <c r="M215" s="16">
        <v>218.8703</v>
      </c>
      <c r="N215" s="16">
        <v>208.7995</v>
      </c>
      <c r="O215" s="16">
        <v>152.6878</v>
      </c>
      <c r="P215" s="16">
        <v>222.062</v>
      </c>
      <c r="Q215" s="16">
        <v>288.8664</v>
      </c>
      <c r="R215" s="16">
        <v>311.7899</v>
      </c>
      <c r="S215" s="16">
        <v>348.8482</v>
      </c>
      <c r="T215" s="16">
        <v>341.3642</v>
      </c>
      <c r="U215" s="16">
        <v>371.0788</v>
      </c>
      <c r="V215" s="16">
        <v>370.0803</v>
      </c>
      <c r="W215" s="16">
        <v>370.3687</v>
      </c>
      <c r="X215" s="16">
        <v>325.5528</v>
      </c>
      <c r="Y215" s="16">
        <v>309.4171</v>
      </c>
      <c r="Z215" s="16"/>
      <c r="AA215" s="17">
        <f t="shared" si="9"/>
        <v>371.0788</v>
      </c>
      <c r="AB215" s="17">
        <f t="shared" si="10"/>
        <v>0</v>
      </c>
      <c r="AC215" s="17">
        <f t="shared" si="11"/>
        <v>200.290533333333</v>
      </c>
    </row>
    <row r="216" spans="1:29">
      <c r="A216" s="8">
        <v>45506</v>
      </c>
      <c r="B216" s="16">
        <v>345.6633</v>
      </c>
      <c r="C216" s="16">
        <v>318.2871</v>
      </c>
      <c r="D216" s="16">
        <v>312.8899</v>
      </c>
      <c r="E216" s="16">
        <v>294.7466</v>
      </c>
      <c r="F216" s="16">
        <v>274.6293</v>
      </c>
      <c r="G216" s="16">
        <v>254.7214</v>
      </c>
      <c r="H216" s="16">
        <v>268.2138</v>
      </c>
      <c r="I216" s="16">
        <v>286.5428</v>
      </c>
      <c r="J216" s="16">
        <v>306.1742</v>
      </c>
      <c r="K216" s="16">
        <v>331.2813</v>
      </c>
      <c r="L216" s="16">
        <v>316.7849</v>
      </c>
      <c r="M216" s="16">
        <v>322.8526</v>
      </c>
      <c r="N216" s="16">
        <v>215.8798</v>
      </c>
      <c r="O216" s="16">
        <v>293.7322</v>
      </c>
      <c r="P216" s="16">
        <v>365.1292</v>
      </c>
      <c r="Q216" s="16">
        <v>315.3587</v>
      </c>
      <c r="R216" s="16">
        <v>395.5692</v>
      </c>
      <c r="S216" s="16">
        <v>389.963</v>
      </c>
      <c r="T216" s="16">
        <v>328.9244</v>
      </c>
      <c r="U216" s="16">
        <v>371.6339</v>
      </c>
      <c r="V216" s="16">
        <v>376.4195</v>
      </c>
      <c r="W216" s="16">
        <v>479.0534</v>
      </c>
      <c r="X216" s="16">
        <v>382.005</v>
      </c>
      <c r="Y216" s="16">
        <v>318.4242</v>
      </c>
      <c r="Z216" s="16"/>
      <c r="AA216" s="17">
        <f t="shared" si="9"/>
        <v>479.0534</v>
      </c>
      <c r="AB216" s="17">
        <f t="shared" si="10"/>
        <v>215.8798</v>
      </c>
      <c r="AC216" s="17">
        <f t="shared" si="11"/>
        <v>327.703320833333</v>
      </c>
    </row>
    <row r="217" spans="1:29">
      <c r="A217" s="8">
        <v>45507</v>
      </c>
      <c r="B217" s="16">
        <v>340.9556</v>
      </c>
      <c r="C217" s="16">
        <v>327.9707</v>
      </c>
      <c r="D217" s="16">
        <v>309.1779</v>
      </c>
      <c r="E217" s="16">
        <v>296.977</v>
      </c>
      <c r="F217" s="16">
        <v>280.5398</v>
      </c>
      <c r="G217" s="16">
        <v>259.2973</v>
      </c>
      <c r="H217" s="16">
        <v>268.4647</v>
      </c>
      <c r="I217" s="16">
        <v>258.9412</v>
      </c>
      <c r="J217" s="16">
        <v>242.6802</v>
      </c>
      <c r="K217" s="16">
        <v>239.1925</v>
      </c>
      <c r="L217" s="16">
        <v>212.4624</v>
      </c>
      <c r="M217" s="16">
        <v>291.4859</v>
      </c>
      <c r="N217" s="16">
        <v>151.0091</v>
      </c>
      <c r="O217" s="16">
        <v>234.2428</v>
      </c>
      <c r="P217" s="16">
        <v>286.6843</v>
      </c>
      <c r="Q217" s="16">
        <v>302.9835</v>
      </c>
      <c r="R217" s="16">
        <v>328.4931</v>
      </c>
      <c r="S217" s="16">
        <v>333.8056</v>
      </c>
      <c r="T217" s="16">
        <v>344.0212</v>
      </c>
      <c r="U217" s="16">
        <v>381.7474</v>
      </c>
      <c r="V217" s="16">
        <v>408.7518</v>
      </c>
      <c r="W217" s="16">
        <v>406.7609</v>
      </c>
      <c r="X217" s="16">
        <v>415.7465</v>
      </c>
      <c r="Y217" s="16">
        <v>369.0734</v>
      </c>
      <c r="Z217" s="16"/>
      <c r="AA217" s="17">
        <f t="shared" si="9"/>
        <v>415.7465</v>
      </c>
      <c r="AB217" s="17">
        <f t="shared" si="10"/>
        <v>151.0091</v>
      </c>
      <c r="AC217" s="17">
        <f t="shared" si="11"/>
        <v>303.811033333333</v>
      </c>
    </row>
    <row r="218" spans="1:29">
      <c r="A218" s="8">
        <v>45508</v>
      </c>
      <c r="B218" s="16">
        <v>633.9992</v>
      </c>
      <c r="C218" s="16">
        <v>430.9262</v>
      </c>
      <c r="D218" s="16">
        <v>389.3502</v>
      </c>
      <c r="E218" s="16">
        <v>344.4921</v>
      </c>
      <c r="F218" s="16">
        <v>311.5132</v>
      </c>
      <c r="G218" s="16">
        <v>297.9117</v>
      </c>
      <c r="H218" s="16">
        <v>296.5864</v>
      </c>
      <c r="I218" s="16">
        <v>277.5917</v>
      </c>
      <c r="J218" s="16">
        <v>170.0972</v>
      </c>
      <c r="K218" s="16">
        <v>107.9661</v>
      </c>
      <c r="L218" s="16">
        <v>107.1938</v>
      </c>
      <c r="M218" s="16">
        <v>118.3571</v>
      </c>
      <c r="N218" s="16">
        <v>153.3948</v>
      </c>
      <c r="O218" s="16">
        <v>232.483</v>
      </c>
      <c r="P218" s="16">
        <v>249.629</v>
      </c>
      <c r="Q218" s="16">
        <v>267.5663</v>
      </c>
      <c r="R218" s="16">
        <v>303.1678</v>
      </c>
      <c r="S218" s="16">
        <v>325.1092</v>
      </c>
      <c r="T218" s="16">
        <v>350.2113</v>
      </c>
      <c r="U218" s="16">
        <v>715.0437</v>
      </c>
      <c r="V218" s="16">
        <v>443.9461</v>
      </c>
      <c r="W218" s="16">
        <v>439.6487</v>
      </c>
      <c r="X218" s="16">
        <v>527.8442</v>
      </c>
      <c r="Y218" s="16">
        <v>379.8011</v>
      </c>
      <c r="Z218" s="16"/>
      <c r="AA218" s="17">
        <f t="shared" si="9"/>
        <v>715.0437</v>
      </c>
      <c r="AB218" s="17">
        <f t="shared" si="10"/>
        <v>107.1938</v>
      </c>
      <c r="AC218" s="17">
        <f t="shared" si="11"/>
        <v>328.076254166667</v>
      </c>
    </row>
    <row r="219" spans="1:29">
      <c r="A219" s="8">
        <v>45509</v>
      </c>
      <c r="B219" s="16">
        <v>601.522</v>
      </c>
      <c r="C219" s="16">
        <v>432.5901</v>
      </c>
      <c r="D219" s="16">
        <v>521.3216</v>
      </c>
      <c r="E219" s="16">
        <v>366.3353</v>
      </c>
      <c r="F219" s="16">
        <v>329.0534</v>
      </c>
      <c r="G219" s="16">
        <v>320.215</v>
      </c>
      <c r="H219" s="16">
        <v>319.9741</v>
      </c>
      <c r="I219" s="16">
        <v>321.0819</v>
      </c>
      <c r="J219" s="16">
        <v>368.821</v>
      </c>
      <c r="K219" s="16">
        <v>390.0028</v>
      </c>
      <c r="L219" s="16">
        <v>359.243</v>
      </c>
      <c r="M219" s="16">
        <v>359.353</v>
      </c>
      <c r="N219" s="16">
        <v>334.1158</v>
      </c>
      <c r="O219" s="16">
        <v>457.1278</v>
      </c>
      <c r="P219" s="16">
        <v>448.0543</v>
      </c>
      <c r="Q219" s="16">
        <v>413.3646</v>
      </c>
      <c r="R219" s="16">
        <v>432.1405</v>
      </c>
      <c r="S219" s="16">
        <v>378.7045</v>
      </c>
      <c r="T219" s="16">
        <v>340.6113</v>
      </c>
      <c r="U219" s="16">
        <v>361.0723</v>
      </c>
      <c r="V219" s="16">
        <v>368.1546</v>
      </c>
      <c r="W219" s="16">
        <v>382.4317</v>
      </c>
      <c r="X219" s="16">
        <v>384.3552</v>
      </c>
      <c r="Y219" s="16">
        <v>363.6495</v>
      </c>
      <c r="Z219" s="16"/>
      <c r="AA219" s="17">
        <f t="shared" si="9"/>
        <v>601.522</v>
      </c>
      <c r="AB219" s="17">
        <f t="shared" si="10"/>
        <v>319.9741</v>
      </c>
      <c r="AC219" s="17">
        <f t="shared" si="11"/>
        <v>389.7206375</v>
      </c>
    </row>
    <row r="220" spans="1:29">
      <c r="A220" s="8">
        <v>45510</v>
      </c>
      <c r="B220" s="16">
        <v>377.2078</v>
      </c>
      <c r="C220" s="16">
        <v>353.6681</v>
      </c>
      <c r="D220" s="16">
        <v>354.6117</v>
      </c>
      <c r="E220" s="16">
        <v>339.5914</v>
      </c>
      <c r="F220" s="16">
        <v>325.7831</v>
      </c>
      <c r="G220" s="16">
        <v>320.3872</v>
      </c>
      <c r="H220" s="16">
        <v>318.82</v>
      </c>
      <c r="I220" s="16">
        <v>315.3211</v>
      </c>
      <c r="J220" s="16">
        <v>330.8847</v>
      </c>
      <c r="K220" s="16">
        <v>363.9724</v>
      </c>
      <c r="L220" s="16">
        <v>357.6196</v>
      </c>
      <c r="M220" s="16">
        <v>340.1391</v>
      </c>
      <c r="N220" s="16">
        <v>284.8367</v>
      </c>
      <c r="O220" s="16">
        <v>338.5718</v>
      </c>
      <c r="P220" s="16">
        <v>335.4415</v>
      </c>
      <c r="Q220" s="16">
        <v>340.0048</v>
      </c>
      <c r="R220" s="16">
        <v>333.9416</v>
      </c>
      <c r="S220" s="16">
        <v>317.6898</v>
      </c>
      <c r="T220" s="16">
        <v>300.7038</v>
      </c>
      <c r="U220" s="16">
        <v>315.0688</v>
      </c>
      <c r="V220" s="16">
        <v>321.0787</v>
      </c>
      <c r="W220" s="16">
        <v>328.2635</v>
      </c>
      <c r="X220" s="16">
        <v>323.1742</v>
      </c>
      <c r="Y220" s="16">
        <v>318.0048</v>
      </c>
      <c r="Z220" s="16"/>
      <c r="AA220" s="17">
        <f t="shared" si="9"/>
        <v>377.2078</v>
      </c>
      <c r="AB220" s="17">
        <f t="shared" si="10"/>
        <v>284.8367</v>
      </c>
      <c r="AC220" s="17">
        <f t="shared" si="11"/>
        <v>331.449425</v>
      </c>
    </row>
    <row r="221" spans="1:29">
      <c r="A221" s="8">
        <v>45511</v>
      </c>
      <c r="B221" s="16">
        <v>369.1353</v>
      </c>
      <c r="C221" s="16">
        <v>328.8867</v>
      </c>
      <c r="D221" s="16">
        <v>321.1258</v>
      </c>
      <c r="E221" s="16">
        <v>309.463</v>
      </c>
      <c r="F221" s="16">
        <v>296.4816</v>
      </c>
      <c r="G221" s="16">
        <v>285.0289</v>
      </c>
      <c r="H221" s="16">
        <v>286.4722</v>
      </c>
      <c r="I221" s="16">
        <v>288.9194</v>
      </c>
      <c r="J221" s="16">
        <v>305.6647</v>
      </c>
      <c r="K221" s="16">
        <v>303.1015</v>
      </c>
      <c r="L221" s="16">
        <v>326.3149</v>
      </c>
      <c r="M221" s="16">
        <v>314.7503</v>
      </c>
      <c r="N221" s="16">
        <v>266.5696</v>
      </c>
      <c r="O221" s="16">
        <v>317.264</v>
      </c>
      <c r="P221" s="16">
        <v>331.872</v>
      </c>
      <c r="Q221" s="16">
        <v>320.9578</v>
      </c>
      <c r="R221" s="16">
        <v>319.8869</v>
      </c>
      <c r="S221" s="16">
        <v>316.9554</v>
      </c>
      <c r="T221" s="16">
        <v>307.8306</v>
      </c>
      <c r="U221" s="16">
        <v>324.7532</v>
      </c>
      <c r="V221" s="16">
        <v>330.1855</v>
      </c>
      <c r="W221" s="16">
        <v>330.6357</v>
      </c>
      <c r="X221" s="16">
        <v>331.0164</v>
      </c>
      <c r="Y221" s="16">
        <v>326.312</v>
      </c>
      <c r="Z221" s="16"/>
      <c r="AA221" s="17">
        <f t="shared" si="9"/>
        <v>369.1353</v>
      </c>
      <c r="AB221" s="17">
        <f t="shared" si="10"/>
        <v>266.5696</v>
      </c>
      <c r="AC221" s="17">
        <f t="shared" si="11"/>
        <v>314.982641666667</v>
      </c>
    </row>
    <row r="222" spans="1:29">
      <c r="A222" s="8">
        <v>45512</v>
      </c>
      <c r="B222" s="16">
        <v>368.8037</v>
      </c>
      <c r="C222" s="16">
        <v>326.8389</v>
      </c>
      <c r="D222" s="16">
        <v>320.1893</v>
      </c>
      <c r="E222" s="16">
        <v>312.3114</v>
      </c>
      <c r="F222" s="16">
        <v>297.8112</v>
      </c>
      <c r="G222" s="16">
        <v>289.8538</v>
      </c>
      <c r="H222" s="16">
        <v>289.1051</v>
      </c>
      <c r="I222" s="16">
        <v>291.2016</v>
      </c>
      <c r="J222" s="16">
        <v>304.4661</v>
      </c>
      <c r="K222" s="16">
        <v>320.181</v>
      </c>
      <c r="L222" s="16">
        <v>302.4584</v>
      </c>
      <c r="M222" s="16">
        <v>303.9911</v>
      </c>
      <c r="N222" s="16">
        <v>272.9262</v>
      </c>
      <c r="O222" s="16">
        <v>326.7952</v>
      </c>
      <c r="P222" s="16">
        <v>324.1073</v>
      </c>
      <c r="Q222" s="16">
        <v>332.5588</v>
      </c>
      <c r="R222" s="16">
        <v>347.1621</v>
      </c>
      <c r="S222" s="16">
        <v>332.3176</v>
      </c>
      <c r="T222" s="16">
        <v>326.8034</v>
      </c>
      <c r="U222" s="16">
        <v>342.7802</v>
      </c>
      <c r="V222" s="16">
        <v>352.9236</v>
      </c>
      <c r="W222" s="16">
        <v>355.5669</v>
      </c>
      <c r="X222" s="16">
        <v>368.169</v>
      </c>
      <c r="Y222" s="16">
        <v>345.974</v>
      </c>
      <c r="Z222" s="16"/>
      <c r="AA222" s="17">
        <f t="shared" si="9"/>
        <v>368.8037</v>
      </c>
      <c r="AB222" s="17">
        <f t="shared" si="10"/>
        <v>272.9262</v>
      </c>
      <c r="AC222" s="17">
        <f t="shared" si="11"/>
        <v>323.137329166667</v>
      </c>
    </row>
    <row r="223" spans="1:29">
      <c r="A223" s="8">
        <v>45513</v>
      </c>
      <c r="B223" s="16">
        <v>370.6868</v>
      </c>
      <c r="C223" s="16">
        <v>349.9233</v>
      </c>
      <c r="D223" s="16">
        <v>338.3932</v>
      </c>
      <c r="E223" s="16">
        <v>317.6212</v>
      </c>
      <c r="F223" s="16">
        <v>306.6135</v>
      </c>
      <c r="G223" s="16">
        <v>297.6754</v>
      </c>
      <c r="H223" s="16">
        <v>296.7496</v>
      </c>
      <c r="I223" s="16">
        <v>299.9805</v>
      </c>
      <c r="J223" s="16">
        <v>314.9178</v>
      </c>
      <c r="K223" s="16">
        <v>321.2243</v>
      </c>
      <c r="L223" s="16">
        <v>307.5023</v>
      </c>
      <c r="M223" s="16">
        <v>291.2495</v>
      </c>
      <c r="N223" s="16">
        <v>257.6753</v>
      </c>
      <c r="O223" s="16">
        <v>325.533</v>
      </c>
      <c r="P223" s="16">
        <v>332.1429</v>
      </c>
      <c r="Q223" s="16">
        <v>338.6786</v>
      </c>
      <c r="R223" s="16">
        <v>340.3388</v>
      </c>
      <c r="S223" s="16">
        <v>328.3488</v>
      </c>
      <c r="T223" s="16">
        <v>319.0429</v>
      </c>
      <c r="U223" s="16">
        <v>336.0261</v>
      </c>
      <c r="V223" s="16">
        <v>346.9105</v>
      </c>
      <c r="W223" s="16">
        <v>350.9317</v>
      </c>
      <c r="X223" s="16">
        <v>351.1584</v>
      </c>
      <c r="Y223" s="16">
        <v>343.2657</v>
      </c>
      <c r="Z223" s="16"/>
      <c r="AA223" s="17">
        <f t="shared" si="9"/>
        <v>370.6868</v>
      </c>
      <c r="AB223" s="17">
        <f t="shared" si="10"/>
        <v>257.6753</v>
      </c>
      <c r="AC223" s="17">
        <f t="shared" si="11"/>
        <v>324.2745875</v>
      </c>
    </row>
    <row r="224" spans="1:29">
      <c r="A224" s="8">
        <v>45514</v>
      </c>
      <c r="B224" s="16">
        <v>383.8054</v>
      </c>
      <c r="C224" s="16">
        <v>354.2571</v>
      </c>
      <c r="D224" s="16">
        <v>351.7371</v>
      </c>
      <c r="E224" s="16">
        <v>328.5047</v>
      </c>
      <c r="F224" s="16">
        <v>317.0875</v>
      </c>
      <c r="G224" s="16">
        <v>308.3166</v>
      </c>
      <c r="H224" s="16">
        <v>302.8676</v>
      </c>
      <c r="I224" s="16">
        <v>298.6539</v>
      </c>
      <c r="J224" s="16">
        <v>296.1238</v>
      </c>
      <c r="K224" s="16">
        <v>309.2705</v>
      </c>
      <c r="L224" s="16">
        <v>303.3858</v>
      </c>
      <c r="M224" s="16">
        <v>303.7585</v>
      </c>
      <c r="N224" s="16">
        <v>245.5705</v>
      </c>
      <c r="O224" s="16">
        <v>335.2964</v>
      </c>
      <c r="P224" s="16">
        <v>341.3835</v>
      </c>
      <c r="Q224" s="16">
        <v>313.9589</v>
      </c>
      <c r="R224" s="16">
        <v>322.6343</v>
      </c>
      <c r="S224" s="16">
        <v>314.1873</v>
      </c>
      <c r="T224" s="16">
        <v>313.3726</v>
      </c>
      <c r="U224" s="16">
        <v>328.0522</v>
      </c>
      <c r="V224" s="16">
        <v>333.2113</v>
      </c>
      <c r="W224" s="16">
        <v>345.7639</v>
      </c>
      <c r="X224" s="16">
        <v>336.5272</v>
      </c>
      <c r="Y224" s="16">
        <v>327.6564</v>
      </c>
      <c r="Z224" s="16"/>
      <c r="AA224" s="17">
        <f t="shared" si="9"/>
        <v>383.8054</v>
      </c>
      <c r="AB224" s="17">
        <f t="shared" si="10"/>
        <v>245.5705</v>
      </c>
      <c r="AC224" s="17">
        <f t="shared" si="11"/>
        <v>321.474291666667</v>
      </c>
    </row>
    <row r="225" spans="1:29">
      <c r="A225" s="8">
        <v>45515</v>
      </c>
      <c r="B225" s="16">
        <v>388.9732</v>
      </c>
      <c r="C225" s="16">
        <v>357.8076</v>
      </c>
      <c r="D225" s="16">
        <v>372.0725</v>
      </c>
      <c r="E225" s="16">
        <v>338.2099</v>
      </c>
      <c r="F225" s="16">
        <v>316.5799</v>
      </c>
      <c r="G225" s="16">
        <v>303.7147</v>
      </c>
      <c r="H225" s="16">
        <v>300.9929</v>
      </c>
      <c r="I225" s="16">
        <v>292.5708</v>
      </c>
      <c r="J225" s="16">
        <v>250.975</v>
      </c>
      <c r="K225" s="16">
        <v>260.742</v>
      </c>
      <c r="L225" s="16">
        <v>211.2271</v>
      </c>
      <c r="M225" s="16">
        <v>159.5501</v>
      </c>
      <c r="N225" s="16">
        <v>201.8149</v>
      </c>
      <c r="O225" s="16">
        <v>286.6193</v>
      </c>
      <c r="P225" s="16">
        <v>268.2593</v>
      </c>
      <c r="Q225" s="16">
        <v>272.4241</v>
      </c>
      <c r="R225" s="16">
        <v>264.4174</v>
      </c>
      <c r="S225" s="16">
        <v>280.3661</v>
      </c>
      <c r="T225" s="16">
        <v>275.0751</v>
      </c>
      <c r="U225" s="16">
        <v>291.6322</v>
      </c>
      <c r="V225" s="16">
        <v>302.2232</v>
      </c>
      <c r="W225" s="16">
        <v>318.7916</v>
      </c>
      <c r="X225" s="16">
        <v>318.1931</v>
      </c>
      <c r="Y225" s="16">
        <v>310.5797</v>
      </c>
      <c r="Z225" s="16"/>
      <c r="AA225" s="17">
        <f t="shared" si="9"/>
        <v>388.9732</v>
      </c>
      <c r="AB225" s="17">
        <f t="shared" si="10"/>
        <v>159.5501</v>
      </c>
      <c r="AC225" s="17">
        <f t="shared" si="11"/>
        <v>289.3254875</v>
      </c>
    </row>
    <row r="226" spans="1:29">
      <c r="A226" s="8">
        <v>45516</v>
      </c>
      <c r="B226" s="16">
        <v>357.3652</v>
      </c>
      <c r="C226" s="16">
        <v>312.4674</v>
      </c>
      <c r="D226" s="16">
        <v>301.5982</v>
      </c>
      <c r="E226" s="16">
        <v>287.7588</v>
      </c>
      <c r="F226" s="16">
        <v>281.9596</v>
      </c>
      <c r="G226" s="16">
        <v>279.7046</v>
      </c>
      <c r="H226" s="16">
        <v>281.3044</v>
      </c>
      <c r="I226" s="16">
        <v>284.6801</v>
      </c>
      <c r="J226" s="16">
        <v>297.4424</v>
      </c>
      <c r="K226" s="16">
        <v>319.452</v>
      </c>
      <c r="L226" s="16">
        <v>309.1095</v>
      </c>
      <c r="M226" s="16">
        <v>297.2091</v>
      </c>
      <c r="N226" s="16">
        <v>225.926</v>
      </c>
      <c r="O226" s="16">
        <v>306.7289</v>
      </c>
      <c r="P226" s="16">
        <v>313.366</v>
      </c>
      <c r="Q226" s="16">
        <v>304.8435</v>
      </c>
      <c r="R226" s="16">
        <v>330.1028</v>
      </c>
      <c r="S226" s="16">
        <v>319.1184</v>
      </c>
      <c r="T226" s="16">
        <v>310.0566</v>
      </c>
      <c r="U226" s="16">
        <v>336.4253</v>
      </c>
      <c r="V226" s="16">
        <v>317.9612</v>
      </c>
      <c r="W226" s="16">
        <v>306.2967</v>
      </c>
      <c r="X226" s="16">
        <v>305.2272</v>
      </c>
      <c r="Y226" s="16">
        <v>294.1498</v>
      </c>
      <c r="Z226" s="16"/>
      <c r="AA226" s="17">
        <f t="shared" si="9"/>
        <v>357.3652</v>
      </c>
      <c r="AB226" s="17">
        <f t="shared" si="10"/>
        <v>225.926</v>
      </c>
      <c r="AC226" s="17">
        <f t="shared" si="11"/>
        <v>303.343904166667</v>
      </c>
    </row>
    <row r="227" spans="1:29">
      <c r="A227" s="8">
        <v>45517</v>
      </c>
      <c r="B227" s="16">
        <v>318.6595</v>
      </c>
      <c r="C227" s="16">
        <v>307.7852</v>
      </c>
      <c r="D227" s="16">
        <v>299.1119</v>
      </c>
      <c r="E227" s="16">
        <v>291.8465</v>
      </c>
      <c r="F227" s="16">
        <v>280.7596</v>
      </c>
      <c r="G227" s="16">
        <v>279.691</v>
      </c>
      <c r="H227" s="16">
        <v>284.648</v>
      </c>
      <c r="I227" s="16">
        <v>289.5744</v>
      </c>
      <c r="J227" s="16">
        <v>314.9829</v>
      </c>
      <c r="K227" s="16">
        <v>342.8379</v>
      </c>
      <c r="L227" s="16">
        <v>305.4142</v>
      </c>
      <c r="M227" s="16">
        <v>277.3405</v>
      </c>
      <c r="N227" s="16">
        <v>212.6336</v>
      </c>
      <c r="O227" s="16">
        <v>322.5856</v>
      </c>
      <c r="P227" s="16">
        <v>377.749</v>
      </c>
      <c r="Q227" s="16">
        <v>314.1843</v>
      </c>
      <c r="R227" s="16">
        <v>327.6564</v>
      </c>
      <c r="S227" s="16">
        <v>318.3448</v>
      </c>
      <c r="T227" s="16">
        <v>304.1088</v>
      </c>
      <c r="U227" s="16">
        <v>325.2704</v>
      </c>
      <c r="V227" s="16">
        <v>326.32</v>
      </c>
      <c r="W227" s="16">
        <v>319.9419</v>
      </c>
      <c r="X227" s="16">
        <v>312.2894</v>
      </c>
      <c r="Y227" s="16">
        <v>307.2297</v>
      </c>
      <c r="Z227" s="16"/>
      <c r="AA227" s="17">
        <f t="shared" si="9"/>
        <v>377.749</v>
      </c>
      <c r="AB227" s="17">
        <f t="shared" si="10"/>
        <v>212.6336</v>
      </c>
      <c r="AC227" s="17">
        <f t="shared" si="11"/>
        <v>306.706895833333</v>
      </c>
    </row>
    <row r="228" spans="1:29">
      <c r="A228" s="8">
        <v>45518</v>
      </c>
      <c r="B228" s="16">
        <v>317.9856</v>
      </c>
      <c r="C228" s="16">
        <v>306.1525</v>
      </c>
      <c r="D228" s="16">
        <v>300.7277</v>
      </c>
      <c r="E228" s="16">
        <v>297.177</v>
      </c>
      <c r="F228" s="16">
        <v>284.7595</v>
      </c>
      <c r="G228" s="16">
        <v>280.0868</v>
      </c>
      <c r="H228" s="16">
        <v>284.8006</v>
      </c>
      <c r="I228" s="16">
        <v>281.1313</v>
      </c>
      <c r="J228" s="16">
        <v>289.7205</v>
      </c>
      <c r="K228" s="16">
        <v>310.9296</v>
      </c>
      <c r="L228" s="16">
        <v>300.2765</v>
      </c>
      <c r="M228" s="16">
        <v>301.6621</v>
      </c>
      <c r="N228" s="16">
        <v>192.4232</v>
      </c>
      <c r="O228" s="16">
        <v>281.9052</v>
      </c>
      <c r="P228" s="16">
        <v>301.303</v>
      </c>
      <c r="Q228" s="16">
        <v>312.2307</v>
      </c>
      <c r="R228" s="16">
        <v>310.6961</v>
      </c>
      <c r="S228" s="16">
        <v>305.3609</v>
      </c>
      <c r="T228" s="16">
        <v>299.2333</v>
      </c>
      <c r="U228" s="16">
        <v>327.4377</v>
      </c>
      <c r="V228" s="16">
        <v>307.0161</v>
      </c>
      <c r="W228" s="16">
        <v>309.7239</v>
      </c>
      <c r="X228" s="16">
        <v>298.433</v>
      </c>
      <c r="Y228" s="16">
        <v>287.4595</v>
      </c>
      <c r="Z228" s="16"/>
      <c r="AA228" s="17">
        <f t="shared" si="9"/>
        <v>327.4377</v>
      </c>
      <c r="AB228" s="17">
        <f t="shared" si="10"/>
        <v>192.4232</v>
      </c>
      <c r="AC228" s="17">
        <f t="shared" si="11"/>
        <v>295.359679166667</v>
      </c>
    </row>
    <row r="229" spans="1:29">
      <c r="A229" s="8">
        <v>45519</v>
      </c>
      <c r="B229" s="16">
        <v>299.8346</v>
      </c>
      <c r="C229" s="16">
        <v>297.6478</v>
      </c>
      <c r="D229" s="16">
        <v>293.9488</v>
      </c>
      <c r="E229" s="16">
        <v>288.2878</v>
      </c>
      <c r="F229" s="16">
        <v>283.2453</v>
      </c>
      <c r="G229" s="16">
        <v>281.0269</v>
      </c>
      <c r="H229" s="16">
        <v>284.8457</v>
      </c>
      <c r="I229" s="16">
        <v>283.5268</v>
      </c>
      <c r="J229" s="16">
        <v>287.8119</v>
      </c>
      <c r="K229" s="16">
        <v>314.4826</v>
      </c>
      <c r="L229" s="16">
        <v>265.3194</v>
      </c>
      <c r="M229" s="16">
        <v>266.9524</v>
      </c>
      <c r="N229" s="16">
        <v>134.1748</v>
      </c>
      <c r="O229" s="16">
        <v>210.5007</v>
      </c>
      <c r="P229" s="16">
        <v>184.8471</v>
      </c>
      <c r="Q229" s="16">
        <v>221.3163</v>
      </c>
      <c r="R229" s="16">
        <v>265.2464</v>
      </c>
      <c r="S229" s="16">
        <v>260.7904</v>
      </c>
      <c r="T229" s="16">
        <v>274.2703</v>
      </c>
      <c r="U229" s="16">
        <v>289.9787</v>
      </c>
      <c r="V229" s="16">
        <v>290.4241</v>
      </c>
      <c r="W229" s="16">
        <v>291.0259</v>
      </c>
      <c r="X229" s="16">
        <v>280.8017</v>
      </c>
      <c r="Y229" s="16">
        <v>259.5709</v>
      </c>
      <c r="Z229" s="16"/>
      <c r="AA229" s="17">
        <f t="shared" si="9"/>
        <v>314.4826</v>
      </c>
      <c r="AB229" s="17">
        <f t="shared" si="10"/>
        <v>134.1748</v>
      </c>
      <c r="AC229" s="17">
        <f t="shared" si="11"/>
        <v>267.078220833333</v>
      </c>
    </row>
    <row r="230" spans="1:29">
      <c r="A230" s="8">
        <v>45520</v>
      </c>
      <c r="B230" s="16">
        <v>282.739</v>
      </c>
      <c r="C230" s="16">
        <v>281.1857</v>
      </c>
      <c r="D230" s="16">
        <v>275.56</v>
      </c>
      <c r="E230" s="16">
        <v>237.3203</v>
      </c>
      <c r="F230" s="16">
        <v>142.9682</v>
      </c>
      <c r="G230" s="16">
        <v>64.348</v>
      </c>
      <c r="H230" s="16">
        <v>192.75</v>
      </c>
      <c r="I230" s="16">
        <v>277.8968</v>
      </c>
      <c r="J230" s="16">
        <v>292.7448</v>
      </c>
      <c r="K230" s="16">
        <v>297.5382</v>
      </c>
      <c r="L230" s="16">
        <v>280.7318</v>
      </c>
      <c r="M230" s="16">
        <v>285.6007</v>
      </c>
      <c r="N230" s="16">
        <v>181.7393</v>
      </c>
      <c r="O230" s="16">
        <v>285.5933</v>
      </c>
      <c r="P230" s="16">
        <v>282.8462</v>
      </c>
      <c r="Q230" s="16">
        <v>286.0767</v>
      </c>
      <c r="R230" s="16">
        <v>295.0652</v>
      </c>
      <c r="S230" s="16">
        <v>289.256</v>
      </c>
      <c r="T230" s="16">
        <v>278.8043</v>
      </c>
      <c r="U230" s="16">
        <v>300.8641</v>
      </c>
      <c r="V230" s="16">
        <v>302.2335</v>
      </c>
      <c r="W230" s="16">
        <v>296.7346</v>
      </c>
      <c r="X230" s="16">
        <v>282.6028</v>
      </c>
      <c r="Y230" s="16">
        <v>274.2641</v>
      </c>
      <c r="Z230" s="16"/>
      <c r="AA230" s="17">
        <f t="shared" si="9"/>
        <v>302.2335</v>
      </c>
      <c r="AB230" s="17">
        <f t="shared" si="10"/>
        <v>64.348</v>
      </c>
      <c r="AC230" s="17">
        <f t="shared" si="11"/>
        <v>261.144316666667</v>
      </c>
    </row>
    <row r="231" spans="1:29">
      <c r="A231" s="8">
        <v>45521</v>
      </c>
      <c r="B231" s="16">
        <v>314.7786</v>
      </c>
      <c r="C231" s="16">
        <v>284.5772</v>
      </c>
      <c r="D231" s="16">
        <v>282.4</v>
      </c>
      <c r="E231" s="16">
        <v>279.2925</v>
      </c>
      <c r="F231" s="16">
        <v>269.3025</v>
      </c>
      <c r="G231" s="16">
        <v>235</v>
      </c>
      <c r="H231" s="16">
        <v>264.4125</v>
      </c>
      <c r="I231" s="16">
        <v>264.7539</v>
      </c>
      <c r="J231" s="16">
        <v>276.5334</v>
      </c>
      <c r="K231" s="16">
        <v>284.97</v>
      </c>
      <c r="L231" s="16">
        <v>279.1254</v>
      </c>
      <c r="M231" s="16">
        <v>215.6138</v>
      </c>
      <c r="N231" s="16">
        <v>125.8154</v>
      </c>
      <c r="O231" s="16">
        <v>204.0813</v>
      </c>
      <c r="P231" s="16">
        <v>269.9311</v>
      </c>
      <c r="Q231" s="16">
        <v>276.5766</v>
      </c>
      <c r="R231" s="16">
        <v>210.6891</v>
      </c>
      <c r="S231" s="16">
        <v>243.8349</v>
      </c>
      <c r="T231" s="16">
        <v>217.0416</v>
      </c>
      <c r="U231" s="16">
        <v>277.1382</v>
      </c>
      <c r="V231" s="16">
        <v>281.791</v>
      </c>
      <c r="W231" s="16">
        <v>284.6435</v>
      </c>
      <c r="X231" s="16">
        <v>276.3899</v>
      </c>
      <c r="Y231" s="16">
        <v>189.3605</v>
      </c>
      <c r="Z231" s="16"/>
      <c r="AA231" s="17">
        <f t="shared" si="9"/>
        <v>314.7786</v>
      </c>
      <c r="AB231" s="17">
        <f t="shared" si="10"/>
        <v>125.8154</v>
      </c>
      <c r="AC231" s="17">
        <f t="shared" si="11"/>
        <v>254.502204166667</v>
      </c>
    </row>
    <row r="232" spans="1:29">
      <c r="A232" s="8">
        <v>45522</v>
      </c>
      <c r="B232" s="16">
        <v>272.5395</v>
      </c>
      <c r="C232" s="16">
        <v>271.5038</v>
      </c>
      <c r="D232" s="16">
        <v>244.7825</v>
      </c>
      <c r="E232" s="16">
        <v>223.835</v>
      </c>
      <c r="F232" s="16">
        <v>50</v>
      </c>
      <c r="G232" s="16">
        <v>0.025</v>
      </c>
      <c r="H232" s="16">
        <v>12.75</v>
      </c>
      <c r="I232" s="16">
        <v>117.75</v>
      </c>
      <c r="J232" s="16">
        <v>29.0767</v>
      </c>
      <c r="K232" s="16">
        <v>20.441</v>
      </c>
      <c r="L232" s="16">
        <v>30.7492</v>
      </c>
      <c r="M232" s="16">
        <v>6.594</v>
      </c>
      <c r="N232" s="16">
        <v>82.911</v>
      </c>
      <c r="O232" s="16">
        <v>17.1339</v>
      </c>
      <c r="P232" s="16">
        <v>27.5972</v>
      </c>
      <c r="Q232" s="16">
        <v>10.4126</v>
      </c>
      <c r="R232" s="16">
        <v>16.6777</v>
      </c>
      <c r="S232" s="16">
        <v>17.7649</v>
      </c>
      <c r="T232" s="16">
        <v>15.9008</v>
      </c>
      <c r="U232" s="16">
        <v>234.8151</v>
      </c>
      <c r="V232" s="16">
        <v>233.0698</v>
      </c>
      <c r="W232" s="16">
        <v>176.9562</v>
      </c>
      <c r="X232" s="16">
        <v>184.9338</v>
      </c>
      <c r="Y232" s="16">
        <v>8.4628</v>
      </c>
      <c r="Z232" s="16"/>
      <c r="AA232" s="17">
        <f t="shared" si="9"/>
        <v>272.5395</v>
      </c>
      <c r="AB232" s="17">
        <f t="shared" si="10"/>
        <v>0.025</v>
      </c>
      <c r="AC232" s="17">
        <f t="shared" si="11"/>
        <v>96.1117708333333</v>
      </c>
    </row>
    <row r="233" spans="1:29">
      <c r="A233" s="8">
        <v>45523</v>
      </c>
      <c r="B233" s="16">
        <v>254.6069</v>
      </c>
      <c r="C233" s="16">
        <v>230.3825</v>
      </c>
      <c r="D233" s="16">
        <v>60.2485</v>
      </c>
      <c r="E233" s="16">
        <v>0</v>
      </c>
      <c r="F233" s="16">
        <v>0</v>
      </c>
      <c r="G233" s="16">
        <v>1.1532</v>
      </c>
      <c r="H233" s="16">
        <v>0</v>
      </c>
      <c r="I233" s="16">
        <v>218.3477</v>
      </c>
      <c r="J233" s="16">
        <v>305.5364</v>
      </c>
      <c r="K233" s="16">
        <v>532.8137</v>
      </c>
      <c r="L233" s="16">
        <v>306.6613</v>
      </c>
      <c r="M233" s="16">
        <v>275.6345</v>
      </c>
      <c r="N233" s="16">
        <v>186.5901</v>
      </c>
      <c r="O233" s="16">
        <v>277.3322</v>
      </c>
      <c r="P233" s="16">
        <v>272.1679</v>
      </c>
      <c r="Q233" s="16">
        <v>283.3318</v>
      </c>
      <c r="R233" s="16">
        <v>291.8188</v>
      </c>
      <c r="S233" s="16">
        <v>289.2569</v>
      </c>
      <c r="T233" s="16">
        <v>285.1303</v>
      </c>
      <c r="U233" s="16">
        <v>331.6572</v>
      </c>
      <c r="V233" s="16">
        <v>331.6745</v>
      </c>
      <c r="W233" s="16">
        <v>311.8125</v>
      </c>
      <c r="X233" s="16">
        <v>285.03</v>
      </c>
      <c r="Y233" s="16">
        <v>253.3105</v>
      </c>
      <c r="Z233" s="16"/>
      <c r="AA233" s="17">
        <f t="shared" si="9"/>
        <v>532.8137</v>
      </c>
      <c r="AB233" s="17">
        <f t="shared" si="10"/>
        <v>0</v>
      </c>
      <c r="AC233" s="17">
        <f t="shared" si="11"/>
        <v>232.687391666667</v>
      </c>
    </row>
    <row r="234" spans="1:29">
      <c r="A234" s="8">
        <v>45524</v>
      </c>
      <c r="B234" s="16">
        <v>289.9705</v>
      </c>
      <c r="C234" s="16">
        <v>280.8814</v>
      </c>
      <c r="D234" s="16">
        <v>273.2409</v>
      </c>
      <c r="E234" s="16">
        <v>244.8784</v>
      </c>
      <c r="F234" s="16">
        <v>209.417</v>
      </c>
      <c r="G234" s="16">
        <v>201.0179</v>
      </c>
      <c r="H234" s="16">
        <v>244.9796</v>
      </c>
      <c r="I234" s="16">
        <v>279.4363</v>
      </c>
      <c r="J234" s="16">
        <v>327.2558</v>
      </c>
      <c r="K234" s="16">
        <v>498.8719</v>
      </c>
      <c r="L234" s="16">
        <v>365.6879</v>
      </c>
      <c r="M234" s="16">
        <v>326.5917</v>
      </c>
      <c r="N234" s="16">
        <v>222.5849</v>
      </c>
      <c r="O234" s="16">
        <v>295.944</v>
      </c>
      <c r="P234" s="16">
        <v>307.5613</v>
      </c>
      <c r="Q234" s="16">
        <v>302.4273</v>
      </c>
      <c r="R234" s="16">
        <v>326.107</v>
      </c>
      <c r="S234" s="16">
        <v>311.235</v>
      </c>
      <c r="T234" s="16">
        <v>299.6149</v>
      </c>
      <c r="U234" s="16">
        <v>294.0285</v>
      </c>
      <c r="V234" s="16">
        <v>295.0691</v>
      </c>
      <c r="W234" s="16">
        <v>289.6718</v>
      </c>
      <c r="X234" s="16">
        <v>277.78</v>
      </c>
      <c r="Y234" s="16">
        <v>261.0235</v>
      </c>
      <c r="Z234" s="16"/>
      <c r="AA234" s="17">
        <f t="shared" si="9"/>
        <v>498.8719</v>
      </c>
      <c r="AB234" s="17">
        <f t="shared" si="10"/>
        <v>201.0179</v>
      </c>
      <c r="AC234" s="17">
        <f t="shared" si="11"/>
        <v>292.719858333333</v>
      </c>
    </row>
    <row r="235" spans="1:29">
      <c r="A235" s="8">
        <v>45525</v>
      </c>
      <c r="B235" s="16">
        <v>285</v>
      </c>
      <c r="C235" s="16">
        <v>280.56</v>
      </c>
      <c r="D235" s="16">
        <v>277.09</v>
      </c>
      <c r="E235" s="16">
        <v>261.91</v>
      </c>
      <c r="F235" s="16">
        <v>225.055</v>
      </c>
      <c r="G235" s="16">
        <v>182.5</v>
      </c>
      <c r="H235" s="16">
        <v>245.4508</v>
      </c>
      <c r="I235" s="16">
        <v>276.2675</v>
      </c>
      <c r="J235" s="16">
        <v>317.3253</v>
      </c>
      <c r="K235" s="16">
        <v>363.8151</v>
      </c>
      <c r="L235" s="16">
        <v>356.2478</v>
      </c>
      <c r="M235" s="16">
        <v>291.8463</v>
      </c>
      <c r="N235" s="16">
        <v>197.8665</v>
      </c>
      <c r="O235" s="16">
        <v>243.1958</v>
      </c>
      <c r="P235" s="16">
        <v>280.779</v>
      </c>
      <c r="Q235" s="16">
        <v>284.4901</v>
      </c>
      <c r="R235" s="16">
        <v>285.7089</v>
      </c>
      <c r="S235" s="16">
        <v>284.6323</v>
      </c>
      <c r="T235" s="16">
        <v>283.3065</v>
      </c>
      <c r="U235" s="16">
        <v>290.7697</v>
      </c>
      <c r="V235" s="16">
        <v>288.7066</v>
      </c>
      <c r="W235" s="16">
        <v>283.7014</v>
      </c>
      <c r="X235" s="16">
        <v>276.0882</v>
      </c>
      <c r="Y235" s="16">
        <v>226.3292</v>
      </c>
      <c r="Z235" s="16"/>
      <c r="AA235" s="17">
        <f t="shared" si="9"/>
        <v>363.8151</v>
      </c>
      <c r="AB235" s="17">
        <f t="shared" si="10"/>
        <v>182.5</v>
      </c>
      <c r="AC235" s="17">
        <f t="shared" si="11"/>
        <v>274.52675</v>
      </c>
    </row>
    <row r="236" spans="1:29">
      <c r="A236" s="8">
        <v>45526</v>
      </c>
      <c r="B236" s="16">
        <v>238.951</v>
      </c>
      <c r="C236" s="16">
        <v>156.9749</v>
      </c>
      <c r="D236" s="16">
        <v>175.51</v>
      </c>
      <c r="E236" s="16">
        <v>0</v>
      </c>
      <c r="F236" s="16">
        <v>0</v>
      </c>
      <c r="G236" s="16">
        <v>38.75</v>
      </c>
      <c r="H236" s="16">
        <v>132.98</v>
      </c>
      <c r="I236" s="16">
        <v>242.5628</v>
      </c>
      <c r="J236" s="16">
        <v>289.1151</v>
      </c>
      <c r="K236" s="16">
        <v>296.9747</v>
      </c>
      <c r="L236" s="16">
        <v>173.6504</v>
      </c>
      <c r="M236" s="16">
        <v>220.4874</v>
      </c>
      <c r="N236" s="16">
        <v>176.8633</v>
      </c>
      <c r="O236" s="16">
        <v>256.2614</v>
      </c>
      <c r="P236" s="16">
        <v>313.5138</v>
      </c>
      <c r="Q236" s="16">
        <v>323.4486</v>
      </c>
      <c r="R236" s="16">
        <v>339.04</v>
      </c>
      <c r="S236" s="16">
        <v>354.6773</v>
      </c>
      <c r="T236" s="16">
        <v>325.1886</v>
      </c>
      <c r="U236" s="16">
        <v>325.8559</v>
      </c>
      <c r="V236" s="16">
        <v>315.5079</v>
      </c>
      <c r="W236" s="16">
        <v>339.7301</v>
      </c>
      <c r="X236" s="16">
        <v>335.5128</v>
      </c>
      <c r="Y236" s="16">
        <v>268.0931</v>
      </c>
      <c r="Z236" s="16"/>
      <c r="AA236" s="17">
        <f t="shared" si="9"/>
        <v>354.6773</v>
      </c>
      <c r="AB236" s="17">
        <f t="shared" si="10"/>
        <v>0</v>
      </c>
      <c r="AC236" s="17">
        <f t="shared" si="11"/>
        <v>234.985379166667</v>
      </c>
    </row>
    <row r="237" spans="1:29">
      <c r="A237" s="8">
        <v>45527</v>
      </c>
      <c r="B237" s="16">
        <v>275.8716</v>
      </c>
      <c r="C237" s="16">
        <v>260.0334</v>
      </c>
      <c r="D237" s="16">
        <v>235.2891</v>
      </c>
      <c r="E237" s="16">
        <v>155.1646</v>
      </c>
      <c r="F237" s="16">
        <v>0.28</v>
      </c>
      <c r="G237" s="16">
        <v>23.1425</v>
      </c>
      <c r="H237" s="16">
        <v>152.8145</v>
      </c>
      <c r="I237" s="16">
        <v>131.6048</v>
      </c>
      <c r="J237" s="16">
        <v>274.194</v>
      </c>
      <c r="K237" s="16">
        <v>297.1674</v>
      </c>
      <c r="L237" s="16">
        <v>302.9578</v>
      </c>
      <c r="M237" s="16">
        <v>279.4986</v>
      </c>
      <c r="N237" s="16">
        <v>191.5611</v>
      </c>
      <c r="O237" s="16">
        <v>299.9855</v>
      </c>
      <c r="P237" s="16">
        <v>341.9905</v>
      </c>
      <c r="Q237" s="16">
        <v>362.0082</v>
      </c>
      <c r="R237" s="16">
        <v>373.9131</v>
      </c>
      <c r="S237" s="16">
        <v>405.3012</v>
      </c>
      <c r="T237" s="16">
        <v>359.4373</v>
      </c>
      <c r="U237" s="16">
        <v>378.7748</v>
      </c>
      <c r="V237" s="16">
        <v>363.9103</v>
      </c>
      <c r="W237" s="16">
        <v>354.5841</v>
      </c>
      <c r="X237" s="16">
        <v>326.9802</v>
      </c>
      <c r="Y237" s="16">
        <v>301.4968</v>
      </c>
      <c r="Z237" s="16"/>
      <c r="AA237" s="17">
        <f t="shared" si="9"/>
        <v>405.3012</v>
      </c>
      <c r="AB237" s="17">
        <f t="shared" si="10"/>
        <v>0.28</v>
      </c>
      <c r="AC237" s="17">
        <f t="shared" si="11"/>
        <v>268.665058333333</v>
      </c>
    </row>
    <row r="238" spans="1:29">
      <c r="A238" s="8">
        <v>45528</v>
      </c>
      <c r="B238" s="16">
        <v>352.2368</v>
      </c>
      <c r="C238" s="16">
        <v>297.2195</v>
      </c>
      <c r="D238" s="16">
        <v>279.1126</v>
      </c>
      <c r="E238" s="16">
        <v>273.7875</v>
      </c>
      <c r="F238" s="16">
        <v>233.8007</v>
      </c>
      <c r="G238" s="16">
        <v>255.0838</v>
      </c>
      <c r="H238" s="16">
        <v>271.5001</v>
      </c>
      <c r="I238" s="16">
        <v>270.5157</v>
      </c>
      <c r="J238" s="16">
        <v>252.2836</v>
      </c>
      <c r="K238" s="16">
        <v>268.1876</v>
      </c>
      <c r="L238" s="16">
        <v>265.3842</v>
      </c>
      <c r="M238" s="16">
        <v>163.1815</v>
      </c>
      <c r="N238" s="16">
        <v>69.2352</v>
      </c>
      <c r="O238" s="16">
        <v>132.9512</v>
      </c>
      <c r="P238" s="16">
        <v>241.5566</v>
      </c>
      <c r="Q238" s="16">
        <v>494.6212</v>
      </c>
      <c r="R238" s="16">
        <v>322.9807</v>
      </c>
      <c r="S238" s="16">
        <v>533.353</v>
      </c>
      <c r="T238" s="16">
        <v>311.8276</v>
      </c>
      <c r="U238" s="16">
        <v>349.3668</v>
      </c>
      <c r="V238" s="16">
        <v>353.8217</v>
      </c>
      <c r="W238" s="16">
        <v>411.6011</v>
      </c>
      <c r="X238" s="16">
        <v>381.4189</v>
      </c>
      <c r="Y238" s="16">
        <v>412.3074</v>
      </c>
      <c r="Z238" s="16"/>
      <c r="AA238" s="17">
        <f t="shared" si="9"/>
        <v>533.353</v>
      </c>
      <c r="AB238" s="17">
        <f t="shared" si="10"/>
        <v>69.2352</v>
      </c>
      <c r="AC238" s="17">
        <f t="shared" si="11"/>
        <v>299.888958333333</v>
      </c>
    </row>
    <row r="239" spans="1:29">
      <c r="A239" s="8">
        <v>45529</v>
      </c>
      <c r="B239" s="16">
        <v>370.7721</v>
      </c>
      <c r="C239" s="16">
        <v>279.8858</v>
      </c>
      <c r="D239" s="16">
        <v>195.53</v>
      </c>
      <c r="E239" s="16">
        <v>185.6232</v>
      </c>
      <c r="F239" s="16">
        <v>267.1193</v>
      </c>
      <c r="G239" s="16">
        <v>242.0941</v>
      </c>
      <c r="H239" s="16">
        <v>251.2474</v>
      </c>
      <c r="I239" s="16">
        <v>253.1576</v>
      </c>
      <c r="J239" s="16">
        <v>154.0185</v>
      </c>
      <c r="K239" s="16">
        <v>36.1396</v>
      </c>
      <c r="L239" s="16">
        <v>17.8866</v>
      </c>
      <c r="M239" s="16">
        <v>66.4947</v>
      </c>
      <c r="N239" s="16">
        <v>43.31</v>
      </c>
      <c r="O239" s="16">
        <v>112.4185</v>
      </c>
      <c r="P239" s="16">
        <v>138.2396</v>
      </c>
      <c r="Q239" s="16">
        <v>264.5707</v>
      </c>
      <c r="R239" s="16">
        <v>267.3659</v>
      </c>
      <c r="S239" s="16">
        <v>271.5196</v>
      </c>
      <c r="T239" s="16">
        <v>256.8695</v>
      </c>
      <c r="U239" s="16">
        <v>280.9846</v>
      </c>
      <c r="V239" s="16">
        <v>341.4555</v>
      </c>
      <c r="W239" s="16">
        <v>300.9345</v>
      </c>
      <c r="X239" s="16">
        <v>298.6318</v>
      </c>
      <c r="Y239" s="16">
        <v>280.9231</v>
      </c>
      <c r="Z239" s="16"/>
      <c r="AA239" s="17">
        <f t="shared" si="9"/>
        <v>370.7721</v>
      </c>
      <c r="AB239" s="17">
        <f t="shared" si="10"/>
        <v>17.8866</v>
      </c>
      <c r="AC239" s="17">
        <f t="shared" si="11"/>
        <v>215.716341666667</v>
      </c>
    </row>
    <row r="240" spans="1:29">
      <c r="A240" s="8">
        <v>45530</v>
      </c>
      <c r="B240" s="16">
        <v>279.677</v>
      </c>
      <c r="C240" s="16">
        <v>194.3897</v>
      </c>
      <c r="D240" s="16">
        <v>72.1983</v>
      </c>
      <c r="E240" s="16">
        <v>0</v>
      </c>
      <c r="F240" s="16">
        <v>0</v>
      </c>
      <c r="G240" s="16">
        <v>0.1053</v>
      </c>
      <c r="H240" s="16">
        <v>0.2501</v>
      </c>
      <c r="I240" s="16">
        <v>90.0109</v>
      </c>
      <c r="J240" s="16">
        <v>274.4431</v>
      </c>
      <c r="K240" s="16">
        <v>302.2671</v>
      </c>
      <c r="L240" s="16">
        <v>305.5236</v>
      </c>
      <c r="M240" s="16">
        <v>274.919</v>
      </c>
      <c r="N240" s="16">
        <v>331.8185</v>
      </c>
      <c r="O240" s="16">
        <v>287.8462</v>
      </c>
      <c r="P240" s="16">
        <v>310.1232</v>
      </c>
      <c r="Q240" s="16">
        <v>327.058</v>
      </c>
      <c r="R240" s="16">
        <v>345.8142</v>
      </c>
      <c r="S240" s="16">
        <v>346.1572</v>
      </c>
      <c r="T240" s="16">
        <v>321.299</v>
      </c>
      <c r="U240" s="16">
        <v>359.129</v>
      </c>
      <c r="V240" s="16">
        <v>386.9398</v>
      </c>
      <c r="W240" s="16">
        <v>399.0134</v>
      </c>
      <c r="X240" s="16">
        <v>360.5102</v>
      </c>
      <c r="Y240" s="16">
        <v>309.5707</v>
      </c>
      <c r="Z240" s="16"/>
      <c r="AA240" s="17">
        <f t="shared" si="9"/>
        <v>399.0134</v>
      </c>
      <c r="AB240" s="17">
        <f t="shared" si="10"/>
        <v>0</v>
      </c>
      <c r="AC240" s="17">
        <f t="shared" si="11"/>
        <v>244.960979166667</v>
      </c>
    </row>
    <row r="241" spans="1:29">
      <c r="A241" s="8">
        <v>45531</v>
      </c>
      <c r="B241" s="16">
        <v>411.6699</v>
      </c>
      <c r="C241" s="16">
        <v>345.162</v>
      </c>
      <c r="D241" s="16">
        <v>302.8952</v>
      </c>
      <c r="E241" s="16">
        <v>283.9146</v>
      </c>
      <c r="F241" s="16">
        <v>274.4687</v>
      </c>
      <c r="G241" s="16">
        <v>273.6759</v>
      </c>
      <c r="H241" s="16">
        <v>278.6885</v>
      </c>
      <c r="I241" s="16">
        <v>280.0214</v>
      </c>
      <c r="J241" s="16">
        <v>291.227</v>
      </c>
      <c r="K241" s="16">
        <v>313.9444</v>
      </c>
      <c r="L241" s="16">
        <v>309.6442</v>
      </c>
      <c r="M241" s="16">
        <v>231.923</v>
      </c>
      <c r="N241" s="16">
        <v>259.1035</v>
      </c>
      <c r="O241" s="16">
        <v>307.0822</v>
      </c>
      <c r="P241" s="16">
        <v>370.4819</v>
      </c>
      <c r="Q241" s="16">
        <v>655.7467</v>
      </c>
      <c r="R241" s="16">
        <v>831.0393</v>
      </c>
      <c r="S241" s="16">
        <v>500.5575</v>
      </c>
      <c r="T241" s="16">
        <v>411.7691</v>
      </c>
      <c r="U241" s="16">
        <v>778.7801</v>
      </c>
      <c r="V241" s="16">
        <v>645.5361</v>
      </c>
      <c r="W241" s="16">
        <v>699.6088</v>
      </c>
      <c r="X241" s="16">
        <v>636.2065</v>
      </c>
      <c r="Y241" s="16">
        <v>410.2309</v>
      </c>
      <c r="Z241" s="16"/>
      <c r="AA241" s="17">
        <f t="shared" si="9"/>
        <v>831.0393</v>
      </c>
      <c r="AB241" s="17">
        <f t="shared" si="10"/>
        <v>231.923</v>
      </c>
      <c r="AC241" s="17">
        <f t="shared" si="11"/>
        <v>420.974058333333</v>
      </c>
    </row>
    <row r="242" spans="1:29">
      <c r="A242" s="8">
        <v>45532</v>
      </c>
      <c r="B242" s="16">
        <v>447.5647</v>
      </c>
      <c r="C242" s="16">
        <v>384.9151</v>
      </c>
      <c r="D242" s="16">
        <v>363.7707</v>
      </c>
      <c r="E242" s="16">
        <v>347.1996</v>
      </c>
      <c r="F242" s="16">
        <v>334.471</v>
      </c>
      <c r="G242" s="16">
        <v>328.1339</v>
      </c>
      <c r="H242" s="16">
        <v>331.6087</v>
      </c>
      <c r="I242" s="16">
        <v>320.493</v>
      </c>
      <c r="J242" s="16">
        <v>316.5424</v>
      </c>
      <c r="K242" s="16">
        <v>413.3485</v>
      </c>
      <c r="L242" s="16">
        <v>363.8171</v>
      </c>
      <c r="M242" s="16">
        <v>369.6923</v>
      </c>
      <c r="N242" s="16">
        <v>342.3061</v>
      </c>
      <c r="O242" s="16">
        <v>514.5491</v>
      </c>
      <c r="P242" s="16">
        <v>813.5414</v>
      </c>
      <c r="Q242" s="16">
        <v>865.1061</v>
      </c>
      <c r="R242" s="16">
        <v>679.7286</v>
      </c>
      <c r="S242" s="16">
        <v>406.4312</v>
      </c>
      <c r="T242" s="16">
        <v>347.95</v>
      </c>
      <c r="U242" s="16">
        <v>366.6568</v>
      </c>
      <c r="V242" s="16">
        <v>364.3304</v>
      </c>
      <c r="W242" s="16">
        <v>304.5039</v>
      </c>
      <c r="X242" s="16">
        <v>389.3295</v>
      </c>
      <c r="Y242" s="16">
        <v>319.6112</v>
      </c>
      <c r="Z242" s="16"/>
      <c r="AA242" s="17">
        <f t="shared" si="9"/>
        <v>865.1061</v>
      </c>
      <c r="AB242" s="17">
        <f t="shared" si="10"/>
        <v>304.5039</v>
      </c>
      <c r="AC242" s="17">
        <f t="shared" si="11"/>
        <v>418.150054166667</v>
      </c>
    </row>
    <row r="243" spans="1:29">
      <c r="A243" s="8">
        <v>45533</v>
      </c>
      <c r="B243" s="16">
        <v>337.9613</v>
      </c>
      <c r="C243" s="16">
        <v>322.0603</v>
      </c>
      <c r="D243" s="16">
        <v>328.1386</v>
      </c>
      <c r="E243" s="16">
        <v>315.0586</v>
      </c>
      <c r="F243" s="16">
        <v>302.2473</v>
      </c>
      <c r="G243" s="16">
        <v>359.5361</v>
      </c>
      <c r="H243" s="16">
        <v>302.4777</v>
      </c>
      <c r="I243" s="16">
        <v>310.13</v>
      </c>
      <c r="J243" s="16">
        <v>317.4094</v>
      </c>
      <c r="K243" s="16">
        <v>317.444</v>
      </c>
      <c r="L243" s="16">
        <v>332.7911</v>
      </c>
      <c r="M243" s="16">
        <v>317.9628</v>
      </c>
      <c r="N243" s="16">
        <v>294.4005</v>
      </c>
      <c r="O243" s="16">
        <v>327.4277</v>
      </c>
      <c r="P243" s="16">
        <v>346.3292</v>
      </c>
      <c r="Q243" s="16">
        <v>344.8841</v>
      </c>
      <c r="R243" s="16">
        <v>343.1956</v>
      </c>
      <c r="S243" s="16">
        <v>316.404</v>
      </c>
      <c r="T243" s="16">
        <v>297.8284</v>
      </c>
      <c r="U243" s="16">
        <v>323.1099</v>
      </c>
      <c r="V243" s="16">
        <v>329.914</v>
      </c>
      <c r="W243" s="16">
        <v>308.5798</v>
      </c>
      <c r="X243" s="16">
        <v>309.5813</v>
      </c>
      <c r="Y243" s="16">
        <v>290.2074</v>
      </c>
      <c r="Z243" s="16"/>
      <c r="AA243" s="17">
        <f t="shared" si="9"/>
        <v>359.5361</v>
      </c>
      <c r="AB243" s="17">
        <f t="shared" si="10"/>
        <v>290.2074</v>
      </c>
      <c r="AC243" s="17">
        <f t="shared" si="11"/>
        <v>320.628295833333</v>
      </c>
    </row>
    <row r="244" spans="1:29">
      <c r="A244" s="8">
        <v>45534</v>
      </c>
      <c r="B244" s="16">
        <v>322.769</v>
      </c>
      <c r="C244" s="16">
        <v>313.0478</v>
      </c>
      <c r="D244" s="16">
        <v>306.8705</v>
      </c>
      <c r="E244" s="16">
        <v>312.6055</v>
      </c>
      <c r="F244" s="16">
        <v>296.3527</v>
      </c>
      <c r="G244" s="16">
        <v>297.9943</v>
      </c>
      <c r="H244" s="16">
        <v>302.3161</v>
      </c>
      <c r="I244" s="16">
        <v>310.557</v>
      </c>
      <c r="J244" s="16">
        <v>323.3931</v>
      </c>
      <c r="K244" s="16">
        <v>378.5491</v>
      </c>
      <c r="L244" s="16">
        <v>336.0353</v>
      </c>
      <c r="M244" s="16">
        <v>324.5253</v>
      </c>
      <c r="N244" s="16">
        <v>300.8312</v>
      </c>
      <c r="O244" s="16">
        <v>332.3583</v>
      </c>
      <c r="P244" s="16">
        <v>332.4993</v>
      </c>
      <c r="Q244" s="16">
        <v>322.2051</v>
      </c>
      <c r="R244" s="16">
        <v>356.1004</v>
      </c>
      <c r="S244" s="16">
        <v>350.4482</v>
      </c>
      <c r="T244" s="16">
        <v>341.5691</v>
      </c>
      <c r="U244" s="16">
        <v>364.0501</v>
      </c>
      <c r="V244" s="16">
        <v>355.6428</v>
      </c>
      <c r="W244" s="16">
        <v>345.009</v>
      </c>
      <c r="X244" s="16">
        <v>463.4308</v>
      </c>
      <c r="Y244" s="16">
        <v>339.4977</v>
      </c>
      <c r="Z244" s="16"/>
      <c r="AA244" s="17">
        <f t="shared" si="9"/>
        <v>463.4308</v>
      </c>
      <c r="AB244" s="17">
        <f t="shared" si="10"/>
        <v>296.3527</v>
      </c>
      <c r="AC244" s="17">
        <f t="shared" si="11"/>
        <v>334.527404166667</v>
      </c>
    </row>
    <row r="245" spans="1:29">
      <c r="A245" s="8">
        <v>45535</v>
      </c>
      <c r="B245" s="16">
        <v>363.5203</v>
      </c>
      <c r="C245" s="16">
        <v>382.0783</v>
      </c>
      <c r="D245" s="16">
        <v>352.6009</v>
      </c>
      <c r="E245" s="16">
        <v>337.2107</v>
      </c>
      <c r="F245" s="16">
        <v>330.079</v>
      </c>
      <c r="G245" s="16">
        <v>373.0875</v>
      </c>
      <c r="H245" s="16">
        <v>330.474</v>
      </c>
      <c r="I245" s="16">
        <v>383.7916</v>
      </c>
      <c r="J245" s="16">
        <v>324.1484</v>
      </c>
      <c r="K245" s="16">
        <v>311.722</v>
      </c>
      <c r="L245" s="16">
        <v>303.0928</v>
      </c>
      <c r="M245" s="16">
        <v>296.401</v>
      </c>
      <c r="N245" s="16">
        <v>289.1827</v>
      </c>
      <c r="O245" s="16">
        <v>309.2921</v>
      </c>
      <c r="P245" s="16">
        <v>292.8908</v>
      </c>
      <c r="Q245" s="16">
        <v>293.7762</v>
      </c>
      <c r="R245" s="16">
        <v>313.2681</v>
      </c>
      <c r="S245" s="16">
        <v>312.4732</v>
      </c>
      <c r="T245" s="16">
        <v>328.449</v>
      </c>
      <c r="U245" s="16">
        <v>332.2094</v>
      </c>
      <c r="V245" s="16">
        <v>325.4646</v>
      </c>
      <c r="W245" s="16">
        <v>343.7489</v>
      </c>
      <c r="X245" s="16">
        <v>341.0156</v>
      </c>
      <c r="Y245" s="16">
        <v>322.526</v>
      </c>
      <c r="Z245" s="16"/>
      <c r="AA245" s="17">
        <f t="shared" si="9"/>
        <v>383.7916</v>
      </c>
      <c r="AB245" s="17">
        <f t="shared" si="10"/>
        <v>289.1827</v>
      </c>
      <c r="AC245" s="17">
        <f t="shared" si="11"/>
        <v>328.854295833333</v>
      </c>
    </row>
    <row r="246" spans="1:29">
      <c r="A246" s="8">
        <v>45536</v>
      </c>
      <c r="B246" s="16">
        <v>353.6604</v>
      </c>
      <c r="C246" s="16">
        <v>342.7761</v>
      </c>
      <c r="D246" s="16">
        <v>334.9151</v>
      </c>
      <c r="E246" s="16">
        <v>328.9177</v>
      </c>
      <c r="F246" s="16">
        <v>302.3921</v>
      </c>
      <c r="G246" s="16">
        <v>297.5244</v>
      </c>
      <c r="H246" s="16">
        <v>297.5006</v>
      </c>
      <c r="I246" s="16">
        <v>287.5889</v>
      </c>
      <c r="J246" s="16">
        <v>199.0122</v>
      </c>
      <c r="K246" s="16">
        <v>46.7827</v>
      </c>
      <c r="L246" s="16">
        <v>1.3513</v>
      </c>
      <c r="M246" s="16">
        <v>52.2529</v>
      </c>
      <c r="N246" s="16">
        <v>222.3524</v>
      </c>
      <c r="O246" s="16">
        <v>294.2668</v>
      </c>
      <c r="P246" s="16">
        <v>291.8258</v>
      </c>
      <c r="Q246" s="16">
        <v>277.9173</v>
      </c>
      <c r="R246" s="16">
        <v>279.702</v>
      </c>
      <c r="S246" s="16">
        <v>310.133</v>
      </c>
      <c r="T246" s="16">
        <v>328.547</v>
      </c>
      <c r="U246" s="16">
        <v>398.4916</v>
      </c>
      <c r="V246" s="16">
        <v>408.7787</v>
      </c>
      <c r="W246" s="16">
        <v>461.2119</v>
      </c>
      <c r="X246" s="16">
        <v>428.515</v>
      </c>
      <c r="Y246" s="16">
        <v>350.5352</v>
      </c>
      <c r="Z246" s="16"/>
      <c r="AA246" s="17">
        <f t="shared" si="9"/>
        <v>461.2119</v>
      </c>
      <c r="AB246" s="17">
        <f t="shared" si="10"/>
        <v>1.3513</v>
      </c>
      <c r="AC246" s="17">
        <f t="shared" si="11"/>
        <v>287.3729625</v>
      </c>
    </row>
    <row r="247" spans="1:29">
      <c r="A247" s="8">
        <v>45537</v>
      </c>
      <c r="B247" s="16">
        <v>485.0486</v>
      </c>
      <c r="C247" s="16">
        <v>415.0217</v>
      </c>
      <c r="D247" s="16">
        <v>375.4162</v>
      </c>
      <c r="E247" s="16">
        <v>361.9994</v>
      </c>
      <c r="F247" s="16">
        <v>346.3186</v>
      </c>
      <c r="G247" s="16">
        <v>337.9947</v>
      </c>
      <c r="H247" s="16">
        <v>348.8917</v>
      </c>
      <c r="I247" s="16">
        <v>341.0035</v>
      </c>
      <c r="J247" s="16">
        <v>394.1535</v>
      </c>
      <c r="K247" s="16">
        <v>477.6605</v>
      </c>
      <c r="L247" s="16">
        <v>450.9807</v>
      </c>
      <c r="M247" s="16">
        <v>431.0886</v>
      </c>
      <c r="N247" s="16">
        <v>392.81</v>
      </c>
      <c r="O247" s="16">
        <v>587.3035</v>
      </c>
      <c r="P247" s="16">
        <v>567.1151</v>
      </c>
      <c r="Q247" s="16">
        <v>443.0308</v>
      </c>
      <c r="R247" s="16">
        <v>409.5509</v>
      </c>
      <c r="S247" s="16">
        <v>415.8165</v>
      </c>
      <c r="T247" s="16">
        <v>437.9944</v>
      </c>
      <c r="U247" s="16">
        <v>587.5537</v>
      </c>
      <c r="V247" s="16">
        <v>481.0137</v>
      </c>
      <c r="W247" s="16">
        <v>441.9405</v>
      </c>
      <c r="X247" s="16">
        <v>382.1099</v>
      </c>
      <c r="Y247" s="16">
        <v>333.7099</v>
      </c>
      <c r="Z247" s="16"/>
      <c r="AA247" s="17">
        <f t="shared" si="9"/>
        <v>587.5537</v>
      </c>
      <c r="AB247" s="17">
        <f t="shared" si="10"/>
        <v>333.7099</v>
      </c>
      <c r="AC247" s="17">
        <f t="shared" si="11"/>
        <v>426.896941666667</v>
      </c>
    </row>
    <row r="248" spans="1:29">
      <c r="A248" s="8">
        <v>45538</v>
      </c>
      <c r="B248" s="16">
        <v>360.4391</v>
      </c>
      <c r="C248" s="16">
        <v>346.3284</v>
      </c>
      <c r="D248" s="16">
        <v>341.733</v>
      </c>
      <c r="E248" s="16">
        <v>335.6473</v>
      </c>
      <c r="F248" s="16">
        <v>325.3822</v>
      </c>
      <c r="G248" s="16">
        <v>316.33</v>
      </c>
      <c r="H248" s="16">
        <v>325.1397</v>
      </c>
      <c r="I248" s="16">
        <v>301.8339</v>
      </c>
      <c r="J248" s="16">
        <v>330.6055</v>
      </c>
      <c r="K248" s="16">
        <v>335.597</v>
      </c>
      <c r="L248" s="16">
        <v>317.7477</v>
      </c>
      <c r="M248" s="16">
        <v>302.6655</v>
      </c>
      <c r="N248" s="16">
        <v>297.2423</v>
      </c>
      <c r="O248" s="16">
        <v>345.6877</v>
      </c>
      <c r="P248" s="16">
        <v>347.2105</v>
      </c>
      <c r="Q248" s="16">
        <v>336.4442</v>
      </c>
      <c r="R248" s="16">
        <v>354.4454</v>
      </c>
      <c r="S248" s="16">
        <v>377.7735</v>
      </c>
      <c r="T248" s="16">
        <v>383.2022</v>
      </c>
      <c r="U248" s="16">
        <v>422.5911</v>
      </c>
      <c r="V248" s="16">
        <v>407.6678</v>
      </c>
      <c r="W248" s="16">
        <v>431.9219</v>
      </c>
      <c r="X248" s="16">
        <v>434.7597</v>
      </c>
      <c r="Y248" s="16">
        <v>342.1151</v>
      </c>
      <c r="Z248" s="16"/>
      <c r="AA248" s="17">
        <f t="shared" si="9"/>
        <v>434.7597</v>
      </c>
      <c r="AB248" s="17">
        <f t="shared" si="10"/>
        <v>297.2423</v>
      </c>
      <c r="AC248" s="17">
        <f t="shared" si="11"/>
        <v>350.8546125</v>
      </c>
    </row>
    <row r="249" spans="1:29">
      <c r="A249" s="8">
        <v>45539</v>
      </c>
      <c r="B249" s="16">
        <v>416.8263</v>
      </c>
      <c r="C249" s="16">
        <v>413.2171</v>
      </c>
      <c r="D249" s="16">
        <v>398.1716</v>
      </c>
      <c r="E249" s="16">
        <v>372.6732</v>
      </c>
      <c r="F249" s="16">
        <v>348.218</v>
      </c>
      <c r="G249" s="16">
        <v>348.7535</v>
      </c>
      <c r="H249" s="16">
        <v>356.6295</v>
      </c>
      <c r="I249" s="16">
        <v>334.1683</v>
      </c>
      <c r="J249" s="16">
        <v>344.478</v>
      </c>
      <c r="K249" s="16">
        <v>343.2992</v>
      </c>
      <c r="L249" s="16">
        <v>329.5219</v>
      </c>
      <c r="M249" s="16">
        <v>330.9966</v>
      </c>
      <c r="N249" s="16">
        <v>330.1434</v>
      </c>
      <c r="O249" s="16">
        <v>372.891</v>
      </c>
      <c r="P249" s="16">
        <v>359.209</v>
      </c>
      <c r="Q249" s="16">
        <v>353.6372</v>
      </c>
      <c r="R249" s="16">
        <v>365.2645</v>
      </c>
      <c r="S249" s="16">
        <v>392.0877</v>
      </c>
      <c r="T249" s="16">
        <v>406.7397</v>
      </c>
      <c r="U249" s="16">
        <v>478.6518</v>
      </c>
      <c r="V249" s="16">
        <v>615.1147</v>
      </c>
      <c r="W249" s="16">
        <v>752.7073</v>
      </c>
      <c r="X249" s="16">
        <v>668.9718</v>
      </c>
      <c r="Y249" s="16">
        <v>415.24</v>
      </c>
      <c r="Z249" s="16"/>
      <c r="AA249" s="17">
        <f t="shared" si="9"/>
        <v>752.7073</v>
      </c>
      <c r="AB249" s="17">
        <f t="shared" si="10"/>
        <v>329.5219</v>
      </c>
      <c r="AC249" s="17">
        <f t="shared" si="11"/>
        <v>410.3171375</v>
      </c>
    </row>
    <row r="250" spans="1:29">
      <c r="A250" s="8">
        <v>45540</v>
      </c>
      <c r="B250" s="16">
        <v>523.5082</v>
      </c>
      <c r="C250" s="16">
        <v>436.5778</v>
      </c>
      <c r="D250" s="16">
        <v>441.3686</v>
      </c>
      <c r="E250" s="16">
        <v>406.5524</v>
      </c>
      <c r="F250" s="16">
        <v>370.3185</v>
      </c>
      <c r="G250" s="16">
        <v>360.0756</v>
      </c>
      <c r="H250" s="16">
        <v>367.1124</v>
      </c>
      <c r="I250" s="16">
        <v>333.7702</v>
      </c>
      <c r="J250" s="16">
        <v>353.568</v>
      </c>
      <c r="K250" s="16">
        <v>384.3971</v>
      </c>
      <c r="L250" s="16">
        <v>343.8175</v>
      </c>
      <c r="M250" s="16">
        <v>331.2263</v>
      </c>
      <c r="N250" s="16">
        <v>321.3792</v>
      </c>
      <c r="O250" s="16">
        <v>361.554</v>
      </c>
      <c r="P250" s="16">
        <v>357.2093</v>
      </c>
      <c r="Q250" s="16">
        <v>350.9705</v>
      </c>
      <c r="R250" s="16">
        <v>353.2353</v>
      </c>
      <c r="S250" s="16">
        <v>346.9522</v>
      </c>
      <c r="T250" s="16">
        <v>337.6654</v>
      </c>
      <c r="U250" s="16">
        <v>356.3981</v>
      </c>
      <c r="V250" s="16">
        <v>373.1637</v>
      </c>
      <c r="W250" s="16">
        <v>375.469</v>
      </c>
      <c r="X250" s="16">
        <v>384.0767</v>
      </c>
      <c r="Y250" s="16">
        <v>345.6067</v>
      </c>
      <c r="Z250" s="16"/>
      <c r="AA250" s="17">
        <f t="shared" si="9"/>
        <v>523.5082</v>
      </c>
      <c r="AB250" s="17">
        <f t="shared" si="10"/>
        <v>321.3792</v>
      </c>
      <c r="AC250" s="17">
        <f t="shared" si="11"/>
        <v>371.4988625</v>
      </c>
    </row>
    <row r="251" spans="1:29">
      <c r="A251" s="8">
        <v>45541</v>
      </c>
      <c r="B251" s="16">
        <v>371.8352</v>
      </c>
      <c r="C251" s="16">
        <v>375.4178</v>
      </c>
      <c r="D251" s="16">
        <v>382.8653</v>
      </c>
      <c r="E251" s="16">
        <v>359.2617</v>
      </c>
      <c r="F251" s="16">
        <v>331.5265</v>
      </c>
      <c r="G251" s="16">
        <v>320.6315</v>
      </c>
      <c r="H251" s="16">
        <v>328.4735</v>
      </c>
      <c r="I251" s="16">
        <v>325.5443</v>
      </c>
      <c r="J251" s="16">
        <v>402.2193</v>
      </c>
      <c r="K251" s="16">
        <v>536.2349</v>
      </c>
      <c r="L251" s="16">
        <v>446.5069</v>
      </c>
      <c r="M251" s="16">
        <v>371.9418</v>
      </c>
      <c r="N251" s="16">
        <v>295.5264</v>
      </c>
      <c r="O251" s="16">
        <v>376.9068</v>
      </c>
      <c r="P251" s="16">
        <v>407.0136</v>
      </c>
      <c r="Q251" s="16">
        <v>391.8105</v>
      </c>
      <c r="R251" s="16">
        <v>398.8863</v>
      </c>
      <c r="S251" s="16">
        <v>372.6604</v>
      </c>
      <c r="T251" s="16">
        <v>356.4217</v>
      </c>
      <c r="U251" s="16">
        <v>367.45</v>
      </c>
      <c r="V251" s="16">
        <v>340.1695</v>
      </c>
      <c r="W251" s="16">
        <v>330.9084</v>
      </c>
      <c r="X251" s="16">
        <v>322.5175</v>
      </c>
      <c r="Y251" s="16">
        <v>297.1795</v>
      </c>
      <c r="Z251" s="16"/>
      <c r="AA251" s="17">
        <f t="shared" si="9"/>
        <v>536.2349</v>
      </c>
      <c r="AB251" s="17">
        <f t="shared" si="10"/>
        <v>295.5264</v>
      </c>
      <c r="AC251" s="17">
        <f t="shared" si="11"/>
        <v>367.079554166667</v>
      </c>
    </row>
    <row r="252" spans="1:29">
      <c r="A252" s="8">
        <v>45542</v>
      </c>
      <c r="B252" s="16">
        <v>343.8996</v>
      </c>
      <c r="C252" s="16">
        <v>335.3119</v>
      </c>
      <c r="D252" s="16">
        <v>342.1851</v>
      </c>
      <c r="E252" s="16">
        <v>324.8347</v>
      </c>
      <c r="F252" s="16">
        <v>317.0579</v>
      </c>
      <c r="G252" s="16">
        <v>312.3404</v>
      </c>
      <c r="H252" s="16">
        <v>321.2425</v>
      </c>
      <c r="I252" s="16">
        <v>323.4459</v>
      </c>
      <c r="J252" s="16">
        <v>347.6405</v>
      </c>
      <c r="K252" s="16">
        <v>353.7327</v>
      </c>
      <c r="L252" s="16">
        <v>371.7937</v>
      </c>
      <c r="M252" s="16">
        <v>353.6469</v>
      </c>
      <c r="N252" s="16">
        <v>322.56</v>
      </c>
      <c r="O252" s="16">
        <v>387.9811</v>
      </c>
      <c r="P252" s="16">
        <v>410.8721</v>
      </c>
      <c r="Q252" s="16">
        <v>397.0023</v>
      </c>
      <c r="R252" s="16">
        <v>407.3032</v>
      </c>
      <c r="S252" s="16">
        <v>405.2068</v>
      </c>
      <c r="T252" s="16">
        <v>412.8546</v>
      </c>
      <c r="U252" s="16">
        <v>412.4501</v>
      </c>
      <c r="V252" s="16">
        <v>387.9943</v>
      </c>
      <c r="W252" s="16">
        <v>389.7407</v>
      </c>
      <c r="X252" s="16">
        <v>405.8098</v>
      </c>
      <c r="Y252" s="16">
        <v>362.7033</v>
      </c>
      <c r="Z252" s="16"/>
      <c r="AA252" s="17">
        <f t="shared" si="9"/>
        <v>412.8546</v>
      </c>
      <c r="AB252" s="17">
        <f t="shared" si="10"/>
        <v>312.3404</v>
      </c>
      <c r="AC252" s="17">
        <f t="shared" si="11"/>
        <v>364.5670875</v>
      </c>
    </row>
    <row r="253" spans="1:29">
      <c r="A253" s="8">
        <v>45543</v>
      </c>
      <c r="B253" s="16">
        <v>509.5857</v>
      </c>
      <c r="C253" s="16">
        <v>524.0148</v>
      </c>
      <c r="D253" s="16">
        <v>480.6053</v>
      </c>
      <c r="E253" s="16">
        <v>417.8837</v>
      </c>
      <c r="F253" s="16">
        <v>381.6665</v>
      </c>
      <c r="G253" s="16">
        <v>372.7358</v>
      </c>
      <c r="H253" s="16">
        <v>379.1136</v>
      </c>
      <c r="I253" s="16">
        <v>372.4312</v>
      </c>
      <c r="J253" s="16">
        <v>341.9829</v>
      </c>
      <c r="K253" s="16">
        <v>333.6733</v>
      </c>
      <c r="L253" s="16">
        <v>333.0343</v>
      </c>
      <c r="M253" s="16">
        <v>335.1369</v>
      </c>
      <c r="N253" s="16">
        <v>345.9833</v>
      </c>
      <c r="O253" s="16">
        <v>365.2396</v>
      </c>
      <c r="P253" s="16">
        <v>378.9771</v>
      </c>
      <c r="Q253" s="16">
        <v>377.2253</v>
      </c>
      <c r="R253" s="16">
        <v>386.5814</v>
      </c>
      <c r="S253" s="16">
        <v>365.0012</v>
      </c>
      <c r="T253" s="16">
        <v>350.1575</v>
      </c>
      <c r="U253" s="16">
        <v>373.3253</v>
      </c>
      <c r="V253" s="16">
        <v>377.169</v>
      </c>
      <c r="W253" s="16">
        <v>385.0605</v>
      </c>
      <c r="X253" s="16">
        <v>390.2029</v>
      </c>
      <c r="Y253" s="16">
        <v>351.9851</v>
      </c>
      <c r="Z253" s="16"/>
      <c r="AA253" s="17">
        <f t="shared" si="9"/>
        <v>524.0148</v>
      </c>
      <c r="AB253" s="17">
        <f t="shared" si="10"/>
        <v>333.0343</v>
      </c>
      <c r="AC253" s="17">
        <f t="shared" si="11"/>
        <v>384.532175</v>
      </c>
    </row>
    <row r="254" spans="1:29">
      <c r="A254" s="8">
        <v>45544</v>
      </c>
      <c r="B254" s="16">
        <v>339.9091</v>
      </c>
      <c r="C254" s="16">
        <v>328.75</v>
      </c>
      <c r="D254" s="16">
        <v>316.75</v>
      </c>
      <c r="E254" s="16">
        <v>304.0836</v>
      </c>
      <c r="F254" s="16">
        <v>298.25</v>
      </c>
      <c r="G254" s="16">
        <v>295.25</v>
      </c>
      <c r="H254" s="16">
        <v>313.7033</v>
      </c>
      <c r="I254" s="16">
        <v>312.1327</v>
      </c>
      <c r="J254" s="16">
        <v>346.7078</v>
      </c>
      <c r="K254" s="16">
        <v>390.0733</v>
      </c>
      <c r="L254" s="16">
        <v>365.7226</v>
      </c>
      <c r="M254" s="16">
        <v>356.6812</v>
      </c>
      <c r="N254" s="16">
        <v>330.8689</v>
      </c>
      <c r="O254" s="16">
        <v>368.452</v>
      </c>
      <c r="P254" s="16">
        <v>367.9358</v>
      </c>
      <c r="Q254" s="16">
        <v>366.8442</v>
      </c>
      <c r="R254" s="16">
        <v>376.0293</v>
      </c>
      <c r="S254" s="16">
        <v>361.9483</v>
      </c>
      <c r="T254" s="16">
        <v>372.6951</v>
      </c>
      <c r="U254" s="16">
        <v>378.6557</v>
      </c>
      <c r="V254" s="16">
        <v>365.5352</v>
      </c>
      <c r="W254" s="16">
        <v>358.4523</v>
      </c>
      <c r="X254" s="16">
        <v>358.8677</v>
      </c>
      <c r="Y254" s="16">
        <v>322.5359</v>
      </c>
      <c r="Z254" s="16"/>
      <c r="AA254" s="17">
        <f t="shared" si="9"/>
        <v>390.0733</v>
      </c>
      <c r="AB254" s="17">
        <f t="shared" si="10"/>
        <v>295.25</v>
      </c>
      <c r="AC254" s="17">
        <f t="shared" si="11"/>
        <v>345.701416666667</v>
      </c>
    </row>
    <row r="255" spans="1:29">
      <c r="A255" s="8">
        <v>45545</v>
      </c>
      <c r="B255" s="16">
        <v>360.983</v>
      </c>
      <c r="C255" s="16">
        <v>353.8303</v>
      </c>
      <c r="D255" s="16">
        <v>347.1303</v>
      </c>
      <c r="E255" s="16">
        <v>328.3109</v>
      </c>
      <c r="F255" s="16">
        <v>322.3858</v>
      </c>
      <c r="G255" s="16">
        <v>324.993</v>
      </c>
      <c r="H255" s="16">
        <v>349.5419</v>
      </c>
      <c r="I255" s="16">
        <v>339.9633</v>
      </c>
      <c r="J255" s="16">
        <v>347.7328</v>
      </c>
      <c r="K255" s="16">
        <v>371.0687</v>
      </c>
      <c r="L255" s="16">
        <v>343.6878</v>
      </c>
      <c r="M255" s="16">
        <v>335.3504</v>
      </c>
      <c r="N255" s="16">
        <v>285.1344</v>
      </c>
      <c r="O255" s="16">
        <v>345.7921</v>
      </c>
      <c r="P255" s="16">
        <v>330.7655</v>
      </c>
      <c r="Q255" s="16">
        <v>324.418</v>
      </c>
      <c r="R255" s="16">
        <v>348.0615</v>
      </c>
      <c r="S255" s="16">
        <v>380.1513</v>
      </c>
      <c r="T255" s="16">
        <v>411.3517</v>
      </c>
      <c r="U255" s="16">
        <v>451.5339</v>
      </c>
      <c r="V255" s="16">
        <v>417.9402</v>
      </c>
      <c r="W255" s="16">
        <v>443.0024</v>
      </c>
      <c r="X255" s="16">
        <v>437.0917</v>
      </c>
      <c r="Y255" s="16">
        <v>345.3674</v>
      </c>
      <c r="Z255" s="16"/>
      <c r="AA255" s="17">
        <f t="shared" si="9"/>
        <v>451.5339</v>
      </c>
      <c r="AB255" s="17">
        <f t="shared" si="10"/>
        <v>285.1344</v>
      </c>
      <c r="AC255" s="17">
        <f t="shared" si="11"/>
        <v>360.232845833333</v>
      </c>
    </row>
    <row r="256" spans="1:29">
      <c r="A256" s="8">
        <v>45546</v>
      </c>
      <c r="B256" s="16">
        <v>359.0324</v>
      </c>
      <c r="C256" s="16">
        <v>342.7051</v>
      </c>
      <c r="D256" s="16">
        <v>343.735</v>
      </c>
      <c r="E256" s="16">
        <v>331.2067</v>
      </c>
      <c r="F256" s="16">
        <v>317.2815</v>
      </c>
      <c r="G256" s="16">
        <v>312.5906</v>
      </c>
      <c r="H256" s="16">
        <v>311.9264</v>
      </c>
      <c r="I256" s="16">
        <v>312.4804</v>
      </c>
      <c r="J256" s="16">
        <v>337.5609</v>
      </c>
      <c r="K256" s="16">
        <v>349.0861</v>
      </c>
      <c r="L256" s="16">
        <v>324.5945</v>
      </c>
      <c r="M256" s="16">
        <v>315.835</v>
      </c>
      <c r="N256" s="16">
        <v>284.2476</v>
      </c>
      <c r="O256" s="16">
        <v>372.1389</v>
      </c>
      <c r="P256" s="16">
        <v>338.367</v>
      </c>
      <c r="Q256" s="16">
        <v>346.8558</v>
      </c>
      <c r="R256" s="16">
        <v>409.802</v>
      </c>
      <c r="S256" s="16">
        <v>403.8392</v>
      </c>
      <c r="T256" s="16">
        <v>443.5515</v>
      </c>
      <c r="U256" s="16">
        <v>376.1048</v>
      </c>
      <c r="V256" s="16">
        <v>366.4918</v>
      </c>
      <c r="W256" s="16">
        <v>363.3367</v>
      </c>
      <c r="X256" s="16">
        <v>372.6419</v>
      </c>
      <c r="Y256" s="16">
        <v>345.9574</v>
      </c>
      <c r="Z256" s="16"/>
      <c r="AA256" s="17">
        <f t="shared" si="9"/>
        <v>443.5515</v>
      </c>
      <c r="AB256" s="17">
        <f t="shared" si="10"/>
        <v>284.2476</v>
      </c>
      <c r="AC256" s="17">
        <f t="shared" si="11"/>
        <v>349.223716666667</v>
      </c>
    </row>
    <row r="257" spans="1:29">
      <c r="A257" s="8">
        <v>45547</v>
      </c>
      <c r="B257" s="16">
        <v>439.548</v>
      </c>
      <c r="C257" s="16">
        <v>373.3425</v>
      </c>
      <c r="D257" s="16">
        <v>371.5252</v>
      </c>
      <c r="E257" s="16">
        <v>354.2433</v>
      </c>
      <c r="F257" s="16">
        <v>341.426</v>
      </c>
      <c r="G257" s="16">
        <v>333.2907</v>
      </c>
      <c r="H257" s="16">
        <v>333.8666</v>
      </c>
      <c r="I257" s="16">
        <v>317.9756</v>
      </c>
      <c r="J257" s="16">
        <v>351.8807</v>
      </c>
      <c r="K257" s="16">
        <v>342.7068</v>
      </c>
      <c r="L257" s="16">
        <v>301.1977</v>
      </c>
      <c r="M257" s="16">
        <v>324.0976</v>
      </c>
      <c r="N257" s="16">
        <v>328.1938</v>
      </c>
      <c r="O257" s="16">
        <v>354.1142</v>
      </c>
      <c r="P257" s="16">
        <v>338.9992</v>
      </c>
      <c r="Q257" s="16">
        <v>342.2126</v>
      </c>
      <c r="R257" s="16">
        <v>343.3331</v>
      </c>
      <c r="S257" s="16">
        <v>364.5272</v>
      </c>
      <c r="T257" s="16">
        <v>383.2242</v>
      </c>
      <c r="U257" s="16">
        <v>408.1897</v>
      </c>
      <c r="V257" s="16">
        <v>399.2814</v>
      </c>
      <c r="W257" s="16">
        <v>394.6315</v>
      </c>
      <c r="X257" s="16">
        <v>432.6477</v>
      </c>
      <c r="Y257" s="16">
        <v>360.8149</v>
      </c>
      <c r="Z257" s="16"/>
      <c r="AA257" s="17">
        <f t="shared" si="9"/>
        <v>439.548</v>
      </c>
      <c r="AB257" s="17">
        <f t="shared" si="10"/>
        <v>301.1977</v>
      </c>
      <c r="AC257" s="17">
        <f t="shared" si="11"/>
        <v>359.802925</v>
      </c>
    </row>
    <row r="258" spans="1:29">
      <c r="A258" s="8">
        <v>45548</v>
      </c>
      <c r="B258" s="16">
        <v>490.2086</v>
      </c>
      <c r="C258" s="16">
        <v>487.3551</v>
      </c>
      <c r="D258" s="16">
        <v>394.5358</v>
      </c>
      <c r="E258" s="16">
        <v>356.1423</v>
      </c>
      <c r="F258" s="16">
        <v>347.8323</v>
      </c>
      <c r="G258" s="16">
        <v>337.0354</v>
      </c>
      <c r="H258" s="16">
        <v>330.7172</v>
      </c>
      <c r="I258" s="16">
        <v>308.5552</v>
      </c>
      <c r="J258" s="16">
        <v>340.9724</v>
      </c>
      <c r="K258" s="16">
        <v>344.8982</v>
      </c>
      <c r="L258" s="16">
        <v>312.4005</v>
      </c>
      <c r="M258" s="16">
        <v>323.502</v>
      </c>
      <c r="N258" s="16">
        <v>313.9658</v>
      </c>
      <c r="O258" s="16">
        <v>332.5007</v>
      </c>
      <c r="P258" s="16">
        <v>321.0009</v>
      </c>
      <c r="Q258" s="16">
        <v>327.5662</v>
      </c>
      <c r="R258" s="16">
        <v>327.0908</v>
      </c>
      <c r="S258" s="16">
        <v>341.8582</v>
      </c>
      <c r="T258" s="16">
        <v>351.6052</v>
      </c>
      <c r="U258" s="16">
        <v>361.7158</v>
      </c>
      <c r="V258" s="16">
        <v>349.6613</v>
      </c>
      <c r="W258" s="16">
        <v>346.2245</v>
      </c>
      <c r="X258" s="16">
        <v>340.07</v>
      </c>
      <c r="Y258" s="16">
        <v>325.8656</v>
      </c>
      <c r="Z258" s="16"/>
      <c r="AA258" s="17">
        <f t="shared" ref="AA258:AA321" si="12">MAX($B258:$Y258)</f>
        <v>490.2086</v>
      </c>
      <c r="AB258" s="17">
        <f t="shared" ref="AB258:AB321" si="13">MIN($B258:$Y258)</f>
        <v>308.5552</v>
      </c>
      <c r="AC258" s="17">
        <f t="shared" ref="AC258:AC321" si="14">AVERAGE($B258:$Y258)</f>
        <v>350.553333333333</v>
      </c>
    </row>
    <row r="259" spans="1:29">
      <c r="A259" s="8">
        <v>45549</v>
      </c>
      <c r="B259" s="16">
        <v>543.5764</v>
      </c>
      <c r="C259" s="16">
        <v>435.8477</v>
      </c>
      <c r="D259" s="16">
        <v>386.7535</v>
      </c>
      <c r="E259" s="16">
        <v>354.1105</v>
      </c>
      <c r="F259" s="16">
        <v>340.2188</v>
      </c>
      <c r="G259" s="16">
        <v>329.9835</v>
      </c>
      <c r="H259" s="16">
        <v>334.0198</v>
      </c>
      <c r="I259" s="16">
        <v>303.1622</v>
      </c>
      <c r="J259" s="16">
        <v>352.3517</v>
      </c>
      <c r="K259" s="16">
        <v>360.1089</v>
      </c>
      <c r="L259" s="16">
        <v>336.3861</v>
      </c>
      <c r="M259" s="16">
        <v>326.2894</v>
      </c>
      <c r="N259" s="16">
        <v>303.8917</v>
      </c>
      <c r="O259" s="16">
        <v>338.0374</v>
      </c>
      <c r="P259" s="16">
        <v>327.8577</v>
      </c>
      <c r="Q259" s="16">
        <v>326.6805</v>
      </c>
      <c r="R259" s="16">
        <v>329.6651</v>
      </c>
      <c r="S259" s="16">
        <v>338.2003</v>
      </c>
      <c r="T259" s="16">
        <v>341.2048</v>
      </c>
      <c r="U259" s="16">
        <v>344.2448</v>
      </c>
      <c r="V259" s="16">
        <v>373.8578</v>
      </c>
      <c r="W259" s="16">
        <v>361.4533</v>
      </c>
      <c r="X259" s="16">
        <v>344.2232</v>
      </c>
      <c r="Y259" s="16">
        <v>328.8781</v>
      </c>
      <c r="Z259" s="16"/>
      <c r="AA259" s="17">
        <f t="shared" si="12"/>
        <v>543.5764</v>
      </c>
      <c r="AB259" s="17">
        <f t="shared" si="13"/>
        <v>303.1622</v>
      </c>
      <c r="AC259" s="17">
        <f t="shared" si="14"/>
        <v>352.5418</v>
      </c>
    </row>
    <row r="260" spans="1:29">
      <c r="A260" s="8">
        <v>45550</v>
      </c>
      <c r="B260" s="16">
        <v>404.8077</v>
      </c>
      <c r="C260" s="16">
        <v>414.1772</v>
      </c>
      <c r="D260" s="16">
        <v>416.0151</v>
      </c>
      <c r="E260" s="16">
        <v>367.4644</v>
      </c>
      <c r="F260" s="16">
        <v>342.2094</v>
      </c>
      <c r="G260" s="16">
        <v>327.0048</v>
      </c>
      <c r="H260" s="16">
        <v>322.1374</v>
      </c>
      <c r="I260" s="16">
        <v>302.2028</v>
      </c>
      <c r="J260" s="16">
        <v>248.8683</v>
      </c>
      <c r="K260" s="16">
        <v>298.3321</v>
      </c>
      <c r="L260" s="16">
        <v>266.0509</v>
      </c>
      <c r="M260" s="16">
        <v>269.0197</v>
      </c>
      <c r="N260" s="16">
        <v>128.4651</v>
      </c>
      <c r="O260" s="16">
        <v>287.7992</v>
      </c>
      <c r="P260" s="16">
        <v>306.4342</v>
      </c>
      <c r="Q260" s="16">
        <v>311.8818</v>
      </c>
      <c r="R260" s="16">
        <v>320.1947</v>
      </c>
      <c r="S260" s="16">
        <v>332.8735</v>
      </c>
      <c r="T260" s="16">
        <v>336.8394</v>
      </c>
      <c r="U260" s="16">
        <v>334.1175</v>
      </c>
      <c r="V260" s="16">
        <v>331.974</v>
      </c>
      <c r="W260" s="16">
        <v>341.5973</v>
      </c>
      <c r="X260" s="16">
        <v>350.9675</v>
      </c>
      <c r="Y260" s="16">
        <v>333.2642</v>
      </c>
      <c r="Z260" s="16"/>
      <c r="AA260" s="17">
        <f t="shared" si="12"/>
        <v>416.0151</v>
      </c>
      <c r="AB260" s="17">
        <f t="shared" si="13"/>
        <v>128.4651</v>
      </c>
      <c r="AC260" s="17">
        <f t="shared" si="14"/>
        <v>320.612425</v>
      </c>
    </row>
    <row r="261" spans="1:29">
      <c r="A261" s="8">
        <v>45551</v>
      </c>
      <c r="B261" s="16">
        <v>422.4633</v>
      </c>
      <c r="C261" s="16">
        <v>505.8401</v>
      </c>
      <c r="D261" s="16">
        <v>496.1971</v>
      </c>
      <c r="E261" s="16">
        <v>484.4727</v>
      </c>
      <c r="F261" s="16">
        <v>393.6695</v>
      </c>
      <c r="G261" s="16">
        <v>384.0944</v>
      </c>
      <c r="H261" s="16">
        <v>377.6786</v>
      </c>
      <c r="I261" s="16">
        <v>339.945</v>
      </c>
      <c r="J261" s="16">
        <v>289.7728</v>
      </c>
      <c r="K261" s="16">
        <v>288.9357</v>
      </c>
      <c r="L261" s="16">
        <v>270.8555</v>
      </c>
      <c r="M261" s="16">
        <v>279.9804</v>
      </c>
      <c r="N261" s="16">
        <v>278.371</v>
      </c>
      <c r="O261" s="16">
        <v>344.5049</v>
      </c>
      <c r="P261" s="16">
        <v>318.6736</v>
      </c>
      <c r="Q261" s="16">
        <v>310.4549</v>
      </c>
      <c r="R261" s="16">
        <v>307.2015</v>
      </c>
      <c r="S261" s="16">
        <v>300.5402</v>
      </c>
      <c r="T261" s="16">
        <v>322.0045</v>
      </c>
      <c r="U261" s="16">
        <v>325.05</v>
      </c>
      <c r="V261" s="16">
        <v>313.2886</v>
      </c>
      <c r="W261" s="16">
        <v>325.038</v>
      </c>
      <c r="X261" s="16">
        <v>335.1476</v>
      </c>
      <c r="Y261" s="16">
        <v>319.4491</v>
      </c>
      <c r="Z261" s="16"/>
      <c r="AA261" s="17">
        <f t="shared" si="12"/>
        <v>505.8401</v>
      </c>
      <c r="AB261" s="17">
        <f t="shared" si="13"/>
        <v>270.8555</v>
      </c>
      <c r="AC261" s="17">
        <f t="shared" si="14"/>
        <v>347.234541666667</v>
      </c>
    </row>
    <row r="262" spans="1:29">
      <c r="A262" s="8">
        <v>45552</v>
      </c>
      <c r="B262" s="16">
        <v>497.217</v>
      </c>
      <c r="C262" s="16">
        <v>402.0641</v>
      </c>
      <c r="D262" s="16">
        <v>365.0447</v>
      </c>
      <c r="E262" s="16">
        <v>351.9489</v>
      </c>
      <c r="F262" s="16">
        <v>324.366</v>
      </c>
      <c r="G262" s="16">
        <v>303.076</v>
      </c>
      <c r="H262" s="16">
        <v>290.2324</v>
      </c>
      <c r="I262" s="16">
        <v>192.0152</v>
      </c>
      <c r="J262" s="16">
        <v>0</v>
      </c>
      <c r="K262" s="16">
        <v>10.4521</v>
      </c>
      <c r="L262" s="16">
        <v>16.0566</v>
      </c>
      <c r="M262" s="16">
        <v>12.6393</v>
      </c>
      <c r="N262" s="16">
        <v>124.8726</v>
      </c>
      <c r="O262" s="16">
        <v>267.5345</v>
      </c>
      <c r="P262" s="16">
        <v>115.2831</v>
      </c>
      <c r="Q262" s="16">
        <v>25.5494</v>
      </c>
      <c r="R262" s="16">
        <v>22.9213</v>
      </c>
      <c r="S262" s="16">
        <v>67.8749</v>
      </c>
      <c r="T262" s="16">
        <v>54.2258</v>
      </c>
      <c r="U262" s="16">
        <v>18.3124</v>
      </c>
      <c r="V262" s="16">
        <v>11.4043</v>
      </c>
      <c r="W262" s="16">
        <v>159.8902</v>
      </c>
      <c r="X262" s="16">
        <v>263.4646</v>
      </c>
      <c r="Y262" s="16">
        <v>270.1084</v>
      </c>
      <c r="Z262" s="16"/>
      <c r="AA262" s="17">
        <f t="shared" si="12"/>
        <v>497.217</v>
      </c>
      <c r="AB262" s="17">
        <f t="shared" si="13"/>
        <v>0</v>
      </c>
      <c r="AC262" s="17">
        <f t="shared" si="14"/>
        <v>173.606408333333</v>
      </c>
    </row>
    <row r="263" spans="1:29">
      <c r="A263" s="8">
        <v>45553</v>
      </c>
      <c r="B263" s="16">
        <v>490.057</v>
      </c>
      <c r="C263" s="16">
        <v>487.0902</v>
      </c>
      <c r="D263" s="16">
        <v>335.8017</v>
      </c>
      <c r="E263" s="16">
        <v>319.5379</v>
      </c>
      <c r="F263" s="16">
        <v>307.1533</v>
      </c>
      <c r="G263" s="16">
        <v>302.1254</v>
      </c>
      <c r="H263" s="16">
        <v>307.1456</v>
      </c>
      <c r="I263" s="16">
        <v>301.148</v>
      </c>
      <c r="J263" s="16">
        <v>309.5283</v>
      </c>
      <c r="K263" s="16">
        <v>286.1963</v>
      </c>
      <c r="L263" s="16">
        <v>216.4026</v>
      </c>
      <c r="M263" s="16">
        <v>232.9355</v>
      </c>
      <c r="N263" s="16">
        <v>215.5829</v>
      </c>
      <c r="O263" s="16">
        <v>323.5169</v>
      </c>
      <c r="P263" s="16">
        <v>308.9061</v>
      </c>
      <c r="Q263" s="16">
        <v>329.4311</v>
      </c>
      <c r="R263" s="16">
        <v>359.7217</v>
      </c>
      <c r="S263" s="16">
        <v>342.0461</v>
      </c>
      <c r="T263" s="16">
        <v>329.0422</v>
      </c>
      <c r="U263" s="16">
        <v>350.2129</v>
      </c>
      <c r="V263" s="16">
        <v>348.8505</v>
      </c>
      <c r="W263" s="16">
        <v>343.9079</v>
      </c>
      <c r="X263" s="16">
        <v>349.6427</v>
      </c>
      <c r="Y263" s="16">
        <v>329.8096</v>
      </c>
      <c r="Z263" s="16"/>
      <c r="AA263" s="17">
        <f t="shared" si="12"/>
        <v>490.057</v>
      </c>
      <c r="AB263" s="17">
        <f t="shared" si="13"/>
        <v>215.5829</v>
      </c>
      <c r="AC263" s="17">
        <f t="shared" si="14"/>
        <v>326.074683333333</v>
      </c>
    </row>
    <row r="264" spans="1:29">
      <c r="A264" s="8">
        <v>45554</v>
      </c>
      <c r="B264" s="16">
        <v>739.5105</v>
      </c>
      <c r="C264" s="16">
        <v>817.9524</v>
      </c>
      <c r="D264" s="16">
        <v>660.1817</v>
      </c>
      <c r="E264" s="16">
        <v>366.2812</v>
      </c>
      <c r="F264" s="16">
        <v>332.0516</v>
      </c>
      <c r="G264" s="16">
        <v>326.4878</v>
      </c>
      <c r="H264" s="16">
        <v>332.1026</v>
      </c>
      <c r="I264" s="16">
        <v>314.2849</v>
      </c>
      <c r="J264" s="16">
        <v>316.8606</v>
      </c>
      <c r="K264" s="16">
        <v>343.8246</v>
      </c>
      <c r="L264" s="16">
        <v>352.572</v>
      </c>
      <c r="M264" s="16">
        <v>342.6993</v>
      </c>
      <c r="N264" s="16">
        <v>320.7635</v>
      </c>
      <c r="O264" s="16">
        <v>356.9268</v>
      </c>
      <c r="P264" s="16">
        <v>343.3903</v>
      </c>
      <c r="Q264" s="16">
        <v>355.7274</v>
      </c>
      <c r="R264" s="16">
        <v>423.4448</v>
      </c>
      <c r="S264" s="16">
        <v>386.1989</v>
      </c>
      <c r="T264" s="16">
        <v>362.2016</v>
      </c>
      <c r="U264" s="16">
        <v>392.2688</v>
      </c>
      <c r="V264" s="16">
        <v>362.37</v>
      </c>
      <c r="W264" s="16">
        <v>362.6929</v>
      </c>
      <c r="X264" s="16">
        <v>374.4906</v>
      </c>
      <c r="Y264" s="16">
        <v>356.4635</v>
      </c>
      <c r="Z264" s="16"/>
      <c r="AA264" s="17">
        <f t="shared" si="12"/>
        <v>817.9524</v>
      </c>
      <c r="AB264" s="17">
        <f t="shared" si="13"/>
        <v>314.2849</v>
      </c>
      <c r="AC264" s="17">
        <f t="shared" si="14"/>
        <v>401.7395125</v>
      </c>
    </row>
    <row r="265" spans="1:29">
      <c r="A265" s="8">
        <v>45555</v>
      </c>
      <c r="B265" s="16">
        <v>400.1963</v>
      </c>
      <c r="C265" s="16">
        <v>383.6115</v>
      </c>
      <c r="D265" s="16">
        <v>409.2666</v>
      </c>
      <c r="E265" s="16">
        <v>357.7726</v>
      </c>
      <c r="F265" s="16">
        <v>340.5238</v>
      </c>
      <c r="G265" s="16">
        <v>335.5656</v>
      </c>
      <c r="H265" s="16">
        <v>343.2169</v>
      </c>
      <c r="I265" s="16">
        <v>337.903</v>
      </c>
      <c r="J265" s="16">
        <v>357.3314</v>
      </c>
      <c r="K265" s="16">
        <v>386.1781</v>
      </c>
      <c r="L265" s="16">
        <v>349.367</v>
      </c>
      <c r="M265" s="16">
        <v>341.895</v>
      </c>
      <c r="N265" s="16">
        <v>328.1485</v>
      </c>
      <c r="O265" s="16">
        <v>376.9547</v>
      </c>
      <c r="P265" s="16">
        <v>370.7386</v>
      </c>
      <c r="Q265" s="16">
        <v>387.2583</v>
      </c>
      <c r="R265" s="16">
        <v>610.1308</v>
      </c>
      <c r="S265" s="16">
        <v>601.4249</v>
      </c>
      <c r="T265" s="16">
        <v>431.0856</v>
      </c>
      <c r="U265" s="16">
        <v>471.8809</v>
      </c>
      <c r="V265" s="16">
        <v>398.0824</v>
      </c>
      <c r="W265" s="16">
        <v>375.6783</v>
      </c>
      <c r="X265" s="16">
        <v>364.5137</v>
      </c>
      <c r="Y265" s="16">
        <v>345.8614</v>
      </c>
      <c r="Z265" s="16"/>
      <c r="AA265" s="17">
        <f t="shared" si="12"/>
        <v>610.1308</v>
      </c>
      <c r="AB265" s="17">
        <f t="shared" si="13"/>
        <v>328.1485</v>
      </c>
      <c r="AC265" s="17">
        <f t="shared" si="14"/>
        <v>391.857745833333</v>
      </c>
    </row>
    <row r="266" spans="1:29">
      <c r="A266" s="8">
        <v>45556</v>
      </c>
      <c r="B266" s="16">
        <v>405.4105</v>
      </c>
      <c r="C266" s="16">
        <v>359.0913</v>
      </c>
      <c r="D266" s="16">
        <v>342.3961</v>
      </c>
      <c r="E266" s="16">
        <v>340.472</v>
      </c>
      <c r="F266" s="16">
        <v>328.3943</v>
      </c>
      <c r="G266" s="16">
        <v>324.5868</v>
      </c>
      <c r="H266" s="16">
        <v>325.2307</v>
      </c>
      <c r="I266" s="16">
        <v>323.748</v>
      </c>
      <c r="J266" s="16">
        <v>358.6386</v>
      </c>
      <c r="K266" s="16">
        <v>511.1931</v>
      </c>
      <c r="L266" s="16">
        <v>337.8299</v>
      </c>
      <c r="M266" s="16">
        <v>333.5067</v>
      </c>
      <c r="N266" s="16">
        <v>327.4456</v>
      </c>
      <c r="O266" s="16">
        <v>373.1954</v>
      </c>
      <c r="P266" s="16">
        <v>410.2756</v>
      </c>
      <c r="Q266" s="16">
        <v>376.0927</v>
      </c>
      <c r="R266" s="16">
        <v>355.7664</v>
      </c>
      <c r="S266" s="16">
        <v>347.2611</v>
      </c>
      <c r="T266" s="16">
        <v>337.1161</v>
      </c>
      <c r="U266" s="16">
        <v>349.3699</v>
      </c>
      <c r="V266" s="16">
        <v>341.0417</v>
      </c>
      <c r="W266" s="16">
        <v>338.5107</v>
      </c>
      <c r="X266" s="16">
        <v>330.7119</v>
      </c>
      <c r="Y266" s="16">
        <v>320.5534</v>
      </c>
      <c r="Z266" s="16"/>
      <c r="AA266" s="17">
        <f t="shared" si="12"/>
        <v>511.1931</v>
      </c>
      <c r="AB266" s="17">
        <f t="shared" si="13"/>
        <v>320.5534</v>
      </c>
      <c r="AC266" s="17">
        <f t="shared" si="14"/>
        <v>354.076604166667</v>
      </c>
    </row>
    <row r="267" spans="1:29">
      <c r="A267" s="8">
        <v>45557</v>
      </c>
      <c r="B267" s="16">
        <v>361.6458</v>
      </c>
      <c r="C267" s="16">
        <v>344.3156</v>
      </c>
      <c r="D267" s="16">
        <v>331.2984</v>
      </c>
      <c r="E267" s="16">
        <v>321.0502</v>
      </c>
      <c r="F267" s="16">
        <v>316.1948</v>
      </c>
      <c r="G267" s="16">
        <v>308.6305</v>
      </c>
      <c r="H267" s="16">
        <v>307.5608</v>
      </c>
      <c r="I267" s="16">
        <v>302.5674</v>
      </c>
      <c r="J267" s="16">
        <v>302.4423</v>
      </c>
      <c r="K267" s="16">
        <v>335.9624</v>
      </c>
      <c r="L267" s="16">
        <v>283.7192</v>
      </c>
      <c r="M267" s="16">
        <v>263.628</v>
      </c>
      <c r="N267" s="16">
        <v>226.4424</v>
      </c>
      <c r="O267" s="16">
        <v>317.1932</v>
      </c>
      <c r="P267" s="16">
        <v>321.5978</v>
      </c>
      <c r="Q267" s="16">
        <v>283.4525</v>
      </c>
      <c r="R267" s="16">
        <v>279.4458</v>
      </c>
      <c r="S267" s="16">
        <v>187.4023</v>
      </c>
      <c r="T267" s="16">
        <v>41.2879</v>
      </c>
      <c r="U267" s="16">
        <v>76.9798</v>
      </c>
      <c r="V267" s="16">
        <v>6.2963</v>
      </c>
      <c r="W267" s="16">
        <v>7.4661</v>
      </c>
      <c r="X267" s="16">
        <v>0</v>
      </c>
      <c r="Y267" s="16">
        <v>0</v>
      </c>
      <c r="Z267" s="16"/>
      <c r="AA267" s="17">
        <f t="shared" si="12"/>
        <v>361.6458</v>
      </c>
      <c r="AB267" s="17">
        <f t="shared" si="13"/>
        <v>0</v>
      </c>
      <c r="AC267" s="17">
        <f t="shared" si="14"/>
        <v>230.274145833333</v>
      </c>
    </row>
    <row r="268" spans="1:29">
      <c r="A268" s="8">
        <v>45558</v>
      </c>
      <c r="B268" s="16">
        <v>201.4046</v>
      </c>
      <c r="C268" s="16">
        <v>75.0826</v>
      </c>
      <c r="D268" s="16">
        <v>275.1272</v>
      </c>
      <c r="E268" s="16">
        <v>349.4645</v>
      </c>
      <c r="F268" s="16">
        <v>254.5306</v>
      </c>
      <c r="G268" s="16">
        <v>223.9327</v>
      </c>
      <c r="H268" s="16">
        <v>316.913</v>
      </c>
      <c r="I268" s="16">
        <v>1.1831</v>
      </c>
      <c r="J268" s="16">
        <v>91.6417</v>
      </c>
      <c r="K268" s="16">
        <v>89.2281</v>
      </c>
      <c r="L268" s="16">
        <v>74.0249</v>
      </c>
      <c r="M268" s="16">
        <v>29.4365</v>
      </c>
      <c r="N268" s="16">
        <v>7.1017</v>
      </c>
      <c r="O268" s="16">
        <v>116.4901</v>
      </c>
      <c r="P268" s="16">
        <v>179.9449</v>
      </c>
      <c r="Q268" s="16">
        <v>73.5651</v>
      </c>
      <c r="R268" s="16">
        <v>76.4658</v>
      </c>
      <c r="S268" s="16">
        <v>76.1537</v>
      </c>
      <c r="T268" s="16">
        <v>18.9303</v>
      </c>
      <c r="U268" s="16">
        <v>180.7099</v>
      </c>
      <c r="V268" s="16">
        <v>3.4786</v>
      </c>
      <c r="W268" s="16">
        <v>2.1651</v>
      </c>
      <c r="X268" s="16">
        <v>0</v>
      </c>
      <c r="Y268" s="16">
        <v>0</v>
      </c>
      <c r="Z268" s="16"/>
      <c r="AA268" s="17">
        <f t="shared" si="12"/>
        <v>349.4645</v>
      </c>
      <c r="AB268" s="17">
        <f t="shared" si="13"/>
        <v>0</v>
      </c>
      <c r="AC268" s="17">
        <f t="shared" si="14"/>
        <v>113.207279166667</v>
      </c>
    </row>
    <row r="269" spans="1:29">
      <c r="A269" s="8">
        <v>45559</v>
      </c>
      <c r="B269" s="16">
        <v>85.1676</v>
      </c>
      <c r="C269" s="16">
        <v>11.441</v>
      </c>
      <c r="D269" s="16">
        <v>6.8571</v>
      </c>
      <c r="E269" s="16">
        <v>256.5549</v>
      </c>
      <c r="F269" s="16">
        <v>262.1832</v>
      </c>
      <c r="G269" s="16">
        <v>269.1209</v>
      </c>
      <c r="H269" s="16">
        <v>276.3045</v>
      </c>
      <c r="I269" s="16">
        <v>219.8804</v>
      </c>
      <c r="J269" s="16">
        <v>294.3305</v>
      </c>
      <c r="K269" s="16">
        <v>302.2614</v>
      </c>
      <c r="L269" s="16">
        <v>296.9827</v>
      </c>
      <c r="M269" s="16">
        <v>224.4536</v>
      </c>
      <c r="N269" s="16">
        <v>156.8977</v>
      </c>
      <c r="O269" s="16">
        <v>298.1972</v>
      </c>
      <c r="P269" s="16">
        <v>293.8917</v>
      </c>
      <c r="Q269" s="16">
        <v>288.1059</v>
      </c>
      <c r="R269" s="16">
        <v>295.9777</v>
      </c>
      <c r="S269" s="16">
        <v>293.4215</v>
      </c>
      <c r="T269" s="16">
        <v>305.3749</v>
      </c>
      <c r="U269" s="16">
        <v>317.1962</v>
      </c>
      <c r="V269" s="16">
        <v>347.9369</v>
      </c>
      <c r="W269" s="16">
        <v>314.1367</v>
      </c>
      <c r="X269" s="16">
        <v>274.7724</v>
      </c>
      <c r="Y269" s="16">
        <v>1.0558</v>
      </c>
      <c r="Z269" s="16"/>
      <c r="AA269" s="17">
        <f t="shared" si="12"/>
        <v>347.9369</v>
      </c>
      <c r="AB269" s="17">
        <f t="shared" si="13"/>
        <v>1.0558</v>
      </c>
      <c r="AC269" s="17">
        <f t="shared" si="14"/>
        <v>237.1876</v>
      </c>
    </row>
    <row r="270" spans="1:29">
      <c r="A270" s="8">
        <v>45560</v>
      </c>
      <c r="B270" s="16">
        <v>316.9429</v>
      </c>
      <c r="C270" s="16">
        <v>313.3322</v>
      </c>
      <c r="D270" s="16">
        <v>307.7505</v>
      </c>
      <c r="E270" s="16">
        <v>305.3123</v>
      </c>
      <c r="F270" s="16">
        <v>299.7942</v>
      </c>
      <c r="G270" s="16">
        <v>298.1199</v>
      </c>
      <c r="H270" s="16">
        <v>317.3283</v>
      </c>
      <c r="I270" s="16">
        <v>309.3609</v>
      </c>
      <c r="J270" s="16">
        <v>322.892</v>
      </c>
      <c r="K270" s="16">
        <v>351.1454</v>
      </c>
      <c r="L270" s="16">
        <v>380.5599</v>
      </c>
      <c r="M270" s="16">
        <v>354.4741</v>
      </c>
      <c r="N270" s="16">
        <v>311.8297</v>
      </c>
      <c r="O270" s="16">
        <v>329.572</v>
      </c>
      <c r="P270" s="16">
        <v>336.7606</v>
      </c>
      <c r="Q270" s="16">
        <v>340.7431</v>
      </c>
      <c r="R270" s="16">
        <v>343.6788</v>
      </c>
      <c r="S270" s="16">
        <v>339.7204</v>
      </c>
      <c r="T270" s="16">
        <v>353.3725</v>
      </c>
      <c r="U270" s="16">
        <v>412.6525</v>
      </c>
      <c r="V270" s="16">
        <v>384.2825</v>
      </c>
      <c r="W270" s="16">
        <v>382.8043</v>
      </c>
      <c r="X270" s="16">
        <v>360.2861</v>
      </c>
      <c r="Y270" s="16">
        <v>317.1053</v>
      </c>
      <c r="Z270" s="16"/>
      <c r="AA270" s="17">
        <f t="shared" si="12"/>
        <v>412.6525</v>
      </c>
      <c r="AB270" s="17">
        <f t="shared" si="13"/>
        <v>298.1199</v>
      </c>
      <c r="AC270" s="17">
        <f t="shared" si="14"/>
        <v>337.07585</v>
      </c>
    </row>
    <row r="271" spans="1:29">
      <c r="A271" s="8">
        <v>45561</v>
      </c>
      <c r="B271" s="16">
        <v>512.4002</v>
      </c>
      <c r="C271" s="16">
        <v>377.6433</v>
      </c>
      <c r="D271" s="16">
        <v>346.7583</v>
      </c>
      <c r="E271" s="16">
        <v>333.7072</v>
      </c>
      <c r="F271" s="16">
        <v>316.4472</v>
      </c>
      <c r="G271" s="16">
        <v>316.6536</v>
      </c>
      <c r="H271" s="16">
        <v>335.6003</v>
      </c>
      <c r="I271" s="16">
        <v>332.4691</v>
      </c>
      <c r="J271" s="16">
        <v>384.8227</v>
      </c>
      <c r="K271" s="16">
        <v>440.6395</v>
      </c>
      <c r="L271" s="16">
        <v>367.9928</v>
      </c>
      <c r="M271" s="16">
        <v>344.7975</v>
      </c>
      <c r="N271" s="16">
        <v>277.7434</v>
      </c>
      <c r="O271" s="16">
        <v>338.771</v>
      </c>
      <c r="P271" s="16">
        <v>339.585</v>
      </c>
      <c r="Q271" s="16">
        <v>334.34</v>
      </c>
      <c r="R271" s="16">
        <v>342.8376</v>
      </c>
      <c r="S271" s="16">
        <v>347.484</v>
      </c>
      <c r="T271" s="16">
        <v>357.6538</v>
      </c>
      <c r="U271" s="16">
        <v>416.9747</v>
      </c>
      <c r="V271" s="16">
        <v>391.0222</v>
      </c>
      <c r="W271" s="16">
        <v>378.6335</v>
      </c>
      <c r="X271" s="16">
        <v>384.6243</v>
      </c>
      <c r="Y271" s="16">
        <v>352.4543</v>
      </c>
      <c r="Z271" s="16"/>
      <c r="AA271" s="17">
        <f t="shared" si="12"/>
        <v>512.4002</v>
      </c>
      <c r="AB271" s="17">
        <f t="shared" si="13"/>
        <v>277.7434</v>
      </c>
      <c r="AC271" s="17">
        <f t="shared" si="14"/>
        <v>361.335645833333</v>
      </c>
    </row>
    <row r="272" spans="1:29">
      <c r="A272" s="8">
        <v>45562</v>
      </c>
      <c r="B272" s="16">
        <v>529.592</v>
      </c>
      <c r="C272" s="16">
        <v>375.7907</v>
      </c>
      <c r="D272" s="16">
        <v>346.3688</v>
      </c>
      <c r="E272" s="16">
        <v>337.2737</v>
      </c>
      <c r="F272" s="16">
        <v>325.1137</v>
      </c>
      <c r="G272" s="16">
        <v>321.0692</v>
      </c>
      <c r="H272" s="16">
        <v>335.5501</v>
      </c>
      <c r="I272" s="16">
        <v>329.9676</v>
      </c>
      <c r="J272" s="16">
        <v>358.6915</v>
      </c>
      <c r="K272" s="16">
        <v>350.0676</v>
      </c>
      <c r="L272" s="16">
        <v>338.5766</v>
      </c>
      <c r="M272" s="16">
        <v>335.6844</v>
      </c>
      <c r="N272" s="16">
        <v>330.1279</v>
      </c>
      <c r="O272" s="16">
        <v>410.2899</v>
      </c>
      <c r="P272" s="16">
        <v>452.5869</v>
      </c>
      <c r="Q272" s="16">
        <v>399.1061</v>
      </c>
      <c r="R272" s="16">
        <v>361.3614</v>
      </c>
      <c r="S272" s="16">
        <v>390.1785</v>
      </c>
      <c r="T272" s="16">
        <v>397.5285</v>
      </c>
      <c r="U272" s="16">
        <v>482.1744</v>
      </c>
      <c r="V272" s="16">
        <v>579.0442</v>
      </c>
      <c r="W272" s="16">
        <v>489.5453</v>
      </c>
      <c r="X272" s="16">
        <v>563.8051</v>
      </c>
      <c r="Y272" s="16">
        <v>371.9292</v>
      </c>
      <c r="Z272" s="16"/>
      <c r="AA272" s="17">
        <f t="shared" si="12"/>
        <v>579.0442</v>
      </c>
      <c r="AB272" s="17">
        <f t="shared" si="13"/>
        <v>321.0692</v>
      </c>
      <c r="AC272" s="17">
        <f t="shared" si="14"/>
        <v>396.309304166667</v>
      </c>
    </row>
    <row r="273" spans="1:29">
      <c r="A273" s="8">
        <v>45563</v>
      </c>
      <c r="B273" s="16">
        <v>566.953</v>
      </c>
      <c r="C273" s="16">
        <v>732.8369</v>
      </c>
      <c r="D273" s="16">
        <v>568.368</v>
      </c>
      <c r="E273" s="16">
        <v>374.9411</v>
      </c>
      <c r="F273" s="16">
        <v>345.9202</v>
      </c>
      <c r="G273" s="16">
        <v>332.6799</v>
      </c>
      <c r="H273" s="16">
        <v>367.5033</v>
      </c>
      <c r="I273" s="16">
        <v>342.0819</v>
      </c>
      <c r="J273" s="16">
        <v>368.4172</v>
      </c>
      <c r="K273" s="16">
        <v>375.1434</v>
      </c>
      <c r="L273" s="16">
        <v>362.3678</v>
      </c>
      <c r="M273" s="16">
        <v>353.3601</v>
      </c>
      <c r="N273" s="16">
        <v>325.8205</v>
      </c>
      <c r="O273" s="16">
        <v>501.1686</v>
      </c>
      <c r="P273" s="16">
        <v>613.2034</v>
      </c>
      <c r="Q273" s="16">
        <v>405.8334</v>
      </c>
      <c r="R273" s="16">
        <v>427.6647</v>
      </c>
      <c r="S273" s="16">
        <v>396.4288</v>
      </c>
      <c r="T273" s="16">
        <v>372.2212</v>
      </c>
      <c r="U273" s="16">
        <v>395.1401</v>
      </c>
      <c r="V273" s="16">
        <v>391.0098</v>
      </c>
      <c r="W273" s="16">
        <v>403.4496</v>
      </c>
      <c r="X273" s="16">
        <v>413.231</v>
      </c>
      <c r="Y273" s="16">
        <v>327.9641</v>
      </c>
      <c r="Z273" s="16"/>
      <c r="AA273" s="17">
        <f t="shared" si="12"/>
        <v>732.8369</v>
      </c>
      <c r="AB273" s="17">
        <f t="shared" si="13"/>
        <v>325.8205</v>
      </c>
      <c r="AC273" s="17">
        <f t="shared" si="14"/>
        <v>419.321166666667</v>
      </c>
    </row>
    <row r="274" spans="1:29">
      <c r="A274" s="8">
        <v>45564</v>
      </c>
      <c r="B274" s="16">
        <v>376.4066</v>
      </c>
      <c r="C274" s="16">
        <v>503.5808</v>
      </c>
      <c r="D274" s="16">
        <v>799.7757</v>
      </c>
      <c r="E274" s="16">
        <v>517.3076</v>
      </c>
      <c r="F274" s="16">
        <v>360.8981</v>
      </c>
      <c r="G274" s="16">
        <v>360.2432</v>
      </c>
      <c r="H274" s="16">
        <v>532.9888</v>
      </c>
      <c r="I274" s="16">
        <v>379.2159</v>
      </c>
      <c r="J274" s="16">
        <v>369.3035</v>
      </c>
      <c r="K274" s="16">
        <v>375.6618</v>
      </c>
      <c r="L274" s="16">
        <v>359.3535</v>
      </c>
      <c r="M274" s="16">
        <v>335.8571</v>
      </c>
      <c r="N274" s="16">
        <v>321.5983</v>
      </c>
      <c r="O274" s="16">
        <v>360.6434</v>
      </c>
      <c r="P274" s="16">
        <v>369.9496</v>
      </c>
      <c r="Q274" s="16">
        <v>377.4906</v>
      </c>
      <c r="R274" s="16">
        <v>480.5295</v>
      </c>
      <c r="S274" s="16">
        <v>543.781</v>
      </c>
      <c r="T274" s="16">
        <v>458.3283</v>
      </c>
      <c r="U274" s="16">
        <v>461.55</v>
      </c>
      <c r="V274" s="16">
        <v>524.4824</v>
      </c>
      <c r="W274" s="16">
        <v>758.348</v>
      </c>
      <c r="X274" s="16">
        <v>819.977</v>
      </c>
      <c r="Y274" s="16">
        <v>489.6847</v>
      </c>
      <c r="Z274" s="16"/>
      <c r="AA274" s="17">
        <f t="shared" si="12"/>
        <v>819.977</v>
      </c>
      <c r="AB274" s="17">
        <f t="shared" si="13"/>
        <v>321.5983</v>
      </c>
      <c r="AC274" s="17">
        <f t="shared" si="14"/>
        <v>468.206475</v>
      </c>
    </row>
    <row r="275" spans="1:29">
      <c r="A275" s="8">
        <v>45565</v>
      </c>
      <c r="B275" s="16">
        <v>556.3439</v>
      </c>
      <c r="C275" s="16">
        <v>665.9985</v>
      </c>
      <c r="D275" s="16">
        <v>715.6435</v>
      </c>
      <c r="E275" s="16">
        <v>566.7274</v>
      </c>
      <c r="F275" s="16">
        <v>388.0141</v>
      </c>
      <c r="G275" s="16">
        <v>369.5122</v>
      </c>
      <c r="H275" s="16">
        <v>370.4969</v>
      </c>
      <c r="I275" s="16">
        <v>348.6373</v>
      </c>
      <c r="J275" s="16">
        <v>343.7067</v>
      </c>
      <c r="K275" s="16">
        <v>371.3194</v>
      </c>
      <c r="L275" s="16">
        <v>346.8347</v>
      </c>
      <c r="M275" s="16">
        <v>332.2093</v>
      </c>
      <c r="N275" s="16">
        <v>259.9463</v>
      </c>
      <c r="O275" s="16">
        <v>350.1992</v>
      </c>
      <c r="P275" s="16">
        <v>356.2649</v>
      </c>
      <c r="Q275" s="16">
        <v>362.5984</v>
      </c>
      <c r="R275" s="16">
        <v>382.4004</v>
      </c>
      <c r="S275" s="16">
        <v>423.0969</v>
      </c>
      <c r="T275" s="16">
        <v>400.8286</v>
      </c>
      <c r="U275" s="16">
        <v>497.0451</v>
      </c>
      <c r="V275" s="16">
        <v>491.5833</v>
      </c>
      <c r="W275" s="16">
        <v>523.8852</v>
      </c>
      <c r="X275" s="16">
        <v>560.6352</v>
      </c>
      <c r="Y275" s="16">
        <v>400.2459</v>
      </c>
      <c r="Z275" s="16"/>
      <c r="AA275" s="17">
        <f t="shared" si="12"/>
        <v>715.6435</v>
      </c>
      <c r="AB275" s="17">
        <f t="shared" si="13"/>
        <v>259.9463</v>
      </c>
      <c r="AC275" s="17">
        <f t="shared" si="14"/>
        <v>432.6738875</v>
      </c>
    </row>
    <row r="276" spans="1:29">
      <c r="A276" s="8">
        <v>45566</v>
      </c>
      <c r="B276" s="16">
        <v>473.028</v>
      </c>
      <c r="C276" s="16">
        <v>347.8394</v>
      </c>
      <c r="D276" s="16">
        <v>348.9801</v>
      </c>
      <c r="E276" s="16">
        <v>347.6723</v>
      </c>
      <c r="F276" s="16">
        <v>330.0725</v>
      </c>
      <c r="G276" s="16">
        <v>330.9944</v>
      </c>
      <c r="H276" s="16">
        <v>340.415</v>
      </c>
      <c r="I276" s="16">
        <v>313.2403</v>
      </c>
      <c r="J276" s="16">
        <v>51.25</v>
      </c>
      <c r="K276" s="16">
        <v>0</v>
      </c>
      <c r="L276" s="16">
        <v>0</v>
      </c>
      <c r="M276" s="16">
        <v>0.8755</v>
      </c>
      <c r="N276" s="16">
        <v>154.0141</v>
      </c>
      <c r="O276" s="16">
        <v>328.5408</v>
      </c>
      <c r="P276" s="16">
        <v>307.9474</v>
      </c>
      <c r="Q276" s="16">
        <v>288.7783</v>
      </c>
      <c r="R276" s="16">
        <v>225.2317</v>
      </c>
      <c r="S276" s="16">
        <v>217.2869</v>
      </c>
      <c r="T276" s="16">
        <v>106.1587</v>
      </c>
      <c r="U276" s="16">
        <v>120.03</v>
      </c>
      <c r="V276" s="16">
        <v>24.9058</v>
      </c>
      <c r="W276" s="16">
        <v>0</v>
      </c>
      <c r="X276" s="16">
        <v>0</v>
      </c>
      <c r="Y276" s="16">
        <v>2.7248</v>
      </c>
      <c r="Z276" s="16"/>
      <c r="AA276" s="17">
        <f t="shared" si="12"/>
        <v>473.028</v>
      </c>
      <c r="AB276" s="17">
        <f t="shared" si="13"/>
        <v>0</v>
      </c>
      <c r="AC276" s="17">
        <f t="shared" si="14"/>
        <v>194.166083333333</v>
      </c>
    </row>
    <row r="277" spans="1:29">
      <c r="A277" s="8">
        <v>45567</v>
      </c>
      <c r="B277" s="16">
        <v>288.8538</v>
      </c>
      <c r="C277" s="16">
        <v>59.0583</v>
      </c>
      <c r="D277" s="16">
        <v>1.5917</v>
      </c>
      <c r="E277" s="16">
        <v>5.2568</v>
      </c>
      <c r="F277" s="16">
        <v>230.9467</v>
      </c>
      <c r="G277" s="16">
        <v>192.0628</v>
      </c>
      <c r="H277" s="16">
        <v>135.6795</v>
      </c>
      <c r="I277" s="16">
        <v>5.2035</v>
      </c>
      <c r="J277" s="16">
        <v>0</v>
      </c>
      <c r="K277" s="16">
        <v>0</v>
      </c>
      <c r="L277" s="16">
        <v>0</v>
      </c>
      <c r="M277" s="16">
        <v>193.894</v>
      </c>
      <c r="N277" s="16">
        <v>91.8556</v>
      </c>
      <c r="O277" s="16">
        <v>297.3173</v>
      </c>
      <c r="P277" s="16">
        <v>187.2868</v>
      </c>
      <c r="Q277" s="16">
        <v>3.9747</v>
      </c>
      <c r="R277" s="16">
        <v>159.9883</v>
      </c>
      <c r="S277" s="16">
        <v>3.0618</v>
      </c>
      <c r="T277" s="16">
        <v>85.9681</v>
      </c>
      <c r="U277" s="16">
        <v>54.7642</v>
      </c>
      <c r="V277" s="16">
        <v>20.8712</v>
      </c>
      <c r="W277" s="16">
        <v>0</v>
      </c>
      <c r="X277" s="16">
        <v>0</v>
      </c>
      <c r="Y277" s="16">
        <v>0</v>
      </c>
      <c r="Z277" s="16"/>
      <c r="AA277" s="17">
        <f t="shared" si="12"/>
        <v>297.3173</v>
      </c>
      <c r="AB277" s="17">
        <f t="shared" si="13"/>
        <v>0</v>
      </c>
      <c r="AC277" s="17">
        <f t="shared" si="14"/>
        <v>84.0681291666667</v>
      </c>
    </row>
    <row r="278" spans="1:29">
      <c r="A278" s="8">
        <v>45568</v>
      </c>
      <c r="B278" s="16">
        <v>40.0776</v>
      </c>
      <c r="C278" s="16">
        <v>0</v>
      </c>
      <c r="D278" s="16">
        <v>0</v>
      </c>
      <c r="E278" s="16">
        <v>0</v>
      </c>
      <c r="F278" s="16">
        <v>0</v>
      </c>
      <c r="G278" s="16">
        <v>0</v>
      </c>
      <c r="H278" s="16">
        <v>0</v>
      </c>
      <c r="I278" s="16">
        <v>23.7269</v>
      </c>
      <c r="J278" s="16">
        <v>6.9078</v>
      </c>
      <c r="K278" s="16">
        <v>-0.0032</v>
      </c>
      <c r="L278" s="16">
        <v>89.0415</v>
      </c>
      <c r="M278" s="16">
        <v>113.7329</v>
      </c>
      <c r="N278" s="16">
        <v>82.8886</v>
      </c>
      <c r="O278" s="16">
        <v>376.0937</v>
      </c>
      <c r="P278" s="16">
        <v>48.644</v>
      </c>
      <c r="Q278" s="16">
        <v>70.07</v>
      </c>
      <c r="R278" s="16">
        <v>145.5122</v>
      </c>
      <c r="S278" s="16">
        <v>741.7958</v>
      </c>
      <c r="T278" s="16">
        <v>499.2132</v>
      </c>
      <c r="U278" s="16">
        <v>394.4376</v>
      </c>
      <c r="V278" s="16">
        <v>351.0473</v>
      </c>
      <c r="W278" s="16">
        <v>351.6276</v>
      </c>
      <c r="X278" s="16">
        <v>338.6575</v>
      </c>
      <c r="Y278" s="16">
        <v>167.53</v>
      </c>
      <c r="Z278" s="16"/>
      <c r="AA278" s="17">
        <f t="shared" si="12"/>
        <v>741.7958</v>
      </c>
      <c r="AB278" s="17">
        <f t="shared" si="13"/>
        <v>-0.0032</v>
      </c>
      <c r="AC278" s="17">
        <f t="shared" si="14"/>
        <v>160.041708333333</v>
      </c>
    </row>
    <row r="279" spans="1:29">
      <c r="A279" s="8">
        <v>45569</v>
      </c>
      <c r="B279" s="16">
        <v>300</v>
      </c>
      <c r="C279" s="16">
        <v>256.75</v>
      </c>
      <c r="D279" s="16">
        <v>207.0184</v>
      </c>
      <c r="E279" s="16">
        <v>75</v>
      </c>
      <c r="F279" s="16">
        <v>0</v>
      </c>
      <c r="G279" s="16">
        <v>0</v>
      </c>
      <c r="H279" s="16">
        <v>114.6725</v>
      </c>
      <c r="I279" s="16">
        <v>268.3947</v>
      </c>
      <c r="J279" s="16">
        <v>478.8838</v>
      </c>
      <c r="K279" s="16">
        <v>330.549</v>
      </c>
      <c r="L279" s="16">
        <v>229.1235</v>
      </c>
      <c r="M279" s="16">
        <v>237.6608</v>
      </c>
      <c r="N279" s="16">
        <v>326.7707</v>
      </c>
      <c r="O279" s="16">
        <v>269.759</v>
      </c>
      <c r="P279" s="16">
        <v>210.6321</v>
      </c>
      <c r="Q279" s="16">
        <v>320.4925</v>
      </c>
      <c r="R279" s="16">
        <v>719.2677</v>
      </c>
      <c r="S279" s="16">
        <v>528.6777</v>
      </c>
      <c r="T279" s="16">
        <v>415.9636</v>
      </c>
      <c r="U279" s="16">
        <v>416.0781</v>
      </c>
      <c r="V279" s="16">
        <v>370.6965</v>
      </c>
      <c r="W279" s="16">
        <v>378.4091</v>
      </c>
      <c r="X279" s="16">
        <v>386.48</v>
      </c>
      <c r="Y279" s="16">
        <v>317.75</v>
      </c>
      <c r="Z279" s="16"/>
      <c r="AA279" s="17">
        <f t="shared" si="12"/>
        <v>719.2677</v>
      </c>
      <c r="AB279" s="17">
        <f t="shared" si="13"/>
        <v>0</v>
      </c>
      <c r="AC279" s="17">
        <f t="shared" si="14"/>
        <v>298.292904166667</v>
      </c>
    </row>
    <row r="280" spans="1:29">
      <c r="A280" s="8">
        <v>45570</v>
      </c>
      <c r="B280" s="16">
        <v>388.8772</v>
      </c>
      <c r="C280" s="16">
        <v>346.8409</v>
      </c>
      <c r="D280" s="16">
        <v>336.6798</v>
      </c>
      <c r="E280" s="16">
        <v>327.3474</v>
      </c>
      <c r="F280" s="16">
        <v>313.6348</v>
      </c>
      <c r="G280" s="16">
        <v>312.5489</v>
      </c>
      <c r="H280" s="16">
        <v>330.9563</v>
      </c>
      <c r="I280" s="16">
        <v>331.9725</v>
      </c>
      <c r="J280" s="16">
        <v>338.7899</v>
      </c>
      <c r="K280" s="16">
        <v>325.7467</v>
      </c>
      <c r="L280" s="16">
        <v>311.9499</v>
      </c>
      <c r="M280" s="16">
        <v>169.9783</v>
      </c>
      <c r="N280" s="16">
        <v>209.6232</v>
      </c>
      <c r="O280" s="16">
        <v>251.7831</v>
      </c>
      <c r="P280" s="16">
        <v>331.1219</v>
      </c>
      <c r="Q280" s="16">
        <v>365.1238</v>
      </c>
      <c r="R280" s="16">
        <v>381.1806</v>
      </c>
      <c r="S280" s="16">
        <v>393.3354</v>
      </c>
      <c r="T280" s="16">
        <v>410.9139</v>
      </c>
      <c r="U280" s="16">
        <v>439.0504</v>
      </c>
      <c r="V280" s="16">
        <v>380.8691</v>
      </c>
      <c r="W280" s="16">
        <v>386.2346</v>
      </c>
      <c r="X280" s="16">
        <v>382.1476</v>
      </c>
      <c r="Y280" s="16">
        <v>321.32</v>
      </c>
      <c r="Z280" s="16"/>
      <c r="AA280" s="17">
        <f t="shared" si="12"/>
        <v>439.0504</v>
      </c>
      <c r="AB280" s="17">
        <f t="shared" si="13"/>
        <v>169.9783</v>
      </c>
      <c r="AC280" s="17">
        <f t="shared" si="14"/>
        <v>337.001091666667</v>
      </c>
    </row>
    <row r="281" spans="1:29">
      <c r="A281" s="8">
        <v>45571</v>
      </c>
      <c r="B281" s="16">
        <v>373.5395</v>
      </c>
      <c r="C281" s="16">
        <v>389.3364</v>
      </c>
      <c r="D281" s="16">
        <v>359.9201</v>
      </c>
      <c r="E281" s="16">
        <v>336.4807</v>
      </c>
      <c r="F281" s="16">
        <v>326.7687</v>
      </c>
      <c r="G281" s="16">
        <v>327.5</v>
      </c>
      <c r="H281" s="16">
        <v>358.3969</v>
      </c>
      <c r="I281" s="16">
        <v>354.8304</v>
      </c>
      <c r="J281" s="16">
        <v>353.8048</v>
      </c>
      <c r="K281" s="16">
        <v>356.0209</v>
      </c>
      <c r="L281" s="16">
        <v>336.9439</v>
      </c>
      <c r="M281" s="16">
        <v>319.3366</v>
      </c>
      <c r="N281" s="16">
        <v>288.1319</v>
      </c>
      <c r="O281" s="16">
        <v>340.8861</v>
      </c>
      <c r="P281" s="16">
        <v>353.0185</v>
      </c>
      <c r="Q281" s="16">
        <v>368.4078</v>
      </c>
      <c r="R281" s="16">
        <v>563.2354</v>
      </c>
      <c r="S281" s="16">
        <v>405.3088</v>
      </c>
      <c r="T281" s="16">
        <v>384.7062</v>
      </c>
      <c r="U281" s="16">
        <v>373.3045</v>
      </c>
      <c r="V281" s="16">
        <v>362.7985</v>
      </c>
      <c r="W281" s="16">
        <v>408.4301</v>
      </c>
      <c r="X281" s="16">
        <v>425.5152</v>
      </c>
      <c r="Y281" s="16">
        <v>372.9706</v>
      </c>
      <c r="Z281" s="16"/>
      <c r="AA281" s="17">
        <f t="shared" si="12"/>
        <v>563.2354</v>
      </c>
      <c r="AB281" s="17">
        <f t="shared" si="13"/>
        <v>288.1319</v>
      </c>
      <c r="AC281" s="17">
        <f t="shared" si="14"/>
        <v>368.316354166667</v>
      </c>
    </row>
    <row r="282" spans="1:29">
      <c r="A282" s="8">
        <v>45572</v>
      </c>
      <c r="B282" s="16">
        <v>712.4057</v>
      </c>
      <c r="C282" s="16">
        <v>544.7293</v>
      </c>
      <c r="D282" s="16">
        <v>387.2628</v>
      </c>
      <c r="E282" s="16">
        <v>355.9026</v>
      </c>
      <c r="F282" s="16">
        <v>339.83</v>
      </c>
      <c r="G282" s="16">
        <v>336.3025</v>
      </c>
      <c r="H282" s="16">
        <v>343.8325</v>
      </c>
      <c r="I282" s="16">
        <v>346.1468</v>
      </c>
      <c r="J282" s="16">
        <v>367.716</v>
      </c>
      <c r="K282" s="16">
        <v>371.828</v>
      </c>
      <c r="L282" s="16">
        <v>333.5297</v>
      </c>
      <c r="M282" s="16">
        <v>324.8234</v>
      </c>
      <c r="N282" s="16">
        <v>293.2439</v>
      </c>
      <c r="O282" s="16">
        <v>340.9118</v>
      </c>
      <c r="P282" s="16">
        <v>363.6814</v>
      </c>
      <c r="Q282" s="16">
        <v>387.5695</v>
      </c>
      <c r="R282" s="16">
        <v>455.4137</v>
      </c>
      <c r="S282" s="16">
        <v>470.0038</v>
      </c>
      <c r="T282" s="16">
        <v>411.6203</v>
      </c>
      <c r="U282" s="16">
        <v>408.6029</v>
      </c>
      <c r="V282" s="16">
        <v>411.3589</v>
      </c>
      <c r="W282" s="16">
        <v>401.989</v>
      </c>
      <c r="X282" s="16">
        <v>393.3095</v>
      </c>
      <c r="Y282" s="16">
        <v>352.9626</v>
      </c>
      <c r="Z282" s="16"/>
      <c r="AA282" s="17">
        <f t="shared" si="12"/>
        <v>712.4057</v>
      </c>
      <c r="AB282" s="17">
        <f t="shared" si="13"/>
        <v>293.2439</v>
      </c>
      <c r="AC282" s="17">
        <f t="shared" si="14"/>
        <v>393.957358333333</v>
      </c>
    </row>
    <row r="283" spans="1:29">
      <c r="A283" s="8">
        <v>45573</v>
      </c>
      <c r="B283" s="16">
        <v>432.3301</v>
      </c>
      <c r="C283" s="16">
        <v>393.2483</v>
      </c>
      <c r="D283" s="16">
        <v>360.1882</v>
      </c>
      <c r="E283" s="16">
        <v>346.9148</v>
      </c>
      <c r="F283" s="16">
        <v>327.588</v>
      </c>
      <c r="G283" s="16">
        <v>334.3121</v>
      </c>
      <c r="H283" s="16">
        <v>352.7674</v>
      </c>
      <c r="I283" s="16">
        <v>368.7611</v>
      </c>
      <c r="J283" s="16">
        <v>377.2659</v>
      </c>
      <c r="K283" s="16">
        <v>399.603</v>
      </c>
      <c r="L283" s="16">
        <v>344.0032</v>
      </c>
      <c r="M283" s="16">
        <v>317.9079</v>
      </c>
      <c r="N283" s="16">
        <v>219.5538</v>
      </c>
      <c r="O283" s="16">
        <v>330.1749</v>
      </c>
      <c r="P283" s="16">
        <v>351.1415</v>
      </c>
      <c r="Q283" s="16">
        <v>360.8439</v>
      </c>
      <c r="R283" s="16">
        <v>378.6649</v>
      </c>
      <c r="S283" s="16">
        <v>351.7003</v>
      </c>
      <c r="T283" s="16">
        <v>351.4127</v>
      </c>
      <c r="U283" s="16">
        <v>358.6574</v>
      </c>
      <c r="V283" s="16">
        <v>342.7785</v>
      </c>
      <c r="W283" s="16">
        <v>350.9589</v>
      </c>
      <c r="X283" s="16">
        <v>343.6169</v>
      </c>
      <c r="Y283" s="16">
        <v>336.963</v>
      </c>
      <c r="Z283" s="16"/>
      <c r="AA283" s="17">
        <f t="shared" si="12"/>
        <v>432.3301</v>
      </c>
      <c r="AB283" s="17">
        <f t="shared" si="13"/>
        <v>219.5538</v>
      </c>
      <c r="AC283" s="17">
        <f t="shared" si="14"/>
        <v>351.306529166667</v>
      </c>
    </row>
    <row r="284" spans="1:29">
      <c r="A284" s="8">
        <v>45574</v>
      </c>
      <c r="B284" s="16">
        <v>437.2568</v>
      </c>
      <c r="C284" s="16">
        <v>353.5124</v>
      </c>
      <c r="D284" s="16">
        <v>346.8007</v>
      </c>
      <c r="E284" s="16">
        <v>316.5731</v>
      </c>
      <c r="F284" s="16">
        <v>285.5944</v>
      </c>
      <c r="G284" s="16">
        <v>287.7385</v>
      </c>
      <c r="H284" s="16">
        <v>312.6376</v>
      </c>
      <c r="I284" s="16">
        <v>323.1358</v>
      </c>
      <c r="J284" s="16">
        <v>336.989</v>
      </c>
      <c r="K284" s="16">
        <v>339.2154</v>
      </c>
      <c r="L284" s="16">
        <v>312.6248</v>
      </c>
      <c r="M284" s="16">
        <v>274.2966</v>
      </c>
      <c r="N284" s="16">
        <v>229.4357</v>
      </c>
      <c r="O284" s="16">
        <v>324.5619</v>
      </c>
      <c r="P284" s="16">
        <v>343.7158</v>
      </c>
      <c r="Q284" s="16">
        <v>358.9156</v>
      </c>
      <c r="R284" s="16">
        <v>359.4303</v>
      </c>
      <c r="S284" s="16">
        <v>348.2795</v>
      </c>
      <c r="T284" s="16">
        <v>353.6487</v>
      </c>
      <c r="U284" s="16">
        <v>357.9055</v>
      </c>
      <c r="V284" s="16">
        <v>355.265</v>
      </c>
      <c r="W284" s="16">
        <v>343.8583</v>
      </c>
      <c r="X284" s="16">
        <v>336.6969</v>
      </c>
      <c r="Y284" s="16">
        <v>320.2595</v>
      </c>
      <c r="Z284" s="16"/>
      <c r="AA284" s="17">
        <f t="shared" si="12"/>
        <v>437.2568</v>
      </c>
      <c r="AB284" s="17">
        <f t="shared" si="13"/>
        <v>229.4357</v>
      </c>
      <c r="AC284" s="17">
        <f t="shared" si="14"/>
        <v>331.597825</v>
      </c>
    </row>
    <row r="285" spans="1:29">
      <c r="A285" s="8">
        <v>45575</v>
      </c>
      <c r="B285" s="16">
        <v>514.1197</v>
      </c>
      <c r="C285" s="16">
        <v>396.708</v>
      </c>
      <c r="D285" s="16">
        <v>335.9707</v>
      </c>
      <c r="E285" s="16">
        <v>317.4666</v>
      </c>
      <c r="F285" s="16">
        <v>299.0738</v>
      </c>
      <c r="G285" s="16">
        <v>295.1088</v>
      </c>
      <c r="H285" s="16">
        <v>324.846</v>
      </c>
      <c r="I285" s="16">
        <v>304.3451</v>
      </c>
      <c r="J285" s="16">
        <v>326.256</v>
      </c>
      <c r="K285" s="16">
        <v>328.0119</v>
      </c>
      <c r="L285" s="16">
        <v>306.8059</v>
      </c>
      <c r="M285" s="16">
        <v>302.4406</v>
      </c>
      <c r="N285" s="16">
        <v>229.1909</v>
      </c>
      <c r="O285" s="16">
        <v>329.3541</v>
      </c>
      <c r="P285" s="16">
        <v>360.1065</v>
      </c>
      <c r="Q285" s="16">
        <v>350.6449</v>
      </c>
      <c r="R285" s="16">
        <v>361.1953</v>
      </c>
      <c r="S285" s="16">
        <v>372.1486</v>
      </c>
      <c r="T285" s="16">
        <v>374.2184</v>
      </c>
      <c r="U285" s="16">
        <v>367.5421</v>
      </c>
      <c r="V285" s="16">
        <v>355.3131</v>
      </c>
      <c r="W285" s="16">
        <v>340.2378</v>
      </c>
      <c r="X285" s="16">
        <v>337.2423</v>
      </c>
      <c r="Y285" s="16">
        <v>322.5322</v>
      </c>
      <c r="Z285" s="16"/>
      <c r="AA285" s="17">
        <f t="shared" si="12"/>
        <v>514.1197</v>
      </c>
      <c r="AB285" s="17">
        <f t="shared" si="13"/>
        <v>229.1909</v>
      </c>
      <c r="AC285" s="17">
        <f t="shared" si="14"/>
        <v>339.619970833333</v>
      </c>
    </row>
    <row r="286" spans="1:29">
      <c r="A286" s="8">
        <v>45576</v>
      </c>
      <c r="B286" s="16">
        <v>351.1233</v>
      </c>
      <c r="C286" s="16">
        <v>328.9536</v>
      </c>
      <c r="D286" s="16">
        <v>311.9054</v>
      </c>
      <c r="E286" s="16">
        <v>291.8581</v>
      </c>
      <c r="F286" s="16">
        <v>277.1882</v>
      </c>
      <c r="G286" s="16">
        <v>282.6737</v>
      </c>
      <c r="H286" s="16">
        <v>296.9416</v>
      </c>
      <c r="I286" s="16">
        <v>292.0287</v>
      </c>
      <c r="J286" s="16">
        <v>301.3964</v>
      </c>
      <c r="K286" s="16">
        <v>317.3834</v>
      </c>
      <c r="L286" s="16">
        <v>308.7869</v>
      </c>
      <c r="M286" s="16">
        <v>130.9604</v>
      </c>
      <c r="N286" s="16">
        <v>112.627</v>
      </c>
      <c r="O286" s="16">
        <v>324.0322</v>
      </c>
      <c r="P286" s="16">
        <v>341.9214</v>
      </c>
      <c r="Q286" s="16">
        <v>338.3541</v>
      </c>
      <c r="R286" s="16">
        <v>368.9659</v>
      </c>
      <c r="S286" s="16">
        <v>359.4271</v>
      </c>
      <c r="T286" s="16">
        <v>480.5038</v>
      </c>
      <c r="U286" s="16">
        <v>351.3751</v>
      </c>
      <c r="V286" s="16">
        <v>359.0733</v>
      </c>
      <c r="W286" s="16">
        <v>330.4458</v>
      </c>
      <c r="X286" s="16">
        <v>331.3975</v>
      </c>
      <c r="Y286" s="16">
        <v>308.6859</v>
      </c>
      <c r="Z286" s="16"/>
      <c r="AA286" s="17">
        <f t="shared" si="12"/>
        <v>480.5038</v>
      </c>
      <c r="AB286" s="17">
        <f t="shared" si="13"/>
        <v>112.627</v>
      </c>
      <c r="AC286" s="17">
        <f t="shared" si="14"/>
        <v>312.417033333333</v>
      </c>
    </row>
    <row r="287" spans="1:29">
      <c r="A287" s="8">
        <v>45577</v>
      </c>
      <c r="B287" s="16">
        <v>312.111</v>
      </c>
      <c r="C287" s="16">
        <v>311.9618</v>
      </c>
      <c r="D287" s="16">
        <v>301.8357</v>
      </c>
      <c r="E287" s="16">
        <v>275.2735</v>
      </c>
      <c r="F287" s="16">
        <v>264.193</v>
      </c>
      <c r="G287" s="16">
        <v>264.2251</v>
      </c>
      <c r="H287" s="16">
        <v>291.7454</v>
      </c>
      <c r="I287" s="16">
        <v>288.9325</v>
      </c>
      <c r="J287" s="16">
        <v>301.0011</v>
      </c>
      <c r="K287" s="16">
        <v>305.6829</v>
      </c>
      <c r="L287" s="16">
        <v>306.0233</v>
      </c>
      <c r="M287" s="16">
        <v>292.3712</v>
      </c>
      <c r="N287" s="16">
        <v>206.1268</v>
      </c>
      <c r="O287" s="16">
        <v>255.148</v>
      </c>
      <c r="P287" s="16">
        <v>313.4191</v>
      </c>
      <c r="Q287" s="16">
        <v>333.6615</v>
      </c>
      <c r="R287" s="16">
        <v>349.1246</v>
      </c>
      <c r="S287" s="16">
        <v>342.6103</v>
      </c>
      <c r="T287" s="16">
        <v>348.3344</v>
      </c>
      <c r="U287" s="16">
        <v>343.9347</v>
      </c>
      <c r="V287" s="16">
        <v>347.8224</v>
      </c>
      <c r="W287" s="16">
        <v>333.913</v>
      </c>
      <c r="X287" s="16">
        <v>322.854</v>
      </c>
      <c r="Y287" s="16">
        <v>316.7254</v>
      </c>
      <c r="Z287" s="16"/>
      <c r="AA287" s="17">
        <f t="shared" si="12"/>
        <v>349.1246</v>
      </c>
      <c r="AB287" s="17">
        <f t="shared" si="13"/>
        <v>206.1268</v>
      </c>
      <c r="AC287" s="17">
        <f t="shared" si="14"/>
        <v>305.376279166667</v>
      </c>
    </row>
    <row r="288" spans="1:29">
      <c r="A288" s="8">
        <v>45578</v>
      </c>
      <c r="B288" s="16">
        <v>323.0664</v>
      </c>
      <c r="C288" s="16">
        <v>331.4597</v>
      </c>
      <c r="D288" s="16">
        <v>324.6589</v>
      </c>
      <c r="E288" s="16">
        <v>308.3538</v>
      </c>
      <c r="F288" s="16">
        <v>283.1832</v>
      </c>
      <c r="G288" s="16">
        <v>277.8896</v>
      </c>
      <c r="H288" s="16">
        <v>279.5753</v>
      </c>
      <c r="I288" s="16">
        <v>263.5823</v>
      </c>
      <c r="J288" s="16">
        <v>163.7641</v>
      </c>
      <c r="K288" s="16">
        <v>19.1663</v>
      </c>
      <c r="L288" s="16">
        <v>11.3492</v>
      </c>
      <c r="M288" s="16">
        <v>53.8153</v>
      </c>
      <c r="N288" s="16">
        <v>14.8822</v>
      </c>
      <c r="O288" s="16">
        <v>147.1927</v>
      </c>
      <c r="P288" s="16">
        <v>292.8185</v>
      </c>
      <c r="Q288" s="16">
        <v>315.6214</v>
      </c>
      <c r="R288" s="16">
        <v>324.8947</v>
      </c>
      <c r="S288" s="16">
        <v>331.783</v>
      </c>
      <c r="T288" s="16">
        <v>367.8647</v>
      </c>
      <c r="U288" s="16">
        <v>328.4895</v>
      </c>
      <c r="V288" s="16">
        <v>353.2192</v>
      </c>
      <c r="W288" s="16">
        <v>374.8517</v>
      </c>
      <c r="X288" s="16">
        <v>341.4649</v>
      </c>
      <c r="Y288" s="16">
        <v>321.3686</v>
      </c>
      <c r="Z288" s="16"/>
      <c r="AA288" s="17">
        <f t="shared" si="12"/>
        <v>374.8517</v>
      </c>
      <c r="AB288" s="17">
        <f t="shared" si="13"/>
        <v>11.3492</v>
      </c>
      <c r="AC288" s="17">
        <f t="shared" si="14"/>
        <v>256.4298</v>
      </c>
    </row>
    <row r="289" spans="1:29">
      <c r="A289" s="8">
        <v>45579</v>
      </c>
      <c r="B289" s="16">
        <v>342.9542</v>
      </c>
      <c r="C289" s="16">
        <v>331.8183</v>
      </c>
      <c r="D289" s="16">
        <v>332.7839</v>
      </c>
      <c r="E289" s="16">
        <v>321.4616</v>
      </c>
      <c r="F289" s="16">
        <v>306.5243</v>
      </c>
      <c r="G289" s="16">
        <v>313.0299</v>
      </c>
      <c r="H289" s="16">
        <v>328.3431</v>
      </c>
      <c r="I289" s="16">
        <v>328.8327</v>
      </c>
      <c r="J289" s="16">
        <v>395.3277</v>
      </c>
      <c r="K289" s="16">
        <v>514.2915</v>
      </c>
      <c r="L289" s="16">
        <v>393.5517</v>
      </c>
      <c r="M289" s="16">
        <v>343.4663</v>
      </c>
      <c r="N289" s="16">
        <v>336.3247</v>
      </c>
      <c r="O289" s="16">
        <v>527.2621</v>
      </c>
      <c r="P289" s="16">
        <v>644.1582</v>
      </c>
      <c r="Q289" s="16">
        <v>635.0161</v>
      </c>
      <c r="R289" s="16">
        <v>436.4234</v>
      </c>
      <c r="S289" s="16">
        <v>372.726</v>
      </c>
      <c r="T289" s="16">
        <v>384.6212</v>
      </c>
      <c r="U289" s="16">
        <v>417.8363</v>
      </c>
      <c r="V289" s="16">
        <v>376.9958</v>
      </c>
      <c r="W289" s="16">
        <v>355.6064</v>
      </c>
      <c r="X289" s="16">
        <v>359.8712</v>
      </c>
      <c r="Y289" s="16">
        <v>333.98</v>
      </c>
      <c r="Z289" s="16"/>
      <c r="AA289" s="17">
        <f t="shared" si="12"/>
        <v>644.1582</v>
      </c>
      <c r="AB289" s="17">
        <f t="shared" si="13"/>
        <v>306.5243</v>
      </c>
      <c r="AC289" s="17">
        <f t="shared" si="14"/>
        <v>393.050275</v>
      </c>
    </row>
    <row r="290" spans="1:29">
      <c r="A290" s="8">
        <v>45580</v>
      </c>
      <c r="B290" s="16">
        <v>352.9441</v>
      </c>
      <c r="C290" s="16">
        <v>346.1742</v>
      </c>
      <c r="D290" s="16">
        <v>374.8018</v>
      </c>
      <c r="E290" s="16">
        <v>348.7918</v>
      </c>
      <c r="F290" s="16">
        <v>333.8827</v>
      </c>
      <c r="G290" s="16">
        <v>339.1248</v>
      </c>
      <c r="H290" s="16">
        <v>342.1876</v>
      </c>
      <c r="I290" s="16">
        <v>341.5776</v>
      </c>
      <c r="J290" s="16">
        <v>362.2282</v>
      </c>
      <c r="K290" s="16">
        <v>466.6219</v>
      </c>
      <c r="L290" s="16">
        <v>342.7283</v>
      </c>
      <c r="M290" s="16">
        <v>332.9707</v>
      </c>
      <c r="N290" s="16">
        <v>315.8763</v>
      </c>
      <c r="O290" s="16">
        <v>440.9373</v>
      </c>
      <c r="P290" s="16">
        <v>390.6255</v>
      </c>
      <c r="Q290" s="16">
        <v>373.9688</v>
      </c>
      <c r="R290" s="16">
        <v>363.8958</v>
      </c>
      <c r="S290" s="16">
        <v>348.0387</v>
      </c>
      <c r="T290" s="16">
        <v>352.1023</v>
      </c>
      <c r="U290" s="16">
        <v>368.3823</v>
      </c>
      <c r="V290" s="16">
        <v>365.7241</v>
      </c>
      <c r="W290" s="16">
        <v>368.2859</v>
      </c>
      <c r="X290" s="16">
        <v>371.8599</v>
      </c>
      <c r="Y290" s="16">
        <v>362.1346</v>
      </c>
      <c r="Z290" s="16"/>
      <c r="AA290" s="17">
        <f t="shared" si="12"/>
        <v>466.6219</v>
      </c>
      <c r="AB290" s="17">
        <f t="shared" si="13"/>
        <v>315.8763</v>
      </c>
      <c r="AC290" s="17">
        <f t="shared" si="14"/>
        <v>362.744383333333</v>
      </c>
    </row>
    <row r="291" spans="1:29">
      <c r="A291" s="8">
        <v>45581</v>
      </c>
      <c r="B291" s="16">
        <v>432.7498</v>
      </c>
      <c r="C291" s="16">
        <v>368.5072</v>
      </c>
      <c r="D291" s="16">
        <v>367.6381</v>
      </c>
      <c r="E291" s="16">
        <v>358.2372</v>
      </c>
      <c r="F291" s="16">
        <v>338.9392</v>
      </c>
      <c r="G291" s="16">
        <v>333.0253</v>
      </c>
      <c r="H291" s="16">
        <v>338.6383</v>
      </c>
      <c r="I291" s="16">
        <v>334.0066</v>
      </c>
      <c r="J291" s="16">
        <v>405.4702</v>
      </c>
      <c r="K291" s="16">
        <v>421.0884</v>
      </c>
      <c r="L291" s="16">
        <v>341.3874</v>
      </c>
      <c r="M291" s="16">
        <v>346.8478</v>
      </c>
      <c r="N291" s="16">
        <v>339.0261</v>
      </c>
      <c r="O291" s="16">
        <v>385.5984</v>
      </c>
      <c r="P291" s="16">
        <v>377.152</v>
      </c>
      <c r="Q291" s="16">
        <v>383.4808</v>
      </c>
      <c r="R291" s="16">
        <v>390.8131</v>
      </c>
      <c r="S291" s="16">
        <v>364.137</v>
      </c>
      <c r="T291" s="16">
        <v>372.2773</v>
      </c>
      <c r="U291" s="16">
        <v>377.4916</v>
      </c>
      <c r="V291" s="16">
        <v>361.7983</v>
      </c>
      <c r="W291" s="16">
        <v>360.3385</v>
      </c>
      <c r="X291" s="16">
        <v>356.1948</v>
      </c>
      <c r="Y291" s="16">
        <v>349.2443</v>
      </c>
      <c r="Z291" s="16"/>
      <c r="AA291" s="17">
        <f t="shared" si="12"/>
        <v>432.7498</v>
      </c>
      <c r="AB291" s="17">
        <f t="shared" si="13"/>
        <v>333.0253</v>
      </c>
      <c r="AC291" s="17">
        <f t="shared" si="14"/>
        <v>366.8369875</v>
      </c>
    </row>
    <row r="292" spans="1:29">
      <c r="A292" s="8">
        <v>45582</v>
      </c>
      <c r="B292" s="16">
        <v>555.2122</v>
      </c>
      <c r="C292" s="16">
        <v>352.677</v>
      </c>
      <c r="D292" s="16">
        <v>354.9188</v>
      </c>
      <c r="E292" s="16">
        <v>336.7975</v>
      </c>
      <c r="F292" s="16">
        <v>318.6669</v>
      </c>
      <c r="G292" s="16">
        <v>305.897</v>
      </c>
      <c r="H292" s="16">
        <v>317.4175</v>
      </c>
      <c r="I292" s="16">
        <v>317.1285</v>
      </c>
      <c r="J292" s="16">
        <v>399.7461</v>
      </c>
      <c r="K292" s="16">
        <v>400.6025</v>
      </c>
      <c r="L292" s="16">
        <v>337.4762</v>
      </c>
      <c r="M292" s="16">
        <v>339.4941</v>
      </c>
      <c r="N292" s="16">
        <v>254.105</v>
      </c>
      <c r="O292" s="16">
        <v>348.0617</v>
      </c>
      <c r="P292" s="16">
        <v>359.393</v>
      </c>
      <c r="Q292" s="16">
        <v>387.1017</v>
      </c>
      <c r="R292" s="16">
        <v>388.6235</v>
      </c>
      <c r="S292" s="16">
        <v>398.9622</v>
      </c>
      <c r="T292" s="16">
        <v>380.1962</v>
      </c>
      <c r="U292" s="16">
        <v>371.7903</v>
      </c>
      <c r="V292" s="16">
        <v>369.4584</v>
      </c>
      <c r="W292" s="16">
        <v>368.5823</v>
      </c>
      <c r="X292" s="16">
        <v>364.7655</v>
      </c>
      <c r="Y292" s="16">
        <v>348.4678</v>
      </c>
      <c r="Z292" s="16"/>
      <c r="AA292" s="17">
        <f t="shared" si="12"/>
        <v>555.2122</v>
      </c>
      <c r="AB292" s="17">
        <f t="shared" si="13"/>
        <v>254.105</v>
      </c>
      <c r="AC292" s="17">
        <f t="shared" si="14"/>
        <v>361.4809125</v>
      </c>
    </row>
    <row r="293" spans="1:29">
      <c r="A293" s="8">
        <v>45583</v>
      </c>
      <c r="B293" s="16">
        <v>407.3546</v>
      </c>
      <c r="C293" s="16">
        <v>357.6328</v>
      </c>
      <c r="D293" s="16">
        <v>344.9484</v>
      </c>
      <c r="E293" s="16">
        <v>343.4947</v>
      </c>
      <c r="F293" s="16">
        <v>326.5634</v>
      </c>
      <c r="G293" s="16">
        <v>319.6299</v>
      </c>
      <c r="H293" s="16">
        <v>330.0108</v>
      </c>
      <c r="I293" s="16">
        <v>330.8769</v>
      </c>
      <c r="J293" s="16">
        <v>355.466</v>
      </c>
      <c r="K293" s="16">
        <v>392.1747</v>
      </c>
      <c r="L293" s="16">
        <v>418.4289</v>
      </c>
      <c r="M293" s="16">
        <v>393.9895</v>
      </c>
      <c r="N293" s="16">
        <v>359.4592</v>
      </c>
      <c r="O293" s="16">
        <v>424.6267</v>
      </c>
      <c r="P293" s="16">
        <v>428.7178</v>
      </c>
      <c r="Q293" s="16">
        <v>422.0213</v>
      </c>
      <c r="R293" s="16">
        <v>423.3515</v>
      </c>
      <c r="S293" s="16">
        <v>376.0135</v>
      </c>
      <c r="T293" s="16">
        <v>394.0544</v>
      </c>
      <c r="U293" s="16">
        <v>375.2494</v>
      </c>
      <c r="V293" s="16">
        <v>371.5906</v>
      </c>
      <c r="W293" s="16">
        <v>377.2031</v>
      </c>
      <c r="X293" s="16">
        <v>364.1634</v>
      </c>
      <c r="Y293" s="16">
        <v>361.6206</v>
      </c>
      <c r="Z293" s="16"/>
      <c r="AA293" s="17">
        <f t="shared" si="12"/>
        <v>428.7178</v>
      </c>
      <c r="AB293" s="17">
        <f t="shared" si="13"/>
        <v>319.6299</v>
      </c>
      <c r="AC293" s="17">
        <f t="shared" si="14"/>
        <v>374.943420833333</v>
      </c>
    </row>
    <row r="294" spans="1:29">
      <c r="A294" s="8">
        <v>45584</v>
      </c>
      <c r="B294" s="16">
        <v>552.1344</v>
      </c>
      <c r="C294" s="16">
        <v>380.8163</v>
      </c>
      <c r="D294" s="16">
        <v>366.3434</v>
      </c>
      <c r="E294" s="16">
        <v>345.2519</v>
      </c>
      <c r="F294" s="16">
        <v>332.414</v>
      </c>
      <c r="G294" s="16">
        <v>326.4153</v>
      </c>
      <c r="H294" s="16">
        <v>331.8468</v>
      </c>
      <c r="I294" s="16">
        <v>329.5332</v>
      </c>
      <c r="J294" s="16">
        <v>352.4489</v>
      </c>
      <c r="K294" s="16">
        <v>348.8818</v>
      </c>
      <c r="L294" s="16">
        <v>332.8544</v>
      </c>
      <c r="M294" s="16">
        <v>329.1877</v>
      </c>
      <c r="N294" s="16">
        <v>291.6211</v>
      </c>
      <c r="O294" s="16">
        <v>336.4313</v>
      </c>
      <c r="P294" s="16">
        <v>375.2706</v>
      </c>
      <c r="Q294" s="16">
        <v>378.6534</v>
      </c>
      <c r="R294" s="16">
        <v>408.5082</v>
      </c>
      <c r="S294" s="16">
        <v>368.1863</v>
      </c>
      <c r="T294" s="16">
        <v>374.0378</v>
      </c>
      <c r="U294" s="16">
        <v>384.4604</v>
      </c>
      <c r="V294" s="16">
        <v>373.5189</v>
      </c>
      <c r="W294" s="16">
        <v>381.3608</v>
      </c>
      <c r="X294" s="16">
        <v>367.2506</v>
      </c>
      <c r="Y294" s="16">
        <v>389.457</v>
      </c>
      <c r="Z294" s="16"/>
      <c r="AA294" s="17">
        <f t="shared" si="12"/>
        <v>552.1344</v>
      </c>
      <c r="AB294" s="17">
        <f t="shared" si="13"/>
        <v>291.6211</v>
      </c>
      <c r="AC294" s="17">
        <f t="shared" si="14"/>
        <v>364.8701875</v>
      </c>
    </row>
    <row r="295" spans="1:29">
      <c r="A295" s="8">
        <v>45585</v>
      </c>
      <c r="B295" s="16">
        <v>811.5316</v>
      </c>
      <c r="C295" s="16">
        <v>532.4469</v>
      </c>
      <c r="D295" s="16">
        <v>475.1727</v>
      </c>
      <c r="E295" s="16">
        <v>405.9254</v>
      </c>
      <c r="F295" s="16">
        <v>311.9056</v>
      </c>
      <c r="G295" s="16">
        <v>278.8926</v>
      </c>
      <c r="H295" s="16">
        <v>272.0981</v>
      </c>
      <c r="I295" s="16">
        <v>257.4087</v>
      </c>
      <c r="J295" s="16">
        <v>169.3475</v>
      </c>
      <c r="K295" s="16">
        <v>63.9163</v>
      </c>
      <c r="L295" s="16">
        <v>11.7037</v>
      </c>
      <c r="M295" s="16">
        <v>34.4869</v>
      </c>
      <c r="N295" s="16">
        <v>33.4188</v>
      </c>
      <c r="O295" s="16">
        <v>113.6531</v>
      </c>
      <c r="P295" s="16">
        <v>258.5866</v>
      </c>
      <c r="Q295" s="16">
        <v>238.4567</v>
      </c>
      <c r="R295" s="16">
        <v>282.8732</v>
      </c>
      <c r="S295" s="16">
        <v>286.0247</v>
      </c>
      <c r="T295" s="16">
        <v>295.4214</v>
      </c>
      <c r="U295" s="16">
        <v>294.3546</v>
      </c>
      <c r="V295" s="16">
        <v>307.6717</v>
      </c>
      <c r="W295" s="16">
        <v>296.7041</v>
      </c>
      <c r="X295" s="16">
        <v>286.8541</v>
      </c>
      <c r="Y295" s="16">
        <v>247.3141</v>
      </c>
      <c r="Z295" s="16"/>
      <c r="AA295" s="17">
        <f t="shared" si="12"/>
        <v>811.5316</v>
      </c>
      <c r="AB295" s="17">
        <f t="shared" si="13"/>
        <v>11.7037</v>
      </c>
      <c r="AC295" s="17">
        <f t="shared" si="14"/>
        <v>273.590379166667</v>
      </c>
    </row>
    <row r="296" spans="1:29">
      <c r="A296" s="8">
        <v>45586</v>
      </c>
      <c r="B296" s="16">
        <v>298.3682</v>
      </c>
      <c r="C296" s="16">
        <v>268.5277</v>
      </c>
      <c r="D296" s="16">
        <v>243.117</v>
      </c>
      <c r="E296" s="16">
        <v>114.6039</v>
      </c>
      <c r="F296" s="16">
        <v>216.4092</v>
      </c>
      <c r="G296" s="16">
        <v>219.5087</v>
      </c>
      <c r="H296" s="16">
        <v>277.911</v>
      </c>
      <c r="I296" s="16">
        <v>199.1528</v>
      </c>
      <c r="J296" s="16">
        <v>300.43</v>
      </c>
      <c r="K296" s="16">
        <v>297.129</v>
      </c>
      <c r="L296" s="16">
        <v>246.5266</v>
      </c>
      <c r="M296" s="16">
        <v>231.6611</v>
      </c>
      <c r="N296" s="16">
        <v>59.3261</v>
      </c>
      <c r="O296" s="16">
        <v>240.7617</v>
      </c>
      <c r="P296" s="16">
        <v>324.2823</v>
      </c>
      <c r="Q296" s="16">
        <v>349.1941</v>
      </c>
      <c r="R296" s="16">
        <v>364.4781</v>
      </c>
      <c r="S296" s="16">
        <v>355.3792</v>
      </c>
      <c r="T296" s="16">
        <v>343.0511</v>
      </c>
      <c r="U296" s="16">
        <v>345.0977</v>
      </c>
      <c r="V296" s="16">
        <v>339.5808</v>
      </c>
      <c r="W296" s="16">
        <v>341.6964</v>
      </c>
      <c r="X296" s="16">
        <v>335.7934</v>
      </c>
      <c r="Y296" s="16">
        <v>318.6073</v>
      </c>
      <c r="Z296" s="16"/>
      <c r="AA296" s="17">
        <f t="shared" si="12"/>
        <v>364.4781</v>
      </c>
      <c r="AB296" s="17">
        <f t="shared" si="13"/>
        <v>59.3261</v>
      </c>
      <c r="AC296" s="17">
        <f t="shared" si="14"/>
        <v>276.274725</v>
      </c>
    </row>
    <row r="297" spans="1:29">
      <c r="A297" s="8">
        <v>45587</v>
      </c>
      <c r="B297" s="16">
        <v>333.4282</v>
      </c>
      <c r="C297" s="16">
        <v>335.8798</v>
      </c>
      <c r="D297" s="16">
        <v>326.7883</v>
      </c>
      <c r="E297" s="16">
        <v>324.7039</v>
      </c>
      <c r="F297" s="16">
        <v>308.293</v>
      </c>
      <c r="G297" s="16">
        <v>305.1576</v>
      </c>
      <c r="H297" s="16">
        <v>317.7712</v>
      </c>
      <c r="I297" s="16">
        <v>326.2075</v>
      </c>
      <c r="J297" s="16">
        <v>343.1563</v>
      </c>
      <c r="K297" s="16">
        <v>324.5238</v>
      </c>
      <c r="L297" s="16">
        <v>276.6655</v>
      </c>
      <c r="M297" s="16">
        <v>280.9099</v>
      </c>
      <c r="N297" s="16">
        <v>219.2683</v>
      </c>
      <c r="O297" s="16">
        <v>309.099</v>
      </c>
      <c r="P297" s="16">
        <v>338.393</v>
      </c>
      <c r="Q297" s="16">
        <v>371.8512</v>
      </c>
      <c r="R297" s="16">
        <v>461.8079</v>
      </c>
      <c r="S297" s="16">
        <v>473.1718</v>
      </c>
      <c r="T297" s="16">
        <v>353.1159</v>
      </c>
      <c r="U297" s="16">
        <v>342.3153</v>
      </c>
      <c r="V297" s="16">
        <v>331.7853</v>
      </c>
      <c r="W297" s="16">
        <v>325.3765</v>
      </c>
      <c r="X297" s="16">
        <v>299.0518</v>
      </c>
      <c r="Y297" s="16">
        <v>218.0144</v>
      </c>
      <c r="Z297" s="16"/>
      <c r="AA297" s="17">
        <f t="shared" si="12"/>
        <v>473.1718</v>
      </c>
      <c r="AB297" s="17">
        <f t="shared" si="13"/>
        <v>218.0144</v>
      </c>
      <c r="AC297" s="17">
        <f t="shared" si="14"/>
        <v>326.947308333333</v>
      </c>
    </row>
    <row r="298" spans="1:29">
      <c r="A298" s="8">
        <v>45588</v>
      </c>
      <c r="B298" s="16">
        <v>217.1326</v>
      </c>
      <c r="C298" s="16">
        <v>125.4017</v>
      </c>
      <c r="D298" s="16">
        <v>139.5097</v>
      </c>
      <c r="E298" s="16">
        <v>0</v>
      </c>
      <c r="F298" s="16">
        <v>0</v>
      </c>
      <c r="G298" s="16">
        <v>0</v>
      </c>
      <c r="H298" s="16">
        <v>63.6883</v>
      </c>
      <c r="I298" s="16">
        <v>182.8783</v>
      </c>
      <c r="J298" s="16">
        <v>152.5008</v>
      </c>
      <c r="K298" s="16">
        <v>15.3745</v>
      </c>
      <c r="L298" s="16">
        <v>119.5861</v>
      </c>
      <c r="M298" s="16">
        <v>106.5362</v>
      </c>
      <c r="N298" s="16">
        <v>0</v>
      </c>
      <c r="O298" s="16">
        <v>176.0893</v>
      </c>
      <c r="P298" s="16">
        <v>61.6722</v>
      </c>
      <c r="Q298" s="16">
        <v>31.1069</v>
      </c>
      <c r="R298" s="16">
        <v>126.7003</v>
      </c>
      <c r="S298" s="16">
        <v>258.9043</v>
      </c>
      <c r="T298" s="16">
        <v>282.5724</v>
      </c>
      <c r="U298" s="16">
        <v>277.1163</v>
      </c>
      <c r="V298" s="16">
        <v>273.5134</v>
      </c>
      <c r="W298" s="16">
        <v>194.7154</v>
      </c>
      <c r="X298" s="16">
        <v>128.8589</v>
      </c>
      <c r="Y298" s="16">
        <v>135.4875</v>
      </c>
      <c r="Z298" s="16"/>
      <c r="AA298" s="17">
        <f t="shared" si="12"/>
        <v>282.5724</v>
      </c>
      <c r="AB298" s="17">
        <f t="shared" si="13"/>
        <v>0</v>
      </c>
      <c r="AC298" s="17">
        <f t="shared" si="14"/>
        <v>127.889379166667</v>
      </c>
    </row>
    <row r="299" spans="1:29">
      <c r="A299" s="8">
        <v>45589</v>
      </c>
      <c r="B299" s="16">
        <v>146.4013</v>
      </c>
      <c r="C299" s="16">
        <v>0</v>
      </c>
      <c r="D299" s="16">
        <v>2.4654</v>
      </c>
      <c r="E299" s="16">
        <v>0.0021</v>
      </c>
      <c r="F299" s="16">
        <v>0</v>
      </c>
      <c r="G299" s="16">
        <v>0</v>
      </c>
      <c r="H299" s="16">
        <v>69.3195</v>
      </c>
      <c r="I299" s="16">
        <v>247.5191</v>
      </c>
      <c r="J299" s="16">
        <v>282.4128</v>
      </c>
      <c r="K299" s="16">
        <v>114.2379</v>
      </c>
      <c r="L299" s="16">
        <v>25.6695</v>
      </c>
      <c r="M299" s="16">
        <v>50.5887</v>
      </c>
      <c r="N299" s="16">
        <v>0</v>
      </c>
      <c r="O299" s="16">
        <v>144.2412</v>
      </c>
      <c r="P299" s="16">
        <v>141.7681</v>
      </c>
      <c r="Q299" s="16">
        <v>237.3912</v>
      </c>
      <c r="R299" s="16">
        <v>288.6401</v>
      </c>
      <c r="S299" s="16">
        <v>301.3773</v>
      </c>
      <c r="T299" s="16">
        <v>296.0601</v>
      </c>
      <c r="U299" s="16">
        <v>296.8904</v>
      </c>
      <c r="V299" s="16">
        <v>294.2042</v>
      </c>
      <c r="W299" s="16">
        <v>278.506</v>
      </c>
      <c r="X299" s="16">
        <v>193.8342</v>
      </c>
      <c r="Y299" s="16">
        <v>5.6856</v>
      </c>
      <c r="Z299" s="16"/>
      <c r="AA299" s="17">
        <f t="shared" si="12"/>
        <v>301.3773</v>
      </c>
      <c r="AB299" s="17">
        <f t="shared" si="13"/>
        <v>0</v>
      </c>
      <c r="AC299" s="17">
        <f t="shared" si="14"/>
        <v>142.383945833333</v>
      </c>
    </row>
    <row r="300" spans="1:29">
      <c r="A300" s="8">
        <v>45590</v>
      </c>
      <c r="B300" s="16">
        <v>238.7807</v>
      </c>
      <c r="C300" s="16">
        <v>153.5557</v>
      </c>
      <c r="D300" s="16">
        <v>12.1033</v>
      </c>
      <c r="E300" s="16">
        <v>5.8387</v>
      </c>
      <c r="F300" s="16">
        <v>0.2066</v>
      </c>
      <c r="G300" s="16">
        <v>0.2439</v>
      </c>
      <c r="H300" s="16">
        <v>125.6994</v>
      </c>
      <c r="I300" s="16">
        <v>50.7414</v>
      </c>
      <c r="J300" s="16">
        <v>292.7064</v>
      </c>
      <c r="K300" s="16">
        <v>166.8872</v>
      </c>
      <c r="L300" s="16">
        <v>31.4949</v>
      </c>
      <c r="M300" s="16">
        <v>141.6468</v>
      </c>
      <c r="N300" s="16">
        <v>37.5374</v>
      </c>
      <c r="O300" s="16">
        <v>88.8821</v>
      </c>
      <c r="P300" s="16">
        <v>149.2452</v>
      </c>
      <c r="Q300" s="16">
        <v>178.3601</v>
      </c>
      <c r="R300" s="16">
        <v>225.7137</v>
      </c>
      <c r="S300" s="16">
        <v>241.9586</v>
      </c>
      <c r="T300" s="16">
        <v>295.3426</v>
      </c>
      <c r="U300" s="16">
        <v>314.1924</v>
      </c>
      <c r="V300" s="16">
        <v>305.6716</v>
      </c>
      <c r="W300" s="16">
        <v>291.7924</v>
      </c>
      <c r="X300" s="16">
        <v>140.5325</v>
      </c>
      <c r="Y300" s="16">
        <v>3.1516</v>
      </c>
      <c r="Z300" s="16"/>
      <c r="AA300" s="17">
        <f t="shared" si="12"/>
        <v>314.1924</v>
      </c>
      <c r="AB300" s="17">
        <f t="shared" si="13"/>
        <v>0.2066</v>
      </c>
      <c r="AC300" s="17">
        <f t="shared" si="14"/>
        <v>145.511883333333</v>
      </c>
    </row>
    <row r="301" spans="1:29">
      <c r="A301" s="8">
        <v>45591</v>
      </c>
      <c r="B301" s="16">
        <v>338.1967</v>
      </c>
      <c r="C301" s="16">
        <v>283.0441</v>
      </c>
      <c r="D301" s="16">
        <v>269.1071</v>
      </c>
      <c r="E301" s="16">
        <v>185.5526</v>
      </c>
      <c r="F301" s="16">
        <v>5.1246</v>
      </c>
      <c r="G301" s="16">
        <v>43.1614</v>
      </c>
      <c r="H301" s="16">
        <v>108.661</v>
      </c>
      <c r="I301" s="16">
        <v>277.6203</v>
      </c>
      <c r="J301" s="16">
        <v>518.5228</v>
      </c>
      <c r="K301" s="16">
        <v>565.9381</v>
      </c>
      <c r="L301" s="16">
        <v>370.9634</v>
      </c>
      <c r="M301" s="16">
        <v>195.5138</v>
      </c>
      <c r="N301" s="16">
        <v>141.2461</v>
      </c>
      <c r="O301" s="16">
        <v>388.5149</v>
      </c>
      <c r="P301" s="16">
        <v>518.3222</v>
      </c>
      <c r="Q301" s="16">
        <v>329.9404</v>
      </c>
      <c r="R301" s="16">
        <v>409.0836</v>
      </c>
      <c r="S301" s="16">
        <v>444.115</v>
      </c>
      <c r="T301" s="16">
        <v>447.3653</v>
      </c>
      <c r="U301" s="16">
        <v>336.8869</v>
      </c>
      <c r="V301" s="16">
        <v>313.2993</v>
      </c>
      <c r="W301" s="16">
        <v>335.7117</v>
      </c>
      <c r="X301" s="16">
        <v>307.9727</v>
      </c>
      <c r="Y301" s="16">
        <v>259.9277</v>
      </c>
      <c r="Z301" s="16"/>
      <c r="AA301" s="17">
        <f t="shared" si="12"/>
        <v>565.9381</v>
      </c>
      <c r="AB301" s="17">
        <f t="shared" si="13"/>
        <v>5.1246</v>
      </c>
      <c r="AC301" s="17">
        <f t="shared" si="14"/>
        <v>308.074654166667</v>
      </c>
    </row>
    <row r="302" spans="1:29">
      <c r="A302" s="8">
        <v>45592</v>
      </c>
      <c r="B302" s="16">
        <v>490.5336</v>
      </c>
      <c r="C302" s="16">
        <v>327.1448</v>
      </c>
      <c r="D302" s="16">
        <v>310.2893</v>
      </c>
      <c r="E302" s="16">
        <v>304.6264</v>
      </c>
      <c r="F302" s="16">
        <v>289.2378</v>
      </c>
      <c r="G302" s="16">
        <v>288.8839</v>
      </c>
      <c r="H302" s="16">
        <v>288.0122</v>
      </c>
      <c r="I302" s="16">
        <v>304.5851</v>
      </c>
      <c r="J302" s="16">
        <v>270.5152</v>
      </c>
      <c r="K302" s="16">
        <v>285.1247</v>
      </c>
      <c r="L302" s="16">
        <v>223.1143</v>
      </c>
      <c r="M302" s="16">
        <v>277.6839</v>
      </c>
      <c r="N302" s="16">
        <v>215.1647</v>
      </c>
      <c r="O302" s="16">
        <v>315.2383</v>
      </c>
      <c r="P302" s="16">
        <v>328.1439</v>
      </c>
      <c r="Q302" s="16">
        <v>321.0666</v>
      </c>
      <c r="R302" s="16">
        <v>312.1793</v>
      </c>
      <c r="S302" s="16">
        <v>298.7946</v>
      </c>
      <c r="T302" s="16">
        <v>294.0373</v>
      </c>
      <c r="U302" s="16">
        <v>304.5057</v>
      </c>
      <c r="V302" s="16">
        <v>302.678</v>
      </c>
      <c r="W302" s="16">
        <v>309.521</v>
      </c>
      <c r="X302" s="16">
        <v>302.1702</v>
      </c>
      <c r="Y302" s="16">
        <v>295.3053</v>
      </c>
      <c r="Z302" s="16"/>
      <c r="AA302" s="17">
        <f t="shared" si="12"/>
        <v>490.5336</v>
      </c>
      <c r="AB302" s="17">
        <f t="shared" si="13"/>
        <v>215.1647</v>
      </c>
      <c r="AC302" s="17">
        <f t="shared" si="14"/>
        <v>302.4398375</v>
      </c>
    </row>
    <row r="303" spans="1:29">
      <c r="A303" s="8">
        <v>45593</v>
      </c>
      <c r="B303" s="16">
        <v>333.7307</v>
      </c>
      <c r="C303" s="16">
        <v>277.383</v>
      </c>
      <c r="D303" s="16">
        <v>270.5254</v>
      </c>
      <c r="E303" s="16">
        <v>235.323</v>
      </c>
      <c r="F303" s="16">
        <v>213.9428</v>
      </c>
      <c r="G303" s="16">
        <v>199.1207</v>
      </c>
      <c r="H303" s="16">
        <v>281.8198</v>
      </c>
      <c r="I303" s="16">
        <v>298.2272</v>
      </c>
      <c r="J303" s="16">
        <v>310.8623</v>
      </c>
      <c r="K303" s="16">
        <v>278.8203</v>
      </c>
      <c r="L303" s="16">
        <v>20.1755</v>
      </c>
      <c r="M303" s="16">
        <v>83.982</v>
      </c>
      <c r="N303" s="16">
        <v>2.0193</v>
      </c>
      <c r="O303" s="16">
        <v>144.0856</v>
      </c>
      <c r="P303" s="16">
        <v>288.3454</v>
      </c>
      <c r="Q303" s="16">
        <v>283.9112</v>
      </c>
      <c r="R303" s="16">
        <v>286.4368</v>
      </c>
      <c r="S303" s="16">
        <v>284.3199</v>
      </c>
      <c r="T303" s="16">
        <v>301.9357</v>
      </c>
      <c r="U303" s="16">
        <v>308.7779</v>
      </c>
      <c r="V303" s="16">
        <v>304.0303</v>
      </c>
      <c r="W303" s="16">
        <v>310.1864</v>
      </c>
      <c r="X303" s="16">
        <v>284.085</v>
      </c>
      <c r="Y303" s="16">
        <v>21.9596</v>
      </c>
      <c r="Z303" s="16"/>
      <c r="AA303" s="17">
        <f t="shared" si="12"/>
        <v>333.7307</v>
      </c>
      <c r="AB303" s="17">
        <f t="shared" si="13"/>
        <v>2.0193</v>
      </c>
      <c r="AC303" s="17">
        <f t="shared" si="14"/>
        <v>234.333575</v>
      </c>
    </row>
    <row r="304" spans="1:29">
      <c r="A304" s="8">
        <v>45594</v>
      </c>
      <c r="B304" s="16">
        <v>212.5145</v>
      </c>
      <c r="C304" s="16">
        <v>225.572</v>
      </c>
      <c r="D304" s="16">
        <v>272.2813</v>
      </c>
      <c r="E304" s="16">
        <v>254.1043</v>
      </c>
      <c r="F304" s="16">
        <v>65.3914</v>
      </c>
      <c r="G304" s="16">
        <v>188.9145</v>
      </c>
      <c r="H304" s="16">
        <v>274.6</v>
      </c>
      <c r="I304" s="16">
        <v>208.7486</v>
      </c>
      <c r="J304" s="16">
        <v>282.0681</v>
      </c>
      <c r="K304" s="16">
        <v>278.8007</v>
      </c>
      <c r="L304" s="16">
        <v>121.8747</v>
      </c>
      <c r="M304" s="16">
        <v>44.9058</v>
      </c>
      <c r="N304" s="16">
        <v>0</v>
      </c>
      <c r="O304" s="16">
        <v>183.2233</v>
      </c>
      <c r="P304" s="16">
        <v>283.3673</v>
      </c>
      <c r="Q304" s="16">
        <v>293.0659</v>
      </c>
      <c r="R304" s="16">
        <v>312.3741</v>
      </c>
      <c r="S304" s="16">
        <v>310.1605</v>
      </c>
      <c r="T304" s="16">
        <v>320.4008</v>
      </c>
      <c r="U304" s="16">
        <v>327.1516</v>
      </c>
      <c r="V304" s="16">
        <v>308.2419</v>
      </c>
      <c r="W304" s="16">
        <v>312.0749</v>
      </c>
      <c r="X304" s="16">
        <v>278.7465</v>
      </c>
      <c r="Y304" s="16">
        <v>174.5383</v>
      </c>
      <c r="Z304" s="16"/>
      <c r="AA304" s="17">
        <f t="shared" si="12"/>
        <v>327.1516</v>
      </c>
      <c r="AB304" s="17">
        <f t="shared" si="13"/>
        <v>0</v>
      </c>
      <c r="AC304" s="17">
        <f t="shared" si="14"/>
        <v>230.546708333333</v>
      </c>
    </row>
    <row r="305" spans="1:29">
      <c r="A305" s="8">
        <v>45595</v>
      </c>
      <c r="B305" s="16">
        <v>263.4643</v>
      </c>
      <c r="C305" s="16">
        <v>274.7</v>
      </c>
      <c r="D305" s="16">
        <v>244.8844</v>
      </c>
      <c r="E305" s="16">
        <v>268.2657</v>
      </c>
      <c r="F305" s="16">
        <v>268.7734</v>
      </c>
      <c r="G305" s="16">
        <v>272.3332</v>
      </c>
      <c r="H305" s="16">
        <v>290.9781</v>
      </c>
      <c r="I305" s="16">
        <v>284.6412</v>
      </c>
      <c r="J305" s="16">
        <v>287.7063</v>
      </c>
      <c r="K305" s="16">
        <v>211.8386</v>
      </c>
      <c r="L305" s="16">
        <v>0</v>
      </c>
      <c r="M305" s="16">
        <v>187.6175</v>
      </c>
      <c r="N305" s="16">
        <v>216.3414</v>
      </c>
      <c r="O305" s="16">
        <v>271.0704</v>
      </c>
      <c r="P305" s="16">
        <v>302.8208</v>
      </c>
      <c r="Q305" s="16">
        <v>325.1316</v>
      </c>
      <c r="R305" s="16">
        <v>319.9472</v>
      </c>
      <c r="S305" s="16">
        <v>328.5752</v>
      </c>
      <c r="T305" s="16">
        <v>343.9234</v>
      </c>
      <c r="U305" s="16">
        <v>354.8297</v>
      </c>
      <c r="V305" s="16">
        <v>348.2759</v>
      </c>
      <c r="W305" s="16">
        <v>341.6338</v>
      </c>
      <c r="X305" s="16">
        <v>337.7592</v>
      </c>
      <c r="Y305" s="16">
        <v>298.6761</v>
      </c>
      <c r="Z305" s="16"/>
      <c r="AA305" s="17">
        <f t="shared" si="12"/>
        <v>354.8297</v>
      </c>
      <c r="AB305" s="17">
        <f t="shared" si="13"/>
        <v>0</v>
      </c>
      <c r="AC305" s="17">
        <f t="shared" si="14"/>
        <v>276.841141666667</v>
      </c>
    </row>
    <row r="306" spans="1:29">
      <c r="A306" s="8">
        <v>45596</v>
      </c>
      <c r="B306" s="16">
        <v>322.3631</v>
      </c>
      <c r="C306" s="16">
        <v>302.6291</v>
      </c>
      <c r="D306" s="16">
        <v>289.1139</v>
      </c>
      <c r="E306" s="16">
        <v>285.2834</v>
      </c>
      <c r="F306" s="16">
        <v>274.1214</v>
      </c>
      <c r="G306" s="16">
        <v>272.3637</v>
      </c>
      <c r="H306" s="16">
        <v>296.5282</v>
      </c>
      <c r="I306" s="16">
        <v>301.2219</v>
      </c>
      <c r="J306" s="16">
        <v>293.7093</v>
      </c>
      <c r="K306" s="16">
        <v>200.56</v>
      </c>
      <c r="L306" s="16">
        <v>5.1584</v>
      </c>
      <c r="M306" s="16">
        <v>136.0226</v>
      </c>
      <c r="N306" s="16">
        <v>86.3351</v>
      </c>
      <c r="O306" s="16">
        <v>87.6965</v>
      </c>
      <c r="P306" s="16">
        <v>145.5471</v>
      </c>
      <c r="Q306" s="16">
        <v>290.4719</v>
      </c>
      <c r="R306" s="16">
        <v>327.6721</v>
      </c>
      <c r="S306" s="16">
        <v>324.6586</v>
      </c>
      <c r="T306" s="16">
        <v>328.3712</v>
      </c>
      <c r="U306" s="16">
        <v>355.4856</v>
      </c>
      <c r="V306" s="16">
        <v>313.824</v>
      </c>
      <c r="W306" s="16">
        <v>324.8617</v>
      </c>
      <c r="X306" s="16">
        <v>309.2348</v>
      </c>
      <c r="Y306" s="16">
        <v>292.9822</v>
      </c>
      <c r="Z306" s="16"/>
      <c r="AA306" s="17">
        <f t="shared" si="12"/>
        <v>355.4856</v>
      </c>
      <c r="AB306" s="17">
        <f t="shared" si="13"/>
        <v>5.1584</v>
      </c>
      <c r="AC306" s="17">
        <f t="shared" si="14"/>
        <v>256.925658333333</v>
      </c>
    </row>
    <row r="307" spans="1:29">
      <c r="A307" s="8">
        <v>45597</v>
      </c>
      <c r="B307" s="16">
        <v>334.6595</v>
      </c>
      <c r="C307" s="16">
        <v>311.7756</v>
      </c>
      <c r="D307" s="16">
        <v>301.8071</v>
      </c>
      <c r="E307" s="16">
        <v>296.4</v>
      </c>
      <c r="F307" s="16">
        <v>289.4</v>
      </c>
      <c r="G307" s="16">
        <v>297.65</v>
      </c>
      <c r="H307" s="16">
        <v>306.702</v>
      </c>
      <c r="I307" s="16">
        <v>317.1749</v>
      </c>
      <c r="J307" s="16">
        <v>331.9472</v>
      </c>
      <c r="K307" s="16">
        <v>311.1347</v>
      </c>
      <c r="L307" s="16">
        <v>314.5222</v>
      </c>
      <c r="M307" s="16">
        <v>282.6049</v>
      </c>
      <c r="N307" s="16">
        <v>211.9588</v>
      </c>
      <c r="O307" s="16">
        <v>294.9176</v>
      </c>
      <c r="P307" s="16">
        <v>317.0326</v>
      </c>
      <c r="Q307" s="16">
        <v>345.6472</v>
      </c>
      <c r="R307" s="16">
        <v>377.3698</v>
      </c>
      <c r="S307" s="16">
        <v>356.5268</v>
      </c>
      <c r="T307" s="16">
        <v>376.7655</v>
      </c>
      <c r="U307" s="16">
        <v>361.8698</v>
      </c>
      <c r="V307" s="16">
        <v>358.8968</v>
      </c>
      <c r="W307" s="16">
        <v>345.5389</v>
      </c>
      <c r="X307" s="16">
        <v>338.3747</v>
      </c>
      <c r="Y307" s="16">
        <v>319.8098</v>
      </c>
      <c r="Z307" s="16"/>
      <c r="AA307" s="17">
        <f t="shared" si="12"/>
        <v>377.3698</v>
      </c>
      <c r="AB307" s="17">
        <f t="shared" si="13"/>
        <v>211.9588</v>
      </c>
      <c r="AC307" s="17">
        <f t="shared" si="14"/>
        <v>320.8536</v>
      </c>
    </row>
    <row r="308" spans="1:29">
      <c r="A308" s="8">
        <v>45598</v>
      </c>
      <c r="B308" s="16">
        <v>365.8595</v>
      </c>
      <c r="C308" s="16">
        <v>314.7005</v>
      </c>
      <c r="D308" s="16">
        <v>304.0493</v>
      </c>
      <c r="E308" s="16">
        <v>296.1797</v>
      </c>
      <c r="F308" s="16">
        <v>288.9159</v>
      </c>
      <c r="G308" s="16">
        <v>280.9351</v>
      </c>
      <c r="H308" s="16">
        <v>287.206</v>
      </c>
      <c r="I308" s="16">
        <v>308.1953</v>
      </c>
      <c r="J308" s="16">
        <v>328.9906</v>
      </c>
      <c r="K308" s="16">
        <v>333.4477</v>
      </c>
      <c r="L308" s="16">
        <v>319.169</v>
      </c>
      <c r="M308" s="16">
        <v>293.5072</v>
      </c>
      <c r="N308" s="16">
        <v>153.5178</v>
      </c>
      <c r="O308" s="16">
        <v>294.0763</v>
      </c>
      <c r="P308" s="16">
        <v>316.8354</v>
      </c>
      <c r="Q308" s="16">
        <v>326.3152</v>
      </c>
      <c r="R308" s="16">
        <v>330.5369</v>
      </c>
      <c r="S308" s="16">
        <v>307.2128</v>
      </c>
      <c r="T308" s="16">
        <v>329.6855</v>
      </c>
      <c r="U308" s="16">
        <v>310.4924</v>
      </c>
      <c r="V308" s="16">
        <v>316.1489</v>
      </c>
      <c r="W308" s="16">
        <v>325.7259</v>
      </c>
      <c r="X308" s="16">
        <v>312.1418</v>
      </c>
      <c r="Y308" s="16">
        <v>308.8722</v>
      </c>
      <c r="Z308" s="16"/>
      <c r="AA308" s="17">
        <f t="shared" si="12"/>
        <v>365.8595</v>
      </c>
      <c r="AB308" s="17">
        <f t="shared" si="13"/>
        <v>153.5178</v>
      </c>
      <c r="AC308" s="17">
        <f t="shared" si="14"/>
        <v>306.363204166667</v>
      </c>
    </row>
    <row r="309" spans="1:29">
      <c r="A309" s="8">
        <v>45599</v>
      </c>
      <c r="B309" s="16">
        <v>343.4675</v>
      </c>
      <c r="C309" s="16">
        <v>318.6222</v>
      </c>
      <c r="D309" s="16">
        <v>298.2434</v>
      </c>
      <c r="E309" s="16">
        <v>293.2428</v>
      </c>
      <c r="F309" s="16">
        <v>295.7073</v>
      </c>
      <c r="G309" s="16">
        <v>288.695</v>
      </c>
      <c r="H309" s="16">
        <v>292.2882</v>
      </c>
      <c r="I309" s="16">
        <v>294.0751</v>
      </c>
      <c r="J309" s="16">
        <v>287.6122</v>
      </c>
      <c r="K309" s="16">
        <v>275.2461</v>
      </c>
      <c r="L309" s="16">
        <v>117.8701</v>
      </c>
      <c r="M309" s="16">
        <v>9.6688</v>
      </c>
      <c r="N309" s="16">
        <v>32.5615</v>
      </c>
      <c r="O309" s="16">
        <v>70.4353</v>
      </c>
      <c r="P309" s="16">
        <v>181.4958</v>
      </c>
      <c r="Q309" s="16">
        <v>286.0703</v>
      </c>
      <c r="R309" s="16">
        <v>313.1422</v>
      </c>
      <c r="S309" s="16">
        <v>336.4459</v>
      </c>
      <c r="T309" s="16">
        <v>339.2906</v>
      </c>
      <c r="U309" s="16">
        <v>336.9777</v>
      </c>
      <c r="V309" s="16">
        <v>372.1278</v>
      </c>
      <c r="W309" s="16">
        <v>355.5557</v>
      </c>
      <c r="X309" s="16">
        <v>332.1385</v>
      </c>
      <c r="Y309" s="16">
        <v>300.5239</v>
      </c>
      <c r="Z309" s="16"/>
      <c r="AA309" s="17">
        <f t="shared" si="12"/>
        <v>372.1278</v>
      </c>
      <c r="AB309" s="17">
        <f t="shared" si="13"/>
        <v>9.6688</v>
      </c>
      <c r="AC309" s="17">
        <f t="shared" si="14"/>
        <v>265.479329166667</v>
      </c>
    </row>
    <row r="310" spans="1:29">
      <c r="A310" s="8">
        <v>45600</v>
      </c>
      <c r="B310" s="16">
        <v>342.238</v>
      </c>
      <c r="C310" s="16">
        <v>331.2205</v>
      </c>
      <c r="D310" s="16">
        <v>311.9188</v>
      </c>
      <c r="E310" s="16">
        <v>296.6215</v>
      </c>
      <c r="F310" s="16">
        <v>291.032</v>
      </c>
      <c r="G310" s="16">
        <v>293.8901</v>
      </c>
      <c r="H310" s="16">
        <v>317.6932</v>
      </c>
      <c r="I310" s="16">
        <v>329.967</v>
      </c>
      <c r="J310" s="16">
        <v>366.9381</v>
      </c>
      <c r="K310" s="16">
        <v>412.6552</v>
      </c>
      <c r="L310" s="16">
        <v>330.2526</v>
      </c>
      <c r="M310" s="16">
        <v>338.9944</v>
      </c>
      <c r="N310" s="16">
        <v>329.4417</v>
      </c>
      <c r="O310" s="16">
        <v>360.6766</v>
      </c>
      <c r="P310" s="16">
        <v>387.494</v>
      </c>
      <c r="Q310" s="16">
        <v>420.6934</v>
      </c>
      <c r="R310" s="16">
        <v>373.3411</v>
      </c>
      <c r="S310" s="16">
        <v>428.7084</v>
      </c>
      <c r="T310" s="16">
        <v>424.2144</v>
      </c>
      <c r="U310" s="16">
        <v>426.1731</v>
      </c>
      <c r="V310" s="16">
        <v>360.29</v>
      </c>
      <c r="W310" s="16">
        <v>410.6011</v>
      </c>
      <c r="X310" s="16">
        <v>378.9979</v>
      </c>
      <c r="Y310" s="16">
        <v>365.1328</v>
      </c>
      <c r="Z310" s="16"/>
      <c r="AA310" s="17">
        <f t="shared" si="12"/>
        <v>428.7084</v>
      </c>
      <c r="AB310" s="17">
        <f t="shared" si="13"/>
        <v>291.032</v>
      </c>
      <c r="AC310" s="17">
        <f t="shared" si="14"/>
        <v>359.5494125</v>
      </c>
    </row>
    <row r="311" spans="1:29">
      <c r="A311" s="8">
        <v>45601</v>
      </c>
      <c r="B311" s="16">
        <v>345.7543</v>
      </c>
      <c r="C311" s="16">
        <v>317.1429</v>
      </c>
      <c r="D311" s="16">
        <v>309.6871</v>
      </c>
      <c r="E311" s="16">
        <v>299.7756</v>
      </c>
      <c r="F311" s="16">
        <v>298.8657</v>
      </c>
      <c r="G311" s="16">
        <v>299.3061</v>
      </c>
      <c r="H311" s="16">
        <v>311.0547</v>
      </c>
      <c r="I311" s="16">
        <v>330.5055</v>
      </c>
      <c r="J311" s="16">
        <v>364.0651</v>
      </c>
      <c r="K311" s="16">
        <v>356.3527</v>
      </c>
      <c r="L311" s="16">
        <v>321.0981</v>
      </c>
      <c r="M311" s="16">
        <v>306.8964</v>
      </c>
      <c r="N311" s="16">
        <v>289.2633</v>
      </c>
      <c r="O311" s="16">
        <v>322.733</v>
      </c>
      <c r="P311" s="16">
        <v>329.167</v>
      </c>
      <c r="Q311" s="16">
        <v>342.0429</v>
      </c>
      <c r="R311" s="16">
        <v>378.9659</v>
      </c>
      <c r="S311" s="16">
        <v>369.3344</v>
      </c>
      <c r="T311" s="16">
        <v>370.8041</v>
      </c>
      <c r="U311" s="16">
        <v>365.4213</v>
      </c>
      <c r="V311" s="16">
        <v>368.3397</v>
      </c>
      <c r="W311" s="16">
        <v>339.2328</v>
      </c>
      <c r="X311" s="16">
        <v>325.5543</v>
      </c>
      <c r="Y311" s="16">
        <v>315.397</v>
      </c>
      <c r="Z311" s="16"/>
      <c r="AA311" s="17">
        <f t="shared" si="12"/>
        <v>378.9659</v>
      </c>
      <c r="AB311" s="17">
        <f t="shared" si="13"/>
        <v>289.2633</v>
      </c>
      <c r="AC311" s="17">
        <f t="shared" si="14"/>
        <v>332.364995833333</v>
      </c>
    </row>
    <row r="312" spans="1:29">
      <c r="A312" s="8">
        <v>45602</v>
      </c>
      <c r="B312" s="16">
        <v>301.4369</v>
      </c>
      <c r="C312" s="16">
        <v>293.2661</v>
      </c>
      <c r="D312" s="16">
        <v>284.9322</v>
      </c>
      <c r="E312" s="16">
        <v>283.9905</v>
      </c>
      <c r="F312" s="16">
        <v>276.8864</v>
      </c>
      <c r="G312" s="16">
        <v>278.8874</v>
      </c>
      <c r="H312" s="16">
        <v>284.7797</v>
      </c>
      <c r="I312" s="16">
        <v>299.4611</v>
      </c>
      <c r="J312" s="16">
        <v>313.7049</v>
      </c>
      <c r="K312" s="16">
        <v>287.9204</v>
      </c>
      <c r="L312" s="16">
        <v>257.0157</v>
      </c>
      <c r="M312" s="16">
        <v>257.6299</v>
      </c>
      <c r="N312" s="16">
        <v>92.3273</v>
      </c>
      <c r="O312" s="16">
        <v>222.2858</v>
      </c>
      <c r="P312" s="16">
        <v>290.4254</v>
      </c>
      <c r="Q312" s="16">
        <v>317.9405</v>
      </c>
      <c r="R312" s="16">
        <v>351.165</v>
      </c>
      <c r="S312" s="16">
        <v>343.3995</v>
      </c>
      <c r="T312" s="16">
        <v>360.4275</v>
      </c>
      <c r="U312" s="16">
        <v>337.6991</v>
      </c>
      <c r="V312" s="16">
        <v>328.2425</v>
      </c>
      <c r="W312" s="16">
        <v>322.2307</v>
      </c>
      <c r="X312" s="16">
        <v>312.465</v>
      </c>
      <c r="Y312" s="16">
        <v>301.2658</v>
      </c>
      <c r="Z312" s="16"/>
      <c r="AA312" s="17">
        <f t="shared" si="12"/>
        <v>360.4275</v>
      </c>
      <c r="AB312" s="17">
        <f t="shared" si="13"/>
        <v>92.3273</v>
      </c>
      <c r="AC312" s="17">
        <f t="shared" si="14"/>
        <v>291.657720833333</v>
      </c>
    </row>
    <row r="313" spans="1:29">
      <c r="A313" s="8">
        <v>45603</v>
      </c>
      <c r="B313" s="16">
        <v>292.6144</v>
      </c>
      <c r="C313" s="16">
        <v>286.357</v>
      </c>
      <c r="D313" s="16">
        <v>278.3043</v>
      </c>
      <c r="E313" s="16">
        <v>275.4604</v>
      </c>
      <c r="F313" s="16">
        <v>270.8213</v>
      </c>
      <c r="G313" s="16">
        <v>264.6199</v>
      </c>
      <c r="H313" s="16">
        <v>283.8002</v>
      </c>
      <c r="I313" s="16">
        <v>299.817</v>
      </c>
      <c r="J313" s="16">
        <v>308.0008</v>
      </c>
      <c r="K313" s="16">
        <v>300.7963</v>
      </c>
      <c r="L313" s="16">
        <v>288.6059</v>
      </c>
      <c r="M313" s="16">
        <v>273.292</v>
      </c>
      <c r="N313" s="16">
        <v>91.7703</v>
      </c>
      <c r="O313" s="16">
        <v>161.8971</v>
      </c>
      <c r="P313" s="16">
        <v>291.8902</v>
      </c>
      <c r="Q313" s="16">
        <v>299.7805</v>
      </c>
      <c r="R313" s="16">
        <v>313.9824</v>
      </c>
      <c r="S313" s="16">
        <v>330.8829</v>
      </c>
      <c r="T313" s="16">
        <v>325.2594</v>
      </c>
      <c r="U313" s="16">
        <v>333.5494</v>
      </c>
      <c r="V313" s="16">
        <v>335.8033</v>
      </c>
      <c r="W313" s="16">
        <v>352.0587</v>
      </c>
      <c r="X313" s="16">
        <v>314.7893</v>
      </c>
      <c r="Y313" s="16">
        <v>314.3198</v>
      </c>
      <c r="Z313" s="16"/>
      <c r="AA313" s="17">
        <f t="shared" si="12"/>
        <v>352.0587</v>
      </c>
      <c r="AB313" s="17">
        <f t="shared" si="13"/>
        <v>91.7703</v>
      </c>
      <c r="AC313" s="17">
        <f t="shared" si="14"/>
        <v>287.0197</v>
      </c>
    </row>
    <row r="314" spans="1:29">
      <c r="A314" s="8">
        <v>45604</v>
      </c>
      <c r="B314" s="16">
        <v>342.4119</v>
      </c>
      <c r="C314" s="16">
        <v>304.2843</v>
      </c>
      <c r="D314" s="16">
        <v>294.8208</v>
      </c>
      <c r="E314" s="16">
        <v>292.0973</v>
      </c>
      <c r="F314" s="16">
        <v>294.1314</v>
      </c>
      <c r="G314" s="16">
        <v>289.3766</v>
      </c>
      <c r="H314" s="16">
        <v>298.5311</v>
      </c>
      <c r="I314" s="16">
        <v>312.752</v>
      </c>
      <c r="J314" s="16">
        <v>314.6054</v>
      </c>
      <c r="K314" s="16">
        <v>305.2729</v>
      </c>
      <c r="L314" s="16">
        <v>292.1295</v>
      </c>
      <c r="M314" s="16">
        <v>270.6877</v>
      </c>
      <c r="N314" s="16">
        <v>196.2436</v>
      </c>
      <c r="O314" s="16">
        <v>208.6038</v>
      </c>
      <c r="P314" s="16">
        <v>293.619</v>
      </c>
      <c r="Q314" s="16">
        <v>316.5445</v>
      </c>
      <c r="R314" s="16">
        <v>342.2473</v>
      </c>
      <c r="S314" s="16">
        <v>339.2694</v>
      </c>
      <c r="T314" s="16">
        <v>330.6721</v>
      </c>
      <c r="U314" s="16">
        <v>330.5821</v>
      </c>
      <c r="V314" s="16">
        <v>333.9308</v>
      </c>
      <c r="W314" s="16">
        <v>328.7711</v>
      </c>
      <c r="X314" s="16">
        <v>321.4345</v>
      </c>
      <c r="Y314" s="16">
        <v>332.1468</v>
      </c>
      <c r="Z314" s="16"/>
      <c r="AA314" s="17">
        <f t="shared" si="12"/>
        <v>342.4119</v>
      </c>
      <c r="AB314" s="17">
        <f t="shared" si="13"/>
        <v>196.2436</v>
      </c>
      <c r="AC314" s="17">
        <f t="shared" si="14"/>
        <v>303.548579166667</v>
      </c>
    </row>
    <row r="315" spans="1:29">
      <c r="A315" s="8">
        <v>45605</v>
      </c>
      <c r="B315" s="16">
        <v>351.663</v>
      </c>
      <c r="C315" s="16">
        <v>327.8441</v>
      </c>
      <c r="D315" s="16">
        <v>313.107</v>
      </c>
      <c r="E315" s="16">
        <v>301.7219</v>
      </c>
      <c r="F315" s="16">
        <v>298.8718</v>
      </c>
      <c r="G315" s="16">
        <v>295.9466</v>
      </c>
      <c r="H315" s="16">
        <v>303.0759</v>
      </c>
      <c r="I315" s="16">
        <v>323.3792</v>
      </c>
      <c r="J315" s="16">
        <v>362.7156</v>
      </c>
      <c r="K315" s="16">
        <v>328.6546</v>
      </c>
      <c r="L315" s="16">
        <v>293.7634</v>
      </c>
      <c r="M315" s="16">
        <v>238.8976</v>
      </c>
      <c r="N315" s="16">
        <v>32.5098</v>
      </c>
      <c r="O315" s="16">
        <v>139.8272</v>
      </c>
      <c r="P315" s="16">
        <v>295.2863</v>
      </c>
      <c r="Q315" s="16">
        <v>323.155</v>
      </c>
      <c r="R315" s="16">
        <v>351.1306</v>
      </c>
      <c r="S315" s="16">
        <v>349.5777</v>
      </c>
      <c r="T315" s="16">
        <v>340.7051</v>
      </c>
      <c r="U315" s="16">
        <v>324.3321</v>
      </c>
      <c r="V315" s="16">
        <v>347.8452</v>
      </c>
      <c r="W315" s="16">
        <v>362.289</v>
      </c>
      <c r="X315" s="16">
        <v>343.4687</v>
      </c>
      <c r="Y315" s="16">
        <v>351.4252</v>
      </c>
      <c r="Z315" s="16"/>
      <c r="AA315" s="17">
        <f t="shared" si="12"/>
        <v>362.7156</v>
      </c>
      <c r="AB315" s="17">
        <f t="shared" si="13"/>
        <v>32.5098</v>
      </c>
      <c r="AC315" s="17">
        <f t="shared" si="14"/>
        <v>304.216358333333</v>
      </c>
    </row>
    <row r="316" spans="1:29">
      <c r="A316" s="8">
        <v>45606</v>
      </c>
      <c r="B316" s="16">
        <v>334.4035</v>
      </c>
      <c r="C316" s="16">
        <v>309.6174</v>
      </c>
      <c r="D316" s="16">
        <v>298.4729</v>
      </c>
      <c r="E316" s="16">
        <v>295.005</v>
      </c>
      <c r="F316" s="16">
        <v>288.35</v>
      </c>
      <c r="G316" s="16">
        <v>284.3</v>
      </c>
      <c r="H316" s="16">
        <v>285.4873</v>
      </c>
      <c r="I316" s="16">
        <v>292.7937</v>
      </c>
      <c r="J316" s="16">
        <v>298.88</v>
      </c>
      <c r="K316" s="16">
        <v>298.0646</v>
      </c>
      <c r="L316" s="16">
        <v>284.4555</v>
      </c>
      <c r="M316" s="16">
        <v>183.4996</v>
      </c>
      <c r="N316" s="16">
        <v>19.9684</v>
      </c>
      <c r="O316" s="16">
        <v>102.1323</v>
      </c>
      <c r="P316" s="16">
        <v>122.3468</v>
      </c>
      <c r="Q316" s="16">
        <v>137.2</v>
      </c>
      <c r="R316" s="16">
        <v>286.4015</v>
      </c>
      <c r="S316" s="16">
        <v>314.7681</v>
      </c>
      <c r="T316" s="16">
        <v>328.3214</v>
      </c>
      <c r="U316" s="16">
        <v>323.5827</v>
      </c>
      <c r="V316" s="16">
        <v>328.5149</v>
      </c>
      <c r="W316" s="16">
        <v>323.3133</v>
      </c>
      <c r="X316" s="16">
        <v>312.8791</v>
      </c>
      <c r="Y316" s="16">
        <v>295.8073</v>
      </c>
      <c r="Z316" s="16"/>
      <c r="AA316" s="17">
        <f t="shared" si="12"/>
        <v>334.4035</v>
      </c>
      <c r="AB316" s="17">
        <f t="shared" si="13"/>
        <v>19.9684</v>
      </c>
      <c r="AC316" s="17">
        <f t="shared" si="14"/>
        <v>264.523554166667</v>
      </c>
    </row>
    <row r="317" spans="1:29">
      <c r="A317" s="8">
        <v>45607</v>
      </c>
      <c r="B317" s="16">
        <v>331.837</v>
      </c>
      <c r="C317" s="16">
        <v>309.1398</v>
      </c>
      <c r="D317" s="16">
        <v>301.5293</v>
      </c>
      <c r="E317" s="16">
        <v>282.5835</v>
      </c>
      <c r="F317" s="16">
        <v>277.7116</v>
      </c>
      <c r="G317" s="16">
        <v>285.1487</v>
      </c>
      <c r="H317" s="16">
        <v>303.3727</v>
      </c>
      <c r="I317" s="16">
        <v>344.9778</v>
      </c>
      <c r="J317" s="16">
        <v>333.6924</v>
      </c>
      <c r="K317" s="16">
        <v>317.2588</v>
      </c>
      <c r="L317" s="16">
        <v>283.5851</v>
      </c>
      <c r="M317" s="16">
        <v>267.3282</v>
      </c>
      <c r="N317" s="16">
        <v>119.6271</v>
      </c>
      <c r="O317" s="16">
        <v>266.4921</v>
      </c>
      <c r="P317" s="16">
        <v>303.418</v>
      </c>
      <c r="Q317" s="16">
        <v>313.2845</v>
      </c>
      <c r="R317" s="16">
        <v>327.9899</v>
      </c>
      <c r="S317" s="16">
        <v>345.4002</v>
      </c>
      <c r="T317" s="16">
        <v>339.209</v>
      </c>
      <c r="U317" s="16">
        <v>346.5826</v>
      </c>
      <c r="V317" s="16">
        <v>349.5422</v>
      </c>
      <c r="W317" s="16">
        <v>369.5781</v>
      </c>
      <c r="X317" s="16">
        <v>348.8679</v>
      </c>
      <c r="Y317" s="16">
        <v>338.0625</v>
      </c>
      <c r="Z317" s="16"/>
      <c r="AA317" s="17">
        <f t="shared" si="12"/>
        <v>369.5781</v>
      </c>
      <c r="AB317" s="17">
        <f t="shared" si="13"/>
        <v>119.6271</v>
      </c>
      <c r="AC317" s="17">
        <f t="shared" si="14"/>
        <v>308.592458333333</v>
      </c>
    </row>
    <row r="318" spans="1:29">
      <c r="A318" s="8">
        <v>45608</v>
      </c>
      <c r="B318" s="16">
        <v>350.0284</v>
      </c>
      <c r="C318" s="16">
        <v>349.1812</v>
      </c>
      <c r="D318" s="16">
        <v>343.6063</v>
      </c>
      <c r="E318" s="16">
        <v>326.2853</v>
      </c>
      <c r="F318" s="16">
        <v>306.2257</v>
      </c>
      <c r="G318" s="16">
        <v>311.3836</v>
      </c>
      <c r="H318" s="16">
        <v>345.6206</v>
      </c>
      <c r="I318" s="16">
        <v>346.4827</v>
      </c>
      <c r="J318" s="16">
        <v>363.0942</v>
      </c>
      <c r="K318" s="16">
        <v>344.1683</v>
      </c>
      <c r="L318" s="16">
        <v>298.4845</v>
      </c>
      <c r="M318" s="16">
        <v>224.8822</v>
      </c>
      <c r="N318" s="16">
        <v>149.9145</v>
      </c>
      <c r="O318" s="16">
        <v>243.3392</v>
      </c>
      <c r="P318" s="16">
        <v>312.25</v>
      </c>
      <c r="Q318" s="16">
        <v>359.2139</v>
      </c>
      <c r="R318" s="16">
        <v>462.8674</v>
      </c>
      <c r="S318" s="16">
        <v>429.6504</v>
      </c>
      <c r="T318" s="16">
        <v>392.1294</v>
      </c>
      <c r="U318" s="16">
        <v>425.5045</v>
      </c>
      <c r="V318" s="16">
        <v>421.2866</v>
      </c>
      <c r="W318" s="16">
        <v>412.9438</v>
      </c>
      <c r="X318" s="16">
        <v>371.113</v>
      </c>
      <c r="Y318" s="16">
        <v>370.8307</v>
      </c>
      <c r="Z318" s="16"/>
      <c r="AA318" s="17">
        <f t="shared" si="12"/>
        <v>462.8674</v>
      </c>
      <c r="AB318" s="17">
        <f t="shared" si="13"/>
        <v>149.9145</v>
      </c>
      <c r="AC318" s="17">
        <f t="shared" si="14"/>
        <v>344.186933333333</v>
      </c>
    </row>
    <row r="319" spans="1:29">
      <c r="A319" s="8">
        <v>45609</v>
      </c>
      <c r="B319" s="16">
        <v>377.8041</v>
      </c>
      <c r="C319" s="16">
        <v>353.3928</v>
      </c>
      <c r="D319" s="16">
        <v>346.6641</v>
      </c>
      <c r="E319" s="16">
        <v>342.1992</v>
      </c>
      <c r="F319" s="16">
        <v>322.4843</v>
      </c>
      <c r="G319" s="16">
        <v>325.76</v>
      </c>
      <c r="H319" s="16">
        <v>352.6004</v>
      </c>
      <c r="I319" s="16">
        <v>372.8605</v>
      </c>
      <c r="J319" s="16">
        <v>402.0358</v>
      </c>
      <c r="K319" s="16">
        <v>359.182</v>
      </c>
      <c r="L319" s="16">
        <v>310.3714</v>
      </c>
      <c r="M319" s="16">
        <v>287.2205</v>
      </c>
      <c r="N319" s="16">
        <v>180.4553</v>
      </c>
      <c r="O319" s="16">
        <v>270.354</v>
      </c>
      <c r="P319" s="16">
        <v>318.3948</v>
      </c>
      <c r="Q319" s="16">
        <v>340.0466</v>
      </c>
      <c r="R319" s="16">
        <v>364.6062</v>
      </c>
      <c r="S319" s="16">
        <v>339.8654</v>
      </c>
      <c r="T319" s="16">
        <v>332.7237</v>
      </c>
      <c r="U319" s="16">
        <v>339.2786</v>
      </c>
      <c r="V319" s="16">
        <v>347.7029</v>
      </c>
      <c r="W319" s="16">
        <v>354.571</v>
      </c>
      <c r="X319" s="16">
        <v>338.4163</v>
      </c>
      <c r="Y319" s="16">
        <v>312.0902</v>
      </c>
      <c r="Z319" s="16"/>
      <c r="AA319" s="17">
        <f t="shared" si="12"/>
        <v>402.0358</v>
      </c>
      <c r="AB319" s="17">
        <f t="shared" si="13"/>
        <v>180.4553</v>
      </c>
      <c r="AC319" s="17">
        <f t="shared" si="14"/>
        <v>332.961670833333</v>
      </c>
    </row>
    <row r="320" spans="1:29">
      <c r="A320" s="8">
        <v>45610</v>
      </c>
      <c r="B320" s="16">
        <v>334.1379</v>
      </c>
      <c r="C320" s="16">
        <v>325.1938</v>
      </c>
      <c r="D320" s="16">
        <v>315.7037</v>
      </c>
      <c r="E320" s="16">
        <v>309.5365</v>
      </c>
      <c r="F320" s="16">
        <v>302.63</v>
      </c>
      <c r="G320" s="16">
        <v>306.4211</v>
      </c>
      <c r="H320" s="16">
        <v>340.2036</v>
      </c>
      <c r="I320" s="16">
        <v>356.3089</v>
      </c>
      <c r="J320" s="16">
        <v>368.6778</v>
      </c>
      <c r="K320" s="16">
        <v>436.1268</v>
      </c>
      <c r="L320" s="16">
        <v>348.7119</v>
      </c>
      <c r="M320" s="16">
        <v>313.979</v>
      </c>
      <c r="N320" s="16">
        <v>257.3273</v>
      </c>
      <c r="O320" s="16">
        <v>323.5324</v>
      </c>
      <c r="P320" s="16">
        <v>342.224</v>
      </c>
      <c r="Q320" s="16">
        <v>369.4042</v>
      </c>
      <c r="R320" s="16">
        <v>384.3391</v>
      </c>
      <c r="S320" s="16">
        <v>409.0858</v>
      </c>
      <c r="T320" s="16">
        <v>368.885</v>
      </c>
      <c r="U320" s="16">
        <v>368.1373</v>
      </c>
      <c r="V320" s="16">
        <v>384.9567</v>
      </c>
      <c r="W320" s="16">
        <v>373.0063</v>
      </c>
      <c r="X320" s="16">
        <v>361.0314</v>
      </c>
      <c r="Y320" s="16">
        <v>343.6182</v>
      </c>
      <c r="Z320" s="16"/>
      <c r="AA320" s="17">
        <f t="shared" si="12"/>
        <v>436.1268</v>
      </c>
      <c r="AB320" s="17">
        <f t="shared" si="13"/>
        <v>257.3273</v>
      </c>
      <c r="AC320" s="17">
        <f t="shared" si="14"/>
        <v>347.632445833333</v>
      </c>
    </row>
    <row r="321" spans="1:29">
      <c r="A321" s="8">
        <v>45611</v>
      </c>
      <c r="B321" s="16">
        <v>366.3212</v>
      </c>
      <c r="C321" s="16">
        <v>342.3039</v>
      </c>
      <c r="D321" s="16">
        <v>332.0122</v>
      </c>
      <c r="E321" s="16">
        <v>324.6302</v>
      </c>
      <c r="F321" s="16">
        <v>317.0875</v>
      </c>
      <c r="G321" s="16">
        <v>321.5881</v>
      </c>
      <c r="H321" s="16">
        <v>343.3921</v>
      </c>
      <c r="I321" s="16">
        <v>373.668</v>
      </c>
      <c r="J321" s="16">
        <v>380.0663</v>
      </c>
      <c r="K321" s="16">
        <v>391.6305</v>
      </c>
      <c r="L321" s="16">
        <v>377.2185</v>
      </c>
      <c r="M321" s="16">
        <v>347.3445</v>
      </c>
      <c r="N321" s="16">
        <v>287.9878</v>
      </c>
      <c r="O321" s="16">
        <v>324.4099</v>
      </c>
      <c r="P321" s="16">
        <v>343.8955</v>
      </c>
      <c r="Q321" s="16">
        <v>355.8789</v>
      </c>
      <c r="R321" s="16">
        <v>373.706</v>
      </c>
      <c r="S321" s="16">
        <v>395.3158</v>
      </c>
      <c r="T321" s="16">
        <v>368.5769</v>
      </c>
      <c r="U321" s="16">
        <v>365.0763</v>
      </c>
      <c r="V321" s="16">
        <v>373.8193</v>
      </c>
      <c r="W321" s="16">
        <v>380.0069</v>
      </c>
      <c r="X321" s="16">
        <v>368.7363</v>
      </c>
      <c r="Y321" s="16">
        <v>361.5289</v>
      </c>
      <c r="Z321" s="16"/>
      <c r="AA321" s="17">
        <f t="shared" si="12"/>
        <v>395.3158</v>
      </c>
      <c r="AB321" s="17">
        <f t="shared" si="13"/>
        <v>287.9878</v>
      </c>
      <c r="AC321" s="17">
        <f t="shared" si="14"/>
        <v>354.841729166667</v>
      </c>
    </row>
    <row r="322" spans="1:29">
      <c r="A322" s="8">
        <v>45612</v>
      </c>
      <c r="B322" s="16">
        <v>385.2344</v>
      </c>
      <c r="C322" s="16">
        <v>375.3587</v>
      </c>
      <c r="D322" s="16">
        <v>358.1626</v>
      </c>
      <c r="E322" s="16">
        <v>348.8614</v>
      </c>
      <c r="F322" s="16">
        <v>343.3572</v>
      </c>
      <c r="G322" s="16">
        <v>338.6922</v>
      </c>
      <c r="H322" s="16">
        <v>353.5524</v>
      </c>
      <c r="I322" s="16">
        <v>396.5429</v>
      </c>
      <c r="J322" s="16">
        <v>378.3941</v>
      </c>
      <c r="K322" s="16">
        <v>353.3832</v>
      </c>
      <c r="L322" s="16">
        <v>353.8182</v>
      </c>
      <c r="M322" s="16">
        <v>346.1083</v>
      </c>
      <c r="N322" s="16">
        <v>294.9445</v>
      </c>
      <c r="O322" s="16">
        <v>325.2824</v>
      </c>
      <c r="P322" s="16">
        <v>333.7365</v>
      </c>
      <c r="Q322" s="16">
        <v>343.8599</v>
      </c>
      <c r="R322" s="16">
        <v>343.03</v>
      </c>
      <c r="S322" s="16">
        <v>352.3559</v>
      </c>
      <c r="T322" s="16">
        <v>357.6364</v>
      </c>
      <c r="U322" s="16">
        <v>333.8047</v>
      </c>
      <c r="V322" s="16">
        <v>341.449</v>
      </c>
      <c r="W322" s="16">
        <v>348.4415</v>
      </c>
      <c r="X322" s="16">
        <v>353.6169</v>
      </c>
      <c r="Y322" s="16">
        <v>346.356</v>
      </c>
      <c r="Z322" s="16"/>
      <c r="AA322" s="17">
        <f t="shared" ref="AA322:AA368" si="15">MAX($B322:$Y322)</f>
        <v>396.5429</v>
      </c>
      <c r="AB322" s="17">
        <f t="shared" ref="AB322:AB368" si="16">MIN($B322:$Y322)</f>
        <v>294.9445</v>
      </c>
      <c r="AC322" s="17">
        <f t="shared" ref="AC322:AC368" si="17">AVERAGE($B322:$Y322)</f>
        <v>350.2491375</v>
      </c>
    </row>
    <row r="323" spans="1:29">
      <c r="A323" s="8">
        <v>45613</v>
      </c>
      <c r="B323" s="16">
        <v>347.9762</v>
      </c>
      <c r="C323" s="16">
        <v>331.1895</v>
      </c>
      <c r="D323" s="16">
        <v>328.6284</v>
      </c>
      <c r="E323" s="16">
        <v>321.8925</v>
      </c>
      <c r="F323" s="16">
        <v>322.2092</v>
      </c>
      <c r="G323" s="16">
        <v>325.4443</v>
      </c>
      <c r="H323" s="16">
        <v>322.1078</v>
      </c>
      <c r="I323" s="16">
        <v>328.6895</v>
      </c>
      <c r="J323" s="16">
        <v>332.46</v>
      </c>
      <c r="K323" s="16">
        <v>308.5011</v>
      </c>
      <c r="L323" s="16">
        <v>229.6881</v>
      </c>
      <c r="M323" s="16">
        <v>234.6236</v>
      </c>
      <c r="N323" s="16">
        <v>54.3831</v>
      </c>
      <c r="O323" s="16">
        <v>155.3474</v>
      </c>
      <c r="P323" s="16">
        <v>237.9771</v>
      </c>
      <c r="Q323" s="16">
        <v>285.1908</v>
      </c>
      <c r="R323" s="16">
        <v>308.7634</v>
      </c>
      <c r="S323" s="16">
        <v>311.0909</v>
      </c>
      <c r="T323" s="16">
        <v>311.0547</v>
      </c>
      <c r="U323" s="16">
        <v>309.0561</v>
      </c>
      <c r="V323" s="16">
        <v>319.8653</v>
      </c>
      <c r="W323" s="16">
        <v>330.9827</v>
      </c>
      <c r="X323" s="16">
        <v>326.9645</v>
      </c>
      <c r="Y323" s="16">
        <v>310.5169</v>
      </c>
      <c r="Z323" s="16"/>
      <c r="AA323" s="17">
        <f t="shared" si="15"/>
        <v>347.9762</v>
      </c>
      <c r="AB323" s="17">
        <f t="shared" si="16"/>
        <v>54.3831</v>
      </c>
      <c r="AC323" s="17">
        <f t="shared" si="17"/>
        <v>291.441795833333</v>
      </c>
    </row>
    <row r="324" spans="1:29">
      <c r="A324" s="8">
        <v>45614</v>
      </c>
      <c r="B324" s="16">
        <v>288.7701</v>
      </c>
      <c r="C324" s="16">
        <v>278.3417</v>
      </c>
      <c r="D324" s="16">
        <v>244.1227</v>
      </c>
      <c r="E324" s="16">
        <v>226.2541</v>
      </c>
      <c r="F324" s="16">
        <v>240.5762</v>
      </c>
      <c r="G324" s="16">
        <v>167.9998</v>
      </c>
      <c r="H324" s="16">
        <v>250.2803</v>
      </c>
      <c r="I324" s="16">
        <v>294.7641</v>
      </c>
      <c r="J324" s="16">
        <v>314.1187</v>
      </c>
      <c r="K324" s="16">
        <v>312.4349</v>
      </c>
      <c r="L324" s="16">
        <v>246.7501</v>
      </c>
      <c r="M324" s="16">
        <v>262.2021</v>
      </c>
      <c r="N324" s="16">
        <v>122.6677</v>
      </c>
      <c r="O324" s="16">
        <v>174.9141</v>
      </c>
      <c r="P324" s="16">
        <v>243.5318</v>
      </c>
      <c r="Q324" s="16">
        <v>304.4564</v>
      </c>
      <c r="R324" s="16">
        <v>329.6026</v>
      </c>
      <c r="S324" s="16">
        <v>320.0119</v>
      </c>
      <c r="T324" s="16">
        <v>313.0358</v>
      </c>
      <c r="U324" s="16">
        <v>326.2923</v>
      </c>
      <c r="V324" s="16">
        <v>314.0976</v>
      </c>
      <c r="W324" s="16">
        <v>298.7716</v>
      </c>
      <c r="X324" s="16">
        <v>282.1176</v>
      </c>
      <c r="Y324" s="16">
        <v>276.793</v>
      </c>
      <c r="Z324" s="16"/>
      <c r="AA324" s="17">
        <f t="shared" si="15"/>
        <v>329.6026</v>
      </c>
      <c r="AB324" s="17">
        <f t="shared" si="16"/>
        <v>122.6677</v>
      </c>
      <c r="AC324" s="17">
        <f t="shared" si="17"/>
        <v>268.0378</v>
      </c>
    </row>
    <row r="325" spans="1:29">
      <c r="A325" s="8">
        <v>45615</v>
      </c>
      <c r="B325" s="16">
        <v>277.5941</v>
      </c>
      <c r="C325" s="16">
        <v>266.9844</v>
      </c>
      <c r="D325" s="16">
        <v>243.32</v>
      </c>
      <c r="E325" s="16">
        <v>77.5338</v>
      </c>
      <c r="F325" s="16">
        <v>31.559</v>
      </c>
      <c r="G325" s="16">
        <v>6.2673</v>
      </c>
      <c r="H325" s="16">
        <v>250.3314</v>
      </c>
      <c r="I325" s="16">
        <v>291.6275</v>
      </c>
      <c r="J325" s="16">
        <v>309.5476</v>
      </c>
      <c r="K325" s="16">
        <v>312.1128</v>
      </c>
      <c r="L325" s="16">
        <v>296.2234</v>
      </c>
      <c r="M325" s="16">
        <v>265.5694</v>
      </c>
      <c r="N325" s="16">
        <v>166.6526</v>
      </c>
      <c r="O325" s="16">
        <v>244.4762</v>
      </c>
      <c r="P325" s="16">
        <v>263.8871</v>
      </c>
      <c r="Q325" s="16">
        <v>269.0123</v>
      </c>
      <c r="R325" s="16">
        <v>298.7607</v>
      </c>
      <c r="S325" s="16">
        <v>304.8539</v>
      </c>
      <c r="T325" s="16">
        <v>314.5989</v>
      </c>
      <c r="U325" s="16">
        <v>310.2099</v>
      </c>
      <c r="V325" s="16">
        <v>317.5119</v>
      </c>
      <c r="W325" s="16">
        <v>302.4859</v>
      </c>
      <c r="X325" s="16">
        <v>291.7049</v>
      </c>
      <c r="Y325" s="16">
        <v>272.0589</v>
      </c>
      <c r="Z325" s="16"/>
      <c r="AA325" s="17">
        <f t="shared" si="15"/>
        <v>317.5119</v>
      </c>
      <c r="AB325" s="17">
        <f t="shared" si="16"/>
        <v>6.2673</v>
      </c>
      <c r="AC325" s="17">
        <f t="shared" si="17"/>
        <v>249.3701625</v>
      </c>
    </row>
    <row r="326" spans="1:29">
      <c r="A326" s="8">
        <v>45616</v>
      </c>
      <c r="B326" s="16">
        <v>208.6406</v>
      </c>
      <c r="C326" s="16">
        <v>262.4396</v>
      </c>
      <c r="D326" s="16">
        <v>264.9794</v>
      </c>
      <c r="E326" s="16">
        <v>253.4537</v>
      </c>
      <c r="F326" s="16">
        <v>240.7697</v>
      </c>
      <c r="G326" s="16">
        <v>230.5093</v>
      </c>
      <c r="H326" s="16">
        <v>252.0018</v>
      </c>
      <c r="I326" s="16">
        <v>277.7154</v>
      </c>
      <c r="J326" s="16">
        <v>318.7351</v>
      </c>
      <c r="K326" s="16">
        <v>304.5721</v>
      </c>
      <c r="L326" s="16">
        <v>283.9601</v>
      </c>
      <c r="M326" s="16">
        <v>280.0519</v>
      </c>
      <c r="N326" s="16">
        <v>236.009</v>
      </c>
      <c r="O326" s="16">
        <v>272.0039</v>
      </c>
      <c r="P326" s="16">
        <v>252.167</v>
      </c>
      <c r="Q326" s="16">
        <v>278.4442</v>
      </c>
      <c r="R326" s="16">
        <v>305.6284</v>
      </c>
      <c r="S326" s="16">
        <v>312.4974</v>
      </c>
      <c r="T326" s="16">
        <v>313.0792</v>
      </c>
      <c r="U326" s="16">
        <v>320.8247</v>
      </c>
      <c r="V326" s="16">
        <v>310.0882</v>
      </c>
      <c r="W326" s="16">
        <v>300.9644</v>
      </c>
      <c r="X326" s="16">
        <v>291.098</v>
      </c>
      <c r="Y326" s="16">
        <v>265.5916</v>
      </c>
      <c r="Z326" s="16"/>
      <c r="AA326" s="17">
        <f t="shared" si="15"/>
        <v>320.8247</v>
      </c>
      <c r="AB326" s="17">
        <f t="shared" si="16"/>
        <v>208.6406</v>
      </c>
      <c r="AC326" s="17">
        <f t="shared" si="17"/>
        <v>276.5093625</v>
      </c>
    </row>
    <row r="327" spans="1:29">
      <c r="A327" s="8">
        <v>45617</v>
      </c>
      <c r="B327" s="16">
        <v>294.4351</v>
      </c>
      <c r="C327" s="16">
        <v>263.0185</v>
      </c>
      <c r="D327" s="16">
        <v>270.1391</v>
      </c>
      <c r="E327" s="16">
        <v>259.8205</v>
      </c>
      <c r="F327" s="16">
        <v>171.4796</v>
      </c>
      <c r="G327" s="16">
        <v>171.2865</v>
      </c>
      <c r="H327" s="16">
        <v>252.9343</v>
      </c>
      <c r="I327" s="16">
        <v>332.8211</v>
      </c>
      <c r="J327" s="16">
        <v>321.2238</v>
      </c>
      <c r="K327" s="16">
        <v>302.1602</v>
      </c>
      <c r="L327" s="16">
        <v>273.1277</v>
      </c>
      <c r="M327" s="16">
        <v>245.0876</v>
      </c>
      <c r="N327" s="16">
        <v>87.1132</v>
      </c>
      <c r="O327" s="16">
        <v>211.2461</v>
      </c>
      <c r="P327" s="16">
        <v>289.7815</v>
      </c>
      <c r="Q327" s="16">
        <v>313.1821</v>
      </c>
      <c r="R327" s="16">
        <v>311.7102</v>
      </c>
      <c r="S327" s="16">
        <v>317.5396</v>
      </c>
      <c r="T327" s="16">
        <v>324.0744</v>
      </c>
      <c r="U327" s="16">
        <v>315.8594</v>
      </c>
      <c r="V327" s="16">
        <v>317.8097</v>
      </c>
      <c r="W327" s="16">
        <v>337.2558</v>
      </c>
      <c r="X327" s="16">
        <v>316.1191</v>
      </c>
      <c r="Y327" s="16">
        <v>288.2184</v>
      </c>
      <c r="Z327" s="16"/>
      <c r="AA327" s="17">
        <f t="shared" si="15"/>
        <v>337.2558</v>
      </c>
      <c r="AB327" s="17">
        <f t="shared" si="16"/>
        <v>87.1132</v>
      </c>
      <c r="AC327" s="17">
        <f t="shared" si="17"/>
        <v>274.4768125</v>
      </c>
    </row>
    <row r="328" spans="1:29">
      <c r="A328" s="8">
        <v>45618</v>
      </c>
      <c r="B328" s="16">
        <v>296.2701</v>
      </c>
      <c r="C328" s="16">
        <v>281.3395</v>
      </c>
      <c r="D328" s="16">
        <v>276.6032</v>
      </c>
      <c r="E328" s="16">
        <v>238.0055</v>
      </c>
      <c r="F328" s="16">
        <v>253.5332</v>
      </c>
      <c r="G328" s="16">
        <v>237.8645</v>
      </c>
      <c r="H328" s="16">
        <v>276.1549</v>
      </c>
      <c r="I328" s="16">
        <v>304.4513</v>
      </c>
      <c r="J328" s="16">
        <v>311.5298</v>
      </c>
      <c r="K328" s="16">
        <v>317.9687</v>
      </c>
      <c r="L328" s="16">
        <v>385.1555</v>
      </c>
      <c r="M328" s="16">
        <v>307.4163</v>
      </c>
      <c r="N328" s="16">
        <v>216.0246</v>
      </c>
      <c r="O328" s="16">
        <v>277.6373</v>
      </c>
      <c r="P328" s="16">
        <v>293.3588</v>
      </c>
      <c r="Q328" s="16">
        <v>317.8532</v>
      </c>
      <c r="R328" s="16">
        <v>314.7806</v>
      </c>
      <c r="S328" s="16">
        <v>318.561</v>
      </c>
      <c r="T328" s="16">
        <v>325.134</v>
      </c>
      <c r="U328" s="16">
        <v>322.5674</v>
      </c>
      <c r="V328" s="16">
        <v>334.5832</v>
      </c>
      <c r="W328" s="16">
        <v>310.124</v>
      </c>
      <c r="X328" s="16">
        <v>302.6438</v>
      </c>
      <c r="Y328" s="16">
        <v>297.2309</v>
      </c>
      <c r="Z328" s="16"/>
      <c r="AA328" s="17">
        <f t="shared" si="15"/>
        <v>385.1555</v>
      </c>
      <c r="AB328" s="17">
        <f t="shared" si="16"/>
        <v>216.0246</v>
      </c>
      <c r="AC328" s="17">
        <f t="shared" si="17"/>
        <v>296.532970833333</v>
      </c>
    </row>
    <row r="329" spans="1:29">
      <c r="A329" s="8">
        <v>45619</v>
      </c>
      <c r="B329" s="16">
        <v>309.0966</v>
      </c>
      <c r="C329" s="16">
        <v>275.561</v>
      </c>
      <c r="D329" s="16">
        <v>278.0099</v>
      </c>
      <c r="E329" s="16">
        <v>213.5251</v>
      </c>
      <c r="F329" s="16">
        <v>233.2389</v>
      </c>
      <c r="G329" s="16">
        <v>192.1025</v>
      </c>
      <c r="H329" s="16">
        <v>222.0914</v>
      </c>
      <c r="I329" s="16">
        <v>293.5832</v>
      </c>
      <c r="J329" s="16">
        <v>304.537</v>
      </c>
      <c r="K329" s="16">
        <v>294.9755</v>
      </c>
      <c r="L329" s="16">
        <v>273.3294</v>
      </c>
      <c r="M329" s="16">
        <v>208.6187</v>
      </c>
      <c r="N329" s="16">
        <v>65.3351</v>
      </c>
      <c r="O329" s="16">
        <v>182.0006</v>
      </c>
      <c r="P329" s="16">
        <v>302.5029</v>
      </c>
      <c r="Q329" s="16">
        <v>289.8224</v>
      </c>
      <c r="R329" s="16">
        <v>327.759</v>
      </c>
      <c r="S329" s="16">
        <v>324.7221</v>
      </c>
      <c r="T329" s="16">
        <v>334.3723</v>
      </c>
      <c r="U329" s="16">
        <v>333.8856</v>
      </c>
      <c r="V329" s="16">
        <v>375.4272</v>
      </c>
      <c r="W329" s="16">
        <v>351.3877</v>
      </c>
      <c r="X329" s="16">
        <v>326.1556</v>
      </c>
      <c r="Y329" s="16">
        <v>308.2766</v>
      </c>
      <c r="Z329" s="16"/>
      <c r="AA329" s="17">
        <f t="shared" si="15"/>
        <v>375.4272</v>
      </c>
      <c r="AB329" s="17">
        <f t="shared" si="16"/>
        <v>65.3351</v>
      </c>
      <c r="AC329" s="17">
        <f t="shared" si="17"/>
        <v>275.8465125</v>
      </c>
    </row>
    <row r="330" spans="1:29">
      <c r="A330" s="8">
        <v>45620</v>
      </c>
      <c r="B330" s="16">
        <v>287.0775</v>
      </c>
      <c r="C330" s="16">
        <v>272.3702</v>
      </c>
      <c r="D330" s="16">
        <v>252.1195</v>
      </c>
      <c r="E330" s="16">
        <v>233.0797</v>
      </c>
      <c r="F330" s="16">
        <v>175.88</v>
      </c>
      <c r="G330" s="16">
        <v>231.0001</v>
      </c>
      <c r="H330" s="16">
        <v>231.1919</v>
      </c>
      <c r="I330" s="16">
        <v>260.5417</v>
      </c>
      <c r="J330" s="16">
        <v>243.2475</v>
      </c>
      <c r="K330" s="16">
        <v>151.28</v>
      </c>
      <c r="L330" s="16">
        <v>21.6804</v>
      </c>
      <c r="M330" s="16">
        <v>148.5744</v>
      </c>
      <c r="N330" s="16">
        <v>4.4365</v>
      </c>
      <c r="O330" s="16">
        <v>44.9502</v>
      </c>
      <c r="P330" s="16">
        <v>163.9128</v>
      </c>
      <c r="Q330" s="16">
        <v>148.3115</v>
      </c>
      <c r="R330" s="16">
        <v>266.2267</v>
      </c>
      <c r="S330" s="16">
        <v>303.9071</v>
      </c>
      <c r="T330" s="16">
        <v>311.322</v>
      </c>
      <c r="U330" s="16">
        <v>306.3681</v>
      </c>
      <c r="V330" s="16">
        <v>299.698</v>
      </c>
      <c r="W330" s="16">
        <v>300.7632</v>
      </c>
      <c r="X330" s="16">
        <v>287.7167</v>
      </c>
      <c r="Y330" s="16">
        <v>276.1881</v>
      </c>
      <c r="Z330" s="16"/>
      <c r="AA330" s="17">
        <f t="shared" si="15"/>
        <v>311.322</v>
      </c>
      <c r="AB330" s="17">
        <f t="shared" si="16"/>
        <v>4.4365</v>
      </c>
      <c r="AC330" s="17">
        <f t="shared" si="17"/>
        <v>217.576825</v>
      </c>
    </row>
    <row r="331" spans="1:29">
      <c r="A331" s="8">
        <v>45621</v>
      </c>
      <c r="B331" s="16">
        <v>273.0296</v>
      </c>
      <c r="C331" s="16">
        <v>234.434</v>
      </c>
      <c r="D331" s="16">
        <v>202.0212</v>
      </c>
      <c r="E331" s="16">
        <v>182.8662</v>
      </c>
      <c r="F331" s="16">
        <v>73.0165</v>
      </c>
      <c r="G331" s="16">
        <v>138.414</v>
      </c>
      <c r="H331" s="16">
        <v>257.3837</v>
      </c>
      <c r="I331" s="16">
        <v>283.3445</v>
      </c>
      <c r="J331" s="16">
        <v>307.9541</v>
      </c>
      <c r="K331" s="16">
        <v>349.9435</v>
      </c>
      <c r="L331" s="16">
        <v>362.4334</v>
      </c>
      <c r="M331" s="16">
        <v>321.661</v>
      </c>
      <c r="N331" s="16">
        <v>272.4437</v>
      </c>
      <c r="O331" s="16">
        <v>307.502</v>
      </c>
      <c r="P331" s="16">
        <v>306.0004</v>
      </c>
      <c r="Q331" s="16">
        <v>312.7776</v>
      </c>
      <c r="R331" s="16">
        <v>345.4552</v>
      </c>
      <c r="S331" s="16">
        <v>408.8034</v>
      </c>
      <c r="T331" s="16">
        <v>428.2505</v>
      </c>
      <c r="U331" s="16">
        <v>444.1927</v>
      </c>
      <c r="V331" s="16">
        <v>401.3346</v>
      </c>
      <c r="W331" s="16">
        <v>338.7062</v>
      </c>
      <c r="X331" s="16">
        <v>303.2727</v>
      </c>
      <c r="Y331" s="16">
        <v>292.4238</v>
      </c>
      <c r="Z331" s="16"/>
      <c r="AA331" s="17">
        <f t="shared" si="15"/>
        <v>444.1927</v>
      </c>
      <c r="AB331" s="17">
        <f t="shared" si="16"/>
        <v>73.0165</v>
      </c>
      <c r="AC331" s="17">
        <f t="shared" si="17"/>
        <v>297.819354166667</v>
      </c>
    </row>
    <row r="332" spans="1:29">
      <c r="A332" s="8">
        <v>45622</v>
      </c>
      <c r="B332" s="16">
        <v>290.3104</v>
      </c>
      <c r="C332" s="16">
        <v>267.9652</v>
      </c>
      <c r="D332" s="16">
        <v>243.9526</v>
      </c>
      <c r="E332" s="16">
        <v>161.1413</v>
      </c>
      <c r="F332" s="16">
        <v>132.778</v>
      </c>
      <c r="G332" s="16">
        <v>0.3738</v>
      </c>
      <c r="H332" s="16">
        <v>159.0693</v>
      </c>
      <c r="I332" s="16">
        <v>278.5809</v>
      </c>
      <c r="J332" s="16">
        <v>270.5711</v>
      </c>
      <c r="K332" s="16">
        <v>184.2473</v>
      </c>
      <c r="L332" s="16">
        <v>223.4463</v>
      </c>
      <c r="M332" s="16">
        <v>267.6112</v>
      </c>
      <c r="N332" s="16">
        <v>71.249</v>
      </c>
      <c r="O332" s="16">
        <v>119.2543</v>
      </c>
      <c r="P332" s="16">
        <v>12.4926</v>
      </c>
      <c r="Q332" s="16">
        <v>174.2203</v>
      </c>
      <c r="R332" s="16">
        <v>294.4249</v>
      </c>
      <c r="S332" s="16">
        <v>304.3363</v>
      </c>
      <c r="T332" s="16">
        <v>338.8511</v>
      </c>
      <c r="U332" s="16">
        <v>327.3599</v>
      </c>
      <c r="V332" s="16">
        <v>312.3574</v>
      </c>
      <c r="W332" s="16">
        <v>301.389</v>
      </c>
      <c r="X332" s="16">
        <v>291.7033</v>
      </c>
      <c r="Y332" s="16">
        <v>282.432</v>
      </c>
      <c r="Z332" s="16"/>
      <c r="AA332" s="17">
        <f t="shared" si="15"/>
        <v>338.8511</v>
      </c>
      <c r="AB332" s="17">
        <f t="shared" si="16"/>
        <v>0.3738</v>
      </c>
      <c r="AC332" s="17">
        <f t="shared" si="17"/>
        <v>221.254895833333</v>
      </c>
    </row>
    <row r="333" spans="1:29">
      <c r="A333" s="8">
        <v>45623</v>
      </c>
      <c r="B333" s="16">
        <v>268.665</v>
      </c>
      <c r="C333" s="16">
        <v>256.5676</v>
      </c>
      <c r="D333" s="16">
        <v>143.1561</v>
      </c>
      <c r="E333" s="16">
        <v>22.5368</v>
      </c>
      <c r="F333" s="16">
        <v>42.0204</v>
      </c>
      <c r="G333" s="16">
        <v>203.0437</v>
      </c>
      <c r="H333" s="16">
        <v>245.0501</v>
      </c>
      <c r="I333" s="16">
        <v>265.792</v>
      </c>
      <c r="J333" s="16">
        <v>283.9567</v>
      </c>
      <c r="K333" s="16">
        <v>280.7197</v>
      </c>
      <c r="L333" s="16">
        <v>263.8157</v>
      </c>
      <c r="M333" s="16">
        <v>265.0185</v>
      </c>
      <c r="N333" s="16">
        <v>90.3954</v>
      </c>
      <c r="O333" s="16">
        <v>210.614</v>
      </c>
      <c r="P333" s="16">
        <v>203.8075</v>
      </c>
      <c r="Q333" s="16">
        <v>253.0025</v>
      </c>
      <c r="R333" s="16">
        <v>296.7901</v>
      </c>
      <c r="S333" s="16">
        <v>311.569</v>
      </c>
      <c r="T333" s="16">
        <v>389.0514</v>
      </c>
      <c r="U333" s="16">
        <v>387.1401</v>
      </c>
      <c r="V333" s="16">
        <v>351.5333</v>
      </c>
      <c r="W333" s="16">
        <v>328.2861</v>
      </c>
      <c r="X333" s="16">
        <v>305.2792</v>
      </c>
      <c r="Y333" s="16">
        <v>307.2822</v>
      </c>
      <c r="Z333" s="16"/>
      <c r="AA333" s="17">
        <f t="shared" si="15"/>
        <v>389.0514</v>
      </c>
      <c r="AB333" s="17">
        <f t="shared" si="16"/>
        <v>22.5368</v>
      </c>
      <c r="AC333" s="17">
        <f t="shared" si="17"/>
        <v>248.9622125</v>
      </c>
    </row>
    <row r="334" spans="1:29">
      <c r="A334" s="8">
        <v>45624</v>
      </c>
      <c r="B334" s="16">
        <v>299.5012</v>
      </c>
      <c r="C334" s="16">
        <v>270.5639</v>
      </c>
      <c r="D334" s="16">
        <v>260.5567</v>
      </c>
      <c r="E334" s="16">
        <v>251.6335</v>
      </c>
      <c r="F334" s="16">
        <v>238.9743</v>
      </c>
      <c r="G334" s="16">
        <v>235.7913</v>
      </c>
      <c r="H334" s="16">
        <v>260.5917</v>
      </c>
      <c r="I334" s="16">
        <v>284.1286</v>
      </c>
      <c r="J334" s="16">
        <v>281.8129</v>
      </c>
      <c r="K334" s="16">
        <v>275.1566</v>
      </c>
      <c r="L334" s="16">
        <v>323.2222</v>
      </c>
      <c r="M334" s="16">
        <v>393.5867</v>
      </c>
      <c r="N334" s="16">
        <v>213.5134</v>
      </c>
      <c r="O334" s="16">
        <v>259.2312</v>
      </c>
      <c r="P334" s="16">
        <v>239.1618</v>
      </c>
      <c r="Q334" s="16">
        <v>261.5605</v>
      </c>
      <c r="R334" s="16">
        <v>297.9075</v>
      </c>
      <c r="S334" s="16">
        <v>353.6462</v>
      </c>
      <c r="T334" s="16">
        <v>434.7317</v>
      </c>
      <c r="U334" s="16">
        <v>422.1704</v>
      </c>
      <c r="V334" s="16">
        <v>318.6128</v>
      </c>
      <c r="W334" s="16">
        <v>338.9915</v>
      </c>
      <c r="X334" s="16">
        <v>299.8011</v>
      </c>
      <c r="Y334" s="16">
        <v>299.0148</v>
      </c>
      <c r="Z334" s="16"/>
      <c r="AA334" s="17">
        <f t="shared" si="15"/>
        <v>434.7317</v>
      </c>
      <c r="AB334" s="17">
        <f t="shared" si="16"/>
        <v>213.5134</v>
      </c>
      <c r="AC334" s="17">
        <f t="shared" si="17"/>
        <v>296.4109375</v>
      </c>
    </row>
    <row r="335" spans="1:29">
      <c r="A335" s="8">
        <v>45625</v>
      </c>
      <c r="B335" s="16">
        <v>332.9236</v>
      </c>
      <c r="C335" s="16">
        <v>376.4635</v>
      </c>
      <c r="D335" s="16">
        <v>278.0955</v>
      </c>
      <c r="E335" s="16">
        <v>249.3745</v>
      </c>
      <c r="F335" s="16">
        <v>246.8284</v>
      </c>
      <c r="G335" s="16">
        <v>256.0843</v>
      </c>
      <c r="H335" s="16">
        <v>285.0544</v>
      </c>
      <c r="I335" s="16">
        <v>321.8347</v>
      </c>
      <c r="J335" s="16">
        <v>391.5316</v>
      </c>
      <c r="K335" s="16">
        <v>306.1594</v>
      </c>
      <c r="L335" s="16">
        <v>573.3508</v>
      </c>
      <c r="M335" s="16">
        <v>258.0851</v>
      </c>
      <c r="N335" s="16">
        <v>18.9285</v>
      </c>
      <c r="O335" s="16">
        <v>143.7583</v>
      </c>
      <c r="P335" s="16">
        <v>93.0486</v>
      </c>
      <c r="Q335" s="16">
        <v>260.6849</v>
      </c>
      <c r="R335" s="16">
        <v>306.3294</v>
      </c>
      <c r="S335" s="16">
        <v>324.3336</v>
      </c>
      <c r="T335" s="16">
        <v>406.8213</v>
      </c>
      <c r="U335" s="16">
        <v>422.0124</v>
      </c>
      <c r="V335" s="16">
        <v>398.6964</v>
      </c>
      <c r="W335" s="16">
        <v>409.6975</v>
      </c>
      <c r="X335" s="16">
        <v>384.6398</v>
      </c>
      <c r="Y335" s="16">
        <v>366.5662</v>
      </c>
      <c r="Z335" s="16"/>
      <c r="AA335" s="17">
        <f t="shared" si="15"/>
        <v>573.3508</v>
      </c>
      <c r="AB335" s="17">
        <f t="shared" si="16"/>
        <v>18.9285</v>
      </c>
      <c r="AC335" s="17">
        <f t="shared" si="17"/>
        <v>308.804279166667</v>
      </c>
    </row>
    <row r="336" spans="1:29">
      <c r="A336" s="8">
        <v>45626</v>
      </c>
      <c r="B336" s="16">
        <v>437.1756</v>
      </c>
      <c r="C336" s="16">
        <v>398.313</v>
      </c>
      <c r="D336" s="16">
        <v>388.548</v>
      </c>
      <c r="E336" s="16">
        <v>373.1319</v>
      </c>
      <c r="F336" s="16">
        <v>348.2925</v>
      </c>
      <c r="G336" s="16">
        <v>361.233</v>
      </c>
      <c r="H336" s="16">
        <v>355.448</v>
      </c>
      <c r="I336" s="16">
        <v>420.1739</v>
      </c>
      <c r="J336" s="16">
        <v>411.281</v>
      </c>
      <c r="K336" s="16">
        <v>339.0312</v>
      </c>
      <c r="L336" s="16">
        <v>257.5369</v>
      </c>
      <c r="M336" s="16">
        <v>244.5975</v>
      </c>
      <c r="N336" s="16">
        <v>7.0825</v>
      </c>
      <c r="O336" s="16">
        <v>109.9588</v>
      </c>
      <c r="P336" s="16">
        <v>24.1964</v>
      </c>
      <c r="Q336" s="16">
        <v>142.0481</v>
      </c>
      <c r="R336" s="16">
        <v>299.7371</v>
      </c>
      <c r="S336" s="16">
        <v>305.9735</v>
      </c>
      <c r="T336" s="16">
        <v>348.0667</v>
      </c>
      <c r="U336" s="16">
        <v>316.1737</v>
      </c>
      <c r="V336" s="16">
        <v>319.2075</v>
      </c>
      <c r="W336" s="16">
        <v>319.09</v>
      </c>
      <c r="X336" s="16">
        <v>350.187</v>
      </c>
      <c r="Y336" s="16">
        <v>371.4935</v>
      </c>
      <c r="Z336" s="16"/>
      <c r="AA336" s="17">
        <f t="shared" si="15"/>
        <v>437.1756</v>
      </c>
      <c r="AB336" s="17">
        <f t="shared" si="16"/>
        <v>7.0825</v>
      </c>
      <c r="AC336" s="17">
        <f t="shared" si="17"/>
        <v>301.999054166667</v>
      </c>
    </row>
    <row r="337" spans="1:29">
      <c r="A337" s="8">
        <v>45627</v>
      </c>
      <c r="B337" s="16">
        <v>626.2552</v>
      </c>
      <c r="C337" s="16">
        <v>367.1721</v>
      </c>
      <c r="D337" s="16">
        <v>361.9624</v>
      </c>
      <c r="E337" s="16">
        <v>346.1105</v>
      </c>
      <c r="F337" s="16">
        <v>308.0914</v>
      </c>
      <c r="G337" s="16">
        <v>297.1559</v>
      </c>
      <c r="H337" s="16">
        <v>307.5605</v>
      </c>
      <c r="I337" s="16">
        <v>306.5002</v>
      </c>
      <c r="J337" s="16">
        <v>78.5</v>
      </c>
      <c r="K337" s="16">
        <v>0.75</v>
      </c>
      <c r="L337" s="16">
        <v>0</v>
      </c>
      <c r="M337" s="16">
        <v>116.0189</v>
      </c>
      <c r="N337" s="16">
        <v>6.0132</v>
      </c>
      <c r="O337" s="16">
        <v>0.0001</v>
      </c>
      <c r="P337" s="16">
        <v>0</v>
      </c>
      <c r="Q337" s="16">
        <v>0.25</v>
      </c>
      <c r="R337" s="16">
        <v>262.055</v>
      </c>
      <c r="S337" s="16">
        <v>306.3337</v>
      </c>
      <c r="T337" s="16">
        <v>310.1857</v>
      </c>
      <c r="U337" s="16">
        <v>316.2643</v>
      </c>
      <c r="V337" s="16">
        <v>340.705</v>
      </c>
      <c r="W337" s="16">
        <v>384.696</v>
      </c>
      <c r="X337" s="16">
        <v>339.8109</v>
      </c>
      <c r="Y337" s="16">
        <v>291.56</v>
      </c>
      <c r="Z337" s="16"/>
      <c r="AA337" s="17">
        <f t="shared" si="15"/>
        <v>626.2552</v>
      </c>
      <c r="AB337" s="17">
        <f t="shared" si="16"/>
        <v>0</v>
      </c>
      <c r="AC337" s="17">
        <f t="shared" si="17"/>
        <v>236.414625</v>
      </c>
    </row>
    <row r="338" spans="1:29">
      <c r="A338" s="8">
        <v>45628</v>
      </c>
      <c r="B338" s="16">
        <v>327.308</v>
      </c>
      <c r="C338" s="16">
        <v>313.0944</v>
      </c>
      <c r="D338" s="16">
        <v>309.9237</v>
      </c>
      <c r="E338" s="16">
        <v>280.0491</v>
      </c>
      <c r="F338" s="16">
        <v>253.4432</v>
      </c>
      <c r="G338" s="16">
        <v>267.8928</v>
      </c>
      <c r="H338" s="16">
        <v>340.4204</v>
      </c>
      <c r="I338" s="16">
        <v>723.6924</v>
      </c>
      <c r="J338" s="16">
        <v>781.4026</v>
      </c>
      <c r="K338" s="16">
        <v>542.252</v>
      </c>
      <c r="L338" s="16">
        <v>349.3676</v>
      </c>
      <c r="M338" s="16">
        <v>264.807</v>
      </c>
      <c r="N338" s="16">
        <v>41.7677</v>
      </c>
      <c r="O338" s="16">
        <v>190.4229</v>
      </c>
      <c r="P338" s="16">
        <v>307.105</v>
      </c>
      <c r="Q338" s="16">
        <v>385.0784</v>
      </c>
      <c r="R338" s="16">
        <v>652.4999</v>
      </c>
      <c r="S338" s="16">
        <v>593.4639</v>
      </c>
      <c r="T338" s="16">
        <v>497.5761</v>
      </c>
      <c r="U338" s="16">
        <v>584.4541</v>
      </c>
      <c r="V338" s="16">
        <v>654.8525</v>
      </c>
      <c r="W338" s="16">
        <v>826.2826</v>
      </c>
      <c r="X338" s="16">
        <v>639.592</v>
      </c>
      <c r="Y338" s="16">
        <v>332.8849</v>
      </c>
      <c r="Z338" s="16"/>
      <c r="AA338" s="17">
        <f t="shared" si="15"/>
        <v>826.2826</v>
      </c>
      <c r="AB338" s="17">
        <f t="shared" si="16"/>
        <v>41.7677</v>
      </c>
      <c r="AC338" s="17">
        <f t="shared" si="17"/>
        <v>435.81805</v>
      </c>
    </row>
    <row r="339" spans="1:29">
      <c r="A339" s="8">
        <v>45629</v>
      </c>
      <c r="B339" s="16">
        <v>615.8624</v>
      </c>
      <c r="C339" s="16">
        <v>593.33</v>
      </c>
      <c r="D339" s="16">
        <v>386.4299</v>
      </c>
      <c r="E339" s="16">
        <v>335.0481</v>
      </c>
      <c r="F339" s="16">
        <v>316.062</v>
      </c>
      <c r="G339" s="16">
        <v>338.2512</v>
      </c>
      <c r="H339" s="16">
        <v>795.1427</v>
      </c>
      <c r="I339" s="16">
        <v>779.2898</v>
      </c>
      <c r="J339" s="16">
        <v>822.7271</v>
      </c>
      <c r="K339" s="16">
        <v>479.1627</v>
      </c>
      <c r="L339" s="16">
        <v>318.3933</v>
      </c>
      <c r="M339" s="16">
        <v>272.4356</v>
      </c>
      <c r="N339" s="16">
        <v>0</v>
      </c>
      <c r="O339" s="16">
        <v>129.6096</v>
      </c>
      <c r="P339" s="16">
        <v>282.9174</v>
      </c>
      <c r="Q339" s="16">
        <v>314.8296</v>
      </c>
      <c r="R339" s="16">
        <v>481.2196</v>
      </c>
      <c r="S339" s="16">
        <v>508.3485</v>
      </c>
      <c r="T339" s="16">
        <v>711.1564</v>
      </c>
      <c r="U339" s="16">
        <v>587.9206</v>
      </c>
      <c r="V339" s="16">
        <v>660.6859</v>
      </c>
      <c r="W339" s="16">
        <v>534.6702</v>
      </c>
      <c r="X339" s="16">
        <v>553.7895</v>
      </c>
      <c r="Y339" s="16">
        <v>295.3461</v>
      </c>
      <c r="Z339" s="16"/>
      <c r="AA339" s="17">
        <f t="shared" si="15"/>
        <v>822.7271</v>
      </c>
      <c r="AB339" s="17">
        <f t="shared" si="16"/>
        <v>0</v>
      </c>
      <c r="AC339" s="17">
        <f t="shared" si="17"/>
        <v>463.026175</v>
      </c>
    </row>
    <row r="340" spans="1:29">
      <c r="A340" s="8">
        <v>45630</v>
      </c>
      <c r="B340" s="16">
        <v>460.1823</v>
      </c>
      <c r="C340" s="16">
        <v>474.3964</v>
      </c>
      <c r="D340" s="16">
        <v>574.0904</v>
      </c>
      <c r="E340" s="16">
        <v>384.3249</v>
      </c>
      <c r="F340" s="16">
        <v>373.3832</v>
      </c>
      <c r="G340" s="16">
        <v>332.2285</v>
      </c>
      <c r="H340" s="16">
        <v>481.8421</v>
      </c>
      <c r="I340" s="16">
        <v>600.5508</v>
      </c>
      <c r="J340" s="16">
        <v>689.8467</v>
      </c>
      <c r="K340" s="16">
        <v>551.183</v>
      </c>
      <c r="L340" s="16">
        <v>355.8528</v>
      </c>
      <c r="M340" s="16">
        <v>296.1643</v>
      </c>
      <c r="N340" s="16">
        <v>45.4488</v>
      </c>
      <c r="O340" s="16">
        <v>166.2788</v>
      </c>
      <c r="P340" s="16">
        <v>327.4086</v>
      </c>
      <c r="Q340" s="16">
        <v>539.2398</v>
      </c>
      <c r="R340" s="16">
        <v>646.3505</v>
      </c>
      <c r="S340" s="16">
        <v>626.2845</v>
      </c>
      <c r="T340" s="16">
        <v>914.5724</v>
      </c>
      <c r="U340" s="16">
        <v>646.2705</v>
      </c>
      <c r="V340" s="16">
        <v>599.0392</v>
      </c>
      <c r="W340" s="16">
        <v>646.2986</v>
      </c>
      <c r="X340" s="16">
        <v>410.409</v>
      </c>
      <c r="Y340" s="16">
        <v>325.2038</v>
      </c>
      <c r="Z340" s="16"/>
      <c r="AA340" s="17">
        <f t="shared" si="15"/>
        <v>914.5724</v>
      </c>
      <c r="AB340" s="17">
        <f t="shared" si="16"/>
        <v>45.4488</v>
      </c>
      <c r="AC340" s="17">
        <f t="shared" si="17"/>
        <v>477.7854125</v>
      </c>
    </row>
    <row r="341" spans="1:29">
      <c r="A341" s="8">
        <v>45631</v>
      </c>
      <c r="B341" s="16">
        <v>338.4494</v>
      </c>
      <c r="C341" s="16">
        <v>328.3255</v>
      </c>
      <c r="D341" s="16">
        <v>367.0661</v>
      </c>
      <c r="E341" s="16">
        <v>333.6216</v>
      </c>
      <c r="F341" s="16">
        <v>294.5295</v>
      </c>
      <c r="G341" s="16">
        <v>296.2668</v>
      </c>
      <c r="H341" s="16">
        <v>361.8735</v>
      </c>
      <c r="I341" s="16">
        <v>375.0002</v>
      </c>
      <c r="J341" s="16">
        <v>420.1913</v>
      </c>
      <c r="K341" s="16">
        <v>415.7452</v>
      </c>
      <c r="L341" s="16">
        <v>298.0056</v>
      </c>
      <c r="M341" s="16">
        <v>235.4734</v>
      </c>
      <c r="N341" s="16">
        <v>9.0971</v>
      </c>
      <c r="O341" s="16">
        <v>134.5605</v>
      </c>
      <c r="P341" s="16">
        <v>273.4123</v>
      </c>
      <c r="Q341" s="16">
        <v>321.1361</v>
      </c>
      <c r="R341" s="16">
        <v>397.607</v>
      </c>
      <c r="S341" s="16">
        <v>344.667</v>
      </c>
      <c r="T341" s="16">
        <v>362.1268</v>
      </c>
      <c r="U341" s="16">
        <v>370.7495</v>
      </c>
      <c r="V341" s="16">
        <v>366.303</v>
      </c>
      <c r="W341" s="16">
        <v>373.8716</v>
      </c>
      <c r="X341" s="16">
        <v>325.0435</v>
      </c>
      <c r="Y341" s="16">
        <v>276.1107</v>
      </c>
      <c r="Z341" s="16"/>
      <c r="AA341" s="17">
        <f t="shared" si="15"/>
        <v>420.1913</v>
      </c>
      <c r="AB341" s="17">
        <f t="shared" si="16"/>
        <v>9.0971</v>
      </c>
      <c r="AC341" s="17">
        <f t="shared" si="17"/>
        <v>317.46805</v>
      </c>
    </row>
    <row r="342" spans="1:29">
      <c r="A342" s="8">
        <v>45632</v>
      </c>
      <c r="B342" s="16">
        <v>323.4833</v>
      </c>
      <c r="C342" s="16">
        <v>316.223</v>
      </c>
      <c r="D342" s="16">
        <v>347.8324</v>
      </c>
      <c r="E342" s="16">
        <v>332.6789</v>
      </c>
      <c r="F342" s="16">
        <v>301.7195</v>
      </c>
      <c r="G342" s="16">
        <v>282.5069</v>
      </c>
      <c r="H342" s="16">
        <v>347.8584</v>
      </c>
      <c r="I342" s="16">
        <v>416.6889</v>
      </c>
      <c r="J342" s="16">
        <v>838.1815</v>
      </c>
      <c r="K342" s="16">
        <v>760.6135</v>
      </c>
      <c r="L342" s="16">
        <v>428.3739</v>
      </c>
      <c r="M342" s="16">
        <v>354.3201</v>
      </c>
      <c r="N342" s="16">
        <v>220.9607</v>
      </c>
      <c r="O342" s="16">
        <v>297.1569</v>
      </c>
      <c r="P342" s="16">
        <v>344.5899</v>
      </c>
      <c r="Q342" s="16">
        <v>362.4516</v>
      </c>
      <c r="R342" s="16">
        <v>547.0122</v>
      </c>
      <c r="S342" s="16">
        <v>457.6873</v>
      </c>
      <c r="T342" s="16">
        <v>610.4977</v>
      </c>
      <c r="U342" s="16">
        <v>606.1659</v>
      </c>
      <c r="V342" s="16">
        <v>564.3454</v>
      </c>
      <c r="W342" s="16">
        <v>536.8859</v>
      </c>
      <c r="X342" s="16">
        <v>444.4865</v>
      </c>
      <c r="Y342" s="16">
        <v>325.7283</v>
      </c>
      <c r="Z342" s="16"/>
      <c r="AA342" s="17">
        <f t="shared" si="15"/>
        <v>838.1815</v>
      </c>
      <c r="AB342" s="17">
        <f t="shared" si="16"/>
        <v>220.9607</v>
      </c>
      <c r="AC342" s="17">
        <f t="shared" si="17"/>
        <v>432.018691666667</v>
      </c>
    </row>
    <row r="343" spans="1:29">
      <c r="A343" s="8">
        <v>45633</v>
      </c>
      <c r="B343" s="16">
        <v>454.1353</v>
      </c>
      <c r="C343" s="16">
        <v>382.1918</v>
      </c>
      <c r="D343" s="16">
        <v>389.6287</v>
      </c>
      <c r="E343" s="16">
        <v>338.0579</v>
      </c>
      <c r="F343" s="16">
        <v>279.5922</v>
      </c>
      <c r="G343" s="16">
        <v>241.3842</v>
      </c>
      <c r="H343" s="16">
        <v>324.2033</v>
      </c>
      <c r="I343" s="16">
        <v>408.4899</v>
      </c>
      <c r="J343" s="16">
        <v>585.1213</v>
      </c>
      <c r="K343" s="16">
        <v>382.8646</v>
      </c>
      <c r="L343" s="16">
        <v>308.2756</v>
      </c>
      <c r="M343" s="16">
        <v>241.4916</v>
      </c>
      <c r="N343" s="16">
        <v>150.4532</v>
      </c>
      <c r="O343" s="16">
        <v>302.2291</v>
      </c>
      <c r="P343" s="16">
        <v>382.8573</v>
      </c>
      <c r="Q343" s="16">
        <v>400.3793</v>
      </c>
      <c r="R343" s="16">
        <v>499.9073</v>
      </c>
      <c r="S343" s="16">
        <v>426.9963</v>
      </c>
      <c r="T343" s="16">
        <v>421.7973</v>
      </c>
      <c r="U343" s="16">
        <v>411.1034</v>
      </c>
      <c r="V343" s="16">
        <v>403.2591</v>
      </c>
      <c r="W343" s="16">
        <v>367.1972</v>
      </c>
      <c r="X343" s="16">
        <v>316.3523</v>
      </c>
      <c r="Y343" s="16">
        <v>261.1969</v>
      </c>
      <c r="Z343" s="16"/>
      <c r="AA343" s="17">
        <f t="shared" si="15"/>
        <v>585.1213</v>
      </c>
      <c r="AB343" s="17">
        <f t="shared" si="16"/>
        <v>150.4532</v>
      </c>
      <c r="AC343" s="17">
        <f t="shared" si="17"/>
        <v>361.631879166667</v>
      </c>
    </row>
    <row r="344" spans="1:29">
      <c r="A344" s="8">
        <v>45634</v>
      </c>
      <c r="B344" s="16">
        <v>715.3474</v>
      </c>
      <c r="C344" s="16">
        <v>551.2252</v>
      </c>
      <c r="D344" s="16">
        <v>429.5617</v>
      </c>
      <c r="E344" s="16">
        <v>290.6802</v>
      </c>
      <c r="F344" s="16">
        <v>339.63</v>
      </c>
      <c r="G344" s="16">
        <v>303.954</v>
      </c>
      <c r="H344" s="16">
        <v>330.4643</v>
      </c>
      <c r="I344" s="16">
        <v>429.4858</v>
      </c>
      <c r="J344" s="16">
        <v>386.5443</v>
      </c>
      <c r="K344" s="16">
        <v>293.5927</v>
      </c>
      <c r="L344" s="16">
        <v>192.0897</v>
      </c>
      <c r="M344" s="16">
        <v>124.404</v>
      </c>
      <c r="N344" s="16">
        <v>68.1484</v>
      </c>
      <c r="O344" s="16">
        <v>157.9081</v>
      </c>
      <c r="P344" s="16">
        <v>252.3997</v>
      </c>
      <c r="Q344" s="16">
        <v>260.6745</v>
      </c>
      <c r="R344" s="16">
        <v>326.7348</v>
      </c>
      <c r="S344" s="16">
        <v>359.084</v>
      </c>
      <c r="T344" s="16">
        <v>379.0408</v>
      </c>
      <c r="U344" s="16">
        <v>377.8768</v>
      </c>
      <c r="V344" s="16">
        <v>387.9666</v>
      </c>
      <c r="W344" s="16">
        <v>373.4312</v>
      </c>
      <c r="X344" s="16">
        <v>328.7136</v>
      </c>
      <c r="Y344" s="16">
        <v>318.3429</v>
      </c>
      <c r="Z344" s="16"/>
      <c r="AA344" s="17">
        <f t="shared" si="15"/>
        <v>715.3474</v>
      </c>
      <c r="AB344" s="17">
        <f t="shared" si="16"/>
        <v>68.1484</v>
      </c>
      <c r="AC344" s="17">
        <f t="shared" si="17"/>
        <v>332.387529166667</v>
      </c>
    </row>
    <row r="345" spans="1:29">
      <c r="A345" s="8">
        <v>45635</v>
      </c>
      <c r="B345" s="16">
        <v>425.2751</v>
      </c>
      <c r="C345" s="16">
        <v>291.5477</v>
      </c>
      <c r="D345" s="16">
        <v>280.3609</v>
      </c>
      <c r="E345" s="16">
        <v>262.3093</v>
      </c>
      <c r="F345" s="16">
        <v>273.1907</v>
      </c>
      <c r="G345" s="16">
        <v>277.364</v>
      </c>
      <c r="H345" s="16">
        <v>327.6873</v>
      </c>
      <c r="I345" s="16">
        <v>391.5258</v>
      </c>
      <c r="J345" s="16">
        <v>907.1927</v>
      </c>
      <c r="K345" s="16">
        <v>808.096</v>
      </c>
      <c r="L345" s="16">
        <v>716.0137</v>
      </c>
      <c r="M345" s="16">
        <v>325.2146</v>
      </c>
      <c r="N345" s="16">
        <v>185.4448</v>
      </c>
      <c r="O345" s="16">
        <v>268.7504</v>
      </c>
      <c r="P345" s="16">
        <v>297.6548</v>
      </c>
      <c r="Q345" s="16">
        <v>317.6153</v>
      </c>
      <c r="R345" s="16">
        <v>385.4463</v>
      </c>
      <c r="S345" s="16">
        <v>505.5266</v>
      </c>
      <c r="T345" s="16">
        <v>568.3654</v>
      </c>
      <c r="U345" s="16">
        <v>517.743</v>
      </c>
      <c r="V345" s="16">
        <v>597.5049</v>
      </c>
      <c r="W345" s="16">
        <v>493.9223</v>
      </c>
      <c r="X345" s="16">
        <v>374.8575</v>
      </c>
      <c r="Y345" s="16">
        <v>283.9296</v>
      </c>
      <c r="Z345" s="16"/>
      <c r="AA345" s="17">
        <f t="shared" si="15"/>
        <v>907.1927</v>
      </c>
      <c r="AB345" s="17">
        <f t="shared" si="16"/>
        <v>185.4448</v>
      </c>
      <c r="AC345" s="17">
        <f t="shared" si="17"/>
        <v>420.105779166667</v>
      </c>
    </row>
    <row r="346" spans="1:29">
      <c r="A346" s="8">
        <v>45636</v>
      </c>
      <c r="B346" s="16">
        <v>356.4128</v>
      </c>
      <c r="C346" s="16">
        <v>340.0615</v>
      </c>
      <c r="D346" s="16">
        <v>309.0901</v>
      </c>
      <c r="E346" s="16">
        <v>289.5841</v>
      </c>
      <c r="F346" s="16">
        <v>289.0056</v>
      </c>
      <c r="G346" s="16">
        <v>309.5745</v>
      </c>
      <c r="H346" s="16">
        <v>538.3586</v>
      </c>
      <c r="I346" s="16">
        <v>491.9597</v>
      </c>
      <c r="J346" s="16">
        <v>548.6862</v>
      </c>
      <c r="K346" s="16">
        <v>445.5244</v>
      </c>
      <c r="L346" s="16">
        <v>325.6499</v>
      </c>
      <c r="M346" s="16">
        <v>283.3195</v>
      </c>
      <c r="N346" s="16">
        <v>0</v>
      </c>
      <c r="O346" s="16">
        <v>172.8454</v>
      </c>
      <c r="P346" s="16">
        <v>289.2775</v>
      </c>
      <c r="Q346" s="16">
        <v>306.4211</v>
      </c>
      <c r="R346" s="16">
        <v>343.1042</v>
      </c>
      <c r="S346" s="16">
        <v>344.2777</v>
      </c>
      <c r="T346" s="16">
        <v>386.5968</v>
      </c>
      <c r="U346" s="16">
        <v>368.2651</v>
      </c>
      <c r="V346" s="16">
        <v>406.5908</v>
      </c>
      <c r="W346" s="16">
        <v>436.9496</v>
      </c>
      <c r="X346" s="16">
        <v>390.1241</v>
      </c>
      <c r="Y346" s="16">
        <v>299.9382</v>
      </c>
      <c r="Z346" s="16"/>
      <c r="AA346" s="17">
        <f t="shared" si="15"/>
        <v>548.6862</v>
      </c>
      <c r="AB346" s="17">
        <f t="shared" si="16"/>
        <v>0</v>
      </c>
      <c r="AC346" s="17">
        <f t="shared" si="17"/>
        <v>344.650725</v>
      </c>
    </row>
    <row r="347" spans="1:29">
      <c r="A347" s="8">
        <v>45637</v>
      </c>
      <c r="B347" s="16">
        <v>339.9459</v>
      </c>
      <c r="C347" s="16">
        <v>321.8129</v>
      </c>
      <c r="D347" s="16">
        <v>322.3205</v>
      </c>
      <c r="E347" s="16">
        <v>343.7675</v>
      </c>
      <c r="F347" s="16">
        <v>318.7514</v>
      </c>
      <c r="G347" s="16">
        <v>325.2348</v>
      </c>
      <c r="H347" s="16">
        <v>519.989</v>
      </c>
      <c r="I347" s="16">
        <v>525.9089</v>
      </c>
      <c r="J347" s="16">
        <v>556.1967</v>
      </c>
      <c r="K347" s="16">
        <v>727.7247</v>
      </c>
      <c r="L347" s="16">
        <v>579.885</v>
      </c>
      <c r="M347" s="16">
        <v>471.3058</v>
      </c>
      <c r="N347" s="16">
        <v>219.8243</v>
      </c>
      <c r="O347" s="16">
        <v>368.0431</v>
      </c>
      <c r="P347" s="16">
        <v>408.8805</v>
      </c>
      <c r="Q347" s="16">
        <v>440.9446</v>
      </c>
      <c r="R347" s="16">
        <v>477.168</v>
      </c>
      <c r="S347" s="16">
        <v>390.3691</v>
      </c>
      <c r="T347" s="16">
        <v>426.3395</v>
      </c>
      <c r="U347" s="16">
        <v>442.629</v>
      </c>
      <c r="V347" s="16">
        <v>396.1823</v>
      </c>
      <c r="W347" s="16">
        <v>444.4401</v>
      </c>
      <c r="X347" s="16">
        <v>371.909</v>
      </c>
      <c r="Y347" s="16">
        <v>307.9301</v>
      </c>
      <c r="Z347" s="16"/>
      <c r="AA347" s="17">
        <f t="shared" si="15"/>
        <v>727.7247</v>
      </c>
      <c r="AB347" s="17">
        <f t="shared" si="16"/>
        <v>219.8243</v>
      </c>
      <c r="AC347" s="17">
        <f t="shared" si="17"/>
        <v>418.645945833333</v>
      </c>
    </row>
    <row r="348" spans="1:29">
      <c r="A348" s="8">
        <v>45638</v>
      </c>
      <c r="B348" s="16">
        <v>475.2944</v>
      </c>
      <c r="C348" s="16">
        <v>310.7183</v>
      </c>
      <c r="D348" s="16">
        <v>288.2364</v>
      </c>
      <c r="E348" s="16">
        <v>279.71</v>
      </c>
      <c r="F348" s="16">
        <v>253.0935</v>
      </c>
      <c r="G348" s="16">
        <v>260.1168</v>
      </c>
      <c r="H348" s="16">
        <v>316.7017</v>
      </c>
      <c r="I348" s="16">
        <v>336.8935</v>
      </c>
      <c r="J348" s="16">
        <v>411.456</v>
      </c>
      <c r="K348" s="16">
        <v>406.5178</v>
      </c>
      <c r="L348" s="16">
        <v>344.3453</v>
      </c>
      <c r="M348" s="16">
        <v>301.0287</v>
      </c>
      <c r="N348" s="16">
        <v>51.0485</v>
      </c>
      <c r="O348" s="16">
        <v>226.7594</v>
      </c>
      <c r="P348" s="16">
        <v>328.7507</v>
      </c>
      <c r="Q348" s="16">
        <v>380.9901</v>
      </c>
      <c r="R348" s="16">
        <v>445.924</v>
      </c>
      <c r="S348" s="16">
        <v>402.5521</v>
      </c>
      <c r="T348" s="16">
        <v>380.4144</v>
      </c>
      <c r="U348" s="16">
        <v>381.1591</v>
      </c>
      <c r="V348" s="16">
        <v>389.5432</v>
      </c>
      <c r="W348" s="16">
        <v>461.9951</v>
      </c>
      <c r="X348" s="16">
        <v>392.6071</v>
      </c>
      <c r="Y348" s="16">
        <v>310.5541</v>
      </c>
      <c r="Z348" s="16"/>
      <c r="AA348" s="17">
        <f t="shared" si="15"/>
        <v>475.2944</v>
      </c>
      <c r="AB348" s="17">
        <f t="shared" si="16"/>
        <v>51.0485</v>
      </c>
      <c r="AC348" s="17">
        <f t="shared" si="17"/>
        <v>339.017091666667</v>
      </c>
    </row>
    <row r="349" spans="1:29">
      <c r="A349" s="8">
        <v>45639</v>
      </c>
      <c r="B349" s="16">
        <v>466.4583</v>
      </c>
      <c r="C349" s="16">
        <v>343.3137</v>
      </c>
      <c r="D349" s="16">
        <v>296.1098</v>
      </c>
      <c r="E349" s="16">
        <v>284.2529</v>
      </c>
      <c r="F349" s="16">
        <v>266.0488</v>
      </c>
      <c r="G349" s="16">
        <v>278.011</v>
      </c>
      <c r="H349" s="16">
        <v>360.294</v>
      </c>
      <c r="I349" s="16">
        <v>395.1425</v>
      </c>
      <c r="J349" s="16">
        <v>569.1459</v>
      </c>
      <c r="K349" s="16">
        <v>399.6416</v>
      </c>
      <c r="L349" s="16">
        <v>305.6978</v>
      </c>
      <c r="M349" s="16">
        <v>269.0014</v>
      </c>
      <c r="N349" s="16">
        <v>179.8563</v>
      </c>
      <c r="O349" s="16">
        <v>199.8009</v>
      </c>
      <c r="P349" s="16">
        <v>295.3557</v>
      </c>
      <c r="Q349" s="16">
        <v>354.5757</v>
      </c>
      <c r="R349" s="16">
        <v>390.2784</v>
      </c>
      <c r="S349" s="16">
        <v>403.8866</v>
      </c>
      <c r="T349" s="16">
        <v>412.7541</v>
      </c>
      <c r="U349" s="16">
        <v>411.0505</v>
      </c>
      <c r="V349" s="16">
        <v>414.2374</v>
      </c>
      <c r="W349" s="16">
        <v>459.5224</v>
      </c>
      <c r="X349" s="16">
        <v>455.495</v>
      </c>
      <c r="Y349" s="16">
        <v>313.3605</v>
      </c>
      <c r="Z349" s="16"/>
      <c r="AA349" s="17">
        <f t="shared" si="15"/>
        <v>569.1459</v>
      </c>
      <c r="AB349" s="17">
        <f t="shared" si="16"/>
        <v>179.8563</v>
      </c>
      <c r="AC349" s="17">
        <f t="shared" si="17"/>
        <v>355.137133333333</v>
      </c>
    </row>
    <row r="350" spans="1:29">
      <c r="A350" s="8">
        <v>45640</v>
      </c>
      <c r="B350" s="16">
        <v>328.5684</v>
      </c>
      <c r="C350" s="16">
        <v>282.6488</v>
      </c>
      <c r="D350" s="16">
        <v>286.1318</v>
      </c>
      <c r="E350" s="16">
        <v>261.596</v>
      </c>
      <c r="F350" s="16">
        <v>218.0456</v>
      </c>
      <c r="G350" s="16">
        <v>177.549</v>
      </c>
      <c r="H350" s="16">
        <v>269.7239</v>
      </c>
      <c r="I350" s="16">
        <v>295.6489</v>
      </c>
      <c r="J350" s="16">
        <v>338.8719</v>
      </c>
      <c r="K350" s="16">
        <v>321.1115</v>
      </c>
      <c r="L350" s="16">
        <v>293.4049</v>
      </c>
      <c r="M350" s="16">
        <v>266.1137</v>
      </c>
      <c r="N350" s="16">
        <v>71.4269</v>
      </c>
      <c r="O350" s="16">
        <v>245.558</v>
      </c>
      <c r="P350" s="16">
        <v>306.4728</v>
      </c>
      <c r="Q350" s="16">
        <v>315.3846</v>
      </c>
      <c r="R350" s="16">
        <v>352.885</v>
      </c>
      <c r="S350" s="16">
        <v>394.9839</v>
      </c>
      <c r="T350" s="16">
        <v>392.0986</v>
      </c>
      <c r="U350" s="16">
        <v>393.4553</v>
      </c>
      <c r="V350" s="16">
        <v>371.1267</v>
      </c>
      <c r="W350" s="16">
        <v>392.5427</v>
      </c>
      <c r="X350" s="16">
        <v>382.4607</v>
      </c>
      <c r="Y350" s="16">
        <v>311.4117</v>
      </c>
      <c r="Z350" s="16"/>
      <c r="AA350" s="17">
        <f t="shared" si="15"/>
        <v>394.9839</v>
      </c>
      <c r="AB350" s="17">
        <f t="shared" si="16"/>
        <v>71.4269</v>
      </c>
      <c r="AC350" s="17">
        <f t="shared" si="17"/>
        <v>302.884220833333</v>
      </c>
    </row>
    <row r="351" spans="1:29">
      <c r="A351" s="8">
        <v>45641</v>
      </c>
      <c r="B351" s="16">
        <v>376.8449</v>
      </c>
      <c r="C351" s="16">
        <v>338.0488</v>
      </c>
      <c r="D351" s="16">
        <v>332.6611</v>
      </c>
      <c r="E351" s="16">
        <v>321.9763</v>
      </c>
      <c r="F351" s="16">
        <v>280.8851</v>
      </c>
      <c r="G351" s="16">
        <v>274.9355</v>
      </c>
      <c r="H351" s="16">
        <v>294.2023</v>
      </c>
      <c r="I351" s="16">
        <v>288.3669</v>
      </c>
      <c r="J351" s="16">
        <v>283.6161</v>
      </c>
      <c r="K351" s="16">
        <v>282.6329</v>
      </c>
      <c r="L351" s="16">
        <v>272.4139</v>
      </c>
      <c r="M351" s="16">
        <v>289.3997</v>
      </c>
      <c r="N351" s="16">
        <v>247.565</v>
      </c>
      <c r="O351" s="16">
        <v>313.8089</v>
      </c>
      <c r="P351" s="16">
        <v>301.2795</v>
      </c>
      <c r="Q351" s="16">
        <v>305.4018</v>
      </c>
      <c r="R351" s="16">
        <v>333.5199</v>
      </c>
      <c r="S351" s="16">
        <v>384.3413</v>
      </c>
      <c r="T351" s="16">
        <v>400.7581</v>
      </c>
      <c r="U351" s="16">
        <v>393.9283</v>
      </c>
      <c r="V351" s="16">
        <v>404.7529</v>
      </c>
      <c r="W351" s="16">
        <v>377.8706</v>
      </c>
      <c r="X351" s="16">
        <v>359.5254</v>
      </c>
      <c r="Y351" s="16">
        <v>226.4532</v>
      </c>
      <c r="Z351" s="16"/>
      <c r="AA351" s="17">
        <f t="shared" si="15"/>
        <v>404.7529</v>
      </c>
      <c r="AB351" s="17">
        <f t="shared" si="16"/>
        <v>226.4532</v>
      </c>
      <c r="AC351" s="17">
        <f t="shared" si="17"/>
        <v>320.216183333333</v>
      </c>
    </row>
    <row r="352" spans="1:29">
      <c r="A352" s="8">
        <v>45642</v>
      </c>
      <c r="B352" s="16">
        <v>242.7826</v>
      </c>
      <c r="C352" s="16">
        <v>274.8813</v>
      </c>
      <c r="D352" s="16">
        <v>174.2319</v>
      </c>
      <c r="E352" s="16">
        <v>154.7573</v>
      </c>
      <c r="F352" s="16">
        <v>52.047</v>
      </c>
      <c r="G352" s="16">
        <v>217.4628</v>
      </c>
      <c r="H352" s="16">
        <v>297.8137</v>
      </c>
      <c r="I352" s="16">
        <v>325.7413</v>
      </c>
      <c r="J352" s="16">
        <v>328.5808</v>
      </c>
      <c r="K352" s="16">
        <v>337.1995</v>
      </c>
      <c r="L352" s="16">
        <v>327.6496</v>
      </c>
      <c r="M352" s="16">
        <v>248.8089</v>
      </c>
      <c r="N352" s="16">
        <v>0</v>
      </c>
      <c r="O352" s="16">
        <v>47.4598</v>
      </c>
      <c r="P352" s="16">
        <v>167.8088</v>
      </c>
      <c r="Q352" s="16">
        <v>289.2671</v>
      </c>
      <c r="R352" s="16">
        <v>331.2087</v>
      </c>
      <c r="S352" s="16">
        <v>338.6743</v>
      </c>
      <c r="T352" s="16">
        <v>375.7378</v>
      </c>
      <c r="U352" s="16">
        <v>368.1623</v>
      </c>
      <c r="V352" s="16">
        <v>364.651</v>
      </c>
      <c r="W352" s="16">
        <v>401.8967</v>
      </c>
      <c r="X352" s="16">
        <v>392.7869</v>
      </c>
      <c r="Y352" s="16">
        <v>294.3387</v>
      </c>
      <c r="Z352" s="16"/>
      <c r="AA352" s="17">
        <f t="shared" si="15"/>
        <v>401.8967</v>
      </c>
      <c r="AB352" s="17">
        <f t="shared" si="16"/>
        <v>0</v>
      </c>
      <c r="AC352" s="17">
        <f t="shared" si="17"/>
        <v>264.747866666667</v>
      </c>
    </row>
    <row r="353" spans="1:29">
      <c r="A353" s="8">
        <v>45643</v>
      </c>
      <c r="B353" s="16">
        <v>332.1634</v>
      </c>
      <c r="C353" s="16">
        <v>276.5541</v>
      </c>
      <c r="D353" s="16">
        <v>275.3388</v>
      </c>
      <c r="E353" s="16">
        <v>263.9697</v>
      </c>
      <c r="F353" s="16">
        <v>237.4964</v>
      </c>
      <c r="G353" s="16">
        <v>244.7633</v>
      </c>
      <c r="H353" s="16">
        <v>289.2561</v>
      </c>
      <c r="I353" s="16">
        <v>336.715</v>
      </c>
      <c r="J353" s="16">
        <v>360.4623</v>
      </c>
      <c r="K353" s="16">
        <v>291.4401</v>
      </c>
      <c r="L353" s="16">
        <v>281.6919</v>
      </c>
      <c r="M353" s="16">
        <v>270.6388</v>
      </c>
      <c r="N353" s="16">
        <v>129.3077</v>
      </c>
      <c r="O353" s="16">
        <v>275.8892</v>
      </c>
      <c r="P353" s="16">
        <v>300.1986</v>
      </c>
      <c r="Q353" s="16">
        <v>329.8667</v>
      </c>
      <c r="R353" s="16">
        <v>369.677</v>
      </c>
      <c r="S353" s="16">
        <v>413.4974</v>
      </c>
      <c r="T353" s="16">
        <v>427.3606</v>
      </c>
      <c r="U353" s="16">
        <v>423.8895</v>
      </c>
      <c r="V353" s="16">
        <v>456.3229</v>
      </c>
      <c r="W353" s="16">
        <v>441.3645</v>
      </c>
      <c r="X353" s="16">
        <v>400.7126</v>
      </c>
      <c r="Y353" s="16">
        <v>303.7009</v>
      </c>
      <c r="Z353" s="16"/>
      <c r="AA353" s="17">
        <f t="shared" si="15"/>
        <v>456.3229</v>
      </c>
      <c r="AB353" s="17">
        <f t="shared" si="16"/>
        <v>129.3077</v>
      </c>
      <c r="AC353" s="17">
        <f t="shared" si="17"/>
        <v>322.178229166667</v>
      </c>
    </row>
    <row r="354" spans="1:29">
      <c r="A354" s="8">
        <v>45644</v>
      </c>
      <c r="B354" s="16">
        <v>308.6086</v>
      </c>
      <c r="C354" s="16">
        <v>281.6418</v>
      </c>
      <c r="D354" s="16">
        <v>269.2598</v>
      </c>
      <c r="E354" s="16">
        <v>251.5356</v>
      </c>
      <c r="F354" s="16">
        <v>211.6504</v>
      </c>
      <c r="G354" s="16">
        <v>129.2471</v>
      </c>
      <c r="H354" s="16">
        <v>254.3193</v>
      </c>
      <c r="I354" s="16">
        <v>306.6833</v>
      </c>
      <c r="J354" s="16">
        <v>324.8503</v>
      </c>
      <c r="K354" s="16">
        <v>311.5507</v>
      </c>
      <c r="L354" s="16">
        <v>280.343</v>
      </c>
      <c r="M354" s="16">
        <v>229.4111</v>
      </c>
      <c r="N354" s="16">
        <v>0</v>
      </c>
      <c r="O354" s="16">
        <v>81.3161</v>
      </c>
      <c r="P354" s="16">
        <v>206.235</v>
      </c>
      <c r="Q354" s="16">
        <v>296.001</v>
      </c>
      <c r="R354" s="16">
        <v>346.2345</v>
      </c>
      <c r="S354" s="16">
        <v>338.681</v>
      </c>
      <c r="T354" s="16">
        <v>357.3077</v>
      </c>
      <c r="U354" s="16">
        <v>393.9018</v>
      </c>
      <c r="V354" s="16">
        <v>346.7251</v>
      </c>
      <c r="W354" s="16">
        <v>352.0296</v>
      </c>
      <c r="X354" s="16">
        <v>308.7312</v>
      </c>
      <c r="Y354" s="16">
        <v>159.8487</v>
      </c>
      <c r="Z354" s="16"/>
      <c r="AA354" s="17">
        <f t="shared" si="15"/>
        <v>393.9018</v>
      </c>
      <c r="AB354" s="17">
        <f t="shared" si="16"/>
        <v>0</v>
      </c>
      <c r="AC354" s="17">
        <f t="shared" si="17"/>
        <v>264.4213625</v>
      </c>
    </row>
    <row r="355" spans="1:29">
      <c r="A355" s="8">
        <v>45645</v>
      </c>
      <c r="B355" s="16">
        <v>294.0257</v>
      </c>
      <c r="C355" s="16">
        <v>246.1921</v>
      </c>
      <c r="D355" s="16">
        <v>180.3961</v>
      </c>
      <c r="E355" s="16">
        <v>88.2504</v>
      </c>
      <c r="F355" s="16">
        <v>80.1853</v>
      </c>
      <c r="G355" s="16">
        <v>103.9514</v>
      </c>
      <c r="H355" s="16">
        <v>250.125</v>
      </c>
      <c r="I355" s="16">
        <v>315.5085</v>
      </c>
      <c r="J355" s="16">
        <v>351.3362</v>
      </c>
      <c r="K355" s="16">
        <v>257.7288</v>
      </c>
      <c r="L355" s="16">
        <v>137.9459</v>
      </c>
      <c r="M355" s="16">
        <v>227.2243</v>
      </c>
      <c r="N355" s="16">
        <v>150.6411</v>
      </c>
      <c r="O355" s="16">
        <v>268.1162</v>
      </c>
      <c r="P355" s="16">
        <v>296.0679</v>
      </c>
      <c r="Q355" s="16">
        <v>333.3351</v>
      </c>
      <c r="R355" s="16">
        <v>426.3109</v>
      </c>
      <c r="S355" s="16">
        <v>390.8267</v>
      </c>
      <c r="T355" s="16">
        <v>377.3372</v>
      </c>
      <c r="U355" s="16">
        <v>406.6116</v>
      </c>
      <c r="V355" s="16">
        <v>391.6831</v>
      </c>
      <c r="W355" s="16">
        <v>377.3524</v>
      </c>
      <c r="X355" s="16">
        <v>378.179</v>
      </c>
      <c r="Y355" s="16">
        <v>321.7224</v>
      </c>
      <c r="Z355" s="16"/>
      <c r="AA355" s="17">
        <f t="shared" si="15"/>
        <v>426.3109</v>
      </c>
      <c r="AB355" s="17">
        <f t="shared" si="16"/>
        <v>80.1853</v>
      </c>
      <c r="AC355" s="17">
        <f t="shared" si="17"/>
        <v>277.127220833333</v>
      </c>
    </row>
    <row r="356" spans="1:29">
      <c r="A356" s="8">
        <v>45646</v>
      </c>
      <c r="B356" s="16">
        <v>367.8189</v>
      </c>
      <c r="C356" s="16">
        <v>294.3736</v>
      </c>
      <c r="D356" s="16">
        <v>291.4756</v>
      </c>
      <c r="E356" s="16">
        <v>267.358</v>
      </c>
      <c r="F356" s="16">
        <v>224.215</v>
      </c>
      <c r="G356" s="16">
        <v>271.0672</v>
      </c>
      <c r="H356" s="16">
        <v>339.0997</v>
      </c>
      <c r="I356" s="16">
        <v>420.9344</v>
      </c>
      <c r="J356" s="16">
        <v>474.6553</v>
      </c>
      <c r="K356" s="16">
        <v>349.9815</v>
      </c>
      <c r="L356" s="16">
        <v>257.4078</v>
      </c>
      <c r="M356" s="16">
        <v>229.1741</v>
      </c>
      <c r="N356" s="16">
        <v>138.0381</v>
      </c>
      <c r="O356" s="16">
        <v>267.6269</v>
      </c>
      <c r="P356" s="16">
        <v>298.2236</v>
      </c>
      <c r="Q356" s="16">
        <v>342.964</v>
      </c>
      <c r="R356" s="16">
        <v>411.3216</v>
      </c>
      <c r="S356" s="16">
        <v>390.1378</v>
      </c>
      <c r="T356" s="16">
        <v>402.4135</v>
      </c>
      <c r="U356" s="16">
        <v>457.7137</v>
      </c>
      <c r="V356" s="16">
        <v>459.8082</v>
      </c>
      <c r="W356" s="16">
        <v>457.0576</v>
      </c>
      <c r="X356" s="16">
        <v>503.8771</v>
      </c>
      <c r="Y356" s="16">
        <v>371.856</v>
      </c>
      <c r="Z356" s="16"/>
      <c r="AA356" s="17">
        <f t="shared" si="15"/>
        <v>503.8771</v>
      </c>
      <c r="AB356" s="17">
        <f t="shared" si="16"/>
        <v>138.0381</v>
      </c>
      <c r="AC356" s="17">
        <f t="shared" si="17"/>
        <v>345.3583</v>
      </c>
    </row>
    <row r="357" spans="1:29">
      <c r="A357" s="8">
        <v>45647</v>
      </c>
      <c r="B357" s="16">
        <v>569.3044</v>
      </c>
      <c r="C357" s="16">
        <v>452.0864</v>
      </c>
      <c r="D357" s="16">
        <v>357.2941</v>
      </c>
      <c r="E357" s="16">
        <v>322.0851</v>
      </c>
      <c r="F357" s="16">
        <v>309.0629</v>
      </c>
      <c r="G357" s="16">
        <v>307.1149</v>
      </c>
      <c r="H357" s="16">
        <v>342.5595</v>
      </c>
      <c r="I357" s="16">
        <v>387.201</v>
      </c>
      <c r="J357" s="16">
        <v>372.3531</v>
      </c>
      <c r="K357" s="16">
        <v>365.7006</v>
      </c>
      <c r="L357" s="16">
        <v>220.7275</v>
      </c>
      <c r="M357" s="16">
        <v>161.4873</v>
      </c>
      <c r="N357" s="16">
        <v>4.8041</v>
      </c>
      <c r="O357" s="16">
        <v>235.1097</v>
      </c>
      <c r="P357" s="16">
        <v>207.5678</v>
      </c>
      <c r="Q357" s="16">
        <v>284.3319</v>
      </c>
      <c r="R357" s="16">
        <v>334.1155</v>
      </c>
      <c r="S357" s="16">
        <v>344.5516</v>
      </c>
      <c r="T357" s="16">
        <v>325.7132</v>
      </c>
      <c r="U357" s="16">
        <v>305.2352</v>
      </c>
      <c r="V357" s="16">
        <v>288.1976</v>
      </c>
      <c r="W357" s="16">
        <v>311.2874</v>
      </c>
      <c r="X357" s="16">
        <v>323.3598</v>
      </c>
      <c r="Y357" s="16">
        <v>299.6829</v>
      </c>
      <c r="Z357" s="16"/>
      <c r="AA357" s="17">
        <f t="shared" si="15"/>
        <v>569.3044</v>
      </c>
      <c r="AB357" s="17">
        <f t="shared" si="16"/>
        <v>4.8041</v>
      </c>
      <c r="AC357" s="17">
        <f t="shared" si="17"/>
        <v>309.622229166667</v>
      </c>
    </row>
    <row r="358" spans="1:29">
      <c r="A358" s="8">
        <v>45648</v>
      </c>
      <c r="B358" s="16">
        <v>357.7756</v>
      </c>
      <c r="C358" s="16">
        <v>285.186</v>
      </c>
      <c r="D358" s="16">
        <v>250.401</v>
      </c>
      <c r="E358" s="16">
        <v>129.7406</v>
      </c>
      <c r="F358" s="16">
        <v>92.892</v>
      </c>
      <c r="G358" s="16">
        <v>98.0826</v>
      </c>
      <c r="H358" s="16">
        <v>220.8804</v>
      </c>
      <c r="I358" s="16">
        <v>279.3059</v>
      </c>
      <c r="J358" s="16">
        <v>240.1873</v>
      </c>
      <c r="K358" s="16">
        <v>170.1811</v>
      </c>
      <c r="L358" s="16">
        <v>136.5187</v>
      </c>
      <c r="M358" s="16">
        <v>158.6917</v>
      </c>
      <c r="N358" s="16">
        <v>39.8675</v>
      </c>
      <c r="O358" s="16">
        <v>198.4986</v>
      </c>
      <c r="P358" s="16">
        <v>110.1786</v>
      </c>
      <c r="Q358" s="16">
        <v>269.2706</v>
      </c>
      <c r="R358" s="16">
        <v>334.9672</v>
      </c>
      <c r="S358" s="16">
        <v>334.3935</v>
      </c>
      <c r="T358" s="16">
        <v>355.6936</v>
      </c>
      <c r="U358" s="16">
        <v>358.6347</v>
      </c>
      <c r="V358" s="16">
        <v>384.6308</v>
      </c>
      <c r="W358" s="16">
        <v>431.2665</v>
      </c>
      <c r="X358" s="16">
        <v>365.2124</v>
      </c>
      <c r="Y358" s="16">
        <v>277.9936</v>
      </c>
      <c r="Z358" s="16"/>
      <c r="AA358" s="17">
        <f t="shared" si="15"/>
        <v>431.2665</v>
      </c>
      <c r="AB358" s="17">
        <f t="shared" si="16"/>
        <v>39.8675</v>
      </c>
      <c r="AC358" s="17">
        <f t="shared" si="17"/>
        <v>245.018770833333</v>
      </c>
    </row>
    <row r="359" spans="1:29">
      <c r="A359" s="8">
        <v>45649</v>
      </c>
      <c r="B359" s="16">
        <v>257.39</v>
      </c>
      <c r="C359" s="16">
        <v>235.81</v>
      </c>
      <c r="D359" s="16">
        <v>204.04</v>
      </c>
      <c r="E359" s="16">
        <v>96.25</v>
      </c>
      <c r="F359" s="16">
        <v>22.28</v>
      </c>
      <c r="G359" s="16">
        <v>21.81</v>
      </c>
      <c r="H359" s="16">
        <v>248.65</v>
      </c>
      <c r="I359" s="16">
        <v>306.64</v>
      </c>
      <c r="J359" s="16">
        <v>370.82</v>
      </c>
      <c r="K359" s="16">
        <v>374.75</v>
      </c>
      <c r="L359" s="16">
        <v>350.28</v>
      </c>
      <c r="M359" s="16">
        <v>302.84</v>
      </c>
      <c r="N359" s="16">
        <v>200.22</v>
      </c>
      <c r="O359" s="16">
        <v>273.35</v>
      </c>
      <c r="P359" s="16">
        <v>304.29</v>
      </c>
      <c r="Q359" s="16">
        <v>317.19</v>
      </c>
      <c r="R359" s="16">
        <v>375.65</v>
      </c>
      <c r="S359" s="16">
        <v>368.52</v>
      </c>
      <c r="T359" s="16">
        <v>382.23</v>
      </c>
      <c r="U359" s="16">
        <v>422.7</v>
      </c>
      <c r="V359" s="16">
        <v>406.62</v>
      </c>
      <c r="W359" s="16">
        <v>424.95</v>
      </c>
      <c r="X359" s="16">
        <v>410.54</v>
      </c>
      <c r="Y359" s="16">
        <v>267.87</v>
      </c>
      <c r="Z359" s="16"/>
      <c r="AA359" s="17">
        <f t="shared" si="15"/>
        <v>424.95</v>
      </c>
      <c r="AB359" s="17">
        <f t="shared" si="16"/>
        <v>21.81</v>
      </c>
      <c r="AC359" s="17">
        <f t="shared" si="17"/>
        <v>289.40375</v>
      </c>
    </row>
    <row r="360" spans="1:29">
      <c r="A360" s="8">
        <v>45650</v>
      </c>
      <c r="B360" s="16">
        <v>287.87</v>
      </c>
      <c r="C360" s="16">
        <v>253.08</v>
      </c>
      <c r="D360" s="16">
        <v>248.94</v>
      </c>
      <c r="E360" s="16">
        <v>248.36</v>
      </c>
      <c r="F360" s="16">
        <v>218.74</v>
      </c>
      <c r="G360" s="16">
        <v>186.72</v>
      </c>
      <c r="H360" s="16">
        <v>291.46</v>
      </c>
      <c r="I360" s="16">
        <v>348.83</v>
      </c>
      <c r="J360" s="16">
        <v>380.7</v>
      </c>
      <c r="K360" s="16">
        <v>339.09</v>
      </c>
      <c r="L360" s="16">
        <v>255.43</v>
      </c>
      <c r="M360" s="16">
        <v>125.46</v>
      </c>
      <c r="N360" s="16">
        <v>1.28</v>
      </c>
      <c r="O360" s="16">
        <v>107.52</v>
      </c>
      <c r="P360" s="16">
        <v>183.63</v>
      </c>
      <c r="Q360" s="16">
        <v>273.47</v>
      </c>
      <c r="R360" s="16">
        <v>313.72</v>
      </c>
      <c r="S360" s="16">
        <v>327.71</v>
      </c>
      <c r="T360" s="16">
        <v>334.34</v>
      </c>
      <c r="U360" s="16">
        <v>349.01</v>
      </c>
      <c r="V360" s="16">
        <v>356.02</v>
      </c>
      <c r="W360" s="16">
        <v>346.92</v>
      </c>
      <c r="X360" s="16">
        <v>339.46</v>
      </c>
      <c r="Y360" s="16">
        <v>282.02</v>
      </c>
      <c r="Z360" s="16"/>
      <c r="AA360" s="17">
        <f t="shared" si="15"/>
        <v>380.7</v>
      </c>
      <c r="AB360" s="17">
        <f t="shared" si="16"/>
        <v>1.28</v>
      </c>
      <c r="AC360" s="17">
        <f t="shared" si="17"/>
        <v>266.6575</v>
      </c>
    </row>
    <row r="361" spans="1:29">
      <c r="A361" s="8">
        <v>45651</v>
      </c>
      <c r="B361" s="16">
        <v>327.01</v>
      </c>
      <c r="C361" s="16">
        <v>268.08</v>
      </c>
      <c r="D361" s="16">
        <v>256.57</v>
      </c>
      <c r="E361" s="16">
        <v>245.91</v>
      </c>
      <c r="F361" s="16">
        <v>176.26</v>
      </c>
      <c r="G361" s="16">
        <v>168.49</v>
      </c>
      <c r="H361" s="16">
        <v>278.2</v>
      </c>
      <c r="I361" s="16">
        <v>345.03</v>
      </c>
      <c r="J361" s="16">
        <v>422.58</v>
      </c>
      <c r="K361" s="16">
        <v>381.26</v>
      </c>
      <c r="L361" s="16">
        <v>313.09</v>
      </c>
      <c r="M361" s="16">
        <v>349.32</v>
      </c>
      <c r="N361" s="16">
        <v>211.49</v>
      </c>
      <c r="O361" s="16">
        <v>300.26</v>
      </c>
      <c r="P361" s="16">
        <v>300.87</v>
      </c>
      <c r="Q361" s="16">
        <v>368.63</v>
      </c>
      <c r="R361" s="16">
        <v>331.36</v>
      </c>
      <c r="S361" s="16">
        <v>341.25</v>
      </c>
      <c r="T361" s="16">
        <v>348.51</v>
      </c>
      <c r="U361" s="16">
        <v>382.96</v>
      </c>
      <c r="V361" s="16">
        <v>352.93</v>
      </c>
      <c r="W361" s="16">
        <v>388.19</v>
      </c>
      <c r="X361" s="16">
        <v>322.44</v>
      </c>
      <c r="Y361" s="16">
        <v>276.81</v>
      </c>
      <c r="Z361" s="16"/>
      <c r="AA361" s="17">
        <f t="shared" si="15"/>
        <v>422.58</v>
      </c>
      <c r="AB361" s="17">
        <f t="shared" si="16"/>
        <v>168.49</v>
      </c>
      <c r="AC361" s="17">
        <f t="shared" si="17"/>
        <v>310.729166666667</v>
      </c>
    </row>
    <row r="362" spans="1:29">
      <c r="A362" s="8">
        <v>45652</v>
      </c>
      <c r="B362" s="16">
        <v>306.4</v>
      </c>
      <c r="C362" s="16">
        <v>288.79</v>
      </c>
      <c r="D362" s="16">
        <v>282.12</v>
      </c>
      <c r="E362" s="16">
        <v>265.35</v>
      </c>
      <c r="F362" s="16">
        <v>259.47</v>
      </c>
      <c r="G362" s="16">
        <v>260.28</v>
      </c>
      <c r="H362" s="16">
        <v>274.62</v>
      </c>
      <c r="I362" s="16">
        <v>342.7</v>
      </c>
      <c r="J362" s="16">
        <v>404.46</v>
      </c>
      <c r="K362" s="16">
        <v>465.34</v>
      </c>
      <c r="L362" s="16">
        <v>396.29</v>
      </c>
      <c r="M362" s="16">
        <v>346.01</v>
      </c>
      <c r="N362" s="16">
        <v>209.35</v>
      </c>
      <c r="O362" s="16">
        <v>315.06</v>
      </c>
      <c r="P362" s="16">
        <v>317.13</v>
      </c>
      <c r="Q362" s="16">
        <v>313.57</v>
      </c>
      <c r="R362" s="16">
        <v>328.57</v>
      </c>
      <c r="S362" s="16">
        <v>344.92</v>
      </c>
      <c r="T362" s="16">
        <v>372.19</v>
      </c>
      <c r="U362" s="16">
        <v>354.95</v>
      </c>
      <c r="V362" s="16">
        <v>354.2</v>
      </c>
      <c r="W362" s="16">
        <v>383.74</v>
      </c>
      <c r="X362" s="16">
        <v>327.64</v>
      </c>
      <c r="Y362" s="16">
        <v>283.55</v>
      </c>
      <c r="Z362" s="16"/>
      <c r="AA362" s="17">
        <f t="shared" si="15"/>
        <v>465.34</v>
      </c>
      <c r="AB362" s="17">
        <f t="shared" si="16"/>
        <v>209.35</v>
      </c>
      <c r="AC362" s="17">
        <f t="shared" si="17"/>
        <v>324.8625</v>
      </c>
    </row>
    <row r="363" spans="1:29">
      <c r="A363" s="8">
        <v>45653</v>
      </c>
      <c r="B363" s="16">
        <v>325.04</v>
      </c>
      <c r="C363" s="16">
        <v>287.66</v>
      </c>
      <c r="D363" s="16">
        <v>289.86</v>
      </c>
      <c r="E363" s="16">
        <v>260.13</v>
      </c>
      <c r="F363" s="16">
        <v>263.16</v>
      </c>
      <c r="G363" s="16">
        <v>252.78</v>
      </c>
      <c r="H363" s="16">
        <v>301.1</v>
      </c>
      <c r="I363" s="16">
        <v>337.9</v>
      </c>
      <c r="J363" s="16">
        <v>412.74</v>
      </c>
      <c r="K363" s="16">
        <v>345.45</v>
      </c>
      <c r="L363" s="16">
        <v>290.93</v>
      </c>
      <c r="M363" s="16">
        <v>289.89</v>
      </c>
      <c r="N363" s="16">
        <v>20.19</v>
      </c>
      <c r="O363" s="16">
        <v>81.61</v>
      </c>
      <c r="P363" s="16">
        <v>286.79</v>
      </c>
      <c r="Q363" s="16">
        <v>308.97</v>
      </c>
      <c r="R363" s="16">
        <v>367.34</v>
      </c>
      <c r="S363" s="16">
        <v>392.81</v>
      </c>
      <c r="T363" s="16">
        <v>374.31</v>
      </c>
      <c r="U363" s="16">
        <v>389.53</v>
      </c>
      <c r="V363" s="16">
        <v>391.55</v>
      </c>
      <c r="W363" s="16">
        <v>389.13</v>
      </c>
      <c r="X363" s="16">
        <v>360.07</v>
      </c>
      <c r="Y363" s="16">
        <v>282.29</v>
      </c>
      <c r="Z363" s="16"/>
      <c r="AA363" s="17">
        <f t="shared" si="15"/>
        <v>412.74</v>
      </c>
      <c r="AB363" s="17">
        <f t="shared" si="16"/>
        <v>20.19</v>
      </c>
      <c r="AC363" s="17">
        <f t="shared" si="17"/>
        <v>304.217916666667</v>
      </c>
    </row>
    <row r="364" spans="1:29">
      <c r="A364" s="8">
        <v>45654</v>
      </c>
      <c r="B364" s="16">
        <v>288.69</v>
      </c>
      <c r="C364" s="16">
        <v>293.23</v>
      </c>
      <c r="D364" s="16">
        <v>257.43</v>
      </c>
      <c r="E364" s="16">
        <v>143.04</v>
      </c>
      <c r="F364" s="16">
        <v>55.85</v>
      </c>
      <c r="G364" s="16">
        <v>115.37</v>
      </c>
      <c r="H364" s="16">
        <v>268.48</v>
      </c>
      <c r="I364" s="16">
        <v>319.15</v>
      </c>
      <c r="J364" s="16">
        <v>358.41</v>
      </c>
      <c r="K364" s="16">
        <v>269.51</v>
      </c>
      <c r="L364" s="16">
        <v>151.22</v>
      </c>
      <c r="M364" s="16">
        <v>170.21</v>
      </c>
      <c r="N364" s="16">
        <v>12.7</v>
      </c>
      <c r="O364" s="16">
        <v>127.57</v>
      </c>
      <c r="P364" s="16">
        <v>111.86</v>
      </c>
      <c r="Q364" s="16">
        <v>212.06</v>
      </c>
      <c r="R364" s="16">
        <v>312.65</v>
      </c>
      <c r="S364" s="16">
        <v>310.65</v>
      </c>
      <c r="T364" s="16">
        <v>334.42</v>
      </c>
      <c r="U364" s="16">
        <v>327.5</v>
      </c>
      <c r="V364" s="16">
        <v>317.08</v>
      </c>
      <c r="W364" s="16">
        <v>378.29</v>
      </c>
      <c r="X364" s="16">
        <v>365.6</v>
      </c>
      <c r="Y364" s="16">
        <v>302.64</v>
      </c>
      <c r="Z364" s="16"/>
      <c r="AA364" s="17">
        <f t="shared" si="15"/>
        <v>378.29</v>
      </c>
      <c r="AB364" s="17">
        <f t="shared" si="16"/>
        <v>12.7</v>
      </c>
      <c r="AC364" s="17">
        <f t="shared" si="17"/>
        <v>241.817083333333</v>
      </c>
    </row>
    <row r="365" spans="1:29">
      <c r="A365" s="8">
        <v>45655</v>
      </c>
      <c r="B365" s="16">
        <v>343.15</v>
      </c>
      <c r="C365" s="16">
        <v>312.86</v>
      </c>
      <c r="D365" s="16">
        <v>319.8</v>
      </c>
      <c r="E365" s="16">
        <v>290.2</v>
      </c>
      <c r="F365" s="16">
        <v>281.69</v>
      </c>
      <c r="G365" s="16">
        <v>292.29</v>
      </c>
      <c r="H365" s="16">
        <v>311.81</v>
      </c>
      <c r="I365" s="16">
        <v>331.01</v>
      </c>
      <c r="J365" s="16">
        <v>271.83</v>
      </c>
      <c r="K365" s="16">
        <v>253.13</v>
      </c>
      <c r="L365" s="16">
        <v>73.78</v>
      </c>
      <c r="M365" s="16">
        <v>52.07</v>
      </c>
      <c r="N365" s="16">
        <v>19.38</v>
      </c>
      <c r="O365" s="16">
        <v>16.57</v>
      </c>
      <c r="P365" s="16">
        <v>27.15</v>
      </c>
      <c r="Q365" s="16">
        <v>76.07</v>
      </c>
      <c r="R365" s="16">
        <v>309.14</v>
      </c>
      <c r="S365" s="16">
        <v>369.84</v>
      </c>
      <c r="T365" s="16">
        <v>369.64</v>
      </c>
      <c r="U365" s="16">
        <v>422.51</v>
      </c>
      <c r="V365" s="16">
        <v>422.08</v>
      </c>
      <c r="W365" s="16">
        <v>472.33</v>
      </c>
      <c r="X365" s="16">
        <v>391.26</v>
      </c>
      <c r="Y365" s="16">
        <v>327.61</v>
      </c>
      <c r="Z365" s="16"/>
      <c r="AA365" s="17">
        <f t="shared" si="15"/>
        <v>472.33</v>
      </c>
      <c r="AB365" s="17">
        <f t="shared" si="16"/>
        <v>16.57</v>
      </c>
      <c r="AC365" s="17">
        <f t="shared" si="17"/>
        <v>264.883333333333</v>
      </c>
    </row>
    <row r="366" spans="1:29">
      <c r="A366" s="8">
        <v>45656</v>
      </c>
      <c r="B366" s="16">
        <v>377.74</v>
      </c>
      <c r="C366" s="16">
        <v>359.32</v>
      </c>
      <c r="D366" s="16">
        <v>317.53</v>
      </c>
      <c r="E366" s="16">
        <v>298.31</v>
      </c>
      <c r="F366" s="16">
        <v>305.48</v>
      </c>
      <c r="G366" s="16">
        <v>328.48</v>
      </c>
      <c r="H366" s="16">
        <v>409.32</v>
      </c>
      <c r="I366" s="16">
        <v>674.37</v>
      </c>
      <c r="J366" s="16">
        <v>821.44</v>
      </c>
      <c r="K366" s="16">
        <v>429.34</v>
      </c>
      <c r="L366" s="16">
        <v>278.74</v>
      </c>
      <c r="M366" s="16">
        <v>275.3</v>
      </c>
      <c r="N366" s="16">
        <v>152.78</v>
      </c>
      <c r="O366" s="16">
        <v>182.35</v>
      </c>
      <c r="P366" s="16">
        <v>268.13</v>
      </c>
      <c r="Q366" s="16">
        <v>333.11</v>
      </c>
      <c r="R366" s="16">
        <v>365.6</v>
      </c>
      <c r="S366" s="16">
        <v>386.47</v>
      </c>
      <c r="T366" s="16">
        <v>421.2</v>
      </c>
      <c r="U366" s="16">
        <v>432.5</v>
      </c>
      <c r="V366" s="16">
        <v>417.37</v>
      </c>
      <c r="W366" s="16">
        <v>396.73</v>
      </c>
      <c r="X366" s="16">
        <v>368.96</v>
      </c>
      <c r="Y366" s="16">
        <v>349.15</v>
      </c>
      <c r="Z366" s="16"/>
      <c r="AA366" s="17">
        <f t="shared" si="15"/>
        <v>821.44</v>
      </c>
      <c r="AB366" s="17">
        <f t="shared" si="16"/>
        <v>152.78</v>
      </c>
      <c r="AC366" s="17">
        <f t="shared" si="17"/>
        <v>372.905</v>
      </c>
    </row>
    <row r="367" spans="1:29">
      <c r="A367" s="8">
        <v>45657</v>
      </c>
      <c r="B367" s="16">
        <v>433.56</v>
      </c>
      <c r="C367" s="16">
        <v>337.82</v>
      </c>
      <c r="D367" s="16">
        <v>319.9</v>
      </c>
      <c r="E367" s="16">
        <v>317.43</v>
      </c>
      <c r="F367" s="16">
        <v>301.11</v>
      </c>
      <c r="G367" s="16">
        <v>294.13</v>
      </c>
      <c r="H367" s="16">
        <v>307.89</v>
      </c>
      <c r="I367" s="16">
        <v>386.82</v>
      </c>
      <c r="J367" s="16">
        <v>422.87</v>
      </c>
      <c r="K367" s="16">
        <v>351.8</v>
      </c>
      <c r="L367" s="16">
        <v>294.9</v>
      </c>
      <c r="M367" s="16">
        <v>251.71</v>
      </c>
      <c r="N367" s="16">
        <v>13.38</v>
      </c>
      <c r="O367" s="16">
        <v>122.96</v>
      </c>
      <c r="P367" s="16">
        <v>110.59</v>
      </c>
      <c r="Q367" s="16">
        <v>270.96</v>
      </c>
      <c r="R367" s="16">
        <v>321.4</v>
      </c>
      <c r="S367" s="16">
        <v>313.98</v>
      </c>
      <c r="T367" s="16">
        <v>325.57</v>
      </c>
      <c r="U367" s="16">
        <v>319</v>
      </c>
      <c r="V367" s="16">
        <v>306.59</v>
      </c>
      <c r="W367" s="16">
        <v>317.92</v>
      </c>
      <c r="X367" s="16">
        <v>325.89</v>
      </c>
      <c r="Y367" s="16">
        <v>288.95</v>
      </c>
      <c r="Z367" s="16"/>
      <c r="AA367" s="17">
        <f t="shared" si="15"/>
        <v>433.56</v>
      </c>
      <c r="AB367" s="17">
        <f t="shared" si="16"/>
        <v>13.38</v>
      </c>
      <c r="AC367" s="17">
        <f t="shared" si="17"/>
        <v>294.047083333333</v>
      </c>
    </row>
    <row r="368" spans="1:29">
      <c r="A368" s="10">
        <v>45658</v>
      </c>
      <c r="B368" s="12">
        <v>328.55</v>
      </c>
      <c r="C368" s="12">
        <v>316.76</v>
      </c>
      <c r="D368" s="12">
        <v>312.46</v>
      </c>
      <c r="E368" s="12">
        <v>300.5</v>
      </c>
      <c r="F368" s="12">
        <v>291.89</v>
      </c>
      <c r="G368" s="12">
        <v>290</v>
      </c>
      <c r="H368" s="12">
        <v>294.93</v>
      </c>
      <c r="I368" s="12">
        <v>324.33</v>
      </c>
      <c r="J368" s="12">
        <v>96.99</v>
      </c>
      <c r="K368" s="12">
        <v>5.75</v>
      </c>
      <c r="L368" s="12">
        <v>0.72</v>
      </c>
      <c r="M368" s="12">
        <v>72.5</v>
      </c>
      <c r="N368" s="12">
        <v>169.27</v>
      </c>
      <c r="O368" s="12">
        <v>150.75</v>
      </c>
      <c r="P368" s="12">
        <v>254.43</v>
      </c>
      <c r="Q368" s="12">
        <v>287.33</v>
      </c>
      <c r="R368" s="12">
        <v>118.34</v>
      </c>
      <c r="S368" s="12">
        <v>309.59</v>
      </c>
      <c r="T368" s="12">
        <v>323.31</v>
      </c>
      <c r="U368" s="12">
        <v>317.84</v>
      </c>
      <c r="V368" s="12">
        <v>349.06</v>
      </c>
      <c r="W368" s="12">
        <v>367.45</v>
      </c>
      <c r="X368" s="12">
        <v>345.98</v>
      </c>
      <c r="Y368" s="12">
        <v>297.05</v>
      </c>
      <c r="AA368" s="17">
        <f t="shared" si="15"/>
        <v>367.45</v>
      </c>
      <c r="AB368" s="17">
        <f t="shared" si="16"/>
        <v>0.72</v>
      </c>
      <c r="AC368" s="17">
        <f t="shared" si="17"/>
        <v>246.9075</v>
      </c>
    </row>
    <row r="369" spans="1:29">
      <c r="A369" s="10">
        <v>45659</v>
      </c>
      <c r="B369" s="12">
        <v>362.85</v>
      </c>
      <c r="C369" s="12">
        <v>311</v>
      </c>
      <c r="D369" s="12">
        <v>310.78</v>
      </c>
      <c r="E369" s="12">
        <v>300.29</v>
      </c>
      <c r="F369" s="12">
        <v>297.25</v>
      </c>
      <c r="G369" s="12">
        <v>294.28</v>
      </c>
      <c r="H369" s="12">
        <v>325</v>
      </c>
      <c r="I369" s="12">
        <v>362.63</v>
      </c>
      <c r="J369" s="12">
        <v>356.98</v>
      </c>
      <c r="K369" s="12">
        <v>351.04</v>
      </c>
      <c r="L369" s="12">
        <v>343.16</v>
      </c>
      <c r="M369" s="12">
        <v>289.49</v>
      </c>
      <c r="N369" s="12">
        <v>230.08</v>
      </c>
      <c r="O369" s="12">
        <v>293.1</v>
      </c>
      <c r="P369" s="12">
        <v>323.13</v>
      </c>
      <c r="Q369" s="12">
        <v>356.83</v>
      </c>
      <c r="R369" s="12">
        <v>366.44</v>
      </c>
      <c r="S369" s="12">
        <v>384.06</v>
      </c>
      <c r="T369" s="12">
        <v>438.36</v>
      </c>
      <c r="U369" s="12">
        <v>532.68</v>
      </c>
      <c r="V369" s="12">
        <v>576.98</v>
      </c>
      <c r="W369" s="12">
        <v>465.2</v>
      </c>
      <c r="X369" s="12">
        <v>431.46</v>
      </c>
      <c r="Y369" s="12">
        <v>378.82</v>
      </c>
      <c r="AA369" s="17">
        <f>MAX($B$369:$Y$369)</f>
        <v>576.98</v>
      </c>
      <c r="AB369" s="17">
        <f>MIN($B$369:$Y$369)</f>
        <v>230.08</v>
      </c>
      <c r="AC369" s="17">
        <f>AVERAGE($B$369:$Y$369)</f>
        <v>361.745416666667</v>
      </c>
    </row>
    <row r="370" spans="1:29">
      <c r="A370" s="10">
        <v>45660</v>
      </c>
      <c r="B370" s="12">
        <v>457.9</v>
      </c>
      <c r="C370" s="12">
        <v>344.57</v>
      </c>
      <c r="D370" s="12">
        <v>330.4</v>
      </c>
      <c r="E370" s="12">
        <v>331.99</v>
      </c>
      <c r="F370" s="12">
        <v>308.5</v>
      </c>
      <c r="G370" s="12">
        <v>314.32</v>
      </c>
      <c r="H370" s="12">
        <v>354.74</v>
      </c>
      <c r="I370" s="12">
        <v>381.85</v>
      </c>
      <c r="J370" s="12">
        <v>336.2</v>
      </c>
      <c r="K370" s="12">
        <v>319.95</v>
      </c>
      <c r="L370" s="12">
        <v>236.52</v>
      </c>
      <c r="M370" s="12">
        <v>267.73</v>
      </c>
      <c r="N370" s="12">
        <v>181.35</v>
      </c>
      <c r="O370" s="12">
        <v>322.24</v>
      </c>
      <c r="P370" s="12">
        <v>324.88</v>
      </c>
      <c r="Q370" s="12">
        <v>342.66</v>
      </c>
      <c r="R370" s="12">
        <v>347.4</v>
      </c>
      <c r="S370" s="12">
        <v>362.98</v>
      </c>
      <c r="T370" s="12">
        <v>363.67</v>
      </c>
      <c r="U370" s="12">
        <v>389.22</v>
      </c>
      <c r="V370" s="12">
        <v>364.72</v>
      </c>
      <c r="W370" s="12">
        <v>364.78</v>
      </c>
      <c r="X370" s="12">
        <v>377.64</v>
      </c>
      <c r="Y370" s="12">
        <v>327.56</v>
      </c>
      <c r="AA370" s="17">
        <f>MAX($B$370:$Y$370)</f>
        <v>457.9</v>
      </c>
      <c r="AB370" s="17">
        <f>MIN($B$370:$Y$370)</f>
        <v>181.35</v>
      </c>
      <c r="AC370" s="17">
        <f>AVERAGE($B$370:$Y$370)</f>
        <v>335.57375</v>
      </c>
    </row>
    <row r="371" spans="1:29">
      <c r="A371" s="10">
        <v>45661</v>
      </c>
      <c r="B371" s="12">
        <v>402.67</v>
      </c>
      <c r="C371" s="12">
        <v>361.02</v>
      </c>
      <c r="D371" s="12">
        <v>350.09</v>
      </c>
      <c r="E371" s="12">
        <v>350.46</v>
      </c>
      <c r="F371" s="12">
        <v>332.85</v>
      </c>
      <c r="G371" s="12">
        <v>329.8</v>
      </c>
      <c r="H371" s="12">
        <v>339.69</v>
      </c>
      <c r="I371" s="12">
        <v>342.44</v>
      </c>
      <c r="J371" s="12">
        <v>372.84</v>
      </c>
      <c r="K371" s="12">
        <v>347.67</v>
      </c>
      <c r="L371" s="12">
        <v>315.45</v>
      </c>
      <c r="M371" s="12">
        <v>258.39</v>
      </c>
      <c r="N371" s="12">
        <v>193.96</v>
      </c>
      <c r="O371" s="12">
        <v>327.21</v>
      </c>
      <c r="P371" s="12">
        <v>343.33</v>
      </c>
      <c r="Q371" s="12">
        <v>341.27</v>
      </c>
      <c r="R371" s="12">
        <v>367.94</v>
      </c>
      <c r="S371" s="12">
        <v>385.94</v>
      </c>
      <c r="T371" s="12">
        <v>408.62</v>
      </c>
      <c r="U371" s="12">
        <v>419.3</v>
      </c>
      <c r="V371" s="12">
        <v>412.94</v>
      </c>
      <c r="W371" s="12">
        <v>398.72</v>
      </c>
      <c r="X371" s="12">
        <v>392.3</v>
      </c>
      <c r="Y371" s="12">
        <v>358.38</v>
      </c>
      <c r="AA371" s="17">
        <f>MAX($B$371:$Y$371)</f>
        <v>419.3</v>
      </c>
      <c r="AB371" s="17">
        <f>MIN($B$371:$Y$371)</f>
        <v>193.96</v>
      </c>
      <c r="AC371" s="17">
        <f>AVERAGE($B$371:$Y$371)</f>
        <v>352.22</v>
      </c>
    </row>
    <row r="372" spans="1:29">
      <c r="A372" s="10">
        <v>45662</v>
      </c>
      <c r="B372" s="12">
        <v>471.64</v>
      </c>
      <c r="C372" s="12">
        <v>395.15</v>
      </c>
      <c r="D372" s="12">
        <v>384.93</v>
      </c>
      <c r="E372" s="12">
        <v>371.67</v>
      </c>
      <c r="F372" s="12">
        <v>359.88</v>
      </c>
      <c r="G372" s="12">
        <v>361.96</v>
      </c>
      <c r="H372" s="12">
        <v>388.38</v>
      </c>
      <c r="I372" s="12">
        <v>390.72</v>
      </c>
      <c r="J372" s="12">
        <v>422.07</v>
      </c>
      <c r="K372" s="12">
        <v>467.89</v>
      </c>
      <c r="L372" s="12">
        <v>470.13</v>
      </c>
      <c r="M372" s="12">
        <v>354.63</v>
      </c>
      <c r="N372" s="12">
        <v>345.25</v>
      </c>
      <c r="O372" s="12">
        <v>475.56</v>
      </c>
      <c r="P372" s="12">
        <v>429.85</v>
      </c>
      <c r="Q372" s="12">
        <v>447.53</v>
      </c>
      <c r="R372" s="12">
        <v>459.02</v>
      </c>
      <c r="S372" s="12">
        <v>463.58</v>
      </c>
      <c r="T372" s="12">
        <v>445.49</v>
      </c>
      <c r="U372" s="12">
        <v>461.7</v>
      </c>
      <c r="V372" s="12">
        <v>432.92</v>
      </c>
      <c r="W372" s="12">
        <v>420.32</v>
      </c>
      <c r="X372" s="12">
        <v>403.01</v>
      </c>
      <c r="Y372" s="12">
        <v>362.9</v>
      </c>
      <c r="AA372" s="17">
        <f>MAX($B$372:$Y$372)</f>
        <v>475.56</v>
      </c>
      <c r="AB372" s="17">
        <f>MIN($B$372:$Y$372)</f>
        <v>345.25</v>
      </c>
      <c r="AC372" s="17">
        <f>AVERAGE($B$372:$Y$372)</f>
        <v>416.090833333333</v>
      </c>
    </row>
    <row r="373" spans="1:29">
      <c r="A373" s="10">
        <v>45663</v>
      </c>
      <c r="B373" s="12">
        <v>570.16</v>
      </c>
      <c r="C373" s="12">
        <v>386.24</v>
      </c>
      <c r="D373" s="12">
        <v>380.2</v>
      </c>
      <c r="E373" s="12">
        <v>361.03</v>
      </c>
      <c r="F373" s="12">
        <v>346.86</v>
      </c>
      <c r="G373" s="12">
        <v>349.19</v>
      </c>
      <c r="H373" s="12">
        <v>393.63</v>
      </c>
      <c r="I373" s="12">
        <v>408.8</v>
      </c>
      <c r="J373" s="12">
        <v>393.02</v>
      </c>
      <c r="K373" s="12">
        <v>370.73</v>
      </c>
      <c r="L373" s="12">
        <v>252.29</v>
      </c>
      <c r="M373" s="12">
        <v>344.68</v>
      </c>
      <c r="N373" s="12">
        <v>258.76</v>
      </c>
      <c r="O373" s="12">
        <v>312.91</v>
      </c>
      <c r="P373" s="12">
        <v>331.49</v>
      </c>
      <c r="Q373" s="12">
        <v>345.02</v>
      </c>
      <c r="R373" s="12">
        <v>369.6</v>
      </c>
      <c r="S373" s="12">
        <v>403.56</v>
      </c>
      <c r="T373" s="12">
        <v>408.12</v>
      </c>
      <c r="U373" s="12">
        <v>423.29</v>
      </c>
      <c r="V373" s="12">
        <v>397.9</v>
      </c>
      <c r="W373" s="12">
        <v>387.02</v>
      </c>
      <c r="X373" s="12">
        <v>357.23</v>
      </c>
      <c r="Y373" s="12">
        <v>331.4</v>
      </c>
      <c r="AA373" s="17">
        <f>MAX($B$373:$Y$373)</f>
        <v>570.16</v>
      </c>
      <c r="AB373" s="17">
        <f>MIN($B$373:$Y$373)</f>
        <v>252.29</v>
      </c>
      <c r="AC373" s="17">
        <f>AVERAGE($B$373:$Y$373)</f>
        <v>370.130416666667</v>
      </c>
    </row>
    <row r="374" spans="1:29">
      <c r="A374" s="10">
        <v>45664</v>
      </c>
      <c r="B374" s="12">
        <v>366.14</v>
      </c>
      <c r="C374" s="12">
        <v>315.27</v>
      </c>
      <c r="D374" s="12">
        <v>305.8</v>
      </c>
      <c r="E374" s="12">
        <v>305.1</v>
      </c>
      <c r="F374" s="12">
        <v>303.03</v>
      </c>
      <c r="G374" s="12">
        <v>310.65</v>
      </c>
      <c r="H374" s="12">
        <v>350.97</v>
      </c>
      <c r="I374" s="12">
        <v>386.38</v>
      </c>
      <c r="J374" s="12">
        <v>402.87</v>
      </c>
      <c r="K374" s="12">
        <v>362.47</v>
      </c>
      <c r="L374" s="12">
        <v>275.75</v>
      </c>
      <c r="M374" s="12">
        <v>301.32</v>
      </c>
      <c r="N374" s="12">
        <v>230.41</v>
      </c>
      <c r="O374" s="12">
        <v>340.66</v>
      </c>
      <c r="P374" s="12">
        <v>320.74</v>
      </c>
      <c r="Q374" s="12">
        <v>323.91</v>
      </c>
      <c r="R374" s="12">
        <v>363.82</v>
      </c>
      <c r="S374" s="12">
        <v>372.15</v>
      </c>
      <c r="T374" s="12">
        <v>385.13</v>
      </c>
      <c r="U374" s="12">
        <v>407.67</v>
      </c>
      <c r="V374" s="12">
        <v>402.28</v>
      </c>
      <c r="W374" s="12">
        <v>378.55</v>
      </c>
      <c r="X374" s="12">
        <v>381.78</v>
      </c>
      <c r="Y374" s="12">
        <v>336.03</v>
      </c>
      <c r="AA374" s="17">
        <f>MAX($B$374:$Y$374)</f>
        <v>407.67</v>
      </c>
      <c r="AB374" s="17">
        <f>MIN($B$374:$Y$374)</f>
        <v>230.41</v>
      </c>
      <c r="AC374" s="17">
        <f>AVERAGE($B$374:$Y$374)</f>
        <v>342.87</v>
      </c>
    </row>
    <row r="375" spans="1:29">
      <c r="A375" s="10">
        <v>45665</v>
      </c>
      <c r="B375" s="12">
        <v>380.58</v>
      </c>
      <c r="C375" s="12">
        <v>352.63</v>
      </c>
      <c r="D375" s="12">
        <v>340.3</v>
      </c>
      <c r="E375" s="12">
        <v>334.97</v>
      </c>
      <c r="F375" s="12">
        <v>305.87</v>
      </c>
      <c r="G375" s="12">
        <v>331.45</v>
      </c>
      <c r="H375" s="12">
        <v>354.07</v>
      </c>
      <c r="I375" s="12">
        <v>412.05</v>
      </c>
      <c r="J375" s="12">
        <v>428.93</v>
      </c>
      <c r="K375" s="12">
        <v>363.18</v>
      </c>
      <c r="L375" s="12">
        <v>369.62</v>
      </c>
      <c r="M375" s="12">
        <v>356.42</v>
      </c>
      <c r="N375" s="12">
        <v>332.74</v>
      </c>
      <c r="O375" s="12">
        <v>385.14</v>
      </c>
      <c r="P375" s="12">
        <v>366</v>
      </c>
      <c r="Q375" s="12">
        <v>358.9</v>
      </c>
      <c r="R375" s="12">
        <v>363.84</v>
      </c>
      <c r="S375" s="12">
        <v>374.42</v>
      </c>
      <c r="T375" s="12">
        <v>379.92</v>
      </c>
      <c r="U375" s="12">
        <v>424.07</v>
      </c>
      <c r="V375" s="12">
        <v>400.45</v>
      </c>
      <c r="W375" s="12">
        <v>370.15</v>
      </c>
      <c r="X375" s="12">
        <v>377.8</v>
      </c>
      <c r="Y375" s="12">
        <v>346.17</v>
      </c>
      <c r="AA375" s="17">
        <f>MAX($B$375:$Y$375)</f>
        <v>428.93</v>
      </c>
      <c r="AB375" s="17">
        <f>MIN($B$375:$Y$375)</f>
        <v>305.87</v>
      </c>
      <c r="AC375" s="17">
        <f>AVERAGE($B$375:$Y$375)</f>
        <v>367.069583333333</v>
      </c>
    </row>
    <row r="376" spans="1:29">
      <c r="A376" s="10">
        <v>45666</v>
      </c>
      <c r="B376" s="12">
        <v>471.39</v>
      </c>
      <c r="C376" s="12">
        <v>393.6</v>
      </c>
      <c r="D376" s="12">
        <v>356.07</v>
      </c>
      <c r="E376" s="12">
        <v>428.1</v>
      </c>
      <c r="F376" s="12">
        <v>389.7</v>
      </c>
      <c r="G376" s="12">
        <v>353.05</v>
      </c>
      <c r="H376" s="12">
        <v>388.69</v>
      </c>
      <c r="I376" s="12">
        <v>452.73</v>
      </c>
      <c r="J376" s="12">
        <v>672.79</v>
      </c>
      <c r="K376" s="12">
        <v>556.99</v>
      </c>
      <c r="L376" s="12">
        <v>387.69</v>
      </c>
      <c r="M376" s="12">
        <v>332.07</v>
      </c>
      <c r="N376" s="12">
        <v>255.09</v>
      </c>
      <c r="O376" s="12">
        <v>361.71</v>
      </c>
      <c r="P376" s="12">
        <v>339.61</v>
      </c>
      <c r="Q376" s="12">
        <v>335.86</v>
      </c>
      <c r="R376" s="12">
        <v>359.97</v>
      </c>
      <c r="S376" s="12">
        <v>364.94</v>
      </c>
      <c r="T376" s="12">
        <v>365.39</v>
      </c>
      <c r="U376" s="12">
        <v>380.37</v>
      </c>
      <c r="V376" s="12">
        <v>389.76</v>
      </c>
      <c r="W376" s="12">
        <v>403.29</v>
      </c>
      <c r="X376" s="12">
        <v>403.46</v>
      </c>
      <c r="Y376" s="12">
        <v>346.68</v>
      </c>
      <c r="AA376" s="17">
        <f>MAX($B$376:$Y$376)</f>
        <v>672.79</v>
      </c>
      <c r="AB376" s="17">
        <f>MIN($B$376:$Y$376)</f>
        <v>255.09</v>
      </c>
      <c r="AC376" s="17">
        <f>AVERAGE($B$376:$Y$376)</f>
        <v>395.375</v>
      </c>
    </row>
    <row r="377" spans="1:29">
      <c r="A377" s="10">
        <v>45667</v>
      </c>
      <c r="B377" s="12">
        <v>448.89</v>
      </c>
      <c r="C377" s="12">
        <v>341.6</v>
      </c>
      <c r="D377" s="12">
        <v>329.49</v>
      </c>
      <c r="E377" s="12">
        <v>319.71</v>
      </c>
      <c r="F377" s="12">
        <v>317.75</v>
      </c>
      <c r="G377" s="12">
        <v>314.64</v>
      </c>
      <c r="H377" s="12">
        <v>348.99</v>
      </c>
      <c r="I377" s="12">
        <v>376.5</v>
      </c>
      <c r="J377" s="12">
        <v>547.9</v>
      </c>
      <c r="K377" s="12">
        <v>556.42</v>
      </c>
      <c r="L377" s="12">
        <v>509.7</v>
      </c>
      <c r="M377" s="12">
        <v>394.73</v>
      </c>
      <c r="N377" s="12">
        <v>296.46</v>
      </c>
      <c r="O377" s="12">
        <v>529.48</v>
      </c>
      <c r="P377" s="12">
        <v>370.64</v>
      </c>
      <c r="Q377" s="12">
        <v>340.84</v>
      </c>
      <c r="R377" s="12">
        <v>394.37</v>
      </c>
      <c r="S377" s="12">
        <v>397.37</v>
      </c>
      <c r="T377" s="12">
        <v>393.4</v>
      </c>
      <c r="U377" s="12">
        <v>463.33</v>
      </c>
      <c r="V377" s="12">
        <v>457.79</v>
      </c>
      <c r="W377" s="12">
        <v>446.26</v>
      </c>
      <c r="X377" s="12">
        <v>415.33</v>
      </c>
      <c r="Y377" s="12">
        <v>353.84</v>
      </c>
      <c r="AA377" s="17">
        <f>MAX($B$377:$Y$377)</f>
        <v>556.42</v>
      </c>
      <c r="AB377" s="17">
        <f>MIN($B$377:$Y$377)</f>
        <v>296.46</v>
      </c>
      <c r="AC377" s="17">
        <f>AVERAGE($B$377:$Y$377)</f>
        <v>402.72625</v>
      </c>
    </row>
    <row r="378" spans="1:29">
      <c r="A378" s="10">
        <v>45668</v>
      </c>
      <c r="B378" s="12">
        <v>428.36</v>
      </c>
      <c r="C378" s="12">
        <v>374.48</v>
      </c>
      <c r="D378" s="12">
        <v>338.48</v>
      </c>
      <c r="E378" s="12">
        <v>318.85</v>
      </c>
      <c r="F378" s="12">
        <v>303.67</v>
      </c>
      <c r="G378" s="12">
        <v>274.1</v>
      </c>
      <c r="H378" s="12">
        <v>321.68</v>
      </c>
      <c r="I378" s="12">
        <v>427.46</v>
      </c>
      <c r="J378" s="12">
        <v>726.31</v>
      </c>
      <c r="K378" s="12">
        <v>625.39</v>
      </c>
      <c r="L378" s="12">
        <v>545.78</v>
      </c>
      <c r="M378" s="12">
        <v>476.43</v>
      </c>
      <c r="N378" s="12">
        <v>373.2</v>
      </c>
      <c r="O378" s="12">
        <v>392.02</v>
      </c>
      <c r="P378" s="12">
        <v>289.95</v>
      </c>
      <c r="Q378" s="12">
        <v>499.76</v>
      </c>
      <c r="R378" s="12">
        <v>548.83</v>
      </c>
      <c r="S378" s="12">
        <v>619.2</v>
      </c>
      <c r="T378" s="12">
        <v>483.99</v>
      </c>
      <c r="U378" s="12">
        <v>505.3</v>
      </c>
      <c r="V378" s="12">
        <v>668.95</v>
      </c>
      <c r="W378" s="12">
        <v>697.61</v>
      </c>
      <c r="X378" s="12">
        <v>534.3</v>
      </c>
      <c r="Y378" s="12">
        <v>375.42</v>
      </c>
      <c r="AA378" s="17">
        <f>MAX($B$378:$Y$378)</f>
        <v>726.31</v>
      </c>
      <c r="AB378" s="17">
        <f>MIN($B$378:$Y$378)</f>
        <v>274.1</v>
      </c>
      <c r="AC378" s="17">
        <f>AVERAGE($B$378:$Y$378)</f>
        <v>464.563333333333</v>
      </c>
    </row>
    <row r="379" spans="1:29">
      <c r="A379" s="10">
        <v>45669</v>
      </c>
      <c r="B379" s="12">
        <v>632.87</v>
      </c>
      <c r="C379" s="12">
        <v>396.31</v>
      </c>
      <c r="D379" s="12">
        <v>347.43</v>
      </c>
      <c r="E379" s="12">
        <v>341.27</v>
      </c>
      <c r="F379" s="12">
        <v>323</v>
      </c>
      <c r="G379" s="12">
        <v>321.27</v>
      </c>
      <c r="H379" s="12">
        <v>329.94</v>
      </c>
      <c r="I379" s="12">
        <v>338.1</v>
      </c>
      <c r="J379" s="12">
        <v>374.69</v>
      </c>
      <c r="K379" s="12">
        <v>328.38</v>
      </c>
      <c r="L379" s="12">
        <v>307.21</v>
      </c>
      <c r="M379" s="12">
        <v>275.49</v>
      </c>
      <c r="N379" s="12">
        <v>116.83</v>
      </c>
      <c r="O379" s="12">
        <v>215.1</v>
      </c>
      <c r="P379" s="12">
        <v>61.5</v>
      </c>
      <c r="Q379" s="12">
        <v>274.54</v>
      </c>
      <c r="R379" s="12">
        <v>327.16</v>
      </c>
      <c r="S379" s="12">
        <v>362.8</v>
      </c>
      <c r="T379" s="12">
        <v>385.07</v>
      </c>
      <c r="U379" s="12">
        <v>399.34</v>
      </c>
      <c r="V379" s="12">
        <v>535.21</v>
      </c>
      <c r="W379" s="12">
        <v>668.9</v>
      </c>
      <c r="X379" s="12">
        <v>494.49</v>
      </c>
      <c r="Y379" s="12">
        <v>345.39</v>
      </c>
      <c r="AA379" s="17">
        <f>MAX($B$379:$Y$379)</f>
        <v>668.9</v>
      </c>
      <c r="AB379" s="17">
        <f>MIN($B$379:$Y$379)</f>
        <v>61.5</v>
      </c>
      <c r="AC379" s="17">
        <f>AVERAGE($B$379:$Y$379)</f>
        <v>354.262083333333</v>
      </c>
    </row>
    <row r="380" spans="1:29">
      <c r="A380" s="10">
        <v>45670</v>
      </c>
      <c r="B380" s="12">
        <v>573.77</v>
      </c>
      <c r="C380" s="12">
        <v>390.04</v>
      </c>
      <c r="D380" s="12">
        <v>326.26</v>
      </c>
      <c r="E380" s="12">
        <v>279.09</v>
      </c>
      <c r="F380" s="12">
        <v>297.27</v>
      </c>
      <c r="G380" s="12">
        <v>312.81</v>
      </c>
      <c r="H380" s="12">
        <v>332.28</v>
      </c>
      <c r="I380" s="12">
        <v>353.31</v>
      </c>
      <c r="J380" s="12">
        <v>430.59</v>
      </c>
      <c r="K380" s="12">
        <v>366.16</v>
      </c>
      <c r="L380" s="12">
        <v>336.24</v>
      </c>
      <c r="M380" s="12">
        <v>305.31</v>
      </c>
      <c r="N380" s="12">
        <v>136.68</v>
      </c>
      <c r="O380" s="12">
        <v>286</v>
      </c>
      <c r="P380" s="12">
        <v>216.34</v>
      </c>
      <c r="Q380" s="12">
        <v>310.5</v>
      </c>
      <c r="R380" s="12">
        <v>364.63</v>
      </c>
      <c r="S380" s="12">
        <v>407.03</v>
      </c>
      <c r="T380" s="12">
        <v>423.09</v>
      </c>
      <c r="U380" s="12">
        <v>444.14</v>
      </c>
      <c r="V380" s="12">
        <v>520.95</v>
      </c>
      <c r="W380" s="12">
        <v>487.92</v>
      </c>
      <c r="X380" s="12">
        <v>523.93</v>
      </c>
      <c r="Y380" s="12">
        <v>351.83</v>
      </c>
      <c r="AA380" s="17">
        <f>MAX($B$380:$Y$380)</f>
        <v>573.77</v>
      </c>
      <c r="AB380" s="17">
        <f>MIN($B$380:$Y$380)</f>
        <v>136.68</v>
      </c>
      <c r="AC380" s="17">
        <f>AVERAGE($B$380:$Y$380)</f>
        <v>365.67375</v>
      </c>
    </row>
    <row r="381" spans="1:29">
      <c r="A381" s="10">
        <v>45671</v>
      </c>
      <c r="B381" s="12">
        <v>382.73</v>
      </c>
      <c r="C381" s="12">
        <v>336.96</v>
      </c>
      <c r="D381" s="12">
        <v>309.12</v>
      </c>
      <c r="E381" s="12">
        <v>294.64</v>
      </c>
      <c r="F381" s="12">
        <v>292.39</v>
      </c>
      <c r="G381" s="12">
        <v>296.14</v>
      </c>
      <c r="H381" s="12">
        <v>319.48</v>
      </c>
      <c r="I381" s="12">
        <v>345.63</v>
      </c>
      <c r="J381" s="12">
        <v>566.69</v>
      </c>
      <c r="K381" s="12">
        <v>727.69</v>
      </c>
      <c r="L381" s="12">
        <v>457.62</v>
      </c>
      <c r="M381" s="12">
        <v>420.05</v>
      </c>
      <c r="N381" s="12">
        <v>342.74</v>
      </c>
      <c r="O381" s="12">
        <v>397.85</v>
      </c>
      <c r="P381" s="12">
        <v>398.86</v>
      </c>
      <c r="Q381" s="12">
        <v>467.18</v>
      </c>
      <c r="R381" s="12">
        <v>434.36</v>
      </c>
      <c r="S381" s="12">
        <v>390.72</v>
      </c>
      <c r="T381" s="12">
        <v>585.13</v>
      </c>
      <c r="U381" s="12">
        <v>556.06</v>
      </c>
      <c r="V381" s="12">
        <v>481.37</v>
      </c>
      <c r="W381" s="12">
        <v>466.68</v>
      </c>
      <c r="X381" s="12">
        <v>393.63</v>
      </c>
      <c r="Y381" s="12">
        <v>326.75</v>
      </c>
      <c r="AA381" s="17">
        <f>MAX($B$381:$Y$381)</f>
        <v>727.69</v>
      </c>
      <c r="AB381" s="17">
        <f>MIN($B$381:$Y$381)</f>
        <v>292.39</v>
      </c>
      <c r="AC381" s="17">
        <f>AVERAGE($B$381:$Y$381)</f>
        <v>416.269583333333</v>
      </c>
    </row>
    <row r="382" spans="1:29">
      <c r="A382" s="10">
        <v>45672</v>
      </c>
      <c r="B382" s="12">
        <v>378.33</v>
      </c>
      <c r="C382" s="12">
        <v>339.11</v>
      </c>
      <c r="D382" s="12">
        <v>309.07</v>
      </c>
      <c r="E382" s="12">
        <v>291.78</v>
      </c>
      <c r="F382" s="12">
        <v>274.06</v>
      </c>
      <c r="G382" s="12">
        <v>271.84</v>
      </c>
      <c r="H382" s="12">
        <v>295.3</v>
      </c>
      <c r="I382" s="12">
        <v>304.05</v>
      </c>
      <c r="J382" s="12">
        <v>432.2</v>
      </c>
      <c r="K382" s="12">
        <v>424.69</v>
      </c>
      <c r="L382" s="12">
        <v>352.16</v>
      </c>
      <c r="M382" s="12">
        <v>298.02</v>
      </c>
      <c r="N382" s="12">
        <v>206.83</v>
      </c>
      <c r="O382" s="12">
        <v>251.03</v>
      </c>
      <c r="P382" s="12">
        <v>207.24</v>
      </c>
      <c r="Q382" s="12">
        <v>302.64</v>
      </c>
      <c r="R382" s="12">
        <v>336.31</v>
      </c>
      <c r="S382" s="12">
        <v>357.34</v>
      </c>
      <c r="T382" s="12">
        <v>362.09</v>
      </c>
      <c r="U382" s="12">
        <v>370.97</v>
      </c>
      <c r="V382" s="12">
        <v>340.25</v>
      </c>
      <c r="W382" s="12">
        <v>336.52</v>
      </c>
      <c r="X382" s="12">
        <v>326.64</v>
      </c>
      <c r="Y382" s="12">
        <v>226.67</v>
      </c>
      <c r="AA382" s="17">
        <f>MAX($B$382:$Y$382)</f>
        <v>432.2</v>
      </c>
      <c r="AB382" s="17">
        <f>MIN($B$382:$Y$382)</f>
        <v>206.83</v>
      </c>
      <c r="AC382" s="17">
        <f>AVERAGE($B$382:$Y$382)</f>
        <v>316.464166666667</v>
      </c>
    </row>
    <row r="383" spans="1:29">
      <c r="A383" s="10">
        <v>45673</v>
      </c>
      <c r="B383" s="12">
        <v>330.43</v>
      </c>
      <c r="C383" s="12">
        <v>300.8</v>
      </c>
      <c r="D383" s="12">
        <v>282.26</v>
      </c>
      <c r="E383" s="12">
        <v>132.52</v>
      </c>
      <c r="F383" s="12">
        <v>2.62</v>
      </c>
      <c r="G383" s="12">
        <v>49.94</v>
      </c>
      <c r="H383" s="12">
        <v>215.45</v>
      </c>
      <c r="I383" s="12">
        <v>297.01</v>
      </c>
      <c r="J383" s="12">
        <v>339.32</v>
      </c>
      <c r="K383" s="12">
        <v>318.09</v>
      </c>
      <c r="L383" s="12">
        <v>296.19</v>
      </c>
      <c r="M383" s="12">
        <v>296.98</v>
      </c>
      <c r="N383" s="12">
        <v>270.15</v>
      </c>
      <c r="O383" s="12">
        <v>295.01</v>
      </c>
      <c r="P383" s="12">
        <v>301.81</v>
      </c>
      <c r="Q383" s="12">
        <v>334.78</v>
      </c>
      <c r="R383" s="12">
        <v>405.15</v>
      </c>
      <c r="S383" s="12">
        <v>488.06</v>
      </c>
      <c r="T383" s="12">
        <v>449.4</v>
      </c>
      <c r="U383" s="12">
        <v>408.61</v>
      </c>
      <c r="V383" s="12">
        <v>387.95</v>
      </c>
      <c r="W383" s="12">
        <v>391.57</v>
      </c>
      <c r="X383" s="12">
        <v>391.04</v>
      </c>
      <c r="Y383" s="12">
        <v>340.49</v>
      </c>
      <c r="AA383" s="17">
        <f>MAX($B$383:$Y$383)</f>
        <v>488.06</v>
      </c>
      <c r="AB383" s="17">
        <f>MIN($B$383:$Y$383)</f>
        <v>2.62</v>
      </c>
      <c r="AC383" s="17">
        <f>AVERAGE($B$383:$Y$383)</f>
        <v>305.234583333333</v>
      </c>
    </row>
    <row r="384" spans="1:29">
      <c r="A384" s="10">
        <v>45674</v>
      </c>
      <c r="B384" s="12">
        <v>382.4</v>
      </c>
      <c r="C384" s="12">
        <v>332.46</v>
      </c>
      <c r="D384" s="12">
        <v>310.35</v>
      </c>
      <c r="E384" s="12">
        <v>301.23</v>
      </c>
      <c r="F384" s="12">
        <v>289.91</v>
      </c>
      <c r="G384" s="12">
        <v>280.68</v>
      </c>
      <c r="H384" s="12">
        <v>296.82</v>
      </c>
      <c r="I384" s="12">
        <v>310.61</v>
      </c>
      <c r="J384" s="12">
        <v>345.98</v>
      </c>
      <c r="K384" s="12">
        <v>317.52</v>
      </c>
      <c r="L384" s="12">
        <v>176.6</v>
      </c>
      <c r="M384" s="12">
        <v>225.18</v>
      </c>
      <c r="N384" s="12">
        <v>233.09</v>
      </c>
      <c r="O384" s="12">
        <v>267.49</v>
      </c>
      <c r="P384" s="12">
        <v>120.45</v>
      </c>
      <c r="Q384" s="12">
        <v>165.49</v>
      </c>
      <c r="R384" s="12">
        <v>315.58</v>
      </c>
      <c r="S384" s="12">
        <v>355.06</v>
      </c>
      <c r="T384" s="12">
        <v>403.61</v>
      </c>
      <c r="U384" s="12">
        <v>407.86</v>
      </c>
      <c r="V384" s="12">
        <v>376.88</v>
      </c>
      <c r="W384" s="12">
        <v>372</v>
      </c>
      <c r="X384" s="12">
        <v>361.18</v>
      </c>
      <c r="Y384" s="12">
        <v>314.58</v>
      </c>
      <c r="AA384" s="17">
        <f>MAX($B$384:$Y$384)</f>
        <v>407.86</v>
      </c>
      <c r="AB384" s="17">
        <f>MIN($B$384:$Y$384)</f>
        <v>120.45</v>
      </c>
      <c r="AC384" s="17">
        <f>AVERAGE($B$384:$Y$384)</f>
        <v>302.625416666667</v>
      </c>
    </row>
    <row r="385" spans="1:29">
      <c r="A385" s="10">
        <v>45675</v>
      </c>
      <c r="B385" s="12">
        <v>343.39</v>
      </c>
      <c r="C385" s="12">
        <v>317.6</v>
      </c>
      <c r="D385" s="12">
        <v>310.31</v>
      </c>
      <c r="E385" s="12">
        <v>301.72</v>
      </c>
      <c r="F385" s="12">
        <v>294.82</v>
      </c>
      <c r="G385" s="12">
        <v>297.38</v>
      </c>
      <c r="H385" s="12">
        <v>305.75</v>
      </c>
      <c r="I385" s="12">
        <v>323.3</v>
      </c>
      <c r="J385" s="12">
        <v>354.21</v>
      </c>
      <c r="K385" s="12">
        <v>333.22</v>
      </c>
      <c r="L385" s="12">
        <v>240.25</v>
      </c>
      <c r="M385" s="12">
        <v>245.1</v>
      </c>
      <c r="N385" s="12">
        <v>226.6</v>
      </c>
      <c r="O385" s="12">
        <v>294.24</v>
      </c>
      <c r="P385" s="12">
        <v>289.06</v>
      </c>
      <c r="Q385" s="12">
        <v>294.85</v>
      </c>
      <c r="R385" s="12">
        <v>319.23</v>
      </c>
      <c r="S385" s="12">
        <v>348.29</v>
      </c>
      <c r="T385" s="12">
        <v>382.98</v>
      </c>
      <c r="U385" s="12">
        <v>389.43</v>
      </c>
      <c r="V385" s="12">
        <v>385.58</v>
      </c>
      <c r="W385" s="12">
        <v>405.1</v>
      </c>
      <c r="X385" s="12">
        <v>445.51</v>
      </c>
      <c r="Y385" s="12">
        <v>351.61</v>
      </c>
      <c r="AA385" s="17">
        <f>MAX($B$385:$Y$385)</f>
        <v>445.51</v>
      </c>
      <c r="AB385" s="17">
        <f>MIN($B$385:$Y$385)</f>
        <v>226.6</v>
      </c>
      <c r="AC385" s="17">
        <f>AVERAGE($B$385:$Y$385)</f>
        <v>324.980416666667</v>
      </c>
    </row>
    <row r="386" spans="1:29">
      <c r="A386" s="10">
        <v>45676</v>
      </c>
      <c r="B386" s="12">
        <v>501.57</v>
      </c>
      <c r="C386" s="12">
        <v>342.79</v>
      </c>
      <c r="D386" s="12">
        <v>329.16</v>
      </c>
      <c r="E386" s="12">
        <v>315.24</v>
      </c>
      <c r="F386" s="12">
        <v>309.46</v>
      </c>
      <c r="G386" s="12">
        <v>309.03</v>
      </c>
      <c r="H386" s="12">
        <v>316.25</v>
      </c>
      <c r="I386" s="12">
        <v>328.29</v>
      </c>
      <c r="J386" s="12">
        <v>332.49</v>
      </c>
      <c r="K386" s="12">
        <v>316.54</v>
      </c>
      <c r="L386" s="12">
        <v>136.73</v>
      </c>
      <c r="M386" s="12">
        <v>224.69</v>
      </c>
      <c r="N386" s="12">
        <v>211.15</v>
      </c>
      <c r="O386" s="12">
        <v>145.96</v>
      </c>
      <c r="P386" s="12">
        <v>39</v>
      </c>
      <c r="Q386" s="12">
        <v>87.76</v>
      </c>
      <c r="R386" s="12">
        <v>303.08</v>
      </c>
      <c r="S386" s="12">
        <v>359.88</v>
      </c>
      <c r="T386" s="12">
        <v>510.38</v>
      </c>
      <c r="U386" s="12">
        <v>419.45</v>
      </c>
      <c r="V386" s="12">
        <v>396.33</v>
      </c>
      <c r="W386" s="12">
        <v>470.03</v>
      </c>
      <c r="X386" s="12">
        <v>626.67</v>
      </c>
      <c r="Y386" s="12">
        <v>351.34</v>
      </c>
      <c r="AA386" s="17">
        <f>MAX($B$386:$Y$386)</f>
        <v>626.67</v>
      </c>
      <c r="AB386" s="17">
        <f>MIN($B$386:$Y$386)</f>
        <v>39</v>
      </c>
      <c r="AC386" s="17">
        <f>AVERAGE($B$386:$Y$386)</f>
        <v>320.13625</v>
      </c>
    </row>
    <row r="387" spans="1:29">
      <c r="A387" s="10">
        <v>45677</v>
      </c>
      <c r="B387" s="12">
        <v>592.21</v>
      </c>
      <c r="C387" s="12">
        <v>329.38</v>
      </c>
      <c r="D387" s="12">
        <v>312.35</v>
      </c>
      <c r="E387" s="12">
        <v>303.35</v>
      </c>
      <c r="F387" s="12">
        <v>294.52</v>
      </c>
      <c r="G387" s="12">
        <v>298.61</v>
      </c>
      <c r="H387" s="12">
        <v>314.03</v>
      </c>
      <c r="I387" s="12">
        <v>317.6</v>
      </c>
      <c r="J387" s="12">
        <v>321.99</v>
      </c>
      <c r="K387" s="12">
        <v>294.24</v>
      </c>
      <c r="L387" s="12">
        <v>290.58</v>
      </c>
      <c r="M387" s="12">
        <v>150.07</v>
      </c>
      <c r="N387" s="12">
        <v>150.11</v>
      </c>
      <c r="O387" s="12">
        <v>48.38</v>
      </c>
      <c r="P387" s="12">
        <v>13.09</v>
      </c>
      <c r="Q387" s="12">
        <v>65</v>
      </c>
      <c r="R387" s="12">
        <v>294.04</v>
      </c>
      <c r="S387" s="12">
        <v>308.02</v>
      </c>
      <c r="T387" s="12">
        <v>326.3</v>
      </c>
      <c r="U387" s="12">
        <v>325.77</v>
      </c>
      <c r="V387" s="12">
        <v>327.42</v>
      </c>
      <c r="W387" s="12">
        <v>332.91</v>
      </c>
      <c r="X387" s="12">
        <v>338.93</v>
      </c>
      <c r="Y387" s="12">
        <v>323.1</v>
      </c>
      <c r="AA387" s="17">
        <f>MAX($B$387:$Y$387)</f>
        <v>592.21</v>
      </c>
      <c r="AB387" s="17">
        <f>MIN($B$387:$Y$387)</f>
        <v>13.09</v>
      </c>
      <c r="AC387" s="17">
        <f>AVERAGE($B$387:$Y$387)</f>
        <v>278</v>
      </c>
    </row>
    <row r="388" spans="1:29">
      <c r="A388" s="10">
        <v>45678</v>
      </c>
      <c r="B388" s="12">
        <v>516.76</v>
      </c>
      <c r="C388" s="12">
        <v>326.29</v>
      </c>
      <c r="D388" s="12">
        <v>304.18</v>
      </c>
      <c r="E388" s="12">
        <v>300.06</v>
      </c>
      <c r="F388" s="12">
        <v>277.51</v>
      </c>
      <c r="G388" s="12">
        <v>295.85</v>
      </c>
      <c r="H388" s="12">
        <v>290.84</v>
      </c>
      <c r="I388" s="12">
        <v>293.97</v>
      </c>
      <c r="J388" s="12">
        <v>281.74</v>
      </c>
      <c r="K388" s="12">
        <v>95.5</v>
      </c>
      <c r="L388" s="12">
        <v>5.47</v>
      </c>
      <c r="M388" s="12">
        <v>81.77</v>
      </c>
      <c r="N388" s="12">
        <v>91.33</v>
      </c>
      <c r="O388" s="12">
        <v>122.53</v>
      </c>
      <c r="P388" s="12">
        <v>0</v>
      </c>
      <c r="Q388" s="12">
        <v>73.75</v>
      </c>
      <c r="R388" s="12">
        <v>240.03</v>
      </c>
      <c r="S388" s="12">
        <v>228.09</v>
      </c>
      <c r="T388" s="12">
        <v>326.85</v>
      </c>
      <c r="U388" s="12">
        <v>315.99</v>
      </c>
      <c r="V388" s="12">
        <v>307.86</v>
      </c>
      <c r="W388" s="12">
        <v>295.6</v>
      </c>
      <c r="X388" s="12">
        <v>322.68</v>
      </c>
      <c r="Y388" s="12">
        <v>309.97</v>
      </c>
      <c r="AA388" s="17">
        <f>MAX($B$388:$Y$388)</f>
        <v>516.76</v>
      </c>
      <c r="AB388" s="17">
        <f>MIN($B$388:$Y$388)</f>
        <v>0</v>
      </c>
      <c r="AC388" s="17">
        <f>AVERAGE($B$388:$Y$388)</f>
        <v>237.6925</v>
      </c>
    </row>
    <row r="389" spans="1:29">
      <c r="A389" s="10">
        <v>45679</v>
      </c>
      <c r="B389" s="12">
        <v>340.01</v>
      </c>
      <c r="C389" s="12">
        <v>296.75</v>
      </c>
      <c r="D389" s="12">
        <v>287</v>
      </c>
      <c r="E389" s="12">
        <v>275.03</v>
      </c>
      <c r="F389" s="12">
        <v>269.5</v>
      </c>
      <c r="G389" s="12">
        <v>220.75</v>
      </c>
      <c r="H389" s="12">
        <v>316.95</v>
      </c>
      <c r="I389" s="12">
        <v>323.29</v>
      </c>
      <c r="J389" s="12">
        <v>303.42</v>
      </c>
      <c r="K389" s="12">
        <v>319.96</v>
      </c>
      <c r="L389" s="12">
        <v>310.22</v>
      </c>
      <c r="M389" s="12">
        <v>307.48</v>
      </c>
      <c r="N389" s="12">
        <v>410.83</v>
      </c>
      <c r="O389" s="12">
        <v>297.03</v>
      </c>
      <c r="P389" s="12">
        <v>0</v>
      </c>
      <c r="Q389" s="12">
        <v>0.25</v>
      </c>
      <c r="R389" s="12">
        <v>148.33</v>
      </c>
      <c r="S389" s="12">
        <v>307.99</v>
      </c>
      <c r="T389" s="12">
        <v>353.23</v>
      </c>
      <c r="U389" s="12">
        <v>361.52</v>
      </c>
      <c r="V389" s="12">
        <v>340.9</v>
      </c>
      <c r="W389" s="12">
        <v>339.26</v>
      </c>
      <c r="X389" s="12">
        <v>349.77</v>
      </c>
      <c r="Y389" s="12">
        <v>308.79</v>
      </c>
      <c r="AA389" s="17">
        <f>MAX($B$389:$Y$389)</f>
        <v>410.83</v>
      </c>
      <c r="AB389" s="17">
        <f>MIN($B$389:$Y$389)</f>
        <v>0</v>
      </c>
      <c r="AC389" s="17">
        <f>AVERAGE($B$389:$Y$389)</f>
        <v>282.844166666667</v>
      </c>
    </row>
    <row r="390" spans="1:29">
      <c r="A390" s="10">
        <v>45680</v>
      </c>
      <c r="B390" s="12">
        <v>441.59</v>
      </c>
      <c r="C390" s="12">
        <v>213.75</v>
      </c>
      <c r="D390" s="12">
        <v>205.28</v>
      </c>
      <c r="E390" s="12">
        <v>95.25</v>
      </c>
      <c r="F390" s="12">
        <v>64.5</v>
      </c>
      <c r="G390" s="12">
        <v>219.12</v>
      </c>
      <c r="H390" s="12">
        <v>299.03</v>
      </c>
      <c r="I390" s="12">
        <v>309.61</v>
      </c>
      <c r="J390" s="12">
        <v>243.27</v>
      </c>
      <c r="K390" s="12">
        <v>272.5</v>
      </c>
      <c r="L390" s="12">
        <v>289.63</v>
      </c>
      <c r="M390" s="12">
        <v>333.25</v>
      </c>
      <c r="N390" s="12">
        <v>497.81</v>
      </c>
      <c r="O390" s="12">
        <v>304.73</v>
      </c>
      <c r="P390" s="12">
        <v>275.03</v>
      </c>
      <c r="Q390" s="12">
        <v>242.53</v>
      </c>
      <c r="R390" s="12">
        <v>220.25</v>
      </c>
      <c r="S390" s="12">
        <v>333.28</v>
      </c>
      <c r="T390" s="12">
        <v>341</v>
      </c>
      <c r="U390" s="12">
        <v>332</v>
      </c>
      <c r="V390" s="12">
        <v>319.79</v>
      </c>
      <c r="W390" s="12">
        <v>323.41</v>
      </c>
      <c r="X390" s="12">
        <v>300.31</v>
      </c>
      <c r="Y390" s="12">
        <v>206.25</v>
      </c>
      <c r="AA390" s="17">
        <f>MAX($B$390:$Y$390)</f>
        <v>497.81</v>
      </c>
      <c r="AB390" s="17">
        <f>MIN($B$390:$Y$390)</f>
        <v>64.5</v>
      </c>
      <c r="AC390" s="17">
        <f>AVERAGE($B$390:$Y$390)</f>
        <v>278.465416666667</v>
      </c>
    </row>
    <row r="391" spans="1:29">
      <c r="A391" s="10">
        <v>45681</v>
      </c>
      <c r="B391" s="12">
        <v>638.66</v>
      </c>
      <c r="C391" s="12">
        <v>140</v>
      </c>
      <c r="D391" s="12">
        <v>68.78</v>
      </c>
      <c r="E391" s="12">
        <v>50</v>
      </c>
      <c r="F391" s="12">
        <v>0</v>
      </c>
      <c r="G391" s="12">
        <v>0</v>
      </c>
      <c r="H391" s="12">
        <v>0</v>
      </c>
      <c r="I391" s="12">
        <v>138.78</v>
      </c>
      <c r="J391" s="12">
        <v>104.14</v>
      </c>
      <c r="K391" s="12">
        <v>159.84</v>
      </c>
      <c r="L391" s="12">
        <v>73.25</v>
      </c>
      <c r="M391" s="12">
        <v>385.49</v>
      </c>
      <c r="N391" s="12">
        <v>320.61</v>
      </c>
      <c r="O391" s="12">
        <v>428.5</v>
      </c>
      <c r="P391" s="12">
        <v>458.03</v>
      </c>
      <c r="Q391" s="12">
        <v>992.98</v>
      </c>
      <c r="R391" s="12">
        <v>570</v>
      </c>
      <c r="S391" s="12">
        <v>148.82</v>
      </c>
      <c r="T391" s="12">
        <v>15.43</v>
      </c>
      <c r="U391" s="12">
        <v>16.37</v>
      </c>
      <c r="V391" s="12">
        <v>10.57</v>
      </c>
      <c r="W391" s="12">
        <v>8.8</v>
      </c>
      <c r="X391" s="12">
        <v>145.19</v>
      </c>
      <c r="Y391" s="12">
        <v>1.5</v>
      </c>
      <c r="AA391" s="17">
        <f>MAX($B$391:$Y$391)</f>
        <v>992.98</v>
      </c>
      <c r="AB391" s="17">
        <f>MIN($B$391:$Y$391)</f>
        <v>0</v>
      </c>
      <c r="AC391" s="17">
        <f>AVERAGE($B$391:$Y$391)</f>
        <v>203.155833333333</v>
      </c>
    </row>
    <row r="392" spans="1:29">
      <c r="A392" s="10">
        <v>45682</v>
      </c>
      <c r="B392" s="12">
        <v>175.5</v>
      </c>
      <c r="C392" s="12">
        <v>336.25</v>
      </c>
      <c r="D392" s="12">
        <v>261.44</v>
      </c>
      <c r="E392" s="12">
        <v>232.83</v>
      </c>
      <c r="F392" s="12">
        <v>0</v>
      </c>
      <c r="G392" s="12">
        <v>0</v>
      </c>
      <c r="H392" s="12">
        <v>63.68</v>
      </c>
      <c r="I392" s="12">
        <v>99.71</v>
      </c>
      <c r="J392" s="12">
        <v>46.47</v>
      </c>
      <c r="K392" s="12">
        <v>134.03</v>
      </c>
      <c r="L392" s="12">
        <v>178.26</v>
      </c>
      <c r="M392" s="12">
        <v>93.48</v>
      </c>
      <c r="N392" s="12">
        <v>71.25</v>
      </c>
      <c r="O392" s="12">
        <v>0</v>
      </c>
      <c r="P392" s="12">
        <v>0</v>
      </c>
      <c r="Q392" s="12">
        <v>0</v>
      </c>
      <c r="R392" s="12">
        <v>0</v>
      </c>
      <c r="S392" s="12">
        <v>177.75</v>
      </c>
      <c r="T392" s="12">
        <v>306.78</v>
      </c>
      <c r="U392" s="12">
        <v>94.83</v>
      </c>
      <c r="V392" s="12">
        <v>124.62</v>
      </c>
      <c r="W392" s="12">
        <v>155.03</v>
      </c>
      <c r="X392" s="12">
        <v>334.09</v>
      </c>
      <c r="Y392" s="12">
        <v>259.79</v>
      </c>
      <c r="AA392" s="17">
        <f>MAX($B$392:$Y$392)</f>
        <v>336.25</v>
      </c>
      <c r="AB392" s="17">
        <f>MIN($B$392:$Y$392)</f>
        <v>0</v>
      </c>
      <c r="AC392" s="17">
        <f>AVERAGE($B$392:$Y$392)</f>
        <v>131.074583333333</v>
      </c>
    </row>
    <row r="393" spans="1:29">
      <c r="A393" s="10">
        <v>45683</v>
      </c>
      <c r="B393" s="12">
        <v>470.44</v>
      </c>
      <c r="C393" s="12">
        <v>284.56</v>
      </c>
      <c r="D393" s="12">
        <v>268</v>
      </c>
      <c r="E393" s="12">
        <v>287.28</v>
      </c>
      <c r="F393" s="12">
        <v>106.25</v>
      </c>
      <c r="G393" s="12">
        <v>37.5</v>
      </c>
      <c r="H393" s="12">
        <v>123.5</v>
      </c>
      <c r="I393" s="12">
        <v>138.5</v>
      </c>
      <c r="J393" s="12">
        <v>213.76</v>
      </c>
      <c r="K393" s="12">
        <v>276.57</v>
      </c>
      <c r="L393" s="12">
        <v>354.52</v>
      </c>
      <c r="M393" s="12">
        <v>341.32</v>
      </c>
      <c r="N393" s="12">
        <v>360.87</v>
      </c>
      <c r="O393" s="12">
        <v>303.76</v>
      </c>
      <c r="P393" s="12">
        <v>234.31</v>
      </c>
      <c r="Q393" s="12">
        <v>182</v>
      </c>
      <c r="R393" s="12">
        <v>69.33</v>
      </c>
      <c r="S393" s="12">
        <v>212.1</v>
      </c>
      <c r="T393" s="12">
        <v>210.03</v>
      </c>
      <c r="U393" s="12">
        <v>230</v>
      </c>
      <c r="V393" s="12">
        <v>211.6</v>
      </c>
      <c r="W393" s="12">
        <v>220.06</v>
      </c>
      <c r="X393" s="12">
        <v>353.08</v>
      </c>
      <c r="Y393" s="12">
        <v>296.64</v>
      </c>
      <c r="AA393" s="17">
        <f>MAX($B$393:$Y$393)</f>
        <v>470.44</v>
      </c>
      <c r="AB393" s="17">
        <f>MIN($B$393:$Y$393)</f>
        <v>37.5</v>
      </c>
      <c r="AC393" s="17">
        <f>AVERAGE($B$393:$Y$393)</f>
        <v>241.0825</v>
      </c>
    </row>
    <row r="394" spans="1:29">
      <c r="A394" s="10">
        <v>45684</v>
      </c>
      <c r="B394" s="12">
        <v>365.18</v>
      </c>
      <c r="C394" s="12">
        <v>280.93</v>
      </c>
      <c r="D394" s="12">
        <v>65</v>
      </c>
      <c r="E394" s="12">
        <v>162.75</v>
      </c>
      <c r="F394" s="12">
        <v>69.5</v>
      </c>
      <c r="G394" s="12">
        <v>41.25</v>
      </c>
      <c r="H394" s="12">
        <v>40.82</v>
      </c>
      <c r="I394" s="12">
        <v>136.37</v>
      </c>
      <c r="J394" s="12">
        <v>61.92</v>
      </c>
      <c r="K394" s="12">
        <v>149.88</v>
      </c>
      <c r="L394" s="12">
        <v>0.01</v>
      </c>
      <c r="M394" s="12">
        <v>114.43</v>
      </c>
      <c r="N394" s="12">
        <v>217.55</v>
      </c>
      <c r="O394" s="12">
        <v>71.93</v>
      </c>
      <c r="P394" s="12">
        <v>142.55</v>
      </c>
      <c r="Q394" s="12">
        <v>268.88</v>
      </c>
      <c r="R394" s="12">
        <v>214.73</v>
      </c>
      <c r="S394" s="12">
        <v>504.75</v>
      </c>
      <c r="T394" s="12">
        <v>698.71</v>
      </c>
      <c r="U394" s="12">
        <v>555.75</v>
      </c>
      <c r="V394" s="12">
        <v>411.37</v>
      </c>
      <c r="W394" s="12">
        <v>371.75</v>
      </c>
      <c r="X394" s="12">
        <v>382.5</v>
      </c>
      <c r="Y394" s="12">
        <v>331.24</v>
      </c>
      <c r="AA394" s="17">
        <f>MAX($B$394:$Y$394)</f>
        <v>698.71</v>
      </c>
      <c r="AB394" s="17">
        <f>MIN($B$394:$Y$394)</f>
        <v>0.01</v>
      </c>
      <c r="AC394" s="17">
        <f>AVERAGE($B$394:$Y$394)</f>
        <v>235.822916666667</v>
      </c>
    </row>
    <row r="395" spans="1:29">
      <c r="A395" s="10">
        <v>45685</v>
      </c>
      <c r="B395" s="12">
        <v>408.54</v>
      </c>
      <c r="C395" s="12">
        <v>313.81</v>
      </c>
      <c r="D395" s="12">
        <v>300.14</v>
      </c>
      <c r="E395" s="12">
        <v>280.44</v>
      </c>
      <c r="F395" s="12">
        <v>112.5</v>
      </c>
      <c r="G395" s="12">
        <v>0.24</v>
      </c>
      <c r="H395" s="12">
        <v>181.95</v>
      </c>
      <c r="I395" s="12">
        <v>315.37</v>
      </c>
      <c r="J395" s="12">
        <v>252.98</v>
      </c>
      <c r="K395" s="12">
        <v>297.25</v>
      </c>
      <c r="L395" s="12">
        <v>305.03</v>
      </c>
      <c r="M395" s="12">
        <v>0</v>
      </c>
      <c r="N395" s="12">
        <v>187.58</v>
      </c>
      <c r="O395" s="12">
        <v>285.79</v>
      </c>
      <c r="P395" s="12">
        <v>207.98</v>
      </c>
      <c r="Q395" s="12">
        <v>295.83</v>
      </c>
      <c r="R395" s="12">
        <v>313.29</v>
      </c>
      <c r="S395" s="12">
        <v>358.31</v>
      </c>
      <c r="T395" s="12">
        <v>357.03</v>
      </c>
      <c r="U395" s="12">
        <v>342.61</v>
      </c>
      <c r="V395" s="12">
        <v>430.39</v>
      </c>
      <c r="W395" s="12">
        <v>456.26</v>
      </c>
      <c r="X395" s="12">
        <v>770.35</v>
      </c>
      <c r="Y395" s="12">
        <v>509.5</v>
      </c>
      <c r="AA395" s="17">
        <f>MAX($B$395:$Y$395)</f>
        <v>770.35</v>
      </c>
      <c r="AB395" s="17">
        <f>MIN($B$395:$Y$395)</f>
        <v>0</v>
      </c>
      <c r="AC395" s="17">
        <f>AVERAGE($B$395:$Y$395)</f>
        <v>303.465416666667</v>
      </c>
    </row>
    <row r="396" spans="1:29">
      <c r="A396" s="10">
        <v>45686</v>
      </c>
      <c r="B396" s="12">
        <v>363.79</v>
      </c>
      <c r="C396" s="12">
        <v>413.62</v>
      </c>
      <c r="D396" s="12">
        <v>285.78</v>
      </c>
      <c r="E396" s="12">
        <v>291.01</v>
      </c>
      <c r="F396" s="12">
        <v>318.84</v>
      </c>
      <c r="G396" s="12">
        <v>302.36</v>
      </c>
      <c r="H396" s="12">
        <v>300.32</v>
      </c>
      <c r="I396" s="12">
        <v>296.28</v>
      </c>
      <c r="J396" s="12">
        <v>298.82</v>
      </c>
      <c r="K396" s="12">
        <v>307.11</v>
      </c>
      <c r="L396" s="12">
        <v>158.31</v>
      </c>
      <c r="M396" s="12">
        <v>288.42</v>
      </c>
      <c r="N396" s="12">
        <v>242.75</v>
      </c>
      <c r="O396" s="12">
        <v>276.34</v>
      </c>
      <c r="P396" s="12">
        <v>308.29</v>
      </c>
      <c r="Q396" s="12">
        <v>62.5</v>
      </c>
      <c r="R396" s="12">
        <v>96.24</v>
      </c>
      <c r="S396" s="12">
        <v>321.34</v>
      </c>
      <c r="T396" s="12">
        <v>347.25</v>
      </c>
      <c r="U396" s="12">
        <v>336.25</v>
      </c>
      <c r="V396" s="12">
        <v>311.35</v>
      </c>
      <c r="W396" s="12">
        <v>308.06</v>
      </c>
      <c r="X396" s="12">
        <v>289.44</v>
      </c>
      <c r="Y396" s="12">
        <v>294.62</v>
      </c>
      <c r="AA396" s="17">
        <f>MAX($B$396:$Y$396)</f>
        <v>413.62</v>
      </c>
      <c r="AB396" s="17">
        <f>MIN($B$396:$Y$396)</f>
        <v>62.5</v>
      </c>
      <c r="AC396" s="17">
        <f>AVERAGE($B$396:$Y$396)</f>
        <v>284.12875</v>
      </c>
    </row>
    <row r="397" spans="1:29">
      <c r="A397" s="10">
        <v>45687</v>
      </c>
      <c r="B397" s="12">
        <v>214.61</v>
      </c>
      <c r="C397" s="12">
        <v>248.81</v>
      </c>
      <c r="D397" s="12">
        <v>212.25</v>
      </c>
      <c r="E397" s="12">
        <v>146.25</v>
      </c>
      <c r="F397" s="12">
        <v>164</v>
      </c>
      <c r="G397" s="12">
        <v>116.75</v>
      </c>
      <c r="H397" s="12">
        <v>132</v>
      </c>
      <c r="I397" s="12">
        <v>304.5</v>
      </c>
      <c r="J397" s="12">
        <v>315.06</v>
      </c>
      <c r="K397" s="12">
        <v>160.03</v>
      </c>
      <c r="L397" s="12">
        <v>190.52</v>
      </c>
      <c r="M397" s="12">
        <v>84.61</v>
      </c>
      <c r="N397" s="12">
        <v>0.01</v>
      </c>
      <c r="O397" s="12">
        <v>57.75</v>
      </c>
      <c r="P397" s="12">
        <v>0</v>
      </c>
      <c r="Q397" s="12">
        <v>152.53</v>
      </c>
      <c r="R397" s="12">
        <v>206.88</v>
      </c>
      <c r="S397" s="12">
        <v>288.29</v>
      </c>
      <c r="T397" s="12">
        <v>306.92</v>
      </c>
      <c r="U397" s="12">
        <v>228.31</v>
      </c>
      <c r="V397" s="12">
        <v>313.38</v>
      </c>
      <c r="W397" s="12">
        <v>340</v>
      </c>
      <c r="X397" s="12">
        <v>333.79</v>
      </c>
      <c r="Y397" s="12">
        <v>284.04</v>
      </c>
      <c r="AA397" s="17">
        <f>MAX($B$397:$Y$397)</f>
        <v>340</v>
      </c>
      <c r="AB397" s="17">
        <f>MIN($B$397:$Y$397)</f>
        <v>0</v>
      </c>
      <c r="AC397" s="17">
        <f>AVERAGE($B$397:$Y$397)</f>
        <v>200.05375</v>
      </c>
    </row>
    <row r="398" spans="1:29">
      <c r="A398" s="10">
        <v>45688</v>
      </c>
      <c r="B398" s="12">
        <v>235.68</v>
      </c>
      <c r="C398" s="12">
        <v>228.27</v>
      </c>
      <c r="D398" s="12">
        <v>44.82</v>
      </c>
      <c r="E398" s="12">
        <v>127.5</v>
      </c>
      <c r="F398" s="12">
        <v>17.75</v>
      </c>
      <c r="G398" s="12">
        <v>17.75</v>
      </c>
      <c r="H398" s="12">
        <v>192.75</v>
      </c>
      <c r="I398" s="12">
        <v>295.03</v>
      </c>
      <c r="J398" s="12">
        <v>268.29</v>
      </c>
      <c r="K398" s="12">
        <v>241.25</v>
      </c>
      <c r="L398" s="12">
        <v>138.75</v>
      </c>
      <c r="M398" s="12">
        <v>312.54</v>
      </c>
      <c r="N398" s="12">
        <v>308.79</v>
      </c>
      <c r="O398" s="12">
        <v>449.89</v>
      </c>
      <c r="P398" s="12">
        <v>356.28</v>
      </c>
      <c r="Q398" s="12">
        <v>228.81</v>
      </c>
      <c r="R398" s="12">
        <v>315.51</v>
      </c>
      <c r="S398" s="12">
        <v>347.64</v>
      </c>
      <c r="T398" s="12">
        <v>363.83</v>
      </c>
      <c r="U398" s="12">
        <v>332.39</v>
      </c>
      <c r="V398" s="12">
        <v>361.5</v>
      </c>
      <c r="W398" s="12">
        <v>351.25</v>
      </c>
      <c r="X398" s="12">
        <v>377.5</v>
      </c>
      <c r="Y398" s="12">
        <v>322.53</v>
      </c>
      <c r="AA398" s="17">
        <f>MAX($B$398:$Y$398)</f>
        <v>449.89</v>
      </c>
      <c r="AB398" s="17">
        <f>MIN($B$398:$Y$398)</f>
        <v>17.75</v>
      </c>
      <c r="AC398" s="17">
        <f>AVERAGE($B$398:$Y$398)</f>
        <v>259.845833333333</v>
      </c>
    </row>
    <row r="399" spans="1:29">
      <c r="A399" s="10">
        <v>45689</v>
      </c>
      <c r="B399" s="12">
        <v>510</v>
      </c>
      <c r="C399" s="12">
        <v>359.75</v>
      </c>
      <c r="D399" s="12">
        <v>355</v>
      </c>
      <c r="E399" s="12">
        <v>315.56</v>
      </c>
      <c r="F399" s="12">
        <v>313.79</v>
      </c>
      <c r="G399" s="12">
        <v>311.34</v>
      </c>
      <c r="H399" s="12">
        <v>320.7</v>
      </c>
      <c r="I399" s="12">
        <v>358.75</v>
      </c>
      <c r="J399" s="12">
        <v>549.5</v>
      </c>
      <c r="K399" s="12">
        <v>483.5</v>
      </c>
      <c r="L399" s="12">
        <v>371.25</v>
      </c>
      <c r="M399" s="12">
        <v>347.5</v>
      </c>
      <c r="N399" s="12">
        <v>468.5</v>
      </c>
      <c r="O399" s="12">
        <v>674</v>
      </c>
      <c r="P399" s="12">
        <v>372.14</v>
      </c>
      <c r="Q399" s="12">
        <v>335.75</v>
      </c>
      <c r="R399" s="12">
        <v>323.71</v>
      </c>
      <c r="S399" s="12">
        <v>409.32</v>
      </c>
      <c r="T399" s="12">
        <v>460.61</v>
      </c>
      <c r="U399" s="12">
        <v>377</v>
      </c>
      <c r="V399" s="12">
        <v>366.27</v>
      </c>
      <c r="W399" s="12">
        <v>358.4</v>
      </c>
      <c r="X399" s="12">
        <v>359.98</v>
      </c>
      <c r="Y399" s="12">
        <v>306.25</v>
      </c>
      <c r="AA399" s="17">
        <f>MAX($B$399:$Y$399)</f>
        <v>674</v>
      </c>
      <c r="AB399" s="17">
        <f>MIN($B$399:$Y$399)</f>
        <v>306.25</v>
      </c>
      <c r="AC399" s="17">
        <f>AVERAGE($B$399:$Y$399)</f>
        <v>392.02375</v>
      </c>
    </row>
    <row r="400" spans="1:29">
      <c r="A400" s="10">
        <v>45690</v>
      </c>
      <c r="B400" s="12">
        <v>511.95</v>
      </c>
      <c r="C400" s="12">
        <v>332.64</v>
      </c>
      <c r="D400" s="12">
        <v>329.5</v>
      </c>
      <c r="E400" s="12">
        <v>313.81</v>
      </c>
      <c r="F400" s="12">
        <v>219.32</v>
      </c>
      <c r="G400" s="12">
        <v>310.03</v>
      </c>
      <c r="H400" s="12">
        <v>305.04</v>
      </c>
      <c r="I400" s="12">
        <v>321.79</v>
      </c>
      <c r="J400" s="12">
        <v>340</v>
      </c>
      <c r="K400" s="12">
        <v>395</v>
      </c>
      <c r="L400" s="12">
        <v>381.39</v>
      </c>
      <c r="M400" s="12">
        <v>424.5</v>
      </c>
      <c r="N400" s="12">
        <v>630.47</v>
      </c>
      <c r="O400" s="12">
        <v>464.97</v>
      </c>
      <c r="P400" s="12">
        <v>347.5</v>
      </c>
      <c r="Q400" s="12">
        <v>215.5</v>
      </c>
      <c r="R400" s="12">
        <v>302.51</v>
      </c>
      <c r="S400" s="12">
        <v>488.5</v>
      </c>
      <c r="T400" s="12">
        <v>390</v>
      </c>
      <c r="U400" s="12">
        <v>352.64</v>
      </c>
      <c r="V400" s="12">
        <v>366.39</v>
      </c>
      <c r="W400" s="12">
        <v>357</v>
      </c>
      <c r="X400" s="12">
        <v>342.18</v>
      </c>
      <c r="Y400" s="12">
        <v>254.26</v>
      </c>
      <c r="AA400" s="17">
        <f>MAX($B$400:$Y$400)</f>
        <v>630.47</v>
      </c>
      <c r="AB400" s="17">
        <f>MIN($B$400:$Y$400)</f>
        <v>215.5</v>
      </c>
      <c r="AC400" s="17">
        <f>AVERAGE($B$400:$Y$400)</f>
        <v>362.370416666667</v>
      </c>
    </row>
    <row r="401" spans="1:29">
      <c r="A401" s="10">
        <v>45691</v>
      </c>
      <c r="B401" s="12">
        <v>280.25</v>
      </c>
      <c r="C401" s="12">
        <v>300.6</v>
      </c>
      <c r="D401" s="12">
        <v>296.31</v>
      </c>
      <c r="E401" s="12">
        <v>172.25</v>
      </c>
      <c r="F401" s="12">
        <v>102</v>
      </c>
      <c r="G401" s="12">
        <v>94</v>
      </c>
      <c r="H401" s="12">
        <v>258.72</v>
      </c>
      <c r="I401" s="12">
        <v>298.81</v>
      </c>
      <c r="J401" s="12">
        <v>323.79</v>
      </c>
      <c r="K401" s="12">
        <v>321.25</v>
      </c>
      <c r="L401" s="12">
        <v>325</v>
      </c>
      <c r="M401" s="12">
        <v>318.32</v>
      </c>
      <c r="N401" s="12">
        <v>332.5</v>
      </c>
      <c r="O401" s="12">
        <v>316.58</v>
      </c>
      <c r="P401" s="12">
        <v>305.93</v>
      </c>
      <c r="Q401" s="12">
        <v>308.51</v>
      </c>
      <c r="R401" s="12">
        <v>311.28</v>
      </c>
      <c r="S401" s="12">
        <v>325.65</v>
      </c>
      <c r="T401" s="12">
        <v>310.52</v>
      </c>
      <c r="U401" s="12">
        <v>313.35</v>
      </c>
      <c r="V401" s="12">
        <v>311.96</v>
      </c>
      <c r="W401" s="12">
        <v>320.03</v>
      </c>
      <c r="X401" s="12">
        <v>307.5</v>
      </c>
      <c r="Y401" s="12">
        <v>267.22</v>
      </c>
      <c r="AA401" s="17">
        <f>MAX($B$401:$Y$401)</f>
        <v>332.5</v>
      </c>
      <c r="AB401" s="17">
        <f>MIN($B$401:$Y$401)</f>
        <v>94</v>
      </c>
      <c r="AC401" s="17">
        <f>AVERAGE($B$401:$Y$401)</f>
        <v>284.26375</v>
      </c>
    </row>
    <row r="402" spans="1:29">
      <c r="A402" s="10">
        <v>45692</v>
      </c>
      <c r="B402" s="12">
        <v>305.4</v>
      </c>
      <c r="C402" s="12">
        <v>214</v>
      </c>
      <c r="D402" s="12">
        <v>240.04</v>
      </c>
      <c r="E402" s="12">
        <v>241.19</v>
      </c>
      <c r="F402" s="12">
        <v>267.79</v>
      </c>
      <c r="G402" s="12">
        <v>290.46</v>
      </c>
      <c r="H402" s="12">
        <v>291.47</v>
      </c>
      <c r="I402" s="12">
        <v>306</v>
      </c>
      <c r="J402" s="12">
        <v>315.9</v>
      </c>
      <c r="K402" s="12">
        <v>309.97</v>
      </c>
      <c r="L402" s="12">
        <v>116.21</v>
      </c>
      <c r="M402" s="12">
        <v>148.82</v>
      </c>
      <c r="N402" s="12">
        <v>305.06</v>
      </c>
      <c r="O402" s="12">
        <v>287.63</v>
      </c>
      <c r="P402" s="12">
        <v>313.91</v>
      </c>
      <c r="Q402" s="12">
        <v>293.87</v>
      </c>
      <c r="R402" s="12">
        <v>307.04</v>
      </c>
      <c r="S402" s="12">
        <v>330.04</v>
      </c>
      <c r="T402" s="12">
        <v>373.23</v>
      </c>
      <c r="U402" s="12">
        <v>378.83</v>
      </c>
      <c r="V402" s="12">
        <v>310.29</v>
      </c>
      <c r="W402" s="12">
        <v>330.06</v>
      </c>
      <c r="X402" s="12">
        <v>324.55</v>
      </c>
      <c r="Y402" s="12">
        <v>303.68</v>
      </c>
      <c r="AA402" s="17">
        <f>MAX($B$402:$Y$402)</f>
        <v>378.83</v>
      </c>
      <c r="AB402" s="17">
        <f>MIN($B$402:$Y$402)</f>
        <v>116.21</v>
      </c>
      <c r="AC402" s="17">
        <f>AVERAGE($B$402:$Y$402)</f>
        <v>287.726666666667</v>
      </c>
    </row>
    <row r="403" spans="1:29">
      <c r="A403" s="10">
        <v>45693</v>
      </c>
      <c r="B403" s="12">
        <v>436.03</v>
      </c>
      <c r="C403" s="12">
        <v>296.75</v>
      </c>
      <c r="D403" s="12">
        <v>298.82</v>
      </c>
      <c r="E403" s="12">
        <v>297.06</v>
      </c>
      <c r="F403" s="12">
        <v>233.75</v>
      </c>
      <c r="G403" s="12">
        <v>147.5</v>
      </c>
      <c r="H403" s="12">
        <v>237.5</v>
      </c>
      <c r="I403" s="12">
        <v>295.03</v>
      </c>
      <c r="J403" s="12">
        <v>234.03</v>
      </c>
      <c r="K403" s="12">
        <v>299.06</v>
      </c>
      <c r="L403" s="12">
        <v>229</v>
      </c>
      <c r="M403" s="12">
        <v>300.03</v>
      </c>
      <c r="N403" s="12">
        <v>299.25</v>
      </c>
      <c r="O403" s="12">
        <v>73.79</v>
      </c>
      <c r="P403" s="12">
        <v>292.06</v>
      </c>
      <c r="Q403" s="12">
        <v>307.53</v>
      </c>
      <c r="R403" s="12">
        <v>320</v>
      </c>
      <c r="S403" s="12">
        <v>332.5</v>
      </c>
      <c r="T403" s="12">
        <v>346.43</v>
      </c>
      <c r="U403" s="12">
        <v>346.2</v>
      </c>
      <c r="V403" s="12">
        <v>324.33</v>
      </c>
      <c r="W403" s="12">
        <v>339.7</v>
      </c>
      <c r="X403" s="12">
        <v>320.11</v>
      </c>
      <c r="Y403" s="12">
        <v>282.53</v>
      </c>
      <c r="AA403" s="17">
        <f>MAX($B$403:$Y$403)</f>
        <v>436.03</v>
      </c>
      <c r="AB403" s="17">
        <f>MIN($B$403:$Y$403)</f>
        <v>73.79</v>
      </c>
      <c r="AC403" s="17">
        <f>AVERAGE($B$403:$Y$403)</f>
        <v>287.04125</v>
      </c>
    </row>
    <row r="404" spans="1:29">
      <c r="A404" s="10">
        <v>45694</v>
      </c>
      <c r="B404" s="12">
        <v>319.78</v>
      </c>
      <c r="C404" s="12">
        <v>300.03</v>
      </c>
      <c r="D404" s="12">
        <v>299.5</v>
      </c>
      <c r="E404" s="12">
        <v>300</v>
      </c>
      <c r="F404" s="12">
        <v>287.53</v>
      </c>
      <c r="G404" s="12">
        <v>278.83</v>
      </c>
      <c r="H404" s="12">
        <v>287.06</v>
      </c>
      <c r="I404" s="12">
        <v>245.25</v>
      </c>
      <c r="J404" s="12">
        <v>420.6</v>
      </c>
      <c r="K404" s="12">
        <v>432.29</v>
      </c>
      <c r="L404" s="12">
        <v>340</v>
      </c>
      <c r="M404" s="12">
        <v>314.84</v>
      </c>
      <c r="N404" s="12">
        <v>138.78</v>
      </c>
      <c r="O404" s="12">
        <v>236.25</v>
      </c>
      <c r="P404" s="12">
        <v>304.34</v>
      </c>
      <c r="Q404" s="12">
        <v>301.22</v>
      </c>
      <c r="R404" s="12">
        <v>305.2</v>
      </c>
      <c r="S404" s="12">
        <v>314.84</v>
      </c>
      <c r="T404" s="12">
        <v>318.03</v>
      </c>
      <c r="U404" s="12">
        <v>295.13</v>
      </c>
      <c r="V404" s="12">
        <v>299.06</v>
      </c>
      <c r="W404" s="12">
        <v>298.35</v>
      </c>
      <c r="X404" s="12">
        <v>296.4</v>
      </c>
      <c r="Y404" s="12">
        <v>141.25</v>
      </c>
      <c r="AA404" s="17">
        <f>MAX($B$404:$Y$404)</f>
        <v>432.29</v>
      </c>
      <c r="AB404" s="17">
        <f>MIN($B$404:$Y$404)</f>
        <v>138.78</v>
      </c>
      <c r="AC404" s="17">
        <f>AVERAGE($B$404:$Y$404)</f>
        <v>294.773333333333</v>
      </c>
    </row>
    <row r="405" spans="1:29">
      <c r="A405" s="10">
        <v>45695</v>
      </c>
      <c r="B405" s="12">
        <v>292.56</v>
      </c>
      <c r="C405" s="12">
        <v>273.08</v>
      </c>
      <c r="D405" s="12">
        <v>279.17</v>
      </c>
      <c r="E405" s="12">
        <v>220.62</v>
      </c>
      <c r="F405" s="12">
        <v>264.56</v>
      </c>
      <c r="G405" s="12">
        <v>275.59</v>
      </c>
      <c r="H405" s="12">
        <v>272.75</v>
      </c>
      <c r="I405" s="12">
        <v>298.48</v>
      </c>
      <c r="J405" s="12">
        <v>352.7</v>
      </c>
      <c r="K405" s="12">
        <v>363.62</v>
      </c>
      <c r="L405" s="12">
        <v>371.05</v>
      </c>
      <c r="M405" s="12">
        <v>382.97</v>
      </c>
      <c r="N405" s="12">
        <v>372.27</v>
      </c>
      <c r="O405" s="12">
        <v>694.34</v>
      </c>
      <c r="P405" s="12">
        <v>565.91</v>
      </c>
      <c r="Q405" s="12">
        <v>328.39</v>
      </c>
      <c r="R405" s="12">
        <v>336.84</v>
      </c>
      <c r="S405" s="12">
        <v>319.89</v>
      </c>
      <c r="T405" s="12">
        <v>314</v>
      </c>
      <c r="U405" s="12">
        <v>317.58</v>
      </c>
      <c r="V405" s="12">
        <v>322.82</v>
      </c>
      <c r="W405" s="12">
        <v>317.03</v>
      </c>
      <c r="X405" s="12">
        <v>307.43</v>
      </c>
      <c r="Y405" s="12">
        <v>273.74</v>
      </c>
      <c r="AA405" s="17">
        <f>MAX($B$405:$Y$405)</f>
        <v>694.34</v>
      </c>
      <c r="AB405" s="17">
        <f>MIN($B$405:$Y$405)</f>
        <v>220.62</v>
      </c>
      <c r="AC405" s="17">
        <f>AVERAGE($B$405:$Y$405)</f>
        <v>338.224583333333</v>
      </c>
    </row>
    <row r="406" spans="1:29">
      <c r="A406" s="10">
        <v>45696</v>
      </c>
      <c r="B406" s="12">
        <v>297.78</v>
      </c>
      <c r="C406" s="12">
        <v>264.34</v>
      </c>
      <c r="D406" s="12">
        <v>275.14</v>
      </c>
      <c r="E406" s="12">
        <v>186.21</v>
      </c>
      <c r="F406" s="12">
        <v>254.81</v>
      </c>
      <c r="G406" s="12">
        <v>286.95</v>
      </c>
      <c r="H406" s="12">
        <v>284.17</v>
      </c>
      <c r="I406" s="12">
        <v>299.11</v>
      </c>
      <c r="J406" s="12">
        <v>327.01</v>
      </c>
      <c r="K406" s="12">
        <v>245.49</v>
      </c>
      <c r="L406" s="12">
        <v>206.09</v>
      </c>
      <c r="M406" s="12">
        <v>157.19</v>
      </c>
      <c r="N406" s="12">
        <v>131.85</v>
      </c>
      <c r="O406" s="12">
        <v>249.12</v>
      </c>
      <c r="P406" s="12">
        <v>232.74</v>
      </c>
      <c r="Q406" s="12">
        <v>297.22</v>
      </c>
      <c r="R406" s="12">
        <v>329.9</v>
      </c>
      <c r="S406" s="12">
        <v>343.28</v>
      </c>
      <c r="T406" s="12">
        <v>332.12</v>
      </c>
      <c r="U406" s="12">
        <v>337.67</v>
      </c>
      <c r="V406" s="12">
        <v>327.92</v>
      </c>
      <c r="W406" s="12">
        <v>329.39</v>
      </c>
      <c r="X406" s="12">
        <v>335.99</v>
      </c>
      <c r="Y406" s="12">
        <v>301.76</v>
      </c>
      <c r="AA406" s="17">
        <f>MAX($B$406:$Y$406)</f>
        <v>343.28</v>
      </c>
      <c r="AB406" s="17">
        <f>MIN($B$406:$Y$406)</f>
        <v>131.85</v>
      </c>
      <c r="AC406" s="17">
        <f>AVERAGE($B$406:$Y$406)</f>
        <v>276.385416666667</v>
      </c>
    </row>
    <row r="407" spans="1:29">
      <c r="A407" s="10">
        <v>45697</v>
      </c>
      <c r="B407" s="12">
        <v>302.29</v>
      </c>
      <c r="C407" s="12">
        <v>299.84</v>
      </c>
      <c r="D407" s="12">
        <v>285.97</v>
      </c>
      <c r="E407" s="12">
        <v>270.06</v>
      </c>
      <c r="F407" s="12">
        <v>171.29</v>
      </c>
      <c r="G407" s="12">
        <v>206.28</v>
      </c>
      <c r="H407" s="12">
        <v>277.07</v>
      </c>
      <c r="I407" s="12">
        <v>291.11</v>
      </c>
      <c r="J407" s="12">
        <v>203.37</v>
      </c>
      <c r="K407" s="12">
        <v>214.31</v>
      </c>
      <c r="L407" s="12">
        <v>63.75</v>
      </c>
      <c r="M407" s="12">
        <v>122.08</v>
      </c>
      <c r="N407" s="12">
        <v>143.77</v>
      </c>
      <c r="O407" s="12">
        <v>141.45</v>
      </c>
      <c r="P407" s="12">
        <v>0</v>
      </c>
      <c r="Q407" s="12">
        <v>71.75</v>
      </c>
      <c r="R407" s="12">
        <v>216.83</v>
      </c>
      <c r="S407" s="12">
        <v>305.17</v>
      </c>
      <c r="T407" s="12">
        <v>383.47</v>
      </c>
      <c r="U407" s="12">
        <v>362.91</v>
      </c>
      <c r="V407" s="12">
        <v>342.38</v>
      </c>
      <c r="W407" s="12">
        <v>346.16</v>
      </c>
      <c r="X407" s="12">
        <v>389.48</v>
      </c>
      <c r="Y407" s="12">
        <v>319.46</v>
      </c>
      <c r="AA407" s="17">
        <f>MAX($B$407:$Y$407)</f>
        <v>389.48</v>
      </c>
      <c r="AB407" s="17">
        <f>MIN($B$407:$Y$407)</f>
        <v>0</v>
      </c>
      <c r="AC407" s="17">
        <f>AVERAGE($B$407:$Y$407)</f>
        <v>238.760416666667</v>
      </c>
    </row>
    <row r="408" spans="1:29">
      <c r="A408" s="10">
        <v>45698</v>
      </c>
      <c r="B408" s="12">
        <v>315</v>
      </c>
      <c r="C408" s="12">
        <v>305.57</v>
      </c>
      <c r="D408" s="12">
        <v>292.92</v>
      </c>
      <c r="E408" s="12">
        <v>291.92</v>
      </c>
      <c r="F408" s="12">
        <v>286.64</v>
      </c>
      <c r="G408" s="12">
        <v>293.74</v>
      </c>
      <c r="H408" s="12">
        <v>304.37</v>
      </c>
      <c r="I408" s="12">
        <v>303.09</v>
      </c>
      <c r="J408" s="12">
        <v>543.79</v>
      </c>
      <c r="K408" s="12">
        <v>336.37</v>
      </c>
      <c r="L408" s="12">
        <v>313.96</v>
      </c>
      <c r="M408" s="12">
        <v>296.74</v>
      </c>
      <c r="N408" s="12">
        <v>215.27</v>
      </c>
      <c r="O408" s="12">
        <v>198.81</v>
      </c>
      <c r="P408" s="12">
        <v>165.58</v>
      </c>
      <c r="Q408" s="12">
        <v>297.25</v>
      </c>
      <c r="R408" s="12">
        <v>320.97</v>
      </c>
      <c r="S408" s="12">
        <v>320.98</v>
      </c>
      <c r="T408" s="12">
        <v>430.53</v>
      </c>
      <c r="U408" s="12">
        <v>627.98</v>
      </c>
      <c r="V408" s="12">
        <v>686.73</v>
      </c>
      <c r="W408" s="12">
        <v>824</v>
      </c>
      <c r="X408" s="12">
        <v>617.24</v>
      </c>
      <c r="Y408" s="12">
        <v>333.39</v>
      </c>
      <c r="AA408" s="17">
        <f>MAX($B$408:$Y$408)</f>
        <v>824</v>
      </c>
      <c r="AB408" s="17">
        <f>MIN($B$408:$Y$408)</f>
        <v>165.58</v>
      </c>
      <c r="AC408" s="17">
        <f>AVERAGE($B$408:$Y$408)</f>
        <v>371.785</v>
      </c>
    </row>
    <row r="409" spans="1:29">
      <c r="A409" s="10">
        <v>45699</v>
      </c>
      <c r="B409" s="12">
        <v>323.49</v>
      </c>
      <c r="C409" s="12">
        <v>317.3</v>
      </c>
      <c r="D409" s="12">
        <v>309.64</v>
      </c>
      <c r="E409" s="12">
        <v>296.23</v>
      </c>
      <c r="F409" s="12">
        <v>293.13</v>
      </c>
      <c r="G409" s="12">
        <v>297.97</v>
      </c>
      <c r="H409" s="12">
        <v>306.16</v>
      </c>
      <c r="I409" s="12">
        <v>304.28</v>
      </c>
      <c r="J409" s="12">
        <v>338.77</v>
      </c>
      <c r="K409" s="12">
        <v>341.61</v>
      </c>
      <c r="L409" s="12">
        <v>290.96</v>
      </c>
      <c r="M409" s="12">
        <v>292.62</v>
      </c>
      <c r="N409" s="12">
        <v>279.08</v>
      </c>
      <c r="O409" s="12">
        <v>296.19</v>
      </c>
      <c r="P409" s="12">
        <v>301.23</v>
      </c>
      <c r="Q409" s="12">
        <v>307.07</v>
      </c>
      <c r="R409" s="12">
        <v>323.64</v>
      </c>
      <c r="S409" s="12">
        <v>320.69</v>
      </c>
      <c r="T409" s="12">
        <v>349.64</v>
      </c>
      <c r="U409" s="12">
        <v>355.95</v>
      </c>
      <c r="V409" s="12">
        <v>333.28</v>
      </c>
      <c r="W409" s="12">
        <v>333.45</v>
      </c>
      <c r="X409" s="12">
        <v>330.96</v>
      </c>
      <c r="Y409" s="12">
        <v>306.71</v>
      </c>
      <c r="AA409" s="17">
        <f>MAX($B$409:$Y$409)</f>
        <v>355.95</v>
      </c>
      <c r="AB409" s="17">
        <f>MIN($B$409:$Y$409)</f>
        <v>279.08</v>
      </c>
      <c r="AC409" s="17">
        <f>AVERAGE($B$409:$Y$409)</f>
        <v>314.585416666667</v>
      </c>
    </row>
    <row r="410" spans="1:29">
      <c r="A410" s="10">
        <v>45700</v>
      </c>
      <c r="B410" s="12">
        <v>345.14</v>
      </c>
      <c r="C410" s="12">
        <v>319.14</v>
      </c>
      <c r="D410" s="12">
        <v>311.93</v>
      </c>
      <c r="E410" s="12">
        <v>307.97</v>
      </c>
      <c r="F410" s="12">
        <v>300.23</v>
      </c>
      <c r="G410" s="12">
        <v>302.9</v>
      </c>
      <c r="H410" s="12">
        <v>318</v>
      </c>
      <c r="I410" s="12">
        <v>328.71</v>
      </c>
      <c r="J410" s="12">
        <v>381.83</v>
      </c>
      <c r="K410" s="12">
        <v>344.62</v>
      </c>
      <c r="L410" s="12">
        <v>324.12</v>
      </c>
      <c r="M410" s="12">
        <v>332.6</v>
      </c>
      <c r="N410" s="12">
        <v>305.26</v>
      </c>
      <c r="O410" s="12">
        <v>309.19</v>
      </c>
      <c r="P410" s="12">
        <v>310.68</v>
      </c>
      <c r="Q410" s="12">
        <v>323.62</v>
      </c>
      <c r="R410" s="12">
        <v>341.24</v>
      </c>
      <c r="S410" s="12">
        <v>349.55</v>
      </c>
      <c r="T410" s="12">
        <v>361.15</v>
      </c>
      <c r="U410" s="12">
        <v>366.34</v>
      </c>
      <c r="V410" s="12">
        <v>342.41</v>
      </c>
      <c r="W410" s="12">
        <v>381.39</v>
      </c>
      <c r="X410" s="12">
        <v>360.72</v>
      </c>
      <c r="Y410" s="12">
        <v>325.42</v>
      </c>
      <c r="AA410" s="17">
        <f>MAX($B$410:$Y$410)</f>
        <v>381.83</v>
      </c>
      <c r="AB410" s="17">
        <f>MIN($B$410:$Y$410)</f>
        <v>300.23</v>
      </c>
      <c r="AC410" s="17">
        <f>AVERAGE($B$410:$Y$410)</f>
        <v>333.09</v>
      </c>
    </row>
    <row r="411" spans="1:29">
      <c r="A411" s="10">
        <v>45701</v>
      </c>
      <c r="B411" s="12">
        <v>340.43</v>
      </c>
      <c r="C411" s="12">
        <v>316.34</v>
      </c>
      <c r="D411" s="12">
        <v>308.96</v>
      </c>
      <c r="E411" s="12">
        <v>296.36</v>
      </c>
      <c r="F411" s="12">
        <v>285.03</v>
      </c>
      <c r="G411" s="12">
        <v>284.09</v>
      </c>
      <c r="H411" s="12">
        <v>294.28</v>
      </c>
      <c r="I411" s="12">
        <v>303.4</v>
      </c>
      <c r="J411" s="12">
        <v>321.69</v>
      </c>
      <c r="K411" s="12">
        <v>313.71</v>
      </c>
      <c r="L411" s="12">
        <v>294.95</v>
      </c>
      <c r="M411" s="12">
        <v>295.12</v>
      </c>
      <c r="N411" s="12">
        <v>182.58</v>
      </c>
      <c r="O411" s="12">
        <v>202.96</v>
      </c>
      <c r="P411" s="12">
        <v>272.55</v>
      </c>
      <c r="Q411" s="12">
        <v>288.96</v>
      </c>
      <c r="R411" s="12">
        <v>309.18</v>
      </c>
      <c r="S411" s="12">
        <v>323.2</v>
      </c>
      <c r="T411" s="12">
        <v>348.03</v>
      </c>
      <c r="U411" s="12">
        <v>348.8</v>
      </c>
      <c r="V411" s="12">
        <v>347.75</v>
      </c>
      <c r="W411" s="12">
        <v>345.32</v>
      </c>
      <c r="X411" s="12">
        <v>332.67</v>
      </c>
      <c r="Y411" s="12">
        <v>299.36</v>
      </c>
      <c r="AA411" s="17">
        <f>MAX($B$411:$Y$411)</f>
        <v>348.8</v>
      </c>
      <c r="AB411" s="17">
        <f>MIN($B$411:$Y$411)</f>
        <v>182.58</v>
      </c>
      <c r="AC411" s="17">
        <f>AVERAGE($B$411:$Y$411)</f>
        <v>302.321666666667</v>
      </c>
    </row>
    <row r="412" spans="1:29">
      <c r="A412" s="10">
        <v>45702</v>
      </c>
      <c r="B412" s="12">
        <v>345.66</v>
      </c>
      <c r="C412" s="12">
        <v>313</v>
      </c>
      <c r="D412" s="12">
        <v>304.57</v>
      </c>
      <c r="E412" s="12">
        <v>298.93</v>
      </c>
      <c r="F412" s="12">
        <v>297.65</v>
      </c>
      <c r="G412" s="12">
        <v>298.14</v>
      </c>
      <c r="H412" s="12">
        <v>317.24</v>
      </c>
      <c r="I412" s="12">
        <v>341.88</v>
      </c>
      <c r="J412" s="12">
        <v>596.75</v>
      </c>
      <c r="K412" s="12">
        <v>358.1</v>
      </c>
      <c r="L412" s="12">
        <v>324.7</v>
      </c>
      <c r="M412" s="12">
        <v>314.59</v>
      </c>
      <c r="N412" s="12">
        <v>294.9</v>
      </c>
      <c r="O412" s="12">
        <v>296.99</v>
      </c>
      <c r="P412" s="12">
        <v>300.97</v>
      </c>
      <c r="Q412" s="12">
        <v>306.29</v>
      </c>
      <c r="R412" s="12">
        <v>312.39</v>
      </c>
      <c r="S412" s="12">
        <v>334.87</v>
      </c>
      <c r="T412" s="12">
        <v>357.28</v>
      </c>
      <c r="U412" s="12">
        <v>428.57</v>
      </c>
      <c r="V412" s="12">
        <v>387.73</v>
      </c>
      <c r="W412" s="12">
        <v>393.84</v>
      </c>
      <c r="X412" s="12">
        <v>360.19</v>
      </c>
      <c r="Y412" s="12">
        <v>325.13</v>
      </c>
      <c r="AA412" s="17">
        <f>MAX($B$412:$Y$412)</f>
        <v>596.75</v>
      </c>
      <c r="AB412" s="17">
        <f>MIN($B$412:$Y$412)</f>
        <v>294.9</v>
      </c>
      <c r="AC412" s="17">
        <f>AVERAGE($B$412:$Y$412)</f>
        <v>342.098333333333</v>
      </c>
    </row>
    <row r="413" spans="1:29">
      <c r="A413" s="10">
        <v>45703</v>
      </c>
      <c r="B413" s="12">
        <v>345.68</v>
      </c>
      <c r="C413" s="12">
        <v>337.83</v>
      </c>
      <c r="D413" s="12">
        <v>325.91</v>
      </c>
      <c r="E413" s="12">
        <v>316.74</v>
      </c>
      <c r="F413" s="12">
        <v>311.86</v>
      </c>
      <c r="G413" s="12">
        <v>303.37</v>
      </c>
      <c r="H413" s="12">
        <v>311.02</v>
      </c>
      <c r="I413" s="12">
        <v>317.23</v>
      </c>
      <c r="J413" s="12">
        <v>372.53</v>
      </c>
      <c r="K413" s="12">
        <v>685.37</v>
      </c>
      <c r="L413" s="12">
        <v>391.1</v>
      </c>
      <c r="M413" s="12">
        <v>412.78</v>
      </c>
      <c r="N413" s="12">
        <v>325.96</v>
      </c>
      <c r="O413" s="12">
        <v>333.85</v>
      </c>
      <c r="P413" s="12">
        <v>333.09</v>
      </c>
      <c r="Q413" s="12">
        <v>334.15</v>
      </c>
      <c r="R413" s="12">
        <v>360.29</v>
      </c>
      <c r="S413" s="12">
        <v>405.38</v>
      </c>
      <c r="T413" s="12">
        <v>488.67</v>
      </c>
      <c r="U413" s="12">
        <v>649.88</v>
      </c>
      <c r="V413" s="12">
        <v>566.39</v>
      </c>
      <c r="W413" s="12">
        <v>483.48</v>
      </c>
      <c r="X413" s="12">
        <v>378.91</v>
      </c>
      <c r="Y413" s="12">
        <v>334.74</v>
      </c>
      <c r="AA413" s="17">
        <f>MAX($B$413:$Y$413)</f>
        <v>685.37</v>
      </c>
      <c r="AB413" s="17">
        <f>MIN($B$413:$Y$413)</f>
        <v>303.37</v>
      </c>
      <c r="AC413" s="17">
        <f>AVERAGE($B$413:$Y$413)</f>
        <v>392.75875</v>
      </c>
    </row>
    <row r="414" spans="1:29">
      <c r="A414" s="10">
        <v>45704</v>
      </c>
      <c r="B414" s="12">
        <v>356.79</v>
      </c>
      <c r="C414" s="12">
        <v>358.69</v>
      </c>
      <c r="D414" s="12">
        <v>352.69</v>
      </c>
      <c r="E414" s="12">
        <v>328.67</v>
      </c>
      <c r="F414" s="12">
        <v>316.49</v>
      </c>
      <c r="G414" s="12">
        <v>311.87</v>
      </c>
      <c r="H414" s="12">
        <v>318.3</v>
      </c>
      <c r="I414" s="12">
        <v>321.88</v>
      </c>
      <c r="J414" s="12">
        <v>330.91</v>
      </c>
      <c r="K414" s="12">
        <v>329.42</v>
      </c>
      <c r="L414" s="12">
        <v>335.89</v>
      </c>
      <c r="M414" s="12">
        <v>332.19</v>
      </c>
      <c r="N414" s="12">
        <v>321.95</v>
      </c>
      <c r="O414" s="12">
        <v>318.89</v>
      </c>
      <c r="P414" s="12">
        <v>324.37</v>
      </c>
      <c r="Q414" s="12">
        <v>313.98</v>
      </c>
      <c r="R414" s="12">
        <v>323.69</v>
      </c>
      <c r="S414" s="12">
        <v>343.68</v>
      </c>
      <c r="T414" s="12">
        <v>375.65</v>
      </c>
      <c r="U414" s="12">
        <v>390.74</v>
      </c>
      <c r="V414" s="12">
        <v>381.49</v>
      </c>
      <c r="W414" s="12">
        <v>382.16</v>
      </c>
      <c r="X414" s="12">
        <v>350.1</v>
      </c>
      <c r="Y414" s="12">
        <v>310.43</v>
      </c>
      <c r="AA414" s="17">
        <f>MAX($B$414:$Y$414)</f>
        <v>390.74</v>
      </c>
      <c r="AB414" s="17">
        <f>MIN($B$414:$Y$414)</f>
        <v>310.43</v>
      </c>
      <c r="AC414" s="17">
        <f>AVERAGE($B$414:$Y$414)</f>
        <v>338.788333333333</v>
      </c>
    </row>
    <row r="415" spans="1:29">
      <c r="A415" s="10">
        <v>45705</v>
      </c>
      <c r="B415" s="12">
        <v>317.86</v>
      </c>
      <c r="C415" s="12">
        <v>323.22</v>
      </c>
      <c r="D415" s="12">
        <v>301.16</v>
      </c>
      <c r="E415" s="12">
        <v>288.14</v>
      </c>
      <c r="F415" s="12">
        <v>281.72</v>
      </c>
      <c r="G415" s="12">
        <v>284.63</v>
      </c>
      <c r="H415" s="12">
        <v>304.29</v>
      </c>
      <c r="I415" s="12">
        <v>324.02</v>
      </c>
      <c r="J415" s="12">
        <v>473.11</v>
      </c>
      <c r="K415" s="12">
        <v>547.83</v>
      </c>
      <c r="L415" s="12">
        <v>349.86</v>
      </c>
      <c r="M415" s="12">
        <v>355.54</v>
      </c>
      <c r="N415" s="12">
        <v>283.18</v>
      </c>
      <c r="O415" s="12">
        <v>309.79</v>
      </c>
      <c r="P415" s="12">
        <v>306.37</v>
      </c>
      <c r="Q415" s="12">
        <v>333.94</v>
      </c>
      <c r="R415" s="12">
        <v>392.88</v>
      </c>
      <c r="S415" s="12">
        <v>356.11</v>
      </c>
      <c r="T415" s="12">
        <v>344.28</v>
      </c>
      <c r="U415" s="12">
        <v>370.06</v>
      </c>
      <c r="V415" s="12">
        <v>386.44</v>
      </c>
      <c r="W415" s="12">
        <v>354.55</v>
      </c>
      <c r="X415" s="12">
        <v>326.34</v>
      </c>
      <c r="Y415" s="12">
        <v>299.93</v>
      </c>
      <c r="AA415" s="17">
        <f>MAX($B$415:$Y$415)</f>
        <v>547.83</v>
      </c>
      <c r="AB415" s="17">
        <f>MIN($B$415:$Y$415)</f>
        <v>281.72</v>
      </c>
      <c r="AC415" s="17">
        <f>AVERAGE($B$415:$Y$415)</f>
        <v>342.302083333333</v>
      </c>
    </row>
    <row r="416" spans="1:29">
      <c r="A416" s="10">
        <v>45706</v>
      </c>
      <c r="B416" s="12">
        <v>320.55</v>
      </c>
      <c r="C416" s="12">
        <v>310.69</v>
      </c>
      <c r="D416" s="12">
        <v>295.22</v>
      </c>
      <c r="E416" s="12">
        <v>287.96</v>
      </c>
      <c r="F416" s="12">
        <v>285.03</v>
      </c>
      <c r="G416" s="12">
        <v>288.29</v>
      </c>
      <c r="H416" s="12">
        <v>312.51</v>
      </c>
      <c r="I416" s="12">
        <v>360.01</v>
      </c>
      <c r="J416" s="12">
        <v>521.77</v>
      </c>
      <c r="K416" s="12">
        <v>661.38</v>
      </c>
      <c r="L416" s="12">
        <v>344.85</v>
      </c>
      <c r="M416" s="12">
        <v>331.76</v>
      </c>
      <c r="N416" s="12">
        <v>209.88</v>
      </c>
      <c r="O416" s="12">
        <v>257.44</v>
      </c>
      <c r="P416" s="12">
        <v>287.9</v>
      </c>
      <c r="Q416" s="12">
        <v>299.89</v>
      </c>
      <c r="R416" s="12">
        <v>333.06</v>
      </c>
      <c r="S416" s="12">
        <v>350.84</v>
      </c>
      <c r="T416" s="12">
        <v>366.19</v>
      </c>
      <c r="U416" s="12">
        <v>375.07</v>
      </c>
      <c r="V416" s="12">
        <v>355.77</v>
      </c>
      <c r="W416" s="12">
        <v>350.75</v>
      </c>
      <c r="X416" s="12">
        <v>336.57</v>
      </c>
      <c r="Y416" s="12">
        <v>302.1</v>
      </c>
      <c r="AA416" s="17">
        <f>MAX($B$416:$Y$416)</f>
        <v>661.38</v>
      </c>
      <c r="AB416" s="17">
        <f>MIN($B$416:$Y$416)</f>
        <v>209.88</v>
      </c>
      <c r="AC416" s="17">
        <f>AVERAGE($B$416:$Y$416)</f>
        <v>339.395</v>
      </c>
    </row>
    <row r="417" spans="1:29">
      <c r="A417" s="10">
        <v>45707</v>
      </c>
      <c r="B417" s="12">
        <v>331.17</v>
      </c>
      <c r="C417" s="12">
        <v>310.44</v>
      </c>
      <c r="D417" s="12">
        <v>299.41</v>
      </c>
      <c r="E417" s="12">
        <v>296.35</v>
      </c>
      <c r="F417" s="12">
        <v>285.02</v>
      </c>
      <c r="G417" s="12">
        <v>288.99</v>
      </c>
      <c r="H417" s="12">
        <v>304.19</v>
      </c>
      <c r="I417" s="12">
        <v>334.78</v>
      </c>
      <c r="J417" s="12">
        <v>519.51</v>
      </c>
      <c r="K417" s="12">
        <v>412.15</v>
      </c>
      <c r="L417" s="12">
        <v>332.48</v>
      </c>
      <c r="M417" s="12">
        <v>303.89</v>
      </c>
      <c r="N417" s="12">
        <v>167.69</v>
      </c>
      <c r="O417" s="12">
        <v>150.12</v>
      </c>
      <c r="P417" s="12">
        <v>230.54</v>
      </c>
      <c r="Q417" s="12">
        <v>268.86</v>
      </c>
      <c r="R417" s="12">
        <v>320.68</v>
      </c>
      <c r="S417" s="12">
        <v>344.35</v>
      </c>
      <c r="T417" s="12">
        <v>362.7</v>
      </c>
      <c r="U417" s="12">
        <v>380.93</v>
      </c>
      <c r="V417" s="12">
        <v>359.69</v>
      </c>
      <c r="W417" s="12">
        <v>359.59</v>
      </c>
      <c r="X417" s="12">
        <v>342.14</v>
      </c>
      <c r="Y417" s="12">
        <v>300.27</v>
      </c>
      <c r="AA417" s="17">
        <f>MAX($B$417:$Y$417)</f>
        <v>519.51</v>
      </c>
      <c r="AB417" s="17">
        <f>MIN($B$417:$Y$417)</f>
        <v>150.12</v>
      </c>
      <c r="AC417" s="17">
        <f>AVERAGE($B$417:$Y$417)</f>
        <v>316.914166666667</v>
      </c>
    </row>
    <row r="418" spans="1:29">
      <c r="A418" s="10">
        <v>45708</v>
      </c>
      <c r="B418" s="12">
        <v>318.61</v>
      </c>
      <c r="C418" s="12">
        <v>332.27</v>
      </c>
      <c r="D418" s="12">
        <v>314.28</v>
      </c>
      <c r="E418" s="12">
        <v>302.86</v>
      </c>
      <c r="F418" s="12">
        <v>298.28</v>
      </c>
      <c r="G418" s="12">
        <v>309.89</v>
      </c>
      <c r="H418" s="12">
        <v>412.97</v>
      </c>
      <c r="I418" s="12">
        <v>443.93</v>
      </c>
      <c r="J418" s="12">
        <v>694.29</v>
      </c>
      <c r="K418" s="12">
        <v>555.43</v>
      </c>
      <c r="L418" s="12">
        <v>335.92</v>
      </c>
      <c r="M418" s="12">
        <v>289.09</v>
      </c>
      <c r="N418" s="12">
        <v>108.66</v>
      </c>
      <c r="O418" s="12">
        <v>193.53</v>
      </c>
      <c r="P418" s="12">
        <v>299.92</v>
      </c>
      <c r="Q418" s="12">
        <v>331.67</v>
      </c>
      <c r="R418" s="12">
        <v>413.35</v>
      </c>
      <c r="S418" s="12">
        <v>411.56</v>
      </c>
      <c r="T418" s="12">
        <v>504.29</v>
      </c>
      <c r="U418" s="12">
        <v>502.97</v>
      </c>
      <c r="V418" s="12">
        <v>398.74</v>
      </c>
      <c r="W418" s="12">
        <v>365.78</v>
      </c>
      <c r="X418" s="12">
        <v>371.65</v>
      </c>
      <c r="Y418" s="12">
        <v>332.19</v>
      </c>
      <c r="AA418" s="17">
        <f>MAX($B$418:$Y$418)</f>
        <v>694.29</v>
      </c>
      <c r="AB418" s="17">
        <f>MIN($B$418:$Y$418)</f>
        <v>108.66</v>
      </c>
      <c r="AC418" s="17">
        <f>AVERAGE($B$418:$Y$418)</f>
        <v>368.422083333333</v>
      </c>
    </row>
    <row r="419" spans="1:29">
      <c r="A419" s="10">
        <v>45709</v>
      </c>
      <c r="B419" s="12">
        <v>330.69</v>
      </c>
      <c r="C419" s="12">
        <v>326.51</v>
      </c>
      <c r="D419" s="12">
        <v>319.21</v>
      </c>
      <c r="E419" s="12">
        <v>308.49</v>
      </c>
      <c r="F419" s="12">
        <v>306.81</v>
      </c>
      <c r="G419" s="12">
        <v>305</v>
      </c>
      <c r="H419" s="12">
        <v>332.06</v>
      </c>
      <c r="I419" s="12">
        <v>424.46</v>
      </c>
      <c r="J419" s="12">
        <v>564.43</v>
      </c>
      <c r="K419" s="12">
        <v>832.58</v>
      </c>
      <c r="L419" s="12">
        <v>515.92</v>
      </c>
      <c r="M419" s="12">
        <v>392.35</v>
      </c>
      <c r="N419" s="12">
        <v>307.74</v>
      </c>
      <c r="O419" s="12">
        <v>320.7</v>
      </c>
      <c r="P419" s="12">
        <v>330.4</v>
      </c>
      <c r="Q419" s="12">
        <v>334.09</v>
      </c>
      <c r="R419" s="12">
        <v>527.58</v>
      </c>
      <c r="S419" s="12">
        <v>418.94</v>
      </c>
      <c r="T419" s="12">
        <v>447.72</v>
      </c>
      <c r="U419" s="12">
        <v>573.73</v>
      </c>
      <c r="V419" s="12">
        <v>430.62</v>
      </c>
      <c r="W419" s="12">
        <v>415.83</v>
      </c>
      <c r="X419" s="12">
        <v>393.17</v>
      </c>
      <c r="Y419" s="12">
        <v>336.28</v>
      </c>
      <c r="AA419" s="17">
        <f>MAX($B$419:$Y$419)</f>
        <v>832.58</v>
      </c>
      <c r="AB419" s="17">
        <f>MIN($B$419:$Y$419)</f>
        <v>305</v>
      </c>
      <c r="AC419" s="17">
        <f>AVERAGE($B$419:$Y$419)</f>
        <v>408.137916666667</v>
      </c>
    </row>
    <row r="420" spans="1:29">
      <c r="A420" s="10">
        <v>45710</v>
      </c>
      <c r="B420" s="12">
        <v>350.9</v>
      </c>
      <c r="C420" s="12">
        <v>342.34</v>
      </c>
      <c r="D420" s="12">
        <v>348.76</v>
      </c>
      <c r="E420" s="12">
        <v>326.5</v>
      </c>
      <c r="F420" s="12">
        <v>314.42</v>
      </c>
      <c r="G420" s="12">
        <v>314.16</v>
      </c>
      <c r="H420" s="12">
        <v>316.04</v>
      </c>
      <c r="I420" s="12">
        <v>326.57</v>
      </c>
      <c r="J420" s="12">
        <v>567.45</v>
      </c>
      <c r="K420" s="12">
        <v>722.91</v>
      </c>
      <c r="L420" s="12">
        <v>454.64</v>
      </c>
      <c r="M420" s="12">
        <v>504.93</v>
      </c>
      <c r="N420" s="12">
        <v>313.11</v>
      </c>
      <c r="O420" s="12">
        <v>321.56</v>
      </c>
      <c r="P420" s="12">
        <v>329.71</v>
      </c>
      <c r="Q420" s="12">
        <v>340.52</v>
      </c>
      <c r="R420" s="12">
        <v>500.93</v>
      </c>
      <c r="S420" s="12">
        <v>378.34</v>
      </c>
      <c r="T420" s="12">
        <v>370.3</v>
      </c>
      <c r="U420" s="12">
        <v>373.52</v>
      </c>
      <c r="V420" s="12">
        <v>357.63</v>
      </c>
      <c r="W420" s="12">
        <v>350.01</v>
      </c>
      <c r="X420" s="12">
        <v>388.63</v>
      </c>
      <c r="Y420" s="12">
        <v>315.65</v>
      </c>
      <c r="AA420" s="17">
        <f>MAX($B$420:$Y$420)</f>
        <v>722.91</v>
      </c>
      <c r="AB420" s="17">
        <f>MIN($B$420:$Y$420)</f>
        <v>313.11</v>
      </c>
      <c r="AC420" s="17">
        <f>AVERAGE($B$420:$Y$420)</f>
        <v>384.56375</v>
      </c>
    </row>
    <row r="421" spans="1:29">
      <c r="A421" s="10">
        <v>45711</v>
      </c>
      <c r="B421" s="12">
        <v>406.5</v>
      </c>
      <c r="C421" s="12">
        <v>349.92</v>
      </c>
      <c r="D421" s="12">
        <v>324.86</v>
      </c>
      <c r="E421" s="12">
        <v>308.61</v>
      </c>
      <c r="F421" s="12">
        <v>300.78</v>
      </c>
      <c r="G421" s="12">
        <v>299.83</v>
      </c>
      <c r="H421" s="12">
        <v>309.22</v>
      </c>
      <c r="I421" s="12">
        <v>319.28</v>
      </c>
      <c r="J421" s="12">
        <v>332.26</v>
      </c>
      <c r="K421" s="12">
        <v>354.68</v>
      </c>
      <c r="L421" s="12">
        <v>395.65</v>
      </c>
      <c r="M421" s="12">
        <v>397.35</v>
      </c>
      <c r="N421" s="12">
        <v>308.68</v>
      </c>
      <c r="O421" s="12">
        <v>316.1</v>
      </c>
      <c r="P421" s="12">
        <v>304.12</v>
      </c>
      <c r="Q421" s="12">
        <v>310.07</v>
      </c>
      <c r="R421" s="12">
        <v>329.07</v>
      </c>
      <c r="S421" s="12">
        <v>364.23</v>
      </c>
      <c r="T421" s="12">
        <v>350.61</v>
      </c>
      <c r="U421" s="12">
        <v>354.62</v>
      </c>
      <c r="V421" s="12">
        <v>375.83</v>
      </c>
      <c r="W421" s="12">
        <v>479.3</v>
      </c>
      <c r="X421" s="12">
        <v>474.41</v>
      </c>
      <c r="Y421" s="12">
        <v>328.26</v>
      </c>
      <c r="AA421" s="17">
        <f>MAX($B$421:$Y$421)</f>
        <v>479.3</v>
      </c>
      <c r="AB421" s="17">
        <f>MIN($B$421:$Y$421)</f>
        <v>299.83</v>
      </c>
      <c r="AC421" s="17">
        <f>AVERAGE($B$421:$Y$421)</f>
        <v>349.76</v>
      </c>
    </row>
    <row r="422" spans="1:29">
      <c r="A422" s="10">
        <v>45712</v>
      </c>
      <c r="B422" s="12">
        <v>380.66</v>
      </c>
      <c r="C422" s="12">
        <v>316.57</v>
      </c>
      <c r="D422" s="12">
        <v>313.46</v>
      </c>
      <c r="E422" s="12">
        <v>297.74</v>
      </c>
      <c r="F422" s="12">
        <v>295.8</v>
      </c>
      <c r="G422" s="12">
        <v>296.06</v>
      </c>
      <c r="H422" s="12">
        <v>332.95</v>
      </c>
      <c r="I422" s="12">
        <v>379.81</v>
      </c>
      <c r="J422" s="12">
        <v>533.51</v>
      </c>
      <c r="K422" s="12">
        <v>367.69</v>
      </c>
      <c r="L422" s="12">
        <v>420.5</v>
      </c>
      <c r="M422" s="12">
        <v>445.35</v>
      </c>
      <c r="N422" s="12">
        <v>195.91</v>
      </c>
      <c r="O422" s="12">
        <v>236.14</v>
      </c>
      <c r="P422" s="12">
        <v>297.29</v>
      </c>
      <c r="Q422" s="12">
        <v>295.99</v>
      </c>
      <c r="R422" s="12">
        <v>330.39</v>
      </c>
      <c r="S422" s="12">
        <v>330.27</v>
      </c>
      <c r="T422" s="12">
        <v>372.89</v>
      </c>
      <c r="U422" s="12">
        <v>521.16</v>
      </c>
      <c r="V422" s="12">
        <v>409.27</v>
      </c>
      <c r="W422" s="12">
        <v>487.18</v>
      </c>
      <c r="X422" s="12">
        <v>487.81</v>
      </c>
      <c r="Y422" s="12">
        <v>342.24</v>
      </c>
      <c r="AA422" s="17">
        <f>MAX($B$422:$Y$422)</f>
        <v>533.51</v>
      </c>
      <c r="AB422" s="17">
        <f>MIN($B$422:$Y$422)</f>
        <v>195.91</v>
      </c>
      <c r="AC422" s="17">
        <f>AVERAGE($B$422:$Y$422)</f>
        <v>361.943333333333</v>
      </c>
    </row>
    <row r="423" spans="1:29">
      <c r="A423" s="10">
        <v>45713</v>
      </c>
      <c r="B423" s="12">
        <v>449.9</v>
      </c>
      <c r="C423" s="12">
        <v>364.78</v>
      </c>
      <c r="D423" s="12">
        <v>336.24</v>
      </c>
      <c r="E423" s="12">
        <v>339.73</v>
      </c>
      <c r="F423" s="12">
        <v>326.23</v>
      </c>
      <c r="G423" s="12">
        <v>332.59</v>
      </c>
      <c r="H423" s="12">
        <v>367.53</v>
      </c>
      <c r="I423" s="12">
        <v>451.11</v>
      </c>
      <c r="J423" s="12">
        <v>394.97</v>
      </c>
      <c r="K423" s="12">
        <v>517.33</v>
      </c>
      <c r="L423" s="12">
        <v>430.75</v>
      </c>
      <c r="M423" s="12">
        <v>557.61</v>
      </c>
      <c r="N423" s="12">
        <v>336.23</v>
      </c>
      <c r="O423" s="12">
        <v>406.52</v>
      </c>
      <c r="P423" s="12">
        <v>417.12</v>
      </c>
      <c r="Q423" s="12">
        <v>401.14</v>
      </c>
      <c r="R423" s="12">
        <v>743.74</v>
      </c>
      <c r="S423" s="12">
        <v>615.58</v>
      </c>
      <c r="T423" s="12">
        <v>590.62</v>
      </c>
      <c r="U423" s="12">
        <v>665.35</v>
      </c>
      <c r="V423" s="12">
        <v>657.32</v>
      </c>
      <c r="W423" s="12">
        <v>613.63</v>
      </c>
      <c r="X423" s="12">
        <v>660.07</v>
      </c>
      <c r="Y423" s="12">
        <v>408.56</v>
      </c>
      <c r="AA423" s="17">
        <f>MAX($B$423:$Y$423)</f>
        <v>743.74</v>
      </c>
      <c r="AB423" s="17">
        <f>MIN($B$423:$Y$423)</f>
        <v>326.23</v>
      </c>
      <c r="AC423" s="17">
        <f>AVERAGE($B$423:$Y$423)</f>
        <v>474.360416666667</v>
      </c>
    </row>
    <row r="424" spans="1:29">
      <c r="A424" s="10">
        <v>45714</v>
      </c>
      <c r="B424" s="12">
        <v>532.36</v>
      </c>
      <c r="C424" s="12">
        <v>639.38</v>
      </c>
      <c r="D424" s="12">
        <v>516.8</v>
      </c>
      <c r="E424" s="12">
        <v>401.1</v>
      </c>
      <c r="F424" s="12">
        <v>345.53</v>
      </c>
      <c r="G424" s="12">
        <v>340.69</v>
      </c>
      <c r="H424" s="12">
        <v>444.73</v>
      </c>
      <c r="I424" s="12">
        <v>482.49</v>
      </c>
      <c r="J424" s="12">
        <v>635.99</v>
      </c>
      <c r="K424" s="12">
        <v>609.78</v>
      </c>
      <c r="L424" s="12">
        <v>603.85</v>
      </c>
      <c r="M424" s="12">
        <v>682.91</v>
      </c>
      <c r="N424" s="12">
        <v>335.11</v>
      </c>
      <c r="O424" s="12">
        <v>433.68</v>
      </c>
      <c r="P424" s="12">
        <v>438.26</v>
      </c>
      <c r="Q424" s="12">
        <v>372.14</v>
      </c>
      <c r="R424" s="12">
        <v>446.13</v>
      </c>
      <c r="S424" s="12">
        <v>568.57</v>
      </c>
      <c r="T424" s="12">
        <v>527.07</v>
      </c>
      <c r="U424" s="12">
        <v>598.01</v>
      </c>
      <c r="V424" s="12">
        <v>559.59</v>
      </c>
      <c r="W424" s="12">
        <v>553.84</v>
      </c>
      <c r="X424" s="12">
        <v>547.82</v>
      </c>
      <c r="Y424" s="12">
        <v>343.89</v>
      </c>
      <c r="AA424" s="17">
        <f>MAX($B$424:$Y$424)</f>
        <v>682.91</v>
      </c>
      <c r="AB424" s="17">
        <f>MIN($B$424:$Y$424)</f>
        <v>335.11</v>
      </c>
      <c r="AC424" s="17">
        <f>AVERAGE($B$424:$Y$424)</f>
        <v>498.321666666667</v>
      </c>
    </row>
    <row r="425" spans="1:29">
      <c r="A425" s="10">
        <v>45715</v>
      </c>
      <c r="B425" s="12">
        <v>442.54</v>
      </c>
      <c r="C425" s="12">
        <v>399.75</v>
      </c>
      <c r="D425" s="12">
        <v>346.18</v>
      </c>
      <c r="E425" s="12">
        <v>337.41</v>
      </c>
      <c r="F425" s="12">
        <v>330.63</v>
      </c>
      <c r="G425" s="12">
        <v>320.07</v>
      </c>
      <c r="H425" s="12">
        <v>366.82</v>
      </c>
      <c r="I425" s="12">
        <v>391.34</v>
      </c>
      <c r="J425" s="12">
        <v>584.67</v>
      </c>
      <c r="K425" s="12">
        <v>460.52</v>
      </c>
      <c r="L425" s="12">
        <v>372.07</v>
      </c>
      <c r="M425" s="12">
        <v>351.08</v>
      </c>
      <c r="N425" s="12">
        <v>242.49</v>
      </c>
      <c r="O425" s="12">
        <v>293.94</v>
      </c>
      <c r="P425" s="12">
        <v>313.12</v>
      </c>
      <c r="Q425" s="12">
        <v>312.1</v>
      </c>
      <c r="R425" s="12">
        <v>325.15</v>
      </c>
      <c r="S425" s="12">
        <v>367.16</v>
      </c>
      <c r="T425" s="12">
        <v>451.59</v>
      </c>
      <c r="U425" s="12">
        <v>473.35</v>
      </c>
      <c r="V425" s="12">
        <v>427.73</v>
      </c>
      <c r="W425" s="12">
        <v>403.52</v>
      </c>
      <c r="X425" s="12">
        <v>361.23</v>
      </c>
      <c r="Y425" s="12">
        <v>329.15</v>
      </c>
      <c r="AA425" s="17">
        <f>MAX($B$425:$Y$425)</f>
        <v>584.67</v>
      </c>
      <c r="AB425" s="17">
        <f>MIN($B$425:$Y$425)</f>
        <v>242.49</v>
      </c>
      <c r="AC425" s="17">
        <f>AVERAGE($B$425:$Y$425)</f>
        <v>375.150416666667</v>
      </c>
    </row>
    <row r="426" spans="1:29">
      <c r="A426" s="10">
        <v>45716</v>
      </c>
      <c r="B426" s="12">
        <v>358.72</v>
      </c>
      <c r="C426" s="12">
        <v>350.82</v>
      </c>
      <c r="D426" s="12">
        <v>342</v>
      </c>
      <c r="E426" s="12">
        <v>330.51</v>
      </c>
      <c r="F426" s="12">
        <v>317.3</v>
      </c>
      <c r="G426" s="12">
        <v>308.91</v>
      </c>
      <c r="H426" s="12">
        <v>324.72</v>
      </c>
      <c r="I426" s="12">
        <v>365.41</v>
      </c>
      <c r="J426" s="12">
        <v>378.96</v>
      </c>
      <c r="K426" s="12">
        <v>342.7</v>
      </c>
      <c r="L426" s="12">
        <v>317.22</v>
      </c>
      <c r="M426" s="12">
        <v>306.02</v>
      </c>
      <c r="N426" s="12">
        <v>163.07</v>
      </c>
      <c r="O426" s="12">
        <v>257.94</v>
      </c>
      <c r="P426" s="12">
        <v>216.15</v>
      </c>
      <c r="Q426" s="12">
        <v>174.56</v>
      </c>
      <c r="R426" s="12">
        <v>322.91</v>
      </c>
      <c r="S426" s="12">
        <v>343.99</v>
      </c>
      <c r="T426" s="12">
        <v>353.81</v>
      </c>
      <c r="U426" s="12">
        <v>378.62</v>
      </c>
      <c r="V426" s="12">
        <v>368.24</v>
      </c>
      <c r="W426" s="12">
        <v>354.27</v>
      </c>
      <c r="X426" s="12">
        <v>351.8</v>
      </c>
      <c r="Y426" s="12">
        <v>329.13</v>
      </c>
      <c r="AA426" s="17">
        <f>MAX($B$426:$Y$426)</f>
        <v>378.96</v>
      </c>
      <c r="AB426" s="17">
        <f>MIN($B$426:$Y$426)</f>
        <v>163.07</v>
      </c>
      <c r="AC426" s="17">
        <f>AVERAGE($B$426:$Y$426)</f>
        <v>319.074166666667</v>
      </c>
    </row>
    <row r="427" spans="1:29">
      <c r="A427" s="10">
        <v>45717</v>
      </c>
      <c r="B427" s="12">
        <v>355.63</v>
      </c>
      <c r="C427" s="12">
        <v>336.5</v>
      </c>
      <c r="D427" s="12">
        <v>321.43</v>
      </c>
      <c r="E427" s="12">
        <v>312.08</v>
      </c>
      <c r="F427" s="12">
        <v>309.58</v>
      </c>
      <c r="G427" s="12">
        <v>306.45</v>
      </c>
      <c r="H427" s="12">
        <v>313.87</v>
      </c>
      <c r="I427" s="12">
        <v>332.14</v>
      </c>
      <c r="J427" s="12">
        <v>359.82</v>
      </c>
      <c r="K427" s="12">
        <v>340.34</v>
      </c>
      <c r="L427" s="12">
        <v>343.01</v>
      </c>
      <c r="M427" s="12">
        <v>327.36</v>
      </c>
      <c r="N427" s="12">
        <v>285.94</v>
      </c>
      <c r="O427" s="12">
        <v>297.56</v>
      </c>
      <c r="P427" s="12">
        <v>262.37</v>
      </c>
      <c r="Q427" s="12">
        <v>162.16</v>
      </c>
      <c r="R427" s="12">
        <v>186.83</v>
      </c>
      <c r="S427" s="12">
        <v>347.74</v>
      </c>
      <c r="T427" s="12">
        <v>399.67</v>
      </c>
      <c r="U427" s="12">
        <v>691.72</v>
      </c>
      <c r="V427" s="12">
        <v>496.45</v>
      </c>
      <c r="W427" s="12">
        <v>481.43</v>
      </c>
      <c r="X427" s="12">
        <v>348.15</v>
      </c>
      <c r="Y427" s="12">
        <v>279.09</v>
      </c>
      <c r="AA427" s="17">
        <f>MAX($B$427:$Y$427)</f>
        <v>691.72</v>
      </c>
      <c r="AB427" s="17">
        <f>MIN($B$427:$Y$427)</f>
        <v>162.16</v>
      </c>
      <c r="AC427" s="17">
        <f>AVERAGE($B$427:$Y$427)</f>
        <v>341.555</v>
      </c>
    </row>
    <row r="428" spans="1:29">
      <c r="A428" s="10">
        <v>45718</v>
      </c>
      <c r="B428" s="12">
        <v>348.52</v>
      </c>
      <c r="C428" s="12">
        <v>318.56</v>
      </c>
      <c r="D428" s="12">
        <v>304.33</v>
      </c>
      <c r="E428" s="12">
        <v>303.46</v>
      </c>
      <c r="F428" s="12">
        <v>210.49</v>
      </c>
      <c r="G428" s="12">
        <v>281.16</v>
      </c>
      <c r="H428" s="12">
        <v>290.97</v>
      </c>
      <c r="I428" s="12">
        <v>298.71</v>
      </c>
      <c r="J428" s="12">
        <v>299.35</v>
      </c>
      <c r="K428" s="12">
        <v>283.3</v>
      </c>
      <c r="L428" s="12">
        <v>291.26</v>
      </c>
      <c r="M428" s="12">
        <v>284.21</v>
      </c>
      <c r="N428" s="12">
        <v>189.41</v>
      </c>
      <c r="O428" s="12">
        <v>294.33</v>
      </c>
      <c r="P428" s="12">
        <v>56.08</v>
      </c>
      <c r="Q428" s="12">
        <v>214.92</v>
      </c>
      <c r="R428" s="12">
        <v>300.77</v>
      </c>
      <c r="S428" s="12">
        <v>331.84</v>
      </c>
      <c r="T428" s="12">
        <v>373.49</v>
      </c>
      <c r="U428" s="12">
        <v>425.21</v>
      </c>
      <c r="V428" s="12">
        <v>446.57</v>
      </c>
      <c r="W428" s="12">
        <v>418.89</v>
      </c>
      <c r="X428" s="12">
        <v>356.53</v>
      </c>
      <c r="Y428" s="12">
        <v>307.41</v>
      </c>
      <c r="AA428" s="17">
        <f>MAX($B$428:$Y$428)</f>
        <v>446.57</v>
      </c>
      <c r="AB428" s="17">
        <f>MIN($B$428:$Y$428)</f>
        <v>56.08</v>
      </c>
      <c r="AC428" s="17">
        <f>AVERAGE($B$428:$Y$428)</f>
        <v>301.240416666667</v>
      </c>
    </row>
    <row r="429" spans="1:29">
      <c r="A429" s="10">
        <v>45719</v>
      </c>
      <c r="B429" s="12">
        <v>284.72</v>
      </c>
      <c r="C429" s="12">
        <v>319.57</v>
      </c>
      <c r="D429" s="12">
        <v>313.46</v>
      </c>
      <c r="E429" s="12">
        <v>304.58</v>
      </c>
      <c r="F429" s="12">
        <v>303.93</v>
      </c>
      <c r="G429" s="12">
        <v>312.37</v>
      </c>
      <c r="H429" s="12">
        <v>341.79</v>
      </c>
      <c r="I429" s="12">
        <v>358.86</v>
      </c>
      <c r="J429" s="12">
        <v>678.24</v>
      </c>
      <c r="K429" s="12">
        <v>647.88</v>
      </c>
      <c r="L429" s="12">
        <v>487.78</v>
      </c>
      <c r="M429" s="12">
        <v>577.93</v>
      </c>
      <c r="N429" s="12">
        <v>374.18</v>
      </c>
      <c r="O429" s="12">
        <v>448.43</v>
      </c>
      <c r="P429" s="12">
        <v>456.5</v>
      </c>
      <c r="Q429" s="12">
        <v>478.57</v>
      </c>
      <c r="R429" s="12">
        <v>562.84</v>
      </c>
      <c r="S429" s="12">
        <v>649.45</v>
      </c>
      <c r="T429" s="12">
        <v>616.71</v>
      </c>
      <c r="U429" s="12">
        <v>669</v>
      </c>
      <c r="V429" s="12">
        <v>631.94</v>
      </c>
      <c r="W429" s="12">
        <v>489.63</v>
      </c>
      <c r="X429" s="12">
        <v>399.16</v>
      </c>
      <c r="Y429" s="12">
        <v>337.81</v>
      </c>
      <c r="AA429" s="17">
        <f>MAX($B$429:$Y$429)</f>
        <v>678.24</v>
      </c>
      <c r="AB429" s="17">
        <f>MIN($B$429:$Y$429)</f>
        <v>284.72</v>
      </c>
      <c r="AC429" s="17">
        <f>AVERAGE($B$429:$Y$429)</f>
        <v>460.222083333333</v>
      </c>
    </row>
    <row r="430" spans="1:29">
      <c r="A430" s="10">
        <v>45720</v>
      </c>
      <c r="B430" s="12">
        <v>510.92</v>
      </c>
      <c r="C430" s="12">
        <v>430.89</v>
      </c>
      <c r="D430" s="12">
        <v>353.06</v>
      </c>
      <c r="E430" s="12">
        <v>338.49</v>
      </c>
      <c r="F430" s="12">
        <v>325.72</v>
      </c>
      <c r="G430" s="12">
        <v>326.47</v>
      </c>
      <c r="H430" s="12">
        <v>384.94</v>
      </c>
      <c r="I430" s="12">
        <v>418.8</v>
      </c>
      <c r="J430" s="12">
        <v>590.25</v>
      </c>
      <c r="K430" s="12">
        <v>647.7</v>
      </c>
      <c r="L430" s="12">
        <v>759.85</v>
      </c>
      <c r="M430" s="12">
        <v>822.47</v>
      </c>
      <c r="N430" s="12">
        <v>462.83</v>
      </c>
      <c r="O430" s="12">
        <v>644.26</v>
      </c>
      <c r="P430" s="12">
        <v>506.61</v>
      </c>
      <c r="Q430" s="12">
        <v>491.35</v>
      </c>
      <c r="R430" s="12">
        <v>499.99</v>
      </c>
      <c r="S430" s="12">
        <v>483.87</v>
      </c>
      <c r="T430" s="12">
        <v>481.54</v>
      </c>
      <c r="U430" s="12">
        <v>510.07</v>
      </c>
      <c r="V430" s="12">
        <v>488.52</v>
      </c>
      <c r="W430" s="12">
        <v>473.46</v>
      </c>
      <c r="X430" s="12">
        <v>447.98</v>
      </c>
      <c r="Y430" s="12">
        <v>315.96</v>
      </c>
      <c r="AA430" s="17">
        <f>MAX($B$430:$Y$430)</f>
        <v>822.47</v>
      </c>
      <c r="AB430" s="17">
        <f>MIN($B$430:$Y$430)</f>
        <v>315.96</v>
      </c>
      <c r="AC430" s="17">
        <f>AVERAGE($B$430:$Y$430)</f>
        <v>488.166666666667</v>
      </c>
    </row>
    <row r="431" spans="1:29">
      <c r="A431" s="10">
        <v>45721</v>
      </c>
      <c r="B431" s="12">
        <v>394.15</v>
      </c>
      <c r="C431" s="12">
        <v>344.34</v>
      </c>
      <c r="D431" s="12">
        <v>319.55</v>
      </c>
      <c r="E431" s="12">
        <v>302.49</v>
      </c>
      <c r="F431" s="12">
        <v>291.17</v>
      </c>
      <c r="G431" s="12">
        <v>283.84</v>
      </c>
      <c r="H431" s="12">
        <v>306.8</v>
      </c>
      <c r="I431" s="12">
        <v>335.56</v>
      </c>
      <c r="J431" s="12">
        <v>518.53</v>
      </c>
      <c r="K431" s="12">
        <v>459.08</v>
      </c>
      <c r="L431" s="12">
        <v>358.51</v>
      </c>
      <c r="M431" s="12">
        <v>437.26</v>
      </c>
      <c r="N431" s="12">
        <v>340.13</v>
      </c>
      <c r="O431" s="12">
        <v>423.22</v>
      </c>
      <c r="P431" s="12">
        <v>352.84</v>
      </c>
      <c r="Q431" s="12">
        <v>354.18</v>
      </c>
      <c r="R431" s="12">
        <v>398.65</v>
      </c>
      <c r="S431" s="12">
        <v>386.79</v>
      </c>
      <c r="T431" s="12">
        <v>368.68</v>
      </c>
      <c r="U431" s="12">
        <v>410.6</v>
      </c>
      <c r="V431" s="12">
        <v>390.24</v>
      </c>
      <c r="W431" s="12">
        <v>367.27</v>
      </c>
      <c r="X431" s="12">
        <v>350.54</v>
      </c>
      <c r="Y431" s="12">
        <v>302.17</v>
      </c>
      <c r="AA431" s="17">
        <f>MAX($B$431:$Y$431)</f>
        <v>518.53</v>
      </c>
      <c r="AB431" s="17">
        <f>MIN($B$431:$Y$431)</f>
        <v>283.84</v>
      </c>
      <c r="AC431" s="17">
        <f>AVERAGE($B$431:$Y$431)</f>
        <v>366.524583333333</v>
      </c>
    </row>
    <row r="432" spans="1:29">
      <c r="A432" s="10">
        <v>45722</v>
      </c>
      <c r="B432" s="12">
        <v>471.8</v>
      </c>
      <c r="C432" s="12">
        <v>273.84</v>
      </c>
      <c r="D432" s="12">
        <v>247.51</v>
      </c>
      <c r="E432" s="12">
        <v>229.42</v>
      </c>
      <c r="F432" s="12">
        <v>229.82</v>
      </c>
      <c r="G432" s="12">
        <v>244.21</v>
      </c>
      <c r="H432" s="12">
        <v>288</v>
      </c>
      <c r="I432" s="12">
        <v>321.7</v>
      </c>
      <c r="J432" s="12">
        <v>443.34</v>
      </c>
      <c r="K432" s="12">
        <v>423.95</v>
      </c>
      <c r="L432" s="12">
        <v>405.58</v>
      </c>
      <c r="M432" s="12">
        <v>404.83</v>
      </c>
      <c r="N432" s="12">
        <v>325.17</v>
      </c>
      <c r="O432" s="12">
        <v>381.77</v>
      </c>
      <c r="P432" s="12">
        <v>347.36</v>
      </c>
      <c r="Q432" s="12">
        <v>386.37</v>
      </c>
      <c r="R432" s="12">
        <v>486.97</v>
      </c>
      <c r="S432" s="12">
        <v>506.26</v>
      </c>
      <c r="T432" s="12">
        <v>494.77</v>
      </c>
      <c r="U432" s="12">
        <v>555.38</v>
      </c>
      <c r="V432" s="12">
        <v>660.64</v>
      </c>
      <c r="W432" s="12">
        <v>546.38</v>
      </c>
      <c r="X432" s="12">
        <v>491.94</v>
      </c>
      <c r="Y432" s="12">
        <v>298.19</v>
      </c>
      <c r="AA432" s="17">
        <f>MAX($B$432:$Y$432)</f>
        <v>660.64</v>
      </c>
      <c r="AB432" s="17">
        <f>MIN($B$432:$Y$432)</f>
        <v>229.42</v>
      </c>
      <c r="AC432" s="17">
        <f>AVERAGE($B$432:$Y$432)</f>
        <v>394.383333333333</v>
      </c>
    </row>
    <row r="433" spans="1:29">
      <c r="A433" s="10">
        <v>45723</v>
      </c>
      <c r="B433" s="12">
        <v>332.99</v>
      </c>
      <c r="C433" s="12">
        <v>290.13</v>
      </c>
      <c r="D433" s="12">
        <v>316.58</v>
      </c>
      <c r="E433" s="12">
        <v>299.69</v>
      </c>
      <c r="F433" s="12">
        <v>272.49</v>
      </c>
      <c r="G433" s="12">
        <v>276.32</v>
      </c>
      <c r="H433" s="12">
        <v>340.83</v>
      </c>
      <c r="I433" s="12">
        <v>401.93</v>
      </c>
      <c r="J433" s="12">
        <v>475.87</v>
      </c>
      <c r="K433" s="12">
        <v>648.46</v>
      </c>
      <c r="L433" s="12">
        <v>544.61</v>
      </c>
      <c r="M433" s="12">
        <v>649.28</v>
      </c>
      <c r="N433" s="12">
        <v>396.56</v>
      </c>
      <c r="O433" s="12">
        <v>543.66</v>
      </c>
      <c r="P433" s="12">
        <v>502.08</v>
      </c>
      <c r="Q433" s="12">
        <v>472.6</v>
      </c>
      <c r="R433" s="12">
        <v>536.72</v>
      </c>
      <c r="S433" s="12">
        <v>550.35</v>
      </c>
      <c r="T433" s="12">
        <v>554.48</v>
      </c>
      <c r="U433" s="12">
        <v>666.65</v>
      </c>
      <c r="V433" s="12">
        <v>553.87</v>
      </c>
      <c r="W433" s="12">
        <v>543.47</v>
      </c>
      <c r="X433" s="12">
        <v>441.64</v>
      </c>
      <c r="Y433" s="12">
        <v>408.04</v>
      </c>
      <c r="AA433" s="17">
        <f>MAX($B$433:$Y$433)</f>
        <v>666.65</v>
      </c>
      <c r="AB433" s="17">
        <f>MIN($B$433:$Y$433)</f>
        <v>272.49</v>
      </c>
      <c r="AC433" s="17">
        <f>AVERAGE($B$433:$Y$433)</f>
        <v>459.1375</v>
      </c>
    </row>
    <row r="434" spans="1:29">
      <c r="A434" s="10">
        <v>45724</v>
      </c>
      <c r="B434" s="12">
        <v>474.08</v>
      </c>
      <c r="C434" s="12">
        <v>511.55</v>
      </c>
      <c r="D434" s="12">
        <v>412.64</v>
      </c>
      <c r="E434" s="12">
        <v>355.65</v>
      </c>
      <c r="F434" s="12">
        <v>347.67</v>
      </c>
      <c r="G434" s="12">
        <v>349.04</v>
      </c>
      <c r="H434" s="12">
        <v>356.74</v>
      </c>
      <c r="I434" s="12">
        <v>483.29</v>
      </c>
      <c r="J434" s="12">
        <v>515.07</v>
      </c>
      <c r="K434" s="12">
        <v>580.76</v>
      </c>
      <c r="L434" s="12">
        <v>427</v>
      </c>
      <c r="M434" s="12">
        <v>375.56</v>
      </c>
      <c r="N434" s="12">
        <v>298.53</v>
      </c>
      <c r="O434" s="12">
        <v>327.62</v>
      </c>
      <c r="P434" s="12">
        <v>304.47</v>
      </c>
      <c r="Q434" s="12">
        <v>312.58</v>
      </c>
      <c r="R434" s="12">
        <v>330.16</v>
      </c>
      <c r="S434" s="12">
        <v>335.78</v>
      </c>
      <c r="T434" s="12">
        <v>348.43</v>
      </c>
      <c r="U434" s="12">
        <v>384.3</v>
      </c>
      <c r="V434" s="12">
        <v>366.49</v>
      </c>
      <c r="W434" s="12">
        <v>371.15</v>
      </c>
      <c r="X434" s="12">
        <v>403.61</v>
      </c>
      <c r="Y434" s="12">
        <v>362.18</v>
      </c>
      <c r="AA434" s="17">
        <f>MAX($B$434:$Y$434)</f>
        <v>580.76</v>
      </c>
      <c r="AB434" s="17">
        <f>MIN($B$434:$Y$434)</f>
        <v>298.53</v>
      </c>
      <c r="AC434" s="17">
        <f>AVERAGE($B$434:$Y$434)</f>
        <v>388.93125</v>
      </c>
    </row>
    <row r="435" spans="1:29">
      <c r="A435" s="10">
        <v>45725</v>
      </c>
      <c r="B435" s="12">
        <v>424.36</v>
      </c>
      <c r="C435" s="12">
        <v>433.16</v>
      </c>
      <c r="D435" s="12">
        <v>384.94</v>
      </c>
      <c r="E435" s="12">
        <v>332.32</v>
      </c>
      <c r="F435" s="12">
        <v>314.98</v>
      </c>
      <c r="G435" s="12">
        <v>316.92</v>
      </c>
      <c r="H435" s="12">
        <v>316.96</v>
      </c>
      <c r="I435" s="12">
        <v>237.47</v>
      </c>
      <c r="J435" s="12">
        <v>192.58</v>
      </c>
      <c r="K435" s="12">
        <v>196.82</v>
      </c>
      <c r="L435" s="12">
        <v>199.59</v>
      </c>
      <c r="M435" s="12">
        <v>114.65</v>
      </c>
      <c r="N435" s="12">
        <v>36.24</v>
      </c>
      <c r="O435" s="12">
        <v>35.05</v>
      </c>
      <c r="P435" s="12">
        <v>44.95</v>
      </c>
      <c r="Q435" s="12">
        <v>93.11</v>
      </c>
      <c r="R435" s="12">
        <v>303.06</v>
      </c>
      <c r="S435" s="12">
        <v>344.96</v>
      </c>
      <c r="T435" s="12">
        <v>385.72</v>
      </c>
      <c r="U435" s="12">
        <v>555.63</v>
      </c>
      <c r="V435" s="12">
        <v>515.18</v>
      </c>
      <c r="W435" s="12">
        <v>497.77</v>
      </c>
      <c r="X435" s="12">
        <v>439.3</v>
      </c>
      <c r="Y435" s="12">
        <v>304.72</v>
      </c>
      <c r="AA435" s="17">
        <f>MAX($B$435:$Y$435)</f>
        <v>555.63</v>
      </c>
      <c r="AB435" s="17">
        <f>MIN($B$435:$Y$435)</f>
        <v>35.05</v>
      </c>
      <c r="AC435" s="17">
        <f>AVERAGE($B$435:$Y$435)</f>
        <v>292.518333333333</v>
      </c>
    </row>
    <row r="436" spans="1:29">
      <c r="A436" s="10">
        <v>45726</v>
      </c>
      <c r="B436" s="12">
        <v>322.46</v>
      </c>
      <c r="C436" s="12">
        <v>311.49</v>
      </c>
      <c r="D436" s="12">
        <v>295.21</v>
      </c>
      <c r="E436" s="12">
        <v>297.73</v>
      </c>
      <c r="F436" s="12">
        <v>290.46</v>
      </c>
      <c r="G436" s="12">
        <v>287.47</v>
      </c>
      <c r="H436" s="12">
        <v>337.81</v>
      </c>
      <c r="I436" s="12">
        <v>383.16</v>
      </c>
      <c r="J436" s="12">
        <v>463</v>
      </c>
      <c r="K436" s="12">
        <v>378.41</v>
      </c>
      <c r="L436" s="12">
        <v>262.13</v>
      </c>
      <c r="M436" s="12">
        <v>301.34</v>
      </c>
      <c r="N436" s="12">
        <v>90.12</v>
      </c>
      <c r="O436" s="12">
        <v>187.15</v>
      </c>
      <c r="P436" s="12">
        <v>251.21</v>
      </c>
      <c r="Q436" s="12">
        <v>310.24</v>
      </c>
      <c r="R436" s="12">
        <v>330.69</v>
      </c>
      <c r="S436" s="12">
        <v>310.13</v>
      </c>
      <c r="T436" s="12">
        <v>344.14</v>
      </c>
      <c r="U436" s="12">
        <v>374.16</v>
      </c>
      <c r="V436" s="12">
        <v>359.41</v>
      </c>
      <c r="W436" s="12">
        <v>350.61</v>
      </c>
      <c r="X436" s="12">
        <v>357.31</v>
      </c>
      <c r="Y436" s="12">
        <v>304.54</v>
      </c>
      <c r="AA436" s="17">
        <f>MAX($B$436:$Y$436)</f>
        <v>463</v>
      </c>
      <c r="AB436" s="17">
        <f>MIN($B$436:$Y$436)</f>
        <v>90.12</v>
      </c>
      <c r="AC436" s="17">
        <f>AVERAGE($B$436:$Y$436)</f>
        <v>312.515833333333</v>
      </c>
    </row>
    <row r="437" spans="1:29">
      <c r="A437" s="10">
        <v>45727</v>
      </c>
      <c r="B437" s="12">
        <v>360.21</v>
      </c>
      <c r="C437" s="12">
        <v>323.61</v>
      </c>
      <c r="D437" s="12">
        <v>309.63</v>
      </c>
      <c r="E437" s="12">
        <v>300.95</v>
      </c>
      <c r="F437" s="12">
        <v>289.85</v>
      </c>
      <c r="G437" s="12">
        <v>301.97</v>
      </c>
      <c r="H437" s="12">
        <v>337.58</v>
      </c>
      <c r="I437" s="12">
        <v>361.92</v>
      </c>
      <c r="J437" s="12">
        <v>392.08</v>
      </c>
      <c r="K437" s="12">
        <v>365.32</v>
      </c>
      <c r="L437" s="12">
        <v>245.43</v>
      </c>
      <c r="M437" s="12">
        <v>309.89</v>
      </c>
      <c r="N437" s="12">
        <v>140.81</v>
      </c>
      <c r="O437" s="12">
        <v>305.09</v>
      </c>
      <c r="P437" s="12">
        <v>338.43</v>
      </c>
      <c r="Q437" s="12">
        <v>340.62</v>
      </c>
      <c r="R437" s="12">
        <v>396.77</v>
      </c>
      <c r="S437" s="12">
        <v>375.24</v>
      </c>
      <c r="T437" s="12">
        <v>396.72</v>
      </c>
      <c r="U437" s="12">
        <v>466.55</v>
      </c>
      <c r="V437" s="12">
        <v>423.92</v>
      </c>
      <c r="W437" s="12">
        <v>385.26</v>
      </c>
      <c r="X437" s="12">
        <v>358.88</v>
      </c>
      <c r="Y437" s="12">
        <v>326.72</v>
      </c>
      <c r="AA437" s="17">
        <f>MAX($B$437:$Y$437)</f>
        <v>466.55</v>
      </c>
      <c r="AB437" s="17">
        <f>MIN($B$437:$Y$437)</f>
        <v>140.81</v>
      </c>
      <c r="AC437" s="17">
        <f>AVERAGE($B$437:$Y$437)</f>
        <v>339.727083333333</v>
      </c>
    </row>
    <row r="438" spans="1:29">
      <c r="A438" s="10">
        <v>45728</v>
      </c>
      <c r="B438" s="12">
        <v>344.84</v>
      </c>
      <c r="C438" s="12">
        <v>354.61</v>
      </c>
      <c r="D438" s="12">
        <v>333.39</v>
      </c>
      <c r="E438" s="12">
        <v>323.05</v>
      </c>
      <c r="F438" s="12">
        <v>308.25</v>
      </c>
      <c r="G438" s="12">
        <v>330.34</v>
      </c>
      <c r="H438" s="12">
        <v>375.91</v>
      </c>
      <c r="I438" s="12">
        <v>375.71</v>
      </c>
      <c r="J438" s="12">
        <v>385.8</v>
      </c>
      <c r="K438" s="12">
        <v>464.73</v>
      </c>
      <c r="L438" s="12">
        <v>364.72</v>
      </c>
      <c r="M438" s="12">
        <v>361.29</v>
      </c>
      <c r="N438" s="12">
        <v>256.99</v>
      </c>
      <c r="O438" s="12">
        <v>343.88</v>
      </c>
      <c r="P438" s="12">
        <v>330.1</v>
      </c>
      <c r="Q438" s="12">
        <v>368.26</v>
      </c>
      <c r="R438" s="12">
        <v>459.59</v>
      </c>
      <c r="S438" s="12">
        <v>545.27</v>
      </c>
      <c r="T438" s="12">
        <v>465.83</v>
      </c>
      <c r="U438" s="12">
        <v>478.03</v>
      </c>
      <c r="V438" s="12">
        <v>407.71</v>
      </c>
      <c r="W438" s="12">
        <v>391.31</v>
      </c>
      <c r="X438" s="12">
        <v>378.87</v>
      </c>
      <c r="Y438" s="12">
        <v>346.54</v>
      </c>
      <c r="AA438" s="17">
        <f>MAX($B$438:$Y$438)</f>
        <v>545.27</v>
      </c>
      <c r="AB438" s="17">
        <f>MIN($B$438:$Y$438)</f>
        <v>256.99</v>
      </c>
      <c r="AC438" s="17">
        <f>AVERAGE($B$438:$Y$438)</f>
        <v>378.959166666667</v>
      </c>
    </row>
    <row r="439" spans="1:29">
      <c r="A439" s="10">
        <v>45729</v>
      </c>
      <c r="B439" s="12">
        <v>451.39</v>
      </c>
      <c r="C439" s="12">
        <v>474.15</v>
      </c>
      <c r="D439" s="12">
        <v>402.92</v>
      </c>
      <c r="E439" s="12">
        <v>385.99</v>
      </c>
      <c r="F439" s="12">
        <v>364.38</v>
      </c>
      <c r="G439" s="12">
        <v>356.25</v>
      </c>
      <c r="H439" s="12">
        <v>458.42</v>
      </c>
      <c r="I439" s="12">
        <v>455.72</v>
      </c>
      <c r="J439" s="12">
        <v>383.19</v>
      </c>
      <c r="K439" s="12">
        <v>386.78</v>
      </c>
      <c r="L439" s="12">
        <v>370.11</v>
      </c>
      <c r="M439" s="12">
        <v>393</v>
      </c>
      <c r="N439" s="12">
        <v>322.33</v>
      </c>
      <c r="O439" s="12">
        <v>352.47</v>
      </c>
      <c r="P439" s="12">
        <v>352.04</v>
      </c>
      <c r="Q439" s="12">
        <v>371.17</v>
      </c>
      <c r="R439" s="12">
        <v>412.11</v>
      </c>
      <c r="S439" s="12">
        <v>398.07</v>
      </c>
      <c r="T439" s="12">
        <v>488.52</v>
      </c>
      <c r="U439" s="12">
        <v>509.83</v>
      </c>
      <c r="V439" s="12">
        <v>526.9</v>
      </c>
      <c r="W439" s="12">
        <v>529.66</v>
      </c>
      <c r="X439" s="12">
        <v>497.11</v>
      </c>
      <c r="Y439" s="12">
        <v>362.37</v>
      </c>
      <c r="AA439" s="17">
        <f>MAX($B$439:$Y$439)</f>
        <v>529.66</v>
      </c>
      <c r="AB439" s="17">
        <f>MIN($B$439:$Y$439)</f>
        <v>322.33</v>
      </c>
      <c r="AC439" s="17">
        <f>AVERAGE($B$439:$Y$439)</f>
        <v>416.87</v>
      </c>
    </row>
    <row r="440" spans="1:29">
      <c r="A440" s="10">
        <v>45730</v>
      </c>
      <c r="B440" s="12">
        <v>456.85</v>
      </c>
      <c r="C440" s="12">
        <v>481.07</v>
      </c>
      <c r="D440" s="12">
        <v>425.43</v>
      </c>
      <c r="E440" s="12">
        <v>367.4</v>
      </c>
      <c r="F440" s="12">
        <v>350.68</v>
      </c>
      <c r="G440" s="12">
        <v>345.45</v>
      </c>
      <c r="H440" s="12">
        <v>388.71</v>
      </c>
      <c r="I440" s="12">
        <v>421.33</v>
      </c>
      <c r="J440" s="12">
        <v>408.7</v>
      </c>
      <c r="K440" s="12">
        <v>501.19</v>
      </c>
      <c r="L440" s="12">
        <v>449.82</v>
      </c>
      <c r="M440" s="12">
        <v>437.74</v>
      </c>
      <c r="N440" s="12">
        <v>271.55</v>
      </c>
      <c r="O440" s="12">
        <v>337.18</v>
      </c>
      <c r="P440" s="12">
        <v>357.99</v>
      </c>
      <c r="Q440" s="12">
        <v>360.22</v>
      </c>
      <c r="R440" s="12">
        <v>381.96</v>
      </c>
      <c r="S440" s="12">
        <v>381.59</v>
      </c>
      <c r="T440" s="12">
        <v>386.68</v>
      </c>
      <c r="U440" s="12">
        <v>387.25</v>
      </c>
      <c r="V440" s="12">
        <v>405.16</v>
      </c>
      <c r="W440" s="12">
        <v>384.05</v>
      </c>
      <c r="X440" s="12">
        <v>355.13</v>
      </c>
      <c r="Y440" s="12">
        <v>324.65</v>
      </c>
      <c r="AA440" s="17">
        <f>MAX($B$440:$Y$440)</f>
        <v>501.19</v>
      </c>
      <c r="AB440" s="17">
        <f>MIN($B$440:$Y$440)</f>
        <v>271.55</v>
      </c>
      <c r="AC440" s="17">
        <f>AVERAGE($B$440:$Y$440)</f>
        <v>390.324166666667</v>
      </c>
    </row>
    <row r="441" spans="1:29">
      <c r="A441" s="10">
        <v>45731</v>
      </c>
      <c r="B441" s="12">
        <v>373.64</v>
      </c>
      <c r="C441" s="12">
        <v>501.14</v>
      </c>
      <c r="D441" s="12">
        <v>581.46</v>
      </c>
      <c r="E441" s="12">
        <v>580.01</v>
      </c>
      <c r="F441" s="12">
        <v>443.13</v>
      </c>
      <c r="G441" s="12">
        <v>413.99</v>
      </c>
      <c r="H441" s="12">
        <v>544.68</v>
      </c>
      <c r="I441" s="12">
        <v>430.16</v>
      </c>
      <c r="J441" s="12">
        <v>574.13</v>
      </c>
      <c r="K441" s="12">
        <v>452.42</v>
      </c>
      <c r="L441" s="12">
        <v>374.21</v>
      </c>
      <c r="M441" s="12">
        <v>400.23</v>
      </c>
      <c r="N441" s="12">
        <v>314.93</v>
      </c>
      <c r="O441" s="12">
        <v>385.74</v>
      </c>
      <c r="P441" s="12">
        <v>369.07</v>
      </c>
      <c r="Q441" s="12">
        <v>351.58</v>
      </c>
      <c r="R441" s="12">
        <v>359.7</v>
      </c>
      <c r="S441" s="12">
        <v>365.98</v>
      </c>
      <c r="T441" s="12">
        <v>443.91</v>
      </c>
      <c r="U441" s="12">
        <v>441.99</v>
      </c>
      <c r="V441" s="12">
        <v>500.32</v>
      </c>
      <c r="W441" s="12">
        <v>384.25</v>
      </c>
      <c r="X441" s="12">
        <v>362.04</v>
      </c>
      <c r="Y441" s="12">
        <v>337.15</v>
      </c>
      <c r="AA441" s="17">
        <f>MAX($B$441:$Y$441)</f>
        <v>581.46</v>
      </c>
      <c r="AB441" s="17">
        <f>MIN($B$441:$Y$441)</f>
        <v>314.93</v>
      </c>
      <c r="AC441" s="17">
        <f>AVERAGE($B$441:$Y$441)</f>
        <v>428.5775</v>
      </c>
    </row>
    <row r="442" spans="1:29">
      <c r="A442" s="10">
        <v>45732</v>
      </c>
      <c r="B442" s="12">
        <v>340.69</v>
      </c>
      <c r="C442" s="12">
        <v>347.44</v>
      </c>
      <c r="D442" s="12">
        <v>322.93</v>
      </c>
      <c r="E442" s="12">
        <v>210.99</v>
      </c>
      <c r="F442" s="12">
        <v>147.12</v>
      </c>
      <c r="G442" s="12">
        <v>173.77</v>
      </c>
      <c r="H442" s="12">
        <v>208.87</v>
      </c>
      <c r="I442" s="12">
        <v>177.21</v>
      </c>
      <c r="J442" s="12">
        <v>257.95</v>
      </c>
      <c r="K442" s="12">
        <v>279.84</v>
      </c>
      <c r="L442" s="12">
        <v>387.51</v>
      </c>
      <c r="M442" s="12">
        <v>165.02</v>
      </c>
      <c r="N442" s="12">
        <v>133.96</v>
      </c>
      <c r="O442" s="12">
        <v>110.95</v>
      </c>
      <c r="P442" s="12">
        <v>70.85</v>
      </c>
      <c r="Q442" s="12">
        <v>67.78</v>
      </c>
      <c r="R442" s="12">
        <v>325.73</v>
      </c>
      <c r="S442" s="12">
        <v>338.79</v>
      </c>
      <c r="T442" s="12">
        <v>396.62</v>
      </c>
      <c r="U442" s="12">
        <v>418.33</v>
      </c>
      <c r="V442" s="12">
        <v>499.33</v>
      </c>
      <c r="W442" s="12">
        <v>442.17</v>
      </c>
      <c r="X442" s="12">
        <v>343.82</v>
      </c>
      <c r="Y442" s="12">
        <v>218.09</v>
      </c>
      <c r="AA442" s="17">
        <f>MAX($B$442:$Y$442)</f>
        <v>499.33</v>
      </c>
      <c r="AB442" s="17">
        <f>MIN($B$442:$Y$442)</f>
        <v>67.78</v>
      </c>
      <c r="AC442" s="17">
        <f>AVERAGE($B$442:$Y$442)</f>
        <v>266.073333333333</v>
      </c>
    </row>
    <row r="443" spans="1:29">
      <c r="A443" s="10">
        <v>45733</v>
      </c>
      <c r="B443" s="12">
        <v>278.93</v>
      </c>
      <c r="C443" s="12">
        <v>232.18</v>
      </c>
      <c r="D443" s="12">
        <v>247.8</v>
      </c>
      <c r="E443" s="12">
        <v>245.52</v>
      </c>
      <c r="F443" s="12">
        <v>166.06</v>
      </c>
      <c r="G443" s="12">
        <v>168.2</v>
      </c>
      <c r="H443" s="12">
        <v>288.46</v>
      </c>
      <c r="I443" s="12">
        <v>328.99</v>
      </c>
      <c r="J443" s="12">
        <v>573</v>
      </c>
      <c r="K443" s="12">
        <v>844.6</v>
      </c>
      <c r="L443" s="12">
        <v>786.35</v>
      </c>
      <c r="M443" s="12">
        <v>750.91</v>
      </c>
      <c r="N443" s="12">
        <v>243.52</v>
      </c>
      <c r="O443" s="12">
        <v>327.98</v>
      </c>
      <c r="P443" s="12">
        <v>317.65</v>
      </c>
      <c r="Q443" s="12">
        <v>318.72</v>
      </c>
      <c r="R443" s="12">
        <v>322.98</v>
      </c>
      <c r="S443" s="12">
        <v>366.71</v>
      </c>
      <c r="T443" s="12">
        <v>376.73</v>
      </c>
      <c r="U443" s="12">
        <v>398.02</v>
      </c>
      <c r="V443" s="12">
        <v>422.74</v>
      </c>
      <c r="W443" s="12">
        <v>465.42</v>
      </c>
      <c r="X443" s="12">
        <v>407.4</v>
      </c>
      <c r="Y443" s="12">
        <v>345.02</v>
      </c>
      <c r="AA443" s="17">
        <f>MAX($B$443:$Y$443)</f>
        <v>844.6</v>
      </c>
      <c r="AB443" s="17">
        <f>MIN($B$443:$Y$443)</f>
        <v>166.06</v>
      </c>
      <c r="AC443" s="17">
        <f>AVERAGE($B$443:$Y$443)</f>
        <v>384.32875</v>
      </c>
    </row>
    <row r="444" spans="1:29">
      <c r="A444" s="10">
        <v>45734</v>
      </c>
      <c r="B444" s="12">
        <v>344.77</v>
      </c>
      <c r="C444" s="12">
        <v>350.62</v>
      </c>
      <c r="D444" s="12">
        <v>332.47</v>
      </c>
      <c r="E444" s="12">
        <v>326.07</v>
      </c>
      <c r="F444" s="12">
        <v>320.33</v>
      </c>
      <c r="G444" s="12">
        <v>322.01</v>
      </c>
      <c r="H444" s="12">
        <v>401.03</v>
      </c>
      <c r="I444" s="12">
        <v>652.16</v>
      </c>
      <c r="J444" s="12">
        <v>699.27</v>
      </c>
      <c r="K444" s="12">
        <v>484.5</v>
      </c>
      <c r="L444" s="12">
        <v>400.91</v>
      </c>
      <c r="M444" s="12">
        <v>414.71</v>
      </c>
      <c r="N444" s="12">
        <v>228.9</v>
      </c>
      <c r="O444" s="12">
        <v>355.37</v>
      </c>
      <c r="P444" s="12">
        <v>388.44</v>
      </c>
      <c r="Q444" s="12">
        <v>427.78</v>
      </c>
      <c r="R444" s="12">
        <v>360.17</v>
      </c>
      <c r="S444" s="12">
        <v>368.34</v>
      </c>
      <c r="T444" s="12">
        <v>426.68</v>
      </c>
      <c r="U444" s="12">
        <v>504.98</v>
      </c>
      <c r="V444" s="12">
        <v>480.53</v>
      </c>
      <c r="W444" s="12">
        <v>503.66</v>
      </c>
      <c r="X444" s="12">
        <v>411.01</v>
      </c>
      <c r="Y444" s="12">
        <v>345.45</v>
      </c>
      <c r="AA444" s="17">
        <f>MAX($B$444:$Y$444)</f>
        <v>699.27</v>
      </c>
      <c r="AB444" s="17">
        <f>MIN($B$444:$Y$444)</f>
        <v>228.9</v>
      </c>
      <c r="AC444" s="17">
        <f>AVERAGE($B$444:$Y$444)</f>
        <v>410.423333333333</v>
      </c>
    </row>
    <row r="445" spans="1:29">
      <c r="A445" s="10">
        <v>45735</v>
      </c>
      <c r="B445" s="12">
        <v>339.2</v>
      </c>
      <c r="C445" s="12">
        <v>367.77</v>
      </c>
      <c r="D445" s="12">
        <v>394.73</v>
      </c>
      <c r="E445" s="12">
        <v>365.01</v>
      </c>
      <c r="F445" s="12">
        <v>333.35</v>
      </c>
      <c r="G445" s="12">
        <v>334.94</v>
      </c>
      <c r="H445" s="12">
        <v>435.76</v>
      </c>
      <c r="I445" s="12">
        <v>649.05</v>
      </c>
      <c r="J445" s="12">
        <v>456.75</v>
      </c>
      <c r="K445" s="12">
        <v>280.1</v>
      </c>
      <c r="L445" s="12">
        <v>266.78</v>
      </c>
      <c r="M445" s="12">
        <v>248.75</v>
      </c>
      <c r="N445" s="12">
        <v>37.72</v>
      </c>
      <c r="O445" s="12">
        <v>214.98</v>
      </c>
      <c r="P445" s="12">
        <v>307.35</v>
      </c>
      <c r="Q445" s="12">
        <v>341.21</v>
      </c>
      <c r="R445" s="12">
        <v>357.95</v>
      </c>
      <c r="S445" s="12">
        <v>376.03</v>
      </c>
      <c r="T445" s="12">
        <v>392.09</v>
      </c>
      <c r="U445" s="12">
        <v>445.4</v>
      </c>
      <c r="V445" s="12">
        <v>456.18</v>
      </c>
      <c r="W445" s="12">
        <v>477.48</v>
      </c>
      <c r="X445" s="12">
        <v>420.13</v>
      </c>
      <c r="Y445" s="12">
        <v>363.99</v>
      </c>
      <c r="AA445" s="17">
        <f>MAX($B$445:$Y$445)</f>
        <v>649.05</v>
      </c>
      <c r="AB445" s="17">
        <f>MIN($B$445:$Y$445)</f>
        <v>37.72</v>
      </c>
      <c r="AC445" s="17">
        <f>AVERAGE($B$445:$Y$445)</f>
        <v>360.945833333333</v>
      </c>
    </row>
    <row r="446" spans="1:29">
      <c r="A446" s="10">
        <v>45736</v>
      </c>
      <c r="B446" s="12">
        <v>344.04</v>
      </c>
      <c r="C446" s="12">
        <v>332.82</v>
      </c>
      <c r="D446" s="12">
        <v>339.58</v>
      </c>
      <c r="E446" s="12">
        <v>329.49</v>
      </c>
      <c r="F446" s="12">
        <v>333.97</v>
      </c>
      <c r="G446" s="12">
        <v>334.35</v>
      </c>
      <c r="H446" s="12">
        <v>399.7</v>
      </c>
      <c r="I446" s="12">
        <v>407.36</v>
      </c>
      <c r="J446" s="12">
        <v>352.52</v>
      </c>
      <c r="K446" s="12">
        <v>325.2</v>
      </c>
      <c r="L446" s="12">
        <v>316.74</v>
      </c>
      <c r="M446" s="12">
        <v>302.26</v>
      </c>
      <c r="N446" s="12">
        <v>69.04</v>
      </c>
      <c r="O446" s="12">
        <v>249.78</v>
      </c>
      <c r="P446" s="12">
        <v>257.85</v>
      </c>
      <c r="Q446" s="12">
        <v>403.8</v>
      </c>
      <c r="R446" s="12">
        <v>327.08</v>
      </c>
      <c r="S446" s="12">
        <v>360.7</v>
      </c>
      <c r="T446" s="12">
        <v>374.88</v>
      </c>
      <c r="U446" s="12">
        <v>440.37</v>
      </c>
      <c r="V446" s="12">
        <v>430.17</v>
      </c>
      <c r="W446" s="12">
        <v>504.57</v>
      </c>
      <c r="X446" s="12">
        <v>417.2</v>
      </c>
      <c r="Y446" s="12">
        <v>378.48</v>
      </c>
      <c r="AA446" s="17">
        <f>MAX($B$446:$Y$446)</f>
        <v>504.57</v>
      </c>
      <c r="AB446" s="17">
        <f>MIN($B$446:$Y$446)</f>
        <v>69.04</v>
      </c>
      <c r="AC446" s="17">
        <f>AVERAGE($B$446:$Y$446)</f>
        <v>347.164583333333</v>
      </c>
    </row>
    <row r="447" spans="1:29">
      <c r="A447" s="10">
        <v>45737</v>
      </c>
      <c r="B447" s="12">
        <v>498.7</v>
      </c>
      <c r="C447" s="12">
        <v>527.59</v>
      </c>
      <c r="D447" s="12">
        <v>563.17</v>
      </c>
      <c r="E447" s="12">
        <v>452.98</v>
      </c>
      <c r="F447" s="12">
        <v>401.77</v>
      </c>
      <c r="G447" s="12">
        <v>424.31</v>
      </c>
      <c r="H447" s="12">
        <v>1067.79</v>
      </c>
      <c r="I447" s="12">
        <v>485.64</v>
      </c>
      <c r="J447" s="12">
        <v>395.14</v>
      </c>
      <c r="K447" s="12">
        <v>326.11</v>
      </c>
      <c r="L447" s="12">
        <v>324.82</v>
      </c>
      <c r="M447" s="12">
        <v>297.94</v>
      </c>
      <c r="N447" s="12">
        <v>137.36</v>
      </c>
      <c r="O447" s="12">
        <v>231.27</v>
      </c>
      <c r="P447" s="12">
        <v>243.41</v>
      </c>
      <c r="Q447" s="12">
        <v>297.58</v>
      </c>
      <c r="R447" s="12">
        <v>329.78</v>
      </c>
      <c r="S447" s="12">
        <v>367.43</v>
      </c>
      <c r="T447" s="12">
        <v>364.71</v>
      </c>
      <c r="U447" s="12">
        <v>386.78</v>
      </c>
      <c r="V447" s="12">
        <v>367.36</v>
      </c>
      <c r="W447" s="12">
        <v>374.2</v>
      </c>
      <c r="X447" s="12">
        <v>366.46</v>
      </c>
      <c r="Y447" s="12">
        <v>363.66</v>
      </c>
      <c r="AA447" s="17">
        <f>MAX($B$447:$Y$447)</f>
        <v>1067.79</v>
      </c>
      <c r="AB447" s="17">
        <f>MIN($B$447:$Y$447)</f>
        <v>137.36</v>
      </c>
      <c r="AC447" s="17">
        <f>AVERAGE($B$447:$Y$447)</f>
        <v>399.831666666667</v>
      </c>
    </row>
    <row r="448" spans="1:29">
      <c r="A448" s="10">
        <v>45738</v>
      </c>
      <c r="B448" s="12">
        <v>465.24</v>
      </c>
      <c r="C448" s="12">
        <v>443.24</v>
      </c>
      <c r="D448" s="12">
        <v>396.75</v>
      </c>
      <c r="E448" s="12">
        <v>355.95</v>
      </c>
      <c r="F448" s="12">
        <v>338.01</v>
      </c>
      <c r="G448" s="12">
        <v>336.35</v>
      </c>
      <c r="H448" s="12">
        <v>419.51</v>
      </c>
      <c r="I448" s="12">
        <v>396.21</v>
      </c>
      <c r="J448" s="12">
        <v>340.62</v>
      </c>
      <c r="K448" s="12">
        <v>326.03</v>
      </c>
      <c r="L448" s="12">
        <v>316.35</v>
      </c>
      <c r="M448" s="12">
        <v>313.43</v>
      </c>
      <c r="N448" s="12">
        <v>75.7</v>
      </c>
      <c r="O448" s="12">
        <v>312.72</v>
      </c>
      <c r="P448" s="12">
        <v>328.09</v>
      </c>
      <c r="Q448" s="12">
        <v>302.82</v>
      </c>
      <c r="R448" s="12">
        <v>319.08</v>
      </c>
      <c r="S448" s="12">
        <v>331.49</v>
      </c>
      <c r="T448" s="12">
        <v>368.42</v>
      </c>
      <c r="U448" s="12">
        <v>383.02</v>
      </c>
      <c r="V448" s="12">
        <v>366.13</v>
      </c>
      <c r="W448" s="12">
        <v>373.05</v>
      </c>
      <c r="X448" s="12">
        <v>395.12</v>
      </c>
      <c r="Y448" s="12">
        <v>384.13</v>
      </c>
      <c r="AA448" s="17">
        <f>MAX($B$448:$Y$448)</f>
        <v>465.24</v>
      </c>
      <c r="AB448" s="17">
        <f>MIN($B$448:$Y$448)</f>
        <v>75.7</v>
      </c>
      <c r="AC448" s="17">
        <f>AVERAGE($B$448:$Y$448)</f>
        <v>349.4775</v>
      </c>
    </row>
    <row r="449" spans="1:29">
      <c r="A449" s="10">
        <v>45739</v>
      </c>
      <c r="B449" s="12">
        <v>452.72</v>
      </c>
      <c r="C449" s="12">
        <v>399.74</v>
      </c>
      <c r="D449" s="12">
        <v>373.76</v>
      </c>
      <c r="E449" s="12">
        <v>364.04</v>
      </c>
      <c r="F449" s="12">
        <v>345.37</v>
      </c>
      <c r="G449" s="12">
        <v>343.65</v>
      </c>
      <c r="H449" s="12">
        <v>377.1</v>
      </c>
      <c r="I449" s="12">
        <v>343.62</v>
      </c>
      <c r="J449" s="12">
        <v>254.25</v>
      </c>
      <c r="K449" s="12">
        <v>325.64</v>
      </c>
      <c r="L449" s="12">
        <v>328.86</v>
      </c>
      <c r="M449" s="12">
        <v>263.6</v>
      </c>
      <c r="N449" s="12">
        <v>83.34</v>
      </c>
      <c r="O449" s="12">
        <v>158.22</v>
      </c>
      <c r="P449" s="12">
        <v>213.6</v>
      </c>
      <c r="Q449" s="12">
        <v>188.29</v>
      </c>
      <c r="R449" s="12">
        <v>313.07</v>
      </c>
      <c r="S449" s="12">
        <v>325.89</v>
      </c>
      <c r="T449" s="12">
        <v>332.53</v>
      </c>
      <c r="U449" s="12">
        <v>348.66</v>
      </c>
      <c r="V449" s="12">
        <v>350.19</v>
      </c>
      <c r="W449" s="12">
        <v>360.28</v>
      </c>
      <c r="X449" s="12">
        <v>358.05</v>
      </c>
      <c r="Y449" s="12">
        <v>334.92</v>
      </c>
      <c r="AA449" s="17">
        <f>MAX($B$449:$Y$449)</f>
        <v>452.72</v>
      </c>
      <c r="AB449" s="17">
        <f>MIN($B$449:$Y$449)</f>
        <v>83.34</v>
      </c>
      <c r="AC449" s="17">
        <f>AVERAGE($B$449:$Y$449)</f>
        <v>314.14125</v>
      </c>
    </row>
    <row r="450" spans="1:29">
      <c r="A450" s="10">
        <v>45740</v>
      </c>
      <c r="B450" s="12">
        <v>360.18</v>
      </c>
      <c r="C450" s="12">
        <v>383.27</v>
      </c>
      <c r="D450" s="12">
        <v>331.68</v>
      </c>
      <c r="E450" s="12">
        <v>337.98</v>
      </c>
      <c r="F450" s="12">
        <v>342.05</v>
      </c>
      <c r="G450" s="12">
        <v>409.1</v>
      </c>
      <c r="H450" s="12">
        <v>626.92</v>
      </c>
      <c r="I450" s="12">
        <v>373.21</v>
      </c>
      <c r="J450" s="12">
        <v>370.59</v>
      </c>
      <c r="K450" s="12">
        <v>352.38</v>
      </c>
      <c r="L450" s="12">
        <v>325.3</v>
      </c>
      <c r="M450" s="12">
        <v>311.22</v>
      </c>
      <c r="N450" s="12">
        <v>227.16</v>
      </c>
      <c r="O450" s="12">
        <v>280.02</v>
      </c>
      <c r="P450" s="12">
        <v>274.36</v>
      </c>
      <c r="Q450" s="12">
        <v>318.03</v>
      </c>
      <c r="R450" s="12">
        <v>344.99</v>
      </c>
      <c r="S450" s="12">
        <v>388.71</v>
      </c>
      <c r="T450" s="12">
        <v>368.2</v>
      </c>
      <c r="U450" s="12">
        <v>401.94</v>
      </c>
      <c r="V450" s="12">
        <v>371.02</v>
      </c>
      <c r="W450" s="12">
        <v>370.44</v>
      </c>
      <c r="X450" s="12">
        <v>365.29</v>
      </c>
      <c r="Y450" s="12">
        <v>331.47</v>
      </c>
      <c r="AA450" s="17">
        <f>MAX($B$450:$Y$450)</f>
        <v>626.92</v>
      </c>
      <c r="AB450" s="17">
        <f>MIN($B$450:$Y$450)</f>
        <v>227.16</v>
      </c>
      <c r="AC450" s="17">
        <f>AVERAGE($B$450:$Y$450)</f>
        <v>356.89625</v>
      </c>
    </row>
    <row r="451" spans="1:29">
      <c r="A451" s="10">
        <v>45741</v>
      </c>
      <c r="B451" s="12">
        <v>349.74</v>
      </c>
      <c r="C451" s="12">
        <v>339.48</v>
      </c>
      <c r="D451" s="12">
        <v>343.12</v>
      </c>
      <c r="E451" s="12">
        <v>336.12</v>
      </c>
      <c r="F451" s="12">
        <v>328.36</v>
      </c>
      <c r="G451" s="12">
        <v>323.53</v>
      </c>
      <c r="H451" s="12">
        <v>360.08</v>
      </c>
      <c r="I451" s="12">
        <v>347.58</v>
      </c>
      <c r="J451" s="12">
        <v>329.59</v>
      </c>
      <c r="K451" s="12">
        <v>318.86</v>
      </c>
      <c r="L451" s="12">
        <v>226.15</v>
      </c>
      <c r="M451" s="12">
        <v>235.64</v>
      </c>
      <c r="N451" s="12">
        <v>12.54</v>
      </c>
      <c r="O451" s="12">
        <v>163.51</v>
      </c>
      <c r="P451" s="12">
        <v>136.23</v>
      </c>
      <c r="Q451" s="12">
        <v>252.23</v>
      </c>
      <c r="R451" s="12">
        <v>309.71</v>
      </c>
      <c r="S451" s="12">
        <v>330.28</v>
      </c>
      <c r="T451" s="12">
        <v>343.29</v>
      </c>
      <c r="U451" s="12">
        <v>354.05</v>
      </c>
      <c r="V451" s="12">
        <v>336.25</v>
      </c>
      <c r="W451" s="12">
        <v>349.51</v>
      </c>
      <c r="X451" s="12">
        <v>349.7</v>
      </c>
      <c r="Y451" s="12">
        <v>328.7</v>
      </c>
      <c r="AA451" s="17">
        <f>MAX($B$451:$Y$451)</f>
        <v>360.08</v>
      </c>
      <c r="AB451" s="17">
        <f>MIN($B$451:$Y$451)</f>
        <v>12.54</v>
      </c>
      <c r="AC451" s="17">
        <f>AVERAGE($B$451:$Y$451)</f>
        <v>296.010416666667</v>
      </c>
    </row>
    <row r="452" spans="1:29">
      <c r="A452" s="10">
        <v>45742</v>
      </c>
      <c r="B452" s="12">
        <v>396.87</v>
      </c>
      <c r="C452" s="12">
        <v>321.44</v>
      </c>
      <c r="D452" s="12">
        <v>310.78</v>
      </c>
      <c r="E452" s="12">
        <v>304.85</v>
      </c>
      <c r="F452" s="12">
        <v>300.05</v>
      </c>
      <c r="G452" s="12">
        <v>304.49</v>
      </c>
      <c r="H452" s="12">
        <v>329.38</v>
      </c>
      <c r="I452" s="12">
        <v>332.36</v>
      </c>
      <c r="J452" s="12">
        <v>332.11</v>
      </c>
      <c r="K452" s="12">
        <v>265.33</v>
      </c>
      <c r="L452" s="12">
        <v>281.42</v>
      </c>
      <c r="M452" s="12">
        <v>257</v>
      </c>
      <c r="N452" s="12">
        <v>74.14</v>
      </c>
      <c r="O452" s="12">
        <v>273.72</v>
      </c>
      <c r="P452" s="12">
        <v>182.25</v>
      </c>
      <c r="Q452" s="12">
        <v>222.64</v>
      </c>
      <c r="R452" s="12">
        <v>308.65</v>
      </c>
      <c r="S452" s="12">
        <v>344.18</v>
      </c>
      <c r="T452" s="12">
        <v>339.17</v>
      </c>
      <c r="U452" s="12">
        <v>344.71</v>
      </c>
      <c r="V452" s="12">
        <v>335.07</v>
      </c>
      <c r="W452" s="12">
        <v>337.1</v>
      </c>
      <c r="X452" s="12">
        <v>331.36</v>
      </c>
      <c r="Y452" s="12">
        <v>299.86</v>
      </c>
      <c r="AA452" s="17">
        <f>MAX($B$452:$Y$452)</f>
        <v>396.87</v>
      </c>
      <c r="AB452" s="17">
        <f>MIN($B$452:$Y$452)</f>
        <v>74.14</v>
      </c>
      <c r="AC452" s="17">
        <f>AVERAGE($B$452:$Y$452)</f>
        <v>297.03875</v>
      </c>
    </row>
    <row r="453" spans="1:29">
      <c r="A453" s="10">
        <v>45743</v>
      </c>
      <c r="B453" s="12">
        <v>316.96</v>
      </c>
      <c r="C453" s="12">
        <v>313.03</v>
      </c>
      <c r="D453" s="12">
        <v>307.38</v>
      </c>
      <c r="E453" s="12">
        <v>303.69</v>
      </c>
      <c r="F453" s="12">
        <v>277.92</v>
      </c>
      <c r="G453" s="12">
        <v>299.4</v>
      </c>
      <c r="H453" s="12">
        <v>339.43</v>
      </c>
      <c r="I453" s="12">
        <v>346.26</v>
      </c>
      <c r="J453" s="12">
        <v>346.97</v>
      </c>
      <c r="K453" s="12">
        <v>356.82</v>
      </c>
      <c r="L453" s="12">
        <v>325.56</v>
      </c>
      <c r="M453" s="12">
        <v>322.35</v>
      </c>
      <c r="N453" s="12">
        <v>207.51</v>
      </c>
      <c r="O453" s="12">
        <v>311.14</v>
      </c>
      <c r="P453" s="12">
        <v>298.69</v>
      </c>
      <c r="Q453" s="12">
        <v>323.75</v>
      </c>
      <c r="R453" s="12">
        <v>389.75</v>
      </c>
      <c r="S453" s="12">
        <v>485.74</v>
      </c>
      <c r="T453" s="12">
        <v>379.91</v>
      </c>
      <c r="U453" s="12">
        <v>512.89</v>
      </c>
      <c r="V453" s="12">
        <v>382.03</v>
      </c>
      <c r="W453" s="12">
        <v>393.13</v>
      </c>
      <c r="X453" s="12">
        <v>396.24</v>
      </c>
      <c r="Y453" s="12">
        <v>352.15</v>
      </c>
      <c r="AA453" s="17">
        <f>MAX($B$453:$Y$453)</f>
        <v>512.89</v>
      </c>
      <c r="AB453" s="17">
        <f>MIN($B$453:$Y$453)</f>
        <v>207.51</v>
      </c>
      <c r="AC453" s="17">
        <f>AVERAGE($B$453:$Y$453)</f>
        <v>345.3625</v>
      </c>
    </row>
    <row r="454" spans="1:29">
      <c r="A454" s="10">
        <v>45744</v>
      </c>
      <c r="B454" s="12">
        <v>354.08</v>
      </c>
      <c r="C454" s="12">
        <v>355.21</v>
      </c>
      <c r="D454" s="12">
        <v>348.93</v>
      </c>
      <c r="E454" s="12">
        <v>343.6</v>
      </c>
      <c r="F454" s="12">
        <v>334.2</v>
      </c>
      <c r="G454" s="12">
        <v>339.52</v>
      </c>
      <c r="H454" s="12">
        <v>387.13</v>
      </c>
      <c r="I454" s="12">
        <v>403.25</v>
      </c>
      <c r="J454" s="12">
        <v>506.79</v>
      </c>
      <c r="K454" s="12">
        <v>542.06</v>
      </c>
      <c r="L454" s="12">
        <v>476.86</v>
      </c>
      <c r="M454" s="12">
        <v>536.21</v>
      </c>
      <c r="N454" s="12">
        <v>367.82</v>
      </c>
      <c r="O454" s="12">
        <v>379.3</v>
      </c>
      <c r="P454" s="12">
        <v>345.08</v>
      </c>
      <c r="Q454" s="12">
        <v>358.72</v>
      </c>
      <c r="R454" s="12">
        <v>513</v>
      </c>
      <c r="S454" s="12">
        <v>495.4</v>
      </c>
      <c r="T454" s="12">
        <v>360.46</v>
      </c>
      <c r="U454" s="12">
        <v>347.1</v>
      </c>
      <c r="V454" s="12">
        <v>329.72</v>
      </c>
      <c r="W454" s="12">
        <v>304.36</v>
      </c>
      <c r="X454" s="12">
        <v>309.02</v>
      </c>
      <c r="Y454" s="12">
        <v>277.43</v>
      </c>
      <c r="AA454" s="17">
        <f>MAX($B$454:$Y$454)</f>
        <v>542.06</v>
      </c>
      <c r="AB454" s="17">
        <f>MIN($B$454:$Y$454)</f>
        <v>277.43</v>
      </c>
      <c r="AC454" s="17">
        <f>AVERAGE($B$454:$Y$454)</f>
        <v>388.135416666667</v>
      </c>
    </row>
    <row r="455" spans="1:29">
      <c r="A455" s="10">
        <v>45745</v>
      </c>
      <c r="B455" s="12">
        <v>304</v>
      </c>
      <c r="C455" s="12">
        <v>298.65</v>
      </c>
      <c r="D455" s="12">
        <v>280.54</v>
      </c>
      <c r="E455" s="12">
        <v>265.45</v>
      </c>
      <c r="F455" s="12">
        <v>231.84</v>
      </c>
      <c r="G455" s="12">
        <v>255.28</v>
      </c>
      <c r="H455" s="12">
        <v>252.97</v>
      </c>
      <c r="I455" s="12">
        <v>292.59</v>
      </c>
      <c r="J455" s="12">
        <v>333.71</v>
      </c>
      <c r="K455" s="12">
        <v>329.3</v>
      </c>
      <c r="L455" s="12">
        <v>407.71</v>
      </c>
      <c r="M455" s="12">
        <v>607.46</v>
      </c>
      <c r="N455" s="12">
        <v>324.24</v>
      </c>
      <c r="O455" s="12">
        <v>502.35</v>
      </c>
      <c r="P455" s="12">
        <v>646.71</v>
      </c>
      <c r="Q455" s="12">
        <v>549.38</v>
      </c>
      <c r="R455" s="12">
        <v>471.76</v>
      </c>
      <c r="S455" s="12">
        <v>387.2</v>
      </c>
      <c r="T455" s="12">
        <v>350.15</v>
      </c>
      <c r="U455" s="12">
        <v>358.79</v>
      </c>
      <c r="V455" s="12">
        <v>340.85</v>
      </c>
      <c r="W455" s="12">
        <v>347</v>
      </c>
      <c r="X455" s="12">
        <v>342.04</v>
      </c>
      <c r="Y455" s="12">
        <v>320.38</v>
      </c>
      <c r="AA455" s="17">
        <f>MAX($B$455:$Y$455)</f>
        <v>646.71</v>
      </c>
      <c r="AB455" s="17">
        <f>MIN($B$455:$Y$455)</f>
        <v>231.84</v>
      </c>
      <c r="AC455" s="17">
        <f>AVERAGE($B$455:$Y$455)</f>
        <v>366.68125</v>
      </c>
    </row>
    <row r="456" spans="1:29">
      <c r="A456" s="10">
        <v>45746</v>
      </c>
      <c r="B456" s="12">
        <v>342.39</v>
      </c>
      <c r="C456" s="12">
        <v>293.97</v>
      </c>
      <c r="D456" s="12">
        <v>276.81</v>
      </c>
      <c r="E456" s="12">
        <v>279.9</v>
      </c>
      <c r="F456" s="12">
        <v>251.6</v>
      </c>
      <c r="G456" s="12">
        <v>168.47</v>
      </c>
      <c r="H456" s="12">
        <v>248.54</v>
      </c>
      <c r="I456" s="12">
        <v>280.83</v>
      </c>
      <c r="J456" s="12">
        <v>298.88</v>
      </c>
      <c r="K456" s="12">
        <v>313.69</v>
      </c>
      <c r="L456" s="12">
        <v>378.42</v>
      </c>
      <c r="M456" s="12">
        <v>616.98</v>
      </c>
      <c r="N456" s="12">
        <v>347.17</v>
      </c>
      <c r="O456" s="12">
        <v>474.44</v>
      </c>
      <c r="P456" s="12">
        <v>377.07</v>
      </c>
      <c r="Q456" s="12">
        <v>299.08</v>
      </c>
      <c r="R456" s="12">
        <v>321.83</v>
      </c>
      <c r="S456" s="12">
        <v>341.95</v>
      </c>
      <c r="T456" s="12">
        <v>340.62</v>
      </c>
      <c r="U456" s="12">
        <v>347.7</v>
      </c>
      <c r="V456" s="12">
        <v>345.41</v>
      </c>
      <c r="W456" s="12">
        <v>366.96</v>
      </c>
      <c r="X456" s="12">
        <v>334.71</v>
      </c>
      <c r="Y456" s="12">
        <v>299.52</v>
      </c>
      <c r="AA456" s="17">
        <f>MAX($B$456:$Y$456)</f>
        <v>616.98</v>
      </c>
      <c r="AB456" s="17">
        <f>MIN($B$456:$Y$456)</f>
        <v>168.47</v>
      </c>
      <c r="AC456" s="17">
        <f>AVERAGE($B$456:$Y$456)</f>
        <v>331.1225</v>
      </c>
    </row>
    <row r="457" spans="1:29">
      <c r="A457" s="10">
        <v>45747</v>
      </c>
      <c r="B457" s="12">
        <v>347.79</v>
      </c>
      <c r="C457" s="12">
        <v>304.95</v>
      </c>
      <c r="D457" s="12">
        <v>308.96</v>
      </c>
      <c r="E457" s="12">
        <v>284.82</v>
      </c>
      <c r="F457" s="12">
        <v>284.16</v>
      </c>
      <c r="G457" s="12">
        <v>267.44</v>
      </c>
      <c r="H457" s="12">
        <v>312.23</v>
      </c>
      <c r="I457" s="12">
        <v>353.42</v>
      </c>
      <c r="J457" s="12">
        <v>461.12</v>
      </c>
      <c r="K457" s="12">
        <v>373.97</v>
      </c>
      <c r="L457" s="12">
        <v>385.27</v>
      </c>
      <c r="M457" s="12">
        <v>409.57</v>
      </c>
      <c r="N457" s="12">
        <v>355.6</v>
      </c>
      <c r="O457" s="12">
        <v>394.71</v>
      </c>
      <c r="P457" s="12">
        <v>352.37</v>
      </c>
      <c r="Q457" s="12">
        <v>323.21</v>
      </c>
      <c r="R457" s="12">
        <v>365.12</v>
      </c>
      <c r="S457" s="12">
        <v>399.77</v>
      </c>
      <c r="T457" s="12">
        <v>364.84</v>
      </c>
      <c r="U457" s="12">
        <v>373.15</v>
      </c>
      <c r="V457" s="12">
        <v>394.67</v>
      </c>
      <c r="W457" s="12">
        <v>375.18</v>
      </c>
      <c r="X457" s="12">
        <v>377.71</v>
      </c>
      <c r="Y457" s="12">
        <v>322.28</v>
      </c>
      <c r="AA457" s="17">
        <f>MAX($B$457:$Y$457)</f>
        <v>461.12</v>
      </c>
      <c r="AB457" s="17">
        <f>MIN($B$457:$Y$457)</f>
        <v>267.44</v>
      </c>
      <c r="AC457" s="17">
        <f>AVERAGE($B$457:$Y$457)</f>
        <v>353.84625</v>
      </c>
    </row>
    <row r="458" spans="1:29">
      <c r="A458" s="10">
        <v>45748</v>
      </c>
      <c r="B458" s="12">
        <v>382.23</v>
      </c>
      <c r="C458" s="12">
        <v>324.24</v>
      </c>
      <c r="D458" s="12">
        <v>334.32</v>
      </c>
      <c r="E458" s="12">
        <v>330.71</v>
      </c>
      <c r="F458" s="12">
        <v>316.37</v>
      </c>
      <c r="G458" s="12">
        <v>306.17</v>
      </c>
      <c r="H458" s="12">
        <v>332.2</v>
      </c>
      <c r="I458" s="12">
        <v>341.58</v>
      </c>
      <c r="J458" s="12">
        <v>331.74</v>
      </c>
      <c r="K458" s="12">
        <v>295.45</v>
      </c>
      <c r="L458" s="12">
        <v>276.66</v>
      </c>
      <c r="M458" s="12">
        <v>276.61</v>
      </c>
      <c r="N458" s="12">
        <v>196.98</v>
      </c>
      <c r="O458" s="12">
        <v>142.72</v>
      </c>
      <c r="P458" s="12">
        <v>203.73</v>
      </c>
      <c r="Q458" s="12">
        <v>162.2</v>
      </c>
      <c r="R458" s="12">
        <v>290.44</v>
      </c>
      <c r="S458" s="12">
        <v>303.18</v>
      </c>
      <c r="T458" s="12">
        <v>343.38</v>
      </c>
      <c r="U458" s="12">
        <v>432.44</v>
      </c>
      <c r="V458" s="12">
        <v>516.43</v>
      </c>
      <c r="W458" s="12">
        <v>576.43</v>
      </c>
      <c r="X458" s="12">
        <v>556.97</v>
      </c>
      <c r="Y458" s="12">
        <v>404.35</v>
      </c>
      <c r="AA458" s="17">
        <f>MAX($B$458:$Y$458)</f>
        <v>576.43</v>
      </c>
      <c r="AB458" s="17">
        <f>MIN($B$458:$Y$458)</f>
        <v>142.72</v>
      </c>
      <c r="AC458" s="17">
        <f>AVERAGE($B$458:$Y$458)</f>
        <v>332.397083333333</v>
      </c>
    </row>
    <row r="459" spans="1:29">
      <c r="A459" s="10">
        <v>45749</v>
      </c>
      <c r="B459" s="12">
        <v>481.06</v>
      </c>
      <c r="C459" s="12">
        <v>477.59</v>
      </c>
      <c r="D459" s="12">
        <v>506.73</v>
      </c>
      <c r="E459" s="12">
        <v>364.07</v>
      </c>
      <c r="F459" s="12">
        <v>322.29</v>
      </c>
      <c r="G459" s="12">
        <v>329.29</v>
      </c>
      <c r="H459" s="12">
        <v>493.93</v>
      </c>
      <c r="I459" s="12">
        <v>408.47</v>
      </c>
      <c r="J459" s="12">
        <v>318.8</v>
      </c>
      <c r="K459" s="12">
        <v>297.74</v>
      </c>
      <c r="L459" s="12">
        <v>297.64</v>
      </c>
      <c r="M459" s="12">
        <v>293.07</v>
      </c>
      <c r="N459" s="12">
        <v>85.54</v>
      </c>
      <c r="O459" s="12">
        <v>194.95</v>
      </c>
      <c r="P459" s="12">
        <v>69.29</v>
      </c>
      <c r="Q459" s="12">
        <v>159.56</v>
      </c>
      <c r="R459" s="12">
        <v>292.05</v>
      </c>
      <c r="S459" s="12">
        <v>307.66</v>
      </c>
      <c r="T459" s="12">
        <v>326.36</v>
      </c>
      <c r="U459" s="12">
        <v>402.27</v>
      </c>
      <c r="V459" s="12">
        <v>352.39</v>
      </c>
      <c r="W459" s="12">
        <v>371.98</v>
      </c>
      <c r="X459" s="12">
        <v>407.58</v>
      </c>
      <c r="Y459" s="12">
        <v>351.26</v>
      </c>
      <c r="AA459" s="17">
        <f>MAX($B$459:$Y$459)</f>
        <v>506.73</v>
      </c>
      <c r="AB459" s="17">
        <f>MIN($B$459:$Y$459)</f>
        <v>69.29</v>
      </c>
      <c r="AC459" s="17">
        <f>AVERAGE($B$459:$Y$459)</f>
        <v>329.64875</v>
      </c>
    </row>
    <row r="460" spans="1:29">
      <c r="A460" s="10">
        <v>45750</v>
      </c>
      <c r="B460" s="12">
        <v>376.54</v>
      </c>
      <c r="C460" s="12">
        <v>381</v>
      </c>
      <c r="D460" s="12">
        <v>468.93</v>
      </c>
      <c r="E460" s="12">
        <v>384.22</v>
      </c>
      <c r="F460" s="12">
        <v>381.11</v>
      </c>
      <c r="G460" s="12">
        <v>332.68</v>
      </c>
      <c r="H460" s="12">
        <v>508.01</v>
      </c>
      <c r="I460" s="12">
        <v>435.27</v>
      </c>
      <c r="J460" s="12">
        <v>326.43</v>
      </c>
      <c r="K460" s="12">
        <v>275.98</v>
      </c>
      <c r="L460" s="12">
        <v>170.91</v>
      </c>
      <c r="M460" s="12">
        <v>202.9</v>
      </c>
      <c r="N460" s="12">
        <v>82</v>
      </c>
      <c r="O460" s="12">
        <v>128.15</v>
      </c>
      <c r="P460" s="12">
        <v>39.77</v>
      </c>
      <c r="Q460" s="12">
        <v>7.69</v>
      </c>
      <c r="R460" s="12">
        <v>262.32</v>
      </c>
      <c r="S460" s="12">
        <v>306.91</v>
      </c>
      <c r="T460" s="12">
        <v>354.4</v>
      </c>
      <c r="U460" s="12">
        <v>352.06</v>
      </c>
      <c r="V460" s="12">
        <v>341.79</v>
      </c>
      <c r="W460" s="12">
        <v>415.45</v>
      </c>
      <c r="X460" s="12">
        <v>498.28</v>
      </c>
      <c r="Y460" s="12">
        <v>341.87</v>
      </c>
      <c r="AA460" s="17">
        <f>MAX($B$460:$Y$460)</f>
        <v>508.01</v>
      </c>
      <c r="AB460" s="17">
        <f>MIN($B$460:$Y$460)</f>
        <v>7.69</v>
      </c>
      <c r="AC460" s="17">
        <f>AVERAGE($B$460:$Y$460)</f>
        <v>307.277916666667</v>
      </c>
    </row>
    <row r="461" spans="1:29">
      <c r="A461" s="10">
        <v>45751</v>
      </c>
      <c r="B461" s="12">
        <v>387.12</v>
      </c>
      <c r="C461" s="12">
        <v>304.8</v>
      </c>
      <c r="D461" s="12">
        <v>289.18</v>
      </c>
      <c r="E461" s="12">
        <v>251.02</v>
      </c>
      <c r="F461" s="12">
        <v>238.26</v>
      </c>
      <c r="G461" s="12">
        <v>229.7</v>
      </c>
      <c r="H461" s="12">
        <v>386.44</v>
      </c>
      <c r="I461" s="12">
        <v>261.62</v>
      </c>
      <c r="J461" s="12">
        <v>7.87</v>
      </c>
      <c r="K461" s="12">
        <v>0</v>
      </c>
      <c r="L461" s="12">
        <v>0</v>
      </c>
      <c r="M461" s="12">
        <v>0</v>
      </c>
      <c r="N461" s="12">
        <v>8</v>
      </c>
      <c r="O461" s="12">
        <v>0</v>
      </c>
      <c r="P461" s="12">
        <v>50.04</v>
      </c>
      <c r="Q461" s="12">
        <v>13.56</v>
      </c>
      <c r="R461" s="12">
        <v>232.87</v>
      </c>
      <c r="S461" s="12">
        <v>244.16</v>
      </c>
      <c r="T461" s="12">
        <v>175.76</v>
      </c>
      <c r="U461" s="12">
        <v>309.52</v>
      </c>
      <c r="V461" s="12">
        <v>293.42</v>
      </c>
      <c r="W461" s="12">
        <v>298.9</v>
      </c>
      <c r="X461" s="12">
        <v>304.43</v>
      </c>
      <c r="Y461" s="12">
        <v>325.15</v>
      </c>
      <c r="AA461" s="17">
        <f>MAX($B$461:$Y$461)</f>
        <v>387.12</v>
      </c>
      <c r="AB461" s="17">
        <f>MIN($B$461:$Y$461)</f>
        <v>0</v>
      </c>
      <c r="AC461" s="17">
        <f>AVERAGE($B$461:$Y$461)</f>
        <v>192.159166666667</v>
      </c>
    </row>
    <row r="462" spans="1:29">
      <c r="A462" s="10">
        <v>45752</v>
      </c>
      <c r="B462" s="12">
        <v>599.83</v>
      </c>
      <c r="C462" s="12">
        <v>409.58</v>
      </c>
      <c r="D462" s="12">
        <v>348.69</v>
      </c>
      <c r="E462" s="12">
        <v>332.99</v>
      </c>
      <c r="F462" s="12">
        <v>318.27</v>
      </c>
      <c r="G462" s="12">
        <v>391.48</v>
      </c>
      <c r="H462" s="12">
        <v>533.88</v>
      </c>
      <c r="I462" s="12">
        <v>488.8</v>
      </c>
      <c r="J462" s="12">
        <v>323.09</v>
      </c>
      <c r="K462" s="12">
        <v>349.94</v>
      </c>
      <c r="L462" s="12">
        <v>354.57</v>
      </c>
      <c r="M462" s="12">
        <v>458.2</v>
      </c>
      <c r="N462" s="12">
        <v>542.71</v>
      </c>
      <c r="O462" s="12">
        <v>553.27</v>
      </c>
      <c r="P462" s="12">
        <v>343.17</v>
      </c>
      <c r="Q462" s="12">
        <v>297.66</v>
      </c>
      <c r="R462" s="12">
        <v>321.33</v>
      </c>
      <c r="S462" s="12">
        <v>326.68</v>
      </c>
      <c r="T462" s="12">
        <v>309.68</v>
      </c>
      <c r="U462" s="12">
        <v>340.8</v>
      </c>
      <c r="V462" s="12">
        <v>356.92</v>
      </c>
      <c r="W462" s="12">
        <v>330.69</v>
      </c>
      <c r="X462" s="12">
        <v>338.54</v>
      </c>
      <c r="Y462" s="12">
        <v>402.92</v>
      </c>
      <c r="AA462" s="17">
        <f>MAX($B$462:$Y$462)</f>
        <v>599.83</v>
      </c>
      <c r="AB462" s="17">
        <f>MIN($B$462:$Y$462)</f>
        <v>297.66</v>
      </c>
      <c r="AC462" s="17">
        <f>AVERAGE($B$462:$Y$462)</f>
        <v>390.570416666667</v>
      </c>
    </row>
    <row r="463" spans="1:29">
      <c r="A463" s="10">
        <v>45753</v>
      </c>
      <c r="B463" s="12">
        <v>441.9</v>
      </c>
      <c r="C463" s="12">
        <v>413.1</v>
      </c>
      <c r="D463" s="12">
        <v>375.04</v>
      </c>
      <c r="E463" s="12">
        <v>347.02</v>
      </c>
      <c r="F463" s="12">
        <v>341.63</v>
      </c>
      <c r="G463" s="12">
        <v>359.21</v>
      </c>
      <c r="H463" s="12">
        <v>547.95</v>
      </c>
      <c r="I463" s="12">
        <v>619.01</v>
      </c>
      <c r="J463" s="12">
        <v>359.03</v>
      </c>
      <c r="K463" s="12">
        <v>349.01</v>
      </c>
      <c r="L463" s="12">
        <v>279.5</v>
      </c>
      <c r="M463" s="12">
        <v>275.49</v>
      </c>
      <c r="N463" s="12">
        <v>283.51</v>
      </c>
      <c r="O463" s="12">
        <v>310.24</v>
      </c>
      <c r="P463" s="12">
        <v>306.11</v>
      </c>
      <c r="Q463" s="12">
        <v>309.07</v>
      </c>
      <c r="R463" s="12">
        <v>322.29</v>
      </c>
      <c r="S463" s="12">
        <v>301.8</v>
      </c>
      <c r="T463" s="12">
        <v>298.85</v>
      </c>
      <c r="U463" s="12">
        <v>303.74</v>
      </c>
      <c r="V463" s="12">
        <v>326.2</v>
      </c>
      <c r="W463" s="12">
        <v>321.1</v>
      </c>
      <c r="X463" s="12">
        <v>331.86</v>
      </c>
      <c r="Y463" s="12">
        <v>376.64</v>
      </c>
      <c r="AA463" s="17">
        <f>MAX($B$463:$Y$463)</f>
        <v>619.01</v>
      </c>
      <c r="AB463" s="17">
        <f>MIN($B$463:$Y$463)</f>
        <v>275.49</v>
      </c>
      <c r="AC463" s="17">
        <f>AVERAGE($B$463:$Y$463)</f>
        <v>354.1375</v>
      </c>
    </row>
    <row r="464" spans="1:29">
      <c r="A464" s="10">
        <v>45754</v>
      </c>
      <c r="B464" s="12">
        <v>445.45</v>
      </c>
      <c r="C464" s="12">
        <v>412.98</v>
      </c>
      <c r="D464" s="12">
        <v>324.76</v>
      </c>
      <c r="E464" s="12">
        <v>320.57</v>
      </c>
      <c r="F464" s="12">
        <v>314.62</v>
      </c>
      <c r="G464" s="12">
        <v>313.38</v>
      </c>
      <c r="H464" s="12">
        <v>404.03</v>
      </c>
      <c r="I464" s="12">
        <v>448.27</v>
      </c>
      <c r="J464" s="12">
        <v>402.19</v>
      </c>
      <c r="K464" s="12">
        <v>354.54</v>
      </c>
      <c r="L464" s="12">
        <v>285.69</v>
      </c>
      <c r="M464" s="12">
        <v>222.18</v>
      </c>
      <c r="N464" s="12">
        <v>68.93</v>
      </c>
      <c r="O464" s="12">
        <v>213.26</v>
      </c>
      <c r="P464" s="12">
        <v>258.34</v>
      </c>
      <c r="Q464" s="12">
        <v>269.55</v>
      </c>
      <c r="R464" s="12">
        <v>282.18</v>
      </c>
      <c r="S464" s="12">
        <v>298.91</v>
      </c>
      <c r="T464" s="12">
        <v>311.99</v>
      </c>
      <c r="U464" s="12">
        <v>359.03</v>
      </c>
      <c r="V464" s="12">
        <v>337.81</v>
      </c>
      <c r="W464" s="12">
        <v>330.65</v>
      </c>
      <c r="X464" s="12">
        <v>333.23</v>
      </c>
      <c r="Y464" s="12">
        <v>308.7</v>
      </c>
      <c r="AA464" s="17">
        <f>MAX($B$464:$Y$464)</f>
        <v>448.27</v>
      </c>
      <c r="AB464" s="17">
        <f>MIN($B$464:$Y$464)</f>
        <v>68.93</v>
      </c>
      <c r="AC464" s="17">
        <f>AVERAGE($B$464:$Y$464)</f>
        <v>317.551666666667</v>
      </c>
    </row>
    <row r="465" spans="1:29">
      <c r="A465" s="10">
        <v>45755</v>
      </c>
      <c r="B465" s="12">
        <v>341.97</v>
      </c>
      <c r="C465" s="12">
        <v>327.64</v>
      </c>
      <c r="D465" s="12">
        <v>355.37</v>
      </c>
      <c r="E465" s="12">
        <v>325.47</v>
      </c>
      <c r="F465" s="12">
        <v>307.64</v>
      </c>
      <c r="G465" s="12">
        <v>314.99</v>
      </c>
      <c r="H465" s="12">
        <v>403.66</v>
      </c>
      <c r="I465" s="12">
        <v>370.18</v>
      </c>
      <c r="J465" s="12">
        <v>716.88</v>
      </c>
      <c r="K465" s="12">
        <v>613.42</v>
      </c>
      <c r="L465" s="12">
        <v>357.1</v>
      </c>
      <c r="M465" s="12">
        <v>357.04</v>
      </c>
      <c r="N465" s="12">
        <v>266.91</v>
      </c>
      <c r="O465" s="12">
        <v>311.11</v>
      </c>
      <c r="P465" s="12">
        <v>303.67</v>
      </c>
      <c r="Q465" s="12">
        <v>305.15</v>
      </c>
      <c r="R465" s="12">
        <v>330.31</v>
      </c>
      <c r="S465" s="12">
        <v>352.05</v>
      </c>
      <c r="T465" s="12">
        <v>345.9</v>
      </c>
      <c r="U465" s="12">
        <v>383.17</v>
      </c>
      <c r="V465" s="12">
        <v>385.13</v>
      </c>
      <c r="W465" s="12">
        <v>354.29</v>
      </c>
      <c r="X465" s="12">
        <v>360.25</v>
      </c>
      <c r="Y465" s="12">
        <v>328.63</v>
      </c>
      <c r="AA465" s="17">
        <f>MAX($B$465:$Y$465)</f>
        <v>716.88</v>
      </c>
      <c r="AB465" s="17">
        <f>MIN($B$465:$Y$465)</f>
        <v>266.91</v>
      </c>
      <c r="AC465" s="17">
        <f>AVERAGE($B$465:$Y$465)</f>
        <v>367.41375</v>
      </c>
    </row>
    <row r="466" spans="1:29">
      <c r="A466" s="10">
        <v>45756</v>
      </c>
      <c r="B466" s="12">
        <v>342.28</v>
      </c>
      <c r="C466" s="12">
        <v>349.72</v>
      </c>
      <c r="D466" s="12">
        <v>327.07</v>
      </c>
      <c r="E466" s="12">
        <v>321.66</v>
      </c>
      <c r="F466" s="12">
        <v>311.6</v>
      </c>
      <c r="G466" s="12">
        <v>312.67</v>
      </c>
      <c r="H466" s="12">
        <v>366.07</v>
      </c>
      <c r="I466" s="12">
        <v>387.01</v>
      </c>
      <c r="J466" s="12">
        <v>347.36</v>
      </c>
      <c r="K466" s="12">
        <v>337.04</v>
      </c>
      <c r="L466" s="12">
        <v>322.86</v>
      </c>
      <c r="M466" s="12">
        <v>301.78</v>
      </c>
      <c r="N466" s="12">
        <v>190.16</v>
      </c>
      <c r="O466" s="12">
        <v>306.55</v>
      </c>
      <c r="P466" s="12">
        <v>289.76</v>
      </c>
      <c r="Q466" s="12">
        <v>315.27</v>
      </c>
      <c r="R466" s="12">
        <v>332.04</v>
      </c>
      <c r="S466" s="12">
        <v>322.22</v>
      </c>
      <c r="T466" s="12">
        <v>324.89</v>
      </c>
      <c r="U466" s="12">
        <v>350.4</v>
      </c>
      <c r="V466" s="12">
        <v>354.98</v>
      </c>
      <c r="W466" s="12">
        <v>358.51</v>
      </c>
      <c r="X466" s="12">
        <v>356.45</v>
      </c>
      <c r="Y466" s="12">
        <v>325.89</v>
      </c>
      <c r="AA466" s="17">
        <f>MAX($B$466:$Y$466)</f>
        <v>387.01</v>
      </c>
      <c r="AB466" s="17">
        <f>MIN($B$466:$Y$466)</f>
        <v>190.16</v>
      </c>
      <c r="AC466" s="17">
        <f>AVERAGE($B$466:$Y$466)</f>
        <v>327.26</v>
      </c>
    </row>
    <row r="467" spans="1:29">
      <c r="A467" s="10">
        <v>45757</v>
      </c>
      <c r="B467" s="12">
        <v>330.85</v>
      </c>
      <c r="C467" s="12">
        <v>425.72</v>
      </c>
      <c r="D467" s="12">
        <v>337.17</v>
      </c>
      <c r="E467" s="12">
        <v>323.33</v>
      </c>
      <c r="F467" s="12">
        <v>321.47</v>
      </c>
      <c r="G467" s="12">
        <v>323.03</v>
      </c>
      <c r="H467" s="12">
        <v>397.85</v>
      </c>
      <c r="I467" s="12">
        <v>386.57</v>
      </c>
      <c r="J467" s="12">
        <v>367.05</v>
      </c>
      <c r="K467" s="12">
        <v>357.39</v>
      </c>
      <c r="L467" s="12">
        <v>337.82</v>
      </c>
      <c r="M467" s="12">
        <v>306.18</v>
      </c>
      <c r="N467" s="12">
        <v>186</v>
      </c>
      <c r="O467" s="12">
        <v>296.84</v>
      </c>
      <c r="P467" s="12">
        <v>299.19</v>
      </c>
      <c r="Q467" s="12">
        <v>333.25</v>
      </c>
      <c r="R467" s="12">
        <v>339.42</v>
      </c>
      <c r="S467" s="12">
        <v>341.28</v>
      </c>
      <c r="T467" s="12">
        <v>325.96</v>
      </c>
      <c r="U467" s="12">
        <v>374.16</v>
      </c>
      <c r="V467" s="12">
        <v>350.53</v>
      </c>
      <c r="W467" s="12">
        <v>358.32</v>
      </c>
      <c r="X467" s="12">
        <v>359.04</v>
      </c>
      <c r="Y467" s="12">
        <v>326.54</v>
      </c>
      <c r="AA467" s="17">
        <f>MAX($B$467:$Y$467)</f>
        <v>425.72</v>
      </c>
      <c r="AB467" s="17">
        <f>MIN($B$467:$Y$467)</f>
        <v>186</v>
      </c>
      <c r="AC467" s="17">
        <f>AVERAGE($B$467:$Y$467)</f>
        <v>337.706666666667</v>
      </c>
    </row>
    <row r="468" spans="1:29">
      <c r="A468" s="10">
        <v>45758</v>
      </c>
      <c r="B468" s="12">
        <v>390.94</v>
      </c>
      <c r="C468" s="12">
        <v>464.15</v>
      </c>
      <c r="D468" s="12">
        <v>375.02</v>
      </c>
      <c r="E468" s="12">
        <v>325.29</v>
      </c>
      <c r="F468" s="12">
        <v>316</v>
      </c>
      <c r="G468" s="12">
        <v>315.11</v>
      </c>
      <c r="H468" s="12">
        <v>341.12</v>
      </c>
      <c r="I468" s="12">
        <v>322.82</v>
      </c>
      <c r="J468" s="12">
        <v>370.46</v>
      </c>
      <c r="K468" s="12">
        <v>487.6</v>
      </c>
      <c r="L468" s="12">
        <v>364.3</v>
      </c>
      <c r="M468" s="12">
        <v>369.78</v>
      </c>
      <c r="N468" s="12">
        <v>223</v>
      </c>
      <c r="O468" s="12">
        <v>327.88</v>
      </c>
      <c r="P468" s="12">
        <v>312.25</v>
      </c>
      <c r="Q468" s="12">
        <v>338.99</v>
      </c>
      <c r="R468" s="12">
        <v>352.66</v>
      </c>
      <c r="S468" s="12">
        <v>348.98</v>
      </c>
      <c r="T468" s="12">
        <v>316.92</v>
      </c>
      <c r="U468" s="12">
        <v>329.32</v>
      </c>
      <c r="V468" s="12">
        <v>326.95</v>
      </c>
      <c r="W468" s="12">
        <v>326.5</v>
      </c>
      <c r="X468" s="12">
        <v>333.69</v>
      </c>
      <c r="Y468" s="12">
        <v>317.66</v>
      </c>
      <c r="AA468" s="17">
        <f>MAX($B$468:$Y$468)</f>
        <v>487.6</v>
      </c>
      <c r="AB468" s="17">
        <f>MIN($B$468:$Y$468)</f>
        <v>223</v>
      </c>
      <c r="AC468" s="17">
        <f>AVERAGE($B$468:$Y$468)</f>
        <v>345.724583333333</v>
      </c>
    </row>
    <row r="469" spans="1:29">
      <c r="A469" s="10">
        <v>45759</v>
      </c>
      <c r="B469" s="12">
        <v>384.58</v>
      </c>
      <c r="C469" s="12">
        <v>428.38</v>
      </c>
      <c r="D469" s="12">
        <v>355.35</v>
      </c>
      <c r="E469" s="12">
        <v>324.29</v>
      </c>
      <c r="F469" s="12">
        <v>300.51</v>
      </c>
      <c r="G469" s="12">
        <v>308.1</v>
      </c>
      <c r="H469" s="12">
        <v>318.04</v>
      </c>
      <c r="I469" s="12">
        <v>320.04</v>
      </c>
      <c r="J469" s="12">
        <v>340.86</v>
      </c>
      <c r="K469" s="12">
        <v>368.79</v>
      </c>
      <c r="L469" s="12">
        <v>367.12</v>
      </c>
      <c r="M469" s="12">
        <v>474.65</v>
      </c>
      <c r="N469" s="12">
        <v>329.5</v>
      </c>
      <c r="O469" s="12">
        <v>425.76</v>
      </c>
      <c r="P469" s="12">
        <v>460</v>
      </c>
      <c r="Q469" s="12">
        <v>399.07</v>
      </c>
      <c r="R469" s="12">
        <v>360.49</v>
      </c>
      <c r="S469" s="12">
        <v>313.61</v>
      </c>
      <c r="T469" s="12">
        <v>302.46</v>
      </c>
      <c r="U469" s="12">
        <v>302.83</v>
      </c>
      <c r="V469" s="12">
        <v>299.9</v>
      </c>
      <c r="W469" s="12">
        <v>295.3</v>
      </c>
      <c r="X469" s="12">
        <v>282.35</v>
      </c>
      <c r="Y469" s="12">
        <v>183.4</v>
      </c>
      <c r="AA469" s="17">
        <f>MAX($B$469:$Y$469)</f>
        <v>474.65</v>
      </c>
      <c r="AB469" s="17">
        <f>MIN($B$469:$Y$469)</f>
        <v>183.4</v>
      </c>
      <c r="AC469" s="17">
        <f>AVERAGE($B$469:$Y$469)</f>
        <v>343.5575</v>
      </c>
    </row>
    <row r="470" spans="1:29">
      <c r="A470" s="10">
        <v>45760</v>
      </c>
      <c r="B470" s="12">
        <v>465.41</v>
      </c>
      <c r="C470" s="12">
        <v>287.38</v>
      </c>
      <c r="D470" s="12">
        <v>280.22</v>
      </c>
      <c r="E470" s="12">
        <v>266.58</v>
      </c>
      <c r="F470" s="12">
        <v>270.07</v>
      </c>
      <c r="G470" s="12">
        <v>273.9</v>
      </c>
      <c r="H470" s="12">
        <v>298.9</v>
      </c>
      <c r="I470" s="12">
        <v>266.63</v>
      </c>
      <c r="J470" s="12">
        <v>138.48</v>
      </c>
      <c r="K470" s="12">
        <v>263.66</v>
      </c>
      <c r="L470" s="12">
        <v>133.35</v>
      </c>
      <c r="M470" s="12">
        <v>144.36</v>
      </c>
      <c r="N470" s="12">
        <v>201.92</v>
      </c>
      <c r="O470" s="12">
        <v>298.77</v>
      </c>
      <c r="P470" s="12">
        <v>240.83</v>
      </c>
      <c r="Q470" s="12">
        <v>273.42</v>
      </c>
      <c r="R470" s="12">
        <v>302.45</v>
      </c>
      <c r="S470" s="12">
        <v>303.97</v>
      </c>
      <c r="T470" s="12">
        <v>314.01</v>
      </c>
      <c r="U470" s="12">
        <v>322.66</v>
      </c>
      <c r="V470" s="12">
        <v>335.35</v>
      </c>
      <c r="W470" s="12">
        <v>335.21</v>
      </c>
      <c r="X470" s="12">
        <v>330.66</v>
      </c>
      <c r="Y470" s="12">
        <v>306.54</v>
      </c>
      <c r="AA470" s="17">
        <f>MAX($B$470:$Y$470)</f>
        <v>465.41</v>
      </c>
      <c r="AB470" s="17">
        <f>MIN($B$470:$Y$470)</f>
        <v>133.35</v>
      </c>
      <c r="AC470" s="17">
        <f>AVERAGE($B$470:$Y$470)</f>
        <v>277.280416666667</v>
      </c>
    </row>
    <row r="471" spans="1:29">
      <c r="A471" s="10">
        <v>45761</v>
      </c>
      <c r="B471" s="12">
        <v>319.87</v>
      </c>
      <c r="C471" s="12">
        <v>300.78</v>
      </c>
      <c r="D471" s="12">
        <v>297.08</v>
      </c>
      <c r="E471" s="12">
        <v>292.87</v>
      </c>
      <c r="F471" s="12">
        <v>289.25</v>
      </c>
      <c r="G471" s="12">
        <v>290.54</v>
      </c>
      <c r="H471" s="12">
        <v>322.46</v>
      </c>
      <c r="I471" s="12">
        <v>229.66</v>
      </c>
      <c r="J471" s="12">
        <v>282.87</v>
      </c>
      <c r="K471" s="12">
        <v>215.61</v>
      </c>
      <c r="L471" s="12">
        <v>50.97</v>
      </c>
      <c r="M471" s="12">
        <v>223.03</v>
      </c>
      <c r="N471" s="12">
        <v>142.36</v>
      </c>
      <c r="O471" s="12">
        <v>194.85</v>
      </c>
      <c r="P471" s="12">
        <v>126.89</v>
      </c>
      <c r="Q471" s="12">
        <v>248.14</v>
      </c>
      <c r="R471" s="12">
        <v>292.54</v>
      </c>
      <c r="S471" s="12">
        <v>315.67</v>
      </c>
      <c r="T471" s="12">
        <v>321.84</v>
      </c>
      <c r="U471" s="12">
        <v>336.75</v>
      </c>
      <c r="V471" s="12">
        <v>334.43</v>
      </c>
      <c r="W471" s="12">
        <v>333.65</v>
      </c>
      <c r="X471" s="12">
        <v>330.1</v>
      </c>
      <c r="Y471" s="12">
        <v>308.22</v>
      </c>
      <c r="AA471" s="17">
        <f>MAX($B$471:$Y$471)</f>
        <v>336.75</v>
      </c>
      <c r="AB471" s="17">
        <f>MIN($B$471:$Y$471)</f>
        <v>50.97</v>
      </c>
      <c r="AC471" s="17">
        <f>AVERAGE($B$471:$Y$471)</f>
        <v>266.684583333333</v>
      </c>
    </row>
    <row r="472" spans="1:29">
      <c r="A472" s="10">
        <v>45762</v>
      </c>
      <c r="B472" s="12">
        <v>316.08</v>
      </c>
      <c r="C472" s="12">
        <v>314.63</v>
      </c>
      <c r="D472" s="12">
        <v>308.21</v>
      </c>
      <c r="E472" s="12">
        <v>300.51</v>
      </c>
      <c r="F472" s="12">
        <v>299.56</v>
      </c>
      <c r="G472" s="12">
        <v>304.34</v>
      </c>
      <c r="H472" s="12">
        <v>320.48</v>
      </c>
      <c r="I472" s="12">
        <v>303.78</v>
      </c>
      <c r="J472" s="12">
        <v>311.66</v>
      </c>
      <c r="K472" s="12">
        <v>215.4</v>
      </c>
      <c r="L472" s="12">
        <v>26.42</v>
      </c>
      <c r="M472" s="12">
        <v>12.02</v>
      </c>
      <c r="N472" s="12">
        <v>90.02</v>
      </c>
      <c r="O472" s="12">
        <v>238.14</v>
      </c>
      <c r="P472" s="12">
        <v>91.14</v>
      </c>
      <c r="Q472" s="12">
        <v>282.32</v>
      </c>
      <c r="R472" s="12">
        <v>305.09</v>
      </c>
      <c r="S472" s="12">
        <v>322.94</v>
      </c>
      <c r="T472" s="12">
        <v>318.24</v>
      </c>
      <c r="U472" s="12">
        <v>333.87</v>
      </c>
      <c r="V472" s="12">
        <v>334.29</v>
      </c>
      <c r="W472" s="12">
        <v>324.44</v>
      </c>
      <c r="X472" s="12">
        <v>321.08</v>
      </c>
      <c r="Y472" s="12">
        <v>306.02</v>
      </c>
      <c r="AA472" s="17">
        <f>MAX($B$472:$Y$472)</f>
        <v>334.29</v>
      </c>
      <c r="AB472" s="17">
        <f>MIN($B$472:$Y$472)</f>
        <v>12.02</v>
      </c>
      <c r="AC472" s="17">
        <f>AVERAGE($B$472:$Y$472)</f>
        <v>262.528333333333</v>
      </c>
    </row>
    <row r="473" spans="1:29">
      <c r="A473" s="10">
        <v>45763</v>
      </c>
      <c r="B473" s="12">
        <v>300.32</v>
      </c>
      <c r="C473" s="12">
        <v>295.75</v>
      </c>
      <c r="D473" s="12">
        <v>290.31</v>
      </c>
      <c r="E473" s="12">
        <v>280.34</v>
      </c>
      <c r="F473" s="12">
        <v>282.04</v>
      </c>
      <c r="G473" s="12">
        <v>276.69</v>
      </c>
      <c r="H473" s="12">
        <v>292.2</v>
      </c>
      <c r="I473" s="12">
        <v>280.71</v>
      </c>
      <c r="J473" s="12">
        <v>265.15</v>
      </c>
      <c r="K473" s="12">
        <v>143.77</v>
      </c>
      <c r="L473" s="12">
        <v>143.56</v>
      </c>
      <c r="M473" s="12">
        <v>202.19</v>
      </c>
      <c r="N473" s="12">
        <v>51.46</v>
      </c>
      <c r="O473" s="12">
        <v>263.43</v>
      </c>
      <c r="P473" s="12">
        <v>169.2</v>
      </c>
      <c r="Q473" s="12">
        <v>117.13</v>
      </c>
      <c r="R473" s="12">
        <v>278.67</v>
      </c>
      <c r="S473" s="12">
        <v>309.41</v>
      </c>
      <c r="T473" s="12">
        <v>299.81</v>
      </c>
      <c r="U473" s="12">
        <v>325.78</v>
      </c>
      <c r="V473" s="12">
        <v>316.05</v>
      </c>
      <c r="W473" s="12">
        <v>302.78</v>
      </c>
      <c r="X473" s="12">
        <v>294.65</v>
      </c>
      <c r="Y473" s="12">
        <v>271.62</v>
      </c>
      <c r="AA473" s="17">
        <f>MAX($B$473:$Y$473)</f>
        <v>325.78</v>
      </c>
      <c r="AB473" s="17">
        <f>MIN($B$473:$Y$473)</f>
        <v>51.46</v>
      </c>
      <c r="AC473" s="17">
        <f>AVERAGE($B$473:$Y$473)</f>
        <v>252.209166666667</v>
      </c>
    </row>
    <row r="474" spans="1:29">
      <c r="A474" s="10">
        <v>45764</v>
      </c>
      <c r="B474" s="12">
        <v>319.03</v>
      </c>
      <c r="C474" s="12">
        <v>301.09</v>
      </c>
      <c r="D474" s="12">
        <v>300.3</v>
      </c>
      <c r="E474" s="12">
        <v>274.94</v>
      </c>
      <c r="F474" s="12">
        <v>274</v>
      </c>
      <c r="G474" s="12">
        <v>281.1</v>
      </c>
      <c r="H474" s="12">
        <v>288.5</v>
      </c>
      <c r="I474" s="12">
        <v>287.31</v>
      </c>
      <c r="J474" s="12">
        <v>313.44</v>
      </c>
      <c r="K474" s="12">
        <v>304.98</v>
      </c>
      <c r="L474" s="12">
        <v>290.75</v>
      </c>
      <c r="M474" s="12">
        <v>326.22</v>
      </c>
      <c r="N474" s="12">
        <v>217.22</v>
      </c>
      <c r="O474" s="12">
        <v>339.35</v>
      </c>
      <c r="P474" s="12">
        <v>313.09</v>
      </c>
      <c r="Q474" s="12">
        <v>317.25</v>
      </c>
      <c r="R474" s="12">
        <v>323.84</v>
      </c>
      <c r="S474" s="12">
        <v>326.37</v>
      </c>
      <c r="T474" s="12">
        <v>357.13</v>
      </c>
      <c r="U474" s="12">
        <v>570.25</v>
      </c>
      <c r="V474" s="12">
        <v>737.82</v>
      </c>
      <c r="W474" s="12">
        <v>624.25</v>
      </c>
      <c r="X474" s="12">
        <v>409.48</v>
      </c>
      <c r="Y474" s="12">
        <v>284.08</v>
      </c>
      <c r="AA474" s="17">
        <f>MAX($B$474:$Y$474)</f>
        <v>737.82</v>
      </c>
      <c r="AB474" s="17">
        <f>MIN($B$474:$Y$474)</f>
        <v>217.22</v>
      </c>
      <c r="AC474" s="17">
        <f>AVERAGE($B$474:$Y$474)</f>
        <v>349.24125</v>
      </c>
    </row>
    <row r="475" spans="1:29">
      <c r="A475" s="10">
        <v>45765</v>
      </c>
      <c r="B475" s="12">
        <v>363.47</v>
      </c>
      <c r="C475" s="12">
        <v>400.09</v>
      </c>
      <c r="D475" s="12">
        <v>339.89</v>
      </c>
      <c r="E475" s="12">
        <v>296.06</v>
      </c>
      <c r="F475" s="12">
        <v>273.33</v>
      </c>
      <c r="G475" s="12">
        <v>288</v>
      </c>
      <c r="H475" s="12">
        <v>326.41</v>
      </c>
      <c r="I475" s="12">
        <v>325.29</v>
      </c>
      <c r="J475" s="12">
        <v>683.37</v>
      </c>
      <c r="K475" s="12">
        <v>537.05</v>
      </c>
      <c r="L475" s="12">
        <v>346.98</v>
      </c>
      <c r="M475" s="12">
        <v>402.34</v>
      </c>
      <c r="N475" s="12">
        <v>308.14</v>
      </c>
      <c r="O475" s="12">
        <v>469.82</v>
      </c>
      <c r="P475" s="12">
        <v>449.03</v>
      </c>
      <c r="Q475" s="12">
        <v>374.43</v>
      </c>
      <c r="R475" s="12">
        <v>351</v>
      </c>
      <c r="S475" s="12">
        <v>326.11</v>
      </c>
      <c r="T475" s="12">
        <v>318.75</v>
      </c>
      <c r="U475" s="12">
        <v>370.2</v>
      </c>
      <c r="V475" s="12">
        <v>339.56</v>
      </c>
      <c r="W475" s="12">
        <v>334.44</v>
      </c>
      <c r="X475" s="12">
        <v>319.58</v>
      </c>
      <c r="Y475" s="12">
        <v>289.51</v>
      </c>
      <c r="AA475" s="17">
        <f>MAX($B$475:$Y$475)</f>
        <v>683.37</v>
      </c>
      <c r="AB475" s="17">
        <f>MIN($B$475:$Y$475)</f>
        <v>273.33</v>
      </c>
      <c r="AC475" s="17">
        <f>AVERAGE($B$475:$Y$475)</f>
        <v>368.035416666667</v>
      </c>
    </row>
    <row r="476" spans="1:29">
      <c r="A476" s="10">
        <v>45766</v>
      </c>
      <c r="B476" s="12">
        <v>404.92</v>
      </c>
      <c r="C476" s="12">
        <v>322.2</v>
      </c>
      <c r="D476" s="12">
        <v>308.59</v>
      </c>
      <c r="E476" s="12">
        <v>290.98</v>
      </c>
      <c r="F476" s="12">
        <v>284.21</v>
      </c>
      <c r="G476" s="12">
        <v>282.94</v>
      </c>
      <c r="H476" s="12">
        <v>286.57</v>
      </c>
      <c r="I476" s="12">
        <v>294.31</v>
      </c>
      <c r="J476" s="12">
        <v>353.09</v>
      </c>
      <c r="K476" s="12">
        <v>343.68</v>
      </c>
      <c r="L476" s="12">
        <v>329.41</v>
      </c>
      <c r="M476" s="12">
        <v>375.04</v>
      </c>
      <c r="N476" s="12">
        <v>325.13</v>
      </c>
      <c r="O476" s="12">
        <v>424.07</v>
      </c>
      <c r="P476" s="12">
        <v>321.61</v>
      </c>
      <c r="Q476" s="12">
        <v>320.33</v>
      </c>
      <c r="R476" s="12">
        <v>327.95</v>
      </c>
      <c r="S476" s="12">
        <v>328.05</v>
      </c>
      <c r="T476" s="12">
        <v>323.97</v>
      </c>
      <c r="U476" s="12">
        <v>432.52</v>
      </c>
      <c r="V476" s="12">
        <v>390.59</v>
      </c>
      <c r="W476" s="12">
        <v>367.6</v>
      </c>
      <c r="X476" s="12">
        <v>321.1</v>
      </c>
      <c r="Y476" s="12">
        <v>291.3</v>
      </c>
      <c r="AA476" s="17">
        <f>MAX($B$476:$Y$476)</f>
        <v>432.52</v>
      </c>
      <c r="AB476" s="17">
        <f>MIN($B$476:$Y$476)</f>
        <v>282.94</v>
      </c>
      <c r="AC476" s="17">
        <f>AVERAGE($B$476:$Y$476)</f>
        <v>335.423333333333</v>
      </c>
    </row>
    <row r="477" spans="1:29">
      <c r="A477" s="10">
        <v>45767</v>
      </c>
      <c r="B477" s="12">
        <v>425.25</v>
      </c>
      <c r="C477" s="12">
        <v>335.07</v>
      </c>
      <c r="D477" s="12">
        <v>339.06</v>
      </c>
      <c r="E477" s="12">
        <v>317.94</v>
      </c>
      <c r="F477" s="12">
        <v>298.84</v>
      </c>
      <c r="G477" s="12">
        <v>294.31</v>
      </c>
      <c r="H477" s="12">
        <v>291.51</v>
      </c>
      <c r="I477" s="12">
        <v>288.29</v>
      </c>
      <c r="J477" s="12">
        <v>285.3</v>
      </c>
      <c r="K477" s="12">
        <v>296</v>
      </c>
      <c r="L477" s="12">
        <v>288.61</v>
      </c>
      <c r="M477" s="12">
        <v>302.18</v>
      </c>
      <c r="N477" s="12">
        <v>294.8</v>
      </c>
      <c r="O477" s="12">
        <v>292.2</v>
      </c>
      <c r="P477" s="12">
        <v>280.43</v>
      </c>
      <c r="Q477" s="12">
        <v>287.23</v>
      </c>
      <c r="R477" s="12">
        <v>301.06</v>
      </c>
      <c r="S477" s="12">
        <v>312.03</v>
      </c>
      <c r="T477" s="12">
        <v>302.6</v>
      </c>
      <c r="U477" s="12">
        <v>323.12</v>
      </c>
      <c r="V477" s="12">
        <v>333.71</v>
      </c>
      <c r="W477" s="12">
        <v>335.42</v>
      </c>
      <c r="X477" s="12">
        <v>317.41</v>
      </c>
      <c r="Y477" s="12">
        <v>287.87</v>
      </c>
      <c r="AA477" s="17">
        <f>MAX($B$477:$Y$477)</f>
        <v>425.25</v>
      </c>
      <c r="AB477" s="17">
        <f>MIN($B$477:$Y$477)</f>
        <v>280.43</v>
      </c>
      <c r="AC477" s="17">
        <f>AVERAGE($B$477:$Y$477)</f>
        <v>309.593333333333</v>
      </c>
    </row>
    <row r="478" spans="1:29">
      <c r="A478" s="10">
        <v>45768</v>
      </c>
      <c r="B478" s="12">
        <v>295.86</v>
      </c>
      <c r="C478" s="12">
        <v>288.55</v>
      </c>
      <c r="D478" s="12">
        <v>278.18</v>
      </c>
      <c r="E478" s="12">
        <v>266.96</v>
      </c>
      <c r="F478" s="12">
        <v>232.72</v>
      </c>
      <c r="G478" s="12">
        <v>257.56</v>
      </c>
      <c r="H478" s="12">
        <v>269.92</v>
      </c>
      <c r="I478" s="12">
        <v>277.4</v>
      </c>
      <c r="J478" s="12">
        <v>312.64</v>
      </c>
      <c r="K478" s="12">
        <v>311.26</v>
      </c>
      <c r="L478" s="12">
        <v>290.71</v>
      </c>
      <c r="M478" s="12">
        <v>297.08</v>
      </c>
      <c r="N478" s="12">
        <v>200.3</v>
      </c>
      <c r="O478" s="12">
        <v>296.71</v>
      </c>
      <c r="P478" s="12">
        <v>300.49</v>
      </c>
      <c r="Q478" s="12">
        <v>331.44</v>
      </c>
      <c r="R478" s="12">
        <v>348.91</v>
      </c>
      <c r="S478" s="12">
        <v>339.12</v>
      </c>
      <c r="T478" s="12">
        <v>334.01</v>
      </c>
      <c r="U478" s="12">
        <v>427.28</v>
      </c>
      <c r="V478" s="12">
        <v>418.82</v>
      </c>
      <c r="W478" s="12">
        <v>417.95</v>
      </c>
      <c r="X478" s="12">
        <v>590.41</v>
      </c>
      <c r="Y478" s="12">
        <v>362.57</v>
      </c>
      <c r="AA478" s="17">
        <f>MAX($B$478:$Y$478)</f>
        <v>590.41</v>
      </c>
      <c r="AB478" s="17">
        <f>MIN($B$478:$Y$478)</f>
        <v>200.3</v>
      </c>
      <c r="AC478" s="17">
        <f>AVERAGE($B$478:$Y$478)</f>
        <v>322.785416666667</v>
      </c>
    </row>
    <row r="479" spans="1:29">
      <c r="A479" s="10">
        <v>45769</v>
      </c>
      <c r="B479" s="12">
        <v>514.34</v>
      </c>
      <c r="C479" s="12">
        <v>520.14</v>
      </c>
      <c r="D479" s="12">
        <v>666.98</v>
      </c>
      <c r="E479" s="12">
        <v>383.34</v>
      </c>
      <c r="F479" s="12">
        <v>371.08</v>
      </c>
      <c r="G479" s="12">
        <v>364.08</v>
      </c>
      <c r="H479" s="12">
        <v>490.3</v>
      </c>
      <c r="I479" s="12">
        <v>343.65</v>
      </c>
      <c r="J479" s="12">
        <v>396.63</v>
      </c>
      <c r="K479" s="12">
        <v>398.34</v>
      </c>
      <c r="L479" s="12">
        <v>348.88</v>
      </c>
      <c r="M479" s="12">
        <v>337.7</v>
      </c>
      <c r="N479" s="12">
        <v>308.32</v>
      </c>
      <c r="O479" s="12">
        <v>330.63</v>
      </c>
      <c r="P479" s="12">
        <v>336.65</v>
      </c>
      <c r="Q479" s="12">
        <v>352.03</v>
      </c>
      <c r="R479" s="12">
        <v>365.43</v>
      </c>
      <c r="S479" s="12">
        <v>362.43</v>
      </c>
      <c r="T479" s="12">
        <v>366.03</v>
      </c>
      <c r="U479" s="12">
        <v>725.8</v>
      </c>
      <c r="V479" s="12">
        <v>600.13</v>
      </c>
      <c r="W479" s="12">
        <v>851.32</v>
      </c>
      <c r="X479" s="12">
        <v>1018.37</v>
      </c>
      <c r="Y479" s="12">
        <v>422.31</v>
      </c>
      <c r="AA479" s="17">
        <f>MAX($B$479:$Y$479)</f>
        <v>1018.37</v>
      </c>
      <c r="AB479" s="17">
        <f>MIN($B$479:$Y$479)</f>
        <v>308.32</v>
      </c>
      <c r="AC479" s="17">
        <f>AVERAGE($B$479:$Y$479)</f>
        <v>465.62125</v>
      </c>
    </row>
    <row r="480" spans="1:29">
      <c r="A480" s="10">
        <v>45770</v>
      </c>
      <c r="B480" s="12">
        <v>543.75</v>
      </c>
      <c r="C480" s="12">
        <v>594.86</v>
      </c>
      <c r="D480" s="12">
        <v>541.01</v>
      </c>
      <c r="E480" s="12">
        <v>399.84</v>
      </c>
      <c r="F480" s="12">
        <v>330.57</v>
      </c>
      <c r="G480" s="12">
        <v>331.34</v>
      </c>
      <c r="H480" s="12">
        <v>512.5</v>
      </c>
      <c r="I480" s="12">
        <v>373.97</v>
      </c>
      <c r="J480" s="12">
        <v>708.38</v>
      </c>
      <c r="K480" s="12">
        <v>589.14</v>
      </c>
      <c r="L480" s="12">
        <v>385.73</v>
      </c>
      <c r="M480" s="12">
        <v>427.5</v>
      </c>
      <c r="N480" s="12">
        <v>374.95</v>
      </c>
      <c r="O480" s="12">
        <v>472.17</v>
      </c>
      <c r="P480" s="12">
        <v>390.51</v>
      </c>
      <c r="Q480" s="12">
        <v>403.45</v>
      </c>
      <c r="R480" s="12">
        <v>567.01</v>
      </c>
      <c r="S480" s="12">
        <v>369.62</v>
      </c>
      <c r="T480" s="12">
        <v>322.2</v>
      </c>
      <c r="U480" s="12">
        <v>383.81</v>
      </c>
      <c r="V480" s="12">
        <v>386.7</v>
      </c>
      <c r="W480" s="12">
        <v>401.37</v>
      </c>
      <c r="X480" s="12">
        <v>453.4</v>
      </c>
      <c r="Y480" s="12">
        <v>347.08</v>
      </c>
      <c r="AA480" s="17">
        <f>MAX($B$480:$Y$480)</f>
        <v>708.38</v>
      </c>
      <c r="AB480" s="17">
        <f>MIN($B$480:$Y$480)</f>
        <v>322.2</v>
      </c>
      <c r="AC480" s="17">
        <f>AVERAGE($B$480:$Y$480)</f>
        <v>442.119166666667</v>
      </c>
    </row>
    <row r="481" spans="1:29">
      <c r="A481" s="10">
        <v>45771</v>
      </c>
      <c r="B481" s="12">
        <v>372</v>
      </c>
      <c r="C481" s="12">
        <v>347.27</v>
      </c>
      <c r="D481" s="12">
        <v>341.14</v>
      </c>
      <c r="E481" s="12">
        <v>318.89</v>
      </c>
      <c r="F481" s="12">
        <v>302.44</v>
      </c>
      <c r="G481" s="12">
        <v>304.74</v>
      </c>
      <c r="H481" s="12">
        <v>312.17</v>
      </c>
      <c r="I481" s="12">
        <v>307.93</v>
      </c>
      <c r="J481" s="12">
        <v>335.25</v>
      </c>
      <c r="K481" s="12">
        <v>312.74</v>
      </c>
      <c r="L481" s="12">
        <v>306.79</v>
      </c>
      <c r="M481" s="12">
        <v>307.36</v>
      </c>
      <c r="N481" s="12">
        <v>298.6</v>
      </c>
      <c r="O481" s="12">
        <v>329.04</v>
      </c>
      <c r="P481" s="12">
        <v>299.55</v>
      </c>
      <c r="Q481" s="12">
        <v>330.92</v>
      </c>
      <c r="R481" s="12">
        <v>393.39</v>
      </c>
      <c r="S481" s="12">
        <v>341.77</v>
      </c>
      <c r="T481" s="12">
        <v>319.72</v>
      </c>
      <c r="U481" s="12">
        <v>345.78</v>
      </c>
      <c r="V481" s="12">
        <v>331.69</v>
      </c>
      <c r="W481" s="12">
        <v>306.56</v>
      </c>
      <c r="X481" s="12">
        <v>314.3</v>
      </c>
      <c r="Y481" s="12">
        <v>302.48</v>
      </c>
      <c r="AA481" s="17">
        <f>MAX($B$481:$Y$481)</f>
        <v>393.39</v>
      </c>
      <c r="AB481" s="17">
        <f>MIN($B$481:$Y$481)</f>
        <v>298.6</v>
      </c>
      <c r="AC481" s="17">
        <f>AVERAGE($B$481:$Y$481)</f>
        <v>324.271666666667</v>
      </c>
    </row>
    <row r="482" spans="1:29">
      <c r="A482" s="10">
        <v>45772</v>
      </c>
      <c r="B482" s="12">
        <v>417.77</v>
      </c>
      <c r="C482" s="12">
        <v>331.61</v>
      </c>
      <c r="D482" s="12">
        <v>316.95</v>
      </c>
      <c r="E482" s="12">
        <v>302.24</v>
      </c>
      <c r="F482" s="12">
        <v>297.16</v>
      </c>
      <c r="G482" s="12">
        <v>294.51</v>
      </c>
      <c r="H482" s="12">
        <v>305.68</v>
      </c>
      <c r="I482" s="12">
        <v>306.85</v>
      </c>
      <c r="J482" s="12">
        <v>364.29</v>
      </c>
      <c r="K482" s="12">
        <v>367</v>
      </c>
      <c r="L482" s="12">
        <v>372.11</v>
      </c>
      <c r="M482" s="12">
        <v>496.62</v>
      </c>
      <c r="N482" s="12">
        <v>320.82</v>
      </c>
      <c r="O482" s="12">
        <v>343.81</v>
      </c>
      <c r="P482" s="12">
        <v>302.95</v>
      </c>
      <c r="Q482" s="12">
        <v>300.37</v>
      </c>
      <c r="R482" s="12">
        <v>307.68</v>
      </c>
      <c r="S482" s="12">
        <v>303.86</v>
      </c>
      <c r="T482" s="12">
        <v>298.83</v>
      </c>
      <c r="U482" s="12">
        <v>341.21</v>
      </c>
      <c r="V482" s="12">
        <v>316.62</v>
      </c>
      <c r="W482" s="12">
        <v>313.11</v>
      </c>
      <c r="X482" s="12">
        <v>292.74</v>
      </c>
      <c r="Y482" s="12">
        <v>279.75</v>
      </c>
      <c r="AA482" s="17">
        <f>MAX($B$482:$Y$482)</f>
        <v>496.62</v>
      </c>
      <c r="AB482" s="17">
        <f>MIN($B$482:$Y$482)</f>
        <v>279.75</v>
      </c>
      <c r="AC482" s="17">
        <f>AVERAGE($B$482:$Y$482)</f>
        <v>328.939166666667</v>
      </c>
    </row>
    <row r="483" spans="1:29">
      <c r="A483" s="10">
        <v>45773</v>
      </c>
      <c r="B483" s="12">
        <v>338.6</v>
      </c>
      <c r="C483" s="12">
        <v>285.98</v>
      </c>
      <c r="D483" s="12">
        <v>276.67</v>
      </c>
      <c r="E483" s="12">
        <v>261.88</v>
      </c>
      <c r="F483" s="12">
        <v>231.4</v>
      </c>
      <c r="G483" s="12">
        <v>257.13</v>
      </c>
      <c r="H483" s="12">
        <v>264.87</v>
      </c>
      <c r="I483" s="12">
        <v>272.36</v>
      </c>
      <c r="J483" s="12">
        <v>311.94</v>
      </c>
      <c r="K483" s="12">
        <v>291.69</v>
      </c>
      <c r="L483" s="12">
        <v>267.88</v>
      </c>
      <c r="M483" s="12">
        <v>311.37</v>
      </c>
      <c r="N483" s="12">
        <v>176.01</v>
      </c>
      <c r="O483" s="12">
        <v>303.06</v>
      </c>
      <c r="P483" s="12">
        <v>343.86</v>
      </c>
      <c r="Q483" s="12">
        <v>289.66</v>
      </c>
      <c r="R483" s="12">
        <v>294.5</v>
      </c>
      <c r="S483" s="12">
        <v>292.16</v>
      </c>
      <c r="T483" s="12">
        <v>291.39</v>
      </c>
      <c r="U483" s="12">
        <v>305.66</v>
      </c>
      <c r="V483" s="12">
        <v>303.33</v>
      </c>
      <c r="W483" s="12">
        <v>296.3</v>
      </c>
      <c r="X483" s="12">
        <v>289.85</v>
      </c>
      <c r="Y483" s="12">
        <v>262.99</v>
      </c>
      <c r="AA483" s="17">
        <f>MAX($B$483:$Y$483)</f>
        <v>343.86</v>
      </c>
      <c r="AB483" s="17">
        <f>MIN($B$483:$Y$483)</f>
        <v>176.01</v>
      </c>
      <c r="AC483" s="17">
        <f>AVERAGE($B$483:$Y$483)</f>
        <v>284.189166666667</v>
      </c>
    </row>
    <row r="484" spans="1:29">
      <c r="A484" s="10">
        <v>45774</v>
      </c>
      <c r="B484" s="12">
        <v>301.94</v>
      </c>
      <c r="C484" s="12">
        <v>283.88</v>
      </c>
      <c r="D484" s="12">
        <v>273.66</v>
      </c>
      <c r="E484" s="12">
        <v>272.64</v>
      </c>
      <c r="F484" s="12">
        <v>263.49</v>
      </c>
      <c r="G484" s="12">
        <v>273.42</v>
      </c>
      <c r="H484" s="12">
        <v>301.56</v>
      </c>
      <c r="I484" s="12">
        <v>292.83</v>
      </c>
      <c r="J484" s="12">
        <v>311.29</v>
      </c>
      <c r="K484" s="12">
        <v>339.48</v>
      </c>
      <c r="L484" s="12">
        <v>311.37</v>
      </c>
      <c r="M484" s="12">
        <v>303.95</v>
      </c>
      <c r="N484" s="12">
        <v>294.03</v>
      </c>
      <c r="O484" s="12">
        <v>298</v>
      </c>
      <c r="P484" s="12">
        <v>293.32</v>
      </c>
      <c r="Q484" s="12">
        <v>299.82</v>
      </c>
      <c r="R484" s="12">
        <v>318.91</v>
      </c>
      <c r="S484" s="12">
        <v>306.02</v>
      </c>
      <c r="T484" s="12">
        <v>299.01</v>
      </c>
      <c r="U484" s="12">
        <v>309.28</v>
      </c>
      <c r="V484" s="12">
        <v>323.07</v>
      </c>
      <c r="W484" s="12">
        <v>318.91</v>
      </c>
      <c r="X484" s="12">
        <v>313.13</v>
      </c>
      <c r="Y484" s="12">
        <v>296.99</v>
      </c>
      <c r="AA484" s="17">
        <f>MAX($B$484:$Y$484)</f>
        <v>339.48</v>
      </c>
      <c r="AB484" s="17">
        <f>MIN($B$484:$Y$484)</f>
        <v>263.49</v>
      </c>
      <c r="AC484" s="17">
        <f>AVERAGE($B$484:$Y$484)</f>
        <v>300</v>
      </c>
    </row>
    <row r="485" spans="1:29">
      <c r="A485" s="10">
        <v>45775</v>
      </c>
      <c r="B485" s="12">
        <v>314.38</v>
      </c>
      <c r="C485" s="12">
        <v>292.84</v>
      </c>
      <c r="D485" s="12">
        <v>285.14</v>
      </c>
      <c r="E485" s="12">
        <v>280.34</v>
      </c>
      <c r="F485" s="12">
        <v>277.23</v>
      </c>
      <c r="G485" s="12">
        <v>280.38</v>
      </c>
      <c r="H485" s="12">
        <v>287.17</v>
      </c>
      <c r="I485" s="12">
        <v>287.9</v>
      </c>
      <c r="J485" s="12">
        <v>325.17</v>
      </c>
      <c r="K485" s="12">
        <v>287.52</v>
      </c>
      <c r="L485" s="12">
        <v>287.2</v>
      </c>
      <c r="M485" s="12">
        <v>306.24</v>
      </c>
      <c r="N485" s="12">
        <v>307.06</v>
      </c>
      <c r="O485" s="12">
        <v>306.86</v>
      </c>
      <c r="P485" s="12">
        <v>233.54</v>
      </c>
      <c r="Q485" s="12">
        <v>305.83</v>
      </c>
      <c r="R485" s="12">
        <v>315.16</v>
      </c>
      <c r="S485" s="12">
        <v>348.77</v>
      </c>
      <c r="T485" s="12">
        <v>328.5</v>
      </c>
      <c r="U485" s="12">
        <v>363.85</v>
      </c>
      <c r="V485" s="12">
        <v>388.23</v>
      </c>
      <c r="W485" s="12">
        <v>345.91</v>
      </c>
      <c r="X485" s="12">
        <v>323.38</v>
      </c>
      <c r="Y485" s="12">
        <v>291.24</v>
      </c>
      <c r="AA485" s="17">
        <f>MAX($B$485:$Y$485)</f>
        <v>388.23</v>
      </c>
      <c r="AB485" s="17">
        <f>MIN($B$485:$Y$485)</f>
        <v>233.54</v>
      </c>
      <c r="AC485" s="17">
        <f>AVERAGE($B$485:$Y$485)</f>
        <v>307.076666666667</v>
      </c>
    </row>
    <row r="486" spans="1:29">
      <c r="A486" s="10">
        <v>45776</v>
      </c>
      <c r="B486" s="12">
        <v>351.59</v>
      </c>
      <c r="C486" s="12">
        <v>328.83</v>
      </c>
      <c r="D486" s="12">
        <v>287.32</v>
      </c>
      <c r="E486" s="12">
        <v>287.68</v>
      </c>
      <c r="F486" s="12">
        <v>285.7</v>
      </c>
      <c r="G486" s="12">
        <v>288.86</v>
      </c>
      <c r="H486" s="12">
        <v>302.33</v>
      </c>
      <c r="I486" s="12">
        <v>275.82</v>
      </c>
      <c r="J486" s="12">
        <v>302.13</v>
      </c>
      <c r="K486" s="12">
        <v>246.19</v>
      </c>
      <c r="L486" s="12">
        <v>198.49</v>
      </c>
      <c r="M486" s="12">
        <v>194.63</v>
      </c>
      <c r="N486" s="12">
        <v>224</v>
      </c>
      <c r="O486" s="12">
        <v>467.86</v>
      </c>
      <c r="P486" s="12">
        <v>591.08</v>
      </c>
      <c r="Q486" s="12">
        <v>825.28</v>
      </c>
      <c r="R486" s="12">
        <v>894.58</v>
      </c>
      <c r="S486" s="12">
        <v>338.67</v>
      </c>
      <c r="T486" s="12">
        <v>309.05</v>
      </c>
      <c r="U486" s="12">
        <v>387.59</v>
      </c>
      <c r="V486" s="12">
        <v>356.45</v>
      </c>
      <c r="W486" s="12">
        <v>344.19</v>
      </c>
      <c r="X486" s="12">
        <v>329.52</v>
      </c>
      <c r="Y486" s="12">
        <v>307.63</v>
      </c>
      <c r="AA486" s="17">
        <f>MAX($B$486:$Y$486)</f>
        <v>894.58</v>
      </c>
      <c r="AB486" s="17">
        <f>MIN($B$486:$Y$486)</f>
        <v>194.63</v>
      </c>
      <c r="AC486" s="17">
        <f>AVERAGE($B$486:$Y$486)</f>
        <v>363.56125</v>
      </c>
    </row>
    <row r="487" spans="1:29">
      <c r="A487" s="10">
        <v>45777</v>
      </c>
      <c r="B487" s="12">
        <v>626.01</v>
      </c>
      <c r="C487" s="12">
        <v>436.85</v>
      </c>
      <c r="D487" s="12">
        <v>384.75</v>
      </c>
      <c r="E487" s="12">
        <v>327.31</v>
      </c>
      <c r="F487" s="12">
        <v>319.47</v>
      </c>
      <c r="G487" s="12">
        <v>312.9</v>
      </c>
      <c r="H487" s="12">
        <v>379.14</v>
      </c>
      <c r="I487" s="12">
        <v>333.47</v>
      </c>
      <c r="J487" s="12">
        <v>347.49</v>
      </c>
      <c r="K487" s="12">
        <v>344.01</v>
      </c>
      <c r="L487" s="12">
        <v>281.26</v>
      </c>
      <c r="M487" s="12">
        <v>273.41</v>
      </c>
      <c r="N487" s="12">
        <v>277.5</v>
      </c>
      <c r="O487" s="12">
        <v>511.96</v>
      </c>
      <c r="P487" s="12">
        <v>736.74</v>
      </c>
      <c r="Q487" s="12">
        <v>520.84</v>
      </c>
      <c r="R487" s="12">
        <v>409.13</v>
      </c>
      <c r="S487" s="12">
        <v>333.09</v>
      </c>
      <c r="T487" s="12">
        <v>314.26</v>
      </c>
      <c r="U487" s="12">
        <v>370.32</v>
      </c>
      <c r="V487" s="12">
        <v>356.62</v>
      </c>
      <c r="W487" s="12">
        <v>362.48</v>
      </c>
      <c r="X487" s="12">
        <v>434.38</v>
      </c>
      <c r="Y487" s="12">
        <v>425.78</v>
      </c>
      <c r="AA487" s="17">
        <f>MAX($B$487:$Y$487)</f>
        <v>736.74</v>
      </c>
      <c r="AB487" s="17">
        <f>MIN($B$487:$Y$487)</f>
        <v>273.41</v>
      </c>
      <c r="AC487" s="17">
        <f>AVERAGE($B$487:$Y$487)</f>
        <v>392.465416666667</v>
      </c>
    </row>
    <row r="488" spans="1:29">
      <c r="A488" s="10">
        <v>45778</v>
      </c>
      <c r="B488" s="12">
        <v>806.74</v>
      </c>
      <c r="C488" s="12">
        <v>1033.56</v>
      </c>
      <c r="D488" s="12">
        <v>650.87</v>
      </c>
      <c r="E488" s="12">
        <v>347.08</v>
      </c>
      <c r="F488" s="12">
        <v>301.33</v>
      </c>
      <c r="G488" s="12">
        <v>293.92</v>
      </c>
      <c r="H488" s="12">
        <v>316.45</v>
      </c>
      <c r="I488" s="12">
        <v>241.98</v>
      </c>
      <c r="J488" s="12">
        <v>3.18</v>
      </c>
      <c r="K488" s="12">
        <v>111.19</v>
      </c>
      <c r="L488" s="12">
        <v>122.74</v>
      </c>
      <c r="M488" s="12">
        <v>111.87</v>
      </c>
      <c r="N488" s="12">
        <v>266.92</v>
      </c>
      <c r="O488" s="12">
        <v>269.94</v>
      </c>
      <c r="P488" s="12">
        <v>112.5</v>
      </c>
      <c r="Q488" s="12">
        <v>0</v>
      </c>
      <c r="R488" s="12">
        <v>29.99</v>
      </c>
      <c r="S488" s="12">
        <v>181.92</v>
      </c>
      <c r="T488" s="12">
        <v>291.01</v>
      </c>
      <c r="U488" s="12">
        <v>508.17</v>
      </c>
      <c r="V488" s="12">
        <v>420.17</v>
      </c>
      <c r="W488" s="12">
        <v>451.67</v>
      </c>
      <c r="X488" s="12">
        <v>686.94</v>
      </c>
      <c r="Y488" s="12">
        <v>333.86</v>
      </c>
      <c r="AA488" s="17">
        <f>MAX($B$488:$Y$488)</f>
        <v>1033.56</v>
      </c>
      <c r="AB488" s="17">
        <f>MIN($B$488:$Y$488)</f>
        <v>0</v>
      </c>
      <c r="AC488" s="17">
        <f>AVERAGE($B$488:$Y$488)</f>
        <v>328.916666666667</v>
      </c>
    </row>
    <row r="489" spans="1:29">
      <c r="A489" s="10">
        <v>45779</v>
      </c>
      <c r="B489" s="12">
        <v>539.2</v>
      </c>
      <c r="C489" s="12">
        <v>371.61</v>
      </c>
      <c r="D489" s="12">
        <v>382.63</v>
      </c>
      <c r="E489" s="12">
        <v>295.13</v>
      </c>
      <c r="F489" s="12">
        <v>300.5</v>
      </c>
      <c r="G489" s="12">
        <v>304.28</v>
      </c>
      <c r="H489" s="12">
        <v>336.43</v>
      </c>
      <c r="I489" s="12">
        <v>289.91</v>
      </c>
      <c r="J489" s="12">
        <v>228.06</v>
      </c>
      <c r="K489" s="12">
        <v>229.5</v>
      </c>
      <c r="L489" s="12">
        <v>136.57</v>
      </c>
      <c r="M489" s="12">
        <v>189.12</v>
      </c>
      <c r="N489" s="12">
        <v>163.3</v>
      </c>
      <c r="O489" s="12">
        <v>262.45</v>
      </c>
      <c r="P489" s="12">
        <v>178.59</v>
      </c>
      <c r="Q489" s="12">
        <v>251.5</v>
      </c>
      <c r="R489" s="12">
        <v>287.46</v>
      </c>
      <c r="S489" s="12">
        <v>316.9</v>
      </c>
      <c r="T489" s="12">
        <v>336.09</v>
      </c>
      <c r="U489" s="12">
        <v>563.09</v>
      </c>
      <c r="V489" s="12">
        <v>397.49</v>
      </c>
      <c r="W489" s="12">
        <v>606.27</v>
      </c>
      <c r="X489" s="12">
        <v>738.74</v>
      </c>
      <c r="Y489" s="12">
        <v>502.17</v>
      </c>
      <c r="AA489" s="17">
        <f>MAX($B$489:$Y$489)</f>
        <v>738.74</v>
      </c>
      <c r="AB489" s="17">
        <f>MIN($B$489:$Y$489)</f>
        <v>136.57</v>
      </c>
      <c r="AC489" s="17">
        <f>AVERAGE($B$489:$Y$489)</f>
        <v>341.957916666667</v>
      </c>
    </row>
    <row r="490" spans="1:29">
      <c r="A490" s="10">
        <v>45780</v>
      </c>
      <c r="B490" s="12">
        <v>521.1</v>
      </c>
      <c r="C490" s="12">
        <v>914.41</v>
      </c>
      <c r="D490" s="12">
        <v>891.29</v>
      </c>
      <c r="E490" s="12">
        <v>709.92</v>
      </c>
      <c r="F490" s="12">
        <v>629.04</v>
      </c>
      <c r="G490" s="12">
        <v>467.34</v>
      </c>
      <c r="H490" s="12">
        <v>1007.9</v>
      </c>
      <c r="I490" s="12">
        <v>561.55</v>
      </c>
      <c r="J490" s="12">
        <v>304.84</v>
      </c>
      <c r="K490" s="12">
        <v>315.72</v>
      </c>
      <c r="L490" s="12">
        <v>278.45</v>
      </c>
      <c r="M490" s="12">
        <v>245.97</v>
      </c>
      <c r="N490" s="12">
        <v>214.59</v>
      </c>
      <c r="O490" s="12">
        <v>308.82</v>
      </c>
      <c r="P490" s="12">
        <v>294.15</v>
      </c>
      <c r="Q490" s="12">
        <v>284.28</v>
      </c>
      <c r="R490" s="12">
        <v>303.75</v>
      </c>
      <c r="S490" s="12">
        <v>295.77</v>
      </c>
      <c r="T490" s="12">
        <v>300.85</v>
      </c>
      <c r="U490" s="12">
        <v>332.44</v>
      </c>
      <c r="V490" s="12">
        <v>353.63</v>
      </c>
      <c r="W490" s="12">
        <v>358.63</v>
      </c>
      <c r="X490" s="12">
        <v>374.38</v>
      </c>
      <c r="Y490" s="12">
        <v>314.73</v>
      </c>
      <c r="AA490" s="17">
        <f>MAX($B$490:$Y$490)</f>
        <v>1007.9</v>
      </c>
      <c r="AB490" s="17">
        <f>MIN($B$490:$Y$490)</f>
        <v>214.59</v>
      </c>
      <c r="AC490" s="17">
        <f>AVERAGE($B$490:$Y$490)</f>
        <v>440.98125</v>
      </c>
    </row>
    <row r="491" spans="1:29">
      <c r="A491" s="10">
        <v>45781</v>
      </c>
      <c r="B491" s="12">
        <v>397.64</v>
      </c>
      <c r="C491" s="12">
        <v>418.85</v>
      </c>
      <c r="D491" s="12">
        <v>383.71</v>
      </c>
      <c r="E491" s="12">
        <v>357.49</v>
      </c>
      <c r="F491" s="12">
        <v>345.52</v>
      </c>
      <c r="G491" s="12">
        <v>334.69</v>
      </c>
      <c r="H491" s="12">
        <v>361.32</v>
      </c>
      <c r="I491" s="12">
        <v>307.66</v>
      </c>
      <c r="J491" s="12">
        <v>306.87</v>
      </c>
      <c r="K491" s="12">
        <v>284.07</v>
      </c>
      <c r="L491" s="12">
        <v>263.67</v>
      </c>
      <c r="M491" s="12">
        <v>281.55</v>
      </c>
      <c r="N491" s="12">
        <v>179.18</v>
      </c>
      <c r="O491" s="12">
        <v>356.37</v>
      </c>
      <c r="P491" s="12">
        <v>291.72</v>
      </c>
      <c r="Q491" s="12">
        <v>394.7</v>
      </c>
      <c r="R491" s="12">
        <v>354.92</v>
      </c>
      <c r="S491" s="12">
        <v>331.13</v>
      </c>
      <c r="T491" s="12">
        <v>314.13</v>
      </c>
      <c r="U491" s="12">
        <v>337.74</v>
      </c>
      <c r="V491" s="12">
        <v>339.87</v>
      </c>
      <c r="W491" s="12">
        <v>351.53</v>
      </c>
      <c r="X491" s="12">
        <v>473.67</v>
      </c>
      <c r="Y491" s="12">
        <v>335.75</v>
      </c>
      <c r="AA491" s="17">
        <f>MAX($B$491:$Y$491)</f>
        <v>473.67</v>
      </c>
      <c r="AB491" s="17">
        <f>MIN($B$491:$Y$491)</f>
        <v>179.18</v>
      </c>
      <c r="AC491" s="17">
        <f>AVERAGE($B$491:$Y$491)</f>
        <v>337.65625</v>
      </c>
    </row>
    <row r="492" spans="1:29">
      <c r="A492" s="10">
        <v>45782</v>
      </c>
      <c r="B492" s="12">
        <v>505.96</v>
      </c>
      <c r="C492" s="12">
        <v>417.42</v>
      </c>
      <c r="D492" s="12">
        <v>343.89</v>
      </c>
      <c r="E492" s="12">
        <v>320.76</v>
      </c>
      <c r="F492" s="12">
        <v>321.68</v>
      </c>
      <c r="G492" s="12">
        <v>321.88</v>
      </c>
      <c r="H492" s="12">
        <v>339.85</v>
      </c>
      <c r="I492" s="12">
        <v>317.42</v>
      </c>
      <c r="J492" s="12">
        <v>362.34</v>
      </c>
      <c r="K492" s="12">
        <v>557.59</v>
      </c>
      <c r="L492" s="12">
        <v>481.17</v>
      </c>
      <c r="M492" s="12">
        <v>809.02</v>
      </c>
      <c r="N492" s="12">
        <v>320</v>
      </c>
      <c r="O492" s="12">
        <v>511.35</v>
      </c>
      <c r="P492" s="12">
        <v>459.3</v>
      </c>
      <c r="Q492" s="12">
        <v>856.97</v>
      </c>
      <c r="R492" s="12">
        <v>909.94</v>
      </c>
      <c r="S492" s="12">
        <v>543.23</v>
      </c>
      <c r="T492" s="12">
        <v>372.57</v>
      </c>
      <c r="U492" s="12">
        <v>392.19</v>
      </c>
      <c r="V492" s="12">
        <v>434.59</v>
      </c>
      <c r="W492" s="12">
        <v>632.1</v>
      </c>
      <c r="X492" s="12">
        <v>409.6</v>
      </c>
      <c r="Y492" s="12">
        <v>338.49</v>
      </c>
      <c r="AA492" s="17">
        <f>MAX($B$492:$Y$492)</f>
        <v>909.94</v>
      </c>
      <c r="AB492" s="17">
        <f>MIN($B$492:$Y$492)</f>
        <v>317.42</v>
      </c>
      <c r="AC492" s="17">
        <f>AVERAGE($B$492:$Y$492)</f>
        <v>469.97125</v>
      </c>
    </row>
    <row r="493" spans="1:29">
      <c r="A493" s="10">
        <v>45783</v>
      </c>
      <c r="B493" s="12">
        <v>815.61</v>
      </c>
      <c r="C493" s="12">
        <v>982.18</v>
      </c>
      <c r="D493" s="12">
        <v>770.58</v>
      </c>
      <c r="E493" s="12">
        <v>586.75</v>
      </c>
      <c r="F493" s="12">
        <v>430.5</v>
      </c>
      <c r="G493" s="12">
        <v>469.84</v>
      </c>
      <c r="H493" s="12">
        <v>756.33</v>
      </c>
      <c r="I493" s="12">
        <v>361.51</v>
      </c>
      <c r="J493" s="12">
        <v>395.69</v>
      </c>
      <c r="K493" s="12">
        <v>359.37</v>
      </c>
      <c r="L493" s="12">
        <v>374.58</v>
      </c>
      <c r="M493" s="12">
        <v>368.03</v>
      </c>
      <c r="N493" s="12">
        <v>351.73</v>
      </c>
      <c r="O493" s="12">
        <v>716.36</v>
      </c>
      <c r="P493" s="12">
        <v>465.64</v>
      </c>
      <c r="Q493" s="12">
        <v>510.42</v>
      </c>
      <c r="R493" s="12">
        <v>411.43</v>
      </c>
      <c r="S493" s="12">
        <v>457.98</v>
      </c>
      <c r="T493" s="12">
        <v>361.48</v>
      </c>
      <c r="U493" s="12">
        <v>426.4</v>
      </c>
      <c r="V493" s="12">
        <v>431.06</v>
      </c>
      <c r="W493" s="12">
        <v>552.01</v>
      </c>
      <c r="X493" s="12">
        <v>672.34</v>
      </c>
      <c r="Y493" s="12">
        <v>371.66</v>
      </c>
      <c r="AA493" s="17">
        <f>MAX($B$493:$Y$493)</f>
        <v>982.18</v>
      </c>
      <c r="AB493" s="17">
        <f>MIN($B$493:$Y$493)</f>
        <v>351.73</v>
      </c>
      <c r="AC493" s="17">
        <f>AVERAGE($B$493:$Y$493)</f>
        <v>516.645</v>
      </c>
    </row>
    <row r="494" spans="1:29">
      <c r="A494" s="10">
        <v>45784</v>
      </c>
      <c r="B494" s="12">
        <v>576.78</v>
      </c>
      <c r="C494" s="12">
        <v>371.02</v>
      </c>
      <c r="D494" s="12">
        <v>351.66</v>
      </c>
      <c r="E494" s="12">
        <v>328.47</v>
      </c>
      <c r="F494" s="12">
        <v>317.45</v>
      </c>
      <c r="G494" s="12">
        <v>317.75</v>
      </c>
      <c r="H494" s="12">
        <v>326.92</v>
      </c>
      <c r="I494" s="12">
        <v>317.87</v>
      </c>
      <c r="J494" s="12">
        <v>388.23</v>
      </c>
      <c r="K494" s="12">
        <v>346.25</v>
      </c>
      <c r="L494" s="12">
        <v>309.46</v>
      </c>
      <c r="M494" s="12">
        <v>325.42</v>
      </c>
      <c r="N494" s="12">
        <v>299.49</v>
      </c>
      <c r="O494" s="12">
        <v>317.28</v>
      </c>
      <c r="P494" s="12">
        <v>294.84</v>
      </c>
      <c r="Q494" s="12">
        <v>271.94</v>
      </c>
      <c r="R494" s="12">
        <v>287</v>
      </c>
      <c r="S494" s="12">
        <v>274.9</v>
      </c>
      <c r="T494" s="12">
        <v>259.67</v>
      </c>
      <c r="U494" s="12">
        <v>294.56</v>
      </c>
      <c r="V494" s="12">
        <v>304.62</v>
      </c>
      <c r="W494" s="12">
        <v>293.91</v>
      </c>
      <c r="X494" s="12">
        <v>275.2</v>
      </c>
      <c r="Y494" s="12">
        <v>274.74</v>
      </c>
      <c r="AA494" s="17">
        <f>MAX($B$494:$Y$494)</f>
        <v>576.78</v>
      </c>
      <c r="AB494" s="17">
        <f>MIN($B$494:$Y$494)</f>
        <v>259.67</v>
      </c>
      <c r="AC494" s="17">
        <f>AVERAGE($B$494:$Y$494)</f>
        <v>321.892916666667</v>
      </c>
    </row>
    <row r="495" spans="1:29">
      <c r="A495" s="10">
        <v>45785</v>
      </c>
      <c r="B495" s="12">
        <v>296.63</v>
      </c>
      <c r="C495" s="12">
        <v>296.31</v>
      </c>
      <c r="D495" s="12">
        <v>293.93</v>
      </c>
      <c r="E495" s="12">
        <v>291.62</v>
      </c>
      <c r="F495" s="12">
        <v>288.84</v>
      </c>
      <c r="G495" s="12">
        <v>294.71</v>
      </c>
      <c r="H495" s="12">
        <v>306.41</v>
      </c>
      <c r="I495" s="12">
        <v>294.93</v>
      </c>
      <c r="J495" s="12">
        <v>389.86</v>
      </c>
      <c r="K495" s="12">
        <v>392</v>
      </c>
      <c r="L495" s="12">
        <v>442.63</v>
      </c>
      <c r="M495" s="12">
        <v>641.38</v>
      </c>
      <c r="N495" s="12">
        <v>266.29</v>
      </c>
      <c r="O495" s="12">
        <v>271.79</v>
      </c>
      <c r="P495" s="12">
        <v>314.27</v>
      </c>
      <c r="Q495" s="12">
        <v>335.11</v>
      </c>
      <c r="R495" s="12">
        <v>509.25</v>
      </c>
      <c r="S495" s="12">
        <v>372.55</v>
      </c>
      <c r="T495" s="12">
        <v>336.19</v>
      </c>
      <c r="U495" s="12">
        <v>373.07</v>
      </c>
      <c r="V495" s="12">
        <v>420.81</v>
      </c>
      <c r="W495" s="12">
        <v>459.63</v>
      </c>
      <c r="X495" s="12">
        <v>344.45</v>
      </c>
      <c r="Y495" s="12">
        <v>310.49</v>
      </c>
      <c r="AA495" s="17">
        <f>MAX($B$495:$Y$495)</f>
        <v>641.38</v>
      </c>
      <c r="AB495" s="17">
        <f>MIN($B$495:$Y$495)</f>
        <v>266.29</v>
      </c>
      <c r="AC495" s="17">
        <f>AVERAGE($B$495:$Y$495)</f>
        <v>355.964583333333</v>
      </c>
    </row>
    <row r="496" spans="1:29">
      <c r="A496" s="10">
        <v>45786</v>
      </c>
      <c r="B496" s="12">
        <v>358.76</v>
      </c>
      <c r="C496" s="12">
        <v>347.74</v>
      </c>
      <c r="D496" s="12">
        <v>378.33</v>
      </c>
      <c r="E496" s="12">
        <v>349.13</v>
      </c>
      <c r="F496" s="12">
        <v>321.71</v>
      </c>
      <c r="G496" s="12">
        <v>318.34</v>
      </c>
      <c r="H496" s="12">
        <v>358.63</v>
      </c>
      <c r="I496" s="12">
        <v>312.08</v>
      </c>
      <c r="J496" s="12">
        <v>574.38</v>
      </c>
      <c r="K496" s="12">
        <v>827.62</v>
      </c>
      <c r="L496" s="12">
        <v>506.49</v>
      </c>
      <c r="M496" s="12">
        <v>343.04</v>
      </c>
      <c r="N496" s="12">
        <v>290.57</v>
      </c>
      <c r="O496" s="12">
        <v>289.99</v>
      </c>
      <c r="P496" s="12">
        <v>309.01</v>
      </c>
      <c r="Q496" s="12">
        <v>285.57</v>
      </c>
      <c r="R496" s="12">
        <v>278.5</v>
      </c>
      <c r="S496" s="12">
        <v>250.85</v>
      </c>
      <c r="T496" s="12">
        <v>294.02</v>
      </c>
      <c r="U496" s="12">
        <v>331.04</v>
      </c>
      <c r="V496" s="12">
        <v>318.08</v>
      </c>
      <c r="W496" s="12">
        <v>311.73</v>
      </c>
      <c r="X496" s="12">
        <v>312.65</v>
      </c>
      <c r="Y496" s="12">
        <v>470.1</v>
      </c>
      <c r="AA496" s="17">
        <f>MAX($B$496:$Y$496)</f>
        <v>827.62</v>
      </c>
      <c r="AB496" s="17">
        <f>MIN($B$496:$Y$496)</f>
        <v>250.85</v>
      </c>
      <c r="AC496" s="17">
        <f>AVERAGE($B$496:$Y$496)</f>
        <v>364.098333333333</v>
      </c>
    </row>
    <row r="497" spans="1:29">
      <c r="A497" s="10">
        <v>45787</v>
      </c>
      <c r="B497" s="12">
        <v>321.26</v>
      </c>
      <c r="C497" s="12">
        <v>310.62</v>
      </c>
      <c r="D497" s="12">
        <v>299.08</v>
      </c>
      <c r="E497" s="12">
        <v>299.55</v>
      </c>
      <c r="F497" s="12">
        <v>283.65</v>
      </c>
      <c r="G497" s="12">
        <v>283.36</v>
      </c>
      <c r="H497" s="12">
        <v>231.69</v>
      </c>
      <c r="I497" s="12">
        <v>270.6</v>
      </c>
      <c r="J497" s="12">
        <v>291</v>
      </c>
      <c r="K497" s="12">
        <v>285.7</v>
      </c>
      <c r="L497" s="12">
        <v>287.39</v>
      </c>
      <c r="M497" s="12">
        <v>289.77</v>
      </c>
      <c r="N497" s="12">
        <v>267.81</v>
      </c>
      <c r="O497" s="12">
        <v>294.69</v>
      </c>
      <c r="P497" s="12">
        <v>314.77</v>
      </c>
      <c r="Q497" s="12">
        <v>322.46</v>
      </c>
      <c r="R497" s="12">
        <v>348.57</v>
      </c>
      <c r="S497" s="12">
        <v>341.11</v>
      </c>
      <c r="T497" s="12">
        <v>314.6</v>
      </c>
      <c r="U497" s="12">
        <v>318.07</v>
      </c>
      <c r="V497" s="12">
        <v>311.78</v>
      </c>
      <c r="W497" s="12">
        <v>303.35</v>
      </c>
      <c r="X497" s="12">
        <v>279.68</v>
      </c>
      <c r="Y497" s="12">
        <v>263.48</v>
      </c>
      <c r="AA497" s="17">
        <f>MAX($B$497:$Y$497)</f>
        <v>348.57</v>
      </c>
      <c r="AB497" s="17">
        <f>MIN($B$497:$Y$497)</f>
        <v>231.69</v>
      </c>
      <c r="AC497" s="17">
        <f>AVERAGE($B$497:$Y$497)</f>
        <v>297.251666666667</v>
      </c>
    </row>
    <row r="498" spans="1:29">
      <c r="A498" s="10">
        <v>45788</v>
      </c>
      <c r="B498" s="12">
        <v>265.3</v>
      </c>
      <c r="C498" s="12">
        <v>190.4</v>
      </c>
      <c r="D498" s="12">
        <v>199.83</v>
      </c>
      <c r="E498" s="12">
        <v>108.4</v>
      </c>
      <c r="F498" s="12">
        <v>0.68</v>
      </c>
      <c r="G498" s="12">
        <v>42.09</v>
      </c>
      <c r="H498" s="12">
        <v>95.5</v>
      </c>
      <c r="I498" s="12">
        <v>105.29</v>
      </c>
      <c r="J498" s="12">
        <v>96.7</v>
      </c>
      <c r="K498" s="12">
        <v>67.45</v>
      </c>
      <c r="L498" s="12">
        <v>101.5</v>
      </c>
      <c r="M498" s="12">
        <v>39.97</v>
      </c>
      <c r="N498" s="12">
        <v>34.66</v>
      </c>
      <c r="O498" s="12">
        <v>21.41</v>
      </c>
      <c r="P498" s="12">
        <v>5.96</v>
      </c>
      <c r="Q498" s="12">
        <v>8.98</v>
      </c>
      <c r="R498" s="12">
        <v>68.92</v>
      </c>
      <c r="S498" s="12">
        <v>240.68</v>
      </c>
      <c r="T498" s="12">
        <v>299.99</v>
      </c>
      <c r="U498" s="12">
        <v>303.94</v>
      </c>
      <c r="V498" s="12">
        <v>303.94</v>
      </c>
      <c r="W498" s="12">
        <v>299.68</v>
      </c>
      <c r="X498" s="12">
        <v>293.96</v>
      </c>
      <c r="Y498" s="12">
        <v>279.32</v>
      </c>
      <c r="AA498" s="17">
        <f>MAX($B$498:$Y$498)</f>
        <v>303.94</v>
      </c>
      <c r="AB498" s="17">
        <f>MIN($B$498:$Y$498)</f>
        <v>0.68</v>
      </c>
      <c r="AC498" s="17">
        <f>AVERAGE($B$498:$Y$498)</f>
        <v>144.772916666667</v>
      </c>
    </row>
    <row r="499" spans="1:29">
      <c r="A499" s="10">
        <v>45789</v>
      </c>
      <c r="B499" s="12">
        <v>297.82</v>
      </c>
      <c r="C499" s="12">
        <v>283.73</v>
      </c>
      <c r="D499" s="12">
        <v>271.38</v>
      </c>
      <c r="E499" s="12">
        <v>258.38</v>
      </c>
      <c r="F499" s="12">
        <v>216.1</v>
      </c>
      <c r="G499" s="12">
        <v>229.02</v>
      </c>
      <c r="H499" s="12">
        <v>284.36</v>
      </c>
      <c r="I499" s="12">
        <v>181.24</v>
      </c>
      <c r="J499" s="12">
        <v>116.15</v>
      </c>
      <c r="K499" s="12">
        <v>110.8</v>
      </c>
      <c r="L499" s="12">
        <v>81.36</v>
      </c>
      <c r="M499" s="12">
        <v>161.15</v>
      </c>
      <c r="N499" s="12">
        <v>90.9</v>
      </c>
      <c r="O499" s="12">
        <v>131.25</v>
      </c>
      <c r="P499" s="12">
        <v>159.33</v>
      </c>
      <c r="Q499" s="12">
        <v>67.89</v>
      </c>
      <c r="R499" s="12">
        <v>242.45</v>
      </c>
      <c r="S499" s="12">
        <v>288.24</v>
      </c>
      <c r="T499" s="12">
        <v>305.47</v>
      </c>
      <c r="U499" s="12">
        <v>319.76</v>
      </c>
      <c r="V499" s="12">
        <v>315.44</v>
      </c>
      <c r="W499" s="12">
        <v>314.11</v>
      </c>
      <c r="X499" s="12">
        <v>292.51</v>
      </c>
      <c r="Y499" s="12">
        <v>273.21</v>
      </c>
      <c r="AA499" s="17">
        <f>MAX($B$499:$Y$499)</f>
        <v>319.76</v>
      </c>
      <c r="AB499" s="17">
        <f>MIN($B$499:$Y$499)</f>
        <v>67.89</v>
      </c>
      <c r="AC499" s="17">
        <f>AVERAGE($B$499:$Y$499)</f>
        <v>220.502083333333</v>
      </c>
    </row>
    <row r="500" spans="1:29">
      <c r="A500" s="10">
        <v>45790</v>
      </c>
      <c r="B500" s="12">
        <v>284.15</v>
      </c>
      <c r="C500" s="12">
        <v>252.25</v>
      </c>
      <c r="D500" s="12">
        <v>233.77</v>
      </c>
      <c r="E500" s="12">
        <v>213.89</v>
      </c>
      <c r="F500" s="12">
        <v>215</v>
      </c>
      <c r="G500" s="12">
        <v>200.64</v>
      </c>
      <c r="H500" s="12">
        <v>232.88</v>
      </c>
      <c r="I500" s="12">
        <v>194.76</v>
      </c>
      <c r="J500" s="12">
        <v>87.78</v>
      </c>
      <c r="K500" s="12">
        <v>102.47</v>
      </c>
      <c r="L500" s="12">
        <v>66.61</v>
      </c>
      <c r="M500" s="12">
        <v>107.51</v>
      </c>
      <c r="N500" s="12">
        <v>97.98</v>
      </c>
      <c r="O500" s="12">
        <v>119.27</v>
      </c>
      <c r="P500" s="12">
        <v>126.19</v>
      </c>
      <c r="Q500" s="12">
        <v>195.24</v>
      </c>
      <c r="R500" s="12">
        <v>337.39</v>
      </c>
      <c r="S500" s="12">
        <v>445.71</v>
      </c>
      <c r="T500" s="12">
        <v>492.54</v>
      </c>
      <c r="U500" s="12">
        <v>528.73</v>
      </c>
      <c r="V500" s="12">
        <v>525.34</v>
      </c>
      <c r="W500" s="12">
        <v>438.86</v>
      </c>
      <c r="X500" s="12">
        <v>365.09</v>
      </c>
      <c r="Y500" s="12">
        <v>320.87</v>
      </c>
      <c r="AA500" s="17">
        <f>MAX($B$500:$Y$500)</f>
        <v>528.73</v>
      </c>
      <c r="AB500" s="17">
        <f>MIN($B$500:$Y$500)</f>
        <v>66.61</v>
      </c>
      <c r="AC500" s="17">
        <f>AVERAGE($B$500:$Y$500)</f>
        <v>257.705</v>
      </c>
    </row>
    <row r="501" spans="1:29">
      <c r="A501" s="10">
        <v>45791</v>
      </c>
      <c r="B501" s="12">
        <v>380</v>
      </c>
      <c r="C501" s="12">
        <v>316.88</v>
      </c>
      <c r="D501" s="12">
        <v>302.66</v>
      </c>
      <c r="E501" s="12">
        <v>290.99</v>
      </c>
      <c r="F501" s="12">
        <v>294.56</v>
      </c>
      <c r="G501" s="12">
        <v>296.32</v>
      </c>
      <c r="H501" s="12">
        <v>322.48</v>
      </c>
      <c r="I501" s="12">
        <v>301.49</v>
      </c>
      <c r="J501" s="12">
        <v>331.22</v>
      </c>
      <c r="K501" s="12">
        <v>359.27</v>
      </c>
      <c r="L501" s="12">
        <v>308.73</v>
      </c>
      <c r="M501" s="12">
        <v>300.4</v>
      </c>
      <c r="N501" s="12">
        <v>286.36</v>
      </c>
      <c r="O501" s="12">
        <v>314.22</v>
      </c>
      <c r="P501" s="12">
        <v>317</v>
      </c>
      <c r="Q501" s="12">
        <v>346.34</v>
      </c>
      <c r="R501" s="12">
        <v>490.08</v>
      </c>
      <c r="S501" s="12">
        <v>478.28</v>
      </c>
      <c r="T501" s="12">
        <v>581.66</v>
      </c>
      <c r="U501" s="12">
        <v>860.95</v>
      </c>
      <c r="V501" s="12">
        <v>644.32</v>
      </c>
      <c r="W501" s="12">
        <v>512.19</v>
      </c>
      <c r="X501" s="12">
        <v>384.08</v>
      </c>
      <c r="Y501" s="12">
        <v>361.79</v>
      </c>
      <c r="AA501" s="17">
        <f>MAX($B$501:$Y$501)</f>
        <v>860.95</v>
      </c>
      <c r="AB501" s="17">
        <f>MIN($B$501:$Y$501)</f>
        <v>286.36</v>
      </c>
      <c r="AC501" s="17">
        <f>AVERAGE($B$501:$Y$501)</f>
        <v>390.927916666667</v>
      </c>
    </row>
    <row r="502" spans="1:29">
      <c r="A502" s="10">
        <v>45792</v>
      </c>
      <c r="B502" s="12">
        <v>355.49</v>
      </c>
      <c r="C502" s="12">
        <v>380.16</v>
      </c>
      <c r="D502" s="12">
        <v>366.25</v>
      </c>
      <c r="E502" s="12">
        <v>360.06</v>
      </c>
      <c r="F502" s="12">
        <v>338.54</v>
      </c>
      <c r="G502" s="12">
        <v>345.27</v>
      </c>
      <c r="H502" s="12">
        <v>366.01</v>
      </c>
      <c r="I502" s="12">
        <v>331.9</v>
      </c>
      <c r="J502" s="12">
        <v>331.6</v>
      </c>
      <c r="K502" s="12">
        <v>333.33</v>
      </c>
      <c r="L502" s="12">
        <v>315.38</v>
      </c>
      <c r="M502" s="12">
        <v>317.67</v>
      </c>
      <c r="N502" s="12">
        <v>303.62</v>
      </c>
      <c r="O502" s="12">
        <v>314.23</v>
      </c>
      <c r="P502" s="12">
        <v>312.77</v>
      </c>
      <c r="Q502" s="12">
        <v>318.59</v>
      </c>
      <c r="R502" s="12">
        <v>339.63</v>
      </c>
      <c r="S502" s="12">
        <v>370.65</v>
      </c>
      <c r="T502" s="12">
        <v>433.07</v>
      </c>
      <c r="U502" s="12">
        <v>489.47</v>
      </c>
      <c r="V502" s="12">
        <v>502.23</v>
      </c>
      <c r="W502" s="12">
        <v>469.92</v>
      </c>
      <c r="X502" s="12">
        <v>445.74</v>
      </c>
      <c r="Y502" s="12">
        <v>371.2</v>
      </c>
      <c r="AA502" s="17">
        <f>MAX($B$502:$Y$502)</f>
        <v>502.23</v>
      </c>
      <c r="AB502" s="17">
        <f>MIN($B$502:$Y$502)</f>
        <v>303.62</v>
      </c>
      <c r="AC502" s="17">
        <f>AVERAGE($B$502:$Y$502)</f>
        <v>367.199166666667</v>
      </c>
    </row>
    <row r="503" spans="1:29">
      <c r="A503" s="10">
        <v>45793</v>
      </c>
      <c r="B503" s="12">
        <v>395.56</v>
      </c>
      <c r="C503" s="12">
        <v>397.44</v>
      </c>
      <c r="D503" s="12">
        <v>393.72</v>
      </c>
      <c r="E503" s="12">
        <v>368.71</v>
      </c>
      <c r="F503" s="12">
        <v>360.37</v>
      </c>
      <c r="G503" s="12">
        <v>347.6</v>
      </c>
      <c r="H503" s="12">
        <v>359.9</v>
      </c>
      <c r="I503" s="12">
        <v>355.67</v>
      </c>
      <c r="J503" s="12">
        <v>367.74</v>
      </c>
      <c r="K503" s="12">
        <v>383.99</v>
      </c>
      <c r="L503" s="12">
        <v>479.36</v>
      </c>
      <c r="M503" s="12">
        <v>411.69</v>
      </c>
      <c r="N503" s="12">
        <v>348.42</v>
      </c>
      <c r="O503" s="12">
        <v>408.07</v>
      </c>
      <c r="P503" s="12">
        <v>411.52</v>
      </c>
      <c r="Q503" s="12">
        <v>363.13</v>
      </c>
      <c r="R503" s="12">
        <v>349.98</v>
      </c>
      <c r="S503" s="12">
        <v>394.17</v>
      </c>
      <c r="T503" s="12">
        <v>365.48</v>
      </c>
      <c r="U503" s="12">
        <v>417.78</v>
      </c>
      <c r="V503" s="12">
        <v>402.78</v>
      </c>
      <c r="W503" s="12">
        <v>392.56</v>
      </c>
      <c r="X503" s="12">
        <v>384.86</v>
      </c>
      <c r="Y503" s="12">
        <v>376.52</v>
      </c>
      <c r="AA503" s="17">
        <f>MAX($B$503:$Y$503)</f>
        <v>479.36</v>
      </c>
      <c r="AB503" s="17">
        <f>MIN($B$503:$Y$503)</f>
        <v>347.6</v>
      </c>
      <c r="AC503" s="17">
        <f>AVERAGE($B$503:$Y$503)</f>
        <v>384.875833333333</v>
      </c>
    </row>
    <row r="504" spans="1:29">
      <c r="A504" s="10">
        <v>45794</v>
      </c>
      <c r="B504" s="12">
        <v>379.1</v>
      </c>
      <c r="C504" s="12">
        <v>357.85</v>
      </c>
      <c r="D504" s="12">
        <v>348.39</v>
      </c>
      <c r="E504" s="12">
        <v>332.7</v>
      </c>
      <c r="F504" s="12">
        <v>327.07</v>
      </c>
      <c r="G504" s="12">
        <v>311.7</v>
      </c>
      <c r="H504" s="12">
        <v>318.36</v>
      </c>
      <c r="I504" s="12">
        <v>320.63</v>
      </c>
      <c r="J504" s="12">
        <v>370.36</v>
      </c>
      <c r="K504" s="12">
        <v>356.4</v>
      </c>
      <c r="L504" s="12">
        <v>352.57</v>
      </c>
      <c r="M504" s="12">
        <v>344.38</v>
      </c>
      <c r="N504" s="12">
        <v>306.57</v>
      </c>
      <c r="O504" s="12">
        <v>346.59</v>
      </c>
      <c r="P504" s="12">
        <v>404.23</v>
      </c>
      <c r="Q504" s="12">
        <v>418.21</v>
      </c>
      <c r="R504" s="12">
        <v>428.89</v>
      </c>
      <c r="S504" s="12">
        <v>384.08</v>
      </c>
      <c r="T504" s="12">
        <v>338.34</v>
      </c>
      <c r="U504" s="12">
        <v>352.09</v>
      </c>
      <c r="V504" s="12">
        <v>418.48</v>
      </c>
      <c r="W504" s="12">
        <v>384.16</v>
      </c>
      <c r="X504" s="12">
        <v>366.65</v>
      </c>
      <c r="Y504" s="12">
        <v>384.57</v>
      </c>
      <c r="AA504" s="17">
        <f>MAX($B$504:$Y$504)</f>
        <v>428.89</v>
      </c>
      <c r="AB504" s="17">
        <f>MIN($B$504:$Y$504)</f>
        <v>306.57</v>
      </c>
      <c r="AC504" s="17">
        <f>AVERAGE($B$504:$Y$504)</f>
        <v>360.515416666667</v>
      </c>
    </row>
    <row r="505" spans="1:29">
      <c r="A505" s="10">
        <v>45795</v>
      </c>
      <c r="B505" s="12">
        <v>370.52</v>
      </c>
      <c r="C505" s="12">
        <v>373.28</v>
      </c>
      <c r="D505" s="12">
        <v>346.79</v>
      </c>
      <c r="E505" s="12">
        <v>335.32</v>
      </c>
      <c r="F505" s="12">
        <v>318.14</v>
      </c>
      <c r="G505" s="12">
        <v>306.53</v>
      </c>
      <c r="H505" s="12">
        <v>315.7</v>
      </c>
      <c r="I505" s="12">
        <v>302.75</v>
      </c>
      <c r="J505" s="12">
        <v>300.02</v>
      </c>
      <c r="K505" s="12">
        <v>300.92</v>
      </c>
      <c r="L505" s="12">
        <v>298.78</v>
      </c>
      <c r="M505" s="12">
        <v>302.36</v>
      </c>
      <c r="N505" s="12">
        <v>282.22</v>
      </c>
      <c r="O505" s="12">
        <v>319.78</v>
      </c>
      <c r="P505" s="12">
        <v>301.06</v>
      </c>
      <c r="Q505" s="12">
        <v>309.78</v>
      </c>
      <c r="R505" s="12">
        <v>325.18</v>
      </c>
      <c r="S505" s="12">
        <v>338.01</v>
      </c>
      <c r="T505" s="12">
        <v>335.19</v>
      </c>
      <c r="U505" s="12">
        <v>320.46</v>
      </c>
      <c r="V505" s="12">
        <v>373</v>
      </c>
      <c r="W505" s="12">
        <v>367.79</v>
      </c>
      <c r="X505" s="12">
        <v>350.06</v>
      </c>
      <c r="Y505" s="12">
        <v>339.53</v>
      </c>
      <c r="AA505" s="17">
        <f>MAX($B$505:$Y$505)</f>
        <v>373.28</v>
      </c>
      <c r="AB505" s="17">
        <f>MIN($B$505:$Y$505)</f>
        <v>282.22</v>
      </c>
      <c r="AC505" s="17">
        <f>AVERAGE($B$505:$Y$505)</f>
        <v>326.382083333333</v>
      </c>
    </row>
    <row r="506" spans="1:29">
      <c r="A506" s="10">
        <v>45796</v>
      </c>
      <c r="B506" s="12">
        <v>334.61</v>
      </c>
      <c r="C506" s="12">
        <v>322.64</v>
      </c>
      <c r="D506" s="12">
        <v>310.6</v>
      </c>
      <c r="E506" s="12">
        <v>300.05</v>
      </c>
      <c r="F506" s="12">
        <v>295.8</v>
      </c>
      <c r="G506" s="12">
        <v>295.81</v>
      </c>
      <c r="H506" s="12">
        <v>310.08</v>
      </c>
      <c r="I506" s="12">
        <v>311.57</v>
      </c>
      <c r="J506" s="12">
        <v>373.78</v>
      </c>
      <c r="K506" s="12">
        <v>464.22</v>
      </c>
      <c r="L506" s="12">
        <v>394.66</v>
      </c>
      <c r="M506" s="12">
        <v>341.81</v>
      </c>
      <c r="N506" s="12">
        <v>280.69</v>
      </c>
      <c r="O506" s="12">
        <v>389.15</v>
      </c>
      <c r="P506" s="12">
        <v>383.02</v>
      </c>
      <c r="Q506" s="12">
        <v>359.79</v>
      </c>
      <c r="R506" s="12">
        <v>356.53</v>
      </c>
      <c r="S506" s="12">
        <v>348.01</v>
      </c>
      <c r="T506" s="12">
        <v>337.76</v>
      </c>
      <c r="U506" s="12">
        <v>602.6</v>
      </c>
      <c r="V506" s="12">
        <v>428.03</v>
      </c>
      <c r="W506" s="12">
        <v>357.86</v>
      </c>
      <c r="X506" s="12">
        <v>354.19</v>
      </c>
      <c r="Y506" s="12">
        <v>315.84</v>
      </c>
      <c r="AA506" s="17">
        <f>MAX($B$506:$Y$506)</f>
        <v>602.6</v>
      </c>
      <c r="AB506" s="17">
        <f>MIN($B$506:$Y$506)</f>
        <v>280.69</v>
      </c>
      <c r="AC506" s="17">
        <f>AVERAGE($B$506:$Y$506)</f>
        <v>357.045833333333</v>
      </c>
    </row>
    <row r="507" spans="1:29">
      <c r="A507" s="10">
        <v>45797</v>
      </c>
      <c r="B507" s="12">
        <v>325.27</v>
      </c>
      <c r="C507" s="12">
        <v>308.2</v>
      </c>
      <c r="D507" s="12">
        <v>312.28</v>
      </c>
      <c r="E507" s="12">
        <v>309.87</v>
      </c>
      <c r="F507" s="12">
        <v>297.07</v>
      </c>
      <c r="G507" s="12">
        <v>294.79</v>
      </c>
      <c r="H507" s="12">
        <v>311.39</v>
      </c>
      <c r="I507" s="12">
        <v>297.67</v>
      </c>
      <c r="J507" s="12">
        <v>409.57</v>
      </c>
      <c r="K507" s="12">
        <v>425.38</v>
      </c>
      <c r="L507" s="12">
        <v>422.07</v>
      </c>
      <c r="M507" s="12">
        <v>476.49</v>
      </c>
      <c r="N507" s="12">
        <v>295.5</v>
      </c>
      <c r="O507" s="12">
        <v>307.03</v>
      </c>
      <c r="P507" s="12">
        <v>295.64</v>
      </c>
      <c r="Q507" s="12">
        <v>233.29</v>
      </c>
      <c r="R507" s="12">
        <v>369.62</v>
      </c>
      <c r="S507" s="12">
        <v>458.81</v>
      </c>
      <c r="T507" s="12">
        <v>422.27</v>
      </c>
      <c r="U507" s="12">
        <v>476.53</v>
      </c>
      <c r="V507" s="12">
        <v>466.19</v>
      </c>
      <c r="W507" s="12">
        <v>454.61</v>
      </c>
      <c r="X507" s="12">
        <v>424.18</v>
      </c>
      <c r="Y507" s="12">
        <v>321.32</v>
      </c>
      <c r="AA507" s="17">
        <f>MAX($B$507:$Y$507)</f>
        <v>476.53</v>
      </c>
      <c r="AB507" s="17">
        <f>MIN($B$507:$Y$507)</f>
        <v>233.29</v>
      </c>
      <c r="AC507" s="17">
        <f>AVERAGE($B$507:$Y$507)</f>
        <v>363.126666666667</v>
      </c>
    </row>
    <row r="508" spans="1:29">
      <c r="A508" s="10">
        <v>45798</v>
      </c>
      <c r="B508" s="12">
        <v>355.66</v>
      </c>
      <c r="C508" s="12">
        <v>327.1</v>
      </c>
      <c r="D508" s="12">
        <v>325.79</v>
      </c>
      <c r="E508" s="12">
        <v>312.74</v>
      </c>
      <c r="F508" s="12">
        <v>305.11</v>
      </c>
      <c r="G508" s="12">
        <v>305.15</v>
      </c>
      <c r="H508" s="12">
        <v>317.22</v>
      </c>
      <c r="I508" s="12">
        <v>287.76</v>
      </c>
      <c r="J508" s="12">
        <v>303.22</v>
      </c>
      <c r="K508" s="12">
        <v>284.82</v>
      </c>
      <c r="L508" s="12">
        <v>269.78</v>
      </c>
      <c r="M508" s="12">
        <v>311.74</v>
      </c>
      <c r="N508" s="12">
        <v>205.49</v>
      </c>
      <c r="O508" s="12">
        <v>372.95</v>
      </c>
      <c r="P508" s="12">
        <v>388.47</v>
      </c>
      <c r="Q508" s="12">
        <v>661.58</v>
      </c>
      <c r="R508" s="12">
        <v>485.46</v>
      </c>
      <c r="S508" s="12">
        <v>399.55</v>
      </c>
      <c r="T508" s="12">
        <v>333.89</v>
      </c>
      <c r="U508" s="12">
        <v>451.82</v>
      </c>
      <c r="V508" s="12">
        <v>546.35</v>
      </c>
      <c r="W508" s="12">
        <v>827.84</v>
      </c>
      <c r="X508" s="12">
        <v>677.76</v>
      </c>
      <c r="Y508" s="12">
        <v>349.9</v>
      </c>
      <c r="AA508" s="17">
        <f>MAX($B$508:$Y$508)</f>
        <v>827.84</v>
      </c>
      <c r="AB508" s="17">
        <f>MIN($B$508:$Y$508)</f>
        <v>205.49</v>
      </c>
      <c r="AC508" s="17">
        <f>AVERAGE($B$508:$Y$508)</f>
        <v>391.964583333333</v>
      </c>
    </row>
    <row r="509" spans="1:29">
      <c r="A509" s="10">
        <v>45799</v>
      </c>
      <c r="B509" s="12">
        <v>818.29</v>
      </c>
      <c r="C509" s="12">
        <v>529.73</v>
      </c>
      <c r="D509" s="12">
        <v>435.53</v>
      </c>
      <c r="E509" s="12">
        <v>342.36</v>
      </c>
      <c r="F509" s="12">
        <v>316.21</v>
      </c>
      <c r="G509" s="12">
        <v>309.47</v>
      </c>
      <c r="H509" s="12">
        <v>330</v>
      </c>
      <c r="I509" s="12">
        <v>298.97</v>
      </c>
      <c r="J509" s="12">
        <v>313.53</v>
      </c>
      <c r="K509" s="12">
        <v>317.74</v>
      </c>
      <c r="L509" s="12">
        <v>387.33</v>
      </c>
      <c r="M509" s="12">
        <v>567.66</v>
      </c>
      <c r="N509" s="12">
        <v>426.45</v>
      </c>
      <c r="O509" s="12">
        <v>774.86</v>
      </c>
      <c r="P509" s="12">
        <v>387.48</v>
      </c>
      <c r="Q509" s="12">
        <v>497.17</v>
      </c>
      <c r="R509" s="12">
        <v>510.46</v>
      </c>
      <c r="S509" s="12">
        <v>443.05</v>
      </c>
      <c r="T509" s="12">
        <v>327.9</v>
      </c>
      <c r="U509" s="12">
        <v>415.58</v>
      </c>
      <c r="V509" s="12">
        <v>480.81</v>
      </c>
      <c r="W509" s="12">
        <v>408.46</v>
      </c>
      <c r="X509" s="12">
        <v>389.05</v>
      </c>
      <c r="Y509" s="12">
        <v>317.55</v>
      </c>
      <c r="AA509" s="17">
        <f>MAX($B$509:$Y$509)</f>
        <v>818.29</v>
      </c>
      <c r="AB509" s="17">
        <f>MIN($B$509:$Y$509)</f>
        <v>298.97</v>
      </c>
      <c r="AC509" s="17">
        <f>AVERAGE($B$509:$Y$509)</f>
        <v>431.068333333333</v>
      </c>
    </row>
    <row r="510" spans="1:29">
      <c r="A510" s="10">
        <v>45800</v>
      </c>
      <c r="B510" s="12">
        <v>444.35</v>
      </c>
      <c r="C510" s="12">
        <v>407.95</v>
      </c>
      <c r="D510" s="12">
        <v>469.29</v>
      </c>
      <c r="E510" s="12">
        <v>361.27</v>
      </c>
      <c r="F510" s="12">
        <v>335.8</v>
      </c>
      <c r="G510" s="12">
        <v>338.09</v>
      </c>
      <c r="H510" s="12">
        <v>344.1</v>
      </c>
      <c r="I510" s="12">
        <v>310.57</v>
      </c>
      <c r="J510" s="12">
        <v>341.29</v>
      </c>
      <c r="K510" s="12">
        <v>348.95</v>
      </c>
      <c r="L510" s="12">
        <v>338.92</v>
      </c>
      <c r="M510" s="12">
        <v>474.89</v>
      </c>
      <c r="N510" s="12">
        <v>373.21</v>
      </c>
      <c r="O510" s="12">
        <v>398.76</v>
      </c>
      <c r="P510" s="12">
        <v>387.64</v>
      </c>
      <c r="Q510" s="12">
        <v>369.03</v>
      </c>
      <c r="R510" s="12">
        <v>358.61</v>
      </c>
      <c r="S510" s="12">
        <v>322.95</v>
      </c>
      <c r="T510" s="12">
        <v>315.1</v>
      </c>
      <c r="U510" s="12">
        <v>333.15</v>
      </c>
      <c r="V510" s="12">
        <v>335.25</v>
      </c>
      <c r="W510" s="12">
        <v>321.79</v>
      </c>
      <c r="X510" s="12">
        <v>320.31</v>
      </c>
      <c r="Y510" s="12">
        <v>312.22</v>
      </c>
      <c r="AA510" s="17">
        <f>MAX($B$510:$Y$510)</f>
        <v>474.89</v>
      </c>
      <c r="AB510" s="17">
        <f>MIN($B$510:$Y$510)</f>
        <v>310.57</v>
      </c>
      <c r="AC510" s="17">
        <f>AVERAGE($B$510:$Y$510)</f>
        <v>360.97875</v>
      </c>
    </row>
    <row r="511" spans="1:29">
      <c r="A511" s="10">
        <v>45801</v>
      </c>
      <c r="B511" s="12">
        <v>385.34</v>
      </c>
      <c r="C511" s="12">
        <v>349.2</v>
      </c>
      <c r="D511" s="12">
        <v>341.82</v>
      </c>
      <c r="E511" s="12">
        <v>329.39</v>
      </c>
      <c r="F511" s="12">
        <v>309.54</v>
      </c>
      <c r="G511" s="12">
        <v>299.23</v>
      </c>
      <c r="H511" s="12">
        <v>302.49</v>
      </c>
      <c r="I511" s="12">
        <v>275.68</v>
      </c>
      <c r="J511" s="12">
        <v>290.85</v>
      </c>
      <c r="K511" s="12">
        <v>297.99</v>
      </c>
      <c r="L511" s="12">
        <v>295.59</v>
      </c>
      <c r="M511" s="12">
        <v>312.02</v>
      </c>
      <c r="N511" s="12">
        <v>302.91</v>
      </c>
      <c r="O511" s="12">
        <v>311.71</v>
      </c>
      <c r="P511" s="12">
        <v>303.69</v>
      </c>
      <c r="Q511" s="12">
        <v>300.93</v>
      </c>
      <c r="R511" s="12">
        <v>313.38</v>
      </c>
      <c r="S511" s="12">
        <v>294.86</v>
      </c>
      <c r="T511" s="12">
        <v>293.07</v>
      </c>
      <c r="U511" s="12">
        <v>293.73</v>
      </c>
      <c r="V511" s="12">
        <v>271.64</v>
      </c>
      <c r="W511" s="12">
        <v>262.65</v>
      </c>
      <c r="X511" s="12">
        <v>157.52</v>
      </c>
      <c r="Y511" s="12">
        <v>265.12</v>
      </c>
      <c r="AA511" s="17">
        <f>MAX($B$511:$Y$511)</f>
        <v>385.34</v>
      </c>
      <c r="AB511" s="17">
        <f>MIN($B$511:$Y$511)</f>
        <v>157.52</v>
      </c>
      <c r="AC511" s="17">
        <f>AVERAGE($B$511:$Y$511)</f>
        <v>298.347916666667</v>
      </c>
    </row>
    <row r="512" spans="1:29">
      <c r="A512" s="10">
        <v>45802</v>
      </c>
      <c r="B512" s="12">
        <v>258.67</v>
      </c>
      <c r="C512" s="12">
        <v>277.63</v>
      </c>
      <c r="D512" s="12">
        <v>271.24</v>
      </c>
      <c r="E512" s="12">
        <v>261.82</v>
      </c>
      <c r="F512" s="12">
        <v>263.86</v>
      </c>
      <c r="G512" s="12">
        <v>269.76</v>
      </c>
      <c r="H512" s="12">
        <v>254.4</v>
      </c>
      <c r="I512" s="12">
        <v>133.92</v>
      </c>
      <c r="J512" s="12">
        <v>138.87</v>
      </c>
      <c r="K512" s="12">
        <v>116.44</v>
      </c>
      <c r="L512" s="12">
        <v>153.22</v>
      </c>
      <c r="M512" s="12">
        <v>122.41</v>
      </c>
      <c r="N512" s="12">
        <v>166.68</v>
      </c>
      <c r="O512" s="12">
        <v>248.78</v>
      </c>
      <c r="P512" s="12">
        <v>170.86</v>
      </c>
      <c r="Q512" s="12">
        <v>210.93</v>
      </c>
      <c r="R512" s="12">
        <v>157.87</v>
      </c>
      <c r="S512" s="12">
        <v>223.98</v>
      </c>
      <c r="T512" s="12">
        <v>205.09</v>
      </c>
      <c r="U512" s="12">
        <v>268.26</v>
      </c>
      <c r="V512" s="12">
        <v>271.84</v>
      </c>
      <c r="W512" s="12">
        <v>269.2</v>
      </c>
      <c r="X512" s="12">
        <v>260.55</v>
      </c>
      <c r="Y512" s="12">
        <v>225.56</v>
      </c>
      <c r="AA512" s="17">
        <f>MAX($B$512:$Y$512)</f>
        <v>277.63</v>
      </c>
      <c r="AB512" s="17">
        <f>MIN($B$512:$Y$512)</f>
        <v>116.44</v>
      </c>
      <c r="AC512" s="17">
        <f>AVERAGE($B$512:$Y$512)</f>
        <v>216.743333333333</v>
      </c>
    </row>
    <row r="513" spans="1:29">
      <c r="A513" s="10">
        <v>45803</v>
      </c>
      <c r="B513" s="12">
        <v>248.25</v>
      </c>
      <c r="C513" s="12">
        <v>161.63</v>
      </c>
      <c r="D513" s="12">
        <v>218.94</v>
      </c>
      <c r="E513" s="12">
        <v>238.58</v>
      </c>
      <c r="F513" s="12">
        <v>180.82</v>
      </c>
      <c r="G513" s="12">
        <v>244</v>
      </c>
      <c r="H513" s="12">
        <v>264.27</v>
      </c>
      <c r="I513" s="12">
        <v>241.33</v>
      </c>
      <c r="J513" s="12">
        <v>260.17</v>
      </c>
      <c r="K513" s="12">
        <v>247.1</v>
      </c>
      <c r="L513" s="12">
        <v>219.15</v>
      </c>
      <c r="M513" s="12">
        <v>272.31</v>
      </c>
      <c r="N513" s="12">
        <v>198.02</v>
      </c>
      <c r="O513" s="12">
        <v>267.19</v>
      </c>
      <c r="P513" s="12">
        <v>283.15</v>
      </c>
      <c r="Q513" s="12">
        <v>243.09</v>
      </c>
      <c r="R513" s="12">
        <v>278.97</v>
      </c>
      <c r="S513" s="12">
        <v>279.1</v>
      </c>
      <c r="T513" s="12">
        <v>278.56</v>
      </c>
      <c r="U513" s="12">
        <v>301.06</v>
      </c>
      <c r="V513" s="12">
        <v>294.6</v>
      </c>
      <c r="W513" s="12">
        <v>284.4</v>
      </c>
      <c r="X513" s="12">
        <v>267.43</v>
      </c>
      <c r="Y513" s="12">
        <v>240.51</v>
      </c>
      <c r="AA513" s="17">
        <f>MAX($B$513:$Y$513)</f>
        <v>301.06</v>
      </c>
      <c r="AB513" s="17">
        <f>MIN($B$513:$Y$513)</f>
        <v>161.63</v>
      </c>
      <c r="AC513" s="17">
        <f>AVERAGE($B$513:$Y$513)</f>
        <v>250.52625</v>
      </c>
    </row>
    <row r="514" spans="1:29">
      <c r="A514" s="10">
        <v>45804</v>
      </c>
      <c r="B514" s="12">
        <v>271.05</v>
      </c>
      <c r="C514" s="12">
        <v>266.46</v>
      </c>
      <c r="D514" s="12">
        <v>270</v>
      </c>
      <c r="E514" s="12">
        <v>267.75</v>
      </c>
      <c r="F514" s="12">
        <v>260.28</v>
      </c>
      <c r="G514" s="12">
        <v>224.52</v>
      </c>
      <c r="H514" s="12">
        <v>264</v>
      </c>
      <c r="I514" s="12">
        <v>182.23</v>
      </c>
      <c r="J514" s="12">
        <v>252.52</v>
      </c>
      <c r="K514" s="12">
        <v>204.35</v>
      </c>
      <c r="L514" s="12">
        <v>121.63</v>
      </c>
      <c r="M514" s="12">
        <v>344.97</v>
      </c>
      <c r="N514" s="12">
        <v>192.72</v>
      </c>
      <c r="O514" s="12">
        <v>271.48</v>
      </c>
      <c r="P514" s="12">
        <v>277.12</v>
      </c>
      <c r="Q514" s="12">
        <v>287.03</v>
      </c>
      <c r="R514" s="12">
        <v>307.07</v>
      </c>
      <c r="S514" s="12">
        <v>311.49</v>
      </c>
      <c r="T514" s="12">
        <v>346.37</v>
      </c>
      <c r="U514" s="12">
        <v>370.33</v>
      </c>
      <c r="V514" s="12">
        <v>331.66</v>
      </c>
      <c r="W514" s="12">
        <v>309.31</v>
      </c>
      <c r="X514" s="12">
        <v>276.39</v>
      </c>
      <c r="Y514" s="12">
        <v>256.49</v>
      </c>
      <c r="AA514" s="17">
        <f>MAX($B$514:$Y$514)</f>
        <v>370.33</v>
      </c>
      <c r="AB514" s="17">
        <f>MIN($B$514:$Y$514)</f>
        <v>121.63</v>
      </c>
      <c r="AC514" s="17">
        <f>AVERAGE($B$514:$Y$514)</f>
        <v>269.4675</v>
      </c>
    </row>
    <row r="515" spans="1:29">
      <c r="A515" s="10">
        <v>45805</v>
      </c>
      <c r="B515" s="12">
        <v>264.9</v>
      </c>
      <c r="C515" s="12">
        <v>283.63</v>
      </c>
      <c r="D515" s="12">
        <v>283.37</v>
      </c>
      <c r="E515" s="12">
        <v>278.72</v>
      </c>
      <c r="F515" s="12">
        <v>271.34</v>
      </c>
      <c r="G515" s="12">
        <v>271.35</v>
      </c>
      <c r="H515" s="12">
        <v>283.19</v>
      </c>
      <c r="I515" s="12">
        <v>279.92</v>
      </c>
      <c r="J515" s="12">
        <v>317.01</v>
      </c>
      <c r="K515" s="12">
        <v>313.86</v>
      </c>
      <c r="L515" s="12">
        <v>323.93</v>
      </c>
      <c r="M515" s="12">
        <v>418.98</v>
      </c>
      <c r="N515" s="12">
        <v>315.24</v>
      </c>
      <c r="O515" s="12">
        <v>354.1</v>
      </c>
      <c r="P515" s="12">
        <v>383.15</v>
      </c>
      <c r="Q515" s="12">
        <v>361.49</v>
      </c>
      <c r="R515" s="12">
        <v>356.9</v>
      </c>
      <c r="S515" s="12">
        <v>485.59</v>
      </c>
      <c r="T515" s="12">
        <v>334.12</v>
      </c>
      <c r="U515" s="12">
        <v>411.62</v>
      </c>
      <c r="V515" s="12">
        <v>410.58</v>
      </c>
      <c r="W515" s="12">
        <v>360.19</v>
      </c>
      <c r="X515" s="12">
        <v>313.45</v>
      </c>
      <c r="Y515" s="12">
        <v>292.64</v>
      </c>
      <c r="AA515" s="17">
        <f>MAX($B$515:$Y$515)</f>
        <v>485.59</v>
      </c>
      <c r="AB515" s="17">
        <f>MIN($B$515:$Y$515)</f>
        <v>264.9</v>
      </c>
      <c r="AC515" s="17">
        <f>AVERAGE($B$515:$Y$515)</f>
        <v>332.052916666667</v>
      </c>
    </row>
    <row r="516" spans="1:29">
      <c r="A516" s="10">
        <v>45806</v>
      </c>
      <c r="B516" s="12">
        <v>322.49</v>
      </c>
      <c r="C516" s="12">
        <v>294.12</v>
      </c>
      <c r="D516" s="12">
        <v>304.04</v>
      </c>
      <c r="E516" s="12">
        <v>300.91</v>
      </c>
      <c r="F516" s="12">
        <v>289.71</v>
      </c>
      <c r="G516" s="12">
        <v>284.47</v>
      </c>
      <c r="H516" s="12">
        <v>309.08</v>
      </c>
      <c r="I516" s="12">
        <v>305.07</v>
      </c>
      <c r="J516" s="12">
        <v>404.79</v>
      </c>
      <c r="K516" s="12">
        <v>528.79</v>
      </c>
      <c r="L516" s="12">
        <v>390.28</v>
      </c>
      <c r="M516" s="12">
        <v>706.34</v>
      </c>
      <c r="N516" s="12">
        <v>325.25</v>
      </c>
      <c r="O516" s="12">
        <v>368.75</v>
      </c>
      <c r="P516" s="12">
        <v>333.65</v>
      </c>
      <c r="Q516" s="12">
        <v>281</v>
      </c>
      <c r="R516" s="12">
        <v>393.23</v>
      </c>
      <c r="S516" s="12">
        <v>350.49</v>
      </c>
      <c r="T516" s="12">
        <v>336.86</v>
      </c>
      <c r="U516" s="12">
        <v>387.5</v>
      </c>
      <c r="V516" s="12">
        <v>360.69</v>
      </c>
      <c r="W516" s="12">
        <v>310.18</v>
      </c>
      <c r="X516" s="12">
        <v>264.91</v>
      </c>
      <c r="Y516" s="12">
        <v>149.1</v>
      </c>
      <c r="AA516" s="17">
        <f>MAX($B$516:$Y$516)</f>
        <v>706.34</v>
      </c>
      <c r="AB516" s="17">
        <f>MIN($B$516:$Y$516)</f>
        <v>149.1</v>
      </c>
      <c r="AC516" s="17">
        <f>AVERAGE($B$516:$Y$516)</f>
        <v>345.904166666667</v>
      </c>
    </row>
    <row r="517" spans="1:29">
      <c r="A517" s="10">
        <v>45807</v>
      </c>
      <c r="B517" s="12">
        <v>242.02</v>
      </c>
      <c r="C517" s="12">
        <v>257.84</v>
      </c>
      <c r="D517" s="12">
        <v>262.58</v>
      </c>
      <c r="E517" s="12">
        <v>254.61</v>
      </c>
      <c r="F517" s="12">
        <v>195.14</v>
      </c>
      <c r="G517" s="12">
        <v>211.57</v>
      </c>
      <c r="H517" s="12">
        <v>242.57</v>
      </c>
      <c r="I517" s="12">
        <v>121.14</v>
      </c>
      <c r="J517" s="12">
        <v>233.09</v>
      </c>
      <c r="K517" s="12">
        <v>222.73</v>
      </c>
      <c r="L517" s="12">
        <v>170.87</v>
      </c>
      <c r="M517" s="12">
        <v>250.84</v>
      </c>
      <c r="N517" s="12">
        <v>116.42</v>
      </c>
      <c r="O517" s="12">
        <v>227.12</v>
      </c>
      <c r="P517" s="12">
        <v>189.49</v>
      </c>
      <c r="Q517" s="12">
        <v>190.21</v>
      </c>
      <c r="R517" s="12">
        <v>211.68</v>
      </c>
      <c r="S517" s="12">
        <v>152.88</v>
      </c>
      <c r="T517" s="12">
        <v>123.3</v>
      </c>
      <c r="U517" s="12">
        <v>88.9</v>
      </c>
      <c r="V517" s="12">
        <v>171.55</v>
      </c>
      <c r="W517" s="12">
        <v>147.23</v>
      </c>
      <c r="X517" s="12">
        <v>163.09</v>
      </c>
      <c r="Y517" s="12">
        <v>54.33</v>
      </c>
      <c r="AA517" s="17">
        <f>MAX($B$517:$Y$517)</f>
        <v>262.58</v>
      </c>
      <c r="AB517" s="17">
        <f>MIN($B$517:$Y$517)</f>
        <v>54.33</v>
      </c>
      <c r="AC517" s="17">
        <f>AVERAGE($B$517:$Y$517)</f>
        <v>187.55</v>
      </c>
    </row>
    <row r="518" spans="1:29">
      <c r="A518" s="10">
        <v>45808</v>
      </c>
      <c r="B518" s="12">
        <v>83.43</v>
      </c>
      <c r="C518" s="12">
        <v>214.86</v>
      </c>
      <c r="D518" s="12">
        <v>230.97</v>
      </c>
      <c r="E518" s="12">
        <v>220.11</v>
      </c>
      <c r="F518" s="12">
        <v>143.68</v>
      </c>
      <c r="G518" s="12">
        <v>32.69</v>
      </c>
      <c r="H518" s="12">
        <v>84.21</v>
      </c>
      <c r="I518" s="12">
        <v>19.78</v>
      </c>
      <c r="J518" s="12">
        <v>0</v>
      </c>
      <c r="K518" s="12">
        <v>0</v>
      </c>
      <c r="L518" s="12">
        <v>1.55</v>
      </c>
      <c r="M518" s="12">
        <v>4.39</v>
      </c>
      <c r="N518" s="12">
        <v>111.65</v>
      </c>
      <c r="O518" s="12">
        <v>155.77</v>
      </c>
      <c r="P518" s="12">
        <v>1.98</v>
      </c>
      <c r="Q518" s="12">
        <v>54.98</v>
      </c>
      <c r="R518" s="12">
        <v>2.93</v>
      </c>
      <c r="S518" s="12">
        <v>22.3</v>
      </c>
      <c r="T518" s="12">
        <v>9.99</v>
      </c>
      <c r="U518" s="12">
        <v>5.38</v>
      </c>
      <c r="V518" s="12">
        <v>44.48</v>
      </c>
      <c r="W518" s="12">
        <v>281.61</v>
      </c>
      <c r="X518" s="12">
        <v>234.72</v>
      </c>
      <c r="Y518" s="12">
        <v>120.84</v>
      </c>
      <c r="AA518" s="17">
        <f>MAX($B$518:$Y$518)</f>
        <v>281.61</v>
      </c>
      <c r="AB518" s="17">
        <f>MIN($B$518:$Y$518)</f>
        <v>0</v>
      </c>
      <c r="AC518" s="17">
        <f>AVERAGE($B$518:$Y$518)</f>
        <v>86.7625</v>
      </c>
    </row>
    <row r="519" spans="1:29">
      <c r="A519" s="10">
        <v>45809</v>
      </c>
      <c r="B519" s="12">
        <v>85.96</v>
      </c>
      <c r="C519" s="12">
        <v>88.05</v>
      </c>
      <c r="D519" s="12">
        <v>146.25</v>
      </c>
      <c r="E519" s="12">
        <v>57.5</v>
      </c>
      <c r="F519" s="12">
        <v>20</v>
      </c>
      <c r="G519" s="12">
        <v>20</v>
      </c>
      <c r="H519" s="12">
        <v>36.25</v>
      </c>
      <c r="I519" s="12">
        <v>1.04</v>
      </c>
      <c r="J519" s="12">
        <v>1.25</v>
      </c>
      <c r="K519" s="12">
        <v>0</v>
      </c>
      <c r="L519" s="12">
        <v>5.14</v>
      </c>
      <c r="M519" s="12">
        <v>126.48</v>
      </c>
      <c r="N519" s="12">
        <v>171.87</v>
      </c>
      <c r="O519" s="12">
        <v>449.54</v>
      </c>
      <c r="P519" s="12">
        <v>113.8</v>
      </c>
      <c r="Q519" s="12">
        <v>216.1</v>
      </c>
      <c r="R519" s="12">
        <v>268.22</v>
      </c>
      <c r="S519" s="12">
        <v>292.65</v>
      </c>
      <c r="T519" s="12">
        <v>241.59</v>
      </c>
      <c r="U519" s="12">
        <v>333.34</v>
      </c>
      <c r="V519" s="12">
        <v>350.84</v>
      </c>
      <c r="W519" s="12">
        <v>377.91</v>
      </c>
      <c r="X519" s="12">
        <v>347.59</v>
      </c>
      <c r="Y519" s="12">
        <v>300.45</v>
      </c>
      <c r="AA519" s="17">
        <f>MAX($B$519:$Y$519)</f>
        <v>449.54</v>
      </c>
      <c r="AB519" s="17">
        <f>MIN($B$519:$Y$519)</f>
        <v>0</v>
      </c>
      <c r="AC519" s="17">
        <f>AVERAGE($B$519:$Y$519)</f>
        <v>168.825833333333</v>
      </c>
    </row>
    <row r="520" spans="1:29">
      <c r="A520" s="10">
        <v>45810</v>
      </c>
      <c r="B520" s="12">
        <v>496.67</v>
      </c>
      <c r="C520" s="12">
        <v>335.33</v>
      </c>
      <c r="D520" s="12">
        <v>319.02</v>
      </c>
      <c r="E520" s="12">
        <v>302.47</v>
      </c>
      <c r="F520" s="12">
        <v>296.21</v>
      </c>
      <c r="G520" s="12">
        <v>292.77</v>
      </c>
      <c r="H520" s="12">
        <v>313.25</v>
      </c>
      <c r="I520" s="12">
        <v>289.33</v>
      </c>
      <c r="J520" s="12">
        <v>340.44</v>
      </c>
      <c r="K520" s="12">
        <v>874.53</v>
      </c>
      <c r="L520" s="12">
        <v>489.16</v>
      </c>
      <c r="M520" s="12">
        <v>616.89</v>
      </c>
      <c r="N520" s="12">
        <v>297.76</v>
      </c>
      <c r="O520" s="12">
        <v>559.96</v>
      </c>
      <c r="P520" s="12">
        <v>681.33</v>
      </c>
      <c r="Q520" s="12">
        <v>1003.9</v>
      </c>
      <c r="R520" s="12">
        <v>1063.01</v>
      </c>
      <c r="S520" s="12">
        <v>756.59</v>
      </c>
      <c r="T520" s="12">
        <v>594.22</v>
      </c>
      <c r="U520" s="12">
        <v>1118.91</v>
      </c>
      <c r="V520" s="12">
        <v>1163.4</v>
      </c>
      <c r="W520" s="12">
        <v>803.75</v>
      </c>
      <c r="X520" s="12">
        <v>656.88</v>
      </c>
      <c r="Y520" s="12">
        <v>269.1</v>
      </c>
      <c r="AA520" s="17">
        <f>MAX($B$520:$Y$520)</f>
        <v>1163.4</v>
      </c>
      <c r="AB520" s="17">
        <f>MIN($B$520:$Y$520)</f>
        <v>269.1</v>
      </c>
      <c r="AC520" s="17">
        <f>AVERAGE($B$520:$Y$520)</f>
        <v>580.62</v>
      </c>
    </row>
    <row r="521" spans="1:29">
      <c r="A521" s="10">
        <v>45811</v>
      </c>
      <c r="B521" s="12">
        <v>292.28</v>
      </c>
      <c r="C521" s="12">
        <v>305.98</v>
      </c>
      <c r="D521" s="12">
        <v>332.73</v>
      </c>
      <c r="E521" s="12">
        <v>321.8</v>
      </c>
      <c r="F521" s="12">
        <v>286.97</v>
      </c>
      <c r="G521" s="12">
        <v>265.65</v>
      </c>
      <c r="H521" s="12">
        <v>263.06</v>
      </c>
      <c r="I521" s="12">
        <v>253.56</v>
      </c>
      <c r="J521" s="12">
        <v>320.76</v>
      </c>
      <c r="K521" s="12">
        <v>286.54</v>
      </c>
      <c r="L521" s="12">
        <v>247.44</v>
      </c>
      <c r="M521" s="12">
        <v>297.7</v>
      </c>
      <c r="N521" s="12">
        <v>182.6</v>
      </c>
      <c r="O521" s="12">
        <v>210.64</v>
      </c>
      <c r="P521" s="12">
        <v>263.98</v>
      </c>
      <c r="Q521" s="12">
        <v>273.49</v>
      </c>
      <c r="R521" s="12">
        <v>295.13</v>
      </c>
      <c r="S521" s="12">
        <v>252.99</v>
      </c>
      <c r="T521" s="12">
        <v>269.45</v>
      </c>
      <c r="U521" s="12">
        <v>289.52</v>
      </c>
      <c r="V521" s="12">
        <v>287.65</v>
      </c>
      <c r="W521" s="12">
        <v>285.38</v>
      </c>
      <c r="X521" s="12">
        <v>233.67</v>
      </c>
      <c r="Y521" s="12">
        <v>250</v>
      </c>
      <c r="AA521" s="17">
        <f>MAX($B$521:$Y$521)</f>
        <v>332.73</v>
      </c>
      <c r="AB521" s="17">
        <f>MIN($B$521:$Y$521)</f>
        <v>182.6</v>
      </c>
      <c r="AC521" s="17">
        <f>AVERAGE($B$521:$Y$521)</f>
        <v>273.707083333333</v>
      </c>
    </row>
    <row r="522" spans="1:29">
      <c r="A522" s="10">
        <v>45812</v>
      </c>
      <c r="B522" s="12">
        <v>294.72</v>
      </c>
      <c r="C522" s="12">
        <v>281.5</v>
      </c>
      <c r="D522" s="12">
        <v>287.85</v>
      </c>
      <c r="E522" s="12">
        <v>279.58</v>
      </c>
      <c r="F522" s="12">
        <v>273.66</v>
      </c>
      <c r="G522" s="12">
        <v>273.76</v>
      </c>
      <c r="H522" s="12">
        <v>270.41</v>
      </c>
      <c r="I522" s="12">
        <v>260.7</v>
      </c>
      <c r="J522" s="12">
        <v>296.7</v>
      </c>
      <c r="K522" s="12">
        <v>240.2</v>
      </c>
      <c r="L522" s="12">
        <v>241.22</v>
      </c>
      <c r="M522" s="12">
        <v>272.34</v>
      </c>
      <c r="N522" s="12">
        <v>275.28</v>
      </c>
      <c r="O522" s="12">
        <v>319.02</v>
      </c>
      <c r="P522" s="12">
        <v>312.94</v>
      </c>
      <c r="Q522" s="12">
        <v>282.82</v>
      </c>
      <c r="R522" s="12">
        <v>279.21</v>
      </c>
      <c r="S522" s="12">
        <v>222.24</v>
      </c>
      <c r="T522" s="12">
        <v>253.06</v>
      </c>
      <c r="U522" s="12">
        <v>274.51</v>
      </c>
      <c r="V522" s="12">
        <v>280.56</v>
      </c>
      <c r="W522" s="12">
        <v>279.53</v>
      </c>
      <c r="X522" s="12">
        <v>271.53</v>
      </c>
      <c r="Y522" s="12">
        <v>261.73</v>
      </c>
      <c r="AA522" s="17">
        <f>MAX($B$522:$Y$522)</f>
        <v>319.02</v>
      </c>
      <c r="AB522" s="17">
        <f>MIN($B$522:$Y$522)</f>
        <v>222.24</v>
      </c>
      <c r="AC522" s="17">
        <f>AVERAGE($B$522:$Y$522)</f>
        <v>274.377916666667</v>
      </c>
    </row>
    <row r="523" spans="1:29">
      <c r="A523" s="10">
        <v>45813</v>
      </c>
      <c r="B523" s="12">
        <v>267.07</v>
      </c>
      <c r="C523" s="12">
        <v>265.39</v>
      </c>
      <c r="D523" s="12">
        <v>266.79</v>
      </c>
      <c r="E523" s="12">
        <v>257.64</v>
      </c>
      <c r="F523" s="12">
        <v>247.31</v>
      </c>
      <c r="G523" s="12">
        <v>240.08</v>
      </c>
      <c r="H523" s="12">
        <v>252.53</v>
      </c>
      <c r="I523" s="12">
        <v>250.3</v>
      </c>
      <c r="J523" s="12">
        <v>276.53</v>
      </c>
      <c r="K523" s="12">
        <v>232.24</v>
      </c>
      <c r="L523" s="12">
        <v>156.91</v>
      </c>
      <c r="M523" s="12">
        <v>237.33</v>
      </c>
      <c r="N523" s="12">
        <v>102.05</v>
      </c>
      <c r="O523" s="12">
        <v>239.7</v>
      </c>
      <c r="P523" s="12">
        <v>156.3</v>
      </c>
      <c r="Q523" s="12">
        <v>259.13</v>
      </c>
      <c r="R523" s="12">
        <v>298.14</v>
      </c>
      <c r="S523" s="12">
        <v>286.1</v>
      </c>
      <c r="T523" s="12">
        <v>274.29</v>
      </c>
      <c r="U523" s="12">
        <v>314.33</v>
      </c>
      <c r="V523" s="12">
        <v>300.99</v>
      </c>
      <c r="W523" s="12">
        <v>291.61</v>
      </c>
      <c r="X523" s="12">
        <v>272.55</v>
      </c>
      <c r="Y523" s="12">
        <v>261.28</v>
      </c>
      <c r="AA523" s="17">
        <f>MAX($B$523:$Y$523)</f>
        <v>314.33</v>
      </c>
      <c r="AB523" s="17">
        <f>MIN($B$523:$Y$523)</f>
        <v>102.05</v>
      </c>
      <c r="AC523" s="17">
        <f>AVERAGE($B$523:$Y$523)</f>
        <v>250.274583333333</v>
      </c>
    </row>
    <row r="524" spans="1:29">
      <c r="A524" s="10">
        <v>45814</v>
      </c>
      <c r="B524" s="12">
        <v>265.39</v>
      </c>
      <c r="C524" s="12">
        <v>265.2</v>
      </c>
      <c r="D524" s="12">
        <v>266.37</v>
      </c>
      <c r="E524" s="12">
        <v>261.17</v>
      </c>
      <c r="F524" s="12">
        <v>241.28</v>
      </c>
      <c r="G524" s="12">
        <v>247.53</v>
      </c>
      <c r="H524" s="12">
        <v>252.1</v>
      </c>
      <c r="I524" s="12">
        <v>245.71</v>
      </c>
      <c r="J524" s="12">
        <v>260.78</v>
      </c>
      <c r="K524" s="12">
        <v>254.39</v>
      </c>
      <c r="L524" s="12">
        <v>263.7</v>
      </c>
      <c r="M524" s="12">
        <v>292.11</v>
      </c>
      <c r="N524" s="12">
        <v>219.34</v>
      </c>
      <c r="O524" s="12">
        <v>281.57</v>
      </c>
      <c r="P524" s="12">
        <v>289.25</v>
      </c>
      <c r="Q524" s="12">
        <v>315.79</v>
      </c>
      <c r="R524" s="12">
        <v>338.4</v>
      </c>
      <c r="S524" s="12">
        <v>368</v>
      </c>
      <c r="T524" s="12">
        <v>315.7</v>
      </c>
      <c r="U524" s="12">
        <v>486.89</v>
      </c>
      <c r="V524" s="12">
        <v>544.18</v>
      </c>
      <c r="W524" s="12">
        <v>391.1</v>
      </c>
      <c r="X524" s="12">
        <v>322.36</v>
      </c>
      <c r="Y524" s="12">
        <v>301.75</v>
      </c>
      <c r="AA524" s="17">
        <f>MAX($B$524:$Y$524)</f>
        <v>544.18</v>
      </c>
      <c r="AB524" s="17">
        <f>MIN($B$524:$Y$524)</f>
        <v>219.34</v>
      </c>
      <c r="AC524" s="17">
        <f>AVERAGE($B$524:$Y$524)</f>
        <v>303.7525</v>
      </c>
    </row>
    <row r="525" spans="1:29">
      <c r="A525" s="10">
        <v>45815</v>
      </c>
      <c r="B525" s="12">
        <v>427.56</v>
      </c>
      <c r="C525" s="12">
        <v>317.72</v>
      </c>
      <c r="D525" s="12">
        <v>301.05</v>
      </c>
      <c r="E525" s="12">
        <v>293.05</v>
      </c>
      <c r="F525" s="12">
        <v>276.45</v>
      </c>
      <c r="G525" s="12">
        <v>272.07</v>
      </c>
      <c r="H525" s="12">
        <v>276.73</v>
      </c>
      <c r="I525" s="12">
        <v>260.37</v>
      </c>
      <c r="J525" s="12">
        <v>247.8</v>
      </c>
      <c r="K525" s="12">
        <v>243.76</v>
      </c>
      <c r="L525" s="12">
        <v>225.89</v>
      </c>
      <c r="M525" s="12">
        <v>255.86</v>
      </c>
      <c r="N525" s="12">
        <v>185.98</v>
      </c>
      <c r="O525" s="12">
        <v>361.62</v>
      </c>
      <c r="P525" s="12">
        <v>310.83</v>
      </c>
      <c r="Q525" s="12">
        <v>266.31</v>
      </c>
      <c r="R525" s="12">
        <v>529.12</v>
      </c>
      <c r="S525" s="12">
        <v>484.59</v>
      </c>
      <c r="T525" s="12">
        <v>551.81</v>
      </c>
      <c r="U525" s="12">
        <v>580.91</v>
      </c>
      <c r="V525" s="12">
        <v>580.9</v>
      </c>
      <c r="W525" s="12">
        <v>798.9</v>
      </c>
      <c r="X525" s="12">
        <v>604.25</v>
      </c>
      <c r="Y525" s="12">
        <v>341.42</v>
      </c>
      <c r="AA525" s="17">
        <f>MAX($B$525:$Y$525)</f>
        <v>798.9</v>
      </c>
      <c r="AB525" s="17">
        <f>MIN($B$525:$Y$525)</f>
        <v>185.98</v>
      </c>
      <c r="AC525" s="17">
        <f>AVERAGE($B$525:$Y$525)</f>
        <v>374.789583333333</v>
      </c>
    </row>
    <row r="526" spans="1:29">
      <c r="A526" s="10">
        <v>45816</v>
      </c>
      <c r="B526" s="12">
        <v>509.85</v>
      </c>
      <c r="C526" s="12">
        <v>677.91</v>
      </c>
      <c r="D526" s="12">
        <v>891.58</v>
      </c>
      <c r="E526" s="12">
        <v>972.13</v>
      </c>
      <c r="F526" s="12">
        <v>541.31</v>
      </c>
      <c r="G526" s="12">
        <v>346.09</v>
      </c>
      <c r="H526" s="12">
        <v>321.26</v>
      </c>
      <c r="I526" s="12">
        <v>271.98</v>
      </c>
      <c r="J526" s="12">
        <v>239.39</v>
      </c>
      <c r="K526" s="12">
        <v>239.86</v>
      </c>
      <c r="L526" s="12">
        <v>189.63</v>
      </c>
      <c r="M526" s="12">
        <v>236.46</v>
      </c>
      <c r="N526" s="12">
        <v>191.54</v>
      </c>
      <c r="O526" s="12">
        <v>305.38</v>
      </c>
      <c r="P526" s="12">
        <v>287.54</v>
      </c>
      <c r="Q526" s="12">
        <v>291.46</v>
      </c>
      <c r="R526" s="12">
        <v>338.24</v>
      </c>
      <c r="S526" s="12">
        <v>429.25</v>
      </c>
      <c r="T526" s="12">
        <v>426.01</v>
      </c>
      <c r="U526" s="12">
        <v>483.54</v>
      </c>
      <c r="V526" s="12">
        <v>678.9</v>
      </c>
      <c r="W526" s="12">
        <v>1019.45</v>
      </c>
      <c r="X526" s="12">
        <v>1071.21</v>
      </c>
      <c r="Y526" s="12">
        <v>474.62</v>
      </c>
      <c r="AA526" s="17">
        <f>MAX($B$526:$Y$526)</f>
        <v>1071.21</v>
      </c>
      <c r="AB526" s="17">
        <f>MIN($B$526:$Y$526)</f>
        <v>189.63</v>
      </c>
      <c r="AC526" s="17">
        <f>AVERAGE($B$526:$Y$526)</f>
        <v>476.44125</v>
      </c>
    </row>
    <row r="527" spans="1:29">
      <c r="A527" s="10">
        <v>45817</v>
      </c>
      <c r="B527" s="12">
        <v>417.07</v>
      </c>
      <c r="C527" s="12">
        <v>510.12</v>
      </c>
      <c r="D527" s="12">
        <v>648.11</v>
      </c>
      <c r="E527" s="12">
        <v>421.41</v>
      </c>
      <c r="F527" s="12">
        <v>336.28</v>
      </c>
      <c r="G527" s="12">
        <v>320.73</v>
      </c>
      <c r="H527" s="12">
        <v>321.48</v>
      </c>
      <c r="I527" s="12">
        <v>280.69</v>
      </c>
      <c r="J527" s="12">
        <v>344.62</v>
      </c>
      <c r="K527" s="12">
        <v>359.01</v>
      </c>
      <c r="L527" s="12">
        <v>305.91</v>
      </c>
      <c r="M527" s="12">
        <v>307.12</v>
      </c>
      <c r="N527" s="12">
        <v>258.13</v>
      </c>
      <c r="O527" s="12">
        <v>308.12</v>
      </c>
      <c r="P527" s="12">
        <v>311.76</v>
      </c>
      <c r="Q527" s="12">
        <v>289.94</v>
      </c>
      <c r="R527" s="12">
        <v>312</v>
      </c>
      <c r="S527" s="12">
        <v>334.3</v>
      </c>
      <c r="T527" s="12">
        <v>330.22</v>
      </c>
      <c r="U527" s="12">
        <v>441.73</v>
      </c>
      <c r="V527" s="12">
        <v>522.19</v>
      </c>
      <c r="W527" s="12">
        <v>567.13</v>
      </c>
      <c r="X527" s="12">
        <v>482.14</v>
      </c>
      <c r="Y527" s="12">
        <v>335.7</v>
      </c>
      <c r="AA527" s="17">
        <f>MAX($B$527:$Y$527)</f>
        <v>648.11</v>
      </c>
      <c r="AB527" s="17">
        <f>MIN($B$527:$Y$527)</f>
        <v>258.13</v>
      </c>
      <c r="AC527" s="17">
        <f>AVERAGE($B$527:$Y$527)</f>
        <v>377.74625</v>
      </c>
    </row>
    <row r="528" spans="1:29">
      <c r="A528" s="10">
        <v>45818</v>
      </c>
      <c r="B528" s="12">
        <v>516.45</v>
      </c>
      <c r="C528" s="12">
        <v>561.84</v>
      </c>
      <c r="D528" s="12">
        <v>971.24</v>
      </c>
      <c r="E528" s="12">
        <v>678.84</v>
      </c>
      <c r="F528" s="12">
        <v>496.31</v>
      </c>
      <c r="G528" s="12">
        <v>415.2</v>
      </c>
      <c r="H528" s="12">
        <v>351.18</v>
      </c>
      <c r="I528" s="12">
        <v>269.28</v>
      </c>
      <c r="J528" s="12">
        <v>353.86</v>
      </c>
      <c r="K528" s="12">
        <v>347.09</v>
      </c>
      <c r="L528" s="12">
        <v>287.75</v>
      </c>
      <c r="M528" s="12">
        <v>263.45</v>
      </c>
      <c r="N528" s="12">
        <v>266.17</v>
      </c>
      <c r="O528" s="12">
        <v>304.5</v>
      </c>
      <c r="P528" s="12">
        <v>296.88</v>
      </c>
      <c r="Q528" s="12">
        <v>307.62</v>
      </c>
      <c r="R528" s="12">
        <v>329</v>
      </c>
      <c r="S528" s="12">
        <v>359.64</v>
      </c>
      <c r="T528" s="12">
        <v>382.95</v>
      </c>
      <c r="U528" s="12">
        <v>465.88</v>
      </c>
      <c r="V528" s="12">
        <v>443.54</v>
      </c>
      <c r="W528" s="12">
        <v>392.43</v>
      </c>
      <c r="X528" s="12">
        <v>396.97</v>
      </c>
      <c r="Y528" s="12">
        <v>287.27</v>
      </c>
      <c r="AA528" s="17">
        <f>MAX($B$528:$Y$528)</f>
        <v>971.24</v>
      </c>
      <c r="AB528" s="17">
        <f>MIN($B$528:$Y$528)</f>
        <v>263.45</v>
      </c>
      <c r="AC528" s="17">
        <f>AVERAGE($B$528:$Y$528)</f>
        <v>406.055833333333</v>
      </c>
    </row>
    <row r="529" spans="1:29">
      <c r="A529" s="10">
        <v>45819</v>
      </c>
      <c r="B529" s="12">
        <v>414.38</v>
      </c>
      <c r="C529" s="12">
        <v>290.6</v>
      </c>
      <c r="D529" s="12">
        <v>303.51</v>
      </c>
      <c r="E529" s="12">
        <v>305.61</v>
      </c>
      <c r="F529" s="12">
        <v>291.09</v>
      </c>
      <c r="G529" s="12">
        <v>266.46</v>
      </c>
      <c r="H529" s="12">
        <v>258.74</v>
      </c>
      <c r="I529" s="12">
        <v>176.6</v>
      </c>
      <c r="J529" s="12">
        <v>323.67</v>
      </c>
      <c r="K529" s="12">
        <v>437.43</v>
      </c>
      <c r="L529" s="12">
        <v>572.16</v>
      </c>
      <c r="M529" s="12">
        <v>473.36</v>
      </c>
      <c r="N529" s="12">
        <v>518.2</v>
      </c>
      <c r="O529" s="12">
        <v>666.32</v>
      </c>
      <c r="P529" s="12">
        <v>464.64</v>
      </c>
      <c r="Q529" s="12">
        <v>399.12</v>
      </c>
      <c r="R529" s="12">
        <v>403.97</v>
      </c>
      <c r="S529" s="12">
        <v>300.1</v>
      </c>
      <c r="T529" s="12">
        <v>434.97</v>
      </c>
      <c r="U529" s="12">
        <v>478.97</v>
      </c>
      <c r="V529" s="12">
        <v>388.24</v>
      </c>
      <c r="W529" s="12">
        <v>399.22</v>
      </c>
      <c r="X529" s="12">
        <v>310.95</v>
      </c>
      <c r="Y529" s="12">
        <v>244.36</v>
      </c>
      <c r="AA529" s="17">
        <f>MAX($B$529:$Y$529)</f>
        <v>666.32</v>
      </c>
      <c r="AB529" s="17">
        <f>MIN($B$529:$Y$529)</f>
        <v>176.6</v>
      </c>
      <c r="AC529" s="17">
        <f>AVERAGE($B$529:$Y$529)</f>
        <v>380.11125</v>
      </c>
    </row>
    <row r="530" spans="1:29">
      <c r="A530" s="10">
        <v>45820</v>
      </c>
      <c r="B530" s="12">
        <v>278.54</v>
      </c>
      <c r="C530" s="12">
        <v>266.14</v>
      </c>
      <c r="D530" s="12">
        <v>253.83</v>
      </c>
      <c r="E530" s="12">
        <v>240.72</v>
      </c>
      <c r="F530" s="12">
        <v>226.01</v>
      </c>
      <c r="G530" s="12">
        <v>221</v>
      </c>
      <c r="H530" s="12">
        <v>228.8</v>
      </c>
      <c r="I530" s="12">
        <v>93.09</v>
      </c>
      <c r="J530" s="12">
        <v>342.87</v>
      </c>
      <c r="K530" s="12">
        <v>392.31</v>
      </c>
      <c r="L530" s="12">
        <v>316.76</v>
      </c>
      <c r="M530" s="12">
        <v>390.04</v>
      </c>
      <c r="N530" s="12">
        <v>308</v>
      </c>
      <c r="O530" s="12">
        <v>318.64</v>
      </c>
      <c r="P530" s="12">
        <v>339.09</v>
      </c>
      <c r="Q530" s="12">
        <v>408.87</v>
      </c>
      <c r="R530" s="12">
        <v>311.12</v>
      </c>
      <c r="S530" s="12">
        <v>305.04</v>
      </c>
      <c r="T530" s="12">
        <v>375.89</v>
      </c>
      <c r="U530" s="12">
        <v>462.75</v>
      </c>
      <c r="V530" s="12">
        <v>338.76</v>
      </c>
      <c r="W530" s="12">
        <v>356.68</v>
      </c>
      <c r="X530" s="12">
        <v>310.25</v>
      </c>
      <c r="Y530" s="12">
        <v>248.13</v>
      </c>
      <c r="AA530" s="17">
        <f>MAX($B$530:$Y$530)</f>
        <v>462.75</v>
      </c>
      <c r="AB530" s="17">
        <f>MIN($B$530:$Y$530)</f>
        <v>93.09</v>
      </c>
      <c r="AC530" s="17">
        <f>AVERAGE($B$530:$Y$530)</f>
        <v>305.555416666667</v>
      </c>
    </row>
    <row r="531" spans="1:29">
      <c r="A531" s="10">
        <v>45821</v>
      </c>
      <c r="B531" s="12">
        <v>403.49</v>
      </c>
      <c r="C531" s="12">
        <v>300.96</v>
      </c>
      <c r="D531" s="12">
        <v>294.52</v>
      </c>
      <c r="E531" s="12">
        <v>276.78</v>
      </c>
      <c r="F531" s="12">
        <v>267.22</v>
      </c>
      <c r="G531" s="12">
        <v>271.11</v>
      </c>
      <c r="H531" s="12">
        <v>269.85</v>
      </c>
      <c r="I531" s="12">
        <v>259.09</v>
      </c>
      <c r="J531" s="12">
        <v>314.76</v>
      </c>
      <c r="K531" s="12">
        <v>439.68</v>
      </c>
      <c r="L531" s="12">
        <v>431.54</v>
      </c>
      <c r="M531" s="12">
        <v>407.59</v>
      </c>
      <c r="N531" s="12">
        <v>272.83</v>
      </c>
      <c r="O531" s="12">
        <v>316.9</v>
      </c>
      <c r="P531" s="12">
        <v>281.58</v>
      </c>
      <c r="Q531" s="12">
        <v>292.02</v>
      </c>
      <c r="R531" s="12">
        <v>279.87</v>
      </c>
      <c r="S531" s="12">
        <v>278.34</v>
      </c>
      <c r="T531" s="12">
        <v>282.34</v>
      </c>
      <c r="U531" s="12">
        <v>308.51</v>
      </c>
      <c r="V531" s="12">
        <v>294.2</v>
      </c>
      <c r="W531" s="12">
        <v>278.68</v>
      </c>
      <c r="X531" s="12">
        <v>261.64</v>
      </c>
      <c r="Y531" s="12">
        <v>261.29</v>
      </c>
      <c r="AA531" s="17">
        <f>MAX($B$531:$Y$531)</f>
        <v>439.68</v>
      </c>
      <c r="AB531" s="17">
        <f>MIN($B$531:$Y$531)</f>
        <v>259.09</v>
      </c>
      <c r="AC531" s="17">
        <f>AVERAGE($B$531:$Y$531)</f>
        <v>306.032916666667</v>
      </c>
    </row>
    <row r="532" spans="1:29">
      <c r="A532" s="10">
        <v>45822</v>
      </c>
      <c r="B532" s="12">
        <v>298.19</v>
      </c>
      <c r="C532" s="12">
        <v>275.91</v>
      </c>
      <c r="D532" s="12">
        <v>273.22</v>
      </c>
      <c r="E532" s="12">
        <v>256.49</v>
      </c>
      <c r="F532" s="12">
        <v>234.92</v>
      </c>
      <c r="G532" s="12">
        <v>235.99</v>
      </c>
      <c r="H532" s="12">
        <v>233.23</v>
      </c>
      <c r="I532" s="12">
        <v>167.24</v>
      </c>
      <c r="J532" s="12">
        <v>259.47</v>
      </c>
      <c r="K532" s="12">
        <v>247.84</v>
      </c>
      <c r="L532" s="12">
        <v>224.46</v>
      </c>
      <c r="M532" s="12">
        <v>289.42</v>
      </c>
      <c r="N532" s="12">
        <v>225.88</v>
      </c>
      <c r="O532" s="12">
        <v>459.44</v>
      </c>
      <c r="P532" s="12">
        <v>396.77</v>
      </c>
      <c r="Q532" s="12">
        <v>331.13</v>
      </c>
      <c r="R532" s="12">
        <v>363.72</v>
      </c>
      <c r="S532" s="12">
        <v>232.6</v>
      </c>
      <c r="T532" s="12">
        <v>364.99</v>
      </c>
      <c r="U532" s="12">
        <v>454.35</v>
      </c>
      <c r="V532" s="12">
        <v>377.34</v>
      </c>
      <c r="W532" s="12">
        <v>277.35</v>
      </c>
      <c r="X532" s="12">
        <v>260.29</v>
      </c>
      <c r="Y532" s="12">
        <v>230.42</v>
      </c>
      <c r="AA532" s="17">
        <f>MAX($B$532:$Y$532)</f>
        <v>459.44</v>
      </c>
      <c r="AB532" s="17">
        <f>MIN($B$532:$Y$532)</f>
        <v>167.24</v>
      </c>
      <c r="AC532" s="17">
        <f>AVERAGE($B$532:$Y$532)</f>
        <v>290.444166666667</v>
      </c>
    </row>
    <row r="533" spans="1:29">
      <c r="A533" s="10">
        <v>45823</v>
      </c>
      <c r="B533" s="12">
        <v>235</v>
      </c>
      <c r="C533" s="12">
        <v>261.73</v>
      </c>
      <c r="D533" s="12">
        <v>266.92</v>
      </c>
      <c r="E533" s="12">
        <v>240.9</v>
      </c>
      <c r="F533" s="12">
        <v>159.64</v>
      </c>
      <c r="G533" s="12">
        <v>84.31</v>
      </c>
      <c r="H533" s="12">
        <v>69.61</v>
      </c>
      <c r="I533" s="12">
        <v>24.74</v>
      </c>
      <c r="J533" s="12">
        <v>62.97</v>
      </c>
      <c r="K533" s="12">
        <v>62.36</v>
      </c>
      <c r="L533" s="12">
        <v>37.16</v>
      </c>
      <c r="M533" s="12">
        <v>8.49</v>
      </c>
      <c r="N533" s="12">
        <v>24.72</v>
      </c>
      <c r="O533" s="12">
        <v>49.75</v>
      </c>
      <c r="P533" s="12">
        <v>63.94</v>
      </c>
      <c r="Q533" s="12">
        <v>53.19</v>
      </c>
      <c r="R533" s="12">
        <v>68.83</v>
      </c>
      <c r="S533" s="12">
        <v>159.62</v>
      </c>
      <c r="T533" s="12">
        <v>250.85</v>
      </c>
      <c r="U533" s="12">
        <v>266.91</v>
      </c>
      <c r="V533" s="12">
        <v>292.3</v>
      </c>
      <c r="W533" s="12">
        <v>368.48</v>
      </c>
      <c r="X533" s="12">
        <v>306.84</v>
      </c>
      <c r="Y533" s="12">
        <v>286.53</v>
      </c>
      <c r="AA533" s="17">
        <f>MAX($B$533:$Y$533)</f>
        <v>368.48</v>
      </c>
      <c r="AB533" s="17">
        <f>MIN($B$533:$Y$533)</f>
        <v>8.49</v>
      </c>
      <c r="AC533" s="17">
        <f>AVERAGE($B$533:$Y$533)</f>
        <v>154.407916666667</v>
      </c>
    </row>
    <row r="534" spans="1:29">
      <c r="A534" s="10">
        <v>45829</v>
      </c>
      <c r="B534" s="12">
        <v>474.48</v>
      </c>
      <c r="C534" s="12">
        <v>270.38</v>
      </c>
      <c r="D534" s="12">
        <v>259.05</v>
      </c>
      <c r="E534" s="12">
        <v>249.49</v>
      </c>
      <c r="F534" s="12">
        <v>226.6</v>
      </c>
      <c r="G534" s="12">
        <v>227.95</v>
      </c>
      <c r="H534" s="12">
        <v>233.97</v>
      </c>
      <c r="I534" s="12">
        <v>183.91</v>
      </c>
      <c r="J534" s="12">
        <v>267.26</v>
      </c>
      <c r="K534" s="12">
        <v>272.53</v>
      </c>
      <c r="L534" s="12">
        <v>182.54</v>
      </c>
      <c r="M534" s="12">
        <v>289.39</v>
      </c>
      <c r="N534" s="12">
        <v>168.93</v>
      </c>
      <c r="O534" s="12">
        <v>342.34</v>
      </c>
      <c r="P534" s="12">
        <v>281.56</v>
      </c>
      <c r="Q534" s="12">
        <v>269.88</v>
      </c>
      <c r="R534" s="12">
        <v>283.22</v>
      </c>
      <c r="S534" s="12">
        <v>285.52</v>
      </c>
      <c r="T534" s="12">
        <v>273.84</v>
      </c>
      <c r="U534" s="12">
        <v>310.57</v>
      </c>
      <c r="V534" s="12">
        <v>295.55</v>
      </c>
      <c r="W534" s="12">
        <v>286.35</v>
      </c>
      <c r="X534" s="12">
        <v>284.22</v>
      </c>
      <c r="Y534" s="12">
        <v>261.04</v>
      </c>
      <c r="AA534" s="17">
        <f>MAX($B$534:$Y$534)</f>
        <v>474.48</v>
      </c>
      <c r="AB534" s="17">
        <f>MIN($B$534:$Y$534)</f>
        <v>168.93</v>
      </c>
      <c r="AC534" s="17">
        <f>AVERAGE($B$534:$Y$534)</f>
        <v>270.02375</v>
      </c>
    </row>
    <row r="535" spans="1:29">
      <c r="A535" s="10">
        <v>45830</v>
      </c>
      <c r="B535" s="12">
        <v>298.47</v>
      </c>
      <c r="C535" s="12">
        <v>268.01</v>
      </c>
      <c r="D535" s="12">
        <v>253.19</v>
      </c>
      <c r="E535" s="12">
        <v>247.97</v>
      </c>
      <c r="F535" s="12">
        <v>222.69</v>
      </c>
      <c r="G535" s="12">
        <v>215.4</v>
      </c>
      <c r="H535" s="12">
        <v>218.66</v>
      </c>
      <c r="I535" s="12">
        <v>121.21</v>
      </c>
      <c r="J535" s="12">
        <v>37.73</v>
      </c>
      <c r="K535" s="12">
        <v>68.63</v>
      </c>
      <c r="L535" s="12">
        <v>67.75</v>
      </c>
      <c r="M535" s="12">
        <v>69.84</v>
      </c>
      <c r="N535" s="12">
        <v>53.29</v>
      </c>
      <c r="O535" s="12">
        <v>118.36</v>
      </c>
      <c r="P535" s="12">
        <v>46.72</v>
      </c>
      <c r="Q535" s="12">
        <v>55.48</v>
      </c>
      <c r="R535" s="12">
        <v>112.91</v>
      </c>
      <c r="S535" s="12">
        <v>230.41</v>
      </c>
      <c r="T535" s="12">
        <v>221.34</v>
      </c>
      <c r="U535" s="12">
        <v>279.06</v>
      </c>
      <c r="V535" s="12">
        <v>278.47</v>
      </c>
      <c r="W535" s="12">
        <v>280.26</v>
      </c>
      <c r="X535" s="12">
        <v>274.17</v>
      </c>
      <c r="Y535" s="12">
        <v>257.81</v>
      </c>
      <c r="AA535" s="17">
        <f>MAX($B$535:$Y$535)</f>
        <v>298.47</v>
      </c>
      <c r="AB535" s="17">
        <f>MIN($B$535:$Y$535)</f>
        <v>37.73</v>
      </c>
      <c r="AC535" s="17">
        <f>AVERAGE($B$535:$Y$535)</f>
        <v>179.07625</v>
      </c>
    </row>
    <row r="536" spans="1:29">
      <c r="A536" s="10">
        <v>45831</v>
      </c>
      <c r="B536" s="12">
        <v>260.82</v>
      </c>
      <c r="C536" s="12">
        <v>262.86</v>
      </c>
      <c r="D536" s="12">
        <v>257.85</v>
      </c>
      <c r="E536" s="12">
        <v>227.24</v>
      </c>
      <c r="F536" s="12">
        <v>203.85</v>
      </c>
      <c r="G536" s="12">
        <v>167.7</v>
      </c>
      <c r="H536" s="12">
        <v>224.95</v>
      </c>
      <c r="I536" s="12">
        <v>164.85</v>
      </c>
      <c r="J536" s="12">
        <v>262.04</v>
      </c>
      <c r="K536" s="12">
        <v>226.24</v>
      </c>
      <c r="L536" s="12">
        <v>172.2</v>
      </c>
      <c r="M536" s="12">
        <v>279.8</v>
      </c>
      <c r="N536" s="12">
        <v>276.33</v>
      </c>
      <c r="O536" s="12">
        <v>271.07</v>
      </c>
      <c r="P536" s="12">
        <v>216.87</v>
      </c>
      <c r="Q536" s="12">
        <v>302.08</v>
      </c>
      <c r="R536" s="12">
        <v>360.34</v>
      </c>
      <c r="S536" s="12">
        <v>333.75</v>
      </c>
      <c r="T536" s="12">
        <v>343.74</v>
      </c>
      <c r="U536" s="12">
        <v>396.52</v>
      </c>
      <c r="V536" s="12">
        <v>347.67</v>
      </c>
      <c r="W536" s="12">
        <v>324.83</v>
      </c>
      <c r="X536" s="12">
        <v>294.15</v>
      </c>
      <c r="Y536" s="12">
        <v>271.39</v>
      </c>
      <c r="AA536" s="17">
        <f>MAX($B$536:$Y$536)</f>
        <v>396.52</v>
      </c>
      <c r="AB536" s="17">
        <f>MIN($B$536:$Y$536)</f>
        <v>164.85</v>
      </c>
      <c r="AC536" s="17">
        <f>AVERAGE($B$536:$Y$536)</f>
        <v>268.714166666667</v>
      </c>
    </row>
    <row r="537" spans="1:29">
      <c r="A537" s="10">
        <v>45832</v>
      </c>
      <c r="B537" s="12">
        <v>471.74</v>
      </c>
      <c r="C537" s="12">
        <v>306.71</v>
      </c>
      <c r="D537" s="12">
        <v>291.36</v>
      </c>
      <c r="E537" s="12">
        <v>267.93</v>
      </c>
      <c r="F537" s="12">
        <v>260.07</v>
      </c>
      <c r="G537" s="12">
        <v>257.33</v>
      </c>
      <c r="H537" s="12">
        <v>259.27</v>
      </c>
      <c r="I537" s="12">
        <v>222.82</v>
      </c>
      <c r="J537" s="12">
        <v>281.52</v>
      </c>
      <c r="K537" s="12">
        <v>223.85</v>
      </c>
      <c r="L537" s="12">
        <v>226.82</v>
      </c>
      <c r="M537" s="12">
        <v>318.88</v>
      </c>
      <c r="N537" s="12">
        <v>203.33</v>
      </c>
      <c r="O537" s="12">
        <v>287.31</v>
      </c>
      <c r="P537" s="12">
        <v>240.76</v>
      </c>
      <c r="Q537" s="12">
        <v>271.15</v>
      </c>
      <c r="R537" s="12">
        <v>311.33</v>
      </c>
      <c r="S537" s="12">
        <v>310.39</v>
      </c>
      <c r="T537" s="12">
        <v>378.24</v>
      </c>
      <c r="U537" s="12">
        <v>396.96</v>
      </c>
      <c r="V537" s="12">
        <v>356.01</v>
      </c>
      <c r="W537" s="12">
        <v>343.03</v>
      </c>
      <c r="X537" s="12">
        <v>339.64</v>
      </c>
      <c r="Y537" s="12">
        <v>310.12</v>
      </c>
      <c r="AA537" s="17">
        <f>MAX($B$537:$Y$537)</f>
        <v>471.74</v>
      </c>
      <c r="AB537" s="17">
        <f>MIN($B$537:$Y$537)</f>
        <v>203.33</v>
      </c>
      <c r="AC537" s="17">
        <f>AVERAGE($B$537:$Y$537)</f>
        <v>297.357083333333</v>
      </c>
    </row>
    <row r="538" spans="1:29">
      <c r="A538" s="10">
        <v>45833</v>
      </c>
      <c r="B538" s="12">
        <v>490.31</v>
      </c>
      <c r="C538" s="12">
        <v>436.71</v>
      </c>
      <c r="D538" s="12">
        <v>319.85</v>
      </c>
      <c r="E538" s="12">
        <v>284</v>
      </c>
      <c r="F538" s="12">
        <v>268.24</v>
      </c>
      <c r="G538" s="12">
        <v>262.08</v>
      </c>
      <c r="H538" s="12">
        <v>262.19</v>
      </c>
      <c r="I538" s="12">
        <v>216.76</v>
      </c>
      <c r="J538" s="12">
        <v>265.67</v>
      </c>
      <c r="K538" s="12">
        <v>350.7</v>
      </c>
      <c r="L538" s="12">
        <v>429.33</v>
      </c>
      <c r="M538" s="12">
        <v>481.14</v>
      </c>
      <c r="N538" s="12">
        <v>361.46</v>
      </c>
      <c r="O538" s="12">
        <v>493.36</v>
      </c>
      <c r="P538" s="12">
        <v>247.92</v>
      </c>
      <c r="Q538" s="12">
        <v>361.32</v>
      </c>
      <c r="R538" s="12">
        <v>407.03</v>
      </c>
      <c r="S538" s="12">
        <v>316.01</v>
      </c>
      <c r="T538" s="12">
        <v>377.2</v>
      </c>
      <c r="U538" s="12">
        <v>458.3</v>
      </c>
      <c r="V538" s="12">
        <v>489.69</v>
      </c>
      <c r="W538" s="12">
        <v>513.86</v>
      </c>
      <c r="X538" s="12">
        <v>544.53</v>
      </c>
      <c r="Y538" s="12">
        <v>321.59</v>
      </c>
      <c r="AA538" s="17">
        <f>MAX($B$538:$Y$538)</f>
        <v>544.53</v>
      </c>
      <c r="AB538" s="17">
        <f>MIN($B$538:$Y$538)</f>
        <v>216.76</v>
      </c>
      <c r="AC538" s="17">
        <f>AVERAGE($B$538:$Y$538)</f>
        <v>373.302083333333</v>
      </c>
    </row>
    <row r="539" spans="1:29">
      <c r="A539" s="10">
        <v>45834</v>
      </c>
      <c r="B539" s="12">
        <v>611.07</v>
      </c>
      <c r="C539" s="12">
        <v>588.8</v>
      </c>
      <c r="D539" s="12">
        <v>300.38</v>
      </c>
      <c r="E539" s="12">
        <v>273.59</v>
      </c>
      <c r="F539" s="12">
        <v>253.55</v>
      </c>
      <c r="G539" s="12">
        <v>241.22</v>
      </c>
      <c r="H539" s="12">
        <v>237.65</v>
      </c>
      <c r="I539" s="12">
        <v>217.7</v>
      </c>
      <c r="J539" s="12">
        <v>358.44</v>
      </c>
      <c r="K539" s="12">
        <v>383.23</v>
      </c>
      <c r="L539" s="12">
        <v>618.58</v>
      </c>
      <c r="M539" s="12">
        <v>439.08</v>
      </c>
      <c r="N539" s="12">
        <v>280.57</v>
      </c>
      <c r="O539" s="12">
        <v>335.97</v>
      </c>
      <c r="P539" s="12">
        <v>298.62</v>
      </c>
      <c r="Q539" s="12">
        <v>284.36</v>
      </c>
      <c r="R539" s="12">
        <v>294.53</v>
      </c>
      <c r="S539" s="12">
        <v>292.35</v>
      </c>
      <c r="T539" s="12">
        <v>268.53</v>
      </c>
      <c r="U539" s="12">
        <v>357.53</v>
      </c>
      <c r="V539" s="12">
        <v>328.55</v>
      </c>
      <c r="W539" s="12">
        <v>328.67</v>
      </c>
      <c r="X539" s="12">
        <v>305.86</v>
      </c>
      <c r="Y539" s="12">
        <v>264.15</v>
      </c>
      <c r="AA539" s="17">
        <f>MAX($B$539:$Y$539)</f>
        <v>618.58</v>
      </c>
      <c r="AB539" s="17">
        <f>MIN($B$539:$Y$539)</f>
        <v>217.7</v>
      </c>
      <c r="AC539" s="17">
        <f>AVERAGE($B$539:$Y$539)</f>
        <v>340.124166666667</v>
      </c>
    </row>
    <row r="540" spans="1:29">
      <c r="A540" s="10">
        <v>45835</v>
      </c>
      <c r="B540" s="12">
        <v>320.9</v>
      </c>
      <c r="C540" s="12">
        <v>275.59</v>
      </c>
      <c r="D540" s="12">
        <v>253.93</v>
      </c>
      <c r="E540" s="12">
        <v>254.37</v>
      </c>
      <c r="F540" s="12">
        <v>232.36</v>
      </c>
      <c r="G540" s="12">
        <v>227.68</v>
      </c>
      <c r="H540" s="12">
        <v>239.83</v>
      </c>
      <c r="I540" s="12">
        <v>220.31</v>
      </c>
      <c r="J540" s="12">
        <v>275.24</v>
      </c>
      <c r="K540" s="12">
        <v>280.81</v>
      </c>
      <c r="L540" s="12">
        <v>352.28</v>
      </c>
      <c r="M540" s="12">
        <v>329.95</v>
      </c>
      <c r="N540" s="12">
        <v>242.78</v>
      </c>
      <c r="O540" s="12">
        <v>545.49</v>
      </c>
      <c r="P540" s="12">
        <v>312.92</v>
      </c>
      <c r="Q540" s="12">
        <v>317.55</v>
      </c>
      <c r="R540" s="12">
        <v>352.57</v>
      </c>
      <c r="S540" s="12">
        <v>407.82</v>
      </c>
      <c r="T540" s="12">
        <v>316.62</v>
      </c>
      <c r="U540" s="12">
        <v>576.57</v>
      </c>
      <c r="V540" s="12">
        <v>556.16</v>
      </c>
      <c r="W540" s="12">
        <v>570.21</v>
      </c>
      <c r="X540" s="12">
        <v>324.48</v>
      </c>
      <c r="Y540" s="12">
        <v>277.94</v>
      </c>
      <c r="AA540" s="17">
        <f>MAX($B$540:$Y$540)</f>
        <v>576.57</v>
      </c>
      <c r="AB540" s="17">
        <f>MIN($B$540:$Y$540)</f>
        <v>220.31</v>
      </c>
      <c r="AC540" s="17">
        <f>AVERAGE($B$540:$Y$540)</f>
        <v>336.015</v>
      </c>
    </row>
    <row r="541" spans="1:29">
      <c r="A541" s="10">
        <v>45836</v>
      </c>
      <c r="B541" s="12">
        <v>387</v>
      </c>
      <c r="C541" s="12">
        <v>301.53</v>
      </c>
      <c r="D541" s="12">
        <v>279.44</v>
      </c>
      <c r="E541" s="12">
        <v>268.8</v>
      </c>
      <c r="F541" s="12">
        <v>245.62</v>
      </c>
      <c r="G541" s="12">
        <v>241.07</v>
      </c>
      <c r="H541" s="12">
        <v>233.34</v>
      </c>
      <c r="I541" s="12">
        <v>228.88</v>
      </c>
      <c r="J541" s="12">
        <v>213.91</v>
      </c>
      <c r="K541" s="12">
        <v>233.8</v>
      </c>
      <c r="L541" s="12">
        <v>339.22</v>
      </c>
      <c r="M541" s="12">
        <v>340.78</v>
      </c>
      <c r="N541" s="12">
        <v>162.41</v>
      </c>
      <c r="O541" s="12">
        <v>325.12</v>
      </c>
      <c r="P541" s="12">
        <v>324.39</v>
      </c>
      <c r="Q541" s="12">
        <v>323.27</v>
      </c>
      <c r="R541" s="12">
        <v>346.87</v>
      </c>
      <c r="S541" s="12">
        <v>235.66</v>
      </c>
      <c r="T541" s="12">
        <v>256.71</v>
      </c>
      <c r="U541" s="12">
        <v>319.25</v>
      </c>
      <c r="V541" s="12">
        <v>299.35</v>
      </c>
      <c r="W541" s="12">
        <v>282.1</v>
      </c>
      <c r="X541" s="12">
        <v>286.68</v>
      </c>
      <c r="Y541" s="12">
        <v>274.27</v>
      </c>
      <c r="AA541" s="17">
        <f>MAX($B$541:$Y$541)</f>
        <v>387</v>
      </c>
      <c r="AB541" s="17">
        <f>MIN($B$541:$Y$541)</f>
        <v>162.41</v>
      </c>
      <c r="AC541" s="17">
        <f>AVERAGE($B$541:$Y$541)</f>
        <v>281.227916666667</v>
      </c>
    </row>
    <row r="542" spans="1:29">
      <c r="A542" s="10">
        <v>45837</v>
      </c>
      <c r="B542" s="12">
        <v>291.01</v>
      </c>
      <c r="C542" s="12">
        <v>269.46</v>
      </c>
      <c r="D542" s="12">
        <v>235.58</v>
      </c>
      <c r="E542" s="12">
        <v>225.58</v>
      </c>
      <c r="F542" s="12">
        <v>206.7</v>
      </c>
      <c r="G542" s="12">
        <v>201.25</v>
      </c>
      <c r="H542" s="12">
        <v>210.72</v>
      </c>
      <c r="I542" s="12">
        <v>136.3</v>
      </c>
      <c r="J542" s="12">
        <v>31.89</v>
      </c>
      <c r="K542" s="12">
        <v>41.7</v>
      </c>
      <c r="L542" s="12">
        <v>40.14</v>
      </c>
      <c r="M542" s="12">
        <v>93.83</v>
      </c>
      <c r="N542" s="12">
        <v>83.99</v>
      </c>
      <c r="O542" s="12">
        <v>129.36</v>
      </c>
      <c r="P542" s="12">
        <v>156.15</v>
      </c>
      <c r="Q542" s="12">
        <v>190.65</v>
      </c>
      <c r="R542" s="12">
        <v>172.8</v>
      </c>
      <c r="S542" s="12">
        <v>233.03</v>
      </c>
      <c r="T542" s="12">
        <v>251.71</v>
      </c>
      <c r="U542" s="12">
        <v>287.87</v>
      </c>
      <c r="V542" s="12">
        <v>290.68</v>
      </c>
      <c r="W542" s="12">
        <v>297.7</v>
      </c>
      <c r="X542" s="12">
        <v>279.87</v>
      </c>
      <c r="Y542" s="12">
        <v>262.8</v>
      </c>
      <c r="AA542" s="17">
        <f>MAX($B$542:$Y$542)</f>
        <v>297.7</v>
      </c>
      <c r="AB542" s="17">
        <f>MIN($B$542:$Y$542)</f>
        <v>31.89</v>
      </c>
      <c r="AC542" s="17">
        <f>AVERAGE($B$542:$Y$542)</f>
        <v>192.532083333333</v>
      </c>
    </row>
    <row r="543" spans="1:29">
      <c r="A543" s="10">
        <v>45838</v>
      </c>
      <c r="B543" s="12">
        <v>272.56</v>
      </c>
      <c r="C543" s="12">
        <v>230.36</v>
      </c>
      <c r="D543" s="12">
        <v>177.37</v>
      </c>
      <c r="E543" s="12">
        <v>152.28</v>
      </c>
      <c r="F543" s="12">
        <v>154.44</v>
      </c>
      <c r="G543" s="12">
        <v>136.8</v>
      </c>
      <c r="H543" s="12">
        <v>153.54</v>
      </c>
      <c r="I543" s="12">
        <v>159.13</v>
      </c>
      <c r="J543" s="12">
        <v>252.8</v>
      </c>
      <c r="K543" s="12">
        <v>289.88</v>
      </c>
      <c r="L543" s="12">
        <v>276.65</v>
      </c>
      <c r="M543" s="12">
        <v>276.75</v>
      </c>
      <c r="N543" s="12">
        <v>257.65</v>
      </c>
      <c r="O543" s="12">
        <v>265.41</v>
      </c>
      <c r="P543" s="12">
        <v>290.37</v>
      </c>
      <c r="Q543" s="12">
        <v>261.14</v>
      </c>
      <c r="R543" s="12">
        <v>269.12</v>
      </c>
      <c r="S543" s="12">
        <v>257.42</v>
      </c>
      <c r="T543" s="12">
        <v>257.02</v>
      </c>
      <c r="U543" s="12">
        <v>284.3</v>
      </c>
      <c r="V543" s="12">
        <v>295.21</v>
      </c>
      <c r="W543" s="12">
        <v>275.64</v>
      </c>
      <c r="X543" s="12">
        <v>260.44</v>
      </c>
      <c r="Y543" s="12">
        <v>250.48</v>
      </c>
      <c r="AA543" s="17">
        <f>MAX($B$543:$Y$543)</f>
        <v>295.21</v>
      </c>
      <c r="AB543" s="17">
        <f>MIN($B$543:$Y$543)</f>
        <v>136.8</v>
      </c>
      <c r="AC543" s="17">
        <f>AVERAGE($B$543:$Y$543)</f>
        <v>239.865</v>
      </c>
    </row>
    <row r="544" spans="1:29">
      <c r="A544" s="10">
        <v>45839</v>
      </c>
      <c r="B544" s="12">
        <v>266.89</v>
      </c>
      <c r="C544" s="12">
        <v>246.38</v>
      </c>
      <c r="D544" s="12">
        <v>205.27</v>
      </c>
      <c r="E544" s="12">
        <v>211.41</v>
      </c>
      <c r="F544" s="12">
        <v>198.36</v>
      </c>
      <c r="G544" s="12">
        <v>149.69</v>
      </c>
      <c r="H544" s="12">
        <v>195.34</v>
      </c>
      <c r="I544" s="12">
        <v>207.82</v>
      </c>
      <c r="J544" s="12">
        <v>240.72</v>
      </c>
      <c r="K544" s="12">
        <v>260.19</v>
      </c>
      <c r="L544" s="12">
        <v>253.07</v>
      </c>
      <c r="M544" s="12">
        <v>235.77</v>
      </c>
      <c r="N544" s="12">
        <v>198.53</v>
      </c>
      <c r="O544" s="12">
        <v>271.16</v>
      </c>
      <c r="P544" s="12">
        <v>283.96</v>
      </c>
      <c r="Q544" s="12">
        <v>264.57</v>
      </c>
      <c r="R544" s="12">
        <v>262.8</v>
      </c>
      <c r="S544" s="12">
        <v>265.51</v>
      </c>
      <c r="T544" s="12">
        <v>279.4</v>
      </c>
      <c r="U544" s="12">
        <v>432</v>
      </c>
      <c r="V544" s="12">
        <v>398.63</v>
      </c>
      <c r="W544" s="12">
        <v>288.12</v>
      </c>
      <c r="X544" s="12">
        <v>273.32</v>
      </c>
      <c r="Y544" s="12">
        <v>247.89</v>
      </c>
      <c r="AA544" s="17">
        <f>MAX($B$544:$Y$544)</f>
        <v>432</v>
      </c>
      <c r="AB544" s="17">
        <f>MIN($B$544:$Y$544)</f>
        <v>149.69</v>
      </c>
      <c r="AC544" s="17">
        <f>AVERAGE($B$544:$Y$544)</f>
        <v>255.7</v>
      </c>
    </row>
    <row r="545" spans="1:29">
      <c r="A545" s="10">
        <v>45840</v>
      </c>
      <c r="B545" s="12">
        <v>257.25</v>
      </c>
      <c r="C545" s="12">
        <v>226.24</v>
      </c>
      <c r="D545" s="12">
        <v>222.14</v>
      </c>
      <c r="E545" s="12">
        <v>220.87</v>
      </c>
      <c r="F545" s="12">
        <v>198.68</v>
      </c>
      <c r="G545" s="12">
        <v>209.26</v>
      </c>
      <c r="H545" s="12">
        <v>223.8</v>
      </c>
      <c r="I545" s="12">
        <v>202.9</v>
      </c>
      <c r="J545" s="12">
        <v>249.69</v>
      </c>
      <c r="K545" s="12">
        <v>268.34</v>
      </c>
      <c r="L545" s="12">
        <v>346.71</v>
      </c>
      <c r="M545" s="12">
        <v>275.56</v>
      </c>
      <c r="N545" s="12">
        <v>235.44</v>
      </c>
      <c r="O545" s="12">
        <v>287.08</v>
      </c>
      <c r="P545" s="12">
        <v>283.89</v>
      </c>
      <c r="Q545" s="12">
        <v>276.79</v>
      </c>
      <c r="R545" s="12">
        <v>324.3</v>
      </c>
      <c r="S545" s="12">
        <v>361.32</v>
      </c>
      <c r="T545" s="12">
        <v>311.98</v>
      </c>
      <c r="U545" s="12">
        <v>719.79</v>
      </c>
      <c r="V545" s="12">
        <v>846.68</v>
      </c>
      <c r="W545" s="12">
        <v>580.67</v>
      </c>
      <c r="X545" s="12">
        <v>410.84</v>
      </c>
      <c r="Y545" s="12">
        <v>283.33</v>
      </c>
      <c r="AA545" s="17">
        <f>MAX($B$545:$Y$545)</f>
        <v>846.68</v>
      </c>
      <c r="AB545" s="17">
        <f>MIN($B$545:$Y$545)</f>
        <v>198.68</v>
      </c>
      <c r="AC545" s="17">
        <f>AVERAGE($B$545:$Y$545)</f>
        <v>325.98125</v>
      </c>
    </row>
    <row r="546" spans="1:29">
      <c r="A546" s="10">
        <v>45841</v>
      </c>
      <c r="B546" s="12">
        <v>218.63</v>
      </c>
      <c r="C546" s="12">
        <v>267.73</v>
      </c>
      <c r="D546" s="12">
        <v>247.68</v>
      </c>
      <c r="E546" s="12">
        <v>235.4</v>
      </c>
      <c r="F546" s="12">
        <v>228.89</v>
      </c>
      <c r="G546" s="12">
        <v>226.3</v>
      </c>
      <c r="H546" s="12">
        <v>228.49</v>
      </c>
      <c r="I546" s="12">
        <v>208.02</v>
      </c>
      <c r="J546" s="12">
        <v>262.7</v>
      </c>
      <c r="K546" s="12">
        <v>270.49</v>
      </c>
      <c r="L546" s="12">
        <v>285.2</v>
      </c>
      <c r="M546" s="12">
        <v>324.39</v>
      </c>
      <c r="N546" s="12">
        <v>253.81</v>
      </c>
      <c r="O546" s="12">
        <v>284.28</v>
      </c>
      <c r="P546" s="12">
        <v>288.11</v>
      </c>
      <c r="Q546" s="12">
        <v>300.36</v>
      </c>
      <c r="R546" s="12">
        <v>365.23</v>
      </c>
      <c r="S546" s="12">
        <v>507.89</v>
      </c>
      <c r="T546" s="12">
        <v>332.84</v>
      </c>
      <c r="U546" s="12">
        <v>591.93</v>
      </c>
      <c r="V546" s="12">
        <v>518.47</v>
      </c>
      <c r="W546" s="12">
        <v>409.11</v>
      </c>
      <c r="X546" s="12">
        <v>354.83</v>
      </c>
      <c r="Y546" s="12">
        <v>310.73</v>
      </c>
      <c r="AA546" s="17">
        <f>MAX($B$546:$Y$546)</f>
        <v>591.93</v>
      </c>
      <c r="AB546" s="17">
        <f>MIN($B$546:$Y$546)</f>
        <v>208.02</v>
      </c>
      <c r="AC546" s="17">
        <f>AVERAGE($B$546:$Y$546)</f>
        <v>313.39625</v>
      </c>
    </row>
    <row r="547" spans="1:29">
      <c r="A547" s="10">
        <v>45842</v>
      </c>
      <c r="B547" s="12">
        <v>324.53</v>
      </c>
      <c r="C547" s="12">
        <v>278.62</v>
      </c>
      <c r="D547" s="12">
        <v>260.35</v>
      </c>
      <c r="E547" s="12">
        <v>244.94</v>
      </c>
      <c r="F547" s="12">
        <v>239.37</v>
      </c>
      <c r="G547" s="12">
        <v>232.9</v>
      </c>
      <c r="H547" s="12">
        <v>238.33</v>
      </c>
      <c r="I547" s="12">
        <v>218.3</v>
      </c>
      <c r="J547" s="12">
        <v>243.73</v>
      </c>
      <c r="K547" s="12">
        <v>264.42</v>
      </c>
      <c r="L547" s="12">
        <v>276.66</v>
      </c>
      <c r="M547" s="12">
        <v>261.31</v>
      </c>
      <c r="N547" s="12">
        <v>209.39</v>
      </c>
      <c r="O547" s="12">
        <v>257.07</v>
      </c>
      <c r="P547" s="12">
        <v>270.7</v>
      </c>
      <c r="Q547" s="12">
        <v>268.4</v>
      </c>
      <c r="R547" s="12">
        <v>288.77</v>
      </c>
      <c r="S547" s="12">
        <v>304.87</v>
      </c>
      <c r="T547" s="12">
        <v>312.81</v>
      </c>
      <c r="U547" s="12">
        <v>446.4</v>
      </c>
      <c r="V547" s="12">
        <v>453.98</v>
      </c>
      <c r="W547" s="12">
        <v>526.39</v>
      </c>
      <c r="X547" s="12">
        <v>459.58</v>
      </c>
      <c r="Y547" s="12">
        <v>378.04</v>
      </c>
      <c r="AA547" s="17">
        <f>MAX($B$547:$Y$547)</f>
        <v>526.39</v>
      </c>
      <c r="AB547" s="17">
        <f>MIN($B$547:$Y$547)</f>
        <v>209.39</v>
      </c>
      <c r="AC547" s="17">
        <f>AVERAGE($B$547:$Y$547)</f>
        <v>302.494166666667</v>
      </c>
    </row>
    <row r="548" spans="1:29">
      <c r="A548" s="10">
        <v>45843</v>
      </c>
      <c r="B548" s="12">
        <v>443.63</v>
      </c>
      <c r="C548" s="12">
        <v>339.06</v>
      </c>
      <c r="D548" s="12">
        <v>294.78</v>
      </c>
      <c r="E548" s="12">
        <v>275.51</v>
      </c>
      <c r="F548" s="12">
        <v>265.65</v>
      </c>
      <c r="G548" s="12">
        <v>263.41</v>
      </c>
      <c r="H548" s="12">
        <v>260.93</v>
      </c>
      <c r="I548" s="12">
        <v>248.49</v>
      </c>
      <c r="J548" s="12">
        <v>255.75</v>
      </c>
      <c r="K548" s="12">
        <v>264.4</v>
      </c>
      <c r="L548" s="12">
        <v>237.3</v>
      </c>
      <c r="M548" s="12">
        <v>217.01</v>
      </c>
      <c r="N548" s="12">
        <v>214.19</v>
      </c>
      <c r="O548" s="12">
        <v>269.27</v>
      </c>
      <c r="P548" s="12">
        <v>256.67</v>
      </c>
      <c r="Q548" s="12">
        <v>266.85</v>
      </c>
      <c r="R548" s="12">
        <v>286.89</v>
      </c>
      <c r="S548" s="12">
        <v>300.37</v>
      </c>
      <c r="T548" s="12">
        <v>295.02</v>
      </c>
      <c r="U548" s="12">
        <v>318.49</v>
      </c>
      <c r="V548" s="12">
        <v>325.33</v>
      </c>
      <c r="W548" s="12">
        <v>321.11</v>
      </c>
      <c r="X548" s="12">
        <v>354.87</v>
      </c>
      <c r="Y548" s="12">
        <v>313.57</v>
      </c>
      <c r="AA548" s="17">
        <f>MAX($B$548:$Y$548)</f>
        <v>443.63</v>
      </c>
      <c r="AB548" s="17">
        <f>MIN($B$548:$Y$548)</f>
        <v>214.19</v>
      </c>
      <c r="AC548" s="17">
        <f>AVERAGE($B$548:$Y$548)</f>
        <v>287.022916666667</v>
      </c>
    </row>
    <row r="549" spans="1:29">
      <c r="A549" s="10">
        <v>45844</v>
      </c>
      <c r="B549" s="12">
        <v>345</v>
      </c>
      <c r="C549" s="12">
        <v>315.06</v>
      </c>
      <c r="D549" s="12">
        <v>327.57</v>
      </c>
      <c r="E549" s="12">
        <v>278.26</v>
      </c>
      <c r="F549" s="12">
        <v>264.89</v>
      </c>
      <c r="G549" s="12">
        <v>258.4</v>
      </c>
      <c r="H549" s="12">
        <v>259.28</v>
      </c>
      <c r="I549" s="12">
        <v>237.98</v>
      </c>
      <c r="J549" s="12">
        <v>160.17</v>
      </c>
      <c r="K549" s="12">
        <v>155.91</v>
      </c>
      <c r="L549" s="12">
        <v>175.09</v>
      </c>
      <c r="M549" s="12">
        <v>215.19</v>
      </c>
      <c r="N549" s="12">
        <v>197.07</v>
      </c>
      <c r="O549" s="12">
        <v>249.23</v>
      </c>
      <c r="P549" s="12">
        <v>230.6</v>
      </c>
      <c r="Q549" s="12">
        <v>262.32</v>
      </c>
      <c r="R549" s="12">
        <v>315.84</v>
      </c>
      <c r="S549" s="12">
        <v>290.26</v>
      </c>
      <c r="T549" s="12">
        <v>311.46</v>
      </c>
      <c r="U549" s="12">
        <v>343.8</v>
      </c>
      <c r="V549" s="12">
        <v>340.84</v>
      </c>
      <c r="W549" s="12">
        <v>382.96</v>
      </c>
      <c r="X549" s="12">
        <v>502.3</v>
      </c>
      <c r="Y549" s="12">
        <v>374.32</v>
      </c>
      <c r="AA549" s="17">
        <f>MAX($B$549:$Y$549)</f>
        <v>502.3</v>
      </c>
      <c r="AB549" s="17">
        <f>MIN($B$549:$Y$549)</f>
        <v>155.91</v>
      </c>
      <c r="AC549" s="17">
        <f>AVERAGE($B$549:$Y$549)</f>
        <v>283.075</v>
      </c>
    </row>
    <row r="550" spans="1:29">
      <c r="A550" s="10">
        <v>45845</v>
      </c>
      <c r="B550" s="12">
        <v>378.92</v>
      </c>
      <c r="C550" s="12">
        <v>283.57</v>
      </c>
      <c r="D550" s="12">
        <v>257.94</v>
      </c>
      <c r="E550" s="12">
        <v>250.12</v>
      </c>
      <c r="F550" s="12">
        <v>243.69</v>
      </c>
      <c r="G550" s="12">
        <v>237.19</v>
      </c>
      <c r="H550" s="12">
        <v>249.36</v>
      </c>
      <c r="I550" s="12">
        <v>236.36</v>
      </c>
      <c r="J550" s="12">
        <v>272.4</v>
      </c>
      <c r="K550" s="12">
        <v>286.02</v>
      </c>
      <c r="L550" s="12">
        <v>290.15</v>
      </c>
      <c r="M550" s="12">
        <v>274.9</v>
      </c>
      <c r="N550" s="12">
        <v>329.48</v>
      </c>
      <c r="O550" s="12">
        <v>395.96</v>
      </c>
      <c r="P550" s="12">
        <v>376.67</v>
      </c>
      <c r="Q550" s="12">
        <v>378.89</v>
      </c>
      <c r="R550" s="12">
        <v>495.01</v>
      </c>
      <c r="S550" s="12">
        <v>616.79</v>
      </c>
      <c r="T550" s="12">
        <v>556.53</v>
      </c>
      <c r="U550" s="12">
        <v>858.96</v>
      </c>
      <c r="V550" s="12">
        <v>1109.81</v>
      </c>
      <c r="W550" s="12">
        <v>1096.83</v>
      </c>
      <c r="X550" s="12">
        <v>690.15</v>
      </c>
      <c r="Y550" s="12">
        <v>352.44</v>
      </c>
      <c r="AA550" s="17">
        <f>MAX($B$550:$Y$550)</f>
        <v>1109.81</v>
      </c>
      <c r="AB550" s="17">
        <f>MIN($B$550:$Y$550)</f>
        <v>236.36</v>
      </c>
      <c r="AC550" s="17">
        <f>AVERAGE($B$550:$Y$550)</f>
        <v>438.255833333333</v>
      </c>
    </row>
    <row r="551" spans="1:29">
      <c r="A551" s="10">
        <v>45846</v>
      </c>
      <c r="B551" s="12">
        <v>315.12</v>
      </c>
      <c r="C551" s="12">
        <v>292.39</v>
      </c>
      <c r="D551" s="12">
        <v>282.13</v>
      </c>
      <c r="E551" s="12">
        <v>266.61</v>
      </c>
      <c r="F551" s="12">
        <v>259.67</v>
      </c>
      <c r="G551" s="12">
        <v>259.37</v>
      </c>
      <c r="H551" s="12">
        <v>252.56</v>
      </c>
      <c r="I551" s="12">
        <v>243.49</v>
      </c>
      <c r="J551" s="12">
        <v>267.48</v>
      </c>
      <c r="K551" s="12">
        <v>395.87</v>
      </c>
      <c r="L551" s="12">
        <v>271.08</v>
      </c>
      <c r="M551" s="12">
        <v>284.35</v>
      </c>
      <c r="N551" s="12">
        <v>320.3</v>
      </c>
      <c r="O551" s="12">
        <v>553.46</v>
      </c>
      <c r="P551" s="12">
        <v>444.77</v>
      </c>
      <c r="Q551" s="12">
        <v>420.94</v>
      </c>
      <c r="R551" s="12">
        <v>331.94</v>
      </c>
      <c r="S551" s="12">
        <v>332.07</v>
      </c>
      <c r="T551" s="12">
        <v>296.11</v>
      </c>
      <c r="U551" s="12">
        <v>341.89</v>
      </c>
      <c r="V551" s="12">
        <v>314.36</v>
      </c>
      <c r="W551" s="12">
        <v>329.93</v>
      </c>
      <c r="X551" s="12">
        <v>316.34</v>
      </c>
      <c r="Y551" s="12">
        <v>295.25</v>
      </c>
      <c r="AA551" s="17">
        <f>MAX($B$551:$Y$551)</f>
        <v>553.46</v>
      </c>
      <c r="AB551" s="17">
        <f>MIN($B$551:$Y$551)</f>
        <v>243.49</v>
      </c>
      <c r="AC551" s="17">
        <f>AVERAGE($B$551:$Y$551)</f>
        <v>320.311666666667</v>
      </c>
    </row>
    <row r="552" spans="1:29">
      <c r="A552" s="10">
        <v>45847</v>
      </c>
      <c r="B552" s="12">
        <v>313.98</v>
      </c>
      <c r="C552" s="12">
        <v>295.17</v>
      </c>
      <c r="D552" s="12">
        <v>264.66</v>
      </c>
      <c r="E552" s="12">
        <v>250.79</v>
      </c>
      <c r="F552" s="12">
        <v>244.88</v>
      </c>
      <c r="G552" s="12">
        <v>242.41</v>
      </c>
      <c r="H552" s="12">
        <v>243.88</v>
      </c>
      <c r="I552" s="12">
        <v>235.93</v>
      </c>
      <c r="J552" s="12">
        <v>284.65</v>
      </c>
      <c r="K552" s="12">
        <v>316.64</v>
      </c>
      <c r="L552" s="12">
        <v>287.99</v>
      </c>
      <c r="M552" s="12">
        <v>274.27</v>
      </c>
      <c r="N552" s="12">
        <v>217.24</v>
      </c>
      <c r="O552" s="12">
        <v>360.47</v>
      </c>
      <c r="P552" s="12">
        <v>313.52</v>
      </c>
      <c r="Q552" s="12">
        <v>502.21</v>
      </c>
      <c r="R552" s="12">
        <v>606.69</v>
      </c>
      <c r="S552" s="12">
        <v>600.55</v>
      </c>
      <c r="T552" s="12">
        <v>370.75</v>
      </c>
      <c r="U552" s="12">
        <v>440.41</v>
      </c>
      <c r="V552" s="12">
        <v>409.51</v>
      </c>
      <c r="W552" s="12">
        <v>466.8</v>
      </c>
      <c r="X552" s="12">
        <v>402.3</v>
      </c>
      <c r="Y552" s="12">
        <v>321.99</v>
      </c>
      <c r="AA552" s="17">
        <f>MAX($B$552:$Y$552)</f>
        <v>606.69</v>
      </c>
      <c r="AB552" s="17">
        <f>MIN($B$552:$Y$552)</f>
        <v>217.24</v>
      </c>
      <c r="AC552" s="17">
        <f>AVERAGE($B$552:$Y$552)</f>
        <v>344.487083333333</v>
      </c>
    </row>
    <row r="553" spans="1:29">
      <c r="A553" s="10">
        <v>45848</v>
      </c>
      <c r="B553" s="12">
        <v>303.81</v>
      </c>
      <c r="C553" s="12">
        <v>309.86</v>
      </c>
      <c r="D553" s="12">
        <v>291.81</v>
      </c>
      <c r="E553" s="12">
        <v>270.06</v>
      </c>
      <c r="F553" s="12">
        <v>257.71</v>
      </c>
      <c r="G553" s="12">
        <v>263.4</v>
      </c>
      <c r="H553" s="12">
        <v>265.88</v>
      </c>
      <c r="I553" s="12">
        <v>260.55</v>
      </c>
      <c r="J553" s="12">
        <v>287.81</v>
      </c>
      <c r="K553" s="12">
        <v>319.86</v>
      </c>
      <c r="L553" s="12">
        <v>300.7</v>
      </c>
      <c r="M553" s="12">
        <v>322.52</v>
      </c>
      <c r="N553" s="12">
        <v>268.91</v>
      </c>
      <c r="O553" s="12">
        <v>279.31</v>
      </c>
      <c r="P553" s="12">
        <v>284.41</v>
      </c>
      <c r="Q553" s="12">
        <v>271.65</v>
      </c>
      <c r="R553" s="12">
        <v>269.02</v>
      </c>
      <c r="S553" s="12">
        <v>270.96</v>
      </c>
      <c r="T553" s="12">
        <v>265.77</v>
      </c>
      <c r="U553" s="12">
        <v>267.45</v>
      </c>
      <c r="V553" s="12">
        <v>269.53</v>
      </c>
      <c r="W553" s="12">
        <v>261.69</v>
      </c>
      <c r="X553" s="12">
        <v>243.33</v>
      </c>
      <c r="Y553" s="12">
        <v>268.45</v>
      </c>
      <c r="AA553" s="17">
        <f>MAX($B$553:$Y$553)</f>
        <v>322.52</v>
      </c>
      <c r="AB553" s="17">
        <f>MIN($B$553:$Y$553)</f>
        <v>243.33</v>
      </c>
      <c r="AC553" s="17">
        <f>AVERAGE($B$553:$Y$553)</f>
        <v>278.102083333333</v>
      </c>
    </row>
    <row r="554" spans="1:29">
      <c r="A554" s="10">
        <v>45849</v>
      </c>
      <c r="B554" s="12">
        <v>253.89</v>
      </c>
      <c r="C554" s="12">
        <v>254.2</v>
      </c>
      <c r="D554" s="12">
        <v>228.2</v>
      </c>
      <c r="E554" s="12">
        <v>224.9</v>
      </c>
      <c r="F554" s="12">
        <v>227.76</v>
      </c>
      <c r="G554" s="12">
        <v>217.27</v>
      </c>
      <c r="H554" s="12">
        <v>221.23</v>
      </c>
      <c r="I554" s="12">
        <v>222.26</v>
      </c>
      <c r="J554" s="12">
        <v>259.91</v>
      </c>
      <c r="K554" s="12">
        <v>326.52</v>
      </c>
      <c r="L554" s="12">
        <v>282.98</v>
      </c>
      <c r="M554" s="12">
        <v>278.27</v>
      </c>
      <c r="N554" s="12">
        <v>245.65</v>
      </c>
      <c r="O554" s="12">
        <v>320.23</v>
      </c>
      <c r="P554" s="12">
        <v>271.06</v>
      </c>
      <c r="Q554" s="12">
        <v>268.37</v>
      </c>
      <c r="R554" s="12">
        <v>275.66</v>
      </c>
      <c r="S554" s="12">
        <v>281.26</v>
      </c>
      <c r="T554" s="12">
        <v>274.59</v>
      </c>
      <c r="U554" s="12">
        <v>295.84</v>
      </c>
      <c r="V554" s="12">
        <v>312.73</v>
      </c>
      <c r="W554" s="12">
        <v>273.07</v>
      </c>
      <c r="X554" s="12">
        <v>260.52</v>
      </c>
      <c r="Y554" s="12">
        <v>247.49</v>
      </c>
      <c r="AA554" s="17">
        <f>MAX($B$554:$Y$554)</f>
        <v>326.52</v>
      </c>
      <c r="AB554" s="17">
        <f>MIN($B$554:$Y$554)</f>
        <v>217.27</v>
      </c>
      <c r="AC554" s="17">
        <f>AVERAGE($B$554:$Y$554)</f>
        <v>263.494166666667</v>
      </c>
    </row>
    <row r="555" spans="1:29">
      <c r="A555" s="10">
        <v>45850</v>
      </c>
      <c r="B555" s="12">
        <v>279.88</v>
      </c>
      <c r="C555" s="12">
        <v>273.77</v>
      </c>
      <c r="D555" s="12">
        <v>260.56</v>
      </c>
      <c r="E555" s="12">
        <v>240.59</v>
      </c>
      <c r="F555" s="12">
        <v>224.56</v>
      </c>
      <c r="G555" s="12">
        <v>241.71</v>
      </c>
      <c r="H555" s="12">
        <v>224.79</v>
      </c>
      <c r="I555" s="12">
        <v>212.98</v>
      </c>
      <c r="J555" s="12">
        <v>273.02</v>
      </c>
      <c r="K555" s="12">
        <v>278.77</v>
      </c>
      <c r="L555" s="12">
        <v>259.89</v>
      </c>
      <c r="M555" s="12">
        <v>261.21</v>
      </c>
      <c r="N555" s="12">
        <v>222.58</v>
      </c>
      <c r="O555" s="12">
        <v>263.85</v>
      </c>
      <c r="P555" s="12">
        <v>261.34</v>
      </c>
      <c r="Q555" s="12">
        <v>269.94</v>
      </c>
      <c r="R555" s="12">
        <v>282.54</v>
      </c>
      <c r="S555" s="12">
        <v>271.14</v>
      </c>
      <c r="T555" s="12">
        <v>276.02</v>
      </c>
      <c r="U555" s="12">
        <v>289.91</v>
      </c>
      <c r="V555" s="12">
        <v>376.23</v>
      </c>
      <c r="W555" s="12">
        <v>381.34</v>
      </c>
      <c r="X555" s="12">
        <v>356.49</v>
      </c>
      <c r="Y555" s="12">
        <v>305.41</v>
      </c>
      <c r="AA555" s="17">
        <f>MAX($B$555:$Y$555)</f>
        <v>381.34</v>
      </c>
      <c r="AB555" s="17">
        <f>MIN($B$555:$Y$555)</f>
        <v>212.98</v>
      </c>
      <c r="AC555" s="17">
        <f>AVERAGE($B$555:$Y$555)</f>
        <v>274.521666666667</v>
      </c>
    </row>
    <row r="556" spans="1:29">
      <c r="A556" s="10">
        <v>45851</v>
      </c>
      <c r="B556" s="12">
        <v>316.61</v>
      </c>
      <c r="C556" s="12">
        <v>297.24</v>
      </c>
      <c r="D556" s="12">
        <v>269.66</v>
      </c>
      <c r="E556" s="12">
        <v>247.69</v>
      </c>
      <c r="F556" s="12">
        <v>248.72</v>
      </c>
      <c r="G556" s="12">
        <v>243.21</v>
      </c>
      <c r="H556" s="12">
        <v>236.62</v>
      </c>
      <c r="I556" s="12">
        <v>203.89</v>
      </c>
      <c r="J556" s="12">
        <v>170.7</v>
      </c>
      <c r="K556" s="12">
        <v>176.37</v>
      </c>
      <c r="L556" s="12">
        <v>190.33</v>
      </c>
      <c r="M556" s="12">
        <v>200.74</v>
      </c>
      <c r="N556" s="12">
        <v>212.54</v>
      </c>
      <c r="O556" s="12">
        <v>227.59</v>
      </c>
      <c r="P556" s="12">
        <v>231.38</v>
      </c>
      <c r="Q556" s="12">
        <v>224.19</v>
      </c>
      <c r="R556" s="12">
        <v>246.54</v>
      </c>
      <c r="S556" s="12">
        <v>265.48</v>
      </c>
      <c r="T556" s="12">
        <v>268.85</v>
      </c>
      <c r="U556" s="12">
        <v>294.91</v>
      </c>
      <c r="V556" s="12">
        <v>309.46</v>
      </c>
      <c r="W556" s="12">
        <v>328.74</v>
      </c>
      <c r="X556" s="12">
        <v>300.59</v>
      </c>
      <c r="Y556" s="12">
        <v>286.91</v>
      </c>
      <c r="AA556" s="17">
        <f>MAX($B$556:$Y$556)</f>
        <v>328.74</v>
      </c>
      <c r="AB556" s="17">
        <f>MIN($B$556:$Y$556)</f>
        <v>170.7</v>
      </c>
      <c r="AC556" s="17">
        <f>AVERAGE($B$556:$Y$556)</f>
        <v>249.956666666667</v>
      </c>
    </row>
    <row r="557" spans="1:29">
      <c r="A557" s="10">
        <v>45852</v>
      </c>
      <c r="B557" s="12">
        <v>294.63</v>
      </c>
      <c r="C557" s="12">
        <v>279.37</v>
      </c>
      <c r="D557" s="12">
        <v>265.52</v>
      </c>
      <c r="E557" s="12">
        <v>256.52</v>
      </c>
      <c r="F557" s="12">
        <v>250.27</v>
      </c>
      <c r="G557" s="12">
        <v>249.5</v>
      </c>
      <c r="H557" s="12">
        <v>257.35</v>
      </c>
      <c r="I557" s="12">
        <v>260.91</v>
      </c>
      <c r="J557" s="12">
        <v>289.4</v>
      </c>
      <c r="K557" s="12">
        <v>370.15</v>
      </c>
      <c r="L557" s="12">
        <v>277.16</v>
      </c>
      <c r="M557" s="12">
        <v>263.02</v>
      </c>
      <c r="N557" s="12">
        <v>243.69</v>
      </c>
      <c r="O557" s="12">
        <v>285.39</v>
      </c>
      <c r="P557" s="12">
        <v>298.31</v>
      </c>
      <c r="Q557" s="12">
        <v>307.86</v>
      </c>
      <c r="R557" s="12">
        <v>348.9</v>
      </c>
      <c r="S557" s="12">
        <v>453.3</v>
      </c>
      <c r="T557" s="12">
        <v>428.56</v>
      </c>
      <c r="U557" s="12">
        <v>981.31</v>
      </c>
      <c r="V557" s="12">
        <v>1139.76</v>
      </c>
      <c r="W557" s="12">
        <v>1032.86</v>
      </c>
      <c r="X557" s="12">
        <v>677.05</v>
      </c>
      <c r="Y557" s="12">
        <v>325.5</v>
      </c>
      <c r="AA557" s="17">
        <f>MAX($B$557:$Y$557)</f>
        <v>1139.76</v>
      </c>
      <c r="AB557" s="17">
        <f>MIN($B$557:$Y$557)</f>
        <v>243.69</v>
      </c>
      <c r="AC557" s="17">
        <f>AVERAGE($B$557:$Y$557)</f>
        <v>409.845416666667</v>
      </c>
    </row>
    <row r="558" spans="1:29">
      <c r="A558" s="10">
        <v>45853</v>
      </c>
      <c r="B558" s="12">
        <v>312.66</v>
      </c>
      <c r="C558" s="12">
        <v>286.95</v>
      </c>
      <c r="D558" s="12">
        <v>227.63</v>
      </c>
      <c r="E558" s="12">
        <v>185.7</v>
      </c>
      <c r="F558" s="12">
        <v>250.02</v>
      </c>
      <c r="G558" s="12">
        <v>250.55</v>
      </c>
      <c r="H558" s="12">
        <v>252.78</v>
      </c>
      <c r="I558" s="12">
        <v>239.04</v>
      </c>
      <c r="J558" s="12">
        <v>274.88</v>
      </c>
      <c r="K558" s="12">
        <v>278.26</v>
      </c>
      <c r="L558" s="12">
        <v>275.17</v>
      </c>
      <c r="M558" s="12">
        <v>269.81</v>
      </c>
      <c r="N558" s="12">
        <v>247.53</v>
      </c>
      <c r="O558" s="12">
        <v>302.37</v>
      </c>
      <c r="P558" s="12">
        <v>331.84</v>
      </c>
      <c r="Q558" s="12">
        <v>310.73</v>
      </c>
      <c r="R558" s="12">
        <v>243.77</v>
      </c>
      <c r="S558" s="12">
        <v>300.35</v>
      </c>
      <c r="T558" s="12">
        <v>300.36</v>
      </c>
      <c r="U558" s="12">
        <v>353.88</v>
      </c>
      <c r="V558" s="12">
        <v>366.28</v>
      </c>
      <c r="W558" s="12">
        <v>365.76</v>
      </c>
      <c r="X558" s="12">
        <v>346.71</v>
      </c>
      <c r="Y558" s="12">
        <v>293.48</v>
      </c>
      <c r="AA558" s="17">
        <f>MAX($B$558:$Y$558)</f>
        <v>366.28</v>
      </c>
      <c r="AB558" s="17">
        <f>MIN($B$558:$Y$558)</f>
        <v>185.7</v>
      </c>
      <c r="AC558" s="17">
        <f>AVERAGE($B$558:$Y$558)</f>
        <v>286.104583333333</v>
      </c>
    </row>
    <row r="559" spans="1:29">
      <c r="A559" s="10">
        <v>45854</v>
      </c>
      <c r="B559" s="12">
        <v>346.9</v>
      </c>
      <c r="C559" s="12">
        <v>300.45</v>
      </c>
      <c r="D559" s="12">
        <v>277.79</v>
      </c>
      <c r="E559" s="12">
        <v>268.67</v>
      </c>
      <c r="F559" s="12">
        <v>263.31</v>
      </c>
      <c r="G559" s="12">
        <v>255.95</v>
      </c>
      <c r="H559" s="12">
        <v>259.98</v>
      </c>
      <c r="I559" s="12">
        <v>250.76</v>
      </c>
      <c r="J559" s="12">
        <v>281.21</v>
      </c>
      <c r="K559" s="12">
        <v>277.57</v>
      </c>
      <c r="L559" s="12">
        <v>277.35</v>
      </c>
      <c r="M559" s="12">
        <v>268.4</v>
      </c>
      <c r="N559" s="12">
        <v>249.98</v>
      </c>
      <c r="O559" s="12">
        <v>293.18</v>
      </c>
      <c r="P559" s="12">
        <v>275.03</v>
      </c>
      <c r="Q559" s="12">
        <v>274.87</v>
      </c>
      <c r="R559" s="12">
        <v>312.55</v>
      </c>
      <c r="S559" s="12">
        <v>322.51</v>
      </c>
      <c r="T559" s="12">
        <v>357.23</v>
      </c>
      <c r="U559" s="12">
        <v>399.95</v>
      </c>
      <c r="V559" s="12">
        <v>404.49</v>
      </c>
      <c r="W559" s="12">
        <v>484.91</v>
      </c>
      <c r="X559" s="12">
        <v>482.92</v>
      </c>
      <c r="Y559" s="12">
        <v>354.9</v>
      </c>
      <c r="AA559" s="17">
        <f>MAX($B$559:$Y$559)</f>
        <v>484.91</v>
      </c>
      <c r="AB559" s="17">
        <f>MIN($B$559:$Y$559)</f>
        <v>249.98</v>
      </c>
      <c r="AC559" s="17">
        <f>AVERAGE($B$559:$Y$559)</f>
        <v>314.2025</v>
      </c>
    </row>
    <row r="560" spans="1:29">
      <c r="A560" s="10">
        <v>45855</v>
      </c>
      <c r="B560" s="12">
        <v>396.54</v>
      </c>
      <c r="C560" s="12">
        <v>374.3</v>
      </c>
      <c r="D560" s="12">
        <v>399.37</v>
      </c>
      <c r="E560" s="12">
        <v>395.61</v>
      </c>
      <c r="F560" s="12">
        <v>353.6</v>
      </c>
      <c r="G560" s="12">
        <v>344.38</v>
      </c>
      <c r="H560" s="12">
        <v>333.18</v>
      </c>
      <c r="I560" s="12">
        <v>303.12</v>
      </c>
      <c r="J560" s="12">
        <v>311.33</v>
      </c>
      <c r="K560" s="12">
        <v>310.11</v>
      </c>
      <c r="L560" s="12">
        <v>313.12</v>
      </c>
      <c r="M560" s="12">
        <v>304.74</v>
      </c>
      <c r="N560" s="12">
        <v>296.04</v>
      </c>
      <c r="O560" s="12">
        <v>369.79</v>
      </c>
      <c r="P560" s="12">
        <v>337.18</v>
      </c>
      <c r="Q560" s="12">
        <v>297.11</v>
      </c>
      <c r="R560" s="12">
        <v>310.45</v>
      </c>
      <c r="S560" s="12">
        <v>353.52</v>
      </c>
      <c r="T560" s="12">
        <v>349.18</v>
      </c>
      <c r="U560" s="12">
        <v>515.58</v>
      </c>
      <c r="V560" s="12">
        <v>586.72</v>
      </c>
      <c r="W560" s="12">
        <v>891.12</v>
      </c>
      <c r="X560" s="12">
        <v>795.53</v>
      </c>
      <c r="Y560" s="12">
        <v>466.7</v>
      </c>
      <c r="AA560" s="17">
        <f>MAX($B$560:$Y$560)</f>
        <v>891.12</v>
      </c>
      <c r="AB560" s="17">
        <f>MIN($B$560:$Y$560)</f>
        <v>296.04</v>
      </c>
      <c r="AC560" s="17">
        <f>AVERAGE($B$560:$Y$560)</f>
        <v>404.513333333333</v>
      </c>
    </row>
    <row r="561" spans="1:29">
      <c r="A561" s="10">
        <v>45856</v>
      </c>
      <c r="B561" s="12">
        <v>898</v>
      </c>
      <c r="C561" s="12">
        <v>608.51</v>
      </c>
      <c r="D561" s="12">
        <v>835.69</v>
      </c>
      <c r="E561" s="12">
        <v>637.89</v>
      </c>
      <c r="F561" s="12">
        <v>410.01</v>
      </c>
      <c r="G561" s="12">
        <v>398.18</v>
      </c>
      <c r="H561" s="12">
        <v>394.53</v>
      </c>
      <c r="I561" s="12">
        <v>360.51</v>
      </c>
      <c r="J561" s="12">
        <v>433.03</v>
      </c>
      <c r="K561" s="12">
        <v>482.6</v>
      </c>
      <c r="L561" s="12">
        <v>342.05</v>
      </c>
      <c r="M561" s="12">
        <v>333.98</v>
      </c>
      <c r="N561" s="12">
        <v>367.16</v>
      </c>
      <c r="O561" s="12">
        <v>409.95</v>
      </c>
      <c r="P561" s="12">
        <v>240.35</v>
      </c>
      <c r="Q561" s="12">
        <v>283.64</v>
      </c>
      <c r="R561" s="12">
        <v>306.32</v>
      </c>
      <c r="S561" s="12">
        <v>302.86</v>
      </c>
      <c r="T561" s="12">
        <v>296.31</v>
      </c>
      <c r="U561" s="12">
        <v>296.4</v>
      </c>
      <c r="V561" s="12">
        <v>293.13</v>
      </c>
      <c r="W561" s="12">
        <v>283.96</v>
      </c>
      <c r="X561" s="12">
        <v>294</v>
      </c>
      <c r="Y561" s="12">
        <v>292.7</v>
      </c>
      <c r="AA561" s="17">
        <f>MAX($B$561:$Y$561)</f>
        <v>898</v>
      </c>
      <c r="AB561" s="17">
        <f>MIN($B$561:$Y$561)</f>
        <v>240.35</v>
      </c>
      <c r="AC561" s="17">
        <f>AVERAGE($B$561:$Y$561)</f>
        <v>408.406666666667</v>
      </c>
    </row>
    <row r="562" spans="1:29">
      <c r="A562" s="10">
        <v>45857</v>
      </c>
      <c r="B562" s="12">
        <v>312.29</v>
      </c>
      <c r="C562" s="12">
        <v>313.62</v>
      </c>
      <c r="D562" s="12">
        <v>290.78</v>
      </c>
      <c r="E562" s="12">
        <v>287.07</v>
      </c>
      <c r="F562" s="12">
        <v>286.91</v>
      </c>
      <c r="G562" s="12">
        <v>266.98</v>
      </c>
      <c r="H562" s="12">
        <v>267.43</v>
      </c>
      <c r="I562" s="12">
        <v>260.81</v>
      </c>
      <c r="J562" s="12">
        <v>262.37</v>
      </c>
      <c r="K562" s="12">
        <v>246.5</v>
      </c>
      <c r="L562" s="12">
        <v>245.9</v>
      </c>
      <c r="M562" s="12">
        <v>264.03</v>
      </c>
      <c r="N562" s="12">
        <v>228.98</v>
      </c>
      <c r="O562" s="12">
        <v>235.69</v>
      </c>
      <c r="P562" s="12">
        <v>278.32</v>
      </c>
      <c r="Q562" s="12">
        <v>292.68</v>
      </c>
      <c r="R562" s="12">
        <v>284.56</v>
      </c>
      <c r="S562" s="12">
        <v>302.4</v>
      </c>
      <c r="T562" s="12">
        <v>317.52</v>
      </c>
      <c r="U562" s="12">
        <v>335.32</v>
      </c>
      <c r="V562" s="12">
        <v>310.55</v>
      </c>
      <c r="W562" s="12">
        <v>339.4</v>
      </c>
      <c r="X562" s="12">
        <v>343.21</v>
      </c>
      <c r="Y562" s="12">
        <v>328.18</v>
      </c>
      <c r="AA562" s="17">
        <f>MAX($B$562:$Y$562)</f>
        <v>343.21</v>
      </c>
      <c r="AB562" s="17">
        <f>MIN($B$562:$Y$562)</f>
        <v>228.98</v>
      </c>
      <c r="AC562" s="17">
        <f>AVERAGE($B$562:$Y$562)</f>
        <v>287.5625</v>
      </c>
    </row>
    <row r="563" spans="1:29">
      <c r="A563" s="10">
        <v>45858</v>
      </c>
      <c r="B563" s="12">
        <v>481.59</v>
      </c>
      <c r="C563" s="12">
        <v>340.76</v>
      </c>
      <c r="D563" s="12">
        <v>356.35</v>
      </c>
      <c r="E563" s="12">
        <v>318.58</v>
      </c>
      <c r="F563" s="12">
        <v>290.61</v>
      </c>
      <c r="G563" s="12">
        <v>282.19</v>
      </c>
      <c r="H563" s="12">
        <v>280.43</v>
      </c>
      <c r="I563" s="12">
        <v>264.82</v>
      </c>
      <c r="J563" s="12">
        <v>233.66</v>
      </c>
      <c r="K563" s="12">
        <v>226.07</v>
      </c>
      <c r="L563" s="12">
        <v>166.81</v>
      </c>
      <c r="M563" s="12">
        <v>204.39</v>
      </c>
      <c r="N563" s="12">
        <v>138.39</v>
      </c>
      <c r="O563" s="12">
        <v>206.15</v>
      </c>
      <c r="P563" s="12">
        <v>151.1</v>
      </c>
      <c r="Q563" s="12">
        <v>62.58</v>
      </c>
      <c r="R563" s="12">
        <v>97.2</v>
      </c>
      <c r="S563" s="12">
        <v>212.17</v>
      </c>
      <c r="T563" s="12">
        <v>249.78</v>
      </c>
      <c r="U563" s="12">
        <v>241.81</v>
      </c>
      <c r="V563" s="12">
        <v>210.17</v>
      </c>
      <c r="W563" s="12">
        <v>243.4</v>
      </c>
      <c r="X563" s="12">
        <v>249.4</v>
      </c>
      <c r="Y563" s="12">
        <v>227.83</v>
      </c>
      <c r="AA563" s="17">
        <f>MAX($B$563:$Y$563)</f>
        <v>481.59</v>
      </c>
      <c r="AB563" s="17">
        <f>MIN($B$563:$Y$563)</f>
        <v>62.58</v>
      </c>
      <c r="AC563" s="17">
        <f>AVERAGE($B$563:$Y$563)</f>
        <v>239.01</v>
      </c>
    </row>
    <row r="564" spans="1:29">
      <c r="A564" s="10">
        <v>45859</v>
      </c>
      <c r="B564" s="12">
        <v>202.38</v>
      </c>
      <c r="C564" s="12">
        <v>222.84</v>
      </c>
      <c r="D564" s="12">
        <v>189.16</v>
      </c>
      <c r="E564" s="12">
        <v>181.89</v>
      </c>
      <c r="F564" s="12">
        <v>192.04</v>
      </c>
      <c r="G564" s="12">
        <v>208.67</v>
      </c>
      <c r="H564" s="12">
        <v>200.85</v>
      </c>
      <c r="I564" s="12">
        <v>210.28</v>
      </c>
      <c r="J564" s="12">
        <v>260.15</v>
      </c>
      <c r="K564" s="12">
        <v>352.78</v>
      </c>
      <c r="L564" s="12">
        <v>378.61</v>
      </c>
      <c r="M564" s="12">
        <v>313.67</v>
      </c>
      <c r="N564" s="12">
        <v>213.31</v>
      </c>
      <c r="O564" s="12">
        <v>299.06</v>
      </c>
      <c r="P564" s="12">
        <v>323.66</v>
      </c>
      <c r="Q564" s="12">
        <v>315.55</v>
      </c>
      <c r="R564" s="12">
        <v>322.11</v>
      </c>
      <c r="S564" s="12">
        <v>305.16</v>
      </c>
      <c r="T564" s="12">
        <v>284.59</v>
      </c>
      <c r="U564" s="12">
        <v>289.82</v>
      </c>
      <c r="V564" s="12">
        <v>294.92</v>
      </c>
      <c r="W564" s="12">
        <v>273.04</v>
      </c>
      <c r="X564" s="12">
        <v>259.58</v>
      </c>
      <c r="Y564" s="12">
        <v>253.43</v>
      </c>
      <c r="AA564" s="17">
        <f>MAX($B$564:$Y$564)</f>
        <v>378.61</v>
      </c>
      <c r="AB564" s="17">
        <f>MIN($B$564:$Y$564)</f>
        <v>181.89</v>
      </c>
      <c r="AC564" s="17">
        <f>AVERAGE($B$564:$Y$564)</f>
        <v>264.48125</v>
      </c>
    </row>
    <row r="565" spans="1:29">
      <c r="A565" s="10">
        <v>45860</v>
      </c>
      <c r="B565" s="12">
        <v>276.53</v>
      </c>
      <c r="C565" s="12">
        <v>259.48</v>
      </c>
      <c r="D565" s="12">
        <v>258.75</v>
      </c>
      <c r="E565" s="12">
        <v>251.88</v>
      </c>
      <c r="F565" s="12">
        <v>228.63</v>
      </c>
      <c r="G565" s="12">
        <v>225.57</v>
      </c>
      <c r="H565" s="12">
        <v>233.53</v>
      </c>
      <c r="I565" s="12">
        <v>233.6</v>
      </c>
      <c r="J565" s="12">
        <v>283.73</v>
      </c>
      <c r="K565" s="12">
        <v>329.42</v>
      </c>
      <c r="L565" s="12">
        <v>287.69</v>
      </c>
      <c r="M565" s="12">
        <v>278.76</v>
      </c>
      <c r="N565" s="12">
        <v>257.45</v>
      </c>
      <c r="O565" s="12">
        <v>272.82</v>
      </c>
      <c r="P565" s="12">
        <v>269.5</v>
      </c>
      <c r="Q565" s="12">
        <v>275.3</v>
      </c>
      <c r="R565" s="12">
        <v>314.41</v>
      </c>
      <c r="S565" s="12">
        <v>339.2</v>
      </c>
      <c r="T565" s="12">
        <v>268.08</v>
      </c>
      <c r="U565" s="12">
        <v>295.99</v>
      </c>
      <c r="V565" s="12">
        <v>297.21</v>
      </c>
      <c r="W565" s="12">
        <v>278.64</v>
      </c>
      <c r="X565" s="12">
        <v>264.87</v>
      </c>
      <c r="Y565" s="12">
        <v>265.98</v>
      </c>
      <c r="AA565" s="17">
        <f>MAX($B$565:$Y$565)</f>
        <v>339.2</v>
      </c>
      <c r="AB565" s="17">
        <f>MIN($B$565:$Y$565)</f>
        <v>225.57</v>
      </c>
      <c r="AC565" s="17">
        <f>AVERAGE($B$565:$Y$565)</f>
        <v>272.7925</v>
      </c>
    </row>
    <row r="566" spans="1:29">
      <c r="A566" s="10">
        <v>45861</v>
      </c>
      <c r="B566" s="12">
        <v>271.22</v>
      </c>
      <c r="C566" s="12">
        <v>265.71</v>
      </c>
      <c r="D566" s="12">
        <v>261.22</v>
      </c>
      <c r="E566" s="12">
        <v>229.66</v>
      </c>
      <c r="F566" s="12">
        <v>251.65</v>
      </c>
      <c r="G566" s="12">
        <v>256.48</v>
      </c>
      <c r="H566" s="12">
        <v>254.61</v>
      </c>
      <c r="I566" s="12">
        <v>254.2</v>
      </c>
      <c r="J566" s="12">
        <v>302.84</v>
      </c>
      <c r="K566" s="12">
        <v>268.68</v>
      </c>
      <c r="L566" s="12">
        <v>241.86</v>
      </c>
      <c r="M566" s="12">
        <v>250.65</v>
      </c>
      <c r="N566" s="12">
        <v>191.03</v>
      </c>
      <c r="O566" s="12">
        <v>248.06</v>
      </c>
      <c r="P566" s="12">
        <v>230.21</v>
      </c>
      <c r="Q566" s="12">
        <v>234.72</v>
      </c>
      <c r="R566" s="12">
        <v>221.61</v>
      </c>
      <c r="S566" s="12">
        <v>290.36</v>
      </c>
      <c r="T566" s="12">
        <v>312.93</v>
      </c>
      <c r="U566" s="12">
        <v>299.37</v>
      </c>
      <c r="V566" s="12">
        <v>305.93</v>
      </c>
      <c r="W566" s="12">
        <v>297.64</v>
      </c>
      <c r="X566" s="12">
        <v>282.34</v>
      </c>
      <c r="Y566" s="12">
        <v>281.26</v>
      </c>
      <c r="AA566" s="17">
        <f>MAX($B$566:$Y$566)</f>
        <v>312.93</v>
      </c>
      <c r="AB566" s="17">
        <f>MIN($B$566:$Y$566)</f>
        <v>191.03</v>
      </c>
      <c r="AC566" s="17">
        <f>AVERAGE($B$566:$Y$566)</f>
        <v>262.676666666667</v>
      </c>
    </row>
    <row r="567" spans="1:29">
      <c r="A567" s="10">
        <v>45862</v>
      </c>
      <c r="B567" s="12">
        <v>290.33</v>
      </c>
      <c r="C567" s="12">
        <v>288.79</v>
      </c>
      <c r="D567" s="12">
        <v>285.88</v>
      </c>
      <c r="E567" s="12">
        <v>279.69</v>
      </c>
      <c r="F567" s="12">
        <v>273.83</v>
      </c>
      <c r="G567" s="12">
        <v>268.05</v>
      </c>
      <c r="H567" s="12">
        <v>276.27</v>
      </c>
      <c r="I567" s="12">
        <v>275.41</v>
      </c>
      <c r="J567" s="12">
        <v>279.2</v>
      </c>
      <c r="K567" s="12">
        <v>278.82</v>
      </c>
      <c r="L567" s="12">
        <v>223.85</v>
      </c>
      <c r="M567" s="12">
        <v>255.1</v>
      </c>
      <c r="N567" s="12">
        <v>221.77</v>
      </c>
      <c r="O567" s="12">
        <v>278.65</v>
      </c>
      <c r="P567" s="12">
        <v>243.59</v>
      </c>
      <c r="Q567" s="12">
        <v>268.66</v>
      </c>
      <c r="R567" s="12">
        <v>312.99</v>
      </c>
      <c r="S567" s="12">
        <v>312.42</v>
      </c>
      <c r="T567" s="12">
        <v>314.95</v>
      </c>
      <c r="U567" s="12">
        <v>351.14</v>
      </c>
      <c r="V567" s="12">
        <v>375.93</v>
      </c>
      <c r="W567" s="12">
        <v>356.6</v>
      </c>
      <c r="X567" s="12">
        <v>320.21</v>
      </c>
      <c r="Y567" s="12">
        <v>322.55</v>
      </c>
      <c r="AA567" s="17">
        <f>MAX($B$567:$Y$567)</f>
        <v>375.93</v>
      </c>
      <c r="AB567" s="17">
        <f>MIN($B$567:$Y$567)</f>
        <v>221.77</v>
      </c>
      <c r="AC567" s="17">
        <f>AVERAGE($B$567:$Y$567)</f>
        <v>289.778333333333</v>
      </c>
    </row>
    <row r="568" spans="1:29">
      <c r="A568" s="10">
        <v>45863</v>
      </c>
      <c r="B568" s="12">
        <v>325.22</v>
      </c>
      <c r="C568" s="12">
        <v>297.64</v>
      </c>
      <c r="D568" s="12">
        <v>281.91</v>
      </c>
      <c r="E568" s="12">
        <v>279.77</v>
      </c>
      <c r="F568" s="12">
        <v>276.16</v>
      </c>
      <c r="G568" s="12">
        <v>275.12</v>
      </c>
      <c r="H568" s="12">
        <v>278.57</v>
      </c>
      <c r="I568" s="12">
        <v>268.55</v>
      </c>
      <c r="J568" s="12">
        <v>257.59</v>
      </c>
      <c r="K568" s="12">
        <v>248.63</v>
      </c>
      <c r="L568" s="12">
        <v>255.72</v>
      </c>
      <c r="M568" s="12">
        <v>228.31</v>
      </c>
      <c r="N568" s="12">
        <v>229.72</v>
      </c>
      <c r="O568" s="12">
        <v>279.31</v>
      </c>
      <c r="P568" s="12">
        <v>311.57</v>
      </c>
      <c r="Q568" s="12">
        <v>297.49</v>
      </c>
      <c r="R568" s="12">
        <v>301.82</v>
      </c>
      <c r="S568" s="12">
        <v>323.27</v>
      </c>
      <c r="T568" s="12">
        <v>301.91</v>
      </c>
      <c r="U568" s="12">
        <v>287.17</v>
      </c>
      <c r="V568" s="12">
        <v>291.91</v>
      </c>
      <c r="W568" s="12">
        <v>304.09</v>
      </c>
      <c r="X568" s="12">
        <v>213.88</v>
      </c>
      <c r="Y568" s="12">
        <v>287.73</v>
      </c>
      <c r="AA568" s="17">
        <f>MAX($B$568:$Y$568)</f>
        <v>325.22</v>
      </c>
      <c r="AB568" s="17">
        <f>MIN($B$568:$Y$568)</f>
        <v>213.88</v>
      </c>
      <c r="AC568" s="17">
        <f>AVERAGE($B$568:$Y$568)</f>
        <v>279.294166666667</v>
      </c>
    </row>
    <row r="569" spans="1:29">
      <c r="A569" s="10">
        <v>45864</v>
      </c>
      <c r="B569" s="12">
        <v>331.17</v>
      </c>
      <c r="C569" s="12">
        <v>293.79</v>
      </c>
      <c r="D569" s="12">
        <v>300.17</v>
      </c>
      <c r="E569" s="12">
        <v>298.69</v>
      </c>
      <c r="F569" s="12">
        <v>282.34</v>
      </c>
      <c r="G569" s="12">
        <v>281.22</v>
      </c>
      <c r="H569" s="12">
        <v>288.36</v>
      </c>
      <c r="I569" s="12">
        <v>274.33</v>
      </c>
      <c r="J569" s="12">
        <v>271.02</v>
      </c>
      <c r="K569" s="12">
        <v>247.92</v>
      </c>
      <c r="L569" s="12">
        <v>205.8</v>
      </c>
      <c r="M569" s="12">
        <v>210.45</v>
      </c>
      <c r="N569" s="12">
        <v>223.74</v>
      </c>
      <c r="O569" s="12">
        <v>241.41</v>
      </c>
      <c r="P569" s="12">
        <v>276.62</v>
      </c>
      <c r="Q569" s="12">
        <v>279.34</v>
      </c>
      <c r="R569" s="12">
        <v>291.86</v>
      </c>
      <c r="S569" s="12">
        <v>311.07</v>
      </c>
      <c r="T569" s="12">
        <v>312.72</v>
      </c>
      <c r="U569" s="12">
        <v>308.89</v>
      </c>
      <c r="V569" s="12">
        <v>334.3</v>
      </c>
      <c r="W569" s="12">
        <v>356.27</v>
      </c>
      <c r="X569" s="12">
        <v>359.91</v>
      </c>
      <c r="Y569" s="12">
        <v>345.53</v>
      </c>
      <c r="AA569" s="17">
        <f>MAX($B$569:$Y$569)</f>
        <v>359.91</v>
      </c>
      <c r="AB569" s="17">
        <f>MIN($B$569:$Y$569)</f>
        <v>205.8</v>
      </c>
      <c r="AC569" s="17">
        <f>AVERAGE($B$569:$Y$569)</f>
        <v>288.621666666667</v>
      </c>
    </row>
    <row r="570" spans="1:29">
      <c r="A570" s="10">
        <v>45865</v>
      </c>
      <c r="B570" s="12">
        <v>712.68</v>
      </c>
      <c r="C570" s="12">
        <v>426.43</v>
      </c>
      <c r="D570" s="12">
        <v>343.3</v>
      </c>
      <c r="E570" s="12">
        <v>320.1</v>
      </c>
      <c r="F570" s="12">
        <v>299.83</v>
      </c>
      <c r="G570" s="12">
        <v>285.54</v>
      </c>
      <c r="H570" s="12">
        <v>286.96</v>
      </c>
      <c r="I570" s="12">
        <v>254.02</v>
      </c>
      <c r="J570" s="12">
        <v>201.79</v>
      </c>
      <c r="K570" s="12">
        <v>189.78</v>
      </c>
      <c r="L570" s="12">
        <v>129.43</v>
      </c>
      <c r="M570" s="12">
        <v>226.81</v>
      </c>
      <c r="N570" s="12">
        <v>212.62</v>
      </c>
      <c r="O570" s="12">
        <v>217.02</v>
      </c>
      <c r="P570" s="12">
        <v>217.78</v>
      </c>
      <c r="Q570" s="12">
        <v>236.91</v>
      </c>
      <c r="R570" s="12">
        <v>285.36</v>
      </c>
      <c r="S570" s="12">
        <v>306.36</v>
      </c>
      <c r="T570" s="12">
        <v>327.38</v>
      </c>
      <c r="U570" s="12">
        <v>382.4</v>
      </c>
      <c r="V570" s="12">
        <v>391.26</v>
      </c>
      <c r="W570" s="12">
        <v>375.61</v>
      </c>
      <c r="X570" s="12">
        <v>370.94</v>
      </c>
      <c r="Y570" s="12">
        <v>378.03</v>
      </c>
      <c r="AA570" s="17">
        <f>MAX($B$570:$Y$570)</f>
        <v>712.68</v>
      </c>
      <c r="AB570" s="17">
        <f>MIN($B$570:$Y$570)</f>
        <v>129.43</v>
      </c>
      <c r="AC570" s="17">
        <f>AVERAGE($B$570:$Y$570)</f>
        <v>307.430833333333</v>
      </c>
    </row>
    <row r="571" spans="1:29">
      <c r="A571" s="10">
        <v>45866</v>
      </c>
      <c r="B571" s="12">
        <v>391.86</v>
      </c>
      <c r="C571" s="12">
        <v>324.74</v>
      </c>
      <c r="D571" s="12">
        <v>306.92</v>
      </c>
      <c r="E571" s="12">
        <v>295</v>
      </c>
      <c r="F571" s="12">
        <v>274.98</v>
      </c>
      <c r="G571" s="12">
        <v>276.36</v>
      </c>
      <c r="H571" s="12">
        <v>278.71</v>
      </c>
      <c r="I571" s="12">
        <v>280.17</v>
      </c>
      <c r="J571" s="12">
        <v>307.54</v>
      </c>
      <c r="K571" s="12">
        <v>334.49</v>
      </c>
      <c r="L571" s="12">
        <v>305.13</v>
      </c>
      <c r="M571" s="12">
        <v>304.54</v>
      </c>
      <c r="N571" s="12">
        <v>251.97</v>
      </c>
      <c r="O571" s="12">
        <v>345.3</v>
      </c>
      <c r="P571" s="12">
        <v>326.62</v>
      </c>
      <c r="Q571" s="12">
        <v>307.67</v>
      </c>
      <c r="R571" s="12">
        <v>339.15</v>
      </c>
      <c r="S571" s="12">
        <v>369.52</v>
      </c>
      <c r="T571" s="12">
        <v>321.09</v>
      </c>
      <c r="U571" s="12">
        <v>335.78</v>
      </c>
      <c r="V571" s="12">
        <v>331.88</v>
      </c>
      <c r="W571" s="12">
        <v>307.7</v>
      </c>
      <c r="X571" s="12">
        <v>296.29</v>
      </c>
      <c r="Y571" s="12">
        <v>295.01</v>
      </c>
      <c r="AA571" s="17">
        <f>MAX($B$571:$Y$571)</f>
        <v>391.86</v>
      </c>
      <c r="AB571" s="17">
        <f>MIN($B$571:$Y$571)</f>
        <v>251.97</v>
      </c>
      <c r="AC571" s="17">
        <f>AVERAGE($B$571:$Y$571)</f>
        <v>312.850833333333</v>
      </c>
    </row>
    <row r="572" spans="1:29">
      <c r="A572" s="10">
        <v>45867</v>
      </c>
      <c r="B572" s="12">
        <v>315.44</v>
      </c>
      <c r="C572" s="12">
        <v>296.21</v>
      </c>
      <c r="D572" s="12">
        <v>288.21</v>
      </c>
      <c r="E572" s="12">
        <v>282.7</v>
      </c>
      <c r="F572" s="12">
        <v>277.29</v>
      </c>
      <c r="G572" s="12">
        <v>270.64</v>
      </c>
      <c r="H572" s="12">
        <v>279.34</v>
      </c>
      <c r="I572" s="12">
        <v>276.56</v>
      </c>
      <c r="J572" s="12">
        <v>273.88</v>
      </c>
      <c r="K572" s="12">
        <v>280.87</v>
      </c>
      <c r="L572" s="12">
        <v>266.57</v>
      </c>
      <c r="M572" s="12">
        <v>268.11</v>
      </c>
      <c r="N572" s="12">
        <v>226.38</v>
      </c>
      <c r="O572" s="12">
        <v>223.36</v>
      </c>
      <c r="P572" s="12">
        <v>284.41</v>
      </c>
      <c r="Q572" s="12">
        <v>280.35</v>
      </c>
      <c r="R572" s="12">
        <v>287.07</v>
      </c>
      <c r="S572" s="12">
        <v>296</v>
      </c>
      <c r="T572" s="12">
        <v>295.59</v>
      </c>
      <c r="U572" s="12">
        <v>315.61</v>
      </c>
      <c r="V572" s="12">
        <v>317.82</v>
      </c>
      <c r="W572" s="12">
        <v>336.79</v>
      </c>
      <c r="X572" s="12">
        <v>323.89</v>
      </c>
      <c r="Y572" s="12">
        <v>323.47</v>
      </c>
      <c r="AA572" s="17">
        <f>MAX($B$572:$Y$572)</f>
        <v>336.79</v>
      </c>
      <c r="AB572" s="17">
        <f>MIN($B$572:$Y$572)</f>
        <v>223.36</v>
      </c>
      <c r="AC572" s="17">
        <f>AVERAGE($B$572:$Y$572)</f>
        <v>286.94</v>
      </c>
    </row>
    <row r="573" spans="1:29">
      <c r="A573" s="10">
        <v>45868</v>
      </c>
      <c r="B573" s="12">
        <v>336.59</v>
      </c>
      <c r="C573" s="12">
        <v>301.05</v>
      </c>
      <c r="D573" s="12">
        <v>293.9</v>
      </c>
      <c r="E573" s="12">
        <v>288.43</v>
      </c>
      <c r="F573" s="12">
        <v>277.45</v>
      </c>
      <c r="G573" s="12">
        <v>266.07</v>
      </c>
      <c r="H573" s="12">
        <v>271.21</v>
      </c>
      <c r="I573" s="12">
        <v>257.53</v>
      </c>
      <c r="J573" s="12">
        <v>282.71</v>
      </c>
      <c r="K573" s="12">
        <v>290.62</v>
      </c>
      <c r="L573" s="12">
        <v>269.46</v>
      </c>
      <c r="M573" s="12">
        <v>276.48</v>
      </c>
      <c r="N573" s="12">
        <v>251.87</v>
      </c>
      <c r="O573" s="12">
        <v>312.13</v>
      </c>
      <c r="P573" s="12">
        <v>306.75</v>
      </c>
      <c r="Q573" s="12">
        <v>335.83</v>
      </c>
      <c r="R573" s="12">
        <v>474.48</v>
      </c>
      <c r="S573" s="12">
        <v>439.99</v>
      </c>
      <c r="T573" s="12">
        <v>319.1</v>
      </c>
      <c r="U573" s="12">
        <v>377.93</v>
      </c>
      <c r="V573" s="12">
        <v>367.9</v>
      </c>
      <c r="W573" s="12">
        <v>349.74</v>
      </c>
      <c r="X573" s="12">
        <v>321.71</v>
      </c>
      <c r="Y573" s="12">
        <v>310.15</v>
      </c>
      <c r="AA573" s="17">
        <f>MAX($B$573:$Y$573)</f>
        <v>474.48</v>
      </c>
      <c r="AB573" s="17">
        <f>MIN($B$573:$Y$573)</f>
        <v>251.87</v>
      </c>
      <c r="AC573" s="17">
        <f>AVERAGE($B$573:$Y$573)</f>
        <v>315.795</v>
      </c>
    </row>
    <row r="574" spans="1:29">
      <c r="A574" s="10">
        <v>45869</v>
      </c>
      <c r="B574" s="12">
        <v>316.07</v>
      </c>
      <c r="C574" s="12">
        <v>296.1</v>
      </c>
      <c r="D574" s="12">
        <v>286.92</v>
      </c>
      <c r="E574" s="12">
        <v>270.95</v>
      </c>
      <c r="F574" s="12">
        <v>258.46</v>
      </c>
      <c r="G574" s="12">
        <v>252.26</v>
      </c>
      <c r="H574" s="12">
        <v>254.94</v>
      </c>
      <c r="I574" s="12">
        <v>246.19</v>
      </c>
      <c r="J574" s="12">
        <v>261.21</v>
      </c>
      <c r="K574" s="12">
        <v>268.86</v>
      </c>
      <c r="L574" s="12">
        <v>258.9</v>
      </c>
      <c r="M574" s="12">
        <v>237.51</v>
      </c>
      <c r="N574" s="12">
        <v>234.48</v>
      </c>
      <c r="O574" s="12">
        <v>262.01</v>
      </c>
      <c r="P574" s="12">
        <v>264.35</v>
      </c>
      <c r="Q574" s="12">
        <v>263.85</v>
      </c>
      <c r="R574" s="12">
        <v>277.16</v>
      </c>
      <c r="S574" s="12">
        <v>285.59</v>
      </c>
      <c r="T574" s="12">
        <v>285.97</v>
      </c>
      <c r="U574" s="12">
        <v>312.68</v>
      </c>
      <c r="V574" s="12">
        <v>302.9</v>
      </c>
      <c r="W574" s="12">
        <v>296.36</v>
      </c>
      <c r="X574" s="12">
        <v>291.98</v>
      </c>
      <c r="Y574" s="12">
        <v>288.38</v>
      </c>
      <c r="AA574" s="17">
        <f>MAX($B$574:$Y$574)</f>
        <v>316.07</v>
      </c>
      <c r="AB574" s="17">
        <f>MIN($B$574:$Y$574)</f>
        <v>234.48</v>
      </c>
      <c r="AC574" s="17">
        <f>AVERAGE($B$574:$Y$574)</f>
        <v>273.92</v>
      </c>
    </row>
    <row r="575" spans="1:29">
      <c r="A575" s="10">
        <v>45870</v>
      </c>
      <c r="B575" s="12">
        <v>338.44</v>
      </c>
      <c r="C575" s="12">
        <v>291.44</v>
      </c>
      <c r="D575" s="12">
        <v>286.11</v>
      </c>
      <c r="E575" s="12">
        <v>279.51</v>
      </c>
      <c r="F575" s="12">
        <v>258.28</v>
      </c>
      <c r="G575" s="12">
        <v>256.52</v>
      </c>
      <c r="H575" s="12">
        <v>262.65</v>
      </c>
      <c r="I575" s="12">
        <v>237.94</v>
      </c>
      <c r="J575" s="12">
        <v>283.45</v>
      </c>
      <c r="K575" s="12">
        <v>260.4</v>
      </c>
      <c r="L575" s="12">
        <v>230.8</v>
      </c>
      <c r="M575" s="12">
        <v>218.2</v>
      </c>
      <c r="N575" s="12">
        <v>199.91</v>
      </c>
      <c r="O575" s="12">
        <v>289.52</v>
      </c>
      <c r="P575" s="12">
        <v>276.92</v>
      </c>
      <c r="Q575" s="12">
        <v>272.44</v>
      </c>
      <c r="R575" s="12">
        <v>293.12</v>
      </c>
      <c r="S575" s="12">
        <v>291.8</v>
      </c>
      <c r="T575" s="12">
        <v>287.45</v>
      </c>
      <c r="U575" s="12">
        <v>303.85</v>
      </c>
      <c r="V575" s="12">
        <v>310.41</v>
      </c>
      <c r="W575" s="12">
        <v>311.05</v>
      </c>
      <c r="X575" s="12">
        <v>305.8</v>
      </c>
      <c r="Y575" s="12">
        <v>299.72</v>
      </c>
      <c r="AA575" s="17">
        <f>MAX($B$575:$Y$575)</f>
        <v>338.44</v>
      </c>
      <c r="AB575" s="17">
        <f>MIN($B$575:$Y$575)</f>
        <v>199.91</v>
      </c>
      <c r="AC575" s="17">
        <f>AVERAGE($B$575:$Y$575)</f>
        <v>276.905416666667</v>
      </c>
    </row>
    <row r="576" spans="1:29">
      <c r="A576" s="10">
        <v>45871</v>
      </c>
      <c r="B576" s="12">
        <v>327.48</v>
      </c>
      <c r="C576" s="12">
        <v>307.88</v>
      </c>
      <c r="D576" s="12">
        <v>306.21</v>
      </c>
      <c r="E576" s="12">
        <v>295.22</v>
      </c>
      <c r="F576" s="12">
        <v>285.88</v>
      </c>
      <c r="G576" s="12">
        <v>283.5</v>
      </c>
      <c r="H576" s="12">
        <v>279.43</v>
      </c>
      <c r="I576" s="12">
        <v>263.41</v>
      </c>
      <c r="J576" s="12">
        <v>266.73</v>
      </c>
      <c r="K576" s="12">
        <v>273.12</v>
      </c>
      <c r="L576" s="12">
        <v>272.94</v>
      </c>
      <c r="M576" s="12">
        <v>299.04</v>
      </c>
      <c r="N576" s="12">
        <v>237.65</v>
      </c>
      <c r="O576" s="12">
        <v>287.29</v>
      </c>
      <c r="P576" s="12">
        <v>284.78</v>
      </c>
      <c r="Q576" s="12">
        <v>267.41</v>
      </c>
      <c r="R576" s="12">
        <v>276.71</v>
      </c>
      <c r="S576" s="12">
        <v>282</v>
      </c>
      <c r="T576" s="12">
        <v>290.1</v>
      </c>
      <c r="U576" s="12">
        <v>302.84</v>
      </c>
      <c r="V576" s="12">
        <v>303.48</v>
      </c>
      <c r="W576" s="12">
        <v>301.03</v>
      </c>
      <c r="X576" s="12">
        <v>279.16</v>
      </c>
      <c r="Y576" s="12">
        <v>272.01</v>
      </c>
      <c r="AA576" s="17">
        <f>MAX($B$576:$Y$576)</f>
        <v>327.48</v>
      </c>
      <c r="AB576" s="17">
        <f>MIN($B$576:$Y$576)</f>
        <v>237.65</v>
      </c>
      <c r="AC576" s="17">
        <f>AVERAGE($B$576:$Y$576)</f>
        <v>285.220833333333</v>
      </c>
    </row>
    <row r="577" spans="1:29">
      <c r="A577" s="10">
        <v>45872</v>
      </c>
      <c r="B577" s="12">
        <v>277.12</v>
      </c>
      <c r="C577" s="12">
        <v>264.19</v>
      </c>
      <c r="D577" s="12">
        <v>260.2</v>
      </c>
      <c r="E577" s="12">
        <v>258.71</v>
      </c>
      <c r="F577" s="12">
        <v>244.72</v>
      </c>
      <c r="G577" s="12">
        <v>241.97</v>
      </c>
      <c r="H577" s="12">
        <v>240.66</v>
      </c>
      <c r="I577" s="12">
        <v>216.88</v>
      </c>
      <c r="J577" s="12">
        <v>168.93</v>
      </c>
      <c r="K577" s="12">
        <v>213.29</v>
      </c>
      <c r="L577" s="12">
        <v>202.13</v>
      </c>
      <c r="M577" s="12">
        <v>173.29</v>
      </c>
      <c r="N577" s="12">
        <v>180.45</v>
      </c>
      <c r="O577" s="12">
        <v>208.72</v>
      </c>
      <c r="P577" s="12">
        <v>189.12</v>
      </c>
      <c r="Q577" s="12">
        <v>209.51</v>
      </c>
      <c r="R577" s="12">
        <v>225.67</v>
      </c>
      <c r="S577" s="12">
        <v>247.84</v>
      </c>
      <c r="T577" s="12">
        <v>253.27</v>
      </c>
      <c r="U577" s="12">
        <v>268.27</v>
      </c>
      <c r="V577" s="12">
        <v>271.63</v>
      </c>
      <c r="W577" s="12">
        <v>274.26</v>
      </c>
      <c r="X577" s="12">
        <v>257.29</v>
      </c>
      <c r="Y577" s="12">
        <v>244.02</v>
      </c>
      <c r="AA577" s="17">
        <f>MAX($B$577:$Y$577)</f>
        <v>277.12</v>
      </c>
      <c r="AB577" s="17">
        <f>MIN($B$577:$Y$577)</f>
        <v>168.93</v>
      </c>
      <c r="AC577" s="17">
        <f>AVERAGE($B$577:$Y$577)</f>
        <v>233.005833333333</v>
      </c>
    </row>
    <row r="578" spans="1:29">
      <c r="A578" s="10">
        <v>45873</v>
      </c>
      <c r="B578" s="12">
        <v>261.35</v>
      </c>
      <c r="C578" s="12">
        <v>249.83</v>
      </c>
      <c r="D578" s="12">
        <v>250.06</v>
      </c>
      <c r="E578" s="12">
        <v>247.86</v>
      </c>
      <c r="F578" s="12">
        <v>227.18</v>
      </c>
      <c r="G578" s="12">
        <v>234.16</v>
      </c>
      <c r="H578" s="12">
        <v>237.66</v>
      </c>
      <c r="I578" s="12">
        <v>251.59</v>
      </c>
      <c r="J578" s="12">
        <v>288.55</v>
      </c>
      <c r="K578" s="12">
        <v>354.62</v>
      </c>
      <c r="L578" s="12">
        <v>314.98</v>
      </c>
      <c r="M578" s="12">
        <v>303.99</v>
      </c>
      <c r="N578" s="12">
        <v>258.85</v>
      </c>
      <c r="O578" s="12">
        <v>290.47</v>
      </c>
      <c r="P578" s="12">
        <v>284.7</v>
      </c>
      <c r="Q578" s="12">
        <v>274.33</v>
      </c>
      <c r="R578" s="12">
        <v>294.05</v>
      </c>
      <c r="S578" s="12">
        <v>293.82</v>
      </c>
      <c r="T578" s="12">
        <v>285.75</v>
      </c>
      <c r="U578" s="12">
        <v>354.21</v>
      </c>
      <c r="V578" s="12">
        <v>322.44</v>
      </c>
      <c r="W578" s="12">
        <v>311.24</v>
      </c>
      <c r="X578" s="12">
        <v>283.31</v>
      </c>
      <c r="Y578" s="12">
        <v>267.27</v>
      </c>
      <c r="AA578" s="17">
        <f>MAX($B$578:$Y$578)</f>
        <v>354.62</v>
      </c>
      <c r="AB578" s="17">
        <f>MIN($B$578:$Y$578)</f>
        <v>227.18</v>
      </c>
      <c r="AC578" s="17">
        <f>AVERAGE($B$578:$Y$578)</f>
        <v>280.927916666667</v>
      </c>
    </row>
    <row r="579" spans="1:29">
      <c r="A579" s="10">
        <v>45874</v>
      </c>
      <c r="B579" s="12">
        <v>270.41</v>
      </c>
      <c r="C579" s="12">
        <v>265.03</v>
      </c>
      <c r="D579" s="12">
        <v>260.6</v>
      </c>
      <c r="E579" s="12">
        <v>255.41</v>
      </c>
      <c r="F579" s="12">
        <v>248.61</v>
      </c>
      <c r="G579" s="12">
        <v>242.49</v>
      </c>
      <c r="H579" s="12">
        <v>239.05</v>
      </c>
      <c r="I579" s="12">
        <v>248.98</v>
      </c>
      <c r="J579" s="12">
        <v>259.73</v>
      </c>
      <c r="K579" s="12">
        <v>274.83</v>
      </c>
      <c r="L579" s="12">
        <v>268.25</v>
      </c>
      <c r="M579" s="12">
        <v>266.9</v>
      </c>
      <c r="N579" s="12">
        <v>230.86</v>
      </c>
      <c r="O579" s="12">
        <v>250.17</v>
      </c>
      <c r="P579" s="12">
        <v>258.03</v>
      </c>
      <c r="Q579" s="12">
        <v>259.09</v>
      </c>
      <c r="R579" s="12">
        <v>266.94</v>
      </c>
      <c r="S579" s="12">
        <v>276.48</v>
      </c>
      <c r="T579" s="12">
        <v>264.39</v>
      </c>
      <c r="U579" s="12">
        <v>285.72</v>
      </c>
      <c r="V579" s="12">
        <v>289.71</v>
      </c>
      <c r="W579" s="12">
        <v>281.18</v>
      </c>
      <c r="X579" s="12">
        <v>258.92</v>
      </c>
      <c r="Y579" s="12">
        <v>265.11</v>
      </c>
      <c r="AA579" s="17">
        <f>MAX($B$579:$Y$579)</f>
        <v>289.71</v>
      </c>
      <c r="AB579" s="17">
        <f>MIN($B$579:$Y$579)</f>
        <v>230.86</v>
      </c>
      <c r="AC579" s="17">
        <f>AVERAGE($B$579:$Y$579)</f>
        <v>261.95375</v>
      </c>
    </row>
    <row r="580" spans="1:29">
      <c r="A580" s="10">
        <v>45875</v>
      </c>
      <c r="B580" s="12">
        <v>258.03</v>
      </c>
      <c r="C580" s="12">
        <v>267.2</v>
      </c>
      <c r="D580" s="12">
        <v>229.51</v>
      </c>
      <c r="E580" s="12">
        <v>217.63</v>
      </c>
      <c r="F580" s="12">
        <v>125.29</v>
      </c>
      <c r="G580" s="12">
        <v>132.57</v>
      </c>
      <c r="H580" s="12">
        <v>201.39</v>
      </c>
      <c r="I580" s="12">
        <v>233.36</v>
      </c>
      <c r="J580" s="12">
        <v>273.05</v>
      </c>
      <c r="K580" s="12">
        <v>301.63</v>
      </c>
      <c r="L580" s="12">
        <v>296.24</v>
      </c>
      <c r="M580" s="12">
        <v>267.65</v>
      </c>
      <c r="N580" s="12">
        <v>210.64</v>
      </c>
      <c r="O580" s="12">
        <v>248.19</v>
      </c>
      <c r="P580" s="12">
        <v>223.68</v>
      </c>
      <c r="Q580" s="12">
        <v>233.89</v>
      </c>
      <c r="R580" s="12">
        <v>259.35</v>
      </c>
      <c r="S580" s="12">
        <v>261.9</v>
      </c>
      <c r="T580" s="12">
        <v>262.56</v>
      </c>
      <c r="U580" s="12">
        <v>288.89</v>
      </c>
      <c r="V580" s="12">
        <v>273.56</v>
      </c>
      <c r="W580" s="12">
        <v>279.29</v>
      </c>
      <c r="X580" s="12">
        <v>251.68</v>
      </c>
      <c r="Y580" s="12">
        <v>240.05</v>
      </c>
      <c r="AA580" s="17">
        <f>MAX($B$580:$Y$580)</f>
        <v>301.63</v>
      </c>
      <c r="AB580" s="17">
        <f>MIN($B$580:$Y$580)</f>
        <v>125.29</v>
      </c>
      <c r="AC580" s="17">
        <f>AVERAGE($B$580:$Y$580)</f>
        <v>243.217916666667</v>
      </c>
    </row>
    <row r="581" spans="1:29">
      <c r="A581" s="10">
        <v>45876</v>
      </c>
      <c r="B581" s="12">
        <v>262.26</v>
      </c>
      <c r="C581" s="12">
        <v>246.9</v>
      </c>
      <c r="D581" s="12">
        <v>249.13</v>
      </c>
      <c r="E581" s="12">
        <v>236.84</v>
      </c>
      <c r="F581" s="12">
        <v>228.14</v>
      </c>
      <c r="G581" s="12">
        <v>168.51</v>
      </c>
      <c r="H581" s="12">
        <v>228.75</v>
      </c>
      <c r="I581" s="12">
        <v>237.96</v>
      </c>
      <c r="J581" s="12">
        <v>249.66</v>
      </c>
      <c r="K581" s="12">
        <v>251.07</v>
      </c>
      <c r="L581" s="12">
        <v>253.45</v>
      </c>
      <c r="M581" s="12">
        <v>238.09</v>
      </c>
      <c r="N581" s="12">
        <v>221.09</v>
      </c>
      <c r="O581" s="12">
        <v>272.52</v>
      </c>
      <c r="P581" s="12">
        <v>285.57</v>
      </c>
      <c r="Q581" s="12">
        <v>263.54</v>
      </c>
      <c r="R581" s="12">
        <v>257.14</v>
      </c>
      <c r="S581" s="12">
        <v>275.16</v>
      </c>
      <c r="T581" s="12">
        <v>253.07</v>
      </c>
      <c r="U581" s="12">
        <v>327.87</v>
      </c>
      <c r="V581" s="12">
        <v>290.88</v>
      </c>
      <c r="W581" s="12">
        <v>276.18</v>
      </c>
      <c r="X581" s="12">
        <v>262.68</v>
      </c>
      <c r="Y581" s="12">
        <v>257.34</v>
      </c>
      <c r="AA581" s="17">
        <f>MAX($B$581:$Y$581)</f>
        <v>327.87</v>
      </c>
      <c r="AB581" s="17">
        <f>MIN($B$581:$Y$581)</f>
        <v>168.51</v>
      </c>
      <c r="AC581" s="17">
        <f>AVERAGE($B$581:$Y$581)</f>
        <v>253.908333333333</v>
      </c>
    </row>
    <row r="582" spans="1:29">
      <c r="A582" s="10">
        <v>45877</v>
      </c>
      <c r="B582" s="12">
        <v>260.88</v>
      </c>
      <c r="C582" s="12">
        <v>250.24</v>
      </c>
      <c r="D582" s="12">
        <v>251.41</v>
      </c>
      <c r="E582" s="12">
        <v>237.56</v>
      </c>
      <c r="F582" s="12">
        <v>212.59</v>
      </c>
      <c r="G582" s="12">
        <v>200.27</v>
      </c>
      <c r="H582" s="12">
        <v>208.75</v>
      </c>
      <c r="I582" s="12">
        <v>219.86</v>
      </c>
      <c r="J582" s="12">
        <v>233.41</v>
      </c>
      <c r="K582" s="12">
        <v>239.43</v>
      </c>
      <c r="L582" s="12">
        <v>191.58</v>
      </c>
      <c r="M582" s="12">
        <v>331.2</v>
      </c>
      <c r="N582" s="12">
        <v>182.48</v>
      </c>
      <c r="O582" s="12">
        <v>224.96</v>
      </c>
      <c r="P582" s="12">
        <v>244.32</v>
      </c>
      <c r="Q582" s="12">
        <v>247.46</v>
      </c>
      <c r="R582" s="12">
        <v>284.87</v>
      </c>
      <c r="S582" s="12">
        <v>293.2</v>
      </c>
      <c r="T582" s="12">
        <v>303.2</v>
      </c>
      <c r="U582" s="12">
        <v>313.43</v>
      </c>
      <c r="V582" s="12">
        <v>319.15</v>
      </c>
      <c r="W582" s="12">
        <v>300.84</v>
      </c>
      <c r="X582" s="12">
        <v>308.49</v>
      </c>
      <c r="Y582" s="12">
        <v>281.21</v>
      </c>
      <c r="AA582" s="17">
        <f>MAX($B$582:$Y$582)</f>
        <v>331.2</v>
      </c>
      <c r="AB582" s="17">
        <f>MIN($B$582:$Y$582)</f>
        <v>182.48</v>
      </c>
      <c r="AC582" s="17">
        <f>AVERAGE($B$582:$Y$582)</f>
        <v>255.86625</v>
      </c>
    </row>
    <row r="583" spans="1:29">
      <c r="A583" s="10">
        <v>45878</v>
      </c>
      <c r="B583" s="12">
        <v>306.11</v>
      </c>
      <c r="C583" s="12">
        <v>288.82</v>
      </c>
      <c r="D583" s="12">
        <v>278.4</v>
      </c>
      <c r="E583" s="12">
        <v>271.98</v>
      </c>
      <c r="F583" s="12">
        <v>264.26</v>
      </c>
      <c r="G583" s="12">
        <v>254.71</v>
      </c>
      <c r="H583" s="12">
        <v>260.57</v>
      </c>
      <c r="I583" s="12">
        <v>253.41</v>
      </c>
      <c r="J583" s="12">
        <v>216.97</v>
      </c>
      <c r="K583" s="12">
        <v>205.3</v>
      </c>
      <c r="L583" s="12">
        <v>195.48</v>
      </c>
      <c r="M583" s="12">
        <v>205.43</v>
      </c>
      <c r="N583" s="12">
        <v>221.31</v>
      </c>
      <c r="O583" s="12">
        <v>215.71</v>
      </c>
      <c r="P583" s="12">
        <v>234.86</v>
      </c>
      <c r="Q583" s="12">
        <v>254.14</v>
      </c>
      <c r="R583" s="12">
        <v>264.8</v>
      </c>
      <c r="S583" s="12">
        <v>293.85</v>
      </c>
      <c r="T583" s="12">
        <v>298.32</v>
      </c>
      <c r="U583" s="12">
        <v>284.68</v>
      </c>
      <c r="V583" s="12">
        <v>289.64</v>
      </c>
      <c r="W583" s="12">
        <v>327.46</v>
      </c>
      <c r="X583" s="12">
        <v>316.9</v>
      </c>
      <c r="Y583" s="12">
        <v>276.34</v>
      </c>
      <c r="AA583" s="17">
        <f>MAX($B$583:$Y$583)</f>
        <v>327.46</v>
      </c>
      <c r="AB583" s="17">
        <f>MIN($B$583:$Y$583)</f>
        <v>195.48</v>
      </c>
      <c r="AC583" s="17">
        <f>AVERAGE($B$583:$Y$583)</f>
        <v>261.64375</v>
      </c>
    </row>
    <row r="584" spans="1:29">
      <c r="A584" s="10">
        <v>45879</v>
      </c>
      <c r="B584" s="12">
        <v>335.39</v>
      </c>
      <c r="C584" s="12">
        <v>299.82</v>
      </c>
      <c r="D584" s="12">
        <v>303.19</v>
      </c>
      <c r="E584" s="12">
        <v>294.86</v>
      </c>
      <c r="F584" s="12">
        <v>277.14</v>
      </c>
      <c r="G584" s="12">
        <v>266.54</v>
      </c>
      <c r="H584" s="12">
        <v>265.73</v>
      </c>
      <c r="I584" s="12">
        <v>250.72</v>
      </c>
      <c r="J584" s="12">
        <v>164.77</v>
      </c>
      <c r="K584" s="12">
        <v>193.32</v>
      </c>
      <c r="L584" s="12">
        <v>154.98</v>
      </c>
      <c r="M584" s="12">
        <v>173.33</v>
      </c>
      <c r="N584" s="12">
        <v>166.92</v>
      </c>
      <c r="O584" s="12">
        <v>187.07</v>
      </c>
      <c r="P584" s="12">
        <v>197.34</v>
      </c>
      <c r="Q584" s="12">
        <v>190.58</v>
      </c>
      <c r="R584" s="12">
        <v>233.25</v>
      </c>
      <c r="S584" s="12">
        <v>272.37</v>
      </c>
      <c r="T584" s="12">
        <v>292.6</v>
      </c>
      <c r="U584" s="12">
        <v>315.48</v>
      </c>
      <c r="V584" s="12">
        <v>325.88</v>
      </c>
      <c r="W584" s="12">
        <v>354.98</v>
      </c>
      <c r="X584" s="12">
        <v>325.64</v>
      </c>
      <c r="Y584" s="12">
        <v>311.03</v>
      </c>
      <c r="AA584" s="17">
        <f>MAX($B$584:$Y$584)</f>
        <v>354.98</v>
      </c>
      <c r="AB584" s="17">
        <f>MIN($B$584:$Y$584)</f>
        <v>154.98</v>
      </c>
      <c r="AC584" s="17">
        <f>AVERAGE($B$584:$Y$584)</f>
        <v>256.372083333333</v>
      </c>
    </row>
    <row r="585" spans="1:29">
      <c r="A585" s="10">
        <v>45880</v>
      </c>
      <c r="B585" s="12">
        <v>333.92</v>
      </c>
      <c r="C585" s="12">
        <v>307.17</v>
      </c>
      <c r="D585" s="12">
        <v>296.8</v>
      </c>
      <c r="E585" s="12">
        <v>288.81</v>
      </c>
      <c r="F585" s="12">
        <v>275.95</v>
      </c>
      <c r="G585" s="12">
        <v>274.2</v>
      </c>
      <c r="H585" s="12">
        <v>270.4</v>
      </c>
      <c r="I585" s="12">
        <v>264.28</v>
      </c>
      <c r="J585" s="12">
        <v>282.47</v>
      </c>
      <c r="K585" s="12">
        <v>267.65</v>
      </c>
      <c r="L585" s="12">
        <v>270.38</v>
      </c>
      <c r="M585" s="12">
        <v>224.82</v>
      </c>
      <c r="N585" s="12">
        <v>254.98</v>
      </c>
      <c r="O585" s="12">
        <v>233.39</v>
      </c>
      <c r="P585" s="12">
        <v>284.28</v>
      </c>
      <c r="Q585" s="12">
        <v>282.93</v>
      </c>
      <c r="R585" s="12">
        <v>297.22</v>
      </c>
      <c r="S585" s="12">
        <v>313.71</v>
      </c>
      <c r="T585" s="12">
        <v>327.95</v>
      </c>
      <c r="U585" s="12">
        <v>433.83</v>
      </c>
      <c r="V585" s="12">
        <v>377.35</v>
      </c>
      <c r="W585" s="12">
        <v>349.22</v>
      </c>
      <c r="X585" s="12">
        <v>331.11</v>
      </c>
      <c r="Y585" s="12">
        <v>319.45</v>
      </c>
      <c r="AA585" s="17">
        <f>MAX($B$585:$Y$585)</f>
        <v>433.83</v>
      </c>
      <c r="AB585" s="17">
        <f>MIN($B$585:$Y$585)</f>
        <v>224.82</v>
      </c>
      <c r="AC585" s="17">
        <f>AVERAGE($B$585:$Y$585)</f>
        <v>298.427916666667</v>
      </c>
    </row>
    <row r="586" spans="1:29">
      <c r="A586" s="10">
        <v>45881</v>
      </c>
      <c r="B586" s="12">
        <v>341.96</v>
      </c>
      <c r="C586" s="12">
        <v>329.66</v>
      </c>
      <c r="D586" s="12">
        <v>315.57</v>
      </c>
      <c r="E586" s="12">
        <v>295.38</v>
      </c>
      <c r="F586" s="12">
        <v>282.1</v>
      </c>
      <c r="G586" s="12">
        <v>274.56</v>
      </c>
      <c r="H586" s="12">
        <v>277.34</v>
      </c>
      <c r="I586" s="12">
        <v>262.38</v>
      </c>
      <c r="J586" s="12">
        <v>272.68</v>
      </c>
      <c r="K586" s="12">
        <v>275.22</v>
      </c>
      <c r="L586" s="12">
        <v>225.66</v>
      </c>
      <c r="M586" s="12">
        <v>260.37</v>
      </c>
      <c r="N586" s="12">
        <v>245.8</v>
      </c>
      <c r="O586" s="12">
        <v>292.75</v>
      </c>
      <c r="P586" s="12">
        <v>277.52</v>
      </c>
      <c r="Q586" s="12">
        <v>275.39</v>
      </c>
      <c r="R586" s="12">
        <v>328.33</v>
      </c>
      <c r="S586" s="12">
        <v>335.35</v>
      </c>
      <c r="T586" s="12">
        <v>333.07</v>
      </c>
      <c r="U586" s="12">
        <v>396.17</v>
      </c>
      <c r="V586" s="12">
        <v>372.05</v>
      </c>
      <c r="W586" s="12">
        <v>479.33</v>
      </c>
      <c r="X586" s="12">
        <v>371.97</v>
      </c>
      <c r="Y586" s="12">
        <v>345.18</v>
      </c>
      <c r="AA586" s="17">
        <f>MAX($B$586:$Y$586)</f>
        <v>479.33</v>
      </c>
      <c r="AB586" s="17">
        <f>MIN($B$586:$Y$586)</f>
        <v>225.66</v>
      </c>
      <c r="AC586" s="17">
        <f>AVERAGE($B$586:$Y$586)</f>
        <v>311.074583333333</v>
      </c>
    </row>
    <row r="587" spans="1:29">
      <c r="A587" s="10">
        <v>45882</v>
      </c>
      <c r="B587" s="12">
        <v>342.46</v>
      </c>
      <c r="C587" s="12">
        <v>308.75</v>
      </c>
      <c r="D587" s="12">
        <v>294.12</v>
      </c>
      <c r="E587" s="12">
        <v>273.8</v>
      </c>
      <c r="F587" s="12">
        <v>260.11</v>
      </c>
      <c r="G587" s="12">
        <v>254.25</v>
      </c>
      <c r="H587" s="12">
        <v>255.55</v>
      </c>
      <c r="I587" s="12">
        <v>246.67</v>
      </c>
      <c r="J587" s="12">
        <v>251.71</v>
      </c>
      <c r="K587" s="12">
        <v>252.63</v>
      </c>
      <c r="L587" s="12">
        <v>175.78</v>
      </c>
      <c r="M587" s="12">
        <v>205.71</v>
      </c>
      <c r="N587" s="12">
        <v>194.19</v>
      </c>
      <c r="O587" s="12">
        <v>170.62</v>
      </c>
      <c r="P587" s="12">
        <v>150.02</v>
      </c>
      <c r="Q587" s="12">
        <v>85.71</v>
      </c>
      <c r="R587" s="12">
        <v>169.29</v>
      </c>
      <c r="S587" s="12">
        <v>238.4</v>
      </c>
      <c r="T587" s="12">
        <v>241.05</v>
      </c>
      <c r="U587" s="12">
        <v>305.97</v>
      </c>
      <c r="V587" s="12">
        <v>290.7</v>
      </c>
      <c r="W587" s="12">
        <v>316.87</v>
      </c>
      <c r="X587" s="12">
        <v>288.21</v>
      </c>
      <c r="Y587" s="12">
        <v>251.91</v>
      </c>
      <c r="AA587" s="17">
        <f>MAX($B$587:$Y$587)</f>
        <v>342.46</v>
      </c>
      <c r="AB587" s="17">
        <f>MIN($B$587:$Y$587)</f>
        <v>85.71</v>
      </c>
      <c r="AC587" s="17">
        <f>AVERAGE($B$587:$Y$587)</f>
        <v>242.686666666667</v>
      </c>
    </row>
    <row r="588" spans="1:29">
      <c r="A588" s="10">
        <v>45883</v>
      </c>
      <c r="B588" s="12">
        <v>320.34</v>
      </c>
      <c r="C588" s="12">
        <v>442.19</v>
      </c>
      <c r="D588" s="12">
        <v>369.48</v>
      </c>
      <c r="E588" s="12">
        <v>319.48</v>
      </c>
      <c r="F588" s="12">
        <v>290.98</v>
      </c>
      <c r="G588" s="12">
        <v>274.6</v>
      </c>
      <c r="H588" s="12">
        <v>278.54</v>
      </c>
      <c r="I588" s="12">
        <v>259.99</v>
      </c>
      <c r="J588" s="12">
        <v>293.81</v>
      </c>
      <c r="K588" s="12">
        <v>360.65</v>
      </c>
      <c r="L588" s="12">
        <v>325.64</v>
      </c>
      <c r="M588" s="12">
        <v>349.78</v>
      </c>
      <c r="N588" s="12">
        <v>262.31</v>
      </c>
      <c r="O588" s="12">
        <v>270.4</v>
      </c>
      <c r="P588" s="12">
        <v>260.69</v>
      </c>
      <c r="Q588" s="12">
        <v>257.07</v>
      </c>
      <c r="R588" s="12">
        <v>264.93</v>
      </c>
      <c r="S588" s="12">
        <v>268.57</v>
      </c>
      <c r="T588" s="12">
        <v>268.21</v>
      </c>
      <c r="U588" s="12">
        <v>265.99</v>
      </c>
      <c r="V588" s="12">
        <v>271.79</v>
      </c>
      <c r="W588" s="12">
        <v>258.29</v>
      </c>
      <c r="X588" s="12">
        <v>251.32</v>
      </c>
      <c r="Y588" s="12">
        <v>251.2</v>
      </c>
      <c r="AA588" s="17">
        <f>MAX($B$588:$Y$588)</f>
        <v>442.19</v>
      </c>
      <c r="AB588" s="17">
        <f>MIN($B$588:$Y$588)</f>
        <v>251.2</v>
      </c>
      <c r="AC588" s="17">
        <f>AVERAGE($B$588:$Y$588)</f>
        <v>293.177083333333</v>
      </c>
    </row>
    <row r="589" spans="1:29">
      <c r="A589" s="10">
        <v>45884</v>
      </c>
      <c r="B589" s="12">
        <v>224.16</v>
      </c>
      <c r="C589" s="12">
        <v>106.33</v>
      </c>
      <c r="D589" s="12">
        <v>35.51</v>
      </c>
      <c r="E589" s="12">
        <v>23.17</v>
      </c>
      <c r="F589" s="12">
        <v>10.41</v>
      </c>
      <c r="G589" s="12">
        <v>9.07</v>
      </c>
      <c r="H589" s="12">
        <v>27.16</v>
      </c>
      <c r="I589" s="12">
        <v>8.18</v>
      </c>
      <c r="J589" s="12">
        <v>201.01</v>
      </c>
      <c r="K589" s="12">
        <v>253.62</v>
      </c>
      <c r="L589" s="12">
        <v>221.67</v>
      </c>
      <c r="M589" s="12">
        <v>209.07</v>
      </c>
      <c r="N589" s="12">
        <v>184.89</v>
      </c>
      <c r="O589" s="12">
        <v>201.99</v>
      </c>
      <c r="P589" s="12">
        <v>232.84</v>
      </c>
      <c r="Q589" s="12">
        <v>256.27</v>
      </c>
      <c r="R589" s="12">
        <v>252.5</v>
      </c>
      <c r="S589" s="12">
        <v>258.79</v>
      </c>
      <c r="T589" s="12">
        <v>275.41</v>
      </c>
      <c r="U589" s="12">
        <v>306.81</v>
      </c>
      <c r="V589" s="12">
        <v>281.63</v>
      </c>
      <c r="W589" s="12">
        <v>251.63</v>
      </c>
      <c r="X589" s="12">
        <v>231.01</v>
      </c>
      <c r="Y589" s="12">
        <v>227.19</v>
      </c>
      <c r="AA589" s="17">
        <f>MAX($B$589:$Y$589)</f>
        <v>306.81</v>
      </c>
      <c r="AB589" s="17">
        <f>MIN($B$589:$Y$589)</f>
        <v>8.18</v>
      </c>
      <c r="AC589" s="17">
        <f>AVERAGE($B$589:$Y$589)</f>
        <v>178.763333333333</v>
      </c>
    </row>
    <row r="590" spans="1:29">
      <c r="A590" s="10">
        <v>45885</v>
      </c>
      <c r="B590" s="12">
        <v>228.76</v>
      </c>
      <c r="C590" s="12">
        <v>228.98</v>
      </c>
      <c r="D590" s="12">
        <v>222.99</v>
      </c>
      <c r="E590" s="12">
        <v>198.43</v>
      </c>
      <c r="F590" s="12">
        <v>162.5</v>
      </c>
      <c r="G590" s="12">
        <v>170.69</v>
      </c>
      <c r="H590" s="12">
        <v>197.24</v>
      </c>
      <c r="I590" s="12">
        <v>168.15</v>
      </c>
      <c r="J590" s="12">
        <v>177.15</v>
      </c>
      <c r="K590" s="12">
        <v>152.67</v>
      </c>
      <c r="L590" s="12">
        <v>211.03</v>
      </c>
      <c r="M590" s="12">
        <v>259.59</v>
      </c>
      <c r="N590" s="12">
        <v>216.93</v>
      </c>
      <c r="O590" s="12">
        <v>200.17</v>
      </c>
      <c r="P590" s="12">
        <v>284.87</v>
      </c>
      <c r="Q590" s="12">
        <v>203.46</v>
      </c>
      <c r="R590" s="12">
        <v>255.8</v>
      </c>
      <c r="S590" s="12">
        <v>263.04</v>
      </c>
      <c r="T590" s="12">
        <v>256.7</v>
      </c>
      <c r="U590" s="12">
        <v>207.75</v>
      </c>
      <c r="V590" s="12">
        <v>267.24</v>
      </c>
      <c r="W590" s="12">
        <v>252.88</v>
      </c>
      <c r="X590" s="12">
        <v>259.73</v>
      </c>
      <c r="Y590" s="12">
        <v>257.17</v>
      </c>
      <c r="AA590" s="17">
        <f>MAX($B$590:$Y$590)</f>
        <v>284.87</v>
      </c>
      <c r="AB590" s="17">
        <f>MIN($B$590:$Y$590)</f>
        <v>152.67</v>
      </c>
      <c r="AC590" s="17">
        <f>AVERAGE($B$590:$Y$590)</f>
        <v>220.996666666667</v>
      </c>
    </row>
    <row r="591" spans="1:29">
      <c r="A591" s="10">
        <v>45886</v>
      </c>
      <c r="B591" s="12">
        <v>279.87</v>
      </c>
      <c r="C591" s="12">
        <v>275.48</v>
      </c>
      <c r="D591" s="12">
        <v>259.68</v>
      </c>
      <c r="E591" s="12">
        <v>251.78</v>
      </c>
      <c r="F591" s="12">
        <v>226.56</v>
      </c>
      <c r="G591" s="12">
        <v>210.73</v>
      </c>
      <c r="H591" s="12">
        <v>198.26</v>
      </c>
      <c r="I591" s="12">
        <v>158.19</v>
      </c>
      <c r="J591" s="12">
        <v>88.05</v>
      </c>
      <c r="K591" s="12">
        <v>61.95</v>
      </c>
      <c r="L591" s="12">
        <v>164.77</v>
      </c>
      <c r="M591" s="12">
        <v>94.19</v>
      </c>
      <c r="N591" s="12">
        <v>67.19</v>
      </c>
      <c r="O591" s="12">
        <v>164.2</v>
      </c>
      <c r="P591" s="12">
        <v>138.31</v>
      </c>
      <c r="Q591" s="12">
        <v>135.15</v>
      </c>
      <c r="R591" s="12">
        <v>125.27</v>
      </c>
      <c r="S591" s="12">
        <v>176.51</v>
      </c>
      <c r="T591" s="12">
        <v>172.48</v>
      </c>
      <c r="U591" s="12">
        <v>216.36</v>
      </c>
      <c r="V591" s="12">
        <v>224.88</v>
      </c>
      <c r="W591" s="12">
        <v>217.46</v>
      </c>
      <c r="X591" s="12">
        <v>205.84</v>
      </c>
      <c r="Y591" s="12">
        <v>198.99</v>
      </c>
      <c r="AA591" s="17">
        <f>MAX($B$591:$Y$591)</f>
        <v>279.87</v>
      </c>
      <c r="AB591" s="17">
        <f>MIN($B$591:$Y$591)</f>
        <v>61.95</v>
      </c>
      <c r="AC591" s="17">
        <f>AVERAGE($B$591:$Y$591)</f>
        <v>179.672916666667</v>
      </c>
    </row>
    <row r="592" spans="1:29">
      <c r="A592" s="10">
        <v>45887</v>
      </c>
      <c r="B592" s="12">
        <v>235.13</v>
      </c>
      <c r="C592" s="12">
        <v>241.17</v>
      </c>
      <c r="D592" s="12">
        <v>240.35</v>
      </c>
      <c r="E592" s="12">
        <v>218.11</v>
      </c>
      <c r="F592" s="12">
        <v>201.46</v>
      </c>
      <c r="G592" s="12">
        <v>191.7</v>
      </c>
      <c r="H592" s="12">
        <v>159.76</v>
      </c>
      <c r="I592" s="12">
        <v>203.93</v>
      </c>
      <c r="J592" s="12">
        <v>234.03</v>
      </c>
      <c r="K592" s="12">
        <v>262.93</v>
      </c>
      <c r="L592" s="12">
        <v>245.14</v>
      </c>
      <c r="M592" s="12">
        <v>237.56</v>
      </c>
      <c r="N592" s="12">
        <v>212.29</v>
      </c>
      <c r="O592" s="12">
        <v>238.1</v>
      </c>
      <c r="P592" s="12">
        <v>238.15</v>
      </c>
      <c r="Q592" s="12">
        <v>229.67</v>
      </c>
      <c r="R592" s="12">
        <v>239.63</v>
      </c>
      <c r="S592" s="12">
        <v>252.58</v>
      </c>
      <c r="T592" s="12">
        <v>265.1</v>
      </c>
      <c r="U592" s="12">
        <v>285.35</v>
      </c>
      <c r="V592" s="12">
        <v>269.31</v>
      </c>
      <c r="W592" s="12">
        <v>267.82</v>
      </c>
      <c r="X592" s="12">
        <v>236.4</v>
      </c>
      <c r="Y592" s="12">
        <v>227.73</v>
      </c>
      <c r="AA592" s="17">
        <f>MAX($B$592:$Y$592)</f>
        <v>285.35</v>
      </c>
      <c r="AB592" s="17">
        <f>MIN($B$592:$Y$592)</f>
        <v>159.76</v>
      </c>
      <c r="AC592" s="17">
        <f>AVERAGE($B$592:$Y$592)</f>
        <v>234.725</v>
      </c>
    </row>
    <row r="593" spans="1:29">
      <c r="A593" s="10">
        <v>45888</v>
      </c>
      <c r="B593" s="12">
        <v>249.39</v>
      </c>
      <c r="C593" s="12">
        <v>229.58</v>
      </c>
      <c r="D593" s="12">
        <v>231.53</v>
      </c>
      <c r="E593" s="12">
        <v>229.48</v>
      </c>
      <c r="F593" s="12">
        <v>217.22</v>
      </c>
      <c r="G593" s="12">
        <v>216</v>
      </c>
      <c r="H593" s="12">
        <v>225.5</v>
      </c>
      <c r="I593" s="12">
        <v>234.93</v>
      </c>
      <c r="J593" s="12">
        <v>266.35</v>
      </c>
      <c r="K593" s="12">
        <v>258.13</v>
      </c>
      <c r="L593" s="12">
        <v>256.31</v>
      </c>
      <c r="M593" s="12">
        <v>273.76</v>
      </c>
      <c r="N593" s="12">
        <v>249.71</v>
      </c>
      <c r="O593" s="12">
        <v>258.32</v>
      </c>
      <c r="P593" s="12">
        <v>257.62</v>
      </c>
      <c r="Q593" s="12">
        <v>249.45</v>
      </c>
      <c r="R593" s="12">
        <v>266.73</v>
      </c>
      <c r="S593" s="12">
        <v>261.13</v>
      </c>
      <c r="T593" s="12">
        <v>257.42</v>
      </c>
      <c r="U593" s="12">
        <v>284.44</v>
      </c>
      <c r="V593" s="12">
        <v>271.11</v>
      </c>
      <c r="W593" s="12">
        <v>262.78</v>
      </c>
      <c r="X593" s="12">
        <v>253.25</v>
      </c>
      <c r="Y593" s="12">
        <v>240.73</v>
      </c>
      <c r="AA593" s="17">
        <f>MAX($B$593:$Y$593)</f>
        <v>284.44</v>
      </c>
      <c r="AB593" s="17">
        <f>MIN($B$593:$Y$593)</f>
        <v>216</v>
      </c>
      <c r="AC593" s="17">
        <f>AVERAGE($B$593:$Y$593)</f>
        <v>250.03625</v>
      </c>
    </row>
    <row r="594" spans="1:29">
      <c r="A594" s="10">
        <v>45889</v>
      </c>
      <c r="B594" s="12">
        <v>243.15</v>
      </c>
      <c r="C594" s="12">
        <v>241.23</v>
      </c>
      <c r="D594" s="12">
        <v>209.2</v>
      </c>
      <c r="E594" s="12">
        <v>176.52</v>
      </c>
      <c r="F594" s="12">
        <v>173.77</v>
      </c>
      <c r="G594" s="12">
        <v>147.78</v>
      </c>
      <c r="H594" s="12">
        <v>197.12</v>
      </c>
      <c r="I594" s="12">
        <v>222.87</v>
      </c>
      <c r="J594" s="12">
        <v>248.28</v>
      </c>
      <c r="K594" s="12">
        <v>268.29</v>
      </c>
      <c r="L594" s="12">
        <v>241.69</v>
      </c>
      <c r="M594" s="12">
        <v>244.98</v>
      </c>
      <c r="N594" s="12">
        <v>239.02</v>
      </c>
      <c r="O594" s="12">
        <v>255.76</v>
      </c>
      <c r="P594" s="12">
        <v>275.98</v>
      </c>
      <c r="Q594" s="12">
        <v>255.4</v>
      </c>
      <c r="R594" s="12">
        <v>271.21</v>
      </c>
      <c r="S594" s="12">
        <v>278.13</v>
      </c>
      <c r="T594" s="12">
        <v>285.79</v>
      </c>
      <c r="U594" s="12">
        <v>307.96</v>
      </c>
      <c r="V594" s="12">
        <v>264.62</v>
      </c>
      <c r="W594" s="12">
        <v>161.95</v>
      </c>
      <c r="X594" s="12">
        <v>205.53</v>
      </c>
      <c r="Y594" s="12">
        <v>258.77</v>
      </c>
      <c r="AA594" s="17">
        <f>MAX($B$594:$Y$594)</f>
        <v>307.96</v>
      </c>
      <c r="AB594" s="17">
        <f>MIN($B$594:$Y$594)</f>
        <v>147.78</v>
      </c>
      <c r="AC594" s="17">
        <f>AVERAGE($B$594:$Y$594)</f>
        <v>236.458333333333</v>
      </c>
    </row>
    <row r="595" spans="1:29">
      <c r="A595" s="10">
        <v>45890</v>
      </c>
      <c r="B595" s="12">
        <v>255.66</v>
      </c>
      <c r="C595" s="12">
        <v>256.21</v>
      </c>
      <c r="D595" s="12">
        <v>251.66</v>
      </c>
      <c r="E595" s="12">
        <v>235.28</v>
      </c>
      <c r="F595" s="12">
        <v>218.75</v>
      </c>
      <c r="G595" s="12">
        <v>189.78</v>
      </c>
      <c r="H595" s="12">
        <v>228.12</v>
      </c>
      <c r="I595" s="12">
        <v>231.53</v>
      </c>
      <c r="J595" s="12">
        <v>257.43</v>
      </c>
      <c r="K595" s="12">
        <v>271.47</v>
      </c>
      <c r="L595" s="12">
        <v>261.8</v>
      </c>
      <c r="M595" s="12">
        <v>251.32</v>
      </c>
      <c r="N595" s="12">
        <v>228.86</v>
      </c>
      <c r="O595" s="12">
        <v>242.74</v>
      </c>
      <c r="P595" s="12">
        <v>246.1</v>
      </c>
      <c r="Q595" s="12">
        <v>272.86</v>
      </c>
      <c r="R595" s="12">
        <v>280.73</v>
      </c>
      <c r="S595" s="12">
        <v>389.86</v>
      </c>
      <c r="T595" s="12">
        <v>295.08</v>
      </c>
      <c r="U595" s="12">
        <v>452.21</v>
      </c>
      <c r="V595" s="12">
        <v>302.34</v>
      </c>
      <c r="W595" s="12">
        <v>285.17</v>
      </c>
      <c r="X595" s="12">
        <v>267.81</v>
      </c>
      <c r="Y595" s="12">
        <v>262.81</v>
      </c>
      <c r="AA595" s="17">
        <f>MAX($B$595:$Y$595)</f>
        <v>452.21</v>
      </c>
      <c r="AB595" s="17">
        <f>MIN($B$595:$Y$595)</f>
        <v>189.78</v>
      </c>
      <c r="AC595" s="17">
        <f>AVERAGE($B$595:$Y$595)</f>
        <v>268.149166666667</v>
      </c>
    </row>
    <row r="596" spans="1:29">
      <c r="A596" s="10">
        <v>45891</v>
      </c>
      <c r="B596" s="12">
        <v>293.41</v>
      </c>
      <c r="C596" s="12">
        <v>273.94</v>
      </c>
      <c r="D596" s="12">
        <v>259.55</v>
      </c>
      <c r="E596" s="12">
        <v>253.48</v>
      </c>
      <c r="F596" s="12">
        <v>241.34</v>
      </c>
      <c r="G596" s="12">
        <v>233.08</v>
      </c>
      <c r="H596" s="12">
        <v>246.33</v>
      </c>
      <c r="I596" s="12">
        <v>222.74</v>
      </c>
      <c r="J596" s="12">
        <v>254.79</v>
      </c>
      <c r="K596" s="12">
        <v>264.58</v>
      </c>
      <c r="L596" s="12">
        <v>255.13</v>
      </c>
      <c r="M596" s="12">
        <v>252.91</v>
      </c>
      <c r="N596" s="12">
        <v>237.86</v>
      </c>
      <c r="O596" s="12">
        <v>239.04</v>
      </c>
      <c r="P596" s="12">
        <v>243.08</v>
      </c>
      <c r="Q596" s="12">
        <v>255.88</v>
      </c>
      <c r="R596" s="12">
        <v>301.59</v>
      </c>
      <c r="S596" s="12">
        <v>314.32</v>
      </c>
      <c r="T596" s="12">
        <v>304.53</v>
      </c>
      <c r="U596" s="12">
        <v>399.14</v>
      </c>
      <c r="V596" s="12">
        <v>338.68</v>
      </c>
      <c r="W596" s="12">
        <v>349.43</v>
      </c>
      <c r="X596" s="12">
        <v>319.4</v>
      </c>
      <c r="Y596" s="12">
        <v>294.59</v>
      </c>
      <c r="AA596" s="17">
        <f>MAX($B$596:$Y$596)</f>
        <v>399.14</v>
      </c>
      <c r="AB596" s="17">
        <f>MIN($B$596:$Y$596)</f>
        <v>222.74</v>
      </c>
      <c r="AC596" s="17">
        <f>AVERAGE($B$596:$Y$596)</f>
        <v>277.034166666667</v>
      </c>
    </row>
    <row r="597" spans="1:29">
      <c r="A597" s="10">
        <v>45892</v>
      </c>
      <c r="B597" s="12">
        <v>515.33</v>
      </c>
      <c r="C597" s="12">
        <v>337.87</v>
      </c>
      <c r="D597" s="12">
        <v>299.61</v>
      </c>
      <c r="E597" s="12">
        <v>276.34</v>
      </c>
      <c r="F597" s="12">
        <v>267.11</v>
      </c>
      <c r="G597" s="12">
        <v>259.11</v>
      </c>
      <c r="H597" s="12">
        <v>259.23</v>
      </c>
      <c r="I597" s="12">
        <v>243.25</v>
      </c>
      <c r="J597" s="12">
        <v>230.01</v>
      </c>
      <c r="K597" s="12">
        <v>243.81</v>
      </c>
      <c r="L597" s="12">
        <v>234.32</v>
      </c>
      <c r="M597" s="12">
        <v>235</v>
      </c>
      <c r="N597" s="12">
        <v>200.77</v>
      </c>
      <c r="O597" s="12">
        <v>260.94</v>
      </c>
      <c r="P597" s="12">
        <v>269.18</v>
      </c>
      <c r="Q597" s="12">
        <v>258.18</v>
      </c>
      <c r="R597" s="12">
        <v>284.69</v>
      </c>
      <c r="S597" s="12">
        <v>280.19</v>
      </c>
      <c r="T597" s="12">
        <v>267.16</v>
      </c>
      <c r="U597" s="12">
        <v>318.51</v>
      </c>
      <c r="V597" s="12">
        <v>295.66</v>
      </c>
      <c r="W597" s="12">
        <v>298.96</v>
      </c>
      <c r="X597" s="12">
        <v>301.37</v>
      </c>
      <c r="Y597" s="12">
        <v>287.61</v>
      </c>
      <c r="AA597" s="17">
        <f>MAX($B$597:$Y$597)</f>
        <v>515.33</v>
      </c>
      <c r="AB597" s="17">
        <f>MIN($B$597:$Y$597)</f>
        <v>200.77</v>
      </c>
      <c r="AC597" s="17">
        <f>AVERAGE($B$597:$Y$597)</f>
        <v>280.175416666667</v>
      </c>
    </row>
    <row r="598" spans="1:29">
      <c r="A598" s="10">
        <v>45893</v>
      </c>
      <c r="B598" s="12">
        <v>302.18</v>
      </c>
      <c r="C598" s="12">
        <v>283.15</v>
      </c>
      <c r="D598" s="12">
        <v>266.17</v>
      </c>
      <c r="E598" s="12">
        <v>251.95</v>
      </c>
      <c r="F598" s="12">
        <v>232.35</v>
      </c>
      <c r="G598" s="12">
        <v>214.73</v>
      </c>
      <c r="H598" s="12">
        <v>226.69</v>
      </c>
      <c r="I598" s="12">
        <v>183.69</v>
      </c>
      <c r="J598" s="12">
        <v>123.95</v>
      </c>
      <c r="K598" s="12">
        <v>160.04</v>
      </c>
      <c r="L598" s="12">
        <v>229.61</v>
      </c>
      <c r="M598" s="12">
        <v>212.06</v>
      </c>
      <c r="N598" s="12">
        <v>185.75</v>
      </c>
      <c r="O598" s="12">
        <v>192.15</v>
      </c>
      <c r="P598" s="12">
        <v>195.22</v>
      </c>
      <c r="Q598" s="12">
        <v>190.62</v>
      </c>
      <c r="R598" s="12">
        <v>210.6</v>
      </c>
      <c r="S598" s="12">
        <v>217.99</v>
      </c>
      <c r="T598" s="12">
        <v>216.84</v>
      </c>
      <c r="U598" s="12">
        <v>253.19</v>
      </c>
      <c r="V598" s="12">
        <v>234.17</v>
      </c>
      <c r="W598" s="12">
        <v>248.11</v>
      </c>
      <c r="X598" s="12">
        <v>253.99</v>
      </c>
      <c r="Y598" s="12">
        <v>214.07</v>
      </c>
      <c r="AA598" s="17">
        <f>MAX($B$598:$Y$598)</f>
        <v>302.18</v>
      </c>
      <c r="AB598" s="17">
        <f>MIN($B$598:$Y$598)</f>
        <v>123.95</v>
      </c>
      <c r="AC598" s="17">
        <f>AVERAGE($B$598:$Y$598)</f>
        <v>220.802916666667</v>
      </c>
    </row>
    <row r="599" spans="1:29">
      <c r="A599" s="10">
        <v>45894</v>
      </c>
      <c r="B599" s="12">
        <v>320.42</v>
      </c>
      <c r="C599" s="12">
        <v>215.69</v>
      </c>
      <c r="D599" s="12">
        <v>232.85</v>
      </c>
      <c r="E599" s="12">
        <v>227.66</v>
      </c>
      <c r="F599" s="12">
        <v>213.74</v>
      </c>
      <c r="G599" s="12">
        <v>180.34</v>
      </c>
      <c r="H599" s="12">
        <v>181.65</v>
      </c>
      <c r="I599" s="12">
        <v>196.58</v>
      </c>
      <c r="J599" s="12">
        <v>238.19</v>
      </c>
      <c r="K599" s="12">
        <v>256.68</v>
      </c>
      <c r="L599" s="12">
        <v>252.28</v>
      </c>
      <c r="M599" s="12">
        <v>249.85</v>
      </c>
      <c r="N599" s="12">
        <v>224.6</v>
      </c>
      <c r="O599" s="12">
        <v>304.47</v>
      </c>
      <c r="P599" s="12">
        <v>280.31</v>
      </c>
      <c r="Q599" s="12">
        <v>253.44</v>
      </c>
      <c r="R599" s="12">
        <v>313.89</v>
      </c>
      <c r="S599" s="12">
        <v>287.81</v>
      </c>
      <c r="T599" s="12">
        <v>273.33</v>
      </c>
      <c r="U599" s="12">
        <v>303.6</v>
      </c>
      <c r="V599" s="12">
        <v>279.65</v>
      </c>
      <c r="W599" s="12">
        <v>256.46</v>
      </c>
      <c r="X599" s="12">
        <v>251.89</v>
      </c>
      <c r="Y599" s="12">
        <v>245.8</v>
      </c>
      <c r="AA599" s="17">
        <f>MAX($B$599:$Y$599)</f>
        <v>320.42</v>
      </c>
      <c r="AB599" s="17">
        <f>MIN($B$599:$Y$599)</f>
        <v>180.34</v>
      </c>
      <c r="AC599" s="17">
        <f>AVERAGE($B$599:$Y$599)</f>
        <v>251.715833333333</v>
      </c>
    </row>
    <row r="600" spans="1:29">
      <c r="A600" s="10">
        <v>45895</v>
      </c>
      <c r="B600" s="12">
        <v>283.14</v>
      </c>
      <c r="C600" s="12">
        <v>272.59</v>
      </c>
      <c r="D600" s="12">
        <v>253.8</v>
      </c>
      <c r="E600" s="12">
        <v>246.39</v>
      </c>
      <c r="F600" s="12">
        <v>225.78</v>
      </c>
      <c r="G600" s="12">
        <v>234.3</v>
      </c>
      <c r="H600" s="12">
        <v>227.26</v>
      </c>
      <c r="I600" s="12">
        <v>228.8</v>
      </c>
      <c r="J600" s="12">
        <v>251.4</v>
      </c>
      <c r="K600" s="12">
        <v>263.43</v>
      </c>
      <c r="L600" s="12">
        <v>238.76</v>
      </c>
      <c r="M600" s="12">
        <v>250.48</v>
      </c>
      <c r="N600" s="12">
        <v>234.93</v>
      </c>
      <c r="O600" s="12">
        <v>271.09</v>
      </c>
      <c r="P600" s="12">
        <v>287.17</v>
      </c>
      <c r="Q600" s="12">
        <v>258.1</v>
      </c>
      <c r="R600" s="12">
        <v>306.29</v>
      </c>
      <c r="S600" s="12">
        <v>297.56</v>
      </c>
      <c r="T600" s="12">
        <v>299.98</v>
      </c>
      <c r="U600" s="12">
        <v>339.93</v>
      </c>
      <c r="V600" s="12">
        <v>316.5</v>
      </c>
      <c r="W600" s="12">
        <v>327.04</v>
      </c>
      <c r="X600" s="12">
        <v>335.46</v>
      </c>
      <c r="Y600" s="12">
        <v>295.5</v>
      </c>
      <c r="AA600" s="17">
        <f>MAX($B$600:$Y$600)</f>
        <v>339.93</v>
      </c>
      <c r="AB600" s="17">
        <f>MIN($B$600:$Y$600)</f>
        <v>225.78</v>
      </c>
      <c r="AC600" s="17">
        <f>AVERAGE($B$600:$Y$600)</f>
        <v>272.736666666667</v>
      </c>
    </row>
    <row r="601" spans="1:29">
      <c r="A601" s="10">
        <v>45896</v>
      </c>
      <c r="B601" s="12">
        <v>360.67</v>
      </c>
      <c r="C601" s="12">
        <v>259.14</v>
      </c>
      <c r="D601" s="12">
        <v>251.84</v>
      </c>
      <c r="E601" s="12">
        <v>233.34</v>
      </c>
      <c r="F601" s="12">
        <v>257.77</v>
      </c>
      <c r="G601" s="12">
        <v>255.1</v>
      </c>
      <c r="H601" s="12">
        <v>258.78</v>
      </c>
      <c r="I601" s="12">
        <v>256.5</v>
      </c>
      <c r="J601" s="12">
        <v>263.18</v>
      </c>
      <c r="K601" s="12">
        <v>257.39</v>
      </c>
      <c r="L601" s="12">
        <v>275.05</v>
      </c>
      <c r="M601" s="12">
        <v>291.66</v>
      </c>
      <c r="N601" s="12">
        <v>242.81</v>
      </c>
      <c r="O601" s="12">
        <v>281.16</v>
      </c>
      <c r="P601" s="12">
        <v>263.37</v>
      </c>
      <c r="Q601" s="12">
        <v>290.71</v>
      </c>
      <c r="R601" s="12">
        <v>322.11</v>
      </c>
      <c r="S601" s="12">
        <v>311.68</v>
      </c>
      <c r="T601" s="12">
        <v>295.73</v>
      </c>
      <c r="U601" s="12">
        <v>388.9</v>
      </c>
      <c r="V601" s="12">
        <v>315.81</v>
      </c>
      <c r="W601" s="12">
        <v>290.97</v>
      </c>
      <c r="X601" s="12">
        <v>270.51</v>
      </c>
      <c r="Y601" s="12">
        <v>257.78</v>
      </c>
      <c r="AA601" s="17">
        <f>MAX($B$601:$Z$601)</f>
        <v>388.9</v>
      </c>
      <c r="AB601" s="17">
        <f>MIN($B$601:$Z$601)</f>
        <v>233.34</v>
      </c>
      <c r="AC601" s="17">
        <f>AVERAGE($B$601:$Z$601)</f>
        <v>281.331666666667</v>
      </c>
    </row>
    <row r="602" spans="1:29">
      <c r="A602" s="10">
        <v>45897</v>
      </c>
      <c r="B602" s="12">
        <v>294.63</v>
      </c>
      <c r="C602" s="12">
        <v>254.45</v>
      </c>
      <c r="D602" s="12">
        <v>165.15</v>
      </c>
      <c r="E602" s="12">
        <v>181.67</v>
      </c>
      <c r="F602" s="12">
        <v>219.12</v>
      </c>
      <c r="G602" s="12">
        <v>216.98</v>
      </c>
      <c r="H602" s="12">
        <v>224.41</v>
      </c>
      <c r="I602" s="12">
        <v>227.12</v>
      </c>
      <c r="J602" s="12">
        <v>242.12</v>
      </c>
      <c r="K602" s="12">
        <v>249.26</v>
      </c>
      <c r="L602" s="12">
        <v>294.87</v>
      </c>
      <c r="M602" s="12">
        <v>293.2</v>
      </c>
      <c r="N602" s="12">
        <v>225.21</v>
      </c>
      <c r="O602" s="12">
        <v>267.33</v>
      </c>
      <c r="P602" s="12">
        <v>265.84</v>
      </c>
      <c r="Q602" s="12">
        <v>221.45</v>
      </c>
      <c r="R602" s="12">
        <v>226.64</v>
      </c>
      <c r="S602" s="12">
        <v>273.94</v>
      </c>
      <c r="T602" s="12">
        <v>278.39</v>
      </c>
      <c r="U602" s="12">
        <v>461.71</v>
      </c>
      <c r="V602" s="12">
        <v>291.38</v>
      </c>
      <c r="W602" s="12">
        <v>265.92</v>
      </c>
      <c r="X602" s="12">
        <v>255.79</v>
      </c>
      <c r="Y602" s="12">
        <v>245.6</v>
      </c>
      <c r="AA602" s="17">
        <f>MAX($B$602:$Z$602)</f>
        <v>461.71</v>
      </c>
      <c r="AB602" s="17">
        <f>MIN($B$602:$Z$602)</f>
        <v>165.15</v>
      </c>
      <c r="AC602" s="17">
        <f>AVERAGE($B$602:$Z$602)</f>
        <v>255.924166666667</v>
      </c>
    </row>
    <row r="603" spans="1:29">
      <c r="A603" s="10">
        <v>45898</v>
      </c>
      <c r="B603" s="12">
        <v>230.78</v>
      </c>
      <c r="C603" s="12">
        <v>261.33</v>
      </c>
      <c r="D603" s="12">
        <v>226.74</v>
      </c>
      <c r="E603" s="12">
        <v>226.24</v>
      </c>
      <c r="F603" s="12">
        <v>220</v>
      </c>
      <c r="G603" s="12">
        <v>216.98</v>
      </c>
      <c r="H603" s="12">
        <v>231.09</v>
      </c>
      <c r="I603" s="12">
        <v>208.38</v>
      </c>
      <c r="J603" s="12">
        <v>202.75</v>
      </c>
      <c r="K603" s="12">
        <v>211.32</v>
      </c>
      <c r="L603" s="12">
        <v>281.16</v>
      </c>
      <c r="M603" s="12">
        <v>251.21</v>
      </c>
      <c r="N603" s="12">
        <v>209.78</v>
      </c>
      <c r="O603" s="12">
        <v>286.36</v>
      </c>
      <c r="P603" s="12">
        <v>282.69</v>
      </c>
      <c r="Q603" s="12">
        <v>331.37</v>
      </c>
      <c r="R603" s="12">
        <v>380.23</v>
      </c>
      <c r="S603" s="12">
        <v>344.59</v>
      </c>
      <c r="T603" s="12">
        <v>281</v>
      </c>
      <c r="U603" s="12">
        <v>360.34</v>
      </c>
      <c r="V603" s="12">
        <v>300.33</v>
      </c>
      <c r="W603" s="12">
        <v>285.53</v>
      </c>
      <c r="X603" s="12">
        <v>289.99</v>
      </c>
      <c r="Y603" s="12">
        <v>279.44</v>
      </c>
      <c r="AA603" s="17">
        <f>MAX($B$603:$Z$603)</f>
        <v>380.23</v>
      </c>
      <c r="AB603" s="17">
        <f>MIN($B$603:$Z$603)</f>
        <v>202.75</v>
      </c>
      <c r="AC603" s="17">
        <f>AVERAGE($B$603:$Z$603)</f>
        <v>266.65125</v>
      </c>
    </row>
    <row r="604" spans="1:29">
      <c r="A604" s="10">
        <v>45899</v>
      </c>
      <c r="B604" s="12">
        <v>374.15</v>
      </c>
      <c r="C604" s="12">
        <v>337.3</v>
      </c>
      <c r="D604" s="12">
        <v>275.93</v>
      </c>
      <c r="E604" s="12">
        <v>261</v>
      </c>
      <c r="F604" s="12">
        <v>243.09</v>
      </c>
      <c r="G604" s="12">
        <v>235.7</v>
      </c>
      <c r="H604" s="12">
        <v>230.88</v>
      </c>
      <c r="I604" s="12">
        <v>224.92</v>
      </c>
      <c r="J604" s="12">
        <v>223.33</v>
      </c>
      <c r="K604" s="12">
        <v>288.91</v>
      </c>
      <c r="L604" s="12">
        <v>256.54</v>
      </c>
      <c r="M604" s="12">
        <v>232.63</v>
      </c>
      <c r="N604" s="12">
        <v>245.24</v>
      </c>
      <c r="O604" s="12">
        <v>260.51</v>
      </c>
      <c r="P604" s="12">
        <v>253.89</v>
      </c>
      <c r="Q604" s="12">
        <v>261.57</v>
      </c>
      <c r="R604" s="12">
        <v>277.9</v>
      </c>
      <c r="S604" s="12">
        <v>325.86</v>
      </c>
      <c r="T604" s="12">
        <v>301.39</v>
      </c>
      <c r="U604" s="12">
        <v>419.75</v>
      </c>
      <c r="V604" s="12">
        <v>357.99</v>
      </c>
      <c r="W604" s="12">
        <v>349.24</v>
      </c>
      <c r="X604" s="12">
        <v>329.81</v>
      </c>
      <c r="Y604" s="12">
        <v>299.4</v>
      </c>
      <c r="AA604" s="17">
        <f>MAX($B$604:$Z$604)</f>
        <v>419.75</v>
      </c>
      <c r="AB604" s="17">
        <f>MIN($B$604:$Z$604)</f>
        <v>223.33</v>
      </c>
      <c r="AC604" s="17">
        <f>AVERAGE($B$604:$Z$604)</f>
        <v>286.122083333333</v>
      </c>
    </row>
    <row r="605" spans="1:29">
      <c r="A605" s="10">
        <v>45900</v>
      </c>
      <c r="B605" s="12">
        <v>484.15</v>
      </c>
      <c r="C605" s="12">
        <v>488.72</v>
      </c>
      <c r="D605" s="12">
        <v>287.24</v>
      </c>
      <c r="E605" s="12">
        <v>301.21</v>
      </c>
      <c r="F605" s="12">
        <v>265.75</v>
      </c>
      <c r="G605" s="12">
        <v>262.61</v>
      </c>
      <c r="H605" s="12">
        <v>258.03</v>
      </c>
      <c r="I605" s="12">
        <v>244.68</v>
      </c>
      <c r="J605" s="12">
        <v>198.7</v>
      </c>
      <c r="K605" s="12">
        <v>188.96</v>
      </c>
      <c r="L605" s="12">
        <v>186.34</v>
      </c>
      <c r="M605" s="12">
        <v>162.46</v>
      </c>
      <c r="N605" s="12">
        <v>164.67</v>
      </c>
      <c r="O605" s="12">
        <v>200.83</v>
      </c>
      <c r="P605" s="12">
        <v>211.23</v>
      </c>
      <c r="Q605" s="12">
        <v>218.11</v>
      </c>
      <c r="R605" s="12">
        <v>245.55</v>
      </c>
      <c r="S605" s="12">
        <v>269.12</v>
      </c>
      <c r="T605" s="12">
        <v>286.08</v>
      </c>
      <c r="U605" s="12">
        <v>393.56</v>
      </c>
      <c r="V605" s="12">
        <v>364.88</v>
      </c>
      <c r="W605" s="12">
        <v>522.59</v>
      </c>
      <c r="X605" s="12">
        <v>404.64</v>
      </c>
      <c r="Y605" s="12">
        <v>301.5</v>
      </c>
      <c r="AA605" s="17">
        <f>MAX($B$605:$Z$605)</f>
        <v>522.59</v>
      </c>
      <c r="AB605" s="17">
        <f>MIN($B$605:$Z$605)</f>
        <v>162.46</v>
      </c>
      <c r="AC605" s="17">
        <f>AVERAGE($B$605:$Z$605)</f>
        <v>287.98375</v>
      </c>
    </row>
    <row r="606" spans="1:29">
      <c r="A606" s="10">
        <v>45901</v>
      </c>
      <c r="B606" s="12">
        <v>397.61</v>
      </c>
      <c r="C606" s="12">
        <v>298.95</v>
      </c>
      <c r="D606" s="12">
        <v>298.75</v>
      </c>
      <c r="E606" s="12">
        <v>295.46</v>
      </c>
      <c r="F606" s="12">
        <v>276.08</v>
      </c>
      <c r="G606" s="12">
        <v>275.11</v>
      </c>
      <c r="H606" s="12">
        <v>282.31</v>
      </c>
      <c r="I606" s="12">
        <v>262.03</v>
      </c>
      <c r="J606" s="12">
        <v>255.57</v>
      </c>
      <c r="K606" s="12">
        <v>290.39</v>
      </c>
      <c r="L606" s="12">
        <v>266.29</v>
      </c>
      <c r="M606" s="12">
        <v>236.32</v>
      </c>
      <c r="N606" s="12">
        <v>211.41</v>
      </c>
      <c r="O606" s="12">
        <v>297.32</v>
      </c>
      <c r="P606" s="12">
        <v>256.68</v>
      </c>
      <c r="Q606" s="12">
        <v>297.5</v>
      </c>
      <c r="R606" s="12">
        <v>313.01</v>
      </c>
      <c r="S606" s="12">
        <v>341.1</v>
      </c>
      <c r="T606" s="12">
        <v>420.66</v>
      </c>
      <c r="U606" s="12">
        <v>725.59</v>
      </c>
      <c r="V606" s="12">
        <v>498.81</v>
      </c>
      <c r="W606" s="12">
        <v>475.84</v>
      </c>
      <c r="X606" s="12">
        <v>425.8</v>
      </c>
      <c r="Y606" s="12">
        <v>321.68</v>
      </c>
      <c r="AA606" s="17">
        <f>MAX($B$606:$Z$606)</f>
        <v>725.59</v>
      </c>
      <c r="AB606" s="17">
        <f>MIN($B$606:$Z$606)</f>
        <v>211.41</v>
      </c>
      <c r="AC606" s="17">
        <f>AVERAGE($B$606:$Z$606)</f>
        <v>334.177916666667</v>
      </c>
    </row>
    <row r="607" spans="1:29">
      <c r="A607" s="10">
        <v>45902</v>
      </c>
      <c r="B607" s="12">
        <v>430.02</v>
      </c>
      <c r="C607" s="12">
        <v>385.05</v>
      </c>
      <c r="D607" s="12">
        <v>418.53</v>
      </c>
      <c r="E607" s="12">
        <v>352.17</v>
      </c>
      <c r="F607" s="12">
        <v>299.4</v>
      </c>
      <c r="G607" s="12">
        <v>299.08</v>
      </c>
      <c r="H607" s="12">
        <v>304.93</v>
      </c>
      <c r="I607" s="12">
        <v>286.84</v>
      </c>
      <c r="J607" s="12">
        <v>306.27</v>
      </c>
      <c r="K607" s="12">
        <v>291.59</v>
      </c>
      <c r="L607" s="12">
        <v>276.99</v>
      </c>
      <c r="M607" s="12">
        <v>270.77</v>
      </c>
      <c r="N607" s="12">
        <v>248.76</v>
      </c>
      <c r="O607" s="12">
        <v>281.91</v>
      </c>
      <c r="P607" s="12">
        <v>289.36</v>
      </c>
      <c r="Q607" s="12">
        <v>295.35</v>
      </c>
      <c r="R607" s="12">
        <v>306.51</v>
      </c>
      <c r="S607" s="12">
        <v>376.72</v>
      </c>
      <c r="T607" s="12">
        <v>376.69</v>
      </c>
      <c r="U607" s="12">
        <v>547.55</v>
      </c>
      <c r="V607" s="12">
        <v>503.94</v>
      </c>
      <c r="W607" s="12">
        <v>581.86</v>
      </c>
      <c r="X607" s="12">
        <v>409.21</v>
      </c>
      <c r="Y607" s="12">
        <v>335.21</v>
      </c>
      <c r="AA607" s="17">
        <f>MAX($B$607:$Z$607)</f>
        <v>581.86</v>
      </c>
      <c r="AB607" s="17">
        <f>MIN($B$607:$Z$607)</f>
        <v>248.76</v>
      </c>
      <c r="AC607" s="17">
        <f>AVERAGE($B$607:$Z$607)</f>
        <v>353.112916666667</v>
      </c>
    </row>
    <row r="608" spans="1:29">
      <c r="A608" s="10">
        <v>45903</v>
      </c>
      <c r="B608" s="12">
        <v>552.34</v>
      </c>
      <c r="C608" s="12">
        <v>499.62</v>
      </c>
      <c r="D608" s="12">
        <v>414.32</v>
      </c>
      <c r="E608" s="12">
        <v>216.07</v>
      </c>
      <c r="F608" s="12">
        <v>276.68</v>
      </c>
      <c r="G608" s="12">
        <v>299.74</v>
      </c>
      <c r="H608" s="12">
        <v>311.38</v>
      </c>
      <c r="I608" s="12">
        <v>284.84</v>
      </c>
      <c r="J608" s="12">
        <v>319.77</v>
      </c>
      <c r="K608" s="12">
        <v>328.74</v>
      </c>
      <c r="L608" s="12">
        <v>293.6</v>
      </c>
      <c r="M608" s="12">
        <v>239.72</v>
      </c>
      <c r="N608" s="12">
        <v>289.96</v>
      </c>
      <c r="O608" s="12">
        <v>319.91</v>
      </c>
      <c r="P608" s="12">
        <v>286.58</v>
      </c>
      <c r="Q608" s="12">
        <v>279.41</v>
      </c>
      <c r="R608" s="12">
        <v>301.98</v>
      </c>
      <c r="S608" s="12">
        <v>340.33</v>
      </c>
      <c r="T608" s="12">
        <v>441.73</v>
      </c>
      <c r="U608" s="12">
        <v>785.78</v>
      </c>
      <c r="V608" s="12">
        <v>597.03</v>
      </c>
      <c r="W608" s="12">
        <v>618.46</v>
      </c>
      <c r="X608" s="12">
        <v>552.78</v>
      </c>
      <c r="Y608" s="12">
        <v>339.86</v>
      </c>
      <c r="AA608" s="17">
        <f>MAX($B$608:$Z$608)</f>
        <v>785.78</v>
      </c>
      <c r="AB608" s="17">
        <f>MIN($B$608:$Z$608)</f>
        <v>216.07</v>
      </c>
      <c r="AC608" s="17">
        <f>AVERAGE($B$608:$Z$608)</f>
        <v>382.942916666667</v>
      </c>
    </row>
    <row r="609" spans="1:29">
      <c r="A609" s="10">
        <v>45904</v>
      </c>
      <c r="B609" s="12">
        <v>531.71</v>
      </c>
      <c r="C609" s="12">
        <v>373.4</v>
      </c>
      <c r="D609" s="12">
        <v>335.08</v>
      </c>
      <c r="E609" s="12">
        <v>319.3</v>
      </c>
      <c r="F609" s="12">
        <v>300.42</v>
      </c>
      <c r="G609" s="12">
        <v>300.11</v>
      </c>
      <c r="H609" s="12">
        <v>304.58</v>
      </c>
      <c r="I609" s="12">
        <v>277.2</v>
      </c>
      <c r="J609" s="12">
        <v>295.07</v>
      </c>
      <c r="K609" s="12">
        <v>314.64</v>
      </c>
      <c r="L609" s="12">
        <v>352.48</v>
      </c>
      <c r="M609" s="12">
        <v>413.17</v>
      </c>
      <c r="N609" s="12">
        <v>280.17</v>
      </c>
      <c r="O609" s="12">
        <v>371.03</v>
      </c>
      <c r="P609" s="12">
        <v>291.77</v>
      </c>
      <c r="Q609" s="12">
        <v>297.49</v>
      </c>
      <c r="R609" s="12">
        <v>355.5</v>
      </c>
      <c r="S609" s="12">
        <v>412.64</v>
      </c>
      <c r="T609" s="12">
        <v>478.87</v>
      </c>
      <c r="U609" s="12">
        <v>682.2</v>
      </c>
      <c r="V609" s="12">
        <v>655.06</v>
      </c>
      <c r="W609" s="12">
        <v>758.98</v>
      </c>
      <c r="X609" s="12">
        <v>508.82</v>
      </c>
      <c r="Y609" s="12">
        <v>405.98</v>
      </c>
      <c r="AA609" s="17">
        <f>MAX($B$609:$Z$609)</f>
        <v>758.98</v>
      </c>
      <c r="AB609" s="17">
        <f>MIN($B$609:$Z$609)</f>
        <v>277.2</v>
      </c>
      <c r="AC609" s="17">
        <f>AVERAGE($B$609:$Z$609)</f>
        <v>400.652916666667</v>
      </c>
    </row>
    <row r="610" spans="1:29">
      <c r="A610" s="10">
        <v>45905</v>
      </c>
      <c r="B610" s="12">
        <v>685.07</v>
      </c>
      <c r="C610" s="12">
        <v>572.83</v>
      </c>
      <c r="D610" s="12">
        <v>548.3</v>
      </c>
      <c r="E610" s="12">
        <v>497.64</v>
      </c>
      <c r="F610" s="12">
        <v>418.43</v>
      </c>
      <c r="G610" s="12">
        <v>380.77</v>
      </c>
      <c r="H610" s="12">
        <v>443.24</v>
      </c>
      <c r="I610" s="12">
        <v>353.17</v>
      </c>
      <c r="J610" s="12">
        <v>380.69</v>
      </c>
      <c r="K610" s="12">
        <v>327.34</v>
      </c>
      <c r="L610" s="12">
        <v>346.35</v>
      </c>
      <c r="M610" s="12">
        <v>356.02</v>
      </c>
      <c r="N610" s="12">
        <v>259.75</v>
      </c>
      <c r="O610" s="12">
        <v>374.95</v>
      </c>
      <c r="P610" s="12">
        <v>374.72</v>
      </c>
      <c r="Q610" s="12">
        <v>324.92</v>
      </c>
      <c r="R610" s="12">
        <v>473.6</v>
      </c>
      <c r="S610" s="12">
        <v>448.74</v>
      </c>
      <c r="T610" s="12">
        <v>499.99</v>
      </c>
      <c r="U610" s="12">
        <v>665.2</v>
      </c>
      <c r="V610" s="12">
        <v>717.86</v>
      </c>
      <c r="W610" s="12">
        <v>578.53</v>
      </c>
      <c r="X610" s="12">
        <v>544.36</v>
      </c>
      <c r="Y610" s="12">
        <v>514.66</v>
      </c>
      <c r="AA610" s="17"/>
      <c r="AB610" s="17"/>
      <c r="AC610" s="17"/>
    </row>
    <row r="611" spans="1:29">
      <c r="A611" s="10">
        <v>45906</v>
      </c>
      <c r="B611" s="12">
        <v>562.13</v>
      </c>
      <c r="C611" s="12">
        <v>524.35</v>
      </c>
      <c r="D611" s="12">
        <v>335.72</v>
      </c>
      <c r="E611" s="12">
        <v>427.7</v>
      </c>
      <c r="F611" s="12">
        <v>383.05</v>
      </c>
      <c r="G611" s="12">
        <v>315.7</v>
      </c>
      <c r="H611" s="12">
        <v>315.39</v>
      </c>
      <c r="I611" s="12">
        <v>299.28</v>
      </c>
      <c r="J611" s="12">
        <v>303.87</v>
      </c>
      <c r="K611" s="12">
        <v>293.51</v>
      </c>
      <c r="L611" s="12">
        <v>291.42</v>
      </c>
      <c r="M611" s="12">
        <v>224.74</v>
      </c>
      <c r="N611" s="12">
        <v>257.16</v>
      </c>
      <c r="O611" s="12">
        <v>334.57</v>
      </c>
      <c r="P611" s="12">
        <v>357.73</v>
      </c>
      <c r="Q611" s="12">
        <v>356.39</v>
      </c>
      <c r="R611" s="12">
        <v>412.4</v>
      </c>
      <c r="S611" s="12">
        <v>388.9</v>
      </c>
      <c r="T611" s="12">
        <v>372.75</v>
      </c>
      <c r="U611" s="12">
        <v>517.44</v>
      </c>
      <c r="V611" s="12">
        <v>513.39</v>
      </c>
      <c r="W611" s="12">
        <v>565.99</v>
      </c>
      <c r="X611" s="12">
        <v>538.67</v>
      </c>
      <c r="Y611" s="12">
        <v>455.53</v>
      </c>
      <c r="AA611" s="17">
        <f>MAX($B$611:$Z$611)</f>
        <v>565.99</v>
      </c>
      <c r="AB611" s="17">
        <f>MIN($B$611:$Z$611)</f>
        <v>224.74</v>
      </c>
      <c r="AC611" s="17">
        <f>AVERAGE($B$611:$Z$611)</f>
        <v>389.490833333333</v>
      </c>
    </row>
    <row r="612" spans="1:29">
      <c r="A612" s="10">
        <v>45907</v>
      </c>
      <c r="B612" s="12">
        <v>829.41</v>
      </c>
      <c r="C612" s="12">
        <v>484.96</v>
      </c>
      <c r="D612" s="12">
        <v>430.59</v>
      </c>
      <c r="E612" s="12">
        <v>370.59</v>
      </c>
      <c r="F612" s="12">
        <v>332.58</v>
      </c>
      <c r="G612" s="12">
        <v>320.1</v>
      </c>
      <c r="H612" s="12">
        <v>306.94</v>
      </c>
      <c r="I612" s="12">
        <v>272.44</v>
      </c>
      <c r="J612" s="12">
        <v>248.2</v>
      </c>
      <c r="K612" s="12">
        <v>237.73</v>
      </c>
      <c r="L612" s="12">
        <v>208.13</v>
      </c>
      <c r="M612" s="12">
        <v>193.66</v>
      </c>
      <c r="N612" s="12">
        <v>250.5</v>
      </c>
      <c r="O612" s="12">
        <v>294.15</v>
      </c>
      <c r="P612" s="12">
        <v>275.35</v>
      </c>
      <c r="Q612" s="12">
        <v>278.69</v>
      </c>
      <c r="R612" s="12">
        <v>283.72</v>
      </c>
      <c r="S612" s="12">
        <v>275.95</v>
      </c>
      <c r="T612" s="12">
        <v>296.51</v>
      </c>
      <c r="U612" s="12">
        <v>316.89</v>
      </c>
      <c r="V612" s="12">
        <v>305.37</v>
      </c>
      <c r="W612" s="12">
        <v>298.01</v>
      </c>
      <c r="X612" s="12">
        <v>263.66</v>
      </c>
      <c r="Y612" s="12">
        <v>252.66</v>
      </c>
      <c r="AA612" s="17">
        <f>MAX($B$612:$Z$612)</f>
        <v>829.41</v>
      </c>
      <c r="AB612" s="17">
        <f>MIN($B$612:$Z$612)</f>
        <v>193.66</v>
      </c>
      <c r="AC612" s="17">
        <f>AVERAGE($B$612:$Z$612)</f>
        <v>317.782916666667</v>
      </c>
    </row>
    <row r="613" spans="1:29">
      <c r="A613" s="10">
        <v>45908</v>
      </c>
      <c r="B613" s="12">
        <v>258.31</v>
      </c>
      <c r="C613" s="12">
        <v>239.69</v>
      </c>
      <c r="D613" s="12">
        <v>199.54</v>
      </c>
      <c r="E613" s="12">
        <v>143.2</v>
      </c>
      <c r="F613" s="12">
        <v>208.78</v>
      </c>
      <c r="G613" s="12">
        <v>214.58</v>
      </c>
      <c r="H613" s="12">
        <v>231.62</v>
      </c>
      <c r="I613" s="12">
        <v>221.17</v>
      </c>
      <c r="J613" s="12">
        <v>326.03</v>
      </c>
      <c r="K613" s="12">
        <v>373.01</v>
      </c>
      <c r="L613" s="12">
        <v>368.12</v>
      </c>
      <c r="M613" s="12">
        <v>338.16</v>
      </c>
      <c r="N613" s="12">
        <v>231.63</v>
      </c>
      <c r="O613" s="12">
        <v>216.42</v>
      </c>
      <c r="P613" s="12">
        <v>241.49</v>
      </c>
      <c r="Q613" s="12">
        <v>263.86</v>
      </c>
      <c r="R613" s="12">
        <v>288.35</v>
      </c>
      <c r="S613" s="12">
        <v>288.79</v>
      </c>
      <c r="T613" s="12">
        <v>284.41</v>
      </c>
      <c r="U613" s="12">
        <v>348.21</v>
      </c>
      <c r="V613" s="12">
        <v>299.18</v>
      </c>
      <c r="W613" s="12">
        <v>270.43</v>
      </c>
      <c r="X613" s="12">
        <v>251.72</v>
      </c>
      <c r="Y613" s="12">
        <v>234.96</v>
      </c>
      <c r="AA613" s="17">
        <f>MAX($B$613:$Z$613)</f>
        <v>373.01</v>
      </c>
      <c r="AB613" s="17">
        <f>MIN($B$613:$Z$613)</f>
        <v>143.2</v>
      </c>
      <c r="AC613" s="17">
        <f>AVERAGE($B$613:$Z$613)</f>
        <v>264.235833333333</v>
      </c>
    </row>
    <row r="614" spans="1:29">
      <c r="A614" s="10">
        <v>45909</v>
      </c>
      <c r="B614" s="12">
        <v>214.56</v>
      </c>
      <c r="C614" s="12">
        <v>221.25</v>
      </c>
      <c r="D614" s="12">
        <v>211.73</v>
      </c>
      <c r="E614" s="12">
        <v>222.05</v>
      </c>
      <c r="F614" s="12">
        <v>206.68</v>
      </c>
      <c r="G614" s="12">
        <v>224.75</v>
      </c>
      <c r="H614" s="12">
        <v>224.49</v>
      </c>
      <c r="I614" s="12">
        <v>253.15</v>
      </c>
      <c r="J614" s="12">
        <v>283.05</v>
      </c>
      <c r="K614" s="12">
        <v>287.23</v>
      </c>
      <c r="L614" s="12">
        <v>279.11</v>
      </c>
      <c r="M614" s="12">
        <v>223.14</v>
      </c>
      <c r="N614" s="12">
        <v>242.31</v>
      </c>
      <c r="O614" s="12">
        <v>272.46</v>
      </c>
      <c r="P614" s="12">
        <v>266.14</v>
      </c>
      <c r="Q614" s="12">
        <v>288.03</v>
      </c>
      <c r="R614" s="12">
        <v>320.41</v>
      </c>
      <c r="S614" s="12">
        <v>334.67</v>
      </c>
      <c r="T614" s="12">
        <v>362.27</v>
      </c>
      <c r="U614" s="12">
        <v>578.97</v>
      </c>
      <c r="V614" s="12">
        <v>403.3</v>
      </c>
      <c r="W614" s="12">
        <v>418.98</v>
      </c>
      <c r="X614" s="12">
        <v>320.99</v>
      </c>
      <c r="Y614" s="12">
        <v>291.11</v>
      </c>
      <c r="AA614" s="17">
        <f>MAX($B$614:$Z$614)</f>
        <v>578.97</v>
      </c>
      <c r="AB614" s="17">
        <f>MIN($B$614:$Z$614)</f>
        <v>206.68</v>
      </c>
      <c r="AC614" s="17">
        <f>AVERAGE($B$614:$Z$614)</f>
        <v>289.617916666667</v>
      </c>
    </row>
    <row r="615" spans="1:29">
      <c r="A615" s="10">
        <v>45910</v>
      </c>
      <c r="B615" s="12">
        <v>279.88</v>
      </c>
      <c r="C615" s="12">
        <v>273.95</v>
      </c>
      <c r="D615" s="12">
        <v>266.66</v>
      </c>
      <c r="E615" s="12">
        <v>261.42</v>
      </c>
      <c r="F615" s="12">
        <v>250.06</v>
      </c>
      <c r="G615" s="12">
        <v>240.89</v>
      </c>
      <c r="H615" s="12">
        <v>263.15</v>
      </c>
      <c r="I615" s="12">
        <v>264.43</v>
      </c>
      <c r="J615" s="12">
        <v>292.33</v>
      </c>
      <c r="K615" s="12">
        <v>324.27</v>
      </c>
      <c r="L615" s="12">
        <v>293.02</v>
      </c>
      <c r="M615" s="12">
        <v>284.19</v>
      </c>
      <c r="N615" s="12">
        <v>250.97</v>
      </c>
      <c r="O615" s="12">
        <v>287.58</v>
      </c>
      <c r="P615" s="12">
        <v>289.02</v>
      </c>
      <c r="Q615" s="12">
        <v>301.39</v>
      </c>
      <c r="R615" s="12">
        <v>342.39</v>
      </c>
      <c r="S615" s="12">
        <v>346.91</v>
      </c>
      <c r="T615" s="12">
        <v>328.78</v>
      </c>
      <c r="U615" s="12">
        <v>488.9</v>
      </c>
      <c r="V615" s="12">
        <v>373.25</v>
      </c>
      <c r="W615" s="12">
        <v>330.98</v>
      </c>
      <c r="X615" s="12">
        <v>295.51</v>
      </c>
      <c r="Y615" s="12">
        <v>260.21</v>
      </c>
      <c r="AA615" s="17">
        <f>MAX($B$615:$Z$615)</f>
        <v>488.9</v>
      </c>
      <c r="AB615" s="17">
        <f>MIN($B$615:$Z$615)</f>
        <v>240.89</v>
      </c>
      <c r="AC615" s="17">
        <f>AVERAGE($B$615:$Z$615)</f>
        <v>299.589166666667</v>
      </c>
    </row>
    <row r="616" spans="1:29">
      <c r="A616" s="10">
        <v>45911</v>
      </c>
      <c r="B616" s="12">
        <v>284.3</v>
      </c>
      <c r="C616" s="12">
        <v>275.62</v>
      </c>
      <c r="D616" s="12">
        <v>267.98</v>
      </c>
      <c r="E616" s="12">
        <v>260.35</v>
      </c>
      <c r="F616" s="12">
        <v>254.43</v>
      </c>
      <c r="G616" s="12">
        <v>251.79</v>
      </c>
      <c r="H616" s="12">
        <v>258.79</v>
      </c>
      <c r="I616" s="12">
        <v>245.57</v>
      </c>
      <c r="J616" s="12">
        <v>268.84</v>
      </c>
      <c r="K616" s="12">
        <v>273.18</v>
      </c>
      <c r="L616" s="12">
        <v>251.01</v>
      </c>
      <c r="M616" s="12">
        <v>251.74</v>
      </c>
      <c r="N616" s="12">
        <v>212.77</v>
      </c>
      <c r="O616" s="12">
        <v>268.61</v>
      </c>
      <c r="P616" s="12">
        <v>274.61</v>
      </c>
      <c r="Q616" s="12">
        <v>296.96</v>
      </c>
      <c r="R616" s="12">
        <v>392.31</v>
      </c>
      <c r="S616" s="12">
        <v>440.45</v>
      </c>
      <c r="T616" s="12">
        <v>563.44</v>
      </c>
      <c r="U616" s="12">
        <v>733.88</v>
      </c>
      <c r="V616" s="12">
        <v>369.77</v>
      </c>
      <c r="W616" s="12">
        <v>323.92</v>
      </c>
      <c r="X616" s="12">
        <v>309.1</v>
      </c>
      <c r="Y616" s="12">
        <v>256.18</v>
      </c>
      <c r="AA616" s="17">
        <f>MAX($B$616:$Z$616)</f>
        <v>733.88</v>
      </c>
      <c r="AB616" s="17">
        <f>MIN($B$616:$Z$616)</f>
        <v>212.77</v>
      </c>
      <c r="AC616" s="17">
        <f>AVERAGE($B$616:$Z$616)</f>
        <v>316.066666666667</v>
      </c>
    </row>
    <row r="617" spans="1:29">
      <c r="A617" s="10">
        <v>45912</v>
      </c>
      <c r="B617" s="12">
        <v>414.08</v>
      </c>
      <c r="C617" s="12">
        <v>300.21</v>
      </c>
      <c r="D617" s="12">
        <v>273</v>
      </c>
      <c r="E617" s="12">
        <v>259.67</v>
      </c>
      <c r="F617" s="12">
        <v>253.58</v>
      </c>
      <c r="G617" s="12">
        <v>253.41</v>
      </c>
      <c r="H617" s="12">
        <v>258.48</v>
      </c>
      <c r="I617" s="12">
        <v>249.47</v>
      </c>
      <c r="J617" s="12">
        <v>266.18</v>
      </c>
      <c r="K617" s="12">
        <v>300.23</v>
      </c>
      <c r="L617" s="12">
        <v>275.87</v>
      </c>
      <c r="M617" s="12">
        <v>291.73</v>
      </c>
      <c r="N617" s="12">
        <v>253.42</v>
      </c>
      <c r="O617" s="12">
        <v>255</v>
      </c>
      <c r="P617" s="12">
        <v>257.89</v>
      </c>
      <c r="Q617" s="12">
        <v>268.37</v>
      </c>
      <c r="R617" s="12">
        <v>309.28</v>
      </c>
      <c r="S617" s="12">
        <v>338.4</v>
      </c>
      <c r="T617" s="12">
        <v>367.15</v>
      </c>
      <c r="U617" s="12">
        <v>500.79</v>
      </c>
      <c r="V617" s="12">
        <v>434.43</v>
      </c>
      <c r="W617" s="12">
        <v>427.38</v>
      </c>
      <c r="X617" s="12">
        <v>359.26</v>
      </c>
      <c r="Y617" s="12">
        <v>306.15</v>
      </c>
      <c r="AA617" s="17">
        <f>MAX($B$617:$Z$617)</f>
        <v>500.79</v>
      </c>
      <c r="AB617" s="17">
        <f>MIN($B$617:$Z$617)</f>
        <v>249.47</v>
      </c>
      <c r="AC617" s="17">
        <f>AVERAGE($B$617:$Z$617)</f>
        <v>311.392916666667</v>
      </c>
    </row>
    <row r="618" spans="1:29">
      <c r="A618" s="10">
        <v>45913</v>
      </c>
      <c r="B618" s="12">
        <v>408.38</v>
      </c>
      <c r="C618" s="12">
        <v>405.62</v>
      </c>
      <c r="D618" s="12">
        <v>325.09</v>
      </c>
      <c r="E618" s="12">
        <v>301.21</v>
      </c>
      <c r="F618" s="12">
        <v>284.84</v>
      </c>
      <c r="G618" s="12">
        <v>278.57</v>
      </c>
      <c r="H618" s="12">
        <v>281.84</v>
      </c>
      <c r="I618" s="12">
        <v>271.36</v>
      </c>
      <c r="J618" s="12">
        <v>287.8</v>
      </c>
      <c r="K618" s="12">
        <v>279.45</v>
      </c>
      <c r="L618" s="12">
        <v>261.7</v>
      </c>
      <c r="M618" s="12">
        <v>263.01</v>
      </c>
      <c r="N618" s="12">
        <v>245.75</v>
      </c>
      <c r="O618" s="12">
        <v>328.32</v>
      </c>
      <c r="P618" s="12">
        <v>311.13</v>
      </c>
      <c r="Q618" s="12">
        <v>322.89</v>
      </c>
      <c r="R618" s="12">
        <v>416.33</v>
      </c>
      <c r="S618" s="12">
        <v>497.56</v>
      </c>
      <c r="T618" s="12">
        <v>450.87</v>
      </c>
      <c r="U618" s="12">
        <v>600.04</v>
      </c>
      <c r="V618" s="12">
        <v>398.42</v>
      </c>
      <c r="W618" s="12">
        <v>430.64</v>
      </c>
      <c r="X618" s="12">
        <v>366.26</v>
      </c>
      <c r="Y618" s="12">
        <v>316.91</v>
      </c>
      <c r="AA618" s="17">
        <f>MAX($B$618:$Z$618)</f>
        <v>600.04</v>
      </c>
      <c r="AB618" s="17">
        <f>MIN($B$618:$Z$618)</f>
        <v>245.75</v>
      </c>
      <c r="AC618" s="17">
        <f>AVERAGE($B$618:$Z$618)</f>
        <v>347.249583333333</v>
      </c>
    </row>
    <row r="619" spans="1:29">
      <c r="A619" s="10">
        <v>45914</v>
      </c>
      <c r="B619" s="12">
        <v>456.99</v>
      </c>
      <c r="C619" s="12">
        <v>369.92</v>
      </c>
      <c r="D619" s="12">
        <v>307.67</v>
      </c>
      <c r="E619" s="12">
        <v>289.47</v>
      </c>
      <c r="F619" s="12">
        <v>268.04</v>
      </c>
      <c r="G619" s="12">
        <v>245.32</v>
      </c>
      <c r="H619" s="12">
        <v>263.79</v>
      </c>
      <c r="I619" s="12">
        <v>246.87</v>
      </c>
      <c r="J619" s="12">
        <v>222.96</v>
      </c>
      <c r="K619" s="12">
        <v>215.38</v>
      </c>
      <c r="L619" s="12">
        <v>213.23</v>
      </c>
      <c r="M619" s="12">
        <v>229.47</v>
      </c>
      <c r="N619" s="12">
        <v>189.16</v>
      </c>
      <c r="O619" s="12">
        <v>215.91</v>
      </c>
      <c r="P619" s="12">
        <v>231.54</v>
      </c>
      <c r="Q619" s="12">
        <v>244.64</v>
      </c>
      <c r="R619" s="12">
        <v>308.19</v>
      </c>
      <c r="S619" s="12">
        <v>376.86</v>
      </c>
      <c r="T619" s="12">
        <v>314.86</v>
      </c>
      <c r="U619" s="12">
        <v>391.37</v>
      </c>
      <c r="V619" s="12">
        <v>326.02</v>
      </c>
      <c r="W619" s="12">
        <v>394.41</v>
      </c>
      <c r="X619" s="12">
        <v>346.22</v>
      </c>
      <c r="Y619" s="12">
        <v>276.35</v>
      </c>
      <c r="AA619" s="17">
        <f>MAX($B$619:$Z$619)</f>
        <v>456.99</v>
      </c>
      <c r="AB619" s="17">
        <f>MIN($B$619:$Z$619)</f>
        <v>189.16</v>
      </c>
      <c r="AC619" s="17">
        <f>AVERAGE($B$619:$Z$619)</f>
        <v>289.36</v>
      </c>
    </row>
    <row r="620" spans="1:29">
      <c r="A620" s="10">
        <v>45915</v>
      </c>
      <c r="B620" s="12">
        <v>323.91</v>
      </c>
      <c r="C620" s="12">
        <v>307.51</v>
      </c>
      <c r="D620" s="12">
        <v>284.52</v>
      </c>
      <c r="E620" s="12">
        <v>270.35</v>
      </c>
      <c r="F620" s="12">
        <v>253.12</v>
      </c>
      <c r="G620" s="12">
        <v>257.79</v>
      </c>
      <c r="H620" s="12">
        <v>276.17</v>
      </c>
      <c r="I620" s="12">
        <v>260.57</v>
      </c>
      <c r="J620" s="12">
        <v>275.23</v>
      </c>
      <c r="K620" s="12">
        <v>300.54</v>
      </c>
      <c r="L620" s="12">
        <v>276.97</v>
      </c>
      <c r="M620" s="12">
        <v>275.03</v>
      </c>
      <c r="N620" s="12">
        <v>246.7</v>
      </c>
      <c r="O620" s="12">
        <v>278.67</v>
      </c>
      <c r="P620" s="12">
        <v>296.91</v>
      </c>
      <c r="Q620" s="12">
        <v>325.61</v>
      </c>
      <c r="R620" s="12">
        <v>368.58</v>
      </c>
      <c r="S620" s="12">
        <v>346.47</v>
      </c>
      <c r="T620" s="12">
        <v>353.59</v>
      </c>
      <c r="U620" s="12">
        <v>442.65</v>
      </c>
      <c r="V620" s="12">
        <v>330.88</v>
      </c>
      <c r="W620" s="12">
        <v>329.8</v>
      </c>
      <c r="X620" s="12">
        <v>301.85</v>
      </c>
      <c r="Y620" s="12">
        <v>269.25</v>
      </c>
      <c r="AA620" s="17"/>
      <c r="AB620" s="17"/>
      <c r="AC620" s="17"/>
    </row>
    <row r="621" spans="1:29">
      <c r="A621" s="10">
        <v>45916</v>
      </c>
      <c r="B621" s="12">
        <v>305</v>
      </c>
      <c r="C621" s="12">
        <v>326.7</v>
      </c>
      <c r="D621" s="12">
        <v>260.21</v>
      </c>
      <c r="E621" s="12">
        <v>259.28</v>
      </c>
      <c r="F621" s="12">
        <v>253.41</v>
      </c>
      <c r="G621" s="12">
        <v>257.77</v>
      </c>
      <c r="H621" s="12">
        <v>260.96</v>
      </c>
      <c r="I621" s="12">
        <v>249.63</v>
      </c>
      <c r="J621" s="12">
        <v>273.23</v>
      </c>
      <c r="K621" s="12">
        <v>270.06</v>
      </c>
      <c r="L621" s="12">
        <v>244.02</v>
      </c>
      <c r="M621" s="12">
        <v>263.33</v>
      </c>
      <c r="N621" s="12">
        <v>250.83</v>
      </c>
      <c r="O621" s="12">
        <v>306.96</v>
      </c>
      <c r="P621" s="12">
        <v>270.02</v>
      </c>
      <c r="Q621" s="12">
        <v>308.68</v>
      </c>
      <c r="R621" s="12">
        <v>337.71</v>
      </c>
      <c r="S621" s="12">
        <v>361.39</v>
      </c>
      <c r="T621" s="12">
        <v>379.06</v>
      </c>
      <c r="U621" s="12">
        <v>433.14</v>
      </c>
      <c r="V621" s="12">
        <v>332.67</v>
      </c>
      <c r="W621" s="12">
        <v>337.82</v>
      </c>
      <c r="X621" s="12">
        <v>316.4</v>
      </c>
      <c r="Y621" s="12">
        <v>278.6</v>
      </c>
      <c r="AA621" s="17">
        <f>MAX($B$621:$Z$621)</f>
        <v>433.14</v>
      </c>
      <c r="AB621" s="17">
        <f>MIN($B$621:$Z$621)</f>
        <v>244.02</v>
      </c>
      <c r="AC621" s="17">
        <f>AVERAGE($B$621:$Z$621)</f>
        <v>297.37</v>
      </c>
    </row>
    <row r="622" spans="1:29">
      <c r="A622" s="10">
        <v>45917</v>
      </c>
      <c r="B622" s="12">
        <v>370.49</v>
      </c>
      <c r="C622" s="12">
        <v>342.41</v>
      </c>
      <c r="D622" s="12">
        <v>313.43</v>
      </c>
      <c r="E622" s="12">
        <v>287.69</v>
      </c>
      <c r="F622" s="12">
        <v>263.12</v>
      </c>
      <c r="G622" s="12">
        <v>262.66</v>
      </c>
      <c r="H622" s="12">
        <v>287.56</v>
      </c>
      <c r="I622" s="12">
        <v>272.13</v>
      </c>
      <c r="J622" s="12">
        <v>326.36</v>
      </c>
      <c r="K622" s="12">
        <v>306.9</v>
      </c>
      <c r="L622" s="12">
        <v>294.58</v>
      </c>
      <c r="M622" s="12">
        <v>286.68</v>
      </c>
      <c r="N622" s="12">
        <v>279.32</v>
      </c>
      <c r="O622" s="12">
        <v>325.85</v>
      </c>
      <c r="P622" s="12">
        <v>392.58</v>
      </c>
      <c r="Q622" s="12">
        <v>380.55</v>
      </c>
      <c r="R622" s="12">
        <v>569.06</v>
      </c>
      <c r="S622" s="12">
        <v>497.52</v>
      </c>
      <c r="T622" s="12">
        <v>329.97</v>
      </c>
      <c r="U622" s="12">
        <v>325.9</v>
      </c>
      <c r="V622" s="12">
        <v>312.3</v>
      </c>
      <c r="W622" s="12">
        <v>312.64</v>
      </c>
      <c r="X622" s="12">
        <v>279.68</v>
      </c>
      <c r="Y622" s="12">
        <v>260.91</v>
      </c>
      <c r="AA622" s="17">
        <f>MAX($B$622:$Z$622)</f>
        <v>569.06</v>
      </c>
      <c r="AB622" s="17">
        <f>MIN($B$622:$Z$622)</f>
        <v>260.91</v>
      </c>
      <c r="AC622" s="17">
        <f>AVERAGE($B$622:$Z$622)</f>
        <v>328.345416666667</v>
      </c>
    </row>
    <row r="623" spans="1:29">
      <c r="A623" s="10">
        <v>45918</v>
      </c>
      <c r="B623" s="12">
        <v>290.07</v>
      </c>
      <c r="C623" s="12">
        <v>285.82</v>
      </c>
      <c r="D623" s="12">
        <v>219.4</v>
      </c>
      <c r="E623" s="12">
        <v>214.06</v>
      </c>
      <c r="F623" s="12">
        <v>242.14</v>
      </c>
      <c r="G623" s="12">
        <v>265.99</v>
      </c>
      <c r="H623" s="12">
        <v>274.1</v>
      </c>
      <c r="I623" s="12">
        <v>256.1</v>
      </c>
      <c r="J623" s="12">
        <v>274.36</v>
      </c>
      <c r="K623" s="12">
        <v>250.39</v>
      </c>
      <c r="L623" s="12">
        <v>262.1</v>
      </c>
      <c r="M623" s="12">
        <v>319.95</v>
      </c>
      <c r="N623" s="12">
        <v>244.34</v>
      </c>
      <c r="O623" s="12">
        <v>179.24</v>
      </c>
      <c r="P623" s="12">
        <v>311.64</v>
      </c>
      <c r="Q623" s="12">
        <v>284.11</v>
      </c>
      <c r="R623" s="12">
        <v>371.51</v>
      </c>
      <c r="S623" s="12">
        <v>319.75</v>
      </c>
      <c r="T623" s="12">
        <v>322.42</v>
      </c>
      <c r="U623" s="12">
        <v>355.43</v>
      </c>
      <c r="V623" s="12">
        <v>318.15</v>
      </c>
      <c r="W623" s="12">
        <v>310.32</v>
      </c>
      <c r="X623" s="12">
        <v>275.58</v>
      </c>
      <c r="Y623" s="12">
        <v>258.09</v>
      </c>
      <c r="AA623" s="17">
        <f>MAX($B$623:$Z$623)</f>
        <v>371.51</v>
      </c>
      <c r="AB623" s="17">
        <f>MIN($B$623:$Z$623)</f>
        <v>179.24</v>
      </c>
      <c r="AC623" s="17">
        <f>AVERAGE($B$623:$Z$623)</f>
        <v>279.3775</v>
      </c>
    </row>
    <row r="624" spans="1:29">
      <c r="A624" s="10">
        <v>45919</v>
      </c>
      <c r="B624" s="12">
        <v>301.76</v>
      </c>
      <c r="C624" s="12">
        <v>270.53</v>
      </c>
      <c r="D624" s="12">
        <v>269.97</v>
      </c>
      <c r="E624" s="12">
        <v>257.26</v>
      </c>
      <c r="F624" s="12">
        <v>233.57</v>
      </c>
      <c r="G624" s="12">
        <v>244.09</v>
      </c>
      <c r="H624" s="12">
        <v>265.07</v>
      </c>
      <c r="I624" s="12">
        <v>246.76</v>
      </c>
      <c r="J624" s="12">
        <v>299.59</v>
      </c>
      <c r="K624" s="12">
        <v>312.57</v>
      </c>
      <c r="L624" s="12">
        <v>292.6</v>
      </c>
      <c r="M624" s="12">
        <v>305.92</v>
      </c>
      <c r="N624" s="12">
        <v>241.64</v>
      </c>
      <c r="O624" s="12">
        <v>290.11</v>
      </c>
      <c r="P624" s="12">
        <v>299.12</v>
      </c>
      <c r="Q624" s="12">
        <v>281.53</v>
      </c>
      <c r="R624" s="12">
        <v>322.91</v>
      </c>
      <c r="S624" s="12">
        <v>370.61</v>
      </c>
      <c r="T624" s="12">
        <v>304.47</v>
      </c>
      <c r="U624" s="12">
        <v>437.15</v>
      </c>
      <c r="V624" s="12">
        <v>335.85</v>
      </c>
      <c r="W624" s="12">
        <v>321.59</v>
      </c>
      <c r="X624" s="12">
        <v>275.87</v>
      </c>
      <c r="Y624" s="12">
        <v>267.53</v>
      </c>
      <c r="AA624" s="17">
        <f>MAX($B$624:$Z$624)</f>
        <v>437.15</v>
      </c>
      <c r="AB624" s="17">
        <f>MIN($B$624:$Z$624)</f>
        <v>233.57</v>
      </c>
      <c r="AC624" s="17">
        <f>AVERAGE($B$624:$Z$624)</f>
        <v>293.669583333333</v>
      </c>
    </row>
    <row r="625" spans="1:29">
      <c r="A625" s="10">
        <v>45920</v>
      </c>
      <c r="B625" s="12">
        <v>345.04</v>
      </c>
      <c r="C625" s="12">
        <v>305.26</v>
      </c>
      <c r="D625" s="12">
        <v>268.26</v>
      </c>
      <c r="E625" s="12">
        <v>247.51</v>
      </c>
      <c r="F625" s="12">
        <v>230.96</v>
      </c>
      <c r="G625" s="12">
        <v>225.3</v>
      </c>
      <c r="H625" s="12">
        <v>229.62</v>
      </c>
      <c r="I625" s="12">
        <v>232.99</v>
      </c>
      <c r="J625" s="12">
        <v>237.6</v>
      </c>
      <c r="K625" s="12">
        <v>238.35</v>
      </c>
      <c r="L625" s="12">
        <v>261.64</v>
      </c>
      <c r="M625" s="12">
        <v>225.29</v>
      </c>
      <c r="N625" s="12">
        <v>226.63</v>
      </c>
      <c r="O625" s="12">
        <v>247.36</v>
      </c>
      <c r="P625" s="12">
        <v>239.68</v>
      </c>
      <c r="Q625" s="12">
        <v>229.93</v>
      </c>
      <c r="R625" s="12">
        <v>276.52</v>
      </c>
      <c r="S625" s="12">
        <v>273.28</v>
      </c>
      <c r="T625" s="12">
        <v>288.23</v>
      </c>
      <c r="U625" s="12">
        <v>310.81</v>
      </c>
      <c r="V625" s="12">
        <v>250.68</v>
      </c>
      <c r="W625" s="12">
        <v>267.05</v>
      </c>
      <c r="X625" s="12">
        <v>263.76</v>
      </c>
      <c r="Y625" s="12">
        <v>257.67</v>
      </c>
      <c r="AA625" s="17">
        <f>MAX($B$625:$Z$625)</f>
        <v>345.04</v>
      </c>
      <c r="AB625" s="17">
        <f>MIN($B$625:$Z$625)</f>
        <v>225.29</v>
      </c>
      <c r="AC625" s="17">
        <f>AVERAGE($B$625:$Z$625)</f>
        <v>257.475833333333</v>
      </c>
    </row>
    <row r="626" spans="1:29">
      <c r="A626" s="10">
        <v>45921</v>
      </c>
      <c r="B626" s="12">
        <v>270.95</v>
      </c>
      <c r="C626" s="12">
        <v>252.65</v>
      </c>
      <c r="D626" s="12">
        <v>239.65</v>
      </c>
      <c r="E626" s="12">
        <v>181.18</v>
      </c>
      <c r="F626" s="12">
        <v>175.35</v>
      </c>
      <c r="G626" s="12">
        <v>194.89</v>
      </c>
      <c r="H626" s="12">
        <v>210.39</v>
      </c>
      <c r="I626" s="12">
        <v>214.57</v>
      </c>
      <c r="J626" s="12">
        <v>165.15</v>
      </c>
      <c r="K626" s="12">
        <v>163.93</v>
      </c>
      <c r="L626" s="12">
        <v>146.2</v>
      </c>
      <c r="M626" s="12">
        <v>201.98</v>
      </c>
      <c r="N626" s="12">
        <v>163.91</v>
      </c>
      <c r="O626" s="12">
        <v>201</v>
      </c>
      <c r="P626" s="12">
        <v>155.23</v>
      </c>
      <c r="Q626" s="12">
        <v>158.94</v>
      </c>
      <c r="R626" s="12">
        <v>170.64</v>
      </c>
      <c r="S626" s="12">
        <v>226.1</v>
      </c>
      <c r="T626" s="12">
        <v>253.06</v>
      </c>
      <c r="U626" s="12">
        <v>285.29</v>
      </c>
      <c r="V626" s="12">
        <v>257.8</v>
      </c>
      <c r="W626" s="12">
        <v>253.01</v>
      </c>
      <c r="X626" s="12">
        <v>227.01</v>
      </c>
      <c r="Y626" s="12">
        <v>207.12</v>
      </c>
      <c r="AA626" s="17">
        <f>MAX($B$626:$Z$626)</f>
        <v>285.29</v>
      </c>
      <c r="AB626" s="17">
        <f>MIN($B$626:$Z$626)</f>
        <v>146.2</v>
      </c>
      <c r="AC626" s="17">
        <f>AVERAGE($B$626:$Z$626)</f>
        <v>207.333333333333</v>
      </c>
    </row>
    <row r="627" spans="1:29">
      <c r="A627" s="10">
        <v>45922</v>
      </c>
      <c r="B627" s="12">
        <v>242.2</v>
      </c>
      <c r="C627" s="12">
        <v>227.78</v>
      </c>
      <c r="D627" s="12">
        <v>209.79</v>
      </c>
      <c r="E627" s="12">
        <v>204.94</v>
      </c>
      <c r="F627" s="12">
        <v>192.19</v>
      </c>
      <c r="G627" s="12">
        <v>178.9</v>
      </c>
      <c r="H627" s="12">
        <v>206.75</v>
      </c>
      <c r="I627" s="12">
        <v>208.04</v>
      </c>
      <c r="J627" s="12">
        <v>226.91</v>
      </c>
      <c r="K627" s="12">
        <v>252.59</v>
      </c>
      <c r="L627" s="12">
        <v>247.39</v>
      </c>
      <c r="M627" s="12">
        <v>241.78</v>
      </c>
      <c r="N627" s="12">
        <v>232.96</v>
      </c>
      <c r="O627" s="12">
        <v>249.1</v>
      </c>
      <c r="P627" s="12">
        <v>252.38</v>
      </c>
      <c r="Q627" s="12">
        <v>256.42</v>
      </c>
      <c r="R627" s="12">
        <v>311.46</v>
      </c>
      <c r="S627" s="12">
        <v>347.83</v>
      </c>
      <c r="T627" s="12">
        <v>368.69</v>
      </c>
      <c r="U627" s="12">
        <v>467.65</v>
      </c>
      <c r="V627" s="12">
        <v>380.62</v>
      </c>
      <c r="W627" s="12">
        <v>348.22</v>
      </c>
      <c r="X627" s="12">
        <v>306.23</v>
      </c>
      <c r="Y627" s="12">
        <v>275.27</v>
      </c>
      <c r="AA627" s="17">
        <f>MAX($B$627:$Z$627)</f>
        <v>467.65</v>
      </c>
      <c r="AB627" s="17">
        <f>MIN($B$627:$Z$627)</f>
        <v>178.9</v>
      </c>
      <c r="AC627" s="17">
        <f>AVERAGE($B$627:$Z$627)</f>
        <v>268.170416666667</v>
      </c>
    </row>
    <row r="628" spans="1:29">
      <c r="A628" s="10">
        <v>45923</v>
      </c>
      <c r="B628" s="12">
        <v>310.05</v>
      </c>
      <c r="C628" s="12">
        <v>279.29</v>
      </c>
      <c r="D628" s="12">
        <v>252.83</v>
      </c>
      <c r="E628" s="12">
        <v>215.24</v>
      </c>
      <c r="F628" s="12">
        <v>141.73</v>
      </c>
      <c r="G628" s="12">
        <v>88.97</v>
      </c>
      <c r="H628" s="12">
        <v>123.75</v>
      </c>
      <c r="I628" s="12">
        <v>89.63</v>
      </c>
      <c r="J628" s="12">
        <v>164.73</v>
      </c>
      <c r="K628" s="12">
        <v>233.73</v>
      </c>
      <c r="L628" s="12">
        <v>245.83</v>
      </c>
      <c r="M628" s="12">
        <v>257.53</v>
      </c>
      <c r="N628" s="12">
        <v>236.56</v>
      </c>
      <c r="O628" s="12">
        <v>250.12</v>
      </c>
      <c r="P628" s="12">
        <v>252.77</v>
      </c>
      <c r="Q628" s="12">
        <v>243.31</v>
      </c>
      <c r="R628" s="12">
        <v>242.79</v>
      </c>
      <c r="S628" s="12">
        <v>214.89</v>
      </c>
      <c r="T628" s="12">
        <v>182.52</v>
      </c>
      <c r="U628" s="12">
        <v>186.91</v>
      </c>
      <c r="V628" s="12">
        <v>62.81</v>
      </c>
      <c r="W628" s="12">
        <v>42.35</v>
      </c>
      <c r="X628" s="12">
        <v>74.4</v>
      </c>
      <c r="Y628" s="12">
        <v>60.59</v>
      </c>
      <c r="AA628" s="17">
        <f>MAX($B$628:$Z$628)</f>
        <v>310.05</v>
      </c>
      <c r="AB628" s="17">
        <f>MIN($B$628:$Z$628)</f>
        <v>42.35</v>
      </c>
      <c r="AC628" s="17">
        <f>AVERAGE($B$628:$Z$628)</f>
        <v>185.555416666667</v>
      </c>
    </row>
    <row r="629" spans="1:29">
      <c r="A629" s="10">
        <v>45924</v>
      </c>
      <c r="B629" s="12">
        <v>280.8</v>
      </c>
      <c r="C629" s="12">
        <v>180.66</v>
      </c>
      <c r="D629" s="12">
        <v>114.56</v>
      </c>
      <c r="E629" s="12">
        <v>31.63</v>
      </c>
      <c r="F629" s="12">
        <v>21.45</v>
      </c>
      <c r="G629" s="12">
        <v>21.75</v>
      </c>
      <c r="H629" s="12">
        <v>-0.95</v>
      </c>
      <c r="I629" s="12">
        <v>4.88</v>
      </c>
      <c r="J629" s="12">
        <v>58.02</v>
      </c>
      <c r="K629" s="12">
        <v>29.86</v>
      </c>
      <c r="L629" s="12">
        <v>44.16</v>
      </c>
      <c r="M629" s="12">
        <v>57.68</v>
      </c>
      <c r="N629" s="12">
        <v>35.01</v>
      </c>
      <c r="O629" s="12">
        <v>28.99</v>
      </c>
      <c r="P629" s="12">
        <v>19.24</v>
      </c>
      <c r="Q629" s="12">
        <v>26.62</v>
      </c>
      <c r="R629" s="12">
        <v>97.68</v>
      </c>
      <c r="S629" s="12">
        <v>192.99</v>
      </c>
      <c r="T629" s="12">
        <v>277.74</v>
      </c>
      <c r="U629" s="12">
        <v>581.92</v>
      </c>
      <c r="V629" s="12">
        <v>349.32</v>
      </c>
      <c r="W629" s="12">
        <v>309.91</v>
      </c>
      <c r="X629" s="12">
        <v>275.31</v>
      </c>
      <c r="Y629" s="12">
        <v>185.77</v>
      </c>
      <c r="AA629" s="17">
        <f>MAX($B$629:$Z$629)</f>
        <v>581.92</v>
      </c>
      <c r="AB629" s="17">
        <f>MIN($B$629:$Z$629)</f>
        <v>-0.95</v>
      </c>
      <c r="AC629" s="17">
        <f>AVERAGE($B$629:$Z$629)</f>
        <v>134.375</v>
      </c>
    </row>
    <row r="630" spans="1:29">
      <c r="A630" s="10">
        <v>45925</v>
      </c>
      <c r="B630" s="12">
        <v>212.94</v>
      </c>
      <c r="C630" s="12">
        <v>182.54</v>
      </c>
      <c r="D630" s="12">
        <v>236.58</v>
      </c>
      <c r="E630" s="12">
        <v>254.75</v>
      </c>
      <c r="F630" s="12">
        <v>279.42</v>
      </c>
      <c r="G630" s="12">
        <v>244.98</v>
      </c>
      <c r="H630" s="12">
        <v>180.19</v>
      </c>
      <c r="I630" s="12">
        <v>238.25</v>
      </c>
      <c r="J630" s="12">
        <v>387.65</v>
      </c>
      <c r="K630" s="12">
        <v>671.51</v>
      </c>
      <c r="L630" s="12">
        <v>401.66</v>
      </c>
      <c r="M630" s="12">
        <v>528.4</v>
      </c>
      <c r="N630" s="12">
        <v>333.24</v>
      </c>
      <c r="O630" s="12">
        <v>328.77</v>
      </c>
      <c r="P630" s="12">
        <v>286.5</v>
      </c>
      <c r="Q630" s="12">
        <v>304.47</v>
      </c>
      <c r="R630" s="12">
        <v>340.52</v>
      </c>
      <c r="S630" s="12">
        <v>402.56</v>
      </c>
      <c r="T630" s="12">
        <v>512.33</v>
      </c>
      <c r="U630" s="12">
        <v>599.37</v>
      </c>
      <c r="V630" s="12">
        <v>467.54</v>
      </c>
      <c r="W630" s="12">
        <v>345.17</v>
      </c>
      <c r="X630" s="12">
        <v>225.25</v>
      </c>
      <c r="Y630" s="12">
        <v>233.39</v>
      </c>
      <c r="AA630" s="17">
        <f>MAX($B$630:$Z$630)</f>
        <v>671.51</v>
      </c>
      <c r="AB630" s="17">
        <f>MIN($B$630:$Z$630)</f>
        <v>180.19</v>
      </c>
      <c r="AC630" s="17">
        <f>AVERAGE($B$630:$Z$630)</f>
        <v>341.5825</v>
      </c>
    </row>
    <row r="631" spans="1:29">
      <c r="A631" s="10">
        <v>45926</v>
      </c>
      <c r="B631" s="12">
        <v>344.86</v>
      </c>
      <c r="C631" s="12">
        <v>255.85</v>
      </c>
      <c r="D631" s="12">
        <v>171.76</v>
      </c>
      <c r="E631" s="12">
        <v>146.54</v>
      </c>
      <c r="F631" s="12">
        <v>139.69</v>
      </c>
      <c r="G631" s="12">
        <v>129.1</v>
      </c>
      <c r="H631" s="12">
        <v>189.94</v>
      </c>
      <c r="I631" s="12">
        <v>203.27</v>
      </c>
      <c r="J631" s="12">
        <v>237.09</v>
      </c>
      <c r="K631" s="12">
        <v>244.24</v>
      </c>
      <c r="L631" s="12">
        <v>259.19</v>
      </c>
      <c r="M631" s="12">
        <v>332.72</v>
      </c>
      <c r="N631" s="12">
        <v>249.27</v>
      </c>
      <c r="O631" s="12">
        <v>278.02</v>
      </c>
      <c r="P631" s="12">
        <v>283.68</v>
      </c>
      <c r="Q631" s="12">
        <v>320.73</v>
      </c>
      <c r="R631" s="12">
        <v>360.84</v>
      </c>
      <c r="S631" s="12">
        <v>455.32</v>
      </c>
      <c r="T631" s="12">
        <v>458.01</v>
      </c>
      <c r="U631" s="12">
        <v>462.15</v>
      </c>
      <c r="V631" s="12">
        <v>391.82</v>
      </c>
      <c r="W631" s="12">
        <v>342.1</v>
      </c>
      <c r="X631" s="12">
        <v>289.05</v>
      </c>
      <c r="Y631" s="12">
        <v>265.9</v>
      </c>
      <c r="AA631" s="17">
        <f>MAX($B$631:$Z$631)</f>
        <v>462.15</v>
      </c>
      <c r="AB631" s="17">
        <f>MIN($B$631:$Z$631)</f>
        <v>129.1</v>
      </c>
      <c r="AC631" s="17">
        <f>AVERAGE($B$631:$Z$631)</f>
        <v>283.7975</v>
      </c>
    </row>
    <row r="632" spans="1:29">
      <c r="A632" s="10">
        <v>45927</v>
      </c>
      <c r="B632" s="12">
        <v>347.46</v>
      </c>
      <c r="C632" s="12">
        <v>309</v>
      </c>
      <c r="D632" s="12">
        <v>278.53</v>
      </c>
      <c r="E632" s="12">
        <v>249.25</v>
      </c>
      <c r="F632" s="12">
        <v>245.15</v>
      </c>
      <c r="G632" s="12">
        <v>234.03</v>
      </c>
      <c r="H632" s="12">
        <v>225.04</v>
      </c>
      <c r="I632" s="12">
        <v>228.41</v>
      </c>
      <c r="J632" s="12">
        <v>345.68</v>
      </c>
      <c r="K632" s="12">
        <v>409.77</v>
      </c>
      <c r="L632" s="12">
        <v>354.27</v>
      </c>
      <c r="M632" s="12">
        <v>326.25</v>
      </c>
      <c r="N632" s="12">
        <v>289.47</v>
      </c>
      <c r="O632" s="12">
        <v>352.63</v>
      </c>
      <c r="P632" s="12">
        <v>427.72</v>
      </c>
      <c r="Q632" s="12">
        <v>367.3</v>
      </c>
      <c r="R632" s="12">
        <v>399.04</v>
      </c>
      <c r="S632" s="12">
        <v>392.29</v>
      </c>
      <c r="T632" s="12">
        <v>370.33</v>
      </c>
      <c r="U632" s="12">
        <v>488.65</v>
      </c>
      <c r="V632" s="12">
        <v>392.09</v>
      </c>
      <c r="W632" s="12">
        <v>395.68</v>
      </c>
      <c r="X632" s="12">
        <v>286.1</v>
      </c>
      <c r="Y632" s="12">
        <v>257.94</v>
      </c>
      <c r="AA632" s="17">
        <f>MAX($B$632:$Z$632)</f>
        <v>488.65</v>
      </c>
      <c r="AB632" s="17">
        <f>MIN($B$632:$Z$632)</f>
        <v>225.04</v>
      </c>
      <c r="AC632" s="17">
        <f>AVERAGE($B$632:$Z$632)</f>
        <v>332.17</v>
      </c>
    </row>
    <row r="633" spans="1:29">
      <c r="A633" s="10">
        <v>45928</v>
      </c>
      <c r="B633" s="12">
        <v>333.01</v>
      </c>
      <c r="C633" s="12">
        <v>268.99</v>
      </c>
      <c r="D633" s="12">
        <v>273.14</v>
      </c>
      <c r="E633" s="12">
        <v>268.71</v>
      </c>
      <c r="F633" s="12">
        <v>232.09</v>
      </c>
      <c r="G633" s="12">
        <v>236.99</v>
      </c>
      <c r="H633" s="12">
        <v>254.19</v>
      </c>
      <c r="I633" s="12">
        <v>228.3</v>
      </c>
      <c r="J633" s="12">
        <v>288.94</v>
      </c>
      <c r="K633" s="12">
        <v>280.86</v>
      </c>
      <c r="L633" s="12">
        <v>270.47</v>
      </c>
      <c r="M633" s="12">
        <v>234.89</v>
      </c>
      <c r="N633" s="12">
        <v>269.9</v>
      </c>
      <c r="O633" s="12">
        <v>265.22</v>
      </c>
      <c r="P633" s="12">
        <v>259.71</v>
      </c>
      <c r="Q633" s="12">
        <v>273.03</v>
      </c>
      <c r="R633" s="12">
        <v>309.17</v>
      </c>
      <c r="S633" s="12">
        <v>320.31</v>
      </c>
      <c r="T633" s="12">
        <v>312.29</v>
      </c>
      <c r="U633" s="12">
        <v>363.78</v>
      </c>
      <c r="V633" s="12">
        <v>307.74</v>
      </c>
      <c r="W633" s="12">
        <v>315.83</v>
      </c>
      <c r="X633" s="12">
        <v>304.53</v>
      </c>
      <c r="Y633" s="12">
        <v>258.39</v>
      </c>
      <c r="AA633" s="17">
        <f>MAX($B$633:$Z$633)</f>
        <v>363.78</v>
      </c>
      <c r="AB633" s="17">
        <f>MIN($B$633:$Z$633)</f>
        <v>228.3</v>
      </c>
      <c r="AC633" s="17">
        <f>AVERAGE($B$633:$Z$633)</f>
        <v>280.436666666667</v>
      </c>
    </row>
    <row r="634" spans="1:29">
      <c r="A634" s="10">
        <v>45929</v>
      </c>
      <c r="B634" s="12">
        <v>311.64</v>
      </c>
      <c r="C634" s="12">
        <v>296.98</v>
      </c>
      <c r="D634" s="12">
        <v>277.5</v>
      </c>
      <c r="E634" s="12">
        <v>261.94</v>
      </c>
      <c r="F634" s="12">
        <v>244.82</v>
      </c>
      <c r="G634" s="12">
        <v>259.31</v>
      </c>
      <c r="H634" s="12">
        <v>265.43</v>
      </c>
      <c r="I634" s="12">
        <v>274.1</v>
      </c>
      <c r="J634" s="12">
        <v>276.54</v>
      </c>
      <c r="K634" s="12">
        <v>281.35</v>
      </c>
      <c r="L634" s="12">
        <v>250.11</v>
      </c>
      <c r="M634" s="12">
        <v>276.57</v>
      </c>
      <c r="N634" s="12">
        <v>233.52</v>
      </c>
      <c r="O634" s="12">
        <v>272.46</v>
      </c>
      <c r="P634" s="12">
        <v>293.06</v>
      </c>
      <c r="Q634" s="12">
        <v>290.07</v>
      </c>
      <c r="R634" s="12">
        <v>319.99</v>
      </c>
      <c r="S634" s="12">
        <v>348.8</v>
      </c>
      <c r="T634" s="12">
        <v>380.18</v>
      </c>
      <c r="U634" s="12">
        <v>501.3</v>
      </c>
      <c r="V634" s="12">
        <v>413.07</v>
      </c>
      <c r="W634" s="12">
        <v>457.87</v>
      </c>
      <c r="X634" s="12">
        <v>377.27</v>
      </c>
      <c r="Y634" s="12">
        <v>322.67</v>
      </c>
      <c r="AA634" s="17">
        <f>MAX($B$634:$Z$634)</f>
        <v>501.3</v>
      </c>
      <c r="AB634" s="17">
        <f>MIN($B$634:$Z$634)</f>
        <v>233.52</v>
      </c>
      <c r="AC634" s="17">
        <f>AVERAGE($B$634:$Z$634)</f>
        <v>311.939583333333</v>
      </c>
    </row>
    <row r="635" spans="1:29">
      <c r="A635" s="10">
        <v>45930</v>
      </c>
      <c r="B635" s="12">
        <v>501.25</v>
      </c>
      <c r="C635" s="12">
        <v>353.57</v>
      </c>
      <c r="D635" s="12">
        <v>342.02</v>
      </c>
      <c r="E635" s="12">
        <v>323.8</v>
      </c>
      <c r="F635" s="12">
        <v>300.18</v>
      </c>
      <c r="G635" s="12">
        <v>294.79</v>
      </c>
      <c r="H635" s="12">
        <v>318.98</v>
      </c>
      <c r="I635" s="12">
        <v>271.21</v>
      </c>
      <c r="J635" s="12">
        <v>282.37</v>
      </c>
      <c r="K635" s="12">
        <v>278.99</v>
      </c>
      <c r="L635" s="12">
        <v>270.8</v>
      </c>
      <c r="M635" s="12">
        <v>337.6</v>
      </c>
      <c r="N635" s="12">
        <v>295.85</v>
      </c>
      <c r="O635" s="12">
        <v>528.71</v>
      </c>
      <c r="P635" s="12">
        <v>455.7</v>
      </c>
      <c r="Q635" s="12">
        <v>416.37</v>
      </c>
      <c r="R635" s="12">
        <v>458.97</v>
      </c>
      <c r="S635" s="12">
        <v>412.77</v>
      </c>
      <c r="T635" s="12">
        <v>538.2</v>
      </c>
      <c r="U635" s="12">
        <v>617.24</v>
      </c>
      <c r="V635" s="12">
        <v>530.57</v>
      </c>
      <c r="W635" s="12">
        <v>464.62</v>
      </c>
      <c r="X635" s="12">
        <v>419.73</v>
      </c>
      <c r="Y635" s="12">
        <v>327.93</v>
      </c>
      <c r="AA635" s="17">
        <f>MAX($B$635:$Z$635)</f>
        <v>617.24</v>
      </c>
      <c r="AB635" s="17">
        <f>MIN($B$635:$Z$635)</f>
        <v>270.8</v>
      </c>
      <c r="AC635" s="17">
        <f>AVERAGE($B$635:$Z$635)</f>
        <v>389.259166666667</v>
      </c>
    </row>
    <row r="636" spans="1:29">
      <c r="A636" s="10">
        <v>45931</v>
      </c>
      <c r="B636" s="12">
        <v>668.95</v>
      </c>
      <c r="C636" s="12">
        <v>618.89</v>
      </c>
      <c r="D636" s="12">
        <v>437.24</v>
      </c>
      <c r="E636" s="12">
        <v>312.38</v>
      </c>
      <c r="F636" s="12">
        <v>283.3</v>
      </c>
      <c r="G636" s="12">
        <v>258.74</v>
      </c>
      <c r="H636" s="12">
        <v>244.93</v>
      </c>
      <c r="I636" s="12">
        <v>222.39</v>
      </c>
      <c r="J636" s="12">
        <v>158.24</v>
      </c>
      <c r="K636" s="12">
        <v>101.58</v>
      </c>
      <c r="L636" s="12">
        <v>157.14</v>
      </c>
      <c r="M636" s="12">
        <v>118.66</v>
      </c>
      <c r="N636" s="12">
        <v>149.04</v>
      </c>
      <c r="O636" s="12">
        <v>215.15</v>
      </c>
      <c r="P636" s="12">
        <v>170.02</v>
      </c>
      <c r="Q636" s="12">
        <v>170.35</v>
      </c>
      <c r="R636" s="12">
        <v>244.1</v>
      </c>
      <c r="S636" s="12">
        <v>365.93</v>
      </c>
      <c r="T636" s="12">
        <v>438.13</v>
      </c>
      <c r="U636" s="12">
        <v>482.58</v>
      </c>
      <c r="V636" s="12">
        <v>361.46</v>
      </c>
      <c r="W636" s="12">
        <v>623.12</v>
      </c>
      <c r="X636" s="12">
        <v>505.64</v>
      </c>
      <c r="Y636" s="12">
        <v>399.66</v>
      </c>
      <c r="AA636" s="17">
        <f>MAX($B$636:$Z$636)</f>
        <v>668.95</v>
      </c>
      <c r="AB636" s="17">
        <f>MIN($B$636:$Z$636)</f>
        <v>101.58</v>
      </c>
      <c r="AC636" s="17">
        <f>AVERAGE($B$636:$Z$636)</f>
        <v>321.150833333333</v>
      </c>
    </row>
    <row r="637" spans="1:29">
      <c r="A637" s="10">
        <v>45932</v>
      </c>
      <c r="B637" s="12">
        <v>696.69</v>
      </c>
      <c r="C637" s="12">
        <v>288.76</v>
      </c>
      <c r="D637" s="12">
        <v>249.61</v>
      </c>
      <c r="E637" s="12">
        <v>229.44</v>
      </c>
      <c r="F637" s="12">
        <v>206.51</v>
      </c>
      <c r="G637" s="12">
        <v>175.97</v>
      </c>
      <c r="H637" s="12">
        <v>215.86</v>
      </c>
      <c r="I637" s="12">
        <v>205.58</v>
      </c>
      <c r="J637" s="12">
        <v>150.21</v>
      </c>
      <c r="K637" s="12">
        <v>169.15</v>
      </c>
      <c r="L637" s="12">
        <v>161.59</v>
      </c>
      <c r="M637" s="12">
        <v>127.88</v>
      </c>
      <c r="N637" s="12">
        <v>118.45</v>
      </c>
      <c r="O637" s="12">
        <v>87.19</v>
      </c>
      <c r="P637" s="12">
        <v>168.63</v>
      </c>
      <c r="Q637" s="12">
        <v>175.41</v>
      </c>
      <c r="R637" s="12">
        <v>221.82</v>
      </c>
      <c r="S637" s="12">
        <v>410.4</v>
      </c>
      <c r="T637" s="12">
        <v>430.52</v>
      </c>
      <c r="U637" s="12">
        <v>379.6</v>
      </c>
      <c r="V637" s="12">
        <v>361.13</v>
      </c>
      <c r="W637" s="12">
        <v>425.78</v>
      </c>
      <c r="X637" s="12">
        <v>389.66</v>
      </c>
      <c r="Y637" s="12">
        <v>404.89</v>
      </c>
      <c r="AA637" s="17">
        <f>MAX($B$637:$Z$637)</f>
        <v>696.69</v>
      </c>
      <c r="AB637" s="17">
        <f>MIN($B$637:$Z$637)</f>
        <v>87.19</v>
      </c>
      <c r="AC637" s="17">
        <f>AVERAGE($B$637:$Z$637)</f>
        <v>268.780416666667</v>
      </c>
    </row>
    <row r="638" spans="1:29">
      <c r="A638" s="10">
        <v>45933</v>
      </c>
      <c r="B638" s="12">
        <v>487.82</v>
      </c>
      <c r="C638" s="12">
        <v>303.68</v>
      </c>
      <c r="D638" s="12">
        <v>270.33</v>
      </c>
      <c r="E638" s="12">
        <v>238.82</v>
      </c>
      <c r="F638" s="12">
        <v>239.64</v>
      </c>
      <c r="G638" s="12">
        <v>250.77</v>
      </c>
      <c r="H638" s="12">
        <v>255.1</v>
      </c>
      <c r="I638" s="12">
        <v>242.02</v>
      </c>
      <c r="J638" s="12">
        <v>156</v>
      </c>
      <c r="K638" s="12">
        <v>160.56</v>
      </c>
      <c r="L638" s="12">
        <v>165.95</v>
      </c>
      <c r="M638" s="12">
        <v>151.04</v>
      </c>
      <c r="N638" s="12">
        <v>154.91</v>
      </c>
      <c r="O638" s="12">
        <v>204.66</v>
      </c>
      <c r="P638" s="12">
        <v>233.03</v>
      </c>
      <c r="Q638" s="12">
        <v>234.28</v>
      </c>
      <c r="R638" s="12">
        <v>279.7</v>
      </c>
      <c r="S638" s="12">
        <v>322.74</v>
      </c>
      <c r="T638" s="12">
        <v>364.69</v>
      </c>
      <c r="U638" s="12">
        <v>355.78</v>
      </c>
      <c r="V638" s="12">
        <v>342.14</v>
      </c>
      <c r="W638" s="12">
        <v>389.31</v>
      </c>
      <c r="X638" s="12">
        <v>389.45</v>
      </c>
      <c r="Y638" s="12">
        <v>380.91</v>
      </c>
      <c r="AA638" s="17">
        <f>MAX($B$638:$Z$638)</f>
        <v>487.82</v>
      </c>
      <c r="AB638" s="17">
        <f>MIN($B$638:$Z$638)</f>
        <v>151.04</v>
      </c>
      <c r="AC638" s="17">
        <f>AVERAGE($B$638:$Z$638)</f>
        <v>273.88875</v>
      </c>
    </row>
    <row r="639" spans="1:29">
      <c r="A639" s="10">
        <v>45934</v>
      </c>
      <c r="B639" s="12">
        <v>797.56</v>
      </c>
      <c r="C639" s="12">
        <v>590.75</v>
      </c>
      <c r="D639" s="12">
        <v>346.17</v>
      </c>
      <c r="E639" s="12">
        <v>295.42</v>
      </c>
      <c r="F639" s="12">
        <v>279.83</v>
      </c>
      <c r="G639" s="12">
        <v>277.2</v>
      </c>
      <c r="H639" s="12">
        <v>280.09</v>
      </c>
      <c r="I639" s="12">
        <v>266.05</v>
      </c>
      <c r="J639" s="12">
        <v>244.43</v>
      </c>
      <c r="K639" s="12">
        <v>167.35</v>
      </c>
      <c r="L639" s="12">
        <v>147.45</v>
      </c>
      <c r="M639" s="12">
        <v>151.52</v>
      </c>
      <c r="N639" s="12">
        <v>206.11</v>
      </c>
      <c r="O639" s="12">
        <v>271.47</v>
      </c>
      <c r="P639" s="12">
        <v>276.57</v>
      </c>
      <c r="Q639" s="12">
        <v>321.36</v>
      </c>
      <c r="R639" s="12">
        <v>476.4</v>
      </c>
      <c r="S639" s="12">
        <v>683.72</v>
      </c>
      <c r="T639" s="12">
        <v>473.23</v>
      </c>
      <c r="U639" s="12">
        <v>389.86</v>
      </c>
      <c r="V639" s="12">
        <v>337.6</v>
      </c>
      <c r="W639" s="12">
        <v>326.05</v>
      </c>
      <c r="X639" s="12">
        <v>279.79</v>
      </c>
      <c r="Y639" s="12">
        <v>265.09</v>
      </c>
      <c r="AA639" s="17">
        <f>MAX($B$639:$Z$639)</f>
        <v>797.56</v>
      </c>
      <c r="AB639" s="17">
        <f>MIN($B$639:$Z$639)</f>
        <v>147.45</v>
      </c>
      <c r="AC639" s="17">
        <f>AVERAGE($B$639:$Z$639)</f>
        <v>339.627916666667</v>
      </c>
    </row>
    <row r="640" spans="1:29">
      <c r="A640" s="10">
        <v>45935</v>
      </c>
      <c r="B640" s="12">
        <v>385.2</v>
      </c>
      <c r="C640" s="12">
        <v>316.42</v>
      </c>
      <c r="D640" s="12">
        <v>295.31</v>
      </c>
      <c r="E640" s="12">
        <v>271.55</v>
      </c>
      <c r="F640" s="12">
        <v>265.92</v>
      </c>
      <c r="G640" s="12">
        <v>259.19</v>
      </c>
      <c r="H640" s="12">
        <v>262.34</v>
      </c>
      <c r="I640" s="12">
        <v>247.97</v>
      </c>
      <c r="J640" s="12">
        <v>151.37</v>
      </c>
      <c r="K640" s="12">
        <v>172.77</v>
      </c>
      <c r="L640" s="12">
        <v>197.03</v>
      </c>
      <c r="M640" s="12">
        <v>199.98</v>
      </c>
      <c r="N640" s="12">
        <v>209.25</v>
      </c>
      <c r="O640" s="12">
        <v>237.98</v>
      </c>
      <c r="P640" s="12">
        <v>186.64</v>
      </c>
      <c r="Q640" s="12">
        <v>168.85</v>
      </c>
      <c r="R640" s="12">
        <v>188.62</v>
      </c>
      <c r="S640" s="12">
        <v>270.51</v>
      </c>
      <c r="T640" s="12">
        <v>282.7</v>
      </c>
      <c r="U640" s="12">
        <v>286.98</v>
      </c>
      <c r="V640" s="12">
        <v>274.97</v>
      </c>
      <c r="W640" s="12">
        <v>278.31</v>
      </c>
      <c r="X640" s="12">
        <v>270.24</v>
      </c>
      <c r="Y640" s="12">
        <v>263.74</v>
      </c>
      <c r="AA640" s="17">
        <f>MAX($B$640:$Z$640)</f>
        <v>385.2</v>
      </c>
      <c r="AB640" s="17">
        <f>MIN($B$640:$Z$640)</f>
        <v>151.37</v>
      </c>
      <c r="AC640" s="17">
        <f>AVERAGE($B$640:$Z$640)</f>
        <v>247.66</v>
      </c>
    </row>
    <row r="641" spans="1:29">
      <c r="A641" s="10">
        <v>45936</v>
      </c>
      <c r="B641" s="12">
        <v>303.4</v>
      </c>
      <c r="C641" s="12">
        <v>257.36</v>
      </c>
      <c r="D641" s="12">
        <v>250.46</v>
      </c>
      <c r="E641" s="12">
        <v>224.87</v>
      </c>
      <c r="F641" s="12">
        <v>215.44</v>
      </c>
      <c r="G641" s="12">
        <v>193.69</v>
      </c>
      <c r="H641" s="12">
        <v>205.72</v>
      </c>
      <c r="I641" s="12">
        <v>147.35</v>
      </c>
      <c r="J641" s="12">
        <v>24.26</v>
      </c>
      <c r="K641" s="12">
        <v>29.92</v>
      </c>
      <c r="L641" s="12">
        <v>33.36</v>
      </c>
      <c r="M641" s="12">
        <v>12.71</v>
      </c>
      <c r="N641" s="12">
        <v>89.75</v>
      </c>
      <c r="O641" s="12">
        <v>117.58</v>
      </c>
      <c r="P641" s="12">
        <v>53.02</v>
      </c>
      <c r="Q641" s="12">
        <v>122.17</v>
      </c>
      <c r="R641" s="12">
        <v>167.66</v>
      </c>
      <c r="S641" s="12">
        <v>228.22</v>
      </c>
      <c r="T641" s="12">
        <v>214.44</v>
      </c>
      <c r="U641" s="12">
        <v>211.57</v>
      </c>
      <c r="V641" s="12">
        <v>199.1</v>
      </c>
      <c r="W641" s="12">
        <v>211.4</v>
      </c>
      <c r="X641" s="12">
        <v>205.53</v>
      </c>
      <c r="Y641" s="12">
        <v>209.59</v>
      </c>
      <c r="AA641" s="17">
        <f>MAX($B$641:$Z$641)</f>
        <v>303.4</v>
      </c>
      <c r="AB641" s="17">
        <f>MIN($B$641:$Z$641)</f>
        <v>12.71</v>
      </c>
      <c r="AC641" s="17">
        <f>AVERAGE($B$641:$Z$641)</f>
        <v>163.690416666667</v>
      </c>
    </row>
    <row r="642" spans="1:29">
      <c r="A642" s="10">
        <v>45937</v>
      </c>
      <c r="B642" s="12">
        <v>308.4</v>
      </c>
      <c r="C642" s="12">
        <v>255.73</v>
      </c>
      <c r="D642" s="12">
        <v>240.54</v>
      </c>
      <c r="E642" s="12">
        <v>222.01</v>
      </c>
      <c r="F642" s="12">
        <v>241.16</v>
      </c>
      <c r="G642" s="12">
        <v>235.36</v>
      </c>
      <c r="H642" s="12">
        <v>241.71</v>
      </c>
      <c r="I642" s="12">
        <v>229.42</v>
      </c>
      <c r="J642" s="12">
        <v>252.7</v>
      </c>
      <c r="K642" s="12">
        <v>240.87</v>
      </c>
      <c r="L642" s="12">
        <v>269.98</v>
      </c>
      <c r="M642" s="12">
        <v>254.45</v>
      </c>
      <c r="N642" s="12">
        <v>263.95</v>
      </c>
      <c r="O642" s="12">
        <v>360.56</v>
      </c>
      <c r="P642" s="12">
        <v>288.31</v>
      </c>
      <c r="Q642" s="12">
        <v>298.14</v>
      </c>
      <c r="R642" s="12">
        <v>416.55</v>
      </c>
      <c r="S642" s="12">
        <v>441.8</v>
      </c>
      <c r="T642" s="12">
        <v>589.61</v>
      </c>
      <c r="U642" s="12">
        <v>741.85</v>
      </c>
      <c r="V642" s="12">
        <v>538.46</v>
      </c>
      <c r="W642" s="12">
        <v>543.69</v>
      </c>
      <c r="X642" s="12">
        <v>332.93</v>
      </c>
      <c r="Y642" s="12">
        <v>330.13</v>
      </c>
      <c r="AA642" s="17">
        <f>MAX($B$642:$Z$642)</f>
        <v>741.85</v>
      </c>
      <c r="AB642" s="17">
        <f>MIN($B$642:$Z$642)</f>
        <v>222.01</v>
      </c>
      <c r="AC642" s="17">
        <f>AVERAGE($B$642:$Z$642)</f>
        <v>339.09625</v>
      </c>
    </row>
    <row r="643" spans="1:29">
      <c r="A643" s="10">
        <v>45938</v>
      </c>
      <c r="B643" s="12">
        <v>860.67</v>
      </c>
      <c r="C643" s="12">
        <v>688.03</v>
      </c>
      <c r="D643" s="12">
        <v>435.3</v>
      </c>
      <c r="E643" s="12">
        <v>365.08</v>
      </c>
      <c r="F643" s="12">
        <v>348.31</v>
      </c>
      <c r="G643" s="12">
        <v>321.89</v>
      </c>
      <c r="H643" s="12">
        <v>324.08</v>
      </c>
      <c r="I643" s="12">
        <v>302.23</v>
      </c>
      <c r="J643" s="12">
        <v>295.92</v>
      </c>
      <c r="K643" s="12">
        <v>290.02</v>
      </c>
      <c r="L643" s="12">
        <v>278.85</v>
      </c>
      <c r="M643" s="12">
        <v>302.1</v>
      </c>
      <c r="N643" s="12">
        <v>264</v>
      </c>
      <c r="O643" s="12">
        <v>299.63</v>
      </c>
      <c r="P643" s="12">
        <v>324.47</v>
      </c>
      <c r="Q643" s="12">
        <v>352.72</v>
      </c>
      <c r="R643" s="12">
        <v>448.23</v>
      </c>
      <c r="S643" s="12">
        <v>451.5</v>
      </c>
      <c r="T643" s="12">
        <v>800.87</v>
      </c>
      <c r="U643" s="12">
        <v>940.68</v>
      </c>
      <c r="V643" s="12">
        <v>765.44</v>
      </c>
      <c r="W643" s="12">
        <v>882.85</v>
      </c>
      <c r="X643" s="12">
        <v>467.6</v>
      </c>
      <c r="Y643" s="12">
        <v>337.71</v>
      </c>
      <c r="AA643" s="17">
        <f>MAX($B$643:$Z$643)</f>
        <v>940.68</v>
      </c>
      <c r="AB643" s="17">
        <f>MIN($B$643:$Z$643)</f>
        <v>264</v>
      </c>
      <c r="AC643" s="17">
        <f>AVERAGE($B$643:$Z$643)</f>
        <v>464.5075</v>
      </c>
    </row>
    <row r="644" spans="1:29">
      <c r="A644" s="10">
        <v>45939</v>
      </c>
      <c r="B644" s="12">
        <v>384.58</v>
      </c>
      <c r="C644" s="12">
        <v>391.11</v>
      </c>
      <c r="D644" s="12">
        <v>350.17</v>
      </c>
      <c r="E644" s="12">
        <v>311.73</v>
      </c>
      <c r="F644" s="12">
        <v>324.8</v>
      </c>
      <c r="G644" s="12">
        <v>308.48</v>
      </c>
      <c r="H644" s="12">
        <v>328.62</v>
      </c>
      <c r="I644" s="12">
        <v>326.48</v>
      </c>
      <c r="J644" s="12">
        <v>308.39</v>
      </c>
      <c r="K644" s="12">
        <v>273.95</v>
      </c>
      <c r="L644" s="12">
        <v>289.34</v>
      </c>
      <c r="M644" s="12">
        <v>322.24</v>
      </c>
      <c r="N644" s="12">
        <v>293.81</v>
      </c>
      <c r="O644" s="12">
        <v>340.17</v>
      </c>
      <c r="P644" s="12">
        <v>310.93</v>
      </c>
      <c r="Q644" s="12">
        <v>326.34</v>
      </c>
      <c r="R644" s="12">
        <v>350.48</v>
      </c>
      <c r="S644" s="12">
        <v>507.04</v>
      </c>
      <c r="T644" s="12">
        <v>647.1</v>
      </c>
      <c r="U644" s="12">
        <v>514.21</v>
      </c>
      <c r="V644" s="12">
        <v>415.23</v>
      </c>
      <c r="W644" s="12">
        <v>416.49</v>
      </c>
      <c r="X644" s="12">
        <v>395.88</v>
      </c>
      <c r="Y644" s="12">
        <v>331.25</v>
      </c>
      <c r="AA644" s="17">
        <f>MAX($B$644:$Z$644)</f>
        <v>647.1</v>
      </c>
      <c r="AB644" s="17">
        <f>MIN($B$644:$Z$644)</f>
        <v>273.95</v>
      </c>
      <c r="AC644" s="17">
        <f>AVERAGE($B$644:$Z$644)</f>
        <v>365.3675</v>
      </c>
    </row>
    <row r="645" spans="1:29">
      <c r="A645" s="10">
        <v>45940</v>
      </c>
      <c r="B645" s="12">
        <v>587.99</v>
      </c>
      <c r="C645" s="12">
        <v>843.07</v>
      </c>
      <c r="D645" s="12">
        <v>428.01</v>
      </c>
      <c r="E645" s="12">
        <v>408.21</v>
      </c>
      <c r="F645" s="12">
        <v>320.04</v>
      </c>
      <c r="G645" s="12">
        <v>309.4</v>
      </c>
      <c r="H645" s="12">
        <v>339.02</v>
      </c>
      <c r="I645" s="12">
        <v>331.62</v>
      </c>
      <c r="J645" s="12">
        <v>321.88</v>
      </c>
      <c r="K645" s="12">
        <v>313.78</v>
      </c>
      <c r="L645" s="12">
        <v>344.46</v>
      </c>
      <c r="M645" s="12">
        <v>587.21</v>
      </c>
      <c r="N645" s="12">
        <v>483.16</v>
      </c>
      <c r="O645" s="12">
        <v>473.6</v>
      </c>
      <c r="P645" s="12">
        <v>406.72</v>
      </c>
      <c r="Q645" s="12">
        <v>436.38</v>
      </c>
      <c r="R645" s="12">
        <v>422.73</v>
      </c>
      <c r="S645" s="12">
        <v>525.68</v>
      </c>
      <c r="T645" s="12">
        <v>623.46</v>
      </c>
      <c r="U645" s="12">
        <v>626.01</v>
      </c>
      <c r="V645" s="12">
        <v>542.27</v>
      </c>
      <c r="W645" s="12">
        <v>484.97</v>
      </c>
      <c r="X645" s="12">
        <v>499.62</v>
      </c>
      <c r="Y645" s="12">
        <v>350.16</v>
      </c>
      <c r="AA645" s="17">
        <f>MAX($B$645:$Z$645)</f>
        <v>843.07</v>
      </c>
      <c r="AB645" s="17">
        <f>MIN($B$645:$Z$645)</f>
        <v>309.4</v>
      </c>
      <c r="AC645" s="17">
        <f>AVERAGE($B$645:$Z$645)</f>
        <v>458.727083333333</v>
      </c>
    </row>
    <row r="646" spans="1:29">
      <c r="A646" s="10">
        <v>45941</v>
      </c>
      <c r="B646" s="12">
        <v>473.57</v>
      </c>
      <c r="C646" s="12">
        <v>446.93</v>
      </c>
      <c r="D646" s="12">
        <v>367.76</v>
      </c>
      <c r="E646" s="12">
        <v>322.26</v>
      </c>
      <c r="F646" s="12">
        <v>330.84</v>
      </c>
      <c r="G646" s="12">
        <v>316.44</v>
      </c>
      <c r="H646" s="12">
        <v>333.61</v>
      </c>
      <c r="I646" s="12">
        <v>313.64</v>
      </c>
      <c r="J646" s="12">
        <v>320.87</v>
      </c>
      <c r="K646" s="12">
        <v>308.91</v>
      </c>
      <c r="L646" s="12">
        <v>326.41</v>
      </c>
      <c r="M646" s="12">
        <v>341.24</v>
      </c>
      <c r="N646" s="12">
        <v>363.68</v>
      </c>
      <c r="O646" s="12">
        <v>339.08</v>
      </c>
      <c r="P646" s="12">
        <v>308.54</v>
      </c>
      <c r="Q646" s="12">
        <v>330.27</v>
      </c>
      <c r="R646" s="12">
        <v>378.34</v>
      </c>
      <c r="S646" s="12">
        <v>467.82</v>
      </c>
      <c r="T646" s="12">
        <v>456.69</v>
      </c>
      <c r="U646" s="12">
        <v>469.72</v>
      </c>
      <c r="V646" s="12">
        <v>493.17</v>
      </c>
      <c r="W646" s="12">
        <v>424.4</v>
      </c>
      <c r="X646" s="12">
        <v>419.23</v>
      </c>
      <c r="Y646" s="12">
        <v>387.66</v>
      </c>
      <c r="AA646" s="17">
        <f>MAX($B$646:$Z$646)</f>
        <v>493.17</v>
      </c>
      <c r="AB646" s="17">
        <f>MIN($B$646:$Z$646)</f>
        <v>308.54</v>
      </c>
      <c r="AC646" s="17">
        <f>AVERAGE($B$646:$Z$646)</f>
        <v>376.711666666667</v>
      </c>
    </row>
    <row r="647" spans="1:29">
      <c r="A647" s="10">
        <v>45942</v>
      </c>
      <c r="B647" s="12">
        <v>717.11</v>
      </c>
      <c r="C647" s="12">
        <v>543.18</v>
      </c>
      <c r="D647" s="12">
        <v>524.85</v>
      </c>
      <c r="E647" s="12">
        <v>459.58</v>
      </c>
      <c r="F647" s="12">
        <v>370.19</v>
      </c>
      <c r="G647" s="12">
        <v>328.87</v>
      </c>
      <c r="H647" s="12">
        <v>331.87</v>
      </c>
      <c r="I647" s="12">
        <v>323.9</v>
      </c>
      <c r="J647" s="12">
        <v>313.97</v>
      </c>
      <c r="K647" s="12">
        <v>311.71</v>
      </c>
      <c r="L647" s="12">
        <v>482.9</v>
      </c>
      <c r="M647" s="12">
        <v>993.79</v>
      </c>
      <c r="N647" s="12">
        <v>689.75</v>
      </c>
      <c r="O647" s="12">
        <v>873.57</v>
      </c>
      <c r="P647" s="12">
        <v>805.87</v>
      </c>
      <c r="Q647" s="12">
        <v>909.77</v>
      </c>
      <c r="R647" s="12">
        <v>911.96</v>
      </c>
      <c r="S647" s="12">
        <v>945.18</v>
      </c>
      <c r="T647" s="12">
        <v>670.44</v>
      </c>
      <c r="U647" s="12">
        <v>425.9</v>
      </c>
      <c r="V647" s="12">
        <v>369.72</v>
      </c>
      <c r="W647" s="12">
        <v>429.39</v>
      </c>
      <c r="X647" s="12">
        <v>425.21</v>
      </c>
      <c r="Y647" s="12">
        <v>325.75</v>
      </c>
      <c r="AA647" s="17">
        <f>MAX($B$647:$Z$647)</f>
        <v>993.79</v>
      </c>
      <c r="AB647" s="17">
        <f>MIN($B$647:$Z$647)</f>
        <v>311.71</v>
      </c>
      <c r="AC647" s="17">
        <f>AVERAGE($B$647:$Z$647)</f>
        <v>561.85125</v>
      </c>
    </row>
    <row r="648" spans="1:29">
      <c r="A648" s="10">
        <v>45943</v>
      </c>
      <c r="B648" s="12">
        <v>433.33</v>
      </c>
      <c r="C648" s="12">
        <v>418.94</v>
      </c>
      <c r="D648" s="12">
        <v>407.08</v>
      </c>
      <c r="E648" s="12">
        <v>390.44</v>
      </c>
      <c r="F648" s="12">
        <v>390.93</v>
      </c>
      <c r="G648" s="12">
        <v>395.3</v>
      </c>
      <c r="H648" s="12">
        <v>431.74</v>
      </c>
      <c r="I648" s="12">
        <v>424.19</v>
      </c>
      <c r="J648" s="12">
        <v>567.05</v>
      </c>
      <c r="K648" s="12">
        <v>588.88</v>
      </c>
      <c r="L648" s="12">
        <v>944.98</v>
      </c>
      <c r="M648" s="12">
        <v>832.12</v>
      </c>
      <c r="N648" s="12">
        <v>702.48</v>
      </c>
      <c r="O648" s="12">
        <v>783.81</v>
      </c>
      <c r="P648" s="12">
        <v>730.03</v>
      </c>
      <c r="Q648" s="12">
        <v>692.79</v>
      </c>
      <c r="R648" s="12">
        <v>833.62</v>
      </c>
      <c r="S648" s="12">
        <v>695.52</v>
      </c>
      <c r="T648" s="12">
        <v>702.8</v>
      </c>
      <c r="U648" s="12">
        <v>617.47</v>
      </c>
      <c r="V648" s="12">
        <v>561.11</v>
      </c>
      <c r="W648" s="12">
        <v>502.98</v>
      </c>
      <c r="X648" s="12">
        <v>420.76</v>
      </c>
      <c r="Y648" s="12">
        <v>347.98</v>
      </c>
      <c r="AA648" s="17">
        <f>MAX($B$648:$Z$648)</f>
        <v>944.98</v>
      </c>
      <c r="AB648" s="17">
        <f>MIN($B$648:$Z$648)</f>
        <v>347.98</v>
      </c>
      <c r="AC648" s="17">
        <f>AVERAGE($B$648:$Z$648)</f>
        <v>575.680416666667</v>
      </c>
    </row>
    <row r="649" spans="1:29">
      <c r="A649" s="10">
        <v>45944</v>
      </c>
      <c r="B649" s="12">
        <v>473.01</v>
      </c>
      <c r="C649" s="12">
        <v>612.03</v>
      </c>
      <c r="D649" s="12">
        <v>417.76</v>
      </c>
      <c r="E649" s="12">
        <v>446.4</v>
      </c>
      <c r="F649" s="12">
        <v>405.55</v>
      </c>
      <c r="G649" s="12">
        <v>374.32</v>
      </c>
      <c r="H649" s="12">
        <v>373.29</v>
      </c>
      <c r="I649" s="12">
        <v>400.03</v>
      </c>
      <c r="J649" s="12">
        <v>479.07</v>
      </c>
      <c r="K649" s="12">
        <v>394.38</v>
      </c>
      <c r="L649" s="12">
        <v>336.96</v>
      </c>
      <c r="M649" s="12">
        <v>347.31</v>
      </c>
      <c r="N649" s="12">
        <v>330.36</v>
      </c>
      <c r="O649" s="12">
        <v>350.6</v>
      </c>
      <c r="P649" s="12">
        <v>325.15</v>
      </c>
      <c r="Q649" s="12">
        <v>320.46</v>
      </c>
      <c r="R649" s="12">
        <v>345.33</v>
      </c>
      <c r="S649" s="12">
        <v>440.77</v>
      </c>
      <c r="T649" s="12">
        <v>568.31</v>
      </c>
      <c r="U649" s="12">
        <v>525.09</v>
      </c>
      <c r="V649" s="12">
        <v>458.32</v>
      </c>
      <c r="W649" s="12">
        <v>423.85</v>
      </c>
      <c r="X649" s="12">
        <v>387.1</v>
      </c>
      <c r="Y649" s="12">
        <v>339.88</v>
      </c>
      <c r="AA649" s="17">
        <f>MAX($B$649:$Z$649)</f>
        <v>612.03</v>
      </c>
      <c r="AB649" s="17">
        <f>MIN($B$649:$Z$649)</f>
        <v>320.46</v>
      </c>
      <c r="AC649" s="17">
        <f>AVERAGE($B$649:$Z$649)</f>
        <v>411.472083333333</v>
      </c>
    </row>
    <row r="650" spans="1:29">
      <c r="A650" s="10">
        <v>45945</v>
      </c>
      <c r="B650" s="12">
        <v>447.78</v>
      </c>
      <c r="C650" s="12">
        <v>447.76</v>
      </c>
      <c r="D650" s="12">
        <v>469.66</v>
      </c>
      <c r="E650" s="12">
        <v>442.84</v>
      </c>
      <c r="F650" s="12">
        <v>398.1</v>
      </c>
      <c r="G650" s="12">
        <v>477.1</v>
      </c>
      <c r="H650" s="12">
        <v>439.99</v>
      </c>
      <c r="I650" s="12">
        <v>397.17</v>
      </c>
      <c r="J650" s="12">
        <v>444.2</v>
      </c>
      <c r="K650" s="12">
        <v>417.13</v>
      </c>
      <c r="L650" s="12">
        <v>361.49</v>
      </c>
      <c r="M650" s="12">
        <v>414.39</v>
      </c>
      <c r="N650" s="12">
        <v>374.52</v>
      </c>
      <c r="O650" s="12">
        <v>441.44</v>
      </c>
      <c r="P650" s="12">
        <v>367.1</v>
      </c>
      <c r="Q650" s="12">
        <v>326.23</v>
      </c>
      <c r="R650" s="12">
        <v>374.99</v>
      </c>
      <c r="S650" s="12">
        <v>468.37</v>
      </c>
      <c r="T650" s="12">
        <v>574.86</v>
      </c>
      <c r="U650" s="12">
        <v>572.26</v>
      </c>
      <c r="V650" s="12">
        <v>579.37</v>
      </c>
      <c r="W650" s="12">
        <v>570.24</v>
      </c>
      <c r="X650" s="12">
        <v>487.98</v>
      </c>
      <c r="Y650" s="12">
        <v>441.14</v>
      </c>
      <c r="AA650" s="17">
        <f>MAX($B$650:$Z$650)</f>
        <v>579.37</v>
      </c>
      <c r="AB650" s="17">
        <f>MIN($B$650:$Z$650)</f>
        <v>326.23</v>
      </c>
      <c r="AC650" s="17">
        <f>AVERAGE($B$650:$Z$650)</f>
        <v>447.337916666667</v>
      </c>
    </row>
    <row r="651" spans="1:29">
      <c r="A651" s="10">
        <v>45946</v>
      </c>
      <c r="B651" s="12">
        <v>493.71</v>
      </c>
      <c r="C651" s="12">
        <v>485.64</v>
      </c>
      <c r="D651" s="12">
        <v>482.7</v>
      </c>
      <c r="E651" s="12">
        <v>456.46</v>
      </c>
      <c r="F651" s="12">
        <v>443.74</v>
      </c>
      <c r="G651" s="12">
        <v>434.26</v>
      </c>
      <c r="H651" s="12">
        <v>454.43</v>
      </c>
      <c r="I651" s="12">
        <v>407.69</v>
      </c>
      <c r="J651" s="12">
        <v>445.78</v>
      </c>
      <c r="K651" s="12">
        <v>397.98</v>
      </c>
      <c r="L651" s="12">
        <v>251.75</v>
      </c>
      <c r="M651" s="12">
        <v>341.91</v>
      </c>
      <c r="N651" s="12">
        <v>319.94</v>
      </c>
      <c r="O651" s="12">
        <v>362.65</v>
      </c>
      <c r="P651" s="12">
        <v>357.59</v>
      </c>
      <c r="Q651" s="12">
        <v>362.51</v>
      </c>
      <c r="R651" s="12">
        <v>437.7</v>
      </c>
      <c r="S651" s="12">
        <v>441.88</v>
      </c>
      <c r="T651" s="12">
        <v>486.1</v>
      </c>
      <c r="U651" s="12">
        <v>473.49</v>
      </c>
      <c r="V651" s="12">
        <v>505.07</v>
      </c>
      <c r="W651" s="12">
        <v>532.63</v>
      </c>
      <c r="X651" s="12">
        <v>494.37</v>
      </c>
      <c r="Y651" s="12">
        <v>473</v>
      </c>
      <c r="AA651" s="17">
        <f>MAX($B$651:$Z$651)</f>
        <v>532.63</v>
      </c>
      <c r="AB651" s="17">
        <f>MIN($B$651:$Z$651)</f>
        <v>251.75</v>
      </c>
      <c r="AC651" s="17">
        <f>AVERAGE($B$651:$Z$651)</f>
        <v>430.9575</v>
      </c>
    </row>
    <row r="652" spans="1:29">
      <c r="A652" s="10">
        <v>45947</v>
      </c>
      <c r="B652" s="12">
        <v>758.08</v>
      </c>
      <c r="C652" s="12">
        <v>519.87</v>
      </c>
      <c r="D652" s="12">
        <v>470.34</v>
      </c>
      <c r="E652" s="12">
        <v>405.07</v>
      </c>
      <c r="F652" s="12">
        <v>385.48</v>
      </c>
      <c r="G652" s="12">
        <v>347.24</v>
      </c>
      <c r="H652" s="12">
        <v>380.59</v>
      </c>
      <c r="I652" s="12">
        <v>394.35</v>
      </c>
      <c r="J652" s="12">
        <v>414.53</v>
      </c>
      <c r="K652" s="12">
        <v>372</v>
      </c>
      <c r="L652" s="12">
        <v>397.35</v>
      </c>
      <c r="M652" s="12">
        <v>416.94</v>
      </c>
      <c r="N652" s="12">
        <v>355.53</v>
      </c>
      <c r="O652" s="12">
        <v>408.09</v>
      </c>
      <c r="P652" s="12">
        <v>405.88</v>
      </c>
      <c r="Q652" s="12">
        <v>405.26</v>
      </c>
      <c r="R652" s="12">
        <v>442.27</v>
      </c>
      <c r="S652" s="12">
        <v>485.47</v>
      </c>
      <c r="T652" s="12">
        <v>589.45</v>
      </c>
      <c r="U652" s="12">
        <v>605.95</v>
      </c>
      <c r="V652" s="12">
        <v>525.86</v>
      </c>
      <c r="W652" s="12">
        <v>582.31</v>
      </c>
      <c r="X652" s="12">
        <v>814.31</v>
      </c>
      <c r="Y652" s="12">
        <v>527.5</v>
      </c>
      <c r="AA652" s="17">
        <f>MAX($B$652:$Z$652)</f>
        <v>814.31</v>
      </c>
      <c r="AB652" s="17">
        <f>MIN($B$652:$Z$652)</f>
        <v>347.24</v>
      </c>
      <c r="AC652" s="17">
        <f>AVERAGE($B$652:$Z$652)</f>
        <v>475.405</v>
      </c>
    </row>
    <row r="653" spans="1:29">
      <c r="A653" s="10">
        <v>45948</v>
      </c>
      <c r="B653" s="12">
        <v>909.36</v>
      </c>
      <c r="C653" s="12">
        <v>848.92</v>
      </c>
      <c r="D653" s="12">
        <v>769.12</v>
      </c>
      <c r="E653" s="12">
        <v>783.94</v>
      </c>
      <c r="F653" s="12">
        <v>505.76</v>
      </c>
      <c r="G653" s="12">
        <v>491.1</v>
      </c>
      <c r="H653" s="12">
        <v>479.99</v>
      </c>
      <c r="I653" s="12">
        <v>461.43</v>
      </c>
      <c r="J653" s="12">
        <v>457.63</v>
      </c>
      <c r="K653" s="12">
        <v>503.64</v>
      </c>
      <c r="L653" s="12">
        <v>442.32</v>
      </c>
      <c r="M653" s="12">
        <v>524.8</v>
      </c>
      <c r="N653" s="12">
        <v>452.7</v>
      </c>
      <c r="O653" s="12">
        <v>503.65</v>
      </c>
      <c r="P653" s="12">
        <v>457.31</v>
      </c>
      <c r="Q653" s="12">
        <v>448.8</v>
      </c>
      <c r="R653" s="12">
        <v>501.27</v>
      </c>
      <c r="S653" s="12">
        <v>537.38</v>
      </c>
      <c r="T653" s="12">
        <v>518.14</v>
      </c>
      <c r="U653" s="12">
        <v>594.42</v>
      </c>
      <c r="V653" s="12">
        <v>592.75</v>
      </c>
      <c r="W653" s="12">
        <v>570.75</v>
      </c>
      <c r="X653" s="12">
        <v>596.87</v>
      </c>
      <c r="Y653" s="12">
        <v>504.63</v>
      </c>
      <c r="AA653" s="17">
        <f>MAX($B$653:$Z$653)</f>
        <v>909.36</v>
      </c>
      <c r="AB653" s="17">
        <f>MIN($B$653:$Z$653)</f>
        <v>442.32</v>
      </c>
      <c r="AC653" s="17">
        <f>AVERAGE($B$653:$Z$653)</f>
        <v>560.695</v>
      </c>
    </row>
    <row r="654" spans="1:29">
      <c r="A654" s="10">
        <v>45949</v>
      </c>
      <c r="B654" s="12">
        <v>755.92</v>
      </c>
      <c r="C654" s="12">
        <v>485.24</v>
      </c>
      <c r="D654" s="12">
        <v>507.08</v>
      </c>
      <c r="E654" s="12">
        <v>459.97</v>
      </c>
      <c r="F654" s="12">
        <v>433.18</v>
      </c>
      <c r="G654" s="12">
        <v>455.41</v>
      </c>
      <c r="H654" s="12">
        <v>514.25</v>
      </c>
      <c r="I654" s="12">
        <v>423.51</v>
      </c>
      <c r="J654" s="12">
        <v>271.7</v>
      </c>
      <c r="K654" s="12">
        <v>323.71</v>
      </c>
      <c r="L654" s="12">
        <v>279.65</v>
      </c>
      <c r="M654" s="12">
        <v>372.41</v>
      </c>
      <c r="N654" s="12">
        <v>383.8</v>
      </c>
      <c r="O654" s="12">
        <v>444.83</v>
      </c>
      <c r="P654" s="12">
        <v>455.85</v>
      </c>
      <c r="Q654" s="12">
        <v>516.67</v>
      </c>
      <c r="R654" s="12">
        <v>564.38</v>
      </c>
      <c r="S654" s="12">
        <v>634.38</v>
      </c>
      <c r="T654" s="12">
        <v>654.91</v>
      </c>
      <c r="U654" s="12">
        <v>503.74</v>
      </c>
      <c r="V654" s="12">
        <v>480.2</v>
      </c>
      <c r="W654" s="12">
        <v>467.41</v>
      </c>
      <c r="X654" s="12">
        <v>381.6</v>
      </c>
      <c r="Y654" s="12">
        <v>312.63</v>
      </c>
      <c r="AA654" s="17">
        <f>MAX($B$654:$Z$654)</f>
        <v>755.92</v>
      </c>
      <c r="AB654" s="17">
        <f>MIN($B$654:$Z$654)</f>
        <v>271.7</v>
      </c>
      <c r="AC654" s="17">
        <f>AVERAGE($B$654:$Z$654)</f>
        <v>461.767916666667</v>
      </c>
    </row>
    <row r="655" spans="1:29">
      <c r="A655" s="10">
        <v>45950</v>
      </c>
      <c r="B655" s="12">
        <v>298.1</v>
      </c>
      <c r="C655" s="12">
        <v>293.72</v>
      </c>
      <c r="D655" s="12">
        <v>275.72</v>
      </c>
      <c r="E655" s="12">
        <v>265.77</v>
      </c>
      <c r="F655" s="12">
        <v>263.08</v>
      </c>
      <c r="G655" s="12">
        <v>257.77</v>
      </c>
      <c r="H655" s="12">
        <v>251.98</v>
      </c>
      <c r="I655" s="12">
        <v>264.16</v>
      </c>
      <c r="J655" s="12">
        <v>260.61</v>
      </c>
      <c r="K655" s="12">
        <v>235.82</v>
      </c>
      <c r="L655" s="12">
        <v>415.52</v>
      </c>
      <c r="M655" s="12">
        <v>380.95</v>
      </c>
      <c r="N655" s="12">
        <v>243.96</v>
      </c>
      <c r="O655" s="12">
        <v>315.96</v>
      </c>
      <c r="P655" s="12">
        <v>296.13</v>
      </c>
      <c r="Q655" s="12">
        <v>284.33</v>
      </c>
      <c r="R655" s="12">
        <v>337.78</v>
      </c>
      <c r="S655" s="12">
        <v>416.02</v>
      </c>
      <c r="T655" s="12">
        <v>376.21</v>
      </c>
      <c r="U655" s="12">
        <v>362.09</v>
      </c>
      <c r="V655" s="12">
        <v>302.54</v>
      </c>
      <c r="W655" s="12">
        <v>320.47</v>
      </c>
      <c r="X655" s="12">
        <v>278.12</v>
      </c>
      <c r="Y655" s="12">
        <v>260.33</v>
      </c>
      <c r="AA655" s="17">
        <f>MAX($B$655:$Z$655)</f>
        <v>416.02</v>
      </c>
      <c r="AB655" s="17">
        <f>MIN($B$655:$Z$655)</f>
        <v>235.82</v>
      </c>
      <c r="AC655" s="17">
        <f>AVERAGE($B$655:$Z$655)</f>
        <v>302.380833333333</v>
      </c>
    </row>
    <row r="656" spans="1:29">
      <c r="A656" s="10">
        <v>45951</v>
      </c>
      <c r="B656" s="12">
        <v>296.86</v>
      </c>
      <c r="C656" s="12">
        <v>263.01</v>
      </c>
      <c r="D656" s="12">
        <v>246.77</v>
      </c>
      <c r="E656" s="12">
        <v>244.13</v>
      </c>
      <c r="F656" s="12">
        <v>211.23</v>
      </c>
      <c r="G656" s="12">
        <v>238.54</v>
      </c>
      <c r="H656" s="12">
        <v>266.59</v>
      </c>
      <c r="I656" s="12">
        <v>288.8</v>
      </c>
      <c r="J656" s="12">
        <v>381.41</v>
      </c>
      <c r="K656" s="12">
        <v>369.15</v>
      </c>
      <c r="L656" s="12">
        <v>220.64</v>
      </c>
      <c r="M656" s="12">
        <v>169.75</v>
      </c>
      <c r="N656" s="12">
        <v>138.81</v>
      </c>
      <c r="O656" s="12">
        <v>202.28</v>
      </c>
      <c r="P656" s="12">
        <v>233.68</v>
      </c>
      <c r="Q656" s="12">
        <v>244.56</v>
      </c>
      <c r="R656" s="12">
        <v>272.94</v>
      </c>
      <c r="S656" s="12">
        <v>297.88</v>
      </c>
      <c r="T656" s="12">
        <v>479.19</v>
      </c>
      <c r="U656" s="12">
        <v>360.2</v>
      </c>
      <c r="V656" s="12">
        <v>304.16</v>
      </c>
      <c r="W656" s="12">
        <v>274.35</v>
      </c>
      <c r="X656" s="12">
        <v>190.25</v>
      </c>
      <c r="Y656" s="12">
        <v>35.69</v>
      </c>
      <c r="AA656" s="17">
        <f>MAX($B$656:$Z$656)</f>
        <v>479.19</v>
      </c>
      <c r="AB656" s="17">
        <f>MIN($B$656:$Z$656)</f>
        <v>35.69</v>
      </c>
      <c r="AC656" s="17">
        <f>AVERAGE($B$656:$Z$656)</f>
        <v>259.619583333333</v>
      </c>
    </row>
    <row r="657" spans="1:29">
      <c r="A657" s="10">
        <v>45952</v>
      </c>
      <c r="B657" s="12">
        <v>178.35</v>
      </c>
      <c r="C657" s="12">
        <v>205.82</v>
      </c>
      <c r="D657" s="12">
        <v>168.01</v>
      </c>
      <c r="E657" s="12">
        <v>139.66</v>
      </c>
      <c r="F657" s="12">
        <v>19.58</v>
      </c>
      <c r="G657" s="12">
        <v>58.24</v>
      </c>
      <c r="H657" s="12">
        <v>152.78</v>
      </c>
      <c r="I657" s="12">
        <v>224.07</v>
      </c>
      <c r="J657" s="12">
        <v>255.07</v>
      </c>
      <c r="K657" s="12">
        <v>253.97</v>
      </c>
      <c r="L657" s="12">
        <v>247.78</v>
      </c>
      <c r="M657" s="12">
        <v>201.03</v>
      </c>
      <c r="N657" s="12">
        <v>132.98</v>
      </c>
      <c r="O657" s="12">
        <v>171.43</v>
      </c>
      <c r="P657" s="12">
        <v>184.29</v>
      </c>
      <c r="Q657" s="12">
        <v>189.41</v>
      </c>
      <c r="R657" s="12">
        <v>228.58</v>
      </c>
      <c r="S657" s="12">
        <v>290.58</v>
      </c>
      <c r="T657" s="12">
        <v>293.94</v>
      </c>
      <c r="U657" s="12">
        <v>265.84</v>
      </c>
      <c r="V657" s="12">
        <v>266</v>
      </c>
      <c r="W657" s="12">
        <v>259.32</v>
      </c>
      <c r="X657" s="12">
        <v>232.55</v>
      </c>
      <c r="Y657" s="12">
        <v>190.96</v>
      </c>
      <c r="AA657" s="17">
        <f>MAX($B$657:$Z$657)</f>
        <v>293.94</v>
      </c>
      <c r="AB657" s="17">
        <f>MIN($B$657:$Z$657)</f>
        <v>19.58</v>
      </c>
      <c r="AC657" s="17">
        <f>AVERAGE($B$657:$Z$657)</f>
        <v>200.426666666667</v>
      </c>
    </row>
    <row r="658" spans="1:29">
      <c r="A658" s="10">
        <v>45953</v>
      </c>
      <c r="B658" s="12">
        <v>224.12</v>
      </c>
      <c r="C658" s="12">
        <v>136.36</v>
      </c>
      <c r="D658" s="12">
        <v>118.37</v>
      </c>
      <c r="E658" s="12">
        <v>49.41</v>
      </c>
      <c r="F658" s="12">
        <v>18.18</v>
      </c>
      <c r="G658" s="12">
        <v>78.73</v>
      </c>
      <c r="H658" s="12">
        <v>185.57</v>
      </c>
      <c r="I658" s="12">
        <v>267.6</v>
      </c>
      <c r="J658" s="12">
        <v>295.48</v>
      </c>
      <c r="K658" s="12">
        <v>168.63</v>
      </c>
      <c r="L658" s="12">
        <v>191.83</v>
      </c>
      <c r="M658" s="12">
        <v>246.68</v>
      </c>
      <c r="N658" s="12">
        <v>38.33</v>
      </c>
      <c r="O658" s="12">
        <v>103.03</v>
      </c>
      <c r="P658" s="12">
        <v>110.26</v>
      </c>
      <c r="Q658" s="12">
        <v>231.85</v>
      </c>
      <c r="R658" s="12">
        <v>241.63</v>
      </c>
      <c r="S658" s="12">
        <v>262.17</v>
      </c>
      <c r="T658" s="12">
        <v>333.92</v>
      </c>
      <c r="U658" s="12">
        <v>296.5</v>
      </c>
      <c r="V658" s="12">
        <v>240.09</v>
      </c>
      <c r="W658" s="12">
        <v>293.39</v>
      </c>
      <c r="X658" s="12">
        <v>257.33</v>
      </c>
      <c r="Y658" s="12">
        <v>141.74</v>
      </c>
      <c r="AA658" s="17">
        <f>MAX($B$658:$Z$658)</f>
        <v>333.92</v>
      </c>
      <c r="AB658" s="17">
        <f>MIN($B$658:$Z$658)</f>
        <v>18.18</v>
      </c>
      <c r="AC658" s="17">
        <f>AVERAGE($B$658:$Z$658)</f>
        <v>188.8</v>
      </c>
    </row>
    <row r="659" spans="1:29">
      <c r="A659" s="10">
        <v>45954</v>
      </c>
      <c r="B659" s="12">
        <v>262.84</v>
      </c>
      <c r="C659" s="12">
        <v>222.12</v>
      </c>
      <c r="D659" s="12">
        <v>148.39</v>
      </c>
      <c r="E659" s="12">
        <v>30.95</v>
      </c>
      <c r="F659" s="12">
        <v>17.06</v>
      </c>
      <c r="G659" s="12">
        <v>66.96</v>
      </c>
      <c r="H659" s="12">
        <v>154.56</v>
      </c>
      <c r="I659" s="12">
        <v>260.88</v>
      </c>
      <c r="J659" s="12">
        <v>255.08</v>
      </c>
      <c r="K659" s="12">
        <v>188.69</v>
      </c>
      <c r="L659" s="12">
        <v>85.1</v>
      </c>
      <c r="M659" s="12">
        <v>32.95</v>
      </c>
      <c r="N659" s="12">
        <v>17.64</v>
      </c>
      <c r="O659" s="12">
        <v>88.73</v>
      </c>
      <c r="P659" s="12">
        <v>60.13</v>
      </c>
      <c r="Q659" s="12">
        <v>123.54</v>
      </c>
      <c r="R659" s="12">
        <v>263.54</v>
      </c>
      <c r="S659" s="12">
        <v>319.16</v>
      </c>
      <c r="T659" s="12">
        <v>296.25</v>
      </c>
      <c r="U659" s="12">
        <v>282.33</v>
      </c>
      <c r="V659" s="12">
        <v>275.87</v>
      </c>
      <c r="W659" s="12">
        <v>279.21</v>
      </c>
      <c r="X659" s="12">
        <v>270.73</v>
      </c>
      <c r="Y659" s="12">
        <v>241.88</v>
      </c>
      <c r="AA659" s="17">
        <f>MAX($B$659:$Z$659)</f>
        <v>319.16</v>
      </c>
      <c r="AB659" s="17">
        <f>MIN($B$659:$Z$659)</f>
        <v>17.06</v>
      </c>
      <c r="AC659" s="17">
        <f>AVERAGE($B$659:$Z$659)</f>
        <v>176.857916666667</v>
      </c>
    </row>
    <row r="660" spans="1:29">
      <c r="A660" s="10">
        <v>45955</v>
      </c>
      <c r="B660" s="12">
        <v>272.46</v>
      </c>
      <c r="C660" s="12">
        <v>254.94</v>
      </c>
      <c r="D660" s="12">
        <v>240.59</v>
      </c>
      <c r="E660" s="12">
        <v>198.71</v>
      </c>
      <c r="F660" s="12">
        <v>163.45</v>
      </c>
      <c r="G660" s="12">
        <v>166.52</v>
      </c>
      <c r="H660" s="12">
        <v>147.73</v>
      </c>
      <c r="I660" s="12">
        <v>223.96</v>
      </c>
      <c r="J660" s="12">
        <v>233.33</v>
      </c>
      <c r="K660" s="12">
        <v>203.57</v>
      </c>
      <c r="L660" s="12">
        <v>150.6</v>
      </c>
      <c r="M660" s="12">
        <v>144.55</v>
      </c>
      <c r="N660" s="12">
        <v>84.99</v>
      </c>
      <c r="O660" s="12">
        <v>190.1</v>
      </c>
      <c r="P660" s="12">
        <v>208.71</v>
      </c>
      <c r="Q660" s="12">
        <v>318.25</v>
      </c>
      <c r="R660" s="12">
        <v>309.13</v>
      </c>
      <c r="S660" s="12">
        <v>305.16</v>
      </c>
      <c r="T660" s="12">
        <v>313.37</v>
      </c>
      <c r="U660" s="12">
        <v>291.45</v>
      </c>
      <c r="V660" s="12">
        <v>285.31</v>
      </c>
      <c r="W660" s="12">
        <v>279.13</v>
      </c>
      <c r="X660" s="12">
        <v>271.44</v>
      </c>
      <c r="Y660" s="12">
        <v>255.97</v>
      </c>
      <c r="AA660" s="17">
        <f>MAX($B$660:$Z$660)</f>
        <v>318.25</v>
      </c>
      <c r="AB660" s="17">
        <f>MIN($B$660:$Z$660)</f>
        <v>84.99</v>
      </c>
      <c r="AC660" s="17">
        <f>AVERAGE($B$660:$Z$660)</f>
        <v>229.725833333333</v>
      </c>
    </row>
    <row r="661" spans="1:29">
      <c r="A661" s="10">
        <v>45956</v>
      </c>
      <c r="B661" s="12">
        <v>312.47</v>
      </c>
      <c r="C661" s="12">
        <v>276.6</v>
      </c>
      <c r="D661" s="12">
        <v>256.9</v>
      </c>
      <c r="E661" s="12">
        <v>250.75</v>
      </c>
      <c r="F661" s="12">
        <v>208.93</v>
      </c>
      <c r="G661" s="12">
        <v>201.02</v>
      </c>
      <c r="H661" s="12">
        <v>219.7</v>
      </c>
      <c r="I661" s="12">
        <v>235.35</v>
      </c>
      <c r="J661" s="12">
        <v>261.14</v>
      </c>
      <c r="K661" s="12">
        <v>238.9</v>
      </c>
      <c r="L661" s="12">
        <v>121.86</v>
      </c>
      <c r="M661" s="12">
        <v>117.51</v>
      </c>
      <c r="N661" s="12">
        <v>17.89</v>
      </c>
      <c r="O661" s="12">
        <v>89.39</v>
      </c>
      <c r="P661" s="12">
        <v>31.29</v>
      </c>
      <c r="Q661" s="12">
        <v>144.16</v>
      </c>
      <c r="R661" s="12">
        <v>285.96</v>
      </c>
      <c r="S661" s="12">
        <v>426.32</v>
      </c>
      <c r="T661" s="12">
        <v>340.01</v>
      </c>
      <c r="U661" s="12">
        <v>280.3</v>
      </c>
      <c r="V661" s="12">
        <v>287.52</v>
      </c>
      <c r="W661" s="12">
        <v>292.87</v>
      </c>
      <c r="X661" s="12">
        <v>259.07</v>
      </c>
      <c r="Y661" s="12">
        <v>245.49</v>
      </c>
      <c r="AA661" s="17">
        <f>MAX($B$661:$Z$661)</f>
        <v>426.32</v>
      </c>
      <c r="AB661" s="17">
        <f>MIN($B$661:$Z$661)</f>
        <v>17.89</v>
      </c>
      <c r="AC661" s="17">
        <f>AVERAGE($B$661:$Z$661)</f>
        <v>225.058333333333</v>
      </c>
    </row>
    <row r="662" spans="1:29">
      <c r="A662" s="10">
        <v>45957</v>
      </c>
      <c r="B662" s="12">
        <v>233.65</v>
      </c>
      <c r="C662" s="12">
        <v>133.6</v>
      </c>
      <c r="D662" s="12">
        <v>202.24</v>
      </c>
      <c r="E662" s="12">
        <v>207.4</v>
      </c>
      <c r="F662" s="12">
        <v>128.11</v>
      </c>
      <c r="G662" s="12">
        <v>217.91</v>
      </c>
      <c r="H662" s="12">
        <v>176.16</v>
      </c>
      <c r="I662" s="12">
        <v>245.91</v>
      </c>
      <c r="J662" s="12">
        <v>244.62</v>
      </c>
      <c r="K662" s="12">
        <v>216.57</v>
      </c>
      <c r="L662" s="12">
        <v>155.18</v>
      </c>
      <c r="M662" s="12">
        <v>167.47</v>
      </c>
      <c r="N662" s="12">
        <v>61.08</v>
      </c>
      <c r="O662" s="12">
        <v>108.51</v>
      </c>
      <c r="P662" s="12">
        <v>226.91</v>
      </c>
      <c r="Q662" s="12">
        <v>220.2</v>
      </c>
      <c r="R662" s="12">
        <v>315.59</v>
      </c>
      <c r="S662" s="12">
        <v>375.25</v>
      </c>
      <c r="T662" s="12">
        <v>467.48</v>
      </c>
      <c r="U662" s="12">
        <v>390.76</v>
      </c>
      <c r="V662" s="12">
        <v>343.74</v>
      </c>
      <c r="W662" s="12">
        <v>323.15</v>
      </c>
      <c r="X662" s="12">
        <v>266.71</v>
      </c>
      <c r="Y662" s="12">
        <v>211.8</v>
      </c>
      <c r="AA662" s="17">
        <f>MAX($B$662:$Z$662)</f>
        <v>467.48</v>
      </c>
      <c r="AB662" s="17">
        <f>MIN($B$662:$Z$662)</f>
        <v>61.08</v>
      </c>
      <c r="AC662" s="17">
        <f>AVERAGE($B$662:$Z$662)</f>
        <v>235</v>
      </c>
    </row>
    <row r="663" spans="1:29">
      <c r="A663" s="10">
        <v>45958</v>
      </c>
      <c r="B663" s="12">
        <v>275.78</v>
      </c>
      <c r="C663" s="12">
        <v>229.29</v>
      </c>
      <c r="D663" s="12">
        <v>184.13</v>
      </c>
      <c r="E663" s="12">
        <v>90.38</v>
      </c>
      <c r="F663" s="12">
        <v>94.65</v>
      </c>
      <c r="G663" s="12">
        <v>180.89</v>
      </c>
      <c r="H663" s="12">
        <v>271.49</v>
      </c>
      <c r="I663" s="12">
        <v>292.4</v>
      </c>
      <c r="J663" s="12">
        <v>271.17</v>
      </c>
      <c r="K663" s="12">
        <v>246.14</v>
      </c>
      <c r="L663" s="12">
        <v>222.45</v>
      </c>
      <c r="M663" s="12">
        <v>173.24</v>
      </c>
      <c r="N663" s="12">
        <v>144.28</v>
      </c>
      <c r="O663" s="12">
        <v>216.88</v>
      </c>
      <c r="P663" s="12">
        <v>241.32</v>
      </c>
      <c r="Q663" s="12">
        <v>255.24</v>
      </c>
      <c r="R663" s="12">
        <v>278.49</v>
      </c>
      <c r="S663" s="12">
        <v>265.85</v>
      </c>
      <c r="T663" s="12">
        <v>328.56</v>
      </c>
      <c r="U663" s="12">
        <v>290.47</v>
      </c>
      <c r="V663" s="12">
        <v>281.12</v>
      </c>
      <c r="W663" s="12">
        <v>264.66</v>
      </c>
      <c r="X663" s="12">
        <v>257.25</v>
      </c>
      <c r="Y663" s="12">
        <v>226.65</v>
      </c>
      <c r="AA663" s="17">
        <f>MAX($B$663:$Z$663)</f>
        <v>328.56</v>
      </c>
      <c r="AB663" s="17">
        <f>MIN($B$663:$Z$663)</f>
        <v>90.38</v>
      </c>
      <c r="AC663" s="17">
        <f>AVERAGE($B$663:$Z$663)</f>
        <v>232.615833333333</v>
      </c>
    </row>
    <row r="664" spans="1:29">
      <c r="A664" s="10">
        <v>45959</v>
      </c>
      <c r="B664" s="12">
        <v>262.98</v>
      </c>
      <c r="C664" s="12">
        <v>244.23</v>
      </c>
      <c r="D664" s="12">
        <v>251.1</v>
      </c>
      <c r="E664" s="12">
        <v>215.69</v>
      </c>
      <c r="F664" s="12">
        <v>198.22</v>
      </c>
      <c r="G664" s="12">
        <v>221.68</v>
      </c>
      <c r="H664" s="12">
        <v>253.11</v>
      </c>
      <c r="I664" s="12">
        <v>248.67</v>
      </c>
      <c r="J664" s="12">
        <v>252.33</v>
      </c>
      <c r="K664" s="12">
        <v>207.95</v>
      </c>
      <c r="L664" s="12">
        <v>181.56</v>
      </c>
      <c r="M664" s="12">
        <v>147.9</v>
      </c>
      <c r="N664" s="12">
        <v>134.39</v>
      </c>
      <c r="O664" s="12">
        <v>162.7</v>
      </c>
      <c r="P664" s="12">
        <v>175.35</v>
      </c>
      <c r="Q664" s="12">
        <v>245</v>
      </c>
      <c r="R664" s="12">
        <v>271.56</v>
      </c>
      <c r="S664" s="12">
        <v>278.01</v>
      </c>
      <c r="T664" s="12">
        <v>346.17</v>
      </c>
      <c r="U664" s="12">
        <v>280.45</v>
      </c>
      <c r="V664" s="12">
        <v>281.49</v>
      </c>
      <c r="W664" s="12">
        <v>266.75</v>
      </c>
      <c r="X664" s="12">
        <v>260.63</v>
      </c>
      <c r="Y664" s="12">
        <v>221.8</v>
      </c>
      <c r="AA664" s="17">
        <f>MAX($B$664:$Z$664)</f>
        <v>346.17</v>
      </c>
      <c r="AB664" s="17">
        <f>MIN($B$664:$Z$664)</f>
        <v>134.39</v>
      </c>
      <c r="AC664" s="17">
        <f>AVERAGE($B$664:$Z$664)</f>
        <v>233.738333333333</v>
      </c>
    </row>
    <row r="665" spans="1:29">
      <c r="A665" s="10">
        <v>45960</v>
      </c>
      <c r="B665" s="12">
        <v>264.74</v>
      </c>
      <c r="C665" s="12">
        <v>269.85</v>
      </c>
      <c r="D665" s="12">
        <v>274.99</v>
      </c>
      <c r="E665" s="12">
        <v>211.94</v>
      </c>
      <c r="F665" s="12">
        <v>228.81</v>
      </c>
      <c r="G665" s="12">
        <v>243.28</v>
      </c>
      <c r="H665" s="12">
        <v>275.49</v>
      </c>
      <c r="I665" s="12">
        <v>286</v>
      </c>
      <c r="J665" s="12">
        <v>311.39</v>
      </c>
      <c r="K665" s="12">
        <v>424.76</v>
      </c>
      <c r="L665" s="12">
        <v>348.03</v>
      </c>
      <c r="M665" s="12">
        <v>260.58</v>
      </c>
      <c r="N665" s="12">
        <v>210.44</v>
      </c>
      <c r="O665" s="12">
        <v>298.78</v>
      </c>
      <c r="P665" s="12">
        <v>279.94</v>
      </c>
      <c r="Q665" s="12">
        <v>324.46</v>
      </c>
      <c r="R665" s="12">
        <v>453.26</v>
      </c>
      <c r="S665" s="12">
        <v>384.01</v>
      </c>
      <c r="T665" s="12">
        <v>445.52</v>
      </c>
      <c r="U665" s="12">
        <v>433.59</v>
      </c>
      <c r="V665" s="12">
        <v>380.77</v>
      </c>
      <c r="W665" s="12">
        <v>387.94</v>
      </c>
      <c r="X665" s="12">
        <v>374.85</v>
      </c>
      <c r="Y665" s="12">
        <v>284.38</v>
      </c>
      <c r="AA665" s="17">
        <f>MAX($B$665:$Z$665)</f>
        <v>453.26</v>
      </c>
      <c r="AB665" s="17">
        <f>MIN($B$665:$Z$665)</f>
        <v>210.44</v>
      </c>
      <c r="AC665" s="17">
        <f>AVERAGE($B$665:$Z$665)</f>
        <v>319.075</v>
      </c>
    </row>
    <row r="666" spans="1:29">
      <c r="A666" s="10">
        <v>45961</v>
      </c>
      <c r="B666" s="12">
        <v>369.25</v>
      </c>
      <c r="C666" s="12">
        <v>352.66</v>
      </c>
      <c r="D666" s="12">
        <v>315.02</v>
      </c>
      <c r="E666" s="12">
        <v>288.39</v>
      </c>
      <c r="F666" s="12">
        <v>260.03</v>
      </c>
      <c r="G666" s="12">
        <v>257.75</v>
      </c>
      <c r="H666" s="12">
        <v>271.13</v>
      </c>
      <c r="I666" s="12">
        <v>274.23</v>
      </c>
      <c r="J666" s="12">
        <v>301.17</v>
      </c>
      <c r="K666" s="12">
        <v>312.55</v>
      </c>
      <c r="L666" s="12">
        <v>277.55</v>
      </c>
      <c r="M666" s="12">
        <v>254.96</v>
      </c>
      <c r="N666" s="12">
        <v>289.2</v>
      </c>
      <c r="O666" s="12">
        <v>277.94</v>
      </c>
      <c r="P666" s="12">
        <v>271.34</v>
      </c>
      <c r="Q666" s="12">
        <v>266.96</v>
      </c>
      <c r="R666" s="12">
        <v>297.31</v>
      </c>
      <c r="S666" s="12">
        <v>331.38</v>
      </c>
      <c r="T666" s="12">
        <v>317.66</v>
      </c>
      <c r="U666" s="12">
        <v>285.34</v>
      </c>
      <c r="V666" s="12">
        <v>282.02</v>
      </c>
      <c r="W666" s="12">
        <v>271.32</v>
      </c>
      <c r="X666" s="12">
        <v>254.49</v>
      </c>
      <c r="Y666" s="12">
        <v>224.23</v>
      </c>
      <c r="AA666" s="17">
        <f>MAX($B$666:$Z$666)</f>
        <v>369.25</v>
      </c>
      <c r="AB666" s="17">
        <f>MIN($B$666:$Z$666)</f>
        <v>224.23</v>
      </c>
      <c r="AC666" s="17">
        <f>AVERAGE($B$666:$Z$666)</f>
        <v>287.661666666667</v>
      </c>
    </row>
    <row r="667" spans="1:29">
      <c r="A667" s="10">
        <v>45962</v>
      </c>
      <c r="B667" s="12">
        <v>339.21</v>
      </c>
      <c r="C667" s="12">
        <v>261.18</v>
      </c>
      <c r="D667" s="12">
        <v>259.12</v>
      </c>
      <c r="E667" s="12">
        <v>238.36</v>
      </c>
      <c r="F667" s="12">
        <v>231.81</v>
      </c>
      <c r="G667" s="12">
        <v>176.37</v>
      </c>
      <c r="H667" s="12">
        <v>229.96</v>
      </c>
      <c r="I667" s="12">
        <v>238.6</v>
      </c>
      <c r="J667" s="12">
        <v>231.14</v>
      </c>
      <c r="K667" s="12">
        <v>185.24</v>
      </c>
      <c r="L667" s="12">
        <v>117.6</v>
      </c>
      <c r="M667" s="12">
        <v>69.86</v>
      </c>
      <c r="N667" s="12">
        <v>75.97</v>
      </c>
      <c r="O667" s="12">
        <v>178.26</v>
      </c>
      <c r="P667" s="12">
        <v>219.85</v>
      </c>
      <c r="Q667" s="12">
        <v>264.3</v>
      </c>
      <c r="R667" s="12">
        <v>295.46</v>
      </c>
      <c r="S667" s="12">
        <v>299.82</v>
      </c>
      <c r="T667" s="12">
        <v>462.12</v>
      </c>
      <c r="U667" s="12">
        <v>333.26</v>
      </c>
      <c r="V667" s="12">
        <v>301.44</v>
      </c>
      <c r="W667" s="12">
        <v>282.82</v>
      </c>
      <c r="X667" s="12">
        <v>289.23</v>
      </c>
      <c r="Y667" s="12">
        <v>252.8</v>
      </c>
      <c r="AA667" s="17">
        <f>MAX($B$667:$Z$667)</f>
        <v>462.12</v>
      </c>
      <c r="AB667" s="17">
        <f>MIN($B$667:$Z$667)</f>
        <v>69.86</v>
      </c>
      <c r="AC667" s="17">
        <f>AVERAGE($B$667:$Z$667)</f>
        <v>243.074166666667</v>
      </c>
    </row>
    <row r="668" spans="1:29">
      <c r="A668" s="10">
        <v>45963</v>
      </c>
      <c r="B668" s="12">
        <v>375.06</v>
      </c>
      <c r="C668" s="12">
        <v>230.06</v>
      </c>
      <c r="D668" s="12">
        <v>198.84</v>
      </c>
      <c r="E668" s="12">
        <v>210.7</v>
      </c>
      <c r="F668" s="12">
        <v>193.51</v>
      </c>
      <c r="G668" s="12">
        <v>185.7</v>
      </c>
      <c r="H668" s="12">
        <v>192.54</v>
      </c>
      <c r="I668" s="12">
        <v>140.76</v>
      </c>
      <c r="J668" s="12">
        <v>77.88</v>
      </c>
      <c r="K668" s="12">
        <v>54.04</v>
      </c>
      <c r="L668" s="12">
        <v>123.63</v>
      </c>
      <c r="M668" s="12">
        <v>111.02</v>
      </c>
      <c r="N668" s="12">
        <v>73.72</v>
      </c>
      <c r="O668" s="12">
        <v>133.79</v>
      </c>
      <c r="P668" s="12">
        <v>258.01</v>
      </c>
      <c r="Q668" s="12">
        <v>187.82</v>
      </c>
      <c r="R668" s="12">
        <v>248.32</v>
      </c>
      <c r="S668" s="12">
        <v>275.16</v>
      </c>
      <c r="T668" s="12">
        <v>269.86</v>
      </c>
      <c r="U668" s="12">
        <v>289.47</v>
      </c>
      <c r="V668" s="12">
        <v>279.9</v>
      </c>
      <c r="W668" s="12">
        <v>243.78</v>
      </c>
      <c r="X668" s="12">
        <v>236.36</v>
      </c>
      <c r="Y668" s="12">
        <v>207.16</v>
      </c>
      <c r="AA668" s="17">
        <f>MAX($B$668:$Z$668)</f>
        <v>375.06</v>
      </c>
      <c r="AB668" s="17">
        <f>MIN($B$668:$Z$668)</f>
        <v>54.04</v>
      </c>
      <c r="AC668" s="17">
        <f>AVERAGE($B$668:$Z$668)</f>
        <v>199.87875</v>
      </c>
    </row>
    <row r="669" spans="1:29">
      <c r="A669" s="10">
        <v>45964</v>
      </c>
      <c r="B669" s="12">
        <v>261.87</v>
      </c>
      <c r="C669" s="12">
        <v>211.89</v>
      </c>
      <c r="D669" s="12">
        <v>217.16</v>
      </c>
      <c r="E669" s="12">
        <v>138.57</v>
      </c>
      <c r="F669" s="12">
        <v>104.29</v>
      </c>
      <c r="G669" s="12">
        <v>94.85</v>
      </c>
      <c r="H669" s="12">
        <v>183.3</v>
      </c>
      <c r="I669" s="12">
        <v>252.95</v>
      </c>
      <c r="J669" s="12">
        <v>394.19</v>
      </c>
      <c r="K669" s="12">
        <v>549.99</v>
      </c>
      <c r="L669" s="12">
        <v>327.58</v>
      </c>
      <c r="M669" s="12">
        <v>342.51</v>
      </c>
      <c r="N669" s="12">
        <v>264.64</v>
      </c>
      <c r="O669" s="12">
        <v>341.55</v>
      </c>
      <c r="P669" s="12">
        <v>401.89</v>
      </c>
      <c r="Q669" s="12">
        <v>350.02</v>
      </c>
      <c r="R669" s="12">
        <v>406.94</v>
      </c>
      <c r="S669" s="12">
        <v>519.09</v>
      </c>
      <c r="T669" s="12">
        <v>439.49</v>
      </c>
      <c r="U669" s="12">
        <v>419.45</v>
      </c>
      <c r="V669" s="12">
        <v>289.58</v>
      </c>
      <c r="W669" s="12">
        <v>302.58</v>
      </c>
      <c r="X669" s="12">
        <v>270.11</v>
      </c>
      <c r="Y669" s="12">
        <v>242.76</v>
      </c>
      <c r="AA669" s="17">
        <f>MAX($B$669:$Z$669)</f>
        <v>549.99</v>
      </c>
      <c r="AB669" s="17">
        <f>MIN($B$669:$Z$669)</f>
        <v>94.85</v>
      </c>
      <c r="AC669" s="17">
        <f>AVERAGE($B$669:$Z$669)</f>
        <v>305.302083333333</v>
      </c>
    </row>
    <row r="670" spans="1:29">
      <c r="A670" s="10">
        <v>45965</v>
      </c>
      <c r="B670" s="12">
        <v>273.41</v>
      </c>
      <c r="C670" s="12">
        <v>250.5</v>
      </c>
      <c r="D670" s="12">
        <v>238.83</v>
      </c>
      <c r="E670" s="12">
        <v>237.09</v>
      </c>
      <c r="F670" s="12">
        <v>231.08</v>
      </c>
      <c r="G670" s="12">
        <v>233.1</v>
      </c>
      <c r="H670" s="12">
        <v>246.06</v>
      </c>
      <c r="I670" s="12">
        <v>335.71</v>
      </c>
      <c r="J670" s="12">
        <v>405.19</v>
      </c>
      <c r="K670" s="12">
        <v>376.37</v>
      </c>
      <c r="L670" s="12">
        <v>324.44</v>
      </c>
      <c r="M670" s="12">
        <v>288.1</v>
      </c>
      <c r="N670" s="12">
        <v>313.38</v>
      </c>
      <c r="O670" s="12">
        <v>264.19</v>
      </c>
      <c r="P670" s="12">
        <v>251.71</v>
      </c>
      <c r="Q670" s="12">
        <v>267.17</v>
      </c>
      <c r="R670" s="12">
        <v>288.31</v>
      </c>
      <c r="S670" s="12">
        <v>292.01</v>
      </c>
      <c r="T670" s="12">
        <v>306.26</v>
      </c>
      <c r="U670" s="12">
        <v>336.49</v>
      </c>
      <c r="V670" s="12">
        <v>280.47</v>
      </c>
      <c r="W670" s="12">
        <v>284.99</v>
      </c>
      <c r="X670" s="12">
        <v>276.5</v>
      </c>
      <c r="Y670" s="12">
        <v>238.3</v>
      </c>
      <c r="AA670" s="17">
        <f>MAX($B$670:$Z$670)</f>
        <v>405.19</v>
      </c>
      <c r="AB670" s="17">
        <f>MIN($B$670:$Z$670)</f>
        <v>231.08</v>
      </c>
      <c r="AC670" s="17">
        <f>AVERAGE($B$670:$Z$670)</f>
        <v>284.985833333333</v>
      </c>
    </row>
    <row r="671" spans="1:29">
      <c r="A671" s="10">
        <v>45966</v>
      </c>
      <c r="B671" s="12">
        <v>252.19</v>
      </c>
      <c r="C671" s="12">
        <v>243.99</v>
      </c>
      <c r="D671" s="12">
        <v>249.17</v>
      </c>
      <c r="E671" s="12">
        <v>251.55</v>
      </c>
      <c r="F671" s="12">
        <v>254.24</v>
      </c>
      <c r="G671" s="12">
        <v>255.29</v>
      </c>
      <c r="H671" s="12">
        <v>267.09</v>
      </c>
      <c r="I671" s="12">
        <v>284.28</v>
      </c>
      <c r="J671" s="12">
        <v>265</v>
      </c>
      <c r="K671" s="12">
        <v>242.51</v>
      </c>
      <c r="L671" s="12">
        <v>148.51</v>
      </c>
      <c r="M671" s="12">
        <v>168.91</v>
      </c>
      <c r="N671" s="12">
        <v>101.13</v>
      </c>
      <c r="O671" s="12">
        <v>177.98</v>
      </c>
      <c r="P671" s="12">
        <v>250.81</v>
      </c>
      <c r="Q671" s="12">
        <v>268.87</v>
      </c>
      <c r="R671" s="12">
        <v>305.21</v>
      </c>
      <c r="S671" s="12">
        <v>347.72</v>
      </c>
      <c r="T671" s="12">
        <v>379.42</v>
      </c>
      <c r="U671" s="12">
        <v>331.67</v>
      </c>
      <c r="V671" s="12">
        <v>347.14</v>
      </c>
      <c r="W671" s="12">
        <v>338.03</v>
      </c>
      <c r="X671" s="12">
        <v>298.37</v>
      </c>
      <c r="Y671" s="12">
        <v>261.51</v>
      </c>
      <c r="AA671" s="17">
        <f>MAX($B$671:$Z$671)</f>
        <v>379.42</v>
      </c>
      <c r="AB671" s="17">
        <f>MIN($B$671:$Z$671)</f>
        <v>101.13</v>
      </c>
      <c r="AC671" s="17">
        <f>AVERAGE($B$671:$Z$671)</f>
        <v>262.107916666667</v>
      </c>
    </row>
    <row r="672" spans="1:29">
      <c r="A672" s="10">
        <v>45967</v>
      </c>
      <c r="B672" s="12">
        <v>266.6</v>
      </c>
      <c r="C672" s="12">
        <v>258.92</v>
      </c>
      <c r="D672" s="12">
        <v>256.81</v>
      </c>
      <c r="E672" s="12">
        <v>252.05</v>
      </c>
      <c r="F672" s="12">
        <v>226.92</v>
      </c>
      <c r="G672" s="12">
        <v>248.91</v>
      </c>
      <c r="H672" s="12">
        <v>260.28</v>
      </c>
      <c r="I672" s="12">
        <v>263.68</v>
      </c>
      <c r="J672" s="12">
        <v>265.08</v>
      </c>
      <c r="K672" s="12">
        <v>194.84</v>
      </c>
      <c r="L672" s="12">
        <v>161.59</v>
      </c>
      <c r="M672" s="12">
        <v>125.73</v>
      </c>
      <c r="N672" s="12">
        <v>35.58</v>
      </c>
      <c r="O672" s="12">
        <v>100.36</v>
      </c>
      <c r="P672" s="12">
        <v>162.4</v>
      </c>
      <c r="Q672" s="12">
        <v>233.31</v>
      </c>
      <c r="R672" s="12">
        <v>382.81</v>
      </c>
      <c r="S672" s="12">
        <v>346.61</v>
      </c>
      <c r="T672" s="12">
        <v>363.28</v>
      </c>
      <c r="U672" s="12">
        <v>328.91</v>
      </c>
      <c r="V672" s="12">
        <v>286.79</v>
      </c>
      <c r="W672" s="12">
        <v>279.18</v>
      </c>
      <c r="X672" s="12">
        <v>262</v>
      </c>
      <c r="Y672" s="12">
        <v>234.18</v>
      </c>
      <c r="AA672" s="17">
        <f>MAX($B$672:$Z$672)</f>
        <v>382.81</v>
      </c>
      <c r="AB672" s="17">
        <f>MIN($B$672:$Z$672)</f>
        <v>35.58</v>
      </c>
      <c r="AC672" s="17">
        <f>AVERAGE($B$672:$Z$672)</f>
        <v>241.534166666667</v>
      </c>
    </row>
    <row r="673" spans="1:29">
      <c r="A673" s="10">
        <v>45968</v>
      </c>
      <c r="B673" s="12">
        <v>255.38</v>
      </c>
      <c r="C673" s="12">
        <v>247.83</v>
      </c>
      <c r="D673" s="12">
        <v>236.26</v>
      </c>
      <c r="E673" s="12">
        <v>230.57</v>
      </c>
      <c r="F673" s="12">
        <v>183.81</v>
      </c>
      <c r="G673" s="12">
        <v>209.52</v>
      </c>
      <c r="H673" s="12">
        <v>244.95</v>
      </c>
      <c r="I673" s="12">
        <v>249.52</v>
      </c>
      <c r="J673" s="12">
        <v>253.29</v>
      </c>
      <c r="K673" s="12">
        <v>248.2</v>
      </c>
      <c r="L673" s="12">
        <v>207.7</v>
      </c>
      <c r="M673" s="12">
        <v>214.38</v>
      </c>
      <c r="N673" s="12">
        <v>211.56</v>
      </c>
      <c r="O673" s="12">
        <v>191.39</v>
      </c>
      <c r="P673" s="12">
        <v>227.64</v>
      </c>
      <c r="Q673" s="12">
        <v>248.07</v>
      </c>
      <c r="R673" s="12">
        <v>259.64</v>
      </c>
      <c r="S673" s="12">
        <v>319.52</v>
      </c>
      <c r="T673" s="12">
        <v>416.06</v>
      </c>
      <c r="U673" s="12">
        <v>333.61</v>
      </c>
      <c r="V673" s="12">
        <v>326.56</v>
      </c>
      <c r="W673" s="12">
        <v>346.09</v>
      </c>
      <c r="X673" s="12">
        <v>314.62</v>
      </c>
      <c r="Y673" s="12">
        <v>285.87</v>
      </c>
      <c r="AA673" s="17">
        <f>MAX($B$673:$Z$673)</f>
        <v>416.06</v>
      </c>
      <c r="AB673" s="17">
        <f>MIN($B$673:$Z$673)</f>
        <v>183.81</v>
      </c>
      <c r="AC673" s="17">
        <f>AVERAGE($B$673:$Z$673)</f>
        <v>260.918333333333</v>
      </c>
    </row>
    <row r="674" spans="1:29">
      <c r="A674" s="10">
        <v>45969</v>
      </c>
      <c r="B674" s="12">
        <v>355.64</v>
      </c>
      <c r="C674" s="12">
        <v>300.38</v>
      </c>
      <c r="D674" s="12">
        <v>302.75</v>
      </c>
      <c r="E674" s="12">
        <v>298.59</v>
      </c>
      <c r="F674" s="12">
        <v>285.72</v>
      </c>
      <c r="G674" s="12">
        <v>295.76</v>
      </c>
      <c r="H674" s="12">
        <v>299.17</v>
      </c>
      <c r="I674" s="12">
        <v>297.3</v>
      </c>
      <c r="J674" s="12">
        <v>300.5</v>
      </c>
      <c r="K674" s="12">
        <v>285.67</v>
      </c>
      <c r="L674" s="12">
        <v>275.72</v>
      </c>
      <c r="M674" s="12">
        <v>267.32</v>
      </c>
      <c r="N674" s="12">
        <v>198.35</v>
      </c>
      <c r="O674" s="12">
        <v>262.77</v>
      </c>
      <c r="P674" s="12">
        <v>273.86</v>
      </c>
      <c r="Q674" s="12">
        <v>311.79</v>
      </c>
      <c r="R674" s="12">
        <v>360.55</v>
      </c>
      <c r="S674" s="12">
        <v>407.62</v>
      </c>
      <c r="T674" s="12">
        <v>410.95</v>
      </c>
      <c r="U674" s="12">
        <v>337.68</v>
      </c>
      <c r="V674" s="12">
        <v>341.51</v>
      </c>
      <c r="W674" s="12">
        <v>327.15</v>
      </c>
      <c r="X674" s="12">
        <v>297.42</v>
      </c>
      <c r="Y674" s="12">
        <v>282.95</v>
      </c>
      <c r="AA674" s="17">
        <f>MAX($B$674:$Z$674)</f>
        <v>410.95</v>
      </c>
      <c r="AB674" s="17">
        <f>MIN($B$674:$Z$674)</f>
        <v>198.35</v>
      </c>
      <c r="AC674" s="17">
        <f>AVERAGE($B$674:$Z$674)</f>
        <v>307.38</v>
      </c>
    </row>
    <row r="675" spans="1:29">
      <c r="A675" s="10">
        <v>45970</v>
      </c>
      <c r="B675" s="12">
        <v>318.15</v>
      </c>
      <c r="C675" s="12">
        <v>297.01</v>
      </c>
      <c r="D675" s="12">
        <v>285.21</v>
      </c>
      <c r="E675" s="12">
        <v>285.75</v>
      </c>
      <c r="F675" s="12">
        <v>284.78</v>
      </c>
      <c r="G675" s="12">
        <v>280.1</v>
      </c>
      <c r="H675" s="12">
        <v>278.65</v>
      </c>
      <c r="I675" s="12">
        <v>280.91</v>
      </c>
      <c r="J675" s="12">
        <v>258.91</v>
      </c>
      <c r="K675" s="12">
        <v>233.97</v>
      </c>
      <c r="L675" s="12">
        <v>207.11</v>
      </c>
      <c r="M675" s="12">
        <v>227.72</v>
      </c>
      <c r="N675" s="12">
        <v>223.16</v>
      </c>
      <c r="O675" s="12">
        <v>252.24</v>
      </c>
      <c r="P675" s="12">
        <v>264.03</v>
      </c>
      <c r="Q675" s="12">
        <v>292.15</v>
      </c>
      <c r="R675" s="12">
        <v>309.49</v>
      </c>
      <c r="S675" s="12">
        <v>320.2</v>
      </c>
      <c r="T675" s="12">
        <v>299.08</v>
      </c>
      <c r="U675" s="12">
        <v>284.47</v>
      </c>
      <c r="V675" s="12">
        <v>285.38</v>
      </c>
      <c r="W675" s="12">
        <v>278.65</v>
      </c>
      <c r="X675" s="12">
        <v>265.02</v>
      </c>
      <c r="Y675" s="12">
        <v>257</v>
      </c>
      <c r="AA675" s="17">
        <f>MAX($B$675:$Z$675)</f>
        <v>320.2</v>
      </c>
      <c r="AB675" s="17">
        <f>MIN($B$675:$Z$675)</f>
        <v>207.11</v>
      </c>
      <c r="AC675" s="17">
        <f>AVERAGE($B$675:$Z$675)</f>
        <v>273.714166666667</v>
      </c>
    </row>
    <row r="676" spans="1:29">
      <c r="A676" s="10">
        <v>45971</v>
      </c>
      <c r="B676" s="12">
        <v>268.74</v>
      </c>
      <c r="C676" s="12">
        <v>261.21</v>
      </c>
      <c r="D676" s="12">
        <v>247.2</v>
      </c>
      <c r="E676" s="12">
        <v>231.94</v>
      </c>
      <c r="F676" s="12">
        <v>206.12</v>
      </c>
      <c r="G676" s="12">
        <v>187.17</v>
      </c>
      <c r="H676" s="12">
        <v>234.91</v>
      </c>
      <c r="I676" s="12">
        <v>243.47</v>
      </c>
      <c r="J676" s="12">
        <v>218.12</v>
      </c>
      <c r="K676" s="12">
        <v>163.13</v>
      </c>
      <c r="L676" s="12">
        <v>197.19</v>
      </c>
      <c r="M676" s="12">
        <v>191.03</v>
      </c>
      <c r="N676" s="12">
        <v>118.62</v>
      </c>
      <c r="O676" s="12">
        <v>137.89</v>
      </c>
      <c r="P676" s="12">
        <v>174.27</v>
      </c>
      <c r="Q676" s="12">
        <v>244.66</v>
      </c>
      <c r="R676" s="12">
        <v>274</v>
      </c>
      <c r="S676" s="12">
        <v>296.98</v>
      </c>
      <c r="T676" s="12">
        <v>329.61</v>
      </c>
      <c r="U676" s="12">
        <v>300.25</v>
      </c>
      <c r="V676" s="12">
        <v>286.32</v>
      </c>
      <c r="W676" s="12">
        <v>282.44</v>
      </c>
      <c r="X676" s="12">
        <v>263.67</v>
      </c>
      <c r="Y676" s="12">
        <v>250.13</v>
      </c>
      <c r="AA676" s="17">
        <f>MAX($B$676:$Z$676)</f>
        <v>329.61</v>
      </c>
      <c r="AB676" s="17">
        <f>MIN($B$676:$Z$676)</f>
        <v>118.62</v>
      </c>
      <c r="AC676" s="17">
        <f>AVERAGE($B$676:$Z$676)</f>
        <v>233.71125</v>
      </c>
    </row>
    <row r="677" spans="1:29">
      <c r="A677" s="10">
        <v>45972</v>
      </c>
      <c r="B677" s="12">
        <v>265.92</v>
      </c>
      <c r="C677" s="12">
        <v>260.47</v>
      </c>
      <c r="D677" s="12">
        <v>260.13</v>
      </c>
      <c r="E677" s="12">
        <v>257.6</v>
      </c>
      <c r="F677" s="12">
        <v>231.63</v>
      </c>
      <c r="G677" s="12">
        <v>245.24</v>
      </c>
      <c r="H677" s="12">
        <v>249.43</v>
      </c>
      <c r="I677" s="12">
        <v>250.13</v>
      </c>
      <c r="J677" s="12">
        <v>270.44</v>
      </c>
      <c r="K677" s="12">
        <v>178.86</v>
      </c>
      <c r="L677" s="12">
        <v>176.88</v>
      </c>
      <c r="M677" s="12">
        <v>188.73</v>
      </c>
      <c r="N677" s="12">
        <v>118.37</v>
      </c>
      <c r="O677" s="12">
        <v>182.07</v>
      </c>
      <c r="P677" s="12">
        <v>219.83</v>
      </c>
      <c r="Q677" s="12">
        <v>206.39</v>
      </c>
      <c r="R677" s="12">
        <v>264.26</v>
      </c>
      <c r="S677" s="12">
        <v>283.84</v>
      </c>
      <c r="T677" s="12">
        <v>306.98</v>
      </c>
      <c r="U677" s="12">
        <v>302.42</v>
      </c>
      <c r="V677" s="12">
        <v>281.48</v>
      </c>
      <c r="W677" s="12">
        <v>267.58</v>
      </c>
      <c r="X677" s="12">
        <v>251.97</v>
      </c>
      <c r="Y677" s="12">
        <v>184.74</v>
      </c>
      <c r="AA677" s="17">
        <f>MAX($B$677:$Z$677)</f>
        <v>306.98</v>
      </c>
      <c r="AB677" s="17">
        <f>MIN($B$677:$Z$677)</f>
        <v>118.37</v>
      </c>
      <c r="AC677" s="17">
        <f>AVERAGE($B$677:$Z$677)</f>
        <v>237.724583333333</v>
      </c>
    </row>
    <row r="678" spans="1:29">
      <c r="A678" s="10">
        <v>45973</v>
      </c>
      <c r="B678" s="12">
        <v>199.75</v>
      </c>
      <c r="C678" s="12">
        <v>227.74</v>
      </c>
      <c r="D678" s="12">
        <v>187.47</v>
      </c>
      <c r="E678" s="12">
        <v>68.33</v>
      </c>
      <c r="F678" s="12">
        <v>101.72</v>
      </c>
      <c r="G678" s="12">
        <v>93.54</v>
      </c>
      <c r="H678" s="12">
        <v>191.67</v>
      </c>
      <c r="I678" s="12">
        <v>247.71</v>
      </c>
      <c r="J678" s="12">
        <v>203.33</v>
      </c>
      <c r="K678" s="12">
        <v>113.85</v>
      </c>
      <c r="L678" s="12">
        <v>47.93</v>
      </c>
      <c r="M678" s="12">
        <v>40.23</v>
      </c>
      <c r="N678" s="12">
        <v>62.4</v>
      </c>
      <c r="O678" s="12">
        <v>131.61</v>
      </c>
      <c r="P678" s="12">
        <v>131.24</v>
      </c>
      <c r="Q678" s="12">
        <v>211.63</v>
      </c>
      <c r="R678" s="12">
        <v>255.43</v>
      </c>
      <c r="S678" s="12">
        <v>287.72</v>
      </c>
      <c r="T678" s="12">
        <v>353.55</v>
      </c>
      <c r="U678" s="12">
        <v>298.78</v>
      </c>
      <c r="V678" s="12">
        <v>283.07</v>
      </c>
      <c r="W678" s="12">
        <v>271.04</v>
      </c>
      <c r="X678" s="12">
        <v>251.82</v>
      </c>
      <c r="Y678" s="12">
        <v>209.83</v>
      </c>
      <c r="AA678" s="17">
        <f>MAX($B$678:$Z$678)</f>
        <v>353.55</v>
      </c>
      <c r="AB678" s="17">
        <f>MIN($B$678:$Z$678)</f>
        <v>40.23</v>
      </c>
      <c r="AC678" s="17">
        <f>AVERAGE($B$678:$Z$678)</f>
        <v>186.307916666667</v>
      </c>
    </row>
    <row r="679" spans="1:29">
      <c r="A679" s="10">
        <v>45974</v>
      </c>
      <c r="B679" s="12">
        <v>245.35</v>
      </c>
      <c r="C679" s="12">
        <v>234.3</v>
      </c>
      <c r="D679" s="12">
        <v>201.48</v>
      </c>
      <c r="E679" s="12">
        <v>190.88</v>
      </c>
      <c r="F679" s="12">
        <v>137.61</v>
      </c>
      <c r="G679" s="12">
        <v>179.54</v>
      </c>
      <c r="H679" s="12">
        <v>237.8</v>
      </c>
      <c r="I679" s="12">
        <v>253.67</v>
      </c>
      <c r="J679" s="12">
        <v>227.57</v>
      </c>
      <c r="K679" s="12">
        <v>180.77</v>
      </c>
      <c r="L679" s="12">
        <v>143.23</v>
      </c>
      <c r="M679" s="12">
        <v>163.76</v>
      </c>
      <c r="N679" s="12">
        <v>123</v>
      </c>
      <c r="O679" s="12">
        <v>155.35</v>
      </c>
      <c r="P679" s="12">
        <v>171.48</v>
      </c>
      <c r="Q679" s="12">
        <v>196.27</v>
      </c>
      <c r="R679" s="12">
        <v>240.17</v>
      </c>
      <c r="S679" s="12">
        <v>316.34</v>
      </c>
      <c r="T679" s="12">
        <v>373.24</v>
      </c>
      <c r="U679" s="12">
        <v>309.95</v>
      </c>
      <c r="V679" s="12">
        <v>284.54</v>
      </c>
      <c r="W679" s="12">
        <v>274.52</v>
      </c>
      <c r="X679" s="12">
        <v>241.88</v>
      </c>
      <c r="Y679" s="12">
        <v>159.41</v>
      </c>
      <c r="AA679" s="17">
        <f>MAX($B$679:$Z$679)</f>
        <v>373.24</v>
      </c>
      <c r="AB679" s="17">
        <f>MIN($B$679:$Z$679)</f>
        <v>123</v>
      </c>
      <c r="AC679" s="17">
        <f>AVERAGE($B$679:$Z$679)</f>
        <v>218.42125</v>
      </c>
    </row>
    <row r="680" spans="1:29">
      <c r="A680" s="10">
        <v>45975</v>
      </c>
      <c r="B680" s="12">
        <v>240.94</v>
      </c>
      <c r="C680" s="12">
        <v>231.11</v>
      </c>
      <c r="D680" s="12">
        <v>173.25</v>
      </c>
      <c r="E680" s="12">
        <v>124.38</v>
      </c>
      <c r="F680" s="12">
        <v>102.83</v>
      </c>
      <c r="G680" s="12">
        <v>89</v>
      </c>
      <c r="H680" s="12">
        <v>224.97</v>
      </c>
      <c r="I680" s="12">
        <v>238.61</v>
      </c>
      <c r="J680" s="12">
        <v>245.62</v>
      </c>
      <c r="K680" s="12">
        <v>158.49</v>
      </c>
      <c r="L680" s="12">
        <v>83.34</v>
      </c>
      <c r="M680" s="12">
        <v>34.11</v>
      </c>
      <c r="N680" s="12">
        <v>13.13</v>
      </c>
      <c r="O680" s="12">
        <v>36.63</v>
      </c>
      <c r="P680" s="12">
        <v>25.45</v>
      </c>
      <c r="Q680" s="12">
        <v>143.76</v>
      </c>
      <c r="R680" s="12">
        <v>258.77</v>
      </c>
      <c r="S680" s="12">
        <v>300.69</v>
      </c>
      <c r="T680" s="12">
        <v>408.15</v>
      </c>
      <c r="U680" s="12">
        <v>349.16</v>
      </c>
      <c r="V680" s="12">
        <v>302.57</v>
      </c>
      <c r="W680" s="12">
        <v>282.28</v>
      </c>
      <c r="X680" s="12">
        <v>282.7</v>
      </c>
      <c r="Y680" s="12">
        <v>265.24</v>
      </c>
      <c r="AA680" s="17">
        <f>MAX($B$680:$Z$680)</f>
        <v>408.15</v>
      </c>
      <c r="AB680" s="17">
        <f>MIN($B$680:$Z$680)</f>
        <v>13.13</v>
      </c>
      <c r="AC680" s="17">
        <f>AVERAGE($B$680:$Z$680)</f>
        <v>192.299166666667</v>
      </c>
    </row>
    <row r="681" spans="1:29">
      <c r="A681" s="10">
        <v>45976</v>
      </c>
      <c r="B681" s="12">
        <v>273.05</v>
      </c>
      <c r="C681" s="12">
        <v>262.46</v>
      </c>
      <c r="D681" s="12">
        <v>256.93</v>
      </c>
      <c r="E681" s="12">
        <v>238.96</v>
      </c>
      <c r="F681" s="12">
        <v>195.24</v>
      </c>
      <c r="G681" s="12">
        <v>133.36</v>
      </c>
      <c r="H681" s="12">
        <v>221.6</v>
      </c>
      <c r="I681" s="12">
        <v>234.45</v>
      </c>
      <c r="J681" s="12">
        <v>188.98</v>
      </c>
      <c r="K681" s="12">
        <v>115.49</v>
      </c>
      <c r="L681" s="12">
        <v>73.2</v>
      </c>
      <c r="M681" s="12">
        <v>10.75</v>
      </c>
      <c r="N681" s="12">
        <v>28.19</v>
      </c>
      <c r="O681" s="12">
        <v>29.79</v>
      </c>
      <c r="P681" s="12">
        <v>22.93</v>
      </c>
      <c r="Q681" s="12">
        <v>84.18</v>
      </c>
      <c r="R681" s="12">
        <v>228.09</v>
      </c>
      <c r="S681" s="12">
        <v>321.37</v>
      </c>
      <c r="T681" s="12">
        <v>360.69</v>
      </c>
      <c r="U681" s="12">
        <v>326.94</v>
      </c>
      <c r="V681" s="12">
        <v>301.44</v>
      </c>
      <c r="W681" s="12">
        <v>292.44</v>
      </c>
      <c r="X681" s="12">
        <v>272.17</v>
      </c>
      <c r="Y681" s="12">
        <v>256.19</v>
      </c>
      <c r="AA681" s="17">
        <f>MAX($B$681:$Z$681)</f>
        <v>360.69</v>
      </c>
      <c r="AB681" s="17">
        <f>MIN($B$681:$Z$681)</f>
        <v>10.75</v>
      </c>
      <c r="AC681" s="17">
        <f>AVERAGE($B$681:$Z$681)</f>
        <v>197.037083333333</v>
      </c>
    </row>
    <row r="682" spans="1:29">
      <c r="A682" s="10">
        <v>45977</v>
      </c>
      <c r="B682" s="12">
        <v>260.49</v>
      </c>
      <c r="C682" s="12">
        <v>250.33</v>
      </c>
      <c r="D682" s="12">
        <v>195.96</v>
      </c>
      <c r="E682" s="12">
        <v>154.06</v>
      </c>
      <c r="F682" s="12">
        <v>63.31</v>
      </c>
      <c r="G682" s="12">
        <v>14.78</v>
      </c>
      <c r="H682" s="12">
        <v>47.16</v>
      </c>
      <c r="I682" s="12">
        <v>20.74</v>
      </c>
      <c r="J682" s="12">
        <v>4.47</v>
      </c>
      <c r="K682" s="12">
        <v>-39.07</v>
      </c>
      <c r="L682" s="12">
        <v>-37.67</v>
      </c>
      <c r="M682" s="12">
        <v>-26.19</v>
      </c>
      <c r="N682" s="12">
        <v>5.84</v>
      </c>
      <c r="O682" s="12">
        <v>8.92</v>
      </c>
      <c r="P682" s="12">
        <v>-2.21</v>
      </c>
      <c r="Q682" s="12">
        <v>0.95</v>
      </c>
      <c r="R682" s="12">
        <v>73.22</v>
      </c>
      <c r="S682" s="12">
        <v>242.34</v>
      </c>
      <c r="T682" s="12">
        <v>306.29</v>
      </c>
      <c r="U682" s="12">
        <v>313.4</v>
      </c>
      <c r="V682" s="12">
        <v>308.77</v>
      </c>
      <c r="W682" s="12">
        <v>286.48</v>
      </c>
      <c r="X682" s="12">
        <v>258.65</v>
      </c>
      <c r="Y682" s="12">
        <v>237.32</v>
      </c>
      <c r="AA682" s="17">
        <f>MAX($B$682:$Z$682)</f>
        <v>313.4</v>
      </c>
      <c r="AB682" s="17">
        <f>MIN($B$682:$Z$682)</f>
        <v>-39.07</v>
      </c>
      <c r="AC682" s="17">
        <f>AVERAGE($B$682:$Z$682)</f>
        <v>122.8475</v>
      </c>
    </row>
    <row r="683" spans="1:29">
      <c r="A683" s="10">
        <v>45978</v>
      </c>
      <c r="B683" s="12">
        <v>251.17</v>
      </c>
      <c r="C683" s="12">
        <v>247.02</v>
      </c>
      <c r="D683" s="12">
        <v>242.15</v>
      </c>
      <c r="E683" s="12">
        <v>233.81</v>
      </c>
      <c r="F683" s="12">
        <v>221</v>
      </c>
      <c r="G683" s="12">
        <v>224.65</v>
      </c>
      <c r="H683" s="12">
        <v>249.23</v>
      </c>
      <c r="I683" s="12">
        <v>258.86</v>
      </c>
      <c r="J683" s="12">
        <v>263.93</v>
      </c>
      <c r="K683" s="12">
        <v>214.27</v>
      </c>
      <c r="L683" s="12">
        <v>166.35</v>
      </c>
      <c r="M683" s="12">
        <v>191.93</v>
      </c>
      <c r="N683" s="12">
        <v>94.66</v>
      </c>
      <c r="O683" s="12">
        <v>139.65</v>
      </c>
      <c r="P683" s="12">
        <v>179.54</v>
      </c>
      <c r="Q683" s="12">
        <v>251.25</v>
      </c>
      <c r="R683" s="12">
        <v>288.57</v>
      </c>
      <c r="S683" s="12">
        <v>309.43</v>
      </c>
      <c r="T683" s="12">
        <v>338</v>
      </c>
      <c r="U683" s="12">
        <v>306.55</v>
      </c>
      <c r="V683" s="12">
        <v>296.32</v>
      </c>
      <c r="W683" s="12">
        <v>290.38</v>
      </c>
      <c r="X683" s="12">
        <v>269.88</v>
      </c>
      <c r="Y683" s="12">
        <v>254.3</v>
      </c>
      <c r="AA683" s="17">
        <f>MAX($B$683:$Z$683)</f>
        <v>338</v>
      </c>
      <c r="AB683" s="17">
        <f>MIN($B$683:$Z$683)</f>
        <v>94.66</v>
      </c>
      <c r="AC683" s="17">
        <f>AVERAGE($B$683:$Z$683)</f>
        <v>240.954166666667</v>
      </c>
    </row>
    <row r="684" spans="1:29">
      <c r="A684" s="10">
        <v>45979</v>
      </c>
      <c r="B684" s="12">
        <v>267.64</v>
      </c>
      <c r="C684" s="12">
        <v>259.18</v>
      </c>
      <c r="D684" s="12">
        <v>246.29</v>
      </c>
      <c r="E684" s="12">
        <v>227.1</v>
      </c>
      <c r="F684" s="12">
        <v>218.1</v>
      </c>
      <c r="G684" s="12">
        <v>194.35</v>
      </c>
      <c r="H684" s="12">
        <v>217.04</v>
      </c>
      <c r="I684" s="12">
        <v>220.85</v>
      </c>
      <c r="J684" s="12">
        <v>239.84</v>
      </c>
      <c r="K684" s="12">
        <v>216.95</v>
      </c>
      <c r="L684" s="12">
        <v>138.1</v>
      </c>
      <c r="M684" s="12">
        <v>189.55</v>
      </c>
      <c r="N684" s="12">
        <v>144.77</v>
      </c>
      <c r="O684" s="12">
        <v>154.34</v>
      </c>
      <c r="P684" s="12">
        <v>170.85</v>
      </c>
      <c r="Q684" s="12">
        <v>180.22</v>
      </c>
      <c r="R684" s="12">
        <v>227.61</v>
      </c>
      <c r="S684" s="12">
        <v>251.19</v>
      </c>
      <c r="T684" s="12">
        <v>256.27</v>
      </c>
      <c r="U684" s="12">
        <v>251.87</v>
      </c>
      <c r="V684" s="12">
        <v>249.85</v>
      </c>
      <c r="W684" s="12">
        <v>240.23</v>
      </c>
      <c r="X684" s="12">
        <v>203.37</v>
      </c>
      <c r="Y684" s="12">
        <v>140.69</v>
      </c>
      <c r="AA684" s="17">
        <f>MAX($B$684:$Z$684)</f>
        <v>267.64</v>
      </c>
      <c r="AB684" s="17">
        <f>MIN($B$684:$Z$684)</f>
        <v>138.1</v>
      </c>
      <c r="AC684" s="17">
        <f>AVERAGE($B$684:$Z$684)</f>
        <v>212.760416666667</v>
      </c>
    </row>
    <row r="685" spans="1:29">
      <c r="A685" s="10">
        <v>45980</v>
      </c>
      <c r="B685" s="12">
        <v>166.45</v>
      </c>
      <c r="C685" s="12">
        <v>125.03</v>
      </c>
      <c r="D685" s="12">
        <v>66.93</v>
      </c>
      <c r="E685" s="12">
        <v>95.96</v>
      </c>
      <c r="F685" s="12">
        <v>48.99</v>
      </c>
      <c r="G685" s="12">
        <v>67.33</v>
      </c>
      <c r="H685" s="12">
        <v>117.32</v>
      </c>
      <c r="I685" s="12">
        <v>168.71</v>
      </c>
      <c r="J685" s="12">
        <v>241.96</v>
      </c>
      <c r="K685" s="12">
        <v>224.51</v>
      </c>
      <c r="L685" s="12">
        <v>155.54</v>
      </c>
      <c r="M685" s="12">
        <v>117.37</v>
      </c>
      <c r="N685" s="12">
        <v>91.46</v>
      </c>
      <c r="O685" s="12">
        <v>167</v>
      </c>
      <c r="P685" s="12">
        <v>154.09</v>
      </c>
      <c r="Q685" s="12">
        <v>161.11</v>
      </c>
      <c r="R685" s="12">
        <v>224.79</v>
      </c>
      <c r="S685" s="12">
        <v>275</v>
      </c>
      <c r="T685" s="12">
        <v>277.64</v>
      </c>
      <c r="U685" s="12">
        <v>270.23</v>
      </c>
      <c r="V685" s="12">
        <v>277.99</v>
      </c>
      <c r="W685" s="12">
        <v>264.2</v>
      </c>
      <c r="X685" s="12">
        <v>238.58</v>
      </c>
      <c r="Y685" s="12">
        <v>172.14</v>
      </c>
      <c r="AA685" s="17">
        <f>MAX($B$685:$Z$685)</f>
        <v>277.99</v>
      </c>
      <c r="AB685" s="17">
        <f>MIN($B$685:$Z$685)</f>
        <v>48.99</v>
      </c>
      <c r="AC685" s="17">
        <f>AVERAGE($B$685:$Z$685)</f>
        <v>173.76375</v>
      </c>
    </row>
    <row r="686" spans="1:29">
      <c r="A686" s="10">
        <v>45981</v>
      </c>
      <c r="B686" s="12">
        <v>229.27</v>
      </c>
      <c r="C686" s="12">
        <v>210.64</v>
      </c>
      <c r="D686" s="12">
        <v>200.14</v>
      </c>
      <c r="E686" s="12">
        <v>127.42</v>
      </c>
      <c r="F686" s="12">
        <v>91.81</v>
      </c>
      <c r="G686" s="12">
        <v>87.4</v>
      </c>
      <c r="H686" s="12">
        <v>171.75</v>
      </c>
      <c r="I686" s="12">
        <v>233.77</v>
      </c>
      <c r="J686" s="12">
        <v>247.63</v>
      </c>
      <c r="K686" s="12">
        <v>220.85</v>
      </c>
      <c r="L686" s="12">
        <v>158.19</v>
      </c>
      <c r="M686" s="12">
        <v>151.56</v>
      </c>
      <c r="N686" s="12">
        <v>55.89</v>
      </c>
      <c r="O686" s="12">
        <v>73.93</v>
      </c>
      <c r="P686" s="12">
        <v>109.5</v>
      </c>
      <c r="Q686" s="12">
        <v>113.21</v>
      </c>
      <c r="R686" s="12">
        <v>247.55</v>
      </c>
      <c r="S686" s="12">
        <v>350.72</v>
      </c>
      <c r="T686" s="12">
        <v>333.34</v>
      </c>
      <c r="U686" s="12">
        <v>324.45</v>
      </c>
      <c r="V686" s="12">
        <v>322.91</v>
      </c>
      <c r="W686" s="12">
        <v>325.44</v>
      </c>
      <c r="X686" s="12">
        <v>264.23</v>
      </c>
      <c r="Y686" s="12">
        <v>247.69</v>
      </c>
      <c r="AA686" s="17">
        <f>MAX($B$686:$Z$686)</f>
        <v>350.72</v>
      </c>
      <c r="AB686" s="17">
        <f>MIN($B$686:$Z$686)</f>
        <v>55.89</v>
      </c>
      <c r="AC686" s="17">
        <f>AVERAGE($B$686:$Z$686)</f>
        <v>204.137083333333</v>
      </c>
    </row>
    <row r="687" spans="1:29">
      <c r="A687" s="10">
        <v>45982</v>
      </c>
      <c r="B687" s="12">
        <v>259.72</v>
      </c>
      <c r="C687" s="12">
        <v>251.59</v>
      </c>
      <c r="D687" s="12">
        <v>193.1</v>
      </c>
      <c r="E687" s="12">
        <v>90.84</v>
      </c>
      <c r="F687" s="12">
        <v>134.9</v>
      </c>
      <c r="G687" s="12">
        <v>102.3</v>
      </c>
      <c r="H687" s="12">
        <v>227.68</v>
      </c>
      <c r="I687" s="12">
        <v>240.24</v>
      </c>
      <c r="J687" s="12">
        <v>218.3</v>
      </c>
      <c r="K687" s="12">
        <v>172.37</v>
      </c>
      <c r="L687" s="12">
        <v>33.68</v>
      </c>
      <c r="M687" s="12">
        <v>-4.94</v>
      </c>
      <c r="N687" s="12">
        <v>8.24</v>
      </c>
      <c r="O687" s="12">
        <v>11.07</v>
      </c>
      <c r="P687" s="12">
        <v>1.81</v>
      </c>
      <c r="Q687" s="12">
        <v>46.62</v>
      </c>
      <c r="R687" s="12">
        <v>228.49</v>
      </c>
      <c r="S687" s="12">
        <v>306.39</v>
      </c>
      <c r="T687" s="12">
        <v>323.56</v>
      </c>
      <c r="U687" s="12">
        <v>298.77</v>
      </c>
      <c r="V687" s="12">
        <v>290.79</v>
      </c>
      <c r="W687" s="12">
        <v>286.55</v>
      </c>
      <c r="X687" s="12">
        <v>283.64</v>
      </c>
      <c r="Y687" s="12">
        <v>259.78</v>
      </c>
      <c r="AA687" s="17">
        <f>MAX($B$687:$Z$687)</f>
        <v>323.56</v>
      </c>
      <c r="AB687" s="17">
        <f>MIN($B$687:$Z$687)</f>
        <v>-4.94</v>
      </c>
      <c r="AC687" s="17">
        <f>AVERAGE($B$687:$Z$687)</f>
        <v>177.72875</v>
      </c>
    </row>
    <row r="688" spans="1:29">
      <c r="A688" s="10">
        <v>45983</v>
      </c>
      <c r="B688" s="12">
        <v>276.97</v>
      </c>
      <c r="C688" s="12">
        <v>225.86</v>
      </c>
      <c r="D688" s="12">
        <v>195.47</v>
      </c>
      <c r="E688" s="12">
        <v>155.06</v>
      </c>
      <c r="F688" s="12">
        <v>173.85</v>
      </c>
      <c r="G688" s="12">
        <v>144.95</v>
      </c>
      <c r="H688" s="12">
        <v>165.28</v>
      </c>
      <c r="I688" s="12">
        <v>201.82</v>
      </c>
      <c r="J688" s="12">
        <v>231.35</v>
      </c>
      <c r="K688" s="12">
        <v>113.08</v>
      </c>
      <c r="L688" s="12">
        <v>16.17</v>
      </c>
      <c r="M688" s="12">
        <v>-11.79</v>
      </c>
      <c r="N688" s="12">
        <v>1.96</v>
      </c>
      <c r="O688" s="12">
        <v>23.28</v>
      </c>
      <c r="P688" s="12">
        <v>-2.55</v>
      </c>
      <c r="Q688" s="12">
        <v>142.07</v>
      </c>
      <c r="R688" s="12">
        <v>257.83</v>
      </c>
      <c r="S688" s="12">
        <v>369.97</v>
      </c>
      <c r="T688" s="12">
        <v>329.56</v>
      </c>
      <c r="U688" s="12">
        <v>382.79</v>
      </c>
      <c r="V688" s="12">
        <v>348.75</v>
      </c>
      <c r="W688" s="12">
        <v>345.5</v>
      </c>
      <c r="X688" s="12">
        <v>306.09</v>
      </c>
      <c r="Y688" s="12">
        <v>267.72</v>
      </c>
      <c r="AA688" s="17">
        <f>MAX($B$688:$Z$688)</f>
        <v>382.79</v>
      </c>
      <c r="AB688" s="17">
        <f>MIN($B$688:$Z$688)</f>
        <v>-11.79</v>
      </c>
      <c r="AC688" s="17">
        <f>AVERAGE($B$688:$Z$688)</f>
        <v>194.21</v>
      </c>
    </row>
    <row r="689" spans="1:29">
      <c r="A689" s="10">
        <v>45984</v>
      </c>
      <c r="B689" s="12">
        <v>283.47</v>
      </c>
      <c r="C689" s="12">
        <v>270.33</v>
      </c>
      <c r="D689" s="12">
        <v>263.72</v>
      </c>
      <c r="E689" s="12">
        <v>255.86</v>
      </c>
      <c r="F689" s="12">
        <v>240.88</v>
      </c>
      <c r="G689" s="12">
        <v>165.54</v>
      </c>
      <c r="H689" s="12">
        <v>223.98</v>
      </c>
      <c r="I689" s="12">
        <v>241.4</v>
      </c>
      <c r="J689" s="12">
        <v>178.56</v>
      </c>
      <c r="K689" s="12">
        <v>17.32</v>
      </c>
      <c r="L689" s="12">
        <v>-19.29</v>
      </c>
      <c r="M689" s="12">
        <v>-21.04</v>
      </c>
      <c r="N689" s="12">
        <v>-16.08</v>
      </c>
      <c r="O689" s="12">
        <v>-6.99</v>
      </c>
      <c r="P689" s="12">
        <v>-10.54</v>
      </c>
      <c r="Q689" s="12">
        <v>25.15</v>
      </c>
      <c r="R689" s="12">
        <v>244.05</v>
      </c>
      <c r="S689" s="12">
        <v>300.25</v>
      </c>
      <c r="T689" s="12">
        <v>321.75</v>
      </c>
      <c r="U689" s="12">
        <v>301.43</v>
      </c>
      <c r="V689" s="12">
        <v>309.07</v>
      </c>
      <c r="W689" s="12">
        <v>297.51</v>
      </c>
      <c r="X689" s="12">
        <v>272.33</v>
      </c>
      <c r="Y689" s="12">
        <v>260.61</v>
      </c>
      <c r="AA689" s="17">
        <f>MAX($B$689:$Z$689)</f>
        <v>321.75</v>
      </c>
      <c r="AB689" s="17">
        <f>MIN($B$689:$Z$689)</f>
        <v>-21.04</v>
      </c>
      <c r="AC689" s="17">
        <f>AVERAGE($B$689:$Z$689)</f>
        <v>183.302916666667</v>
      </c>
    </row>
    <row r="690" spans="1:29">
      <c r="A690" s="10">
        <v>45985</v>
      </c>
      <c r="B690" s="12">
        <v>281.22</v>
      </c>
      <c r="C690" s="12">
        <v>269.19</v>
      </c>
      <c r="D690" s="12">
        <v>260.92</v>
      </c>
      <c r="E690" s="12">
        <v>251.62</v>
      </c>
      <c r="F690" s="12">
        <v>221.36</v>
      </c>
      <c r="G690" s="12">
        <v>242.52</v>
      </c>
      <c r="H690" s="12">
        <v>261.36</v>
      </c>
      <c r="I690" s="12">
        <v>278</v>
      </c>
      <c r="J690" s="12">
        <v>284.84</v>
      </c>
      <c r="K690" s="12">
        <v>240.61</v>
      </c>
      <c r="L690" s="12">
        <v>86.06</v>
      </c>
      <c r="M690" s="12">
        <v>81.76</v>
      </c>
      <c r="N690" s="12">
        <v>48.83</v>
      </c>
      <c r="O690" s="12">
        <v>66.81</v>
      </c>
      <c r="P690" s="12">
        <v>82.55</v>
      </c>
      <c r="Q690" s="12">
        <v>132.24</v>
      </c>
      <c r="R690" s="12">
        <v>284.73</v>
      </c>
      <c r="S690" s="12">
        <v>331.77</v>
      </c>
      <c r="T690" s="12">
        <v>309.72</v>
      </c>
      <c r="U690" s="12">
        <v>300.34</v>
      </c>
      <c r="V690" s="12">
        <v>308.18</v>
      </c>
      <c r="W690" s="12">
        <v>305.54</v>
      </c>
      <c r="X690" s="12">
        <v>262.16</v>
      </c>
      <c r="Y690" s="12">
        <v>236.85</v>
      </c>
      <c r="AA690" s="17">
        <f>MAX($B$690:$Z$690)</f>
        <v>331.77</v>
      </c>
      <c r="AB690" s="17">
        <f>MIN($B$690:$Z$690)</f>
        <v>48.83</v>
      </c>
      <c r="AC690" s="17">
        <f>AVERAGE($B$690:$Z$690)</f>
        <v>226.215833333333</v>
      </c>
    </row>
    <row r="691" spans="1:29">
      <c r="A691" s="10">
        <v>45986</v>
      </c>
      <c r="B691" s="12">
        <v>262.73</v>
      </c>
      <c r="C691" s="12">
        <v>219.39</v>
      </c>
      <c r="D691" s="12">
        <v>80.86</v>
      </c>
      <c r="E691" s="12">
        <v>48.07</v>
      </c>
      <c r="F691" s="12">
        <v>19.19</v>
      </c>
      <c r="G691" s="12">
        <v>28.28</v>
      </c>
      <c r="H691" s="12">
        <v>144.42</v>
      </c>
      <c r="I691" s="12">
        <v>234.89</v>
      </c>
      <c r="J691" s="12">
        <v>203.32</v>
      </c>
      <c r="K691" s="12">
        <v>76.83</v>
      </c>
      <c r="L691" s="12">
        <v>-4.69</v>
      </c>
      <c r="M691" s="12">
        <v>-1.95</v>
      </c>
      <c r="N691" s="12">
        <v>-19.07</v>
      </c>
      <c r="O691" s="12">
        <v>4.31</v>
      </c>
      <c r="P691" s="12">
        <v>1.81</v>
      </c>
      <c r="Q691" s="12">
        <v>59.61</v>
      </c>
      <c r="R691" s="12">
        <v>186.38</v>
      </c>
      <c r="S691" s="12">
        <v>305.31</v>
      </c>
      <c r="T691" s="12">
        <v>322.79</v>
      </c>
      <c r="U691" s="12">
        <v>319.6</v>
      </c>
      <c r="V691" s="12">
        <v>283.71</v>
      </c>
      <c r="W691" s="12">
        <v>284</v>
      </c>
      <c r="X691" s="12">
        <v>254.97</v>
      </c>
      <c r="Y691" s="12">
        <v>185.81</v>
      </c>
      <c r="AA691" s="17">
        <f>MAX($B$691:$Z$691)</f>
        <v>322.79</v>
      </c>
      <c r="AB691" s="17">
        <f>MIN($B$691:$Z$691)</f>
        <v>-19.07</v>
      </c>
      <c r="AC691" s="17">
        <f>AVERAGE($B$691:$Z$691)</f>
        <v>145.857083333333</v>
      </c>
    </row>
    <row r="692" spans="1:29">
      <c r="A692" s="10">
        <v>45987</v>
      </c>
      <c r="B692" s="12">
        <v>248.29</v>
      </c>
      <c r="C692" s="12">
        <v>236.56</v>
      </c>
      <c r="D692" s="12">
        <v>203.82</v>
      </c>
      <c r="E692" s="12">
        <v>194.6</v>
      </c>
      <c r="F692" s="12">
        <v>72.08</v>
      </c>
      <c r="G692" s="12">
        <v>99.8</v>
      </c>
      <c r="H692" s="12">
        <v>189.27</v>
      </c>
      <c r="I692" s="12">
        <v>246.87</v>
      </c>
      <c r="J692" s="12">
        <v>192.07</v>
      </c>
      <c r="K692" s="12">
        <v>69.21</v>
      </c>
      <c r="L692" s="12">
        <v>64.69</v>
      </c>
      <c r="M692" s="12">
        <v>55.42</v>
      </c>
      <c r="N692" s="12">
        <v>-12.44</v>
      </c>
      <c r="O692" s="12">
        <v>-15.43</v>
      </c>
      <c r="P692" s="12">
        <v>-39.68</v>
      </c>
      <c r="Q692" s="12">
        <v>-17.91</v>
      </c>
      <c r="R692" s="12">
        <v>228.86</v>
      </c>
      <c r="S692" s="12">
        <v>282.98</v>
      </c>
      <c r="T692" s="12">
        <v>327.59</v>
      </c>
      <c r="U692" s="12">
        <v>292.48</v>
      </c>
      <c r="V692" s="12">
        <v>276.9</v>
      </c>
      <c r="W692" s="12">
        <v>269.48</v>
      </c>
      <c r="X692" s="12">
        <v>243.99</v>
      </c>
      <c r="Y692" s="12">
        <v>91.25</v>
      </c>
      <c r="AA692" s="17">
        <f>MAX($B$692:$Z$692)</f>
        <v>327.59</v>
      </c>
      <c r="AB692" s="17">
        <f>MIN($B$692:$Z$692)</f>
        <v>-39.68</v>
      </c>
      <c r="AC692" s="17">
        <f>AVERAGE($B$692:$Z$692)</f>
        <v>158.364583333333</v>
      </c>
    </row>
    <row r="693" spans="1:29">
      <c r="A693" s="10">
        <v>45988</v>
      </c>
      <c r="B693" s="12">
        <v>182.17</v>
      </c>
      <c r="C693" s="12">
        <v>117.41</v>
      </c>
      <c r="D693" s="12">
        <v>200.46</v>
      </c>
      <c r="E693" s="12">
        <v>98.6</v>
      </c>
      <c r="F693" s="12">
        <v>46.7</v>
      </c>
      <c r="G693" s="12">
        <v>57.77</v>
      </c>
      <c r="H693" s="12">
        <v>115.22</v>
      </c>
      <c r="I693" s="12">
        <v>202.54</v>
      </c>
      <c r="J693" s="12">
        <v>219.55</v>
      </c>
      <c r="K693" s="12">
        <v>154.25</v>
      </c>
      <c r="L693" s="12">
        <v>79.63</v>
      </c>
      <c r="M693" s="12">
        <v>74.06</v>
      </c>
      <c r="N693" s="12">
        <v>3.85</v>
      </c>
      <c r="O693" s="12">
        <v>18.94</v>
      </c>
      <c r="P693" s="12">
        <v>86.88</v>
      </c>
      <c r="Q693" s="12">
        <v>122.12</v>
      </c>
      <c r="R693" s="12">
        <v>191.97</v>
      </c>
      <c r="S693" s="12">
        <v>270.51</v>
      </c>
      <c r="T693" s="12">
        <v>334.59</v>
      </c>
      <c r="U693" s="12">
        <v>262.92</v>
      </c>
      <c r="V693" s="12">
        <v>272.46</v>
      </c>
      <c r="W693" s="12">
        <v>265.61</v>
      </c>
      <c r="X693" s="12">
        <v>242.89</v>
      </c>
      <c r="Y693" s="12">
        <v>209.61</v>
      </c>
      <c r="AA693" s="17">
        <f>MAX($B$693:$Z$693)</f>
        <v>334.59</v>
      </c>
      <c r="AB693" s="17">
        <f>MIN($B$693:$Z$693)</f>
        <v>3.85</v>
      </c>
      <c r="AC693" s="17">
        <f>AVERAGE($B$693:$Z$693)</f>
        <v>159.612916666667</v>
      </c>
    </row>
    <row r="694" spans="1:29">
      <c r="A694" s="10">
        <v>45989</v>
      </c>
      <c r="B694" s="12">
        <v>244.43</v>
      </c>
      <c r="C694" s="12">
        <v>244.7</v>
      </c>
      <c r="D694" s="12">
        <v>241.5</v>
      </c>
      <c r="E694" s="12">
        <v>234.33</v>
      </c>
      <c r="F694" s="12">
        <v>174.47</v>
      </c>
      <c r="G694" s="12">
        <v>191.36</v>
      </c>
      <c r="H694" s="12">
        <v>229.72</v>
      </c>
      <c r="I694" s="12">
        <v>243.23</v>
      </c>
      <c r="J694" s="12">
        <v>209.72</v>
      </c>
      <c r="K694" s="12">
        <v>80.38</v>
      </c>
      <c r="L694" s="12">
        <v>62.53</v>
      </c>
      <c r="M694" s="12">
        <v>54.57</v>
      </c>
      <c r="N694" s="12">
        <v>-5.76</v>
      </c>
      <c r="O694" s="12">
        <v>34.96</v>
      </c>
      <c r="P694" s="12">
        <v>-3.06</v>
      </c>
      <c r="Q694" s="12">
        <v>-11.58</v>
      </c>
      <c r="R694" s="12">
        <v>193.38</v>
      </c>
      <c r="S694" s="12">
        <v>476.99</v>
      </c>
      <c r="T694" s="12">
        <v>427.87</v>
      </c>
      <c r="U694" s="12">
        <v>336.58</v>
      </c>
      <c r="V694" s="12">
        <v>353.76</v>
      </c>
      <c r="W694" s="12">
        <v>299.15</v>
      </c>
      <c r="X694" s="12">
        <v>298.52</v>
      </c>
      <c r="Y694" s="12">
        <v>278.49</v>
      </c>
      <c r="AA694" s="17">
        <f>MAX($B$694:$Z$694)</f>
        <v>476.99</v>
      </c>
      <c r="AB694" s="17">
        <f>MIN($B$694:$Z$694)</f>
        <v>-11.58</v>
      </c>
      <c r="AC694" s="17">
        <f>AVERAGE($B$694:$Z$694)</f>
        <v>203.76</v>
      </c>
    </row>
    <row r="695" spans="1:29">
      <c r="A695" s="10">
        <v>45990</v>
      </c>
      <c r="B695" s="12">
        <v>303.62</v>
      </c>
      <c r="C695" s="12">
        <v>299.55</v>
      </c>
      <c r="D695" s="12">
        <v>288.09</v>
      </c>
      <c r="E695" s="12">
        <v>279.74</v>
      </c>
      <c r="F695" s="12">
        <v>258.45</v>
      </c>
      <c r="G695" s="12">
        <v>264</v>
      </c>
      <c r="H695" s="12">
        <v>264.79</v>
      </c>
      <c r="I695" s="12">
        <v>270.02</v>
      </c>
      <c r="J695" s="12">
        <v>231</v>
      </c>
      <c r="K695" s="12">
        <v>56.83</v>
      </c>
      <c r="L695" s="12">
        <v>-24.65</v>
      </c>
      <c r="M695" s="12">
        <v>-25.72</v>
      </c>
      <c r="N695" s="12">
        <v>-44.35</v>
      </c>
      <c r="O695" s="12">
        <v>-12.49</v>
      </c>
      <c r="P695" s="12">
        <v>24.85</v>
      </c>
      <c r="Q695" s="12">
        <v>47.34</v>
      </c>
      <c r="R695" s="12">
        <v>244.83</v>
      </c>
      <c r="S695" s="12">
        <v>333.85</v>
      </c>
      <c r="T695" s="12">
        <v>317.35</v>
      </c>
      <c r="U695" s="12">
        <v>306.57</v>
      </c>
      <c r="V695" s="12">
        <v>322.47</v>
      </c>
      <c r="W695" s="12">
        <v>334.49</v>
      </c>
      <c r="X695" s="12">
        <v>293.95</v>
      </c>
      <c r="Y695" s="12">
        <v>272.24</v>
      </c>
      <c r="AA695" s="17">
        <f>MAX($B$695:$Z$695)</f>
        <v>334.49</v>
      </c>
      <c r="AB695" s="17">
        <f>MIN($B$695:$Z$695)</f>
        <v>-44.35</v>
      </c>
      <c r="AC695" s="17">
        <f>AVERAGE($B$695:$Z$695)</f>
        <v>204.450833333333</v>
      </c>
    </row>
    <row r="696" spans="1:29">
      <c r="A696" s="10">
        <v>45991</v>
      </c>
      <c r="B696" s="12">
        <v>297.04</v>
      </c>
      <c r="C696" s="12">
        <v>289.37</v>
      </c>
      <c r="D696" s="12">
        <v>277.56</v>
      </c>
      <c r="E696" s="12">
        <v>270.42</v>
      </c>
      <c r="F696" s="12">
        <v>262.38</v>
      </c>
      <c r="G696" s="12">
        <v>259.79</v>
      </c>
      <c r="H696" s="12">
        <v>261.25</v>
      </c>
      <c r="I696" s="12">
        <v>268.13</v>
      </c>
      <c r="J696" s="12">
        <v>230.02</v>
      </c>
      <c r="K696" s="12">
        <v>221.11</v>
      </c>
      <c r="L696" s="12">
        <v>67.09</v>
      </c>
      <c r="M696" s="12">
        <v>157.83</v>
      </c>
      <c r="N696" s="12">
        <v>130.55</v>
      </c>
      <c r="O696" s="12">
        <v>190.4</v>
      </c>
      <c r="P696" s="12">
        <v>166.39</v>
      </c>
      <c r="Q696" s="12">
        <v>166.74</v>
      </c>
      <c r="R696" s="12">
        <v>278.53</v>
      </c>
      <c r="S696" s="12">
        <v>327.5</v>
      </c>
      <c r="T696" s="12">
        <v>296.93</v>
      </c>
      <c r="U696" s="12">
        <v>290.19</v>
      </c>
      <c r="V696" s="12">
        <v>302.02</v>
      </c>
      <c r="W696" s="12">
        <v>301.11</v>
      </c>
      <c r="X696" s="12">
        <v>295.52</v>
      </c>
      <c r="Y696" s="12">
        <v>281.29</v>
      </c>
      <c r="AA696" s="17">
        <f>MAX($B$696:$Z$696)</f>
        <v>327.5</v>
      </c>
      <c r="AB696" s="17">
        <f>MIN($B$696:$Z$696)</f>
        <v>67.09</v>
      </c>
      <c r="AC696" s="17">
        <f>AVERAGE($B$696:$Z$696)</f>
        <v>245.381666666667</v>
      </c>
    </row>
    <row r="697" spans="1:29">
      <c r="A697" s="10">
        <v>45992</v>
      </c>
      <c r="B697" s="12">
        <v>319.22</v>
      </c>
      <c r="C697" s="12">
        <v>305.33</v>
      </c>
      <c r="D697" s="12">
        <v>284.98</v>
      </c>
      <c r="E697" s="12">
        <v>275.32</v>
      </c>
      <c r="F697" s="12">
        <v>271.97</v>
      </c>
      <c r="G697" s="12">
        <v>273.85</v>
      </c>
      <c r="H697" s="12">
        <v>297.72</v>
      </c>
      <c r="I697" s="12">
        <v>332.76</v>
      </c>
      <c r="J697" s="12">
        <v>412.44</v>
      </c>
      <c r="K697" s="12">
        <v>327.15</v>
      </c>
      <c r="L697" s="12">
        <v>240.09</v>
      </c>
      <c r="M697" s="12">
        <v>207.44</v>
      </c>
      <c r="N697" s="12">
        <v>97.94</v>
      </c>
      <c r="O697" s="12">
        <v>92.94</v>
      </c>
      <c r="P697" s="12">
        <v>174.94</v>
      </c>
      <c r="Q697" s="12">
        <v>253.69</v>
      </c>
      <c r="R697" s="12">
        <v>287.45</v>
      </c>
      <c r="S697" s="12">
        <v>292.71</v>
      </c>
      <c r="T697" s="12">
        <v>325.56</v>
      </c>
      <c r="U697" s="12">
        <v>305.26</v>
      </c>
      <c r="V697" s="12">
        <v>311.96</v>
      </c>
      <c r="W697" s="12">
        <v>332.87</v>
      </c>
      <c r="X697" s="12">
        <v>341.72</v>
      </c>
      <c r="Y697" s="12">
        <v>303.51</v>
      </c>
      <c r="AA697" s="17">
        <f>MAX($B$697:$Z$697)</f>
        <v>412.44</v>
      </c>
      <c r="AB697" s="17">
        <f>MIN($B$697:$Z$697)</f>
        <v>92.94</v>
      </c>
      <c r="AC697" s="17">
        <f>AVERAGE($B$697:$Z$697)</f>
        <v>277.8675</v>
      </c>
    </row>
    <row r="698" spans="1:29">
      <c r="A698" s="10">
        <v>45993</v>
      </c>
      <c r="B698" s="12">
        <v>382.32</v>
      </c>
      <c r="C698" s="12">
        <v>366.89</v>
      </c>
      <c r="D698" s="12">
        <v>335.31</v>
      </c>
      <c r="E698" s="12">
        <v>303.46</v>
      </c>
      <c r="F698" s="12">
        <v>303.15</v>
      </c>
      <c r="G698" s="12">
        <v>312.85</v>
      </c>
      <c r="H698" s="12">
        <v>428.93</v>
      </c>
      <c r="I698" s="12">
        <v>490.58</v>
      </c>
      <c r="J698" s="12">
        <v>766.27</v>
      </c>
      <c r="K698" s="12">
        <v>545.08</v>
      </c>
      <c r="L698" s="12">
        <v>433.03</v>
      </c>
      <c r="M698" s="12">
        <v>394.84</v>
      </c>
      <c r="N698" s="12">
        <v>310.26</v>
      </c>
      <c r="O698" s="12">
        <v>367.6</v>
      </c>
      <c r="P698" s="12">
        <v>321.36</v>
      </c>
      <c r="Q698" s="12">
        <v>400.66</v>
      </c>
      <c r="R698" s="12">
        <v>531.07</v>
      </c>
      <c r="S698" s="12">
        <v>549.95</v>
      </c>
      <c r="T698" s="12">
        <v>435.58</v>
      </c>
      <c r="U698" s="12">
        <v>401.93</v>
      </c>
      <c r="V698" s="12">
        <v>341</v>
      </c>
      <c r="W698" s="12">
        <v>327.34</v>
      </c>
      <c r="X698" s="12">
        <v>287.43</v>
      </c>
      <c r="Y698" s="12">
        <v>256.8</v>
      </c>
      <c r="AA698" s="17">
        <f>MAX($B$698:$Z$698)</f>
        <v>766.27</v>
      </c>
      <c r="AB698" s="17">
        <f>MIN($B$698:$Z$698)</f>
        <v>256.8</v>
      </c>
      <c r="AC698" s="17">
        <f>AVERAGE($B$698:$Z$698)</f>
        <v>399.737083333333</v>
      </c>
    </row>
    <row r="699" spans="1:29">
      <c r="A699" s="10">
        <v>45994</v>
      </c>
      <c r="B699" s="12">
        <v>297.94</v>
      </c>
      <c r="C699" s="12">
        <v>277.59</v>
      </c>
      <c r="D699" s="12">
        <v>268.28</v>
      </c>
      <c r="E699" s="12">
        <v>261.18</v>
      </c>
      <c r="F699" s="12">
        <v>242.99</v>
      </c>
      <c r="G699" s="12">
        <v>236.68</v>
      </c>
      <c r="H699" s="12">
        <v>245.41</v>
      </c>
      <c r="I699" s="12">
        <v>262.69</v>
      </c>
      <c r="J699" s="12">
        <v>285.24</v>
      </c>
      <c r="K699" s="12">
        <v>271.87</v>
      </c>
      <c r="L699" s="12">
        <v>218.47</v>
      </c>
      <c r="M699" s="12">
        <v>117</v>
      </c>
      <c r="N699" s="12">
        <v>8.52</v>
      </c>
      <c r="O699" s="12">
        <v>30.73</v>
      </c>
      <c r="P699" s="12">
        <v>118.35</v>
      </c>
      <c r="Q699" s="12">
        <v>232.48</v>
      </c>
      <c r="R699" s="12">
        <v>269.25</v>
      </c>
      <c r="S699" s="12">
        <v>293.71</v>
      </c>
      <c r="T699" s="12">
        <v>306.85</v>
      </c>
      <c r="U699" s="12">
        <v>295.76</v>
      </c>
      <c r="V699" s="12">
        <v>306.43</v>
      </c>
      <c r="W699" s="12">
        <v>293.41</v>
      </c>
      <c r="X699" s="12">
        <v>257.93</v>
      </c>
      <c r="Y699" s="12">
        <v>222.66</v>
      </c>
      <c r="AA699" s="17">
        <f>MAX($B$699:$Z$699)</f>
        <v>306.85</v>
      </c>
      <c r="AB699" s="17">
        <f>MIN($B$699:$Z$699)</f>
        <v>8.52</v>
      </c>
      <c r="AC699" s="17">
        <f>AVERAGE($B$699:$Z$699)</f>
        <v>234.225833333333</v>
      </c>
    </row>
    <row r="700" spans="1:29">
      <c r="A700" s="10">
        <v>45995</v>
      </c>
      <c r="B700" s="12">
        <v>254.39</v>
      </c>
      <c r="C700" s="12">
        <v>244.18</v>
      </c>
      <c r="D700" s="12">
        <v>238.96</v>
      </c>
      <c r="E700" s="12">
        <v>235.01</v>
      </c>
      <c r="F700" s="12">
        <v>228.43</v>
      </c>
      <c r="G700" s="12">
        <v>232.41</v>
      </c>
      <c r="H700" s="12">
        <v>244.31</v>
      </c>
      <c r="I700" s="12">
        <v>269.23</v>
      </c>
      <c r="J700" s="12">
        <v>314.42</v>
      </c>
      <c r="K700" s="12">
        <v>318.91</v>
      </c>
      <c r="L700" s="12">
        <v>262.02</v>
      </c>
      <c r="M700" s="12">
        <v>182.55</v>
      </c>
      <c r="N700" s="12">
        <v>97.09</v>
      </c>
      <c r="O700" s="12">
        <v>80.85</v>
      </c>
      <c r="P700" s="12">
        <v>65.84</v>
      </c>
      <c r="Q700" s="12">
        <v>195.98</v>
      </c>
      <c r="R700" s="12">
        <v>291.82</v>
      </c>
      <c r="S700" s="12">
        <v>361.23</v>
      </c>
      <c r="T700" s="12">
        <v>337.68</v>
      </c>
      <c r="U700" s="12">
        <v>298.9</v>
      </c>
      <c r="V700" s="12">
        <v>315.72</v>
      </c>
      <c r="W700" s="12">
        <v>310.22</v>
      </c>
      <c r="X700" s="12">
        <v>269.99</v>
      </c>
      <c r="Y700" s="12">
        <v>253.92</v>
      </c>
      <c r="AA700" s="17">
        <f>MAX($B$700:$Z$700)</f>
        <v>361.23</v>
      </c>
      <c r="AB700" s="17">
        <f>MIN($B$700:$Z$700)</f>
        <v>65.84</v>
      </c>
      <c r="AC700" s="17">
        <f>AVERAGE($B$700:$Z$700)</f>
        <v>246.0025</v>
      </c>
    </row>
    <row r="701" spans="1:29">
      <c r="A701" s="10">
        <v>45996</v>
      </c>
      <c r="B701" s="12">
        <v>287.03</v>
      </c>
      <c r="C701" s="12">
        <v>273.4</v>
      </c>
      <c r="D701" s="12">
        <v>264.08</v>
      </c>
      <c r="E701" s="12">
        <v>258.66</v>
      </c>
      <c r="F701" s="12">
        <v>257.17</v>
      </c>
      <c r="G701" s="12">
        <v>264.44</v>
      </c>
      <c r="H701" s="12">
        <v>279.71</v>
      </c>
      <c r="I701" s="12">
        <v>300.95</v>
      </c>
      <c r="J701" s="12">
        <v>337.07</v>
      </c>
      <c r="K701" s="12">
        <v>290.65</v>
      </c>
      <c r="L701" s="12">
        <v>244.42</v>
      </c>
      <c r="M701" s="12">
        <v>219.51</v>
      </c>
      <c r="N701" s="12">
        <v>101.35</v>
      </c>
      <c r="O701" s="12">
        <v>113.46</v>
      </c>
      <c r="P701" s="12">
        <v>151.46</v>
      </c>
      <c r="Q701" s="12">
        <v>236.26</v>
      </c>
      <c r="R701" s="12">
        <v>312.63</v>
      </c>
      <c r="S701" s="12">
        <v>329.72</v>
      </c>
      <c r="T701" s="12">
        <v>349.43</v>
      </c>
      <c r="U701" s="12">
        <v>358.94</v>
      </c>
      <c r="V701" s="12">
        <v>306.98</v>
      </c>
      <c r="W701" s="12">
        <v>322.78</v>
      </c>
      <c r="X701" s="12">
        <v>343.95</v>
      </c>
      <c r="Y701" s="12">
        <v>294.24</v>
      </c>
      <c r="AA701" s="17">
        <f>MAX($B$701:$Z$701)</f>
        <v>358.94</v>
      </c>
      <c r="AB701" s="17">
        <f>MIN($B$701:$Z$701)</f>
        <v>101.35</v>
      </c>
      <c r="AC701" s="17">
        <f>AVERAGE($B$701:$Z$701)</f>
        <v>270.762083333333</v>
      </c>
    </row>
    <row r="702" spans="1:29">
      <c r="A702" s="10">
        <v>45997</v>
      </c>
      <c r="B702" s="12">
        <v>376.15</v>
      </c>
      <c r="C702" s="12">
        <v>331.54</v>
      </c>
      <c r="D702" s="12">
        <v>310.62</v>
      </c>
      <c r="E702" s="12">
        <v>311.33</v>
      </c>
      <c r="F702" s="12">
        <v>292.9</v>
      </c>
      <c r="G702" s="12">
        <v>279.85</v>
      </c>
      <c r="H702" s="12">
        <v>287.91</v>
      </c>
      <c r="I702" s="12">
        <v>294.4</v>
      </c>
      <c r="J702" s="12">
        <v>308.24</v>
      </c>
      <c r="K702" s="12">
        <v>291.97</v>
      </c>
      <c r="L702" s="12">
        <v>258.35</v>
      </c>
      <c r="M702" s="12">
        <v>201.2</v>
      </c>
      <c r="N702" s="12">
        <v>131.5</v>
      </c>
      <c r="O702" s="12">
        <v>115.55</v>
      </c>
      <c r="P702" s="12">
        <v>137.27</v>
      </c>
      <c r="Q702" s="12">
        <v>238.61</v>
      </c>
      <c r="R702" s="12">
        <v>289.28</v>
      </c>
      <c r="S702" s="12">
        <v>333.57</v>
      </c>
      <c r="T702" s="12">
        <v>527.84</v>
      </c>
      <c r="U702" s="12">
        <v>395.11</v>
      </c>
      <c r="V702" s="12">
        <v>329.46</v>
      </c>
      <c r="W702" s="12">
        <v>316.43</v>
      </c>
      <c r="X702" s="12">
        <v>305.76</v>
      </c>
      <c r="Y702" s="12">
        <v>285.66</v>
      </c>
      <c r="AA702" s="17">
        <f>MAX($B$702:$Z$702)</f>
        <v>527.84</v>
      </c>
      <c r="AB702" s="17">
        <f>MIN($B$702:$Z$702)</f>
        <v>115.55</v>
      </c>
      <c r="AC702" s="17">
        <f>AVERAGE($B$702:$Z$702)</f>
        <v>289.604166666667</v>
      </c>
    </row>
    <row r="703" spans="1:29">
      <c r="A703" s="10">
        <v>45998</v>
      </c>
      <c r="B703" s="12">
        <v>304.14</v>
      </c>
      <c r="C703" s="12">
        <v>287.51</v>
      </c>
      <c r="D703" s="12">
        <v>281.07</v>
      </c>
      <c r="E703" s="12">
        <v>276.31</v>
      </c>
      <c r="F703" s="12">
        <v>274.29</v>
      </c>
      <c r="G703" s="12">
        <v>271.17</v>
      </c>
      <c r="H703" s="12">
        <v>276.18</v>
      </c>
      <c r="I703" s="12">
        <v>277.95</v>
      </c>
      <c r="J703" s="12">
        <v>270.31</v>
      </c>
      <c r="K703" s="12">
        <v>228.03</v>
      </c>
      <c r="L703" s="12">
        <v>89.02</v>
      </c>
      <c r="M703" s="12">
        <v>3.9</v>
      </c>
      <c r="N703" s="12">
        <v>-30.06</v>
      </c>
      <c r="O703" s="12">
        <v>-1.32</v>
      </c>
      <c r="P703" s="12">
        <v>-27.8</v>
      </c>
      <c r="Q703" s="12">
        <v>69.42</v>
      </c>
      <c r="R703" s="12">
        <v>263.93</v>
      </c>
      <c r="S703" s="12">
        <v>337.27</v>
      </c>
      <c r="T703" s="12">
        <v>711.52</v>
      </c>
      <c r="U703" s="12">
        <v>568.39</v>
      </c>
      <c r="V703" s="12">
        <v>345.44</v>
      </c>
      <c r="W703" s="12">
        <v>365.93</v>
      </c>
      <c r="X703" s="12">
        <v>297.57</v>
      </c>
      <c r="Y703" s="12">
        <v>271.29</v>
      </c>
      <c r="AA703" s="17">
        <f>MAX($B$703:$Z$703)</f>
        <v>711.52</v>
      </c>
      <c r="AB703" s="17">
        <f>MIN($B$703:$Z$703)</f>
        <v>-30.06</v>
      </c>
      <c r="AC703" s="17">
        <f>AVERAGE($B$703:$Z$703)</f>
        <v>250.4775</v>
      </c>
    </row>
    <row r="704" spans="1:29">
      <c r="A704" s="10">
        <v>45999</v>
      </c>
      <c r="B704" s="12">
        <v>278.8</v>
      </c>
      <c r="C704" s="12">
        <v>265.86</v>
      </c>
      <c r="D704" s="12">
        <v>261.46</v>
      </c>
      <c r="E704" s="12">
        <v>251.13</v>
      </c>
      <c r="F704" s="12">
        <v>239.18</v>
      </c>
      <c r="G704" s="12">
        <v>242.74</v>
      </c>
      <c r="H704" s="12">
        <v>264.53</v>
      </c>
      <c r="I704" s="12">
        <v>271.52</v>
      </c>
      <c r="J704" s="12">
        <v>273.49</v>
      </c>
      <c r="K704" s="12">
        <v>195.99</v>
      </c>
      <c r="L704" s="12">
        <v>134.88</v>
      </c>
      <c r="M704" s="12">
        <v>108.75</v>
      </c>
      <c r="N704" s="12">
        <v>-7.65</v>
      </c>
      <c r="O704" s="12">
        <v>37.98</v>
      </c>
      <c r="P704" s="12">
        <v>21.71</v>
      </c>
      <c r="Q704" s="12">
        <v>151.04</v>
      </c>
      <c r="R704" s="12">
        <v>281.7</v>
      </c>
      <c r="S704" s="12">
        <v>447.56</v>
      </c>
      <c r="T704" s="12">
        <v>994.54</v>
      </c>
      <c r="U704" s="12">
        <v>365.04</v>
      </c>
      <c r="V704" s="12">
        <v>360.95</v>
      </c>
      <c r="W704" s="12">
        <v>296.86</v>
      </c>
      <c r="X704" s="12">
        <v>292.65</v>
      </c>
      <c r="Y704" s="12">
        <v>275.7</v>
      </c>
      <c r="AA704" s="17">
        <f>MAX($B$704:$Z$704)</f>
        <v>994.54</v>
      </c>
      <c r="AB704" s="17">
        <f>MIN($B$704:$Z$704)</f>
        <v>-7.65</v>
      </c>
      <c r="AC704" s="17">
        <f>AVERAGE($B$704:$Z$704)</f>
        <v>262.767083333333</v>
      </c>
    </row>
    <row r="705" spans="1:29">
      <c r="A705" s="10">
        <v>46000</v>
      </c>
      <c r="B705" s="12">
        <v>289.33</v>
      </c>
      <c r="C705" s="12">
        <v>275.22</v>
      </c>
      <c r="D705" s="12">
        <v>267.95</v>
      </c>
      <c r="E705" s="12">
        <v>259.78</v>
      </c>
      <c r="F705" s="12">
        <v>255.8</v>
      </c>
      <c r="G705" s="12">
        <v>242.1</v>
      </c>
      <c r="H705" s="12">
        <v>271.61</v>
      </c>
      <c r="I705" s="12">
        <v>271.46</v>
      </c>
      <c r="J705" s="12">
        <v>274.62</v>
      </c>
      <c r="K705" s="12">
        <v>217.05</v>
      </c>
      <c r="L705" s="12">
        <v>126.79</v>
      </c>
      <c r="M705" s="12">
        <v>81.94</v>
      </c>
      <c r="N705" s="12">
        <v>-0.48</v>
      </c>
      <c r="O705" s="12">
        <v>56.98</v>
      </c>
      <c r="P705" s="12">
        <v>53.8</v>
      </c>
      <c r="Q705" s="12">
        <v>170.79</v>
      </c>
      <c r="R705" s="12">
        <v>295.02</v>
      </c>
      <c r="S705" s="12">
        <v>422.51</v>
      </c>
      <c r="T705" s="12">
        <v>623.62</v>
      </c>
      <c r="U705" s="12">
        <v>434.92</v>
      </c>
      <c r="V705" s="12">
        <v>352.81</v>
      </c>
      <c r="W705" s="12">
        <v>334.42</v>
      </c>
      <c r="X705" s="12">
        <v>298.05</v>
      </c>
      <c r="Y705" s="12">
        <v>276.33</v>
      </c>
      <c r="AA705" s="17">
        <f>MAX($B$705:$Z$705)</f>
        <v>623.62</v>
      </c>
      <c r="AB705" s="17">
        <f>MIN($B$705:$Z$705)</f>
        <v>-0.48</v>
      </c>
      <c r="AC705" s="17">
        <f>AVERAGE($B$705:$Z$705)</f>
        <v>256.350833333333</v>
      </c>
    </row>
    <row r="706" spans="1:29">
      <c r="A706" s="10">
        <v>46001</v>
      </c>
      <c r="B706" s="12">
        <v>293.32</v>
      </c>
      <c r="C706" s="12">
        <v>308.44</v>
      </c>
      <c r="D706" s="12">
        <v>289.55</v>
      </c>
      <c r="E706" s="12">
        <v>293.24</v>
      </c>
      <c r="F706" s="12">
        <v>273.2</v>
      </c>
      <c r="G706" s="12">
        <v>281.91</v>
      </c>
      <c r="H706" s="12">
        <v>299.31</v>
      </c>
      <c r="I706" s="12">
        <v>293.55</v>
      </c>
      <c r="J706" s="12">
        <v>343</v>
      </c>
      <c r="K706" s="12">
        <v>360.89</v>
      </c>
      <c r="L706" s="12">
        <v>306.91</v>
      </c>
      <c r="M706" s="12">
        <v>277.19</v>
      </c>
      <c r="N706" s="12">
        <v>258.37</v>
      </c>
      <c r="O706" s="12">
        <v>273.72</v>
      </c>
      <c r="P706" s="12">
        <v>268.07</v>
      </c>
      <c r="Q706" s="12">
        <v>277.3</v>
      </c>
      <c r="R706" s="12">
        <v>310.64</v>
      </c>
      <c r="S706" s="12">
        <v>401.68</v>
      </c>
      <c r="T706" s="12">
        <v>498.11</v>
      </c>
      <c r="U706" s="12">
        <v>426.19</v>
      </c>
      <c r="V706" s="12">
        <v>474.08</v>
      </c>
      <c r="W706" s="12">
        <v>426</v>
      </c>
      <c r="X706" s="12">
        <v>352.32</v>
      </c>
      <c r="Y706" s="12">
        <v>310.79</v>
      </c>
      <c r="AA706" s="17">
        <f>MAX($B$706:$Z$706)</f>
        <v>498.11</v>
      </c>
      <c r="AB706" s="17">
        <f>MIN($B$706:$Z$706)</f>
        <v>258.37</v>
      </c>
      <c r="AC706" s="17">
        <f>AVERAGE($B$706:$Z$706)</f>
        <v>329.074166666667</v>
      </c>
    </row>
    <row r="707" spans="1:29">
      <c r="A707" s="10">
        <v>46002</v>
      </c>
      <c r="B707" s="12">
        <v>302.23</v>
      </c>
      <c r="C707" s="12">
        <v>308</v>
      </c>
      <c r="D707" s="12">
        <v>303.48</v>
      </c>
      <c r="E707" s="12">
        <v>291.42</v>
      </c>
      <c r="F707" s="12">
        <v>288.17</v>
      </c>
      <c r="G707" s="12">
        <v>294.67</v>
      </c>
      <c r="H707" s="12">
        <v>302.61</v>
      </c>
      <c r="I707" s="12">
        <v>315.37</v>
      </c>
      <c r="J707" s="12">
        <v>338.07</v>
      </c>
      <c r="K707" s="12">
        <v>358.57</v>
      </c>
      <c r="L707" s="12">
        <v>298.08</v>
      </c>
      <c r="M707" s="12">
        <v>255.73</v>
      </c>
      <c r="N707" s="12">
        <v>194.38</v>
      </c>
      <c r="O707" s="12">
        <v>220.57</v>
      </c>
      <c r="P707" s="12">
        <v>256.3</v>
      </c>
      <c r="Q707" s="12">
        <v>278.14</v>
      </c>
      <c r="R707" s="12">
        <v>316.95</v>
      </c>
      <c r="S707" s="12">
        <v>371.76</v>
      </c>
      <c r="T707" s="12">
        <v>432.89</v>
      </c>
      <c r="U707" s="12">
        <v>360.86</v>
      </c>
      <c r="V707" s="12">
        <v>372.05</v>
      </c>
      <c r="W707" s="12">
        <v>356.68</v>
      </c>
      <c r="X707" s="12">
        <v>312.86</v>
      </c>
      <c r="Y707" s="12">
        <v>290.12</v>
      </c>
      <c r="AA707" s="17">
        <f>MAX($B$707:$Z$707)</f>
        <v>432.89</v>
      </c>
      <c r="AB707" s="17">
        <f>MIN($B$707:$Z$707)</f>
        <v>194.38</v>
      </c>
      <c r="AC707" s="17">
        <f>AVERAGE($B$707:$Z$707)</f>
        <v>309.165</v>
      </c>
    </row>
    <row r="708" spans="1:29">
      <c r="A708" s="10">
        <v>46003</v>
      </c>
      <c r="B708" s="12">
        <v>299.62</v>
      </c>
      <c r="C708" s="12">
        <v>292.17</v>
      </c>
      <c r="D708" s="12">
        <v>287.5</v>
      </c>
      <c r="E708" s="12">
        <v>283.5</v>
      </c>
      <c r="F708" s="12">
        <v>275.9</v>
      </c>
      <c r="G708" s="12">
        <v>278.83</v>
      </c>
      <c r="H708" s="12">
        <v>293.74</v>
      </c>
      <c r="I708" s="12">
        <v>303.2</v>
      </c>
      <c r="J708" s="12">
        <v>308.3</v>
      </c>
      <c r="K708" s="12">
        <v>282.42</v>
      </c>
      <c r="L708" s="12">
        <v>244.41</v>
      </c>
      <c r="M708" s="12">
        <v>189.43</v>
      </c>
      <c r="N708" s="12">
        <v>56.64</v>
      </c>
      <c r="O708" s="12">
        <v>124</v>
      </c>
      <c r="P708" s="12">
        <v>207.67</v>
      </c>
      <c r="Q708" s="12">
        <v>257.05</v>
      </c>
      <c r="R708" s="12">
        <v>296.76</v>
      </c>
      <c r="S708" s="12">
        <v>329.59</v>
      </c>
      <c r="T708" s="12">
        <v>360.65</v>
      </c>
      <c r="U708" s="12">
        <v>340.08</v>
      </c>
      <c r="V708" s="12">
        <v>331.06</v>
      </c>
      <c r="W708" s="12">
        <v>309.27</v>
      </c>
      <c r="X708" s="12">
        <v>294.98</v>
      </c>
      <c r="Y708" s="12">
        <v>275.9</v>
      </c>
      <c r="AA708" s="17">
        <f>MAX($B$708:$Z$708)</f>
        <v>360.65</v>
      </c>
      <c r="AB708" s="17">
        <f>MIN($B$708:$Z$708)</f>
        <v>56.64</v>
      </c>
      <c r="AC708" s="17">
        <f>AVERAGE($B$708:$Z$708)</f>
        <v>271.777916666667</v>
      </c>
    </row>
    <row r="709" spans="1:29">
      <c r="A709" s="10">
        <v>46004</v>
      </c>
      <c r="B709" s="12">
        <v>330.92</v>
      </c>
      <c r="C709" s="12">
        <v>337.02</v>
      </c>
      <c r="D709" s="12">
        <v>329.86</v>
      </c>
      <c r="E709" s="12">
        <v>309.19</v>
      </c>
      <c r="F709" s="12">
        <v>310.72</v>
      </c>
      <c r="G709" s="12">
        <v>305.16</v>
      </c>
      <c r="H709" s="12">
        <v>318.46</v>
      </c>
      <c r="I709" s="12">
        <v>303.3</v>
      </c>
      <c r="J709" s="12">
        <v>315.82</v>
      </c>
      <c r="K709" s="12">
        <v>323.13</v>
      </c>
      <c r="L709" s="12">
        <v>325.91</v>
      </c>
      <c r="M709" s="12">
        <v>324.36</v>
      </c>
      <c r="N709" s="12">
        <v>285.77</v>
      </c>
      <c r="O709" s="12">
        <v>348.42</v>
      </c>
      <c r="P709" s="12">
        <v>307.75</v>
      </c>
      <c r="Q709" s="12">
        <v>293.32</v>
      </c>
      <c r="R709" s="12">
        <v>290.17</v>
      </c>
      <c r="S709" s="12">
        <v>329.67</v>
      </c>
      <c r="T709" s="12">
        <v>340.78</v>
      </c>
      <c r="U709" s="12">
        <v>311.55</v>
      </c>
      <c r="V709" s="12">
        <v>287.01</v>
      </c>
      <c r="W709" s="12">
        <v>276.48</v>
      </c>
      <c r="X709" s="12">
        <v>271.77</v>
      </c>
      <c r="Y709" s="12">
        <v>238.85</v>
      </c>
      <c r="AA709" s="17">
        <f>MAX($B$709:$Z$709)</f>
        <v>348.42</v>
      </c>
      <c r="AB709" s="17">
        <f>MIN($B$709:$Z$709)</f>
        <v>238.85</v>
      </c>
      <c r="AC709" s="17">
        <f>AVERAGE($B$709:$Z$709)</f>
        <v>308.974583333333</v>
      </c>
    </row>
    <row r="710" spans="1:29">
      <c r="A710" s="10">
        <v>46005</v>
      </c>
      <c r="B710" s="12">
        <v>227.51</v>
      </c>
      <c r="C710" s="12">
        <v>230.31</v>
      </c>
      <c r="D710" s="12">
        <v>230.84</v>
      </c>
      <c r="E710" s="12">
        <v>235.58</v>
      </c>
      <c r="F710" s="12">
        <v>219.87</v>
      </c>
      <c r="G710" s="12">
        <v>223.64</v>
      </c>
      <c r="H710" s="12">
        <v>219.59</v>
      </c>
      <c r="I710" s="12">
        <v>212.01</v>
      </c>
      <c r="J710" s="12">
        <v>223.34</v>
      </c>
      <c r="K710" s="12">
        <v>199.2</v>
      </c>
      <c r="L710" s="12">
        <v>77.36</v>
      </c>
      <c r="M710" s="12">
        <v>27.05</v>
      </c>
      <c r="N710" s="12">
        <v>-7.04</v>
      </c>
      <c r="O710" s="12">
        <v>25.84</v>
      </c>
      <c r="P710" s="12">
        <v>28.17</v>
      </c>
      <c r="Q710" s="12">
        <v>46.19</v>
      </c>
      <c r="R710" s="12">
        <v>249.54</v>
      </c>
      <c r="S710" s="12">
        <v>296.06</v>
      </c>
      <c r="T710" s="12">
        <v>303.13</v>
      </c>
      <c r="U710" s="12">
        <v>286.27</v>
      </c>
      <c r="V710" s="12">
        <v>283.63</v>
      </c>
      <c r="W710" s="12">
        <v>288.91</v>
      </c>
      <c r="X710" s="12">
        <v>268.03</v>
      </c>
      <c r="Y710" s="12">
        <v>253.18</v>
      </c>
      <c r="AA710" s="17">
        <f>MAX($B$710:$Z$710)</f>
        <v>303.13</v>
      </c>
      <c r="AB710" s="17">
        <f>MIN($B$710:$Z$710)</f>
        <v>-7.04</v>
      </c>
      <c r="AC710" s="17">
        <f>AVERAGE($B$710:$Z$710)</f>
        <v>193.675416666667</v>
      </c>
    </row>
    <row r="711" spans="1:29">
      <c r="A711" s="10">
        <v>46006</v>
      </c>
      <c r="B711" s="12">
        <v>278.55</v>
      </c>
      <c r="C711" s="12">
        <v>279.42</v>
      </c>
      <c r="D711" s="12">
        <v>266.39</v>
      </c>
      <c r="E711" s="12">
        <v>260.09</v>
      </c>
      <c r="F711" s="12">
        <v>252.64</v>
      </c>
      <c r="G711" s="12">
        <v>262.51</v>
      </c>
      <c r="H711" s="12">
        <v>276.83</v>
      </c>
      <c r="I711" s="12">
        <v>286.78</v>
      </c>
      <c r="J711" s="12">
        <v>289.94</v>
      </c>
      <c r="K711" s="12">
        <v>234.52</v>
      </c>
      <c r="L711" s="12">
        <v>180.68</v>
      </c>
      <c r="M711" s="12">
        <v>79.98</v>
      </c>
      <c r="N711" s="12">
        <v>-9.51</v>
      </c>
      <c r="O711" s="12">
        <v>68.83</v>
      </c>
      <c r="P711" s="12">
        <v>60.71</v>
      </c>
      <c r="Q711" s="12">
        <v>107.2</v>
      </c>
      <c r="R711" s="12">
        <v>278.41</v>
      </c>
      <c r="S711" s="12">
        <v>352.4</v>
      </c>
      <c r="T711" s="12">
        <v>454.63</v>
      </c>
      <c r="U711" s="12">
        <v>449.73</v>
      </c>
      <c r="V711" s="12">
        <v>382.38</v>
      </c>
      <c r="W711" s="12">
        <v>405.96</v>
      </c>
      <c r="X711" s="12">
        <v>315.33</v>
      </c>
      <c r="Y711" s="12">
        <v>298.59</v>
      </c>
      <c r="AA711" s="17">
        <f>MAX($B$711:$Z$711)</f>
        <v>454.63</v>
      </c>
      <c r="AB711" s="17">
        <f>MIN($B$711:$Z$711)</f>
        <v>-9.51</v>
      </c>
      <c r="AC711" s="17">
        <f>AVERAGE($B$711:$Z$711)</f>
        <v>254.707916666667</v>
      </c>
    </row>
    <row r="712" spans="1:29">
      <c r="A712" s="10">
        <v>46007</v>
      </c>
      <c r="B712" s="12">
        <v>327.04</v>
      </c>
      <c r="C712" s="12">
        <v>307.98</v>
      </c>
      <c r="D712" s="12">
        <v>305.39</v>
      </c>
      <c r="E712" s="12">
        <v>307.32</v>
      </c>
      <c r="F712" s="12">
        <v>303.78</v>
      </c>
      <c r="G712" s="12">
        <v>300.02</v>
      </c>
      <c r="H712" s="12">
        <v>320.57</v>
      </c>
      <c r="I712" s="12">
        <v>337.39</v>
      </c>
      <c r="J712" s="12">
        <v>367</v>
      </c>
      <c r="K712" s="12">
        <v>311</v>
      </c>
      <c r="L712" s="12">
        <v>278.72</v>
      </c>
      <c r="M712" s="12">
        <v>234.49</v>
      </c>
      <c r="N712" s="12">
        <v>200.99</v>
      </c>
      <c r="O712" s="12">
        <v>250</v>
      </c>
      <c r="P712" s="12">
        <v>240.36</v>
      </c>
      <c r="Q712" s="12">
        <v>271.55</v>
      </c>
      <c r="R712" s="12">
        <v>310.79</v>
      </c>
      <c r="S712" s="12">
        <v>497.72</v>
      </c>
      <c r="T712" s="12">
        <v>633.32</v>
      </c>
      <c r="U712" s="12">
        <v>514.73</v>
      </c>
      <c r="V712" s="12">
        <v>436.14</v>
      </c>
      <c r="W712" s="12">
        <v>426.44</v>
      </c>
      <c r="X712" s="12">
        <v>403.07</v>
      </c>
      <c r="Y712" s="12">
        <v>323.18</v>
      </c>
      <c r="AA712" s="17">
        <f>MAX($B$712:$Z$712)</f>
        <v>633.32</v>
      </c>
      <c r="AB712" s="17">
        <f>MIN($B$712:$Z$712)</f>
        <v>200.99</v>
      </c>
      <c r="AC712" s="17">
        <f>AVERAGE($B$712:$Z$712)</f>
        <v>342.04125</v>
      </c>
    </row>
    <row r="713" spans="1:29">
      <c r="A713" s="10">
        <v>46008</v>
      </c>
      <c r="B713" s="12">
        <v>422.93</v>
      </c>
      <c r="C713" s="12">
        <v>328.74</v>
      </c>
      <c r="D713" s="12">
        <v>317.85</v>
      </c>
      <c r="E713" s="12">
        <v>300.05</v>
      </c>
      <c r="F713" s="12">
        <v>292.2</v>
      </c>
      <c r="G713" s="12">
        <v>292.9</v>
      </c>
      <c r="H713" s="12">
        <v>312.11</v>
      </c>
      <c r="I713" s="12">
        <v>335.1</v>
      </c>
      <c r="J713" s="12">
        <v>364.75</v>
      </c>
      <c r="K713" s="12">
        <v>291.35</v>
      </c>
      <c r="L713" s="12">
        <v>202.42</v>
      </c>
      <c r="M713" s="12">
        <v>120.8</v>
      </c>
      <c r="N713" s="12">
        <v>-26.96</v>
      </c>
      <c r="O713" s="12">
        <v>23.95</v>
      </c>
      <c r="P713" s="12">
        <v>-4.5</v>
      </c>
      <c r="Q713" s="12">
        <v>166.89</v>
      </c>
      <c r="R713" s="12">
        <v>335.65</v>
      </c>
      <c r="S713" s="12">
        <v>745.98</v>
      </c>
      <c r="T713" s="12">
        <v>668.35</v>
      </c>
      <c r="U713" s="12">
        <v>410.9</v>
      </c>
      <c r="V713" s="12">
        <v>408.27</v>
      </c>
      <c r="W713" s="12">
        <v>356.85</v>
      </c>
      <c r="X713" s="12">
        <v>321.83</v>
      </c>
      <c r="Y713" s="12">
        <v>274.29</v>
      </c>
      <c r="AA713" s="17">
        <f>MAX($B$713:$Z$713)</f>
        <v>745.98</v>
      </c>
      <c r="AB713" s="17">
        <f>MIN($B$713:$Z$713)</f>
        <v>-26.96</v>
      </c>
      <c r="AC713" s="17">
        <f>AVERAGE($B$713:$Z$713)</f>
        <v>302.6125</v>
      </c>
    </row>
    <row r="714" spans="1:29">
      <c r="A714" s="10">
        <v>46009</v>
      </c>
      <c r="B714" s="12">
        <v>434.11</v>
      </c>
      <c r="C714" s="12">
        <v>465.48</v>
      </c>
      <c r="D714" s="12">
        <v>369.88</v>
      </c>
      <c r="E714" s="12">
        <v>333.85</v>
      </c>
      <c r="F714" s="12">
        <v>283.55</v>
      </c>
      <c r="G714" s="12">
        <v>312.34</v>
      </c>
      <c r="H714" s="12">
        <v>365.71</v>
      </c>
      <c r="I714" s="12">
        <v>372.87</v>
      </c>
      <c r="J714" s="12">
        <v>373.32</v>
      </c>
      <c r="K714" s="12">
        <v>289.04</v>
      </c>
      <c r="L714" s="12">
        <v>140.87</v>
      </c>
      <c r="M714" s="12">
        <v>8.08</v>
      </c>
      <c r="N714" s="12">
        <v>-28.41</v>
      </c>
      <c r="O714" s="12">
        <v>-11.45</v>
      </c>
      <c r="P714" s="12">
        <v>-0.61</v>
      </c>
      <c r="Q714" s="12">
        <v>48.57</v>
      </c>
      <c r="R714" s="12">
        <v>287.31</v>
      </c>
      <c r="S714" s="12">
        <v>346.32</v>
      </c>
      <c r="T714" s="12">
        <v>396.72</v>
      </c>
      <c r="U714" s="12">
        <v>340.53</v>
      </c>
      <c r="V714" s="12">
        <v>349.29</v>
      </c>
      <c r="W714" s="12">
        <v>323.22</v>
      </c>
      <c r="X714" s="12">
        <v>312.35</v>
      </c>
      <c r="Y714" s="12">
        <v>295.03</v>
      </c>
      <c r="AA714" s="17">
        <f>MAX($B$714:$Z$714)</f>
        <v>465.48</v>
      </c>
      <c r="AB714" s="17">
        <f>MIN($B$714:$Z$714)</f>
        <v>-28.41</v>
      </c>
      <c r="AC714" s="17">
        <f>AVERAGE($B$714:$Z$714)</f>
        <v>266.99875</v>
      </c>
    </row>
    <row r="715" spans="1:29">
      <c r="A715" s="10">
        <v>46010</v>
      </c>
      <c r="B715" s="12">
        <v>322.19</v>
      </c>
      <c r="C715" s="12">
        <v>309.23</v>
      </c>
      <c r="D715" s="12">
        <v>301.27</v>
      </c>
      <c r="E715" s="12">
        <v>296.59</v>
      </c>
      <c r="F715" s="12">
        <v>282.05</v>
      </c>
      <c r="G715" s="12">
        <v>298.91</v>
      </c>
      <c r="H715" s="12">
        <v>329.8</v>
      </c>
      <c r="I715" s="12">
        <v>361.16</v>
      </c>
      <c r="J715" s="12">
        <v>438.95</v>
      </c>
      <c r="K715" s="12">
        <v>365.12</v>
      </c>
      <c r="L715" s="12">
        <v>254.86</v>
      </c>
      <c r="M715" s="12">
        <v>201.43</v>
      </c>
      <c r="N715" s="12">
        <v>115.91</v>
      </c>
      <c r="O715" s="12">
        <v>209.72</v>
      </c>
      <c r="P715" s="12">
        <v>219.84</v>
      </c>
      <c r="Q715" s="12">
        <v>257.11</v>
      </c>
      <c r="R715" s="12">
        <v>325.93</v>
      </c>
      <c r="S715" s="12">
        <v>474.04</v>
      </c>
      <c r="T715" s="12">
        <v>523.08</v>
      </c>
      <c r="U715" s="12">
        <v>479.83</v>
      </c>
      <c r="V715" s="12">
        <v>427.12</v>
      </c>
      <c r="W715" s="12">
        <v>407.9</v>
      </c>
      <c r="X715" s="12">
        <v>398.68</v>
      </c>
      <c r="Y715" s="12">
        <v>343.09</v>
      </c>
      <c r="AA715" s="17">
        <f>MAX($B$715:$Z$715)</f>
        <v>523.08</v>
      </c>
      <c r="AB715" s="17">
        <f>MIN($B$715:$Z$715)</f>
        <v>115.91</v>
      </c>
      <c r="AC715" s="17">
        <f>AVERAGE($B$715:$Z$715)</f>
        <v>330.992083333333</v>
      </c>
    </row>
    <row r="716" spans="1:29">
      <c r="A716" s="10">
        <v>46011</v>
      </c>
      <c r="B716" s="12">
        <v>349.18</v>
      </c>
      <c r="C716" s="12">
        <v>336</v>
      </c>
      <c r="D716" s="12">
        <v>317.8</v>
      </c>
      <c r="E716" s="12">
        <v>315.03</v>
      </c>
      <c r="F716" s="12">
        <v>314.23</v>
      </c>
      <c r="G716" s="12">
        <v>313.67</v>
      </c>
      <c r="H716" s="12">
        <v>311.77</v>
      </c>
      <c r="I716" s="12">
        <v>334.24</v>
      </c>
      <c r="J716" s="12">
        <v>374.47</v>
      </c>
      <c r="K716" s="12">
        <v>331</v>
      </c>
      <c r="L716" s="12">
        <v>292.98</v>
      </c>
      <c r="M716" s="12">
        <v>247.45</v>
      </c>
      <c r="N716" s="12">
        <v>179.31</v>
      </c>
      <c r="O716" s="12">
        <v>244.24</v>
      </c>
      <c r="P716" s="12">
        <v>248</v>
      </c>
      <c r="Q716" s="12">
        <v>268.97</v>
      </c>
      <c r="R716" s="12">
        <v>310.33</v>
      </c>
      <c r="S716" s="12">
        <v>345.95</v>
      </c>
      <c r="T716" s="12">
        <v>439.07</v>
      </c>
      <c r="U716" s="12">
        <v>358.87</v>
      </c>
      <c r="V716" s="12">
        <v>312.29</v>
      </c>
      <c r="W716" s="12">
        <v>305.33</v>
      </c>
      <c r="X716" s="12">
        <v>318.1</v>
      </c>
      <c r="Y716" s="12">
        <v>301.85</v>
      </c>
      <c r="AA716" s="17">
        <f>MAX($B$716:$Z$716)</f>
        <v>439.07</v>
      </c>
      <c r="AB716" s="17">
        <f>MIN($B$716:$Z$716)</f>
        <v>179.31</v>
      </c>
      <c r="AC716" s="17">
        <f>AVERAGE($B$716:$Z$716)</f>
        <v>311.255416666667</v>
      </c>
    </row>
    <row r="717" spans="1:29">
      <c r="A717" s="10">
        <v>46012</v>
      </c>
      <c r="B717" s="12">
        <v>338.3</v>
      </c>
      <c r="C717" s="12">
        <v>320.09</v>
      </c>
      <c r="D717" s="12">
        <v>293.93</v>
      </c>
      <c r="E717" s="12">
        <v>290.29</v>
      </c>
      <c r="F717" s="12">
        <v>277.5</v>
      </c>
      <c r="G717" s="12">
        <v>265.08</v>
      </c>
      <c r="H717" s="12">
        <v>269.86</v>
      </c>
      <c r="I717" s="12">
        <v>272.08</v>
      </c>
      <c r="J717" s="12">
        <v>259.17</v>
      </c>
      <c r="K717" s="12">
        <v>20.88</v>
      </c>
      <c r="L717" s="12">
        <v>-70.54</v>
      </c>
      <c r="M717" s="12">
        <v>-75.46</v>
      </c>
      <c r="N717" s="12">
        <v>-59.45</v>
      </c>
      <c r="O717" s="12">
        <v>-49.41</v>
      </c>
      <c r="P717" s="12">
        <v>-51.08</v>
      </c>
      <c r="Q717" s="12">
        <v>-43.72</v>
      </c>
      <c r="R717" s="12">
        <v>106.11</v>
      </c>
      <c r="S717" s="12">
        <v>318.01</v>
      </c>
      <c r="T717" s="12">
        <v>302.14</v>
      </c>
      <c r="U717" s="12">
        <v>286.85</v>
      </c>
      <c r="V717" s="12">
        <v>305.78</v>
      </c>
      <c r="W717" s="12">
        <v>295.56</v>
      </c>
      <c r="X717" s="12">
        <v>263.46</v>
      </c>
      <c r="Y717" s="12">
        <v>210.32</v>
      </c>
      <c r="AA717" s="17">
        <f>MAX($B$717:$Z$717)</f>
        <v>338.3</v>
      </c>
      <c r="AB717" s="17">
        <f>MIN($B$717:$Z$717)</f>
        <v>-75.46</v>
      </c>
      <c r="AC717" s="17">
        <f>AVERAGE($B$717:$Z$717)</f>
        <v>181.072916666667</v>
      </c>
    </row>
    <row r="718" spans="1:29">
      <c r="A718" s="10">
        <v>46013</v>
      </c>
      <c r="B718" s="12">
        <v>251.83</v>
      </c>
      <c r="C718" s="12">
        <v>239.94</v>
      </c>
      <c r="D718" s="12">
        <v>235.23</v>
      </c>
      <c r="E718" s="12">
        <v>206.95</v>
      </c>
      <c r="F718" s="12">
        <v>201.64</v>
      </c>
      <c r="G718" s="12">
        <v>184.45</v>
      </c>
      <c r="H718" s="12">
        <v>218.65</v>
      </c>
      <c r="I718" s="12">
        <v>240.14</v>
      </c>
      <c r="J718" s="12">
        <v>307.94</v>
      </c>
      <c r="K718" s="12">
        <v>311.75</v>
      </c>
      <c r="L718" s="12">
        <v>198.52</v>
      </c>
      <c r="M718" s="12">
        <v>125.74</v>
      </c>
      <c r="N718" s="12">
        <v>92.15</v>
      </c>
      <c r="O718" s="12">
        <v>101.26</v>
      </c>
      <c r="P718" s="12">
        <v>49.13</v>
      </c>
      <c r="Q718" s="12">
        <v>102.59</v>
      </c>
      <c r="R718" s="12">
        <v>218.49</v>
      </c>
      <c r="S718" s="12">
        <v>286.72</v>
      </c>
      <c r="T718" s="12">
        <v>338.93</v>
      </c>
      <c r="U718" s="12">
        <v>324.62</v>
      </c>
      <c r="V718" s="12">
        <v>312.78</v>
      </c>
      <c r="W718" s="12">
        <v>300.26</v>
      </c>
      <c r="X718" s="12">
        <v>262.95</v>
      </c>
      <c r="Y718" s="12">
        <v>240.62</v>
      </c>
      <c r="AA718" s="17">
        <f>MAX($B$718:$Z$718)</f>
        <v>338.93</v>
      </c>
      <c r="AB718" s="17">
        <f>MIN($B$718:$Z$718)</f>
        <v>49.13</v>
      </c>
      <c r="AC718" s="17">
        <f>AVERAGE($B$718:$Z$718)</f>
        <v>223.053333333333</v>
      </c>
    </row>
    <row r="719" spans="1:29">
      <c r="A719" s="10">
        <v>46014</v>
      </c>
      <c r="B719" s="12">
        <v>260.05</v>
      </c>
      <c r="C719" s="12">
        <v>265.79</v>
      </c>
      <c r="D719" s="12">
        <v>289.47</v>
      </c>
      <c r="E719" s="12">
        <v>267.7</v>
      </c>
      <c r="F719" s="12">
        <v>246.53</v>
      </c>
      <c r="G719" s="12">
        <v>249.19</v>
      </c>
      <c r="H719" s="12">
        <v>283.81</v>
      </c>
      <c r="I719" s="12">
        <v>335.5</v>
      </c>
      <c r="J719" s="12">
        <v>355.65</v>
      </c>
      <c r="K719" s="12">
        <v>269.92</v>
      </c>
      <c r="L719" s="12">
        <v>301.53</v>
      </c>
      <c r="M719" s="12">
        <v>299.93</v>
      </c>
      <c r="N719" s="12">
        <v>170.07</v>
      </c>
      <c r="O719" s="12">
        <v>229.67</v>
      </c>
      <c r="P719" s="12">
        <v>237.24</v>
      </c>
      <c r="Q719" s="12">
        <v>300.53</v>
      </c>
      <c r="R719" s="12">
        <v>367.33</v>
      </c>
      <c r="S719" s="12">
        <v>473.77</v>
      </c>
      <c r="T719" s="12">
        <v>907.34</v>
      </c>
      <c r="U719" s="12">
        <v>576.94</v>
      </c>
      <c r="V719" s="12">
        <v>443.03</v>
      </c>
      <c r="W719" s="12">
        <v>381.84</v>
      </c>
      <c r="X719" s="12">
        <v>333.92</v>
      </c>
      <c r="Y719" s="12">
        <v>313.29</v>
      </c>
      <c r="AA719" s="17">
        <f>MAX($B$719:$Z$719)</f>
        <v>907.34</v>
      </c>
      <c r="AB719" s="17">
        <f>MIN($B$719:$Z$719)</f>
        <v>170.07</v>
      </c>
      <c r="AC719" s="17">
        <f>AVERAGE($B$719:$Z$719)</f>
        <v>340.001666666667</v>
      </c>
    </row>
    <row r="720" spans="1:29">
      <c r="A720" s="10">
        <v>46015</v>
      </c>
      <c r="B720" s="12">
        <v>332.04</v>
      </c>
      <c r="C720" s="12">
        <v>322.7</v>
      </c>
      <c r="D720" s="12">
        <v>311.68</v>
      </c>
      <c r="E720" s="12">
        <v>310.31</v>
      </c>
      <c r="F720" s="12">
        <v>298.25</v>
      </c>
      <c r="G720" s="12">
        <v>293.89</v>
      </c>
      <c r="H720" s="12">
        <v>336.29</v>
      </c>
      <c r="I720" s="12">
        <v>362.34</v>
      </c>
      <c r="J720" s="12">
        <v>379.08</v>
      </c>
      <c r="K720" s="12">
        <v>348</v>
      </c>
      <c r="L720" s="12">
        <v>301.46</v>
      </c>
      <c r="M720" s="12">
        <v>255.21</v>
      </c>
      <c r="N720" s="12">
        <v>180.99</v>
      </c>
      <c r="O720" s="12">
        <v>256.31</v>
      </c>
      <c r="P720" s="12">
        <v>256.95</v>
      </c>
      <c r="Q720" s="12">
        <v>278.48</v>
      </c>
      <c r="R720" s="12">
        <v>323.28</v>
      </c>
      <c r="S720" s="12">
        <v>371.5</v>
      </c>
      <c r="T720" s="12">
        <v>392.52</v>
      </c>
      <c r="U720" s="12">
        <v>386.11</v>
      </c>
      <c r="V720" s="12">
        <v>393.03</v>
      </c>
      <c r="W720" s="12">
        <v>311.17</v>
      </c>
      <c r="X720" s="12">
        <v>327.24</v>
      </c>
      <c r="Y720" s="12">
        <v>298.68</v>
      </c>
      <c r="AA720" s="17">
        <f>MAX($B$720:$Z$720)</f>
        <v>393.03</v>
      </c>
      <c r="AB720" s="17">
        <f>MIN($B$720:$Z$720)</f>
        <v>180.99</v>
      </c>
      <c r="AC720" s="17">
        <f>AVERAGE($B$720:$Z$720)</f>
        <v>317.812916666667</v>
      </c>
    </row>
    <row r="721" spans="1:29">
      <c r="A721" s="10">
        <v>46016</v>
      </c>
      <c r="B721" s="12">
        <v>316.03</v>
      </c>
      <c r="C721" s="12">
        <v>326.42</v>
      </c>
      <c r="D721" s="12">
        <v>300.81</v>
      </c>
      <c r="E721" s="12">
        <v>282.78</v>
      </c>
      <c r="F721" s="12">
        <v>274.38</v>
      </c>
      <c r="G721" s="12">
        <v>275.86</v>
      </c>
      <c r="H721" s="12">
        <v>285.65</v>
      </c>
      <c r="I721" s="12">
        <v>287.79</v>
      </c>
      <c r="J721" s="12">
        <v>333.26</v>
      </c>
      <c r="K721" s="12">
        <v>312.2</v>
      </c>
      <c r="L721" s="12">
        <v>294.16</v>
      </c>
      <c r="M721" s="12">
        <v>229.93</v>
      </c>
      <c r="N721" s="12">
        <v>149.3</v>
      </c>
      <c r="O721" s="12">
        <v>224.32</v>
      </c>
      <c r="P721" s="12">
        <v>224.56</v>
      </c>
      <c r="Q721" s="12">
        <v>218.49</v>
      </c>
      <c r="R721" s="12">
        <v>283.31</v>
      </c>
      <c r="S721" s="12">
        <v>299.3</v>
      </c>
      <c r="T721" s="12">
        <v>293.87</v>
      </c>
      <c r="U721" s="12">
        <v>287.92</v>
      </c>
      <c r="V721" s="12">
        <v>285.95</v>
      </c>
      <c r="W721" s="12">
        <v>287.11</v>
      </c>
      <c r="X721" s="12">
        <v>269.27</v>
      </c>
      <c r="Y721" s="12">
        <v>229.27</v>
      </c>
      <c r="AA721" s="17">
        <f>MAX($B$721:$Z$721)</f>
        <v>333.26</v>
      </c>
      <c r="AB721" s="17">
        <f>MIN($B$721:$Z$721)</f>
        <v>149.3</v>
      </c>
      <c r="AC721" s="17">
        <f>AVERAGE($B$721:$Z$721)</f>
        <v>273.830833333333</v>
      </c>
    </row>
    <row r="722" spans="1:29">
      <c r="A722" s="10">
        <v>46017</v>
      </c>
      <c r="B722" s="12">
        <v>261.19</v>
      </c>
      <c r="C722" s="12">
        <v>245.86</v>
      </c>
      <c r="D722" s="12">
        <v>230.12</v>
      </c>
      <c r="E722" s="12">
        <v>221.32</v>
      </c>
      <c r="F722" s="12">
        <v>226.33</v>
      </c>
      <c r="G722" s="12">
        <v>238.05</v>
      </c>
      <c r="H722" s="12">
        <v>275.73</v>
      </c>
      <c r="I722" s="12">
        <v>292.45</v>
      </c>
      <c r="J722" s="12">
        <v>431.14</v>
      </c>
      <c r="K722" s="12">
        <v>460.29</v>
      </c>
      <c r="L722" s="12">
        <v>337.69</v>
      </c>
      <c r="M722" s="12">
        <v>254.19</v>
      </c>
      <c r="N722" s="12">
        <v>219.06</v>
      </c>
      <c r="O722" s="12">
        <v>240.58</v>
      </c>
      <c r="P722" s="12">
        <v>231.45</v>
      </c>
      <c r="Q722" s="12">
        <v>295.02</v>
      </c>
      <c r="R722" s="12">
        <v>307.82</v>
      </c>
      <c r="S722" s="12">
        <v>391.21</v>
      </c>
      <c r="T722" s="12">
        <v>453.03</v>
      </c>
      <c r="U722" s="12">
        <v>752.49</v>
      </c>
      <c r="V722" s="12">
        <v>644.07</v>
      </c>
      <c r="W722" s="12">
        <v>474.9</v>
      </c>
      <c r="X722" s="12">
        <v>399.65</v>
      </c>
      <c r="Y722" s="12">
        <v>303.17</v>
      </c>
      <c r="AA722" s="17">
        <f>MAX($B$722:$Z$722)</f>
        <v>752.49</v>
      </c>
      <c r="AB722" s="17">
        <f>MIN($B$722:$Z$722)</f>
        <v>219.06</v>
      </c>
      <c r="AC722" s="17">
        <f>AVERAGE($B$722:$Z$722)</f>
        <v>341.117083333333</v>
      </c>
    </row>
    <row r="723" spans="1:29">
      <c r="A723" s="10">
        <v>46018</v>
      </c>
      <c r="B723" s="12">
        <v>392.56</v>
      </c>
      <c r="C723" s="12">
        <v>387.48</v>
      </c>
      <c r="D723" s="12">
        <v>365.33</v>
      </c>
      <c r="E723" s="12">
        <v>312.1</v>
      </c>
      <c r="F723" s="12">
        <v>303.42</v>
      </c>
      <c r="G723" s="12">
        <v>304.88</v>
      </c>
      <c r="H723" s="12">
        <v>308.6</v>
      </c>
      <c r="I723" s="12">
        <v>315.59</v>
      </c>
      <c r="J723" s="12">
        <v>363.24</v>
      </c>
      <c r="K723" s="12">
        <v>278.12</v>
      </c>
      <c r="L723" s="12">
        <v>186.04</v>
      </c>
      <c r="M723" s="12">
        <v>91.84</v>
      </c>
      <c r="N723" s="12">
        <v>-44.94</v>
      </c>
      <c r="O723" s="12">
        <v>4.2</v>
      </c>
      <c r="P723" s="12">
        <v>26.03</v>
      </c>
      <c r="Q723" s="12">
        <v>166.57</v>
      </c>
      <c r="R723" s="12">
        <v>403.8</v>
      </c>
      <c r="S723" s="12">
        <v>461.13</v>
      </c>
      <c r="T723" s="12">
        <v>631.5</v>
      </c>
      <c r="U723" s="12">
        <v>467.61</v>
      </c>
      <c r="V723" s="12">
        <v>526.53</v>
      </c>
      <c r="W723" s="12">
        <v>426.41</v>
      </c>
      <c r="X723" s="12">
        <v>433.71</v>
      </c>
      <c r="Y723" s="12">
        <v>387.4</v>
      </c>
      <c r="AA723" s="17">
        <f>MAX($B$723:$Z$723)</f>
        <v>631.5</v>
      </c>
      <c r="AB723" s="17">
        <f>MIN($B$723:$Z$723)</f>
        <v>-44.94</v>
      </c>
      <c r="AC723" s="17">
        <f>AVERAGE($B$723:$Z$723)</f>
        <v>312.464583333333</v>
      </c>
    </row>
    <row r="724" spans="1:29">
      <c r="A724" s="10">
        <v>46019</v>
      </c>
      <c r="B724" s="12">
        <v>567.78</v>
      </c>
      <c r="C724" s="12">
        <v>453.01</v>
      </c>
      <c r="D724" s="12">
        <v>419.86</v>
      </c>
      <c r="E724" s="12">
        <v>361.53</v>
      </c>
      <c r="F724" s="12">
        <v>332.68</v>
      </c>
      <c r="G724" s="12">
        <v>322.44</v>
      </c>
      <c r="H724" s="12">
        <v>353.02</v>
      </c>
      <c r="I724" s="12">
        <v>380.29</v>
      </c>
      <c r="J724" s="12">
        <v>408.83</v>
      </c>
      <c r="K724" s="12">
        <v>299.59</v>
      </c>
      <c r="L724" s="12">
        <v>248.72</v>
      </c>
      <c r="M724" s="12">
        <v>119.16</v>
      </c>
      <c r="N724" s="12">
        <v>0.81</v>
      </c>
      <c r="O724" s="12">
        <v>147.38</v>
      </c>
      <c r="P724" s="12">
        <v>6.28</v>
      </c>
      <c r="Q724" s="12">
        <v>147.91</v>
      </c>
      <c r="R724" s="12">
        <v>382.24</v>
      </c>
      <c r="S724" s="12">
        <v>609.1</v>
      </c>
      <c r="T724" s="12">
        <v>745.78</v>
      </c>
      <c r="U724" s="12">
        <v>611.83</v>
      </c>
      <c r="V724" s="12">
        <v>970.49</v>
      </c>
      <c r="W724" s="12">
        <v>722.08</v>
      </c>
      <c r="X724" s="12">
        <v>461.2</v>
      </c>
      <c r="Y724" s="12">
        <v>382.8</v>
      </c>
      <c r="AA724" s="17">
        <f>MAX($B$724:$Z$724)</f>
        <v>970.49</v>
      </c>
      <c r="AB724" s="17">
        <f>MIN($B$724:$Z$724)</f>
        <v>0.81</v>
      </c>
      <c r="AC724" s="17">
        <f>AVERAGE($B$724:$Z$724)</f>
        <v>393.950416666667</v>
      </c>
    </row>
    <row r="725" spans="1:29">
      <c r="A725" s="10">
        <v>46020</v>
      </c>
      <c r="B725" s="12">
        <v>385.13</v>
      </c>
      <c r="C725" s="12">
        <v>322.65</v>
      </c>
      <c r="D725" s="12">
        <v>313.98</v>
      </c>
      <c r="E725" s="12">
        <v>292.83</v>
      </c>
      <c r="F725" s="12">
        <v>281.8</v>
      </c>
      <c r="G725" s="12">
        <v>279.76</v>
      </c>
      <c r="H725" s="12">
        <v>325.92</v>
      </c>
      <c r="I725" s="12">
        <v>361.99</v>
      </c>
      <c r="J725" s="12">
        <v>404.72</v>
      </c>
      <c r="K725" s="12">
        <v>336.81</v>
      </c>
      <c r="L725" s="12">
        <v>259.86</v>
      </c>
      <c r="M725" s="12">
        <v>187.48</v>
      </c>
      <c r="N725" s="12">
        <v>-5.75</v>
      </c>
      <c r="O725" s="12">
        <v>100.61</v>
      </c>
      <c r="P725" s="12">
        <v>190.37</v>
      </c>
      <c r="Q725" s="12">
        <v>246.71</v>
      </c>
      <c r="R725" s="12">
        <v>320.89</v>
      </c>
      <c r="S725" s="12">
        <v>395.23</v>
      </c>
      <c r="T725" s="12">
        <v>466.81</v>
      </c>
      <c r="U725" s="12">
        <v>435.25</v>
      </c>
      <c r="V725" s="12">
        <v>427.11</v>
      </c>
      <c r="W725" s="12">
        <v>445.31</v>
      </c>
      <c r="X725" s="12">
        <v>354.65</v>
      </c>
      <c r="Y725" s="12">
        <v>318.06</v>
      </c>
      <c r="AA725" s="17">
        <f>MAX($B$725:$Z$725)</f>
        <v>466.81</v>
      </c>
      <c r="AB725" s="17">
        <f>MIN($B$725:$Z$725)</f>
        <v>-5.75</v>
      </c>
      <c r="AC725" s="17">
        <f>AVERAGE($B$725:$Z$725)</f>
        <v>310.340833333333</v>
      </c>
    </row>
    <row r="726" spans="1:29">
      <c r="A726" s="10">
        <v>46021</v>
      </c>
      <c r="B726" s="12">
        <v>365.91</v>
      </c>
      <c r="C726" s="12">
        <v>328.13</v>
      </c>
      <c r="D726" s="12">
        <v>317.37</v>
      </c>
      <c r="E726" s="12">
        <v>321.2</v>
      </c>
      <c r="F726" s="12">
        <v>321.35</v>
      </c>
      <c r="G726" s="12">
        <v>313.5</v>
      </c>
      <c r="H726" s="12">
        <v>341.12</v>
      </c>
      <c r="I726" s="12">
        <v>374.35</v>
      </c>
      <c r="J726" s="12">
        <v>374.92</v>
      </c>
      <c r="K726" s="12">
        <v>319.55</v>
      </c>
      <c r="L726" s="12">
        <v>218.02</v>
      </c>
      <c r="M726" s="12">
        <v>136.46</v>
      </c>
      <c r="N726" s="12">
        <v>-31.03</v>
      </c>
      <c r="O726" s="12">
        <v>-15.67</v>
      </c>
      <c r="P726" s="12">
        <v>3.43</v>
      </c>
      <c r="Q726" s="12">
        <v>171.69</v>
      </c>
      <c r="R726" s="12">
        <v>291.89</v>
      </c>
      <c r="S726" s="12">
        <v>365.88</v>
      </c>
      <c r="T726" s="12">
        <v>341</v>
      </c>
      <c r="U726" s="12">
        <v>335.8</v>
      </c>
      <c r="V726" s="12">
        <v>353.13</v>
      </c>
      <c r="W726" s="12">
        <v>350.23</v>
      </c>
      <c r="X726" s="12">
        <v>331.64</v>
      </c>
      <c r="Y726" s="12">
        <v>308.42</v>
      </c>
      <c r="AA726" s="17">
        <f>MAX($B$726:$Z$726)</f>
        <v>374.92</v>
      </c>
      <c r="AB726" s="17">
        <f>MIN($B$726:$Z$726)</f>
        <v>-31.03</v>
      </c>
      <c r="AC726" s="17">
        <f>AVERAGE($B$726:$Z$726)</f>
        <v>272.42875</v>
      </c>
    </row>
    <row r="727" spans="1:29">
      <c r="A727" s="10">
        <v>46022</v>
      </c>
      <c r="B727" s="12">
        <v>303.57</v>
      </c>
      <c r="C727" s="12">
        <v>302.67</v>
      </c>
      <c r="D727" s="12">
        <v>296.43</v>
      </c>
      <c r="E727" s="12">
        <v>283.5</v>
      </c>
      <c r="F727" s="12">
        <v>274.78</v>
      </c>
      <c r="G727" s="12">
        <v>268.6</v>
      </c>
      <c r="H727" s="12">
        <v>288.51</v>
      </c>
      <c r="I727" s="12">
        <v>305.52</v>
      </c>
      <c r="J727" s="12">
        <v>318.59</v>
      </c>
      <c r="K727" s="12">
        <v>286.84</v>
      </c>
      <c r="L727" s="12">
        <v>199.68</v>
      </c>
      <c r="M727" s="12">
        <v>156.56</v>
      </c>
      <c r="N727" s="12">
        <v>90.65</v>
      </c>
      <c r="O727" s="12">
        <v>93.14</v>
      </c>
      <c r="P727" s="12">
        <v>40.49</v>
      </c>
      <c r="Q727" s="12">
        <v>89.74</v>
      </c>
      <c r="R727" s="12">
        <v>260.59</v>
      </c>
      <c r="S727" s="12">
        <v>302.25</v>
      </c>
      <c r="T727" s="12">
        <v>300.87</v>
      </c>
      <c r="U727" s="12">
        <v>297.07</v>
      </c>
      <c r="V727" s="12">
        <v>300.76</v>
      </c>
      <c r="W727" s="12">
        <v>298.88</v>
      </c>
      <c r="X727" s="12">
        <v>291.42</v>
      </c>
      <c r="Y727" s="12">
        <v>277.43</v>
      </c>
      <c r="AA727" s="17">
        <f>MAX($B$727:$Z$727)</f>
        <v>318.59</v>
      </c>
      <c r="AB727" s="17">
        <f>MIN($B$727:$Z$727)</f>
        <v>40.49</v>
      </c>
      <c r="AC727" s="17">
        <f>AVERAGE($B$727:$Z$727)</f>
        <v>247.0225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B727"/>
  <sheetViews>
    <sheetView tabSelected="1" workbookViewId="0">
      <pane ySplit="1" topLeftCell="A709" activePane="bottomLeft" state="frozen"/>
      <selection/>
      <selection pane="bottomLeft" activeCell="F737" sqref="F737"/>
    </sheetView>
  </sheetViews>
  <sheetFormatPr defaultColWidth="9" defaultRowHeight="14.5"/>
  <cols>
    <col min="1" max="1" width="10.5" style="6" customWidth="1"/>
    <col min="2" max="2" width="11.8181818181818" style="7" customWidth="1"/>
    <col min="3" max="12" width="9.5" style="7" customWidth="1"/>
    <col min="13" max="13" width="10.5" style="7" customWidth="1"/>
    <col min="14" max="16" width="9.5" style="7" customWidth="1"/>
    <col min="17" max="17" width="10.5" style="7" customWidth="1"/>
    <col min="18" max="25" width="9.5" style="7" customWidth="1"/>
    <col min="26" max="16384" width="9" style="1"/>
  </cols>
  <sheetData>
    <row r="1" ht="14" spans="1:2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4" t="s">
        <v>63</v>
      </c>
      <c r="AA1" s="4" t="s">
        <v>64</v>
      </c>
      <c r="AB1" s="4" t="s">
        <v>29</v>
      </c>
    </row>
    <row r="2" spans="1:28">
      <c r="A2" s="8">
        <v>45292</v>
      </c>
      <c r="B2" s="7">
        <f>日前电价!B2-实时电价!B2</f>
        <v>-4.3811</v>
      </c>
      <c r="C2" s="7">
        <f>日前电价!C2-实时电价!C2</f>
        <v>39.1965</v>
      </c>
      <c r="D2" s="7">
        <f>日前电价!D2-实时电价!D2</f>
        <v>91.2038</v>
      </c>
      <c r="E2" s="7">
        <f>日前电价!E2-实时电价!E2</f>
        <v>20.1522</v>
      </c>
      <c r="F2" s="7">
        <f>日前电价!F2-实时电价!F2</f>
        <v>0</v>
      </c>
      <c r="G2" s="7">
        <f>日前电价!G2-实时电价!G2</f>
        <v>-2.282</v>
      </c>
      <c r="H2" s="7">
        <f>日前电价!H2-实时电价!H2</f>
        <v>0.4341</v>
      </c>
      <c r="I2" s="7">
        <f>日前电价!I2-实时电价!I2</f>
        <v>-73.1531</v>
      </c>
      <c r="J2" s="7">
        <f>日前电价!J2-实时电价!J2</f>
        <v>0</v>
      </c>
      <c r="K2" s="7">
        <f>日前电价!K2-实时电价!K2</f>
        <v>0</v>
      </c>
      <c r="L2" s="7">
        <f>日前电价!L2-实时电价!L2</f>
        <v>0</v>
      </c>
      <c r="M2" s="7">
        <f>日前电价!M2-实时电价!M2</f>
        <v>-296.1836</v>
      </c>
      <c r="N2" s="7">
        <f>日前电价!N2-实时电价!N2</f>
        <v>-454.9643</v>
      </c>
      <c r="O2" s="7">
        <f>日前电价!O2-实时电价!O2</f>
        <v>-64.2641</v>
      </c>
      <c r="P2" s="7">
        <f>日前电价!P2-实时电价!P2</f>
        <v>-10.3218</v>
      </c>
      <c r="Q2" s="7">
        <f>日前电价!Q2-实时电价!Q2</f>
        <v>-451.4012</v>
      </c>
      <c r="R2" s="7">
        <f>日前电价!R2-实时电价!R2</f>
        <v>-404.047</v>
      </c>
      <c r="S2" s="7">
        <f>日前电价!S2-实时电价!S2</f>
        <v>-591.8693</v>
      </c>
      <c r="T2" s="7">
        <f>日前电价!T2-实时电价!T2</f>
        <v>-159.5229</v>
      </c>
      <c r="U2" s="7">
        <f>日前电价!U2-实时电价!U2</f>
        <v>-3.59010000000001</v>
      </c>
      <c r="V2" s="7">
        <f>日前电价!V2-实时电价!V2</f>
        <v>-8.39060000000001</v>
      </c>
      <c r="W2" s="7">
        <f>日前电价!W2-实时电价!W2</f>
        <v>-37.947</v>
      </c>
      <c r="X2" s="7">
        <f>日前电价!X2-实时电价!X2</f>
        <v>-88.289</v>
      </c>
      <c r="Y2" s="7">
        <f>日前电价!Y2-实时电价!Y2</f>
        <v>-235.9603</v>
      </c>
      <c r="Z2" s="9">
        <f t="shared" ref="Z2:Z65" si="0">MAX($B2:$Y2)</f>
        <v>91.2038</v>
      </c>
      <c r="AA2" s="9">
        <f t="shared" ref="AA2:AA65" si="1">MIN($B2:$Y2)</f>
        <v>-591.8693</v>
      </c>
      <c r="AB2" s="9">
        <f t="shared" ref="AB2:AB65" si="2">AVERAGE($B2:$Y2)</f>
        <v>-113.982533333333</v>
      </c>
    </row>
    <row r="3" spans="1:28">
      <c r="A3" s="8">
        <v>45293</v>
      </c>
      <c r="B3" s="7">
        <f>日前电价!B3-实时电价!B3</f>
        <v>-351.2349</v>
      </c>
      <c r="C3" s="7">
        <f>日前电价!C3-实时电价!C3</f>
        <v>-70.1141</v>
      </c>
      <c r="D3" s="7">
        <f>日前电价!D3-实时电价!D3</f>
        <v>-66.7873</v>
      </c>
      <c r="E3" s="7">
        <f>日前电价!E3-实时电价!E3</f>
        <v>-114.6724</v>
      </c>
      <c r="F3" s="7">
        <f>日前电价!F3-实时电价!F3</f>
        <v>-277.6692</v>
      </c>
      <c r="G3" s="7">
        <f>日前电价!G3-实时电价!G3</f>
        <v>-129.9768</v>
      </c>
      <c r="H3" s="7">
        <f>日前电价!H3-实时电价!H3</f>
        <v>-87.4728</v>
      </c>
      <c r="I3" s="7">
        <f>日前电价!I3-实时电价!I3</f>
        <v>-73.4384</v>
      </c>
      <c r="J3" s="7">
        <f>日前电价!J3-实时电价!J3</f>
        <v>-260.2468</v>
      </c>
      <c r="K3" s="7">
        <f>日前电价!K3-实时电价!K3</f>
        <v>-213.7883</v>
      </c>
      <c r="L3" s="7">
        <f>日前电价!L3-实时电价!L3</f>
        <v>-75.8691</v>
      </c>
      <c r="M3" s="7">
        <f>日前电价!M3-实时电价!M3</f>
        <v>18.096</v>
      </c>
      <c r="N3" s="7">
        <f>日前电价!N3-实时电价!N3</f>
        <v>37.8299</v>
      </c>
      <c r="O3" s="7">
        <f>日前电价!O3-实时电价!O3</f>
        <v>34.9388</v>
      </c>
      <c r="P3" s="7">
        <f>日前电价!P3-实时电价!P3</f>
        <v>48.0623</v>
      </c>
      <c r="Q3" s="7">
        <f>日前电价!Q3-实时电价!Q3</f>
        <v>14.2794</v>
      </c>
      <c r="R3" s="7">
        <f>日前电价!R3-实时电价!R3</f>
        <v>-4.45570000000004</v>
      </c>
      <c r="S3" s="7">
        <f>日前电价!S3-实时电价!S3</f>
        <v>5.95530000000008</v>
      </c>
      <c r="T3" s="7">
        <f>日前电价!T3-实时电价!T3</f>
        <v>-11.8247</v>
      </c>
      <c r="U3" s="7">
        <f>日前电价!U3-实时电价!U3</f>
        <v>-12.3867</v>
      </c>
      <c r="V3" s="7">
        <f>日前电价!V3-实时电价!V3</f>
        <v>-107.6923</v>
      </c>
      <c r="W3" s="7">
        <f>日前电价!W3-实时电价!W3</f>
        <v>-128.8495</v>
      </c>
      <c r="X3" s="7">
        <f>日前电价!X3-实时电价!X3</f>
        <v>-155.427</v>
      </c>
      <c r="Y3" s="7">
        <f>日前电价!Y3-实时电价!Y3</f>
        <v>-6.8793</v>
      </c>
      <c r="Z3" s="9">
        <f t="shared" si="0"/>
        <v>48.0623</v>
      </c>
      <c r="AA3" s="9">
        <f t="shared" si="1"/>
        <v>-351.2349</v>
      </c>
      <c r="AB3" s="9">
        <f t="shared" si="2"/>
        <v>-82.9009833333333</v>
      </c>
    </row>
    <row r="4" spans="1:28">
      <c r="A4" s="8">
        <v>45294</v>
      </c>
      <c r="B4" s="7">
        <f>日前电价!B4-实时电价!B4</f>
        <v>-141.7535</v>
      </c>
      <c r="C4" s="7">
        <f>日前电价!C4-实时电价!C4</f>
        <v>-50.2101</v>
      </c>
      <c r="D4" s="7">
        <f>日前电价!D4-实时电价!D4</f>
        <v>-52.8859</v>
      </c>
      <c r="E4" s="7">
        <f>日前电价!E4-实时电价!E4</f>
        <v>-34.8887</v>
      </c>
      <c r="F4" s="7">
        <f>日前电价!F4-实时电价!F4</f>
        <v>-37.7756</v>
      </c>
      <c r="G4" s="7">
        <f>日前电价!G4-实时电价!G4</f>
        <v>-39.4933</v>
      </c>
      <c r="H4" s="7">
        <f>日前电价!H4-实时电价!H4</f>
        <v>-74.5696</v>
      </c>
      <c r="I4" s="7">
        <f>日前电价!I4-实时电价!I4</f>
        <v>-126.6365</v>
      </c>
      <c r="J4" s="7">
        <f>日前电价!J4-实时电价!J4</f>
        <v>-449.3579</v>
      </c>
      <c r="K4" s="7">
        <f>日前电价!K4-实时电价!K4</f>
        <v>-357.9672</v>
      </c>
      <c r="L4" s="7">
        <f>日前电价!L4-实时电价!L4</f>
        <v>-57.6895</v>
      </c>
      <c r="M4" s="7">
        <f>日前电价!M4-实时电价!M4</f>
        <v>37.3853</v>
      </c>
      <c r="N4" s="7">
        <f>日前电价!N4-实时电价!N4</f>
        <v>129.926</v>
      </c>
      <c r="O4" s="7">
        <f>日前电价!O4-实时电价!O4</f>
        <v>65.2505</v>
      </c>
      <c r="P4" s="7">
        <f>日前电价!P4-实时电价!P4</f>
        <v>35.9251</v>
      </c>
      <c r="Q4" s="7">
        <f>日前电价!Q4-实时电价!Q4</f>
        <v>7.47540000000004</v>
      </c>
      <c r="R4" s="7">
        <f>日前电价!R4-实时电价!R4</f>
        <v>-150.0345</v>
      </c>
      <c r="S4" s="7">
        <f>日前电价!S4-实时电价!S4</f>
        <v>-185.581</v>
      </c>
      <c r="T4" s="7">
        <f>日前电价!T4-实时电价!T4</f>
        <v>-92.4979</v>
      </c>
      <c r="U4" s="7">
        <f>日前电价!U4-实时电价!U4</f>
        <v>-190.2271</v>
      </c>
      <c r="V4" s="7">
        <f>日前电价!V4-实时电价!V4</f>
        <v>-170.3715</v>
      </c>
      <c r="W4" s="7">
        <f>日前电价!W4-实时电价!W4</f>
        <v>-197.3754</v>
      </c>
      <c r="X4" s="7">
        <f>日前电价!X4-实时电价!X4</f>
        <v>-61.5700000000001</v>
      </c>
      <c r="Y4" s="7">
        <f>日前电价!Y4-实时电价!Y4</f>
        <v>-2.63409999999999</v>
      </c>
      <c r="Z4" s="9">
        <f t="shared" si="0"/>
        <v>129.926</v>
      </c>
      <c r="AA4" s="9">
        <f t="shared" si="1"/>
        <v>-449.3579</v>
      </c>
      <c r="AB4" s="9">
        <f t="shared" si="2"/>
        <v>-91.564875</v>
      </c>
    </row>
    <row r="5" spans="1:28">
      <c r="A5" s="8">
        <v>45295</v>
      </c>
      <c r="B5" s="7">
        <f>日前电价!B5-实时电价!B5</f>
        <v>-46.8119</v>
      </c>
      <c r="C5" s="7">
        <f>日前电价!C5-实时电价!C5</f>
        <v>-27.9846</v>
      </c>
      <c r="D5" s="7">
        <f>日前电价!D5-实时电价!D5</f>
        <v>-6.24170000000004</v>
      </c>
      <c r="E5" s="7">
        <f>日前电价!E5-实时电价!E5</f>
        <v>8.41410000000002</v>
      </c>
      <c r="F5" s="7">
        <f>日前电价!F5-实时电价!F5</f>
        <v>17.7794</v>
      </c>
      <c r="G5" s="7">
        <f>日前电价!G5-实时电价!G5</f>
        <v>-3.96809999999999</v>
      </c>
      <c r="H5" s="7">
        <f>日前电价!H5-实时电价!H5</f>
        <v>-10.3264</v>
      </c>
      <c r="I5" s="7">
        <f>日前电价!I5-实时电价!I5</f>
        <v>-37.4692</v>
      </c>
      <c r="J5" s="7">
        <f>日前电价!J5-实时电价!J5</f>
        <v>-379.8117</v>
      </c>
      <c r="K5" s="7">
        <f>日前电价!K5-实时电价!K5</f>
        <v>-517.1607</v>
      </c>
      <c r="L5" s="7">
        <f>日前电价!L5-实时电价!L5</f>
        <v>-138.813</v>
      </c>
      <c r="M5" s="7">
        <f>日前电价!M5-实时电价!M5</f>
        <v>83.3726</v>
      </c>
      <c r="N5" s="7">
        <f>日前电价!N5-实时电价!N5</f>
        <v>225.6061</v>
      </c>
      <c r="O5" s="7">
        <f>日前电价!O5-实时电价!O5</f>
        <v>65.0071</v>
      </c>
      <c r="P5" s="7">
        <f>日前电价!P5-实时电价!P5</f>
        <v>4.84549999999996</v>
      </c>
      <c r="Q5" s="7">
        <f>日前电价!Q5-实时电价!Q5</f>
        <v>-25.4101</v>
      </c>
      <c r="R5" s="7">
        <f>日前电价!R5-实时电价!R5</f>
        <v>-220.4515</v>
      </c>
      <c r="S5" s="7">
        <f>日前电价!S5-实时电价!S5</f>
        <v>-156.1767</v>
      </c>
      <c r="T5" s="7">
        <f>日前电价!T5-实时电价!T5</f>
        <v>-246.2051</v>
      </c>
      <c r="U5" s="7">
        <f>日前电价!U5-实时电价!U5</f>
        <v>-383.3206</v>
      </c>
      <c r="V5" s="7">
        <f>日前电价!V5-实时电价!V5</f>
        <v>-374.0369</v>
      </c>
      <c r="W5" s="7">
        <f>日前电价!W5-实时电价!W5</f>
        <v>-206.5775</v>
      </c>
      <c r="X5" s="7">
        <f>日前电价!X5-实时电价!X5</f>
        <v>-26.9948</v>
      </c>
      <c r="Y5" s="7">
        <f>日前电价!Y5-实时电价!Y5</f>
        <v>-6.7473</v>
      </c>
      <c r="Z5" s="9">
        <f t="shared" si="0"/>
        <v>225.6061</v>
      </c>
      <c r="AA5" s="9">
        <f t="shared" si="1"/>
        <v>-517.1607</v>
      </c>
      <c r="AB5" s="9">
        <f t="shared" si="2"/>
        <v>-100.395125</v>
      </c>
    </row>
    <row r="6" spans="1:28">
      <c r="A6" s="8">
        <v>45296</v>
      </c>
      <c r="B6" s="7">
        <f>日前电价!B6-实时电价!B6</f>
        <v>-21.7923</v>
      </c>
      <c r="C6" s="7">
        <f>日前电价!C6-实时电价!C6</f>
        <v>-19.7506</v>
      </c>
      <c r="D6" s="7">
        <f>日前电价!D6-实时电价!D6</f>
        <v>-4.5591</v>
      </c>
      <c r="E6" s="7">
        <f>日前电价!E6-实时电价!E6</f>
        <v>-2.57810000000001</v>
      </c>
      <c r="F6" s="7">
        <f>日前电价!F6-实时电价!F6</f>
        <v>4.59120000000001</v>
      </c>
      <c r="G6" s="7">
        <f>日前电价!G6-实时电价!G6</f>
        <v>12.4725</v>
      </c>
      <c r="H6" s="7">
        <f>日前电价!H6-实时电价!H6</f>
        <v>17.9952</v>
      </c>
      <c r="I6" s="7">
        <f>日前电价!I6-实时电价!I6</f>
        <v>11.8792</v>
      </c>
      <c r="J6" s="7">
        <f>日前电价!J6-实时电价!J6</f>
        <v>-35.2413</v>
      </c>
      <c r="K6" s="7">
        <f>日前电价!K6-实时电价!K6</f>
        <v>-65.4689999999999</v>
      </c>
      <c r="L6" s="7">
        <f>日前电价!L6-实时电价!L6</f>
        <v>42.2742</v>
      </c>
      <c r="M6" s="7">
        <f>日前电价!M6-实时电价!M6</f>
        <v>85.4614999999999</v>
      </c>
      <c r="N6" s="7">
        <f>日前电价!N6-实时电价!N6</f>
        <v>314.353</v>
      </c>
      <c r="O6" s="7">
        <f>日前电价!O6-实时电价!O6</f>
        <v>258.3255</v>
      </c>
      <c r="P6" s="7">
        <f>日前电价!P6-实时电价!P6</f>
        <v>122.8581</v>
      </c>
      <c r="Q6" s="7">
        <f>日前电价!Q6-实时电价!Q6</f>
        <v>11.37</v>
      </c>
      <c r="R6" s="7">
        <f>日前电价!R6-实时电价!R6</f>
        <v>-48.0407</v>
      </c>
      <c r="S6" s="7">
        <f>日前电价!S6-实时电价!S6</f>
        <v>-42.7791</v>
      </c>
      <c r="T6" s="7">
        <f>日前电价!T6-实时电价!T6</f>
        <v>22.9162</v>
      </c>
      <c r="U6" s="7">
        <f>日前电价!U6-实时电价!U6</f>
        <v>-47.8864000000001</v>
      </c>
      <c r="V6" s="7">
        <f>日前电价!V6-实时电价!V6</f>
        <v>-102.4533</v>
      </c>
      <c r="W6" s="7">
        <f>日前电价!W6-实时电价!W6</f>
        <v>-13.1817</v>
      </c>
      <c r="X6" s="7">
        <f>日前电价!X6-实时电价!X6</f>
        <v>-47.4250999999999</v>
      </c>
      <c r="Y6" s="7">
        <f>日前电价!Y6-实时电价!Y6</f>
        <v>-37.5819</v>
      </c>
      <c r="Z6" s="9">
        <f t="shared" si="0"/>
        <v>314.353</v>
      </c>
      <c r="AA6" s="9">
        <f t="shared" si="1"/>
        <v>-102.4533</v>
      </c>
      <c r="AB6" s="9">
        <f t="shared" si="2"/>
        <v>17.32325</v>
      </c>
    </row>
    <row r="7" spans="1:28">
      <c r="A7" s="8">
        <v>45297</v>
      </c>
      <c r="B7" s="7">
        <f>日前电价!B7-实时电价!B7</f>
        <v>-50.5186</v>
      </c>
      <c r="C7" s="7">
        <f>日前电价!C7-实时电价!C7</f>
        <v>-23.5534</v>
      </c>
      <c r="D7" s="7">
        <f>日前电价!D7-实时电价!D7</f>
        <v>-12.7238</v>
      </c>
      <c r="E7" s="7">
        <f>日前电价!E7-实时电价!E7</f>
        <v>-4.06029999999998</v>
      </c>
      <c r="F7" s="7">
        <f>日前电价!F7-实时电价!F7</f>
        <v>-2.30279999999999</v>
      </c>
      <c r="G7" s="7">
        <f>日前电价!G7-实时电价!G7</f>
        <v>0.274900000000002</v>
      </c>
      <c r="H7" s="7">
        <f>日前电价!H7-实时电价!H7</f>
        <v>0.932999999999993</v>
      </c>
      <c r="I7" s="7">
        <f>日前电价!I7-实时电价!I7</f>
        <v>-8.37090000000001</v>
      </c>
      <c r="J7" s="7">
        <f>日前电价!J7-实时电价!J7</f>
        <v>-79.6421999999999</v>
      </c>
      <c r="K7" s="7">
        <f>日前电价!K7-实时电价!K7</f>
        <v>-57.3372000000001</v>
      </c>
      <c r="L7" s="7">
        <f>日前电价!L7-实时电价!L7</f>
        <v>14.813</v>
      </c>
      <c r="M7" s="7">
        <f>日前电价!M7-实时电价!M7</f>
        <v>47.8842</v>
      </c>
      <c r="N7" s="7">
        <f>日前电价!N7-实时电价!N7</f>
        <v>140.1277</v>
      </c>
      <c r="O7" s="7">
        <f>日前电价!O7-实时电价!O7</f>
        <v>59.3766</v>
      </c>
      <c r="P7" s="7">
        <f>日前电价!P7-实时电价!P7</f>
        <v>35.8244</v>
      </c>
      <c r="Q7" s="7">
        <f>日前电价!Q7-实时电价!Q7</f>
        <v>43.1478</v>
      </c>
      <c r="R7" s="7">
        <f>日前电价!R7-实时电价!R7</f>
        <v>3.00350000000003</v>
      </c>
      <c r="S7" s="7">
        <f>日前电价!S7-实时电价!S7</f>
        <v>2.37379999999996</v>
      </c>
      <c r="T7" s="7">
        <f>日前电价!T7-实时电价!T7</f>
        <v>6.11939999999998</v>
      </c>
      <c r="U7" s="7">
        <f>日前电价!U7-实时电价!U7</f>
        <v>7.46569999999997</v>
      </c>
      <c r="V7" s="7">
        <f>日前电价!V7-实时电价!V7</f>
        <v>0.175099999999986</v>
      </c>
      <c r="W7" s="7">
        <f>日前电价!W7-实时电价!W7</f>
        <v>3.4889</v>
      </c>
      <c r="X7" s="7">
        <f>日前电价!X7-实时电价!X7</f>
        <v>-12.2882</v>
      </c>
      <c r="Y7" s="7">
        <f>日前电价!Y7-实时电价!Y7</f>
        <v>-13.5109</v>
      </c>
      <c r="Z7" s="9">
        <f t="shared" si="0"/>
        <v>140.1277</v>
      </c>
      <c r="AA7" s="9">
        <f t="shared" si="1"/>
        <v>-79.6421999999999</v>
      </c>
      <c r="AB7" s="9">
        <f t="shared" si="2"/>
        <v>4.19582083333333</v>
      </c>
    </row>
    <row r="8" spans="1:28">
      <c r="A8" s="8">
        <v>45298</v>
      </c>
      <c r="B8" s="7">
        <f>日前电价!B8-实时电价!B8</f>
        <v>-32.6706</v>
      </c>
      <c r="C8" s="7">
        <f>日前电价!C8-实时电价!C8</f>
        <v>-5.99689999999998</v>
      </c>
      <c r="D8" s="7">
        <f>日前电价!D8-实时电价!D8</f>
        <v>3.13409999999999</v>
      </c>
      <c r="E8" s="7">
        <f>日前电价!E8-实时电价!E8</f>
        <v>12.4116</v>
      </c>
      <c r="F8" s="7">
        <f>日前电价!F8-实时电价!F8</f>
        <v>8.28579999999999</v>
      </c>
      <c r="G8" s="7">
        <f>日前电价!G8-实时电价!G8</f>
        <v>0.969800000000021</v>
      </c>
      <c r="H8" s="7">
        <f>日前电价!H8-实时电价!H8</f>
        <v>1.97539999999998</v>
      </c>
      <c r="I8" s="7">
        <f>日前电价!I8-实时电价!I8</f>
        <v>-20.2867</v>
      </c>
      <c r="J8" s="7">
        <f>日前电价!J8-实时电价!J8</f>
        <v>-24.3895</v>
      </c>
      <c r="K8" s="7">
        <f>日前电价!K8-实时电价!K8</f>
        <v>1.69929999999999</v>
      </c>
      <c r="L8" s="7">
        <f>日前电价!L8-实时电价!L8</f>
        <v>27.3685</v>
      </c>
      <c r="M8" s="7">
        <f>日前电价!M8-实时电价!M8</f>
        <v>88.0273</v>
      </c>
      <c r="N8" s="7">
        <f>日前电价!N8-实时电价!N8</f>
        <v>156.1594</v>
      </c>
      <c r="O8" s="7">
        <f>日前电价!O8-实时电价!O8</f>
        <v>83.3771</v>
      </c>
      <c r="P8" s="7">
        <f>日前电价!P8-实时电价!P8</f>
        <v>47.9714</v>
      </c>
      <c r="Q8" s="7">
        <f>日前电价!Q8-实时电价!Q8</f>
        <v>63.5619</v>
      </c>
      <c r="R8" s="7">
        <f>日前电价!R8-实时电价!R8</f>
        <v>4.59460000000001</v>
      </c>
      <c r="S8" s="7">
        <f>日前电价!S8-实时电价!S8</f>
        <v>14.6629</v>
      </c>
      <c r="T8" s="7">
        <f>日前电价!T8-实时电价!T8</f>
        <v>-0.959099999999978</v>
      </c>
      <c r="U8" s="7">
        <f>日前电价!U8-实时电价!U8</f>
        <v>10.7275</v>
      </c>
      <c r="V8" s="7">
        <f>日前电价!V8-实时电价!V8</f>
        <v>-16.42</v>
      </c>
      <c r="W8" s="7">
        <f>日前电价!W8-实时电价!W8</f>
        <v>-22.4664</v>
      </c>
      <c r="X8" s="7">
        <f>日前电价!X8-实时电价!X8</f>
        <v>-17.2245</v>
      </c>
      <c r="Y8" s="7">
        <f>日前电价!Y8-实时电价!Y8</f>
        <v>-8.73519999999996</v>
      </c>
      <c r="Z8" s="9">
        <f t="shared" si="0"/>
        <v>156.1594</v>
      </c>
      <c r="AA8" s="9">
        <f t="shared" si="1"/>
        <v>-32.6706</v>
      </c>
      <c r="AB8" s="9">
        <f t="shared" si="2"/>
        <v>15.6574041666667</v>
      </c>
    </row>
    <row r="9" spans="1:28">
      <c r="A9" s="8">
        <v>45299</v>
      </c>
      <c r="B9" s="7">
        <f>日前电价!B9-实时电价!B9</f>
        <v>-6.47610000000003</v>
      </c>
      <c r="C9" s="7">
        <f>日前电价!C9-实时电价!C9</f>
        <v>2.92689999999999</v>
      </c>
      <c r="D9" s="7">
        <f>日前电价!D9-实时电价!D9</f>
        <v>11.9384</v>
      </c>
      <c r="E9" s="7">
        <f>日前电价!E9-实时电价!E9</f>
        <v>92.564</v>
      </c>
      <c r="F9" s="7">
        <f>日前电价!F9-实时电价!F9</f>
        <v>63.3085</v>
      </c>
      <c r="G9" s="7">
        <f>日前电价!G9-实时电价!G9</f>
        <v>8.2278</v>
      </c>
      <c r="H9" s="7">
        <f>日前电价!H9-实时电价!H9</f>
        <v>-12.8877</v>
      </c>
      <c r="I9" s="7">
        <f>日前电价!I9-实时电价!I9</f>
        <v>-17.1548</v>
      </c>
      <c r="J9" s="7">
        <f>日前电价!J9-实时电价!J9</f>
        <v>-12.832</v>
      </c>
      <c r="K9" s="7">
        <f>日前电价!K9-实时电价!K9</f>
        <v>3.70229999999998</v>
      </c>
      <c r="L9" s="7">
        <f>日前电价!L9-实时电价!L9</f>
        <v>41.9873</v>
      </c>
      <c r="M9" s="7">
        <f>日前电价!M9-实时电价!M9</f>
        <v>31.4486</v>
      </c>
      <c r="N9" s="7">
        <f>日前电价!N9-实时电价!N9</f>
        <v>124.2336</v>
      </c>
      <c r="O9" s="7">
        <f>日前电价!O9-实时电价!O9</f>
        <v>15.3801</v>
      </c>
      <c r="P9" s="7">
        <f>日前电价!P9-实时电价!P9</f>
        <v>9.6078</v>
      </c>
      <c r="Q9" s="7">
        <f>日前电价!Q9-实时电价!Q9</f>
        <v>-0.0754000000000019</v>
      </c>
      <c r="R9" s="7">
        <f>日前电价!R9-实时电价!R9</f>
        <v>-33.1472</v>
      </c>
      <c r="S9" s="7">
        <f>日前电价!S9-实时电价!S9</f>
        <v>-20.6725</v>
      </c>
      <c r="T9" s="7">
        <f>日前电价!T9-实时电价!T9</f>
        <v>-9.99399999999997</v>
      </c>
      <c r="U9" s="7">
        <f>日前电价!U9-实时电价!U9</f>
        <v>-17.2092</v>
      </c>
      <c r="V9" s="7">
        <f>日前电价!V9-实时电价!V9</f>
        <v>-26.856</v>
      </c>
      <c r="W9" s="7">
        <f>日前电价!W9-实时电价!W9</f>
        <v>-23.8455</v>
      </c>
      <c r="X9" s="7">
        <f>日前电价!X9-实时电价!X9</f>
        <v>-12.5638</v>
      </c>
      <c r="Y9" s="7">
        <f>日前电价!Y9-实时电价!Y9</f>
        <v>-24.5885</v>
      </c>
      <c r="Z9" s="9">
        <f t="shared" si="0"/>
        <v>124.2336</v>
      </c>
      <c r="AA9" s="9">
        <f t="shared" si="1"/>
        <v>-33.1472</v>
      </c>
      <c r="AB9" s="9">
        <f t="shared" si="2"/>
        <v>7.79260833333334</v>
      </c>
    </row>
    <row r="10" spans="1:28">
      <c r="A10" s="8">
        <v>45300</v>
      </c>
      <c r="B10" s="7">
        <f>日前电价!B10-实时电价!B10</f>
        <v>-35.8746</v>
      </c>
      <c r="C10" s="7">
        <f>日前电价!C10-实时电价!C10</f>
        <v>-18.5558</v>
      </c>
      <c r="D10" s="7">
        <f>日前电价!D10-实时电价!D10</f>
        <v>-4.68689999999998</v>
      </c>
      <c r="E10" s="7">
        <f>日前电价!E10-实时电价!E10</f>
        <v>-0.974700000000041</v>
      </c>
      <c r="F10" s="7">
        <f>日前电价!F10-实时电价!F10</f>
        <v>-5.20609999999999</v>
      </c>
      <c r="G10" s="7">
        <f>日前电价!G10-实时电价!G10</f>
        <v>-2.87970000000001</v>
      </c>
      <c r="H10" s="7">
        <f>日前电价!H10-实时电价!H10</f>
        <v>5.15269999999998</v>
      </c>
      <c r="I10" s="7">
        <f>日前电价!I10-实时电价!I10</f>
        <v>-7.27530000000002</v>
      </c>
      <c r="J10" s="7">
        <f>日前电价!J10-实时电价!J10</f>
        <v>-360.5677</v>
      </c>
      <c r="K10" s="7">
        <f>日前电价!K10-实时电价!K10</f>
        <v>-304.5817</v>
      </c>
      <c r="L10" s="7">
        <f>日前电价!L10-实时电价!L10</f>
        <v>-145.2452</v>
      </c>
      <c r="M10" s="7">
        <f>日前电价!M10-实时电价!M10</f>
        <v>-22.924</v>
      </c>
      <c r="N10" s="7">
        <f>日前电价!N10-实时电价!N10</f>
        <v>31.7573</v>
      </c>
      <c r="O10" s="7">
        <f>日前电价!O10-实时电价!O10</f>
        <v>-7.1798</v>
      </c>
      <c r="P10" s="7">
        <f>日前电价!P10-实时电价!P10</f>
        <v>-89.8822</v>
      </c>
      <c r="Q10" s="7">
        <f>日前电价!Q10-实时电价!Q10</f>
        <v>-300.6528</v>
      </c>
      <c r="R10" s="7">
        <f>日前电价!R10-实时电价!R10</f>
        <v>-338.3297</v>
      </c>
      <c r="S10" s="7">
        <f>日前电价!S10-实时电价!S10</f>
        <v>-176.8212</v>
      </c>
      <c r="T10" s="7">
        <f>日前电价!T10-实时电价!T10</f>
        <v>-248.4145</v>
      </c>
      <c r="U10" s="7">
        <f>日前电价!U10-实时电价!U10</f>
        <v>-316.583</v>
      </c>
      <c r="V10" s="7">
        <f>日前电价!V10-实时电价!V10</f>
        <v>-356.397</v>
      </c>
      <c r="W10" s="7">
        <f>日前电价!W10-实时电价!W10</f>
        <v>-340.1729</v>
      </c>
      <c r="X10" s="7">
        <f>日前电价!X10-实时电价!X10</f>
        <v>-107.7385</v>
      </c>
      <c r="Y10" s="7">
        <f>日前电价!Y10-实时电价!Y10</f>
        <v>-23.197</v>
      </c>
      <c r="Z10" s="9">
        <f t="shared" si="0"/>
        <v>31.7573</v>
      </c>
      <c r="AA10" s="9">
        <f t="shared" si="1"/>
        <v>-360.5677</v>
      </c>
      <c r="AB10" s="9">
        <f t="shared" si="2"/>
        <v>-132.384595833333</v>
      </c>
    </row>
    <row r="11" spans="1:28">
      <c r="A11" s="8">
        <v>45301</v>
      </c>
      <c r="B11" s="7">
        <f>日前电价!B11-实时电价!B11</f>
        <v>-24.7287</v>
      </c>
      <c r="C11" s="7">
        <f>日前电价!C11-实时电价!C11</f>
        <v>-1.55220000000003</v>
      </c>
      <c r="D11" s="7">
        <f>日前电价!D11-实时电价!D11</f>
        <v>3.65379999999999</v>
      </c>
      <c r="E11" s="7">
        <f>日前电价!E11-实时电价!E11</f>
        <v>13.8271</v>
      </c>
      <c r="F11" s="7">
        <f>日前电价!F11-实时电价!F11</f>
        <v>9.4092</v>
      </c>
      <c r="G11" s="7">
        <f>日前电价!G11-实时电价!G11</f>
        <v>10.0046</v>
      </c>
      <c r="H11" s="7">
        <f>日前电价!H11-实时电价!H11</f>
        <v>11.3572</v>
      </c>
      <c r="I11" s="7">
        <f>日前电价!I11-实时电价!I11</f>
        <v>-9.64690000000002</v>
      </c>
      <c r="J11" s="7">
        <f>日前电价!J11-实时电价!J11</f>
        <v>-52.3684000000001</v>
      </c>
      <c r="K11" s="7">
        <f>日前电价!K11-实时电价!K11</f>
        <v>13.2306</v>
      </c>
      <c r="L11" s="7">
        <f>日前电价!L11-实时电价!L11</f>
        <v>22.9902</v>
      </c>
      <c r="M11" s="7">
        <f>日前电价!M11-实时电价!M11</f>
        <v>68.7343</v>
      </c>
      <c r="N11" s="7">
        <f>日前电价!N11-实时电价!N11</f>
        <v>151.2405</v>
      </c>
      <c r="O11" s="7">
        <f>日前电价!O11-实时电价!O11</f>
        <v>33.3025</v>
      </c>
      <c r="P11" s="7">
        <f>日前电价!P11-实时电价!P11</f>
        <v>34.4487999999999</v>
      </c>
      <c r="Q11" s="7">
        <f>日前电价!Q11-实时电价!Q11</f>
        <v>29.1707</v>
      </c>
      <c r="R11" s="7">
        <f>日前电价!R11-实时电价!R11</f>
        <v>3.8175</v>
      </c>
      <c r="S11" s="7">
        <f>日前电价!S11-实时电价!S11</f>
        <v>-3.99740000000003</v>
      </c>
      <c r="T11" s="7">
        <f>日前电价!T11-实时电价!T11</f>
        <v>-44.9687</v>
      </c>
      <c r="U11" s="7">
        <f>日前电价!U11-实时电价!U11</f>
        <v>-20.5608</v>
      </c>
      <c r="V11" s="7">
        <f>日前电价!V11-实时电价!V11</f>
        <v>-10.5999</v>
      </c>
      <c r="W11" s="7">
        <f>日前电价!W11-实时电价!W11</f>
        <v>-4.92539999999997</v>
      </c>
      <c r="X11" s="7">
        <f>日前电价!X11-实时电价!X11</f>
        <v>1.25629999999995</v>
      </c>
      <c r="Y11" s="7">
        <f>日前电价!Y11-实时电价!Y11</f>
        <v>-16.3788</v>
      </c>
      <c r="Z11" s="9">
        <f t="shared" si="0"/>
        <v>151.2405</v>
      </c>
      <c r="AA11" s="9">
        <f t="shared" si="1"/>
        <v>-52.3684000000001</v>
      </c>
      <c r="AB11" s="9">
        <f t="shared" si="2"/>
        <v>9.02983749999999</v>
      </c>
    </row>
    <row r="12" spans="1:28">
      <c r="A12" s="8">
        <v>45302</v>
      </c>
      <c r="B12" s="7">
        <f>日前电价!B12-实时电价!B12</f>
        <v>-16.8421</v>
      </c>
      <c r="C12" s="7">
        <f>日前电价!C12-实时电价!C12</f>
        <v>-27.8652</v>
      </c>
      <c r="D12" s="7">
        <f>日前电价!D12-实时电价!D12</f>
        <v>-7.80680000000001</v>
      </c>
      <c r="E12" s="7">
        <f>日前电价!E12-实时电价!E12</f>
        <v>5.52620000000002</v>
      </c>
      <c r="F12" s="7">
        <f>日前电价!F12-实时电价!F12</f>
        <v>50.3539</v>
      </c>
      <c r="G12" s="7">
        <f>日前电价!G12-实时电价!G12</f>
        <v>18.1447</v>
      </c>
      <c r="H12" s="7">
        <f>日前电价!H12-实时电价!H12</f>
        <v>13.2596</v>
      </c>
      <c r="I12" s="7">
        <f>日前电价!I12-实时电价!I12</f>
        <v>-1.20490000000001</v>
      </c>
      <c r="J12" s="7">
        <f>日前电价!J12-实时电价!J12</f>
        <v>-22.8126</v>
      </c>
      <c r="K12" s="7">
        <f>日前电价!K12-实时电价!K12</f>
        <v>-100.074</v>
      </c>
      <c r="L12" s="7">
        <f>日前电价!L12-实时电价!L12</f>
        <v>-28.1912</v>
      </c>
      <c r="M12" s="7">
        <f>日前电价!M12-实时电价!M12</f>
        <v>18.9524</v>
      </c>
      <c r="N12" s="7">
        <f>日前电价!N12-实时电价!N12</f>
        <v>103.4458</v>
      </c>
      <c r="O12" s="7">
        <f>日前电价!O12-实时电价!O12</f>
        <v>63.7141</v>
      </c>
      <c r="P12" s="7">
        <f>日前电价!P12-实时电价!P12</f>
        <v>32.0626</v>
      </c>
      <c r="Q12" s="7">
        <f>日前电价!Q12-实时电价!Q12</f>
        <v>19.4059</v>
      </c>
      <c r="R12" s="7">
        <f>日前电价!R12-实时电价!R12</f>
        <v>-20.9861</v>
      </c>
      <c r="S12" s="7">
        <f>日前电价!S12-实时电价!S12</f>
        <v>-29.6094</v>
      </c>
      <c r="T12" s="7">
        <f>日前电价!T12-实时电价!T12</f>
        <v>-175.9203</v>
      </c>
      <c r="U12" s="7">
        <f>日前电价!U12-实时电价!U12</f>
        <v>-312.8945</v>
      </c>
      <c r="V12" s="7">
        <f>日前电价!V12-实时电价!V12</f>
        <v>-256.9216</v>
      </c>
      <c r="W12" s="7">
        <f>日前电价!W12-实时电价!W12</f>
        <v>-322.4535</v>
      </c>
      <c r="X12" s="7">
        <f>日前电价!X12-实时电价!X12</f>
        <v>-59.4035</v>
      </c>
      <c r="Y12" s="7">
        <f>日前电价!Y12-实时电价!Y12</f>
        <v>-25.8884</v>
      </c>
      <c r="Z12" s="9">
        <f t="shared" si="0"/>
        <v>103.4458</v>
      </c>
      <c r="AA12" s="9">
        <f t="shared" si="1"/>
        <v>-322.4535</v>
      </c>
      <c r="AB12" s="9">
        <f t="shared" si="2"/>
        <v>-45.1670375</v>
      </c>
    </row>
    <row r="13" spans="1:28">
      <c r="A13" s="8">
        <v>45303</v>
      </c>
      <c r="B13" s="7">
        <f>日前电价!B13-实时电价!B13</f>
        <v>-20.3547</v>
      </c>
      <c r="C13" s="7">
        <f>日前电价!C13-实时电价!C13</f>
        <v>22.4482</v>
      </c>
      <c r="D13" s="7">
        <f>日前电价!D13-实时电价!D13</f>
        <v>44.8076</v>
      </c>
      <c r="E13" s="7">
        <f>日前电价!E13-实时电价!E13</f>
        <v>6.01859999999999</v>
      </c>
      <c r="F13" s="7">
        <f>日前电价!F13-实时电价!F13</f>
        <v>-11.3361</v>
      </c>
      <c r="G13" s="7">
        <f>日前电价!G13-实时电价!G13</f>
        <v>-6.7337</v>
      </c>
      <c r="H13" s="7">
        <f>日前电价!H13-实时电价!H13</f>
        <v>-21.1548</v>
      </c>
      <c r="I13" s="7">
        <f>日前电价!I13-实时电价!I13</f>
        <v>-62.0631999999999</v>
      </c>
      <c r="J13" s="7">
        <f>日前电价!J13-实时电价!J13</f>
        <v>-130.0169</v>
      </c>
      <c r="K13" s="7">
        <f>日前电价!K13-实时电价!K13</f>
        <v>-48.3261</v>
      </c>
      <c r="L13" s="7">
        <f>日前电价!L13-实时电价!L13</f>
        <v>110.9154</v>
      </c>
      <c r="M13" s="7">
        <f>日前电价!M13-实时电价!M13</f>
        <v>77.8069</v>
      </c>
      <c r="N13" s="7">
        <f>日前电价!N13-实时电价!N13</f>
        <v>28.0441</v>
      </c>
      <c r="O13" s="7">
        <f>日前电价!O13-实时电价!O13</f>
        <v>32.1665</v>
      </c>
      <c r="P13" s="7">
        <f>日前电价!P13-实时电价!P13</f>
        <v>11.5248</v>
      </c>
      <c r="Q13" s="7">
        <f>日前电价!Q13-实时电价!Q13</f>
        <v>67.5394</v>
      </c>
      <c r="R13" s="7">
        <f>日前电价!R13-实时电价!R13</f>
        <v>87.6131</v>
      </c>
      <c r="S13" s="7">
        <f>日前电价!S13-实时电价!S13</f>
        <v>19.7314000000001</v>
      </c>
      <c r="T13" s="7">
        <f>日前电价!T13-实时电价!T13</f>
        <v>63.9502</v>
      </c>
      <c r="U13" s="7">
        <f>日前电价!U13-实时电价!U13</f>
        <v>-68.1253</v>
      </c>
      <c r="V13" s="7">
        <f>日前电价!V13-实时电价!V13</f>
        <v>-30.7338</v>
      </c>
      <c r="W13" s="7">
        <f>日前电价!W13-实时电价!W13</f>
        <v>-32.0569</v>
      </c>
      <c r="X13" s="7">
        <f>日前电价!X13-实时电价!X13</f>
        <v>-17.2132</v>
      </c>
      <c r="Y13" s="7">
        <f>日前电价!Y13-实时电价!Y13</f>
        <v>-27.3977</v>
      </c>
      <c r="Z13" s="9">
        <f t="shared" si="0"/>
        <v>110.9154</v>
      </c>
      <c r="AA13" s="9">
        <f t="shared" si="1"/>
        <v>-130.0169</v>
      </c>
      <c r="AB13" s="9">
        <f t="shared" si="2"/>
        <v>4.04390833333333</v>
      </c>
    </row>
    <row r="14" spans="1:28">
      <c r="A14" s="8">
        <v>45304</v>
      </c>
      <c r="B14" s="7">
        <f>日前电价!B14-实时电价!B14</f>
        <v>-70.8566</v>
      </c>
      <c r="C14" s="7">
        <f>日前电价!C14-实时电价!C14</f>
        <v>-24.028</v>
      </c>
      <c r="D14" s="7">
        <f>日前电价!D14-实时电价!D14</f>
        <v>-15.5258</v>
      </c>
      <c r="E14" s="7">
        <f>日前电价!E14-实时电价!E14</f>
        <v>-6.18110000000001</v>
      </c>
      <c r="F14" s="7">
        <f>日前电价!F14-实时电价!F14</f>
        <v>0.864100000000008</v>
      </c>
      <c r="G14" s="7">
        <f>日前电价!G14-实时电价!G14</f>
        <v>13.1575</v>
      </c>
      <c r="H14" s="7">
        <f>日前电价!H14-实时电价!H14</f>
        <v>5.90159999999997</v>
      </c>
      <c r="I14" s="7">
        <f>日前电价!I14-实时电价!I14</f>
        <v>16.877</v>
      </c>
      <c r="J14" s="7">
        <f>日前电价!J14-实时电价!J14</f>
        <v>66.4761</v>
      </c>
      <c r="K14" s="7">
        <f>日前电价!K14-实时电价!K14</f>
        <v>142.985</v>
      </c>
      <c r="L14" s="7">
        <f>日前电价!L14-实时电价!L14</f>
        <v>128.6575</v>
      </c>
      <c r="M14" s="7">
        <f>日前电价!M14-实时电价!M14</f>
        <v>59.8334</v>
      </c>
      <c r="N14" s="7">
        <f>日前电价!N14-实时电价!N14</f>
        <v>137.0242</v>
      </c>
      <c r="O14" s="7">
        <f>日前电价!O14-实时电价!O14</f>
        <v>20.0819</v>
      </c>
      <c r="P14" s="7">
        <f>日前电价!P14-实时电价!P14</f>
        <v>17.8955</v>
      </c>
      <c r="Q14" s="7">
        <f>日前电价!Q14-实时电价!Q14</f>
        <v>29.8539</v>
      </c>
      <c r="R14" s="7">
        <f>日前电价!R14-实时电价!R14</f>
        <v>39.3968</v>
      </c>
      <c r="S14" s="7">
        <f>日前电价!S14-实时电价!S14</f>
        <v>43.3808</v>
      </c>
      <c r="T14" s="7">
        <f>日前电价!T14-实时电价!T14</f>
        <v>59.3303</v>
      </c>
      <c r="U14" s="7">
        <f>日前电价!U14-实时电价!U14</f>
        <v>19.3034</v>
      </c>
      <c r="V14" s="7">
        <f>日前电价!V14-实时电价!V14</f>
        <v>3.19670000000002</v>
      </c>
      <c r="W14" s="7">
        <f>日前电价!W14-实时电价!W14</f>
        <v>-3.31310000000002</v>
      </c>
      <c r="X14" s="7">
        <f>日前电价!X14-实时电价!X14</f>
        <v>1.69439999999997</v>
      </c>
      <c r="Y14" s="7">
        <f>日前电价!Y14-实时电价!Y14</f>
        <v>-10.7034</v>
      </c>
      <c r="Z14" s="9">
        <f t="shared" si="0"/>
        <v>142.985</v>
      </c>
      <c r="AA14" s="9">
        <f t="shared" si="1"/>
        <v>-70.8566</v>
      </c>
      <c r="AB14" s="9">
        <f t="shared" si="2"/>
        <v>28.1375875</v>
      </c>
    </row>
    <row r="15" spans="1:28">
      <c r="A15" s="8">
        <v>45305</v>
      </c>
      <c r="B15" s="7">
        <f>日前电价!B15-实时电价!B15</f>
        <v>-3.47460000000001</v>
      </c>
      <c r="C15" s="7">
        <f>日前电价!C15-实时电价!C15</f>
        <v>-12.6472</v>
      </c>
      <c r="D15" s="7">
        <f>日前电价!D15-实时电价!D15</f>
        <v>-10.8641</v>
      </c>
      <c r="E15" s="7">
        <f>日前电价!E15-实时电价!E15</f>
        <v>2.28960000000001</v>
      </c>
      <c r="F15" s="7">
        <f>日前电价!F15-实时电价!F15</f>
        <v>22.1187</v>
      </c>
      <c r="G15" s="7">
        <f>日前电价!G15-实时电价!G15</f>
        <v>14.1089</v>
      </c>
      <c r="H15" s="7">
        <f>日前电价!H15-实时电价!H15</f>
        <v>12.2716</v>
      </c>
      <c r="I15" s="7">
        <f>日前电价!I15-实时电价!I15</f>
        <v>-8.4194</v>
      </c>
      <c r="J15" s="7">
        <f>日前电价!J15-实时电价!J15</f>
        <v>-5.21790000000004</v>
      </c>
      <c r="K15" s="7">
        <f>日前电价!K15-实时电价!K15</f>
        <v>0.305800000000033</v>
      </c>
      <c r="L15" s="7">
        <f>日前电价!L15-实时电价!L15</f>
        <v>37.7978</v>
      </c>
      <c r="M15" s="7">
        <f>日前电价!M15-实时电价!M15</f>
        <v>62.9837</v>
      </c>
      <c r="N15" s="7">
        <f>日前电价!N15-实时电价!N15</f>
        <v>218.738</v>
      </c>
      <c r="O15" s="7">
        <f>日前电价!O15-实时电价!O15</f>
        <v>48.0842</v>
      </c>
      <c r="P15" s="7">
        <f>日前电价!P15-实时电价!P15</f>
        <v>27.7293</v>
      </c>
      <c r="Q15" s="7">
        <f>日前电价!Q15-实时电价!Q15</f>
        <v>28.5956</v>
      </c>
      <c r="R15" s="7">
        <f>日前电价!R15-实时电价!R15</f>
        <v>48.138</v>
      </c>
      <c r="S15" s="7">
        <f>日前电价!S15-实时电价!S15</f>
        <v>42.8205</v>
      </c>
      <c r="T15" s="7">
        <f>日前电价!T15-实时电价!T15</f>
        <v>23.8038</v>
      </c>
      <c r="U15" s="7">
        <f>日前电价!U15-实时电价!U15</f>
        <v>4.07740000000001</v>
      </c>
      <c r="V15" s="7">
        <f>日前电价!V15-实时电价!V15</f>
        <v>10.248</v>
      </c>
      <c r="W15" s="7">
        <f>日前电价!W15-实时电价!W15</f>
        <v>-16.4088</v>
      </c>
      <c r="X15" s="7">
        <f>日前电价!X15-实时电价!X15</f>
        <v>-12.2969000000001</v>
      </c>
      <c r="Y15" s="7">
        <f>日前电价!Y15-实时电价!Y15</f>
        <v>2.10849999999999</v>
      </c>
      <c r="Z15" s="9">
        <f t="shared" si="0"/>
        <v>218.738</v>
      </c>
      <c r="AA15" s="9">
        <f t="shared" si="1"/>
        <v>-16.4088</v>
      </c>
      <c r="AB15" s="9">
        <f t="shared" si="2"/>
        <v>22.3704375</v>
      </c>
    </row>
    <row r="16" spans="1:28">
      <c r="A16" s="8">
        <v>45306</v>
      </c>
      <c r="B16" s="7">
        <f>日前电价!B16-实时电价!B16</f>
        <v>-36.275</v>
      </c>
      <c r="C16" s="7">
        <f>日前电价!C16-实时电价!C16</f>
        <v>-14.6242</v>
      </c>
      <c r="D16" s="7">
        <f>日前电价!D16-实时电价!D16</f>
        <v>-4.64390000000003</v>
      </c>
      <c r="E16" s="7">
        <f>日前电价!E16-实时电价!E16</f>
        <v>-8.92829999999998</v>
      </c>
      <c r="F16" s="7">
        <f>日前电价!F16-实时电价!F16</f>
        <v>-9.00259999999997</v>
      </c>
      <c r="G16" s="7">
        <f>日前电价!G16-实时电价!G16</f>
        <v>-14.7066</v>
      </c>
      <c r="H16" s="7">
        <f>日前电价!H16-实时电价!H16</f>
        <v>-10.5591</v>
      </c>
      <c r="I16" s="7">
        <f>日前电价!I16-实时电价!I16</f>
        <v>-12.0289</v>
      </c>
      <c r="J16" s="7">
        <f>日前电价!J16-实时电价!J16</f>
        <v>-217.3629</v>
      </c>
      <c r="K16" s="7">
        <f>日前电价!K16-实时电价!K16</f>
        <v>1.84289999999999</v>
      </c>
      <c r="L16" s="7">
        <f>日前电价!L16-实时电价!L16</f>
        <v>102.3382</v>
      </c>
      <c r="M16" s="7">
        <f>日前电价!M16-实时电价!M16</f>
        <v>64.3621</v>
      </c>
      <c r="N16" s="7">
        <f>日前电价!N16-实时电价!N16</f>
        <v>149.1489</v>
      </c>
      <c r="O16" s="7">
        <f>日前电价!O16-实时电价!O16</f>
        <v>16.1293</v>
      </c>
      <c r="P16" s="7">
        <f>日前电价!P16-实时电价!P16</f>
        <v>19.6608</v>
      </c>
      <c r="Q16" s="7">
        <f>日前电价!Q16-实时电价!Q16</f>
        <v>19.2661</v>
      </c>
      <c r="R16" s="7">
        <f>日前电价!R16-实时电价!R16</f>
        <v>-149.1023</v>
      </c>
      <c r="S16" s="7">
        <f>日前电价!S16-实时电价!S16</f>
        <v>-172.41</v>
      </c>
      <c r="T16" s="7">
        <f>日前电价!T16-实时电价!T16</f>
        <v>-176.4721</v>
      </c>
      <c r="U16" s="7">
        <f>日前电价!U16-实时电价!U16</f>
        <v>-320.7381</v>
      </c>
      <c r="V16" s="7">
        <f>日前电价!V16-实时电价!V16</f>
        <v>-188.8401</v>
      </c>
      <c r="W16" s="7">
        <f>日前电价!W16-实时电价!W16</f>
        <v>-37.3283</v>
      </c>
      <c r="X16" s="7">
        <f>日前电价!X16-实时电价!X16</f>
        <v>-30.2853</v>
      </c>
      <c r="Y16" s="7">
        <f>日前电价!Y16-实时电价!Y16</f>
        <v>-20.7939</v>
      </c>
      <c r="Z16" s="9">
        <f t="shared" si="0"/>
        <v>149.1489</v>
      </c>
      <c r="AA16" s="9">
        <f t="shared" si="1"/>
        <v>-320.7381</v>
      </c>
      <c r="AB16" s="9">
        <f t="shared" si="2"/>
        <v>-43.8063875</v>
      </c>
    </row>
    <row r="17" spans="1:28">
      <c r="A17" s="8">
        <v>45307</v>
      </c>
      <c r="B17" s="7">
        <f>日前电价!B17-实时电价!B17</f>
        <v>-29.6318</v>
      </c>
      <c r="C17" s="7">
        <f>日前电价!C17-实时电价!C17</f>
        <v>1.64279999999997</v>
      </c>
      <c r="D17" s="7">
        <f>日前电价!D17-实时电价!D17</f>
        <v>22.109</v>
      </c>
      <c r="E17" s="7">
        <f>日前电价!E17-实时电价!E17</f>
        <v>28.7762</v>
      </c>
      <c r="F17" s="7">
        <f>日前电价!F17-实时电价!F17</f>
        <v>32.3625</v>
      </c>
      <c r="G17" s="7">
        <f>日前电价!G17-实时电价!G17</f>
        <v>21.5724</v>
      </c>
      <c r="H17" s="7">
        <f>日前电价!H17-实时电价!H17</f>
        <v>23.772</v>
      </c>
      <c r="I17" s="7">
        <f>日前电价!I17-实时电价!I17</f>
        <v>17.6491</v>
      </c>
      <c r="J17" s="7">
        <f>日前电价!J17-实时电价!J17</f>
        <v>15.146</v>
      </c>
      <c r="K17" s="7">
        <f>日前电价!K17-实时电价!K17</f>
        <v>42.4895</v>
      </c>
      <c r="L17" s="7">
        <f>日前电价!L17-实时电价!L17</f>
        <v>55.0142</v>
      </c>
      <c r="M17" s="7">
        <f>日前电价!M17-实时电价!M17</f>
        <v>62.4561</v>
      </c>
      <c r="N17" s="7">
        <f>日前电价!N17-实时电价!N17</f>
        <v>210.5537</v>
      </c>
      <c r="O17" s="7">
        <f>日前电价!O17-实时电价!O17</f>
        <v>69.1331</v>
      </c>
      <c r="P17" s="7">
        <f>日前电价!P17-实时电价!P17</f>
        <v>35.6053</v>
      </c>
      <c r="Q17" s="7">
        <f>日前电价!Q17-实时电价!Q17</f>
        <v>42.7073</v>
      </c>
      <c r="R17" s="7">
        <f>日前电价!R17-实时电价!R17</f>
        <v>-3.52780000000001</v>
      </c>
      <c r="S17" s="7">
        <f>日前电价!S17-实时电价!S17</f>
        <v>-6.38310000000001</v>
      </c>
      <c r="T17" s="7">
        <f>日前电价!T17-实时电价!T17</f>
        <v>-29.6588</v>
      </c>
      <c r="U17" s="7">
        <f>日前电价!U17-实时电价!U17</f>
        <v>-107.5654</v>
      </c>
      <c r="V17" s="7">
        <f>日前电价!V17-实时电价!V17</f>
        <v>-11.5679</v>
      </c>
      <c r="W17" s="7">
        <f>日前电价!W17-实时电价!W17</f>
        <v>-2.2765</v>
      </c>
      <c r="X17" s="7">
        <f>日前电价!X17-实时电价!X17</f>
        <v>-3.90600000000001</v>
      </c>
      <c r="Y17" s="7">
        <f>日前电价!Y17-实时电价!Y17</f>
        <v>-15.5602</v>
      </c>
      <c r="Z17" s="9">
        <f t="shared" si="0"/>
        <v>210.5537</v>
      </c>
      <c r="AA17" s="9">
        <f t="shared" si="1"/>
        <v>-107.5654</v>
      </c>
      <c r="AB17" s="9">
        <f t="shared" si="2"/>
        <v>19.6213208333333</v>
      </c>
    </row>
    <row r="18" spans="1:28">
      <c r="A18" s="8">
        <v>45308</v>
      </c>
      <c r="B18" s="7">
        <f>日前电价!B18-实时电价!B18</f>
        <v>-17.6815</v>
      </c>
      <c r="C18" s="7">
        <f>日前电价!C18-实时电价!C18</f>
        <v>-4.42220000000003</v>
      </c>
      <c r="D18" s="7">
        <f>日前电价!D18-实时电价!D18</f>
        <v>7.63499999999999</v>
      </c>
      <c r="E18" s="7">
        <f>日前电价!E18-实时电价!E18</f>
        <v>14.9721</v>
      </c>
      <c r="F18" s="7">
        <f>日前电价!F18-实时电价!F18</f>
        <v>8.21960000000001</v>
      </c>
      <c r="G18" s="7">
        <f>日前电价!G18-实时电价!G18</f>
        <v>13.6286</v>
      </c>
      <c r="H18" s="7">
        <f>日前电价!H18-实时电价!H18</f>
        <v>11.2802</v>
      </c>
      <c r="I18" s="7">
        <f>日前电价!I18-实时电价!I18</f>
        <v>0.675799999999981</v>
      </c>
      <c r="J18" s="7">
        <f>日前电价!J18-实时电价!J18</f>
        <v>-8.89329999999995</v>
      </c>
      <c r="K18" s="7">
        <f>日前电价!K18-实时电价!K18</f>
        <v>-11.6799</v>
      </c>
      <c r="L18" s="7">
        <f>日前电价!L18-实时电价!L18</f>
        <v>34.5292</v>
      </c>
      <c r="M18" s="7">
        <f>日前电价!M18-实时电价!M18</f>
        <v>37.9219</v>
      </c>
      <c r="N18" s="7">
        <f>日前电价!N18-实时电价!N18</f>
        <v>74.1908</v>
      </c>
      <c r="O18" s="7">
        <f>日前电价!O18-实时电价!O18</f>
        <v>14.1254</v>
      </c>
      <c r="P18" s="7">
        <f>日前电价!P18-实时电价!P18</f>
        <v>-0.13330000000002</v>
      </c>
      <c r="Q18" s="7">
        <f>日前电价!Q18-实时电价!Q18</f>
        <v>-10.2028</v>
      </c>
      <c r="R18" s="7">
        <f>日前电价!R18-实时电价!R18</f>
        <v>-18.4183</v>
      </c>
      <c r="S18" s="7">
        <f>日前电价!S18-实时电价!S18</f>
        <v>-23.5042</v>
      </c>
      <c r="T18" s="7">
        <f>日前电价!T18-实时电价!T18</f>
        <v>-116.6195</v>
      </c>
      <c r="U18" s="7">
        <f>日前电价!U18-实时电价!U18</f>
        <v>-88.4905000000001</v>
      </c>
      <c r="V18" s="7">
        <f>日前电价!V18-实时电价!V18</f>
        <v>-18.4829</v>
      </c>
      <c r="W18" s="7">
        <f>日前电价!W18-实时电价!W18</f>
        <v>-24.0497</v>
      </c>
      <c r="X18" s="7">
        <f>日前电价!X18-实时电价!X18</f>
        <v>-23.5593</v>
      </c>
      <c r="Y18" s="7">
        <f>日前电价!Y18-实时电价!Y18</f>
        <v>-19.106</v>
      </c>
      <c r="Z18" s="9">
        <f t="shared" si="0"/>
        <v>74.1908</v>
      </c>
      <c r="AA18" s="9">
        <f t="shared" si="1"/>
        <v>-116.6195</v>
      </c>
      <c r="AB18" s="9">
        <f t="shared" si="2"/>
        <v>-7.0027</v>
      </c>
    </row>
    <row r="19" spans="1:28">
      <c r="A19" s="8">
        <v>45309</v>
      </c>
      <c r="B19" s="7">
        <f>日前电价!B19-实时电价!B19</f>
        <v>-31.1853</v>
      </c>
      <c r="C19" s="7">
        <f>日前电价!C19-实时电价!C19</f>
        <v>-15.4488</v>
      </c>
      <c r="D19" s="7">
        <f>日前电价!D19-实时电价!D19</f>
        <v>-5.41949999999997</v>
      </c>
      <c r="E19" s="7">
        <f>日前电价!E19-实时电价!E19</f>
        <v>18.8924</v>
      </c>
      <c r="F19" s="7">
        <f>日前电价!F19-实时电价!F19</f>
        <v>3.09870000000001</v>
      </c>
      <c r="G19" s="7">
        <f>日前电价!G19-实时电价!G19</f>
        <v>51.1463</v>
      </c>
      <c r="H19" s="7">
        <f>日前电价!H19-实时电价!H19</f>
        <v>7.95249999999999</v>
      </c>
      <c r="I19" s="7">
        <f>日前电价!I19-实时电价!I19</f>
        <v>-0.31450000000001</v>
      </c>
      <c r="J19" s="7">
        <f>日前电价!J19-实时电价!J19</f>
        <v>-170.4987</v>
      </c>
      <c r="K19" s="7">
        <f>日前电价!K19-实时电价!K19</f>
        <v>-132.9714</v>
      </c>
      <c r="L19" s="7">
        <f>日前电价!L19-实时电价!L19</f>
        <v>22.8379</v>
      </c>
      <c r="M19" s="7">
        <f>日前电价!M19-实时电价!M19</f>
        <v>24.1008</v>
      </c>
      <c r="N19" s="7">
        <f>日前电价!N19-实时电价!N19</f>
        <v>191.2845</v>
      </c>
      <c r="O19" s="7">
        <f>日前电价!O19-实时电价!O19</f>
        <v>80.703</v>
      </c>
      <c r="P19" s="7">
        <f>日前电价!P19-实时电价!P19</f>
        <v>10.6074</v>
      </c>
      <c r="Q19" s="7">
        <f>日前电价!Q19-实时电价!Q19</f>
        <v>12.0243</v>
      </c>
      <c r="R19" s="7">
        <f>日前电价!R19-实时电价!R19</f>
        <v>-73.0802</v>
      </c>
      <c r="S19" s="7">
        <f>日前电价!S19-实时电价!S19</f>
        <v>-23.9016</v>
      </c>
      <c r="T19" s="7">
        <f>日前电价!T19-实时电价!T19</f>
        <v>-7.51960000000003</v>
      </c>
      <c r="U19" s="7">
        <f>日前电价!U19-实时电价!U19</f>
        <v>-80.6819</v>
      </c>
      <c r="V19" s="7">
        <f>日前电价!V19-实时电价!V19</f>
        <v>-17.3278</v>
      </c>
      <c r="W19" s="7">
        <f>日前电价!W19-实时电价!W19</f>
        <v>-15.2878</v>
      </c>
      <c r="X19" s="7">
        <f>日前电价!X19-实时电价!X19</f>
        <v>-23.4873</v>
      </c>
      <c r="Y19" s="7">
        <f>日前电价!Y19-实时电价!Y19</f>
        <v>-17.0342</v>
      </c>
      <c r="Z19" s="9">
        <f t="shared" si="0"/>
        <v>191.2845</v>
      </c>
      <c r="AA19" s="9">
        <f t="shared" si="1"/>
        <v>-170.4987</v>
      </c>
      <c r="AB19" s="9">
        <f t="shared" si="2"/>
        <v>-7.97961666666666</v>
      </c>
    </row>
    <row r="20" spans="1:28">
      <c r="A20" s="8">
        <v>45310</v>
      </c>
      <c r="B20" s="7">
        <f>日前电价!B20-实时电价!B20</f>
        <v>-40.6144</v>
      </c>
      <c r="C20" s="7">
        <f>日前电价!C20-实时电价!C20</f>
        <v>-15.7177</v>
      </c>
      <c r="D20" s="7">
        <f>日前电价!D20-实时电价!D20</f>
        <v>-10.3954</v>
      </c>
      <c r="E20" s="7">
        <f>日前电价!E20-实时电价!E20</f>
        <v>-5.58250000000004</v>
      </c>
      <c r="F20" s="7">
        <f>日前电价!F20-实时电价!F20</f>
        <v>-7.7921</v>
      </c>
      <c r="G20" s="7">
        <f>日前电价!G20-实时电价!G20</f>
        <v>-0.166099999999972</v>
      </c>
      <c r="H20" s="7">
        <f>日前电价!H20-实时电价!H20</f>
        <v>5.2636</v>
      </c>
      <c r="I20" s="7">
        <f>日前电价!I20-实时电价!I20</f>
        <v>-4.63619999999997</v>
      </c>
      <c r="J20" s="7">
        <f>日前电价!J20-实时电价!J20</f>
        <v>-2.48400000000004</v>
      </c>
      <c r="K20" s="7">
        <f>日前电价!K20-实时电价!K20</f>
        <v>-117.6761</v>
      </c>
      <c r="L20" s="7">
        <f>日前电价!L20-实时电价!L20</f>
        <v>77.3273</v>
      </c>
      <c r="M20" s="7">
        <f>日前电价!M20-实时电价!M20</f>
        <v>39.8077</v>
      </c>
      <c r="N20" s="7">
        <f>日前电价!N20-实时电价!N20</f>
        <v>116.5599</v>
      </c>
      <c r="O20" s="7">
        <f>日前电价!O20-实时电价!O20</f>
        <v>36.2898</v>
      </c>
      <c r="P20" s="7">
        <f>日前电价!P20-实时电价!P20</f>
        <v>34.8289</v>
      </c>
      <c r="Q20" s="7">
        <f>日前电价!Q20-实时电价!Q20</f>
        <v>39.398</v>
      </c>
      <c r="R20" s="7">
        <f>日前电价!R20-实时电价!R20</f>
        <v>25.0917</v>
      </c>
      <c r="S20" s="7">
        <f>日前电价!S20-实时电价!S20</f>
        <v>-23.5356</v>
      </c>
      <c r="T20" s="7">
        <f>日前电价!T20-实时电价!T20</f>
        <v>3.85139999999996</v>
      </c>
      <c r="U20" s="7">
        <f>日前电价!U20-实时电价!U20</f>
        <v>1.8845</v>
      </c>
      <c r="V20" s="7">
        <f>日前电价!V20-实时电价!V20</f>
        <v>-3.1746</v>
      </c>
      <c r="W20" s="7">
        <f>日前电价!W20-实时电价!W20</f>
        <v>-14.9198</v>
      </c>
      <c r="X20" s="7">
        <f>日前电价!X20-实时电价!X20</f>
        <v>-14.7522</v>
      </c>
      <c r="Y20" s="7">
        <f>日前电价!Y20-实时电价!Y20</f>
        <v>-25.3443</v>
      </c>
      <c r="Z20" s="9">
        <f t="shared" si="0"/>
        <v>116.5599</v>
      </c>
      <c r="AA20" s="9">
        <f t="shared" si="1"/>
        <v>-117.6761</v>
      </c>
      <c r="AB20" s="9">
        <f t="shared" si="2"/>
        <v>3.896325</v>
      </c>
    </row>
    <row r="21" spans="1:28">
      <c r="A21" s="8">
        <v>45311</v>
      </c>
      <c r="B21" s="7">
        <f>日前电价!B21-实时电价!B21</f>
        <v>-13.8479</v>
      </c>
      <c r="C21" s="7">
        <f>日前电价!C21-实时电价!C21</f>
        <v>-1.20120000000003</v>
      </c>
      <c r="D21" s="7">
        <f>日前电价!D21-实时电价!D21</f>
        <v>12.0377</v>
      </c>
      <c r="E21" s="7">
        <f>日前电价!E21-实时电价!E21</f>
        <v>13.7597</v>
      </c>
      <c r="F21" s="7">
        <f>日前电价!F21-实时电价!F21</f>
        <v>12.1031</v>
      </c>
      <c r="G21" s="7">
        <f>日前电价!G21-实时电价!G21</f>
        <v>-5.37169999999998</v>
      </c>
      <c r="H21" s="7">
        <f>日前电价!H21-实时电价!H21</f>
        <v>0.629099999999994</v>
      </c>
      <c r="I21" s="7">
        <f>日前电价!I21-实时电价!I21</f>
        <v>-19.8247</v>
      </c>
      <c r="J21" s="7">
        <f>日前电价!J21-实时电价!J21</f>
        <v>-45.8007</v>
      </c>
      <c r="K21" s="7">
        <f>日前电价!K21-实时电价!K21</f>
        <v>-102.1443</v>
      </c>
      <c r="L21" s="7">
        <f>日前电价!L21-实时电价!L21</f>
        <v>-22.717</v>
      </c>
      <c r="M21" s="7">
        <f>日前电价!M21-实时电价!M21</f>
        <v>-13.8172</v>
      </c>
      <c r="N21" s="7">
        <f>日前电价!N21-实时电价!N21</f>
        <v>2.04930000000002</v>
      </c>
      <c r="O21" s="7">
        <f>日前电价!O21-实时电价!O21</f>
        <v>1.33750000000003</v>
      </c>
      <c r="P21" s="7">
        <f>日前电价!P21-实时电价!P21</f>
        <v>7.90289999999999</v>
      </c>
      <c r="Q21" s="7">
        <f>日前电价!Q21-实时电价!Q21</f>
        <v>19.5332</v>
      </c>
      <c r="R21" s="7">
        <f>日前电价!R21-实时电价!R21</f>
        <v>-87.8379</v>
      </c>
      <c r="S21" s="7">
        <f>日前电价!S21-实时电价!S21</f>
        <v>-87.6575</v>
      </c>
      <c r="T21" s="7">
        <f>日前电价!T21-实时电价!T21</f>
        <v>14.0995</v>
      </c>
      <c r="U21" s="7">
        <f>日前电价!U21-实时电价!U21</f>
        <v>-11.8559</v>
      </c>
      <c r="V21" s="7">
        <f>日前电价!V21-实时电价!V21</f>
        <v>2.07080000000002</v>
      </c>
      <c r="W21" s="7">
        <f>日前电价!W21-实时电价!W21</f>
        <v>12.7271</v>
      </c>
      <c r="X21" s="7">
        <f>日前电价!X21-实时电价!X21</f>
        <v>15.4695</v>
      </c>
      <c r="Y21" s="7">
        <f>日前电价!Y21-实时电价!Y21</f>
        <v>-8.78220000000005</v>
      </c>
      <c r="Z21" s="9">
        <f t="shared" si="0"/>
        <v>19.5332</v>
      </c>
      <c r="AA21" s="9">
        <f t="shared" si="1"/>
        <v>-102.1443</v>
      </c>
      <c r="AB21" s="9">
        <f t="shared" si="2"/>
        <v>-12.79745</v>
      </c>
    </row>
    <row r="22" spans="1:28">
      <c r="A22" s="8">
        <v>45312</v>
      </c>
      <c r="B22" s="7">
        <f>日前电价!B22-实时电价!B22</f>
        <v>-11.876</v>
      </c>
      <c r="C22" s="7">
        <f>日前电价!C22-实时电价!C22</f>
        <v>4.09570000000002</v>
      </c>
      <c r="D22" s="7">
        <f>日前电价!D22-实时电价!D22</f>
        <v>15.6883</v>
      </c>
      <c r="E22" s="7">
        <f>日前电价!E22-实时电价!E22</f>
        <v>34.0257</v>
      </c>
      <c r="F22" s="7">
        <f>日前电价!F22-实时电价!F22</f>
        <v>82.5149</v>
      </c>
      <c r="G22" s="7">
        <f>日前电价!G22-实时电价!G22</f>
        <v>32.3085</v>
      </c>
      <c r="H22" s="7">
        <f>日前电价!H22-实时电价!H22</f>
        <v>18.7225</v>
      </c>
      <c r="I22" s="7">
        <f>日前电价!I22-实时电价!I22</f>
        <v>13.7518</v>
      </c>
      <c r="J22" s="7">
        <f>日前电价!J22-实时电价!J22</f>
        <v>-124.2407</v>
      </c>
      <c r="K22" s="7">
        <f>日前电价!K22-实时电价!K22</f>
        <v>5.93799999999999</v>
      </c>
      <c r="L22" s="7">
        <f>日前电价!L22-实时电价!L22</f>
        <v>15.4985</v>
      </c>
      <c r="M22" s="7">
        <f>日前电价!M22-实时电价!M22</f>
        <v>51.1315</v>
      </c>
      <c r="N22" s="7">
        <f>日前电价!N22-实时电价!N22</f>
        <v>213.7706</v>
      </c>
      <c r="O22" s="7">
        <f>日前电价!O22-实时电价!O22</f>
        <v>142.0279</v>
      </c>
      <c r="P22" s="7">
        <f>日前电价!P22-实时电价!P22</f>
        <v>6.20190000000002</v>
      </c>
      <c r="Q22" s="7">
        <f>日前电价!Q22-实时电价!Q22</f>
        <v>21.7008</v>
      </c>
      <c r="R22" s="7">
        <f>日前电价!R22-实时电价!R22</f>
        <v>-5.56459999999998</v>
      </c>
      <c r="S22" s="7">
        <f>日前电价!S22-实时电价!S22</f>
        <v>9.51339999999999</v>
      </c>
      <c r="T22" s="7">
        <f>日前电价!T22-实时电价!T22</f>
        <v>6.77600000000001</v>
      </c>
      <c r="U22" s="7">
        <f>日前电价!U22-实时电价!U22</f>
        <v>-0.0480999999999767</v>
      </c>
      <c r="V22" s="7">
        <f>日前电价!V22-实时电价!V22</f>
        <v>9.67359999999996</v>
      </c>
      <c r="W22" s="7">
        <f>日前电价!W22-实时电价!W22</f>
        <v>1.69130000000001</v>
      </c>
      <c r="X22" s="7">
        <f>日前电价!X22-实时电价!X22</f>
        <v>-9.02570000000003</v>
      </c>
      <c r="Y22" s="7">
        <f>日前电价!Y22-实时电价!Y22</f>
        <v>-19.59</v>
      </c>
      <c r="Z22" s="9">
        <f t="shared" si="0"/>
        <v>213.7706</v>
      </c>
      <c r="AA22" s="9">
        <f t="shared" si="1"/>
        <v>-124.2407</v>
      </c>
      <c r="AB22" s="9">
        <f t="shared" si="2"/>
        <v>21.4452416666667</v>
      </c>
    </row>
    <row r="23" spans="1:28">
      <c r="A23" s="8">
        <v>45313</v>
      </c>
      <c r="B23" s="7">
        <f>日前电价!B23-实时电价!B23</f>
        <v>-32.6062</v>
      </c>
      <c r="C23" s="7">
        <f>日前电价!C23-实时电价!C23</f>
        <v>84.3347</v>
      </c>
      <c r="D23" s="7">
        <f>日前电价!D23-实时电价!D23</f>
        <v>42.7297</v>
      </c>
      <c r="E23" s="7">
        <f>日前电价!E23-实时电价!E23</f>
        <v>220.5515</v>
      </c>
      <c r="F23" s="7">
        <f>日前电价!F23-实时电价!F23</f>
        <v>139.5381</v>
      </c>
      <c r="G23" s="7">
        <f>日前电价!G23-实时电价!G23</f>
        <v>177.3695</v>
      </c>
      <c r="H23" s="7">
        <f>日前电价!H23-实时电价!H23</f>
        <v>185.0843</v>
      </c>
      <c r="I23" s="7">
        <f>日前电价!I23-实时电价!I23</f>
        <v>21.3043</v>
      </c>
      <c r="J23" s="7">
        <f>日前电价!J23-实时电价!J23</f>
        <v>2.98250000000002</v>
      </c>
      <c r="K23" s="7">
        <f>日前电价!K23-实时电价!K23</f>
        <v>22.5842</v>
      </c>
      <c r="L23" s="7">
        <f>日前电价!L23-实时电价!L23</f>
        <v>27.5907</v>
      </c>
      <c r="M23" s="7">
        <f>日前电价!M23-实时电价!M23</f>
        <v>47.7364</v>
      </c>
      <c r="N23" s="7">
        <f>日前电价!N23-实时电价!N23</f>
        <v>40.2508</v>
      </c>
      <c r="O23" s="7">
        <f>日前电价!O23-实时电价!O23</f>
        <v>0.385299999999972</v>
      </c>
      <c r="P23" s="7">
        <f>日前电价!P23-实时电价!P23</f>
        <v>15.4921</v>
      </c>
      <c r="Q23" s="7">
        <f>日前电价!Q23-实时电价!Q23</f>
        <v>24.3248</v>
      </c>
      <c r="R23" s="7">
        <f>日前电价!R23-实时电价!R23</f>
        <v>-101.0539</v>
      </c>
      <c r="S23" s="7">
        <f>日前电价!S23-实时电价!S23</f>
        <v>-109.1916</v>
      </c>
      <c r="T23" s="7">
        <f>日前电价!T23-实时电价!T23</f>
        <v>-4.24029999999999</v>
      </c>
      <c r="U23" s="7">
        <f>日前电价!U23-实时电价!U23</f>
        <v>22.3163</v>
      </c>
      <c r="V23" s="7">
        <f>日前电价!V23-实时电价!V23</f>
        <v>8.26190000000003</v>
      </c>
      <c r="W23" s="7">
        <f>日前电价!W23-实时电价!W23</f>
        <v>-26.3941</v>
      </c>
      <c r="X23" s="7">
        <f>日前电价!X23-实时电价!X23</f>
        <v>-39.1056</v>
      </c>
      <c r="Y23" s="7">
        <f>日前电价!Y23-实时电价!Y23</f>
        <v>-0.989100000000008</v>
      </c>
      <c r="Z23" s="9">
        <f t="shared" si="0"/>
        <v>220.5515</v>
      </c>
      <c r="AA23" s="9">
        <f t="shared" si="1"/>
        <v>-109.1916</v>
      </c>
      <c r="AB23" s="9">
        <f t="shared" si="2"/>
        <v>32.0523458333333</v>
      </c>
    </row>
    <row r="24" spans="1:28">
      <c r="A24" s="8">
        <v>45314</v>
      </c>
      <c r="B24" s="7">
        <f>日前电价!B24-实时电价!B24</f>
        <v>-23.5421</v>
      </c>
      <c r="C24" s="7">
        <f>日前电价!C24-实时电价!C24</f>
        <v>6.70299999999997</v>
      </c>
      <c r="D24" s="7">
        <f>日前电价!D24-实时电价!D24</f>
        <v>10.5474</v>
      </c>
      <c r="E24" s="7">
        <f>日前电价!E24-实时电价!E24</f>
        <v>61.2707</v>
      </c>
      <c r="F24" s="7">
        <f>日前电价!F24-实时电价!F24</f>
        <v>213.9018</v>
      </c>
      <c r="G24" s="7">
        <f>日前电价!G24-实时电价!G24</f>
        <v>150.6664</v>
      </c>
      <c r="H24" s="7">
        <f>日前电价!H24-实时电价!H24</f>
        <v>-3.71839999999997</v>
      </c>
      <c r="I24" s="7">
        <f>日前电价!I24-实时电价!I24</f>
        <v>-6.37010000000004</v>
      </c>
      <c r="J24" s="7">
        <f>日前电价!J24-实时电价!J24</f>
        <v>-285.1796</v>
      </c>
      <c r="K24" s="7">
        <f>日前电价!K24-实时电价!K24</f>
        <v>-227.2881</v>
      </c>
      <c r="L24" s="7">
        <f>日前电价!L24-实时电价!L24</f>
        <v>-278.3668</v>
      </c>
      <c r="M24" s="7">
        <f>日前电价!M24-实时电价!M24</f>
        <v>-50.292</v>
      </c>
      <c r="N24" s="7">
        <f>日前电价!N24-实时电价!N24</f>
        <v>-28.1344</v>
      </c>
      <c r="O24" s="7">
        <f>日前电价!O24-实时电价!O24</f>
        <v>-48.3832</v>
      </c>
      <c r="P24" s="7">
        <f>日前电价!P24-实时电价!P24</f>
        <v>2.29950000000002</v>
      </c>
      <c r="Q24" s="7">
        <f>日前电价!Q24-实时电价!Q24</f>
        <v>1.39149999999995</v>
      </c>
      <c r="R24" s="7">
        <f>日前电价!R24-实时电价!R24</f>
        <v>-108.1249</v>
      </c>
      <c r="S24" s="7">
        <f>日前电价!S24-实时电价!S24</f>
        <v>-185.6106</v>
      </c>
      <c r="T24" s="7">
        <f>日前电价!T24-实时电价!T24</f>
        <v>-223.6715</v>
      </c>
      <c r="U24" s="7">
        <f>日前电价!U24-实时电价!U24</f>
        <v>-292.3211</v>
      </c>
      <c r="V24" s="7">
        <f>日前电价!V24-实时电价!V24</f>
        <v>-286.6796</v>
      </c>
      <c r="W24" s="7">
        <f>日前电价!W24-实时电价!W24</f>
        <v>-288.8675</v>
      </c>
      <c r="X24" s="7">
        <f>日前电价!X24-实时电价!X24</f>
        <v>-295.5283</v>
      </c>
      <c r="Y24" s="7">
        <f>日前电价!Y24-实时电价!Y24</f>
        <v>-47.1291</v>
      </c>
      <c r="Z24" s="9">
        <f t="shared" si="0"/>
        <v>213.9018</v>
      </c>
      <c r="AA24" s="9">
        <f t="shared" si="1"/>
        <v>-295.5283</v>
      </c>
      <c r="AB24" s="9">
        <f t="shared" si="2"/>
        <v>-93.0177916666667</v>
      </c>
    </row>
    <row r="25" spans="1:28">
      <c r="A25" s="8">
        <v>45315</v>
      </c>
      <c r="B25" s="7">
        <f>日前电价!B25-实时电价!B25</f>
        <v>-45.0802</v>
      </c>
      <c r="C25" s="7">
        <f>日前电价!C25-实时电价!C25</f>
        <v>-9.42259999999999</v>
      </c>
      <c r="D25" s="7">
        <f>日前电价!D25-实时电价!D25</f>
        <v>21.6594</v>
      </c>
      <c r="E25" s="7">
        <f>日前电价!E25-实时电价!E25</f>
        <v>25.4563</v>
      </c>
      <c r="F25" s="7">
        <f>日前电价!F25-实时电价!F25</f>
        <v>17.1243</v>
      </c>
      <c r="G25" s="7">
        <f>日前电价!G25-实时电价!G25</f>
        <v>27.7276</v>
      </c>
      <c r="H25" s="7">
        <f>日前电价!H25-实时电价!H25</f>
        <v>28.5984</v>
      </c>
      <c r="I25" s="7">
        <f>日前电价!I25-实时电价!I25</f>
        <v>-10.3478</v>
      </c>
      <c r="J25" s="7">
        <f>日前电价!J25-实时电价!J25</f>
        <v>130.9365</v>
      </c>
      <c r="K25" s="7">
        <f>日前电价!K25-实时电价!K25</f>
        <v>-38.8561000000001</v>
      </c>
      <c r="L25" s="7">
        <f>日前电价!L25-实时电价!L25</f>
        <v>47.1538</v>
      </c>
      <c r="M25" s="7">
        <f>日前电价!M25-实时电价!M25</f>
        <v>188.2109</v>
      </c>
      <c r="N25" s="7">
        <f>日前电价!N25-实时电价!N25</f>
        <v>19.3192</v>
      </c>
      <c r="O25" s="7">
        <f>日前电价!O25-实时电价!O25</f>
        <v>-80.726</v>
      </c>
      <c r="P25" s="7">
        <f>日前电价!P25-实时电价!P25</f>
        <v>-39.2868</v>
      </c>
      <c r="Q25" s="7">
        <f>日前电价!Q25-实时电价!Q25</f>
        <v>40.0488</v>
      </c>
      <c r="R25" s="7">
        <f>日前电价!R25-实时电价!R25</f>
        <v>21.5351</v>
      </c>
      <c r="S25" s="7">
        <f>日前电价!S25-实时电价!S25</f>
        <v>16.292</v>
      </c>
      <c r="T25" s="7">
        <f>日前电价!T25-实时电价!T25</f>
        <v>-1.3999</v>
      </c>
      <c r="U25" s="7">
        <f>日前电价!U25-实时电价!U25</f>
        <v>-47.817</v>
      </c>
      <c r="V25" s="7">
        <f>日前电价!V25-实时电价!V25</f>
        <v>5.7808</v>
      </c>
      <c r="W25" s="7">
        <f>日前电价!W25-实时电价!W25</f>
        <v>-230.1029</v>
      </c>
      <c r="X25" s="7">
        <f>日前电价!X25-实时电价!X25</f>
        <v>-230.7741</v>
      </c>
      <c r="Y25" s="7">
        <f>日前电价!Y25-实时电价!Y25</f>
        <v>-34.9185</v>
      </c>
      <c r="Z25" s="9">
        <f t="shared" si="0"/>
        <v>188.2109</v>
      </c>
      <c r="AA25" s="9">
        <f t="shared" si="1"/>
        <v>-230.7741</v>
      </c>
      <c r="AB25" s="9">
        <f t="shared" si="2"/>
        <v>-7.45370000000001</v>
      </c>
    </row>
    <row r="26" spans="1:28">
      <c r="A26" s="8">
        <v>45316</v>
      </c>
      <c r="B26" s="7">
        <f>日前电价!B26-实时电价!B26</f>
        <v>-236.8566</v>
      </c>
      <c r="C26" s="7">
        <f>日前电价!C26-实时电价!C26</f>
        <v>-27.2014</v>
      </c>
      <c r="D26" s="7">
        <f>日前电价!D26-实时电价!D26</f>
        <v>8.60449999999997</v>
      </c>
      <c r="E26" s="7">
        <f>日前电价!E26-实时电价!E26</f>
        <v>-7.77170000000001</v>
      </c>
      <c r="F26" s="7">
        <f>日前电价!F26-实时电价!F26</f>
        <v>-1.01799999999997</v>
      </c>
      <c r="G26" s="7">
        <f>日前电价!G26-实时电价!G26</f>
        <v>10.332</v>
      </c>
      <c r="H26" s="7">
        <f>日前电价!H26-实时电价!H26</f>
        <v>13.2887</v>
      </c>
      <c r="I26" s="7">
        <f>日前电价!I26-实时电价!I26</f>
        <v>7.83030000000002</v>
      </c>
      <c r="J26" s="7">
        <f>日前电价!J26-实时电价!J26</f>
        <v>346.304</v>
      </c>
      <c r="K26" s="7">
        <f>日前电价!K26-实时电价!K26</f>
        <v>172.3694</v>
      </c>
      <c r="L26" s="7">
        <f>日前电价!L26-实时电价!L26</f>
        <v>56.523</v>
      </c>
      <c r="M26" s="7">
        <f>日前电价!M26-实时电价!M26</f>
        <v>91.3615</v>
      </c>
      <c r="N26" s="7">
        <f>日前电价!N26-实时电价!N26</f>
        <v>37.5466</v>
      </c>
      <c r="O26" s="7">
        <f>日前电价!O26-实时电价!O26</f>
        <v>80.8212</v>
      </c>
      <c r="P26" s="7">
        <f>日前电价!P26-实时电价!P26</f>
        <v>106.8319</v>
      </c>
      <c r="Q26" s="7">
        <f>日前电价!Q26-实时电价!Q26</f>
        <v>99.76</v>
      </c>
      <c r="R26" s="7">
        <f>日前电价!R26-实时电价!R26</f>
        <v>103.3925</v>
      </c>
      <c r="S26" s="7">
        <f>日前电价!S26-实时电价!S26</f>
        <v>95.3627</v>
      </c>
      <c r="T26" s="7">
        <f>日前电价!T26-实时电价!T26</f>
        <v>63.1636999999999</v>
      </c>
      <c r="U26" s="7">
        <f>日前电价!U26-实时电价!U26</f>
        <v>107.451</v>
      </c>
      <c r="V26" s="7">
        <f>日前电价!V26-实时电价!V26</f>
        <v>19.1391</v>
      </c>
      <c r="W26" s="7">
        <f>日前电价!W26-实时电价!W26</f>
        <v>-17.8994</v>
      </c>
      <c r="X26" s="7">
        <f>日前电价!X26-实时电价!X26</f>
        <v>-4.11520000000002</v>
      </c>
      <c r="Y26" s="7">
        <f>日前电价!Y26-实时电价!Y26</f>
        <v>-12.3006</v>
      </c>
      <c r="Z26" s="9">
        <f t="shared" si="0"/>
        <v>346.304</v>
      </c>
      <c r="AA26" s="9">
        <f t="shared" si="1"/>
        <v>-236.8566</v>
      </c>
      <c r="AB26" s="9">
        <f t="shared" si="2"/>
        <v>46.3716333333333</v>
      </c>
    </row>
    <row r="27" spans="1:28">
      <c r="A27" s="8">
        <v>45317</v>
      </c>
      <c r="B27" s="7">
        <f>日前电价!B27-实时电价!B27</f>
        <v>-13.2012</v>
      </c>
      <c r="C27" s="7">
        <f>日前电价!C27-实时电价!C27</f>
        <v>2.65369999999996</v>
      </c>
      <c r="D27" s="7">
        <f>日前电价!D27-实时电价!D27</f>
        <v>9.03550000000001</v>
      </c>
      <c r="E27" s="7">
        <f>日前电价!E27-实时电价!E27</f>
        <v>13.4224</v>
      </c>
      <c r="F27" s="7">
        <f>日前电价!F27-实时电价!F27</f>
        <v>33.2853</v>
      </c>
      <c r="G27" s="7">
        <f>日前电价!G27-实时电价!G27</f>
        <v>50.5441</v>
      </c>
      <c r="H27" s="7">
        <f>日前电价!H27-实时电价!H27</f>
        <v>27.8971</v>
      </c>
      <c r="I27" s="7">
        <f>日前电价!I27-实时电价!I27</f>
        <v>-1.238</v>
      </c>
      <c r="J27" s="7">
        <f>日前电价!J27-实时电价!J27</f>
        <v>16.1129</v>
      </c>
      <c r="K27" s="7">
        <f>日前电价!K27-实时电价!K27</f>
        <v>15.5908</v>
      </c>
      <c r="L27" s="7">
        <f>日前电价!L27-实时电价!L27</f>
        <v>10.7747</v>
      </c>
      <c r="M27" s="7">
        <f>日前电价!M27-实时电价!M27</f>
        <v>5.56439999999998</v>
      </c>
      <c r="N27" s="7">
        <f>日前电价!N27-实时电价!N27</f>
        <v>22.2749</v>
      </c>
      <c r="O27" s="7">
        <f>日前电价!O27-实时电价!O27</f>
        <v>14.8149</v>
      </c>
      <c r="P27" s="7">
        <f>日前电价!P27-实时电价!P27</f>
        <v>5.62349999999998</v>
      </c>
      <c r="Q27" s="7">
        <f>日前电价!Q27-实时电价!Q27</f>
        <v>0.342300000000023</v>
      </c>
      <c r="R27" s="7">
        <f>日前电价!R27-实时电价!R27</f>
        <v>-23.4747</v>
      </c>
      <c r="S27" s="7">
        <f>日前电价!S27-实时电价!S27</f>
        <v>-17.9487</v>
      </c>
      <c r="T27" s="7">
        <f>日前电价!T27-实时电价!T27</f>
        <v>8.82299999999998</v>
      </c>
      <c r="U27" s="7">
        <f>日前电价!U27-实时电价!U27</f>
        <v>69.9163</v>
      </c>
      <c r="V27" s="7">
        <f>日前电价!V27-实时电价!V27</f>
        <v>28.0132</v>
      </c>
      <c r="W27" s="7">
        <f>日前电价!W27-实时电价!W27</f>
        <v>7.58389999999997</v>
      </c>
      <c r="X27" s="7">
        <f>日前电价!X27-实时电价!X27</f>
        <v>7.37829999999997</v>
      </c>
      <c r="Y27" s="7">
        <f>日前电价!Y27-实时电价!Y27</f>
        <v>-10.6569</v>
      </c>
      <c r="Z27" s="9">
        <f t="shared" si="0"/>
        <v>69.9163</v>
      </c>
      <c r="AA27" s="9">
        <f t="shared" si="1"/>
        <v>-23.4747</v>
      </c>
      <c r="AB27" s="9">
        <f t="shared" si="2"/>
        <v>11.7971541666667</v>
      </c>
    </row>
    <row r="28" spans="1:28">
      <c r="A28" s="8">
        <v>45318</v>
      </c>
      <c r="B28" s="7">
        <f>日前电价!B28-实时电价!B28</f>
        <v>-155.3641</v>
      </c>
      <c r="C28" s="7">
        <f>日前电价!C28-实时电价!C28</f>
        <v>-2.44150000000002</v>
      </c>
      <c r="D28" s="7">
        <f>日前电价!D28-实时电价!D28</f>
        <v>-1.13569999999999</v>
      </c>
      <c r="E28" s="7">
        <f>日前电价!E28-实时电价!E28</f>
        <v>7.34350000000001</v>
      </c>
      <c r="F28" s="7">
        <f>日前电价!F28-实时电价!F28</f>
        <v>7.94329999999997</v>
      </c>
      <c r="G28" s="7">
        <f>日前电价!G28-实时电价!G28</f>
        <v>10.3259</v>
      </c>
      <c r="H28" s="7">
        <f>日前电价!H28-实时电价!H28</f>
        <v>7.58480000000003</v>
      </c>
      <c r="I28" s="7">
        <f>日前电价!I28-实时电价!I28</f>
        <v>-2.43689999999998</v>
      </c>
      <c r="J28" s="7">
        <f>日前电价!J28-实时电价!J28</f>
        <v>9.0675</v>
      </c>
      <c r="K28" s="7">
        <f>日前电价!K28-实时电价!K28</f>
        <v>69.9165</v>
      </c>
      <c r="L28" s="7">
        <f>日前电价!L28-实时电价!L28</f>
        <v>49.3833</v>
      </c>
      <c r="M28" s="7">
        <f>日前电价!M28-实时电价!M28</f>
        <v>12.4877</v>
      </c>
      <c r="N28" s="7">
        <f>日前电价!N28-实时电价!N28</f>
        <v>-26.6266</v>
      </c>
      <c r="O28" s="7">
        <f>日前电价!O28-实时电价!O28</f>
        <v>-101.0045</v>
      </c>
      <c r="P28" s="7">
        <f>日前电价!P28-实时电价!P28</f>
        <v>-357.3317</v>
      </c>
      <c r="Q28" s="7">
        <f>日前电价!Q28-实时电价!Q28</f>
        <v>-361.6628</v>
      </c>
      <c r="R28" s="7">
        <f>日前电价!R28-实时电价!R28</f>
        <v>-272.9093</v>
      </c>
      <c r="S28" s="7">
        <f>日前电价!S28-实时电价!S28</f>
        <v>-121.9385</v>
      </c>
      <c r="T28" s="7">
        <f>日前电价!T28-实时电价!T28</f>
        <v>-138.743</v>
      </c>
      <c r="U28" s="7">
        <f>日前电价!U28-实时电价!U28</f>
        <v>-171.6503</v>
      </c>
      <c r="V28" s="7">
        <f>日前电价!V28-实时电价!V28</f>
        <v>-367.7055</v>
      </c>
      <c r="W28" s="7">
        <f>日前电价!W28-实时电价!W28</f>
        <v>-183.6608</v>
      </c>
      <c r="X28" s="7">
        <f>日前电价!X28-实时电价!X28</f>
        <v>-157.2212</v>
      </c>
      <c r="Y28" s="7">
        <f>日前电价!Y28-实时电价!Y28</f>
        <v>-15.6366</v>
      </c>
      <c r="Z28" s="9">
        <f t="shared" si="0"/>
        <v>69.9165</v>
      </c>
      <c r="AA28" s="9">
        <f t="shared" si="1"/>
        <v>-367.7055</v>
      </c>
      <c r="AB28" s="9">
        <f t="shared" si="2"/>
        <v>-94.3090208333333</v>
      </c>
    </row>
    <row r="29" spans="1:28">
      <c r="A29" s="8">
        <v>45319</v>
      </c>
      <c r="B29" s="7">
        <f>日前电价!B29-实时电价!B29</f>
        <v>-113.6076</v>
      </c>
      <c r="C29" s="7">
        <f>日前电价!C29-实时电价!C29</f>
        <v>-13.7211</v>
      </c>
      <c r="D29" s="7">
        <f>日前电价!D29-实时电价!D29</f>
        <v>2.964</v>
      </c>
      <c r="E29" s="7">
        <f>日前电价!E29-实时电价!E29</f>
        <v>5.6148</v>
      </c>
      <c r="F29" s="7">
        <f>日前电价!F29-实时电价!F29</f>
        <v>13.5309</v>
      </c>
      <c r="G29" s="7">
        <f>日前电价!G29-实时电价!G29</f>
        <v>7.77870000000001</v>
      </c>
      <c r="H29" s="7">
        <f>日前电价!H29-实时电价!H29</f>
        <v>17.791</v>
      </c>
      <c r="I29" s="7">
        <f>日前电价!I29-实时电价!I29</f>
        <v>13.1227</v>
      </c>
      <c r="J29" s="7">
        <f>日前电价!J29-实时电价!J29</f>
        <v>-135.4016</v>
      </c>
      <c r="K29" s="7">
        <f>日前电价!K29-实时电价!K29</f>
        <v>-242.0743</v>
      </c>
      <c r="L29" s="7">
        <f>日前电价!L29-实时电价!L29</f>
        <v>-319.1835</v>
      </c>
      <c r="M29" s="7">
        <f>日前电价!M29-实时电价!M29</f>
        <v>-134.7333</v>
      </c>
      <c r="N29" s="7">
        <f>日前电价!N29-实时电价!N29</f>
        <v>-208.9532</v>
      </c>
      <c r="O29" s="7">
        <f>日前电价!O29-实时电价!O29</f>
        <v>-209.3656</v>
      </c>
      <c r="P29" s="7">
        <f>日前电价!P29-实时电价!P29</f>
        <v>-272.9425</v>
      </c>
      <c r="Q29" s="7">
        <f>日前电价!Q29-实时电价!Q29</f>
        <v>-484.8896</v>
      </c>
      <c r="R29" s="7">
        <f>日前电价!R29-实时电价!R29</f>
        <v>-250.0774</v>
      </c>
      <c r="S29" s="7">
        <f>日前电价!S29-实时电价!S29</f>
        <v>-292.7336</v>
      </c>
      <c r="T29" s="7">
        <f>日前电价!T29-实时电价!T29</f>
        <v>-90.6537</v>
      </c>
      <c r="U29" s="7">
        <f>日前电价!U29-实时电价!U29</f>
        <v>-339.3898</v>
      </c>
      <c r="V29" s="7">
        <f>日前电价!V29-实时电价!V29</f>
        <v>-435.9648</v>
      </c>
      <c r="W29" s="7">
        <f>日前电价!W29-实时电价!W29</f>
        <v>-380.9937</v>
      </c>
      <c r="X29" s="7">
        <f>日前电价!X29-实时电价!X29</f>
        <v>-325.6876</v>
      </c>
      <c r="Y29" s="7">
        <f>日前电价!Y29-实时电价!Y29</f>
        <v>-85.9252</v>
      </c>
      <c r="Z29" s="9">
        <f t="shared" si="0"/>
        <v>17.791</v>
      </c>
      <c r="AA29" s="9">
        <f t="shared" si="1"/>
        <v>-484.8896</v>
      </c>
      <c r="AB29" s="9">
        <f t="shared" si="2"/>
        <v>-178.145666666667</v>
      </c>
    </row>
    <row r="30" spans="1:28">
      <c r="A30" s="8">
        <v>45320</v>
      </c>
      <c r="B30" s="7">
        <f>日前电价!B30-实时电价!B30</f>
        <v>-333.6438</v>
      </c>
      <c r="C30" s="7">
        <f>日前电价!C30-实时电价!C30</f>
        <v>-48.7771</v>
      </c>
      <c r="D30" s="7">
        <f>日前电价!D30-实时电价!D30</f>
        <v>-5.35840000000002</v>
      </c>
      <c r="E30" s="7">
        <f>日前电价!E30-实时电价!E30</f>
        <v>-4.93299999999999</v>
      </c>
      <c r="F30" s="7">
        <f>日前电价!F30-实时电价!F30</f>
        <v>0.62639999999999</v>
      </c>
      <c r="G30" s="7">
        <f>日前电价!G30-实时电价!G30</f>
        <v>5.67489999999998</v>
      </c>
      <c r="H30" s="7">
        <f>日前电价!H30-实时电价!H30</f>
        <v>8.27539999999999</v>
      </c>
      <c r="I30" s="7">
        <f>日前电价!I30-实时电价!I30</f>
        <v>-2.49930000000001</v>
      </c>
      <c r="J30" s="7">
        <f>日前电价!J30-实时电价!J30</f>
        <v>149.5306</v>
      </c>
      <c r="K30" s="7">
        <f>日前电价!K30-实时电价!K30</f>
        <v>278.7414</v>
      </c>
      <c r="L30" s="7">
        <f>日前电价!L30-实时电价!L30</f>
        <v>296.2157</v>
      </c>
      <c r="M30" s="7">
        <f>日前电价!M30-实时电价!M30</f>
        <v>220.1606</v>
      </c>
      <c r="N30" s="7">
        <f>日前电价!N30-实时电价!N30</f>
        <v>21.3738</v>
      </c>
      <c r="O30" s="7">
        <f>日前电价!O30-实时电价!O30</f>
        <v>137.1068</v>
      </c>
      <c r="P30" s="7">
        <f>日前电价!P30-实时电价!P30</f>
        <v>71.2155</v>
      </c>
      <c r="Q30" s="7">
        <f>日前电价!Q30-实时电价!Q30</f>
        <v>113.6077</v>
      </c>
      <c r="R30" s="7">
        <f>日前电价!R30-实时电价!R30</f>
        <v>250.4207</v>
      </c>
      <c r="S30" s="7">
        <f>日前电价!S30-实时电价!S30</f>
        <v>109.5574</v>
      </c>
      <c r="T30" s="7">
        <f>日前电价!T30-实时电价!T30</f>
        <v>-62.6713</v>
      </c>
      <c r="U30" s="7">
        <f>日前电价!U30-实时电价!U30</f>
        <v>-33.8661999999999</v>
      </c>
      <c r="V30" s="7">
        <f>日前电价!V30-实时电价!V30</f>
        <v>62.6754</v>
      </c>
      <c r="W30" s="7">
        <f>日前电价!W30-实时电价!W30</f>
        <v>60.9458</v>
      </c>
      <c r="X30" s="7">
        <f>日前电价!X30-实时电价!X30</f>
        <v>59.5979</v>
      </c>
      <c r="Y30" s="7">
        <f>日前电价!Y30-实时电价!Y30</f>
        <v>17.4785</v>
      </c>
      <c r="Z30" s="9">
        <f t="shared" si="0"/>
        <v>296.2157</v>
      </c>
      <c r="AA30" s="9">
        <f t="shared" si="1"/>
        <v>-333.6438</v>
      </c>
      <c r="AB30" s="9">
        <f t="shared" si="2"/>
        <v>57.143975</v>
      </c>
    </row>
    <row r="31" spans="1:28">
      <c r="A31" s="8">
        <v>45321</v>
      </c>
      <c r="B31" s="7">
        <f>日前电价!B31-实时电价!B31</f>
        <v>-31.3961</v>
      </c>
      <c r="C31" s="7">
        <f>日前电价!C31-实时电价!C31</f>
        <v>1.71120000000002</v>
      </c>
      <c r="D31" s="7">
        <f>日前电价!D31-实时电价!D31</f>
        <v>9.7235</v>
      </c>
      <c r="E31" s="7">
        <f>日前电价!E31-实时电价!E31</f>
        <v>121.7411</v>
      </c>
      <c r="F31" s="7">
        <f>日前电价!F31-实时电价!F31</f>
        <v>184.9979</v>
      </c>
      <c r="G31" s="7">
        <f>日前电价!G31-实时电价!G31</f>
        <v>227.2743</v>
      </c>
      <c r="H31" s="7">
        <f>日前电价!H31-实时电价!H31</f>
        <v>11.2173</v>
      </c>
      <c r="I31" s="7">
        <f>日前电价!I31-实时电价!I31</f>
        <v>-4.7894</v>
      </c>
      <c r="J31" s="7">
        <f>日前电价!J31-实时电价!J31</f>
        <v>-3.65469999999999</v>
      </c>
      <c r="K31" s="7">
        <f>日前电价!K31-实时电价!K31</f>
        <v>35.511</v>
      </c>
      <c r="L31" s="7">
        <f>日前电价!L31-实时电价!L31</f>
        <v>-89.1543</v>
      </c>
      <c r="M31" s="7">
        <f>日前电价!M31-实时电价!M31</f>
        <v>42.2682</v>
      </c>
      <c r="N31" s="7">
        <f>日前电价!N31-实时电价!N31</f>
        <v>116.0521</v>
      </c>
      <c r="O31" s="7">
        <f>日前电价!O31-实时电价!O31</f>
        <v>42.3022</v>
      </c>
      <c r="P31" s="7">
        <f>日前电价!P31-实时电价!P31</f>
        <v>61.2803</v>
      </c>
      <c r="Q31" s="7">
        <f>日前电价!Q31-实时电价!Q31</f>
        <v>46.4789</v>
      </c>
      <c r="R31" s="7">
        <f>日前电价!R31-实时电价!R31</f>
        <v>43.5129</v>
      </c>
      <c r="S31" s="7">
        <f>日前电价!S31-实时电价!S31</f>
        <v>27.3711</v>
      </c>
      <c r="T31" s="7">
        <f>日前电价!T31-实时电价!T31</f>
        <v>9.74889999999999</v>
      </c>
      <c r="U31" s="7">
        <f>日前电价!U31-实时电价!U31</f>
        <v>-9.5498</v>
      </c>
      <c r="V31" s="7">
        <f>日前电价!V31-实时电价!V31</f>
        <v>-2.36220000000003</v>
      </c>
      <c r="W31" s="7">
        <f>日前电价!W31-实时电价!W31</f>
        <v>-97.0405</v>
      </c>
      <c r="X31" s="7">
        <f>日前电价!X31-实时电价!X31</f>
        <v>5.98089999999996</v>
      </c>
      <c r="Y31" s="7">
        <f>日前电价!Y31-实时电价!Y31</f>
        <v>4.76460000000003</v>
      </c>
      <c r="Z31" s="9">
        <f t="shared" si="0"/>
        <v>227.2743</v>
      </c>
      <c r="AA31" s="9">
        <f t="shared" si="1"/>
        <v>-97.0405</v>
      </c>
      <c r="AB31" s="9">
        <f t="shared" si="2"/>
        <v>31.416225</v>
      </c>
    </row>
    <row r="32" spans="1:28">
      <c r="A32" s="8">
        <v>45322</v>
      </c>
      <c r="B32" s="7">
        <f>日前电价!B32-实时电价!B32</f>
        <v>-3.88679999999999</v>
      </c>
      <c r="C32" s="7">
        <f>日前电价!C32-实时电价!C32</f>
        <v>13.4219000000001</v>
      </c>
      <c r="D32" s="7">
        <f>日前电价!D32-实时电价!D32</f>
        <v>47.9002</v>
      </c>
      <c r="E32" s="7">
        <f>日前电价!E32-实时电价!E32</f>
        <v>29.8395</v>
      </c>
      <c r="F32" s="7">
        <f>日前电价!F32-实时电价!F32</f>
        <v>19.7211</v>
      </c>
      <c r="G32" s="7">
        <f>日前电价!G32-实时电价!G32</f>
        <v>271.1356</v>
      </c>
      <c r="H32" s="7">
        <f>日前电价!H32-实时电价!H32</f>
        <v>106.9132</v>
      </c>
      <c r="I32" s="7">
        <f>日前电价!I32-实时电价!I32</f>
        <v>4.11279999999999</v>
      </c>
      <c r="J32" s="7">
        <f>日前电价!J32-实时电价!J32</f>
        <v>4.43210000000005</v>
      </c>
      <c r="K32" s="7">
        <f>日前电价!K32-实时电价!K32</f>
        <v>32.0927</v>
      </c>
      <c r="L32" s="7">
        <f>日前电价!L32-实时电价!L32</f>
        <v>47.3756</v>
      </c>
      <c r="M32" s="7">
        <f>日前电价!M32-实时电价!M32</f>
        <v>60.0426</v>
      </c>
      <c r="N32" s="7">
        <f>日前电价!N32-实时电价!N32</f>
        <v>86.0674</v>
      </c>
      <c r="O32" s="7">
        <f>日前电价!O32-实时电价!O32</f>
        <v>29.7681</v>
      </c>
      <c r="P32" s="7">
        <f>日前电价!P32-实时电价!P32</f>
        <v>173.0062</v>
      </c>
      <c r="Q32" s="7">
        <f>日前电价!Q32-实时电价!Q32</f>
        <v>55.3195</v>
      </c>
      <c r="R32" s="7">
        <f>日前电价!R32-实时电价!R32</f>
        <v>12.9392</v>
      </c>
      <c r="S32" s="7">
        <f>日前电价!S32-实时电价!S32</f>
        <v>27.5304</v>
      </c>
      <c r="T32" s="7">
        <f>日前电价!T32-实时电价!T32</f>
        <v>27.2757</v>
      </c>
      <c r="U32" s="7">
        <f>日前电价!U32-实时电价!U32</f>
        <v>-10.7778</v>
      </c>
      <c r="V32" s="7">
        <f>日前电价!V32-实时电价!V32</f>
        <v>35.0436999999999</v>
      </c>
      <c r="W32" s="7">
        <f>日前电价!W32-实时电价!W32</f>
        <v>0.123400000000004</v>
      </c>
      <c r="X32" s="7">
        <f>日前电价!X32-实时电价!X32</f>
        <v>2.31819999999999</v>
      </c>
      <c r="Y32" s="7">
        <f>日前电价!Y32-实时电价!Y32</f>
        <v>0.0130000000000337</v>
      </c>
      <c r="Z32" s="9">
        <f t="shared" si="0"/>
        <v>271.1356</v>
      </c>
      <c r="AA32" s="9">
        <f t="shared" si="1"/>
        <v>-10.7778</v>
      </c>
      <c r="AB32" s="9">
        <f t="shared" si="2"/>
        <v>44.6553125</v>
      </c>
    </row>
    <row r="33" spans="1:28">
      <c r="A33" s="8">
        <v>45323</v>
      </c>
      <c r="B33" s="7">
        <f>日前电价!B33-实时电价!B33</f>
        <v>-12.3434</v>
      </c>
      <c r="C33" s="7">
        <f>日前电价!C33-实时电价!C33</f>
        <v>1.84770000000003</v>
      </c>
      <c r="D33" s="7">
        <f>日前电价!D33-实时电价!D33</f>
        <v>30.3985</v>
      </c>
      <c r="E33" s="7">
        <f>日前电价!E33-实时电价!E33</f>
        <v>79.4033</v>
      </c>
      <c r="F33" s="7">
        <f>日前电价!F33-实时电价!F33</f>
        <v>3.10649999999998</v>
      </c>
      <c r="G33" s="7">
        <f>日前电价!G33-实时电价!G33</f>
        <v>4.49730000000005</v>
      </c>
      <c r="H33" s="7">
        <f>日前电价!H33-实时电价!H33</f>
        <v>3.04199999999997</v>
      </c>
      <c r="I33" s="7">
        <f>日前电价!I33-实时电价!I33</f>
        <v>-48.2286</v>
      </c>
      <c r="J33" s="7">
        <f>日前电价!J33-实时电价!J33</f>
        <v>-14.3004</v>
      </c>
      <c r="K33" s="7">
        <f>日前电价!K33-实时电价!K33</f>
        <v>3.05020000000002</v>
      </c>
      <c r="L33" s="7">
        <f>日前电价!L33-实时电价!L33</f>
        <v>11.3998</v>
      </c>
      <c r="M33" s="7">
        <f>日前电价!M33-实时电价!M33</f>
        <v>36.2931</v>
      </c>
      <c r="N33" s="7">
        <f>日前电价!N33-实时电价!N33</f>
        <v>103.4086</v>
      </c>
      <c r="O33" s="7">
        <f>日前电价!O33-实时电价!O33</f>
        <v>14.1971</v>
      </c>
      <c r="P33" s="7">
        <f>日前电价!P33-实时电价!P33</f>
        <v>1.42529999999999</v>
      </c>
      <c r="Q33" s="7">
        <f>日前电价!Q33-实时电价!Q33</f>
        <v>-10.8925</v>
      </c>
      <c r="R33" s="7">
        <f>日前电价!R33-实时电价!R33</f>
        <v>-11.3937</v>
      </c>
      <c r="S33" s="7">
        <f>日前电价!S33-实时电价!S33</f>
        <v>-55.8081</v>
      </c>
      <c r="T33" s="7">
        <f>日前电价!T33-实时电价!T33</f>
        <v>-158.6349</v>
      </c>
      <c r="U33" s="7">
        <f>日前电价!U33-实时电价!U33</f>
        <v>-56.8624</v>
      </c>
      <c r="V33" s="7">
        <f>日前电价!V33-实时电价!V33</f>
        <v>-18.5218</v>
      </c>
      <c r="W33" s="7">
        <f>日前电价!W33-实时电价!W33</f>
        <v>-40.4048</v>
      </c>
      <c r="X33" s="7">
        <f>日前电价!X33-实时电价!X33</f>
        <v>-28.9021</v>
      </c>
      <c r="Y33" s="7">
        <f>日前电价!Y33-实时电价!Y33</f>
        <v>-24.2876</v>
      </c>
      <c r="Z33" s="9">
        <f t="shared" si="0"/>
        <v>103.4086</v>
      </c>
      <c r="AA33" s="9">
        <f t="shared" si="1"/>
        <v>-158.6349</v>
      </c>
      <c r="AB33" s="9">
        <f t="shared" si="2"/>
        <v>-7.85462083333333</v>
      </c>
    </row>
    <row r="34" spans="1:28">
      <c r="A34" s="8">
        <v>45324</v>
      </c>
      <c r="B34" s="7">
        <f>日前电价!B34-实时电价!B34</f>
        <v>-12.4894</v>
      </c>
      <c r="C34" s="7">
        <f>日前电价!C34-实时电价!C34</f>
        <v>-18.566</v>
      </c>
      <c r="D34" s="7">
        <f>日前电价!D34-实时电价!D34</f>
        <v>-24.0375</v>
      </c>
      <c r="E34" s="7">
        <f>日前电价!E34-实时电价!E34</f>
        <v>-14.0284</v>
      </c>
      <c r="F34" s="7">
        <f>日前电价!F34-实时电价!F34</f>
        <v>-11.1596</v>
      </c>
      <c r="G34" s="7">
        <f>日前电价!G34-实时电价!G34</f>
        <v>-18.1148</v>
      </c>
      <c r="H34" s="7">
        <f>日前电价!H34-实时电价!H34</f>
        <v>-29.4632</v>
      </c>
      <c r="I34" s="7">
        <f>日前电价!I34-实时电价!I34</f>
        <v>-44.4314</v>
      </c>
      <c r="J34" s="7">
        <f>日前电价!J34-实时电价!J34</f>
        <v>-38.6765</v>
      </c>
      <c r="K34" s="7">
        <f>日前电价!K34-实时电价!K34</f>
        <v>-18.2632</v>
      </c>
      <c r="L34" s="7">
        <f>日前电价!L34-实时电价!L34</f>
        <v>8.51500000000004</v>
      </c>
      <c r="M34" s="7">
        <f>日前电价!M34-实时电价!M34</f>
        <v>235.137</v>
      </c>
      <c r="N34" s="7">
        <f>日前电价!N34-实时电价!N34</f>
        <v>279.4164</v>
      </c>
      <c r="O34" s="7">
        <f>日前电价!O34-实时电价!O34</f>
        <v>337.5265</v>
      </c>
      <c r="P34" s="7">
        <f>日前电价!P34-实时电价!P34</f>
        <v>338.6535</v>
      </c>
      <c r="Q34" s="7">
        <f>日前电价!Q34-实时电价!Q34</f>
        <v>334.4653</v>
      </c>
      <c r="R34" s="7">
        <f>日前电价!R34-实时电价!R34</f>
        <v>89.4327</v>
      </c>
      <c r="S34" s="7">
        <f>日前电价!S34-实时电价!S34</f>
        <v>-16.4198</v>
      </c>
      <c r="T34" s="7">
        <f>日前电价!T34-实时电价!T34</f>
        <v>-19.1146</v>
      </c>
      <c r="U34" s="7">
        <f>日前电价!U34-实时电价!U34</f>
        <v>-3.53659999999996</v>
      </c>
      <c r="V34" s="7">
        <f>日前电价!V34-实时电价!V34</f>
        <v>14.1403</v>
      </c>
      <c r="W34" s="7">
        <f>日前电价!W34-实时电价!W34</f>
        <v>14.3736</v>
      </c>
      <c r="X34" s="7">
        <f>日前电价!X34-实时电价!X34</f>
        <v>7.1841</v>
      </c>
      <c r="Y34" s="7">
        <f>日前电价!Y34-实时电价!Y34</f>
        <v>-13.6365</v>
      </c>
      <c r="Z34" s="9">
        <f t="shared" si="0"/>
        <v>338.6535</v>
      </c>
      <c r="AA34" s="9">
        <f t="shared" si="1"/>
        <v>-44.4314</v>
      </c>
      <c r="AB34" s="9">
        <f t="shared" si="2"/>
        <v>57.3711208333333</v>
      </c>
    </row>
    <row r="35" spans="1:28">
      <c r="A35" s="8">
        <v>45325</v>
      </c>
      <c r="B35" s="7">
        <f>日前电价!B35-实时电价!B35</f>
        <v>-9.9461</v>
      </c>
      <c r="C35" s="7">
        <f>日前电价!C35-实时电价!C35</f>
        <v>-120.2883</v>
      </c>
      <c r="D35" s="7">
        <f>日前电价!D35-实时电价!D35</f>
        <v>-238.6756</v>
      </c>
      <c r="E35" s="7">
        <f>日前电价!E35-实时电价!E35</f>
        <v>0</v>
      </c>
      <c r="F35" s="7">
        <f>日前电价!F35-实时电价!F35</f>
        <v>-12.6323</v>
      </c>
      <c r="G35" s="7">
        <f>日前电价!G35-实时电价!G35</f>
        <v>0</v>
      </c>
      <c r="H35" s="7">
        <f>日前电价!H35-实时电价!H35</f>
        <v>-88.461</v>
      </c>
      <c r="I35" s="7">
        <f>日前电价!I35-实时电价!I35</f>
        <v>-130.268</v>
      </c>
      <c r="J35" s="7">
        <f>日前电价!J35-实时电价!J35</f>
        <v>0.0424999999999613</v>
      </c>
      <c r="K35" s="7">
        <f>日前电价!K35-实时电价!K35</f>
        <v>54.8819999999999</v>
      </c>
      <c r="L35" s="7">
        <f>日前电价!L35-实时电价!L35</f>
        <v>305.2545</v>
      </c>
      <c r="M35" s="7">
        <f>日前电价!M35-实时电价!M35</f>
        <v>136.8256</v>
      </c>
      <c r="N35" s="7">
        <f>日前电价!N35-实时电价!N35</f>
        <v>303.2351</v>
      </c>
      <c r="O35" s="7">
        <f>日前电价!O35-实时电价!O35</f>
        <v>74.1044</v>
      </c>
      <c r="P35" s="7">
        <f>日前电价!P35-实时电价!P35</f>
        <v>-18.2628</v>
      </c>
      <c r="Q35" s="7">
        <f>日前电价!Q35-实时电价!Q35</f>
        <v>280.3161</v>
      </c>
      <c r="R35" s="7">
        <f>日前电价!R35-实时电价!R35</f>
        <v>93.3085</v>
      </c>
      <c r="S35" s="7">
        <f>日前电价!S35-实时电价!S35</f>
        <v>-10.0874</v>
      </c>
      <c r="T35" s="7">
        <f>日前电价!T35-实时电价!T35</f>
        <v>-43.9418</v>
      </c>
      <c r="U35" s="7">
        <f>日前电价!U35-实时电价!U35</f>
        <v>-6.28219999999999</v>
      </c>
      <c r="V35" s="7">
        <f>日前电价!V35-实时电价!V35</f>
        <v>4.00720000000001</v>
      </c>
      <c r="W35" s="7">
        <f>日前电价!W35-实时电价!W35</f>
        <v>-3.1936</v>
      </c>
      <c r="X35" s="7">
        <f>日前电价!X35-实时电价!X35</f>
        <v>-17.2061</v>
      </c>
      <c r="Y35" s="7">
        <f>日前电价!Y35-实时电价!Y35</f>
        <v>-12.8699</v>
      </c>
      <c r="Z35" s="9">
        <f t="shared" si="0"/>
        <v>305.2545</v>
      </c>
      <c r="AA35" s="9">
        <f t="shared" si="1"/>
        <v>-238.6756</v>
      </c>
      <c r="AB35" s="9">
        <f t="shared" si="2"/>
        <v>22.4942</v>
      </c>
    </row>
    <row r="36" spans="1:28">
      <c r="A36" s="8">
        <v>45326</v>
      </c>
      <c r="B36" s="7">
        <f>日前电价!B36-实时电价!B36</f>
        <v>-23.9209</v>
      </c>
      <c r="C36" s="7">
        <f>日前电价!C36-实时电价!C36</f>
        <v>61.6553</v>
      </c>
      <c r="D36" s="7">
        <f>日前电价!D36-实时电价!D36</f>
        <v>11.8647</v>
      </c>
      <c r="E36" s="7">
        <f>日前电价!E36-实时电价!E36</f>
        <v>151.1982</v>
      </c>
      <c r="F36" s="7">
        <f>日前电价!F36-实时电价!F36</f>
        <v>74.3646</v>
      </c>
      <c r="G36" s="7">
        <f>日前电价!G36-实时电价!G36</f>
        <v>319.8319</v>
      </c>
      <c r="H36" s="7">
        <f>日前电价!H36-实时电价!H36</f>
        <v>232.3199</v>
      </c>
      <c r="I36" s="7">
        <f>日前电价!I36-实时电价!I36</f>
        <v>-32.6824</v>
      </c>
      <c r="J36" s="7">
        <f>日前电价!J36-实时电价!J36</f>
        <v>-2.08940000000001</v>
      </c>
      <c r="K36" s="7">
        <f>日前电价!K36-实时电价!K36</f>
        <v>-7.31400000000002</v>
      </c>
      <c r="L36" s="7">
        <f>日前电价!L36-实时电价!L36</f>
        <v>92.3499</v>
      </c>
      <c r="M36" s="7">
        <f>日前电价!M36-实时电价!M36</f>
        <v>-3.74240000000003</v>
      </c>
      <c r="N36" s="7">
        <f>日前电价!N36-实时电价!N36</f>
        <v>143.9354</v>
      </c>
      <c r="O36" s="7">
        <f>日前电价!O36-实时电价!O36</f>
        <v>311.6974</v>
      </c>
      <c r="P36" s="7">
        <f>日前电价!P36-实时电价!P36</f>
        <v>55.1737</v>
      </c>
      <c r="Q36" s="7">
        <f>日前电价!Q36-实时电价!Q36</f>
        <v>79.9349</v>
      </c>
      <c r="R36" s="7">
        <f>日前电价!R36-实时电价!R36</f>
        <v>96.3826</v>
      </c>
      <c r="S36" s="7">
        <f>日前电价!S36-实时电价!S36</f>
        <v>68.0535</v>
      </c>
      <c r="T36" s="7">
        <f>日前电价!T36-实时电价!T36</f>
        <v>-25.7514</v>
      </c>
      <c r="U36" s="7">
        <f>日前电价!U36-实时电价!U36</f>
        <v>-20.5957</v>
      </c>
      <c r="V36" s="7">
        <f>日前电价!V36-实时电价!V36</f>
        <v>-10.8332</v>
      </c>
      <c r="W36" s="7">
        <f>日前电价!W36-实时电价!W36</f>
        <v>-1.65980000000002</v>
      </c>
      <c r="X36" s="7">
        <f>日前电价!X36-实时电价!X36</f>
        <v>-5.91120000000001</v>
      </c>
      <c r="Y36" s="7">
        <f>日前电价!Y36-实时电价!Y36</f>
        <v>-16.8103</v>
      </c>
      <c r="Z36" s="9">
        <f t="shared" si="0"/>
        <v>319.8319</v>
      </c>
      <c r="AA36" s="9">
        <f t="shared" si="1"/>
        <v>-32.6824</v>
      </c>
      <c r="AB36" s="9">
        <f t="shared" si="2"/>
        <v>64.4771375</v>
      </c>
    </row>
    <row r="37" spans="1:28">
      <c r="A37" s="8">
        <v>45327</v>
      </c>
      <c r="B37" s="7">
        <f>日前电价!B37-实时电价!B37</f>
        <v>-22.4967</v>
      </c>
      <c r="C37" s="7">
        <f>日前电价!C37-实时电价!C37</f>
        <v>-34.5942</v>
      </c>
      <c r="D37" s="7">
        <f>日前电价!D37-实时电价!D37</f>
        <v>-5.02269999999999</v>
      </c>
      <c r="E37" s="7">
        <f>日前电价!E37-实时电价!E37</f>
        <v>10.0074</v>
      </c>
      <c r="F37" s="7">
        <f>日前电价!F37-实时电价!F37</f>
        <v>41.7219</v>
      </c>
      <c r="G37" s="7">
        <f>日前电价!G37-实时电价!G37</f>
        <v>13.2816</v>
      </c>
      <c r="H37" s="7">
        <f>日前电价!H37-实时电价!H37</f>
        <v>-18.9263</v>
      </c>
      <c r="I37" s="7">
        <f>日前电价!I37-实时电价!I37</f>
        <v>-9.91879999999998</v>
      </c>
      <c r="J37" s="7">
        <f>日前电价!J37-实时电价!J37</f>
        <v>95.1925</v>
      </c>
      <c r="K37" s="7">
        <f>日前电价!K37-实时电价!K37</f>
        <v>18.2861</v>
      </c>
      <c r="L37" s="7">
        <f>日前电价!L37-实时电价!L37</f>
        <v>265.4994</v>
      </c>
      <c r="M37" s="7">
        <f>日前电价!M37-实时电价!M37</f>
        <v>83.6396</v>
      </c>
      <c r="N37" s="7">
        <f>日前电价!N37-实时电价!N37</f>
        <v>114.6492</v>
      </c>
      <c r="O37" s="7">
        <f>日前电价!O37-实时电价!O37</f>
        <v>215.1564</v>
      </c>
      <c r="P37" s="7">
        <f>日前电价!P37-实时电价!P37</f>
        <v>177.8413</v>
      </c>
      <c r="Q37" s="7">
        <f>日前电价!Q37-实时电价!Q37</f>
        <v>299.1066</v>
      </c>
      <c r="R37" s="7">
        <f>日前电价!R37-实时电价!R37</f>
        <v>260.7458</v>
      </c>
      <c r="S37" s="7">
        <f>日前电价!S37-实时电价!S37</f>
        <v>270.5663</v>
      </c>
      <c r="T37" s="7">
        <f>日前电价!T37-实时电价!T37</f>
        <v>16.1733</v>
      </c>
      <c r="U37" s="7">
        <f>日前电价!U37-实时电价!U37</f>
        <v>23.0588</v>
      </c>
      <c r="V37" s="7">
        <f>日前电价!V37-实时电价!V37</f>
        <v>9.49149999999997</v>
      </c>
      <c r="W37" s="7">
        <f>日前电价!W37-实时电价!W37</f>
        <v>321.8059</v>
      </c>
      <c r="X37" s="7">
        <f>日前电价!X37-实时电价!X37</f>
        <v>144.449</v>
      </c>
      <c r="Y37" s="7">
        <f>日前电价!Y37-实时电价!Y37</f>
        <v>102.8853</v>
      </c>
      <c r="Z37" s="9">
        <f t="shared" si="0"/>
        <v>321.8059</v>
      </c>
      <c r="AA37" s="9">
        <f t="shared" si="1"/>
        <v>-34.5942</v>
      </c>
      <c r="AB37" s="9">
        <f t="shared" si="2"/>
        <v>99.6916333333333</v>
      </c>
    </row>
    <row r="38" spans="1:28">
      <c r="A38" s="8">
        <v>45328</v>
      </c>
      <c r="B38" s="7">
        <f>日前电价!B38-实时电价!B38</f>
        <v>-120.9558</v>
      </c>
      <c r="C38" s="7">
        <f>日前电价!C38-实时电价!C38</f>
        <v>-8.01589999999999</v>
      </c>
      <c r="D38" s="7">
        <f>日前电价!D38-实时电价!D38</f>
        <v>42.7132</v>
      </c>
      <c r="E38" s="7">
        <f>日前电价!E38-实时电价!E38</f>
        <v>39.3228</v>
      </c>
      <c r="F38" s="7">
        <f>日前电价!F38-实时电价!F38</f>
        <v>25.955</v>
      </c>
      <c r="G38" s="7">
        <f>日前电价!G38-实时电价!G38</f>
        <v>26.5775</v>
      </c>
      <c r="H38" s="7">
        <f>日前电价!H38-实时电价!H38</f>
        <v>57.9349</v>
      </c>
      <c r="I38" s="7">
        <f>日前电价!I38-实时电价!I38</f>
        <v>-37.8634</v>
      </c>
      <c r="J38" s="7">
        <f>日前电价!J38-实时电价!J38</f>
        <v>-20.029</v>
      </c>
      <c r="K38" s="7">
        <f>日前电价!K38-实时电价!K38</f>
        <v>-50.1426</v>
      </c>
      <c r="L38" s="7">
        <f>日前电价!L38-实时电价!L38</f>
        <v>10.8438</v>
      </c>
      <c r="M38" s="7">
        <f>日前电价!M38-实时电价!M38</f>
        <v>100.275</v>
      </c>
      <c r="N38" s="7">
        <f>日前电价!N38-实时电价!N38</f>
        <v>17.7876</v>
      </c>
      <c r="O38" s="7">
        <f>日前电价!O38-实时电价!O38</f>
        <v>58.531</v>
      </c>
      <c r="P38" s="7">
        <f>日前电价!P38-实时电价!P38</f>
        <v>6.495</v>
      </c>
      <c r="Q38" s="7">
        <f>日前电价!Q38-实时电价!Q38</f>
        <v>84.3175</v>
      </c>
      <c r="R38" s="7">
        <f>日前电价!R38-实时电价!R38</f>
        <v>-12.5</v>
      </c>
      <c r="S38" s="7">
        <f>日前电价!S38-实时电价!S38</f>
        <v>-223.6884</v>
      </c>
      <c r="T38" s="7">
        <f>日前电价!T38-实时电价!T38</f>
        <v>-531.3419</v>
      </c>
      <c r="U38" s="7">
        <f>日前电价!U38-实时电价!U38</f>
        <v>-319.6946</v>
      </c>
      <c r="V38" s="7">
        <f>日前电价!V38-实时电价!V38</f>
        <v>-270.7469</v>
      </c>
      <c r="W38" s="7">
        <f>日前电价!W38-实时电价!W38</f>
        <v>-502.5955</v>
      </c>
      <c r="X38" s="7">
        <f>日前电价!X38-实时电价!X38</f>
        <v>-243.6918</v>
      </c>
      <c r="Y38" s="7">
        <f>日前电价!Y38-实时电价!Y38</f>
        <v>-366.6999</v>
      </c>
      <c r="Z38" s="9">
        <f t="shared" si="0"/>
        <v>100.275</v>
      </c>
      <c r="AA38" s="9">
        <f t="shared" si="1"/>
        <v>-531.3419</v>
      </c>
      <c r="AB38" s="9">
        <f t="shared" si="2"/>
        <v>-93.2171833333333</v>
      </c>
    </row>
    <row r="39" spans="1:28">
      <c r="A39" s="8">
        <v>45329</v>
      </c>
      <c r="B39" s="7">
        <f>日前电价!B39-实时电价!B39</f>
        <v>-64.9884</v>
      </c>
      <c r="C39" s="7">
        <f>日前电价!C39-实时电价!C39</f>
        <v>-69.695</v>
      </c>
      <c r="D39" s="7">
        <f>日前电价!D39-实时电价!D39</f>
        <v>-68.4067</v>
      </c>
      <c r="E39" s="7">
        <f>日前电价!E39-实时电价!E39</f>
        <v>-20.1199</v>
      </c>
      <c r="F39" s="7">
        <f>日前电价!F39-实时电价!F39</f>
        <v>-5.02749999999997</v>
      </c>
      <c r="G39" s="7">
        <f>日前电价!G39-实时电价!G39</f>
        <v>-33.6452</v>
      </c>
      <c r="H39" s="7">
        <f>日前电价!H39-实时电价!H39</f>
        <v>-45.33</v>
      </c>
      <c r="I39" s="7">
        <f>日前电价!I39-实时电价!I39</f>
        <v>-217.7221</v>
      </c>
      <c r="J39" s="7">
        <f>日前电价!J39-实时电价!J39</f>
        <v>-266.6427</v>
      </c>
      <c r="K39" s="7">
        <f>日前电价!K39-实时电价!K39</f>
        <v>-467.447</v>
      </c>
      <c r="L39" s="7">
        <f>日前电价!L39-实时电价!L39</f>
        <v>-666</v>
      </c>
      <c r="M39" s="7">
        <f>日前电价!M39-实时电价!M39</f>
        <v>-598.2199</v>
      </c>
      <c r="N39" s="7">
        <f>日前电价!N39-实时电价!N39</f>
        <v>-492.9175</v>
      </c>
      <c r="O39" s="7">
        <f>日前电价!O39-实时电价!O39</f>
        <v>-262.505</v>
      </c>
      <c r="P39" s="7">
        <f>日前电价!P39-实时电价!P39</f>
        <v>-93.86</v>
      </c>
      <c r="Q39" s="7">
        <f>日前电价!Q39-实时电价!Q39</f>
        <v>-174.475</v>
      </c>
      <c r="R39" s="7">
        <f>日前电价!R39-实时电价!R39</f>
        <v>-324.8447</v>
      </c>
      <c r="S39" s="7">
        <f>日前电价!S39-实时电价!S39</f>
        <v>-541.5737</v>
      </c>
      <c r="T39" s="7">
        <f>日前电价!T39-实时电价!T39</f>
        <v>-487.8519</v>
      </c>
      <c r="U39" s="7">
        <f>日前电价!U39-实时电价!U39</f>
        <v>-228.1513</v>
      </c>
      <c r="V39" s="7">
        <f>日前电价!V39-实时电价!V39</f>
        <v>-68.6632</v>
      </c>
      <c r="W39" s="7">
        <f>日前电价!W39-实时电价!W39</f>
        <v>-89.9035</v>
      </c>
      <c r="X39" s="7">
        <f>日前电价!X39-实时电价!X39</f>
        <v>-55.956</v>
      </c>
      <c r="Y39" s="7">
        <f>日前电价!Y39-实时电价!Y39</f>
        <v>-54.7302</v>
      </c>
      <c r="Z39" s="9">
        <f t="shared" si="0"/>
        <v>-5.02749999999997</v>
      </c>
      <c r="AA39" s="9">
        <f t="shared" si="1"/>
        <v>-666</v>
      </c>
      <c r="AB39" s="9">
        <f t="shared" si="2"/>
        <v>-224.94485</v>
      </c>
    </row>
    <row r="40" spans="1:28">
      <c r="A40" s="8">
        <v>45330</v>
      </c>
      <c r="B40" s="7">
        <f>日前电价!B40-实时电价!B40</f>
        <v>-108.196</v>
      </c>
      <c r="C40" s="7">
        <f>日前电价!C40-实时电价!C40</f>
        <v>75.644</v>
      </c>
      <c r="D40" s="7">
        <f>日前电价!D40-实时电价!D40</f>
        <v>97.306</v>
      </c>
      <c r="E40" s="7">
        <f>日前电价!E40-实时电价!E40</f>
        <v>215.754</v>
      </c>
      <c r="F40" s="7">
        <f>日前电价!F40-实时电价!F40</f>
        <v>346.5</v>
      </c>
      <c r="G40" s="7">
        <f>日前电价!G40-实时电价!G40</f>
        <v>335.605</v>
      </c>
      <c r="H40" s="7">
        <f>日前电价!H40-实时电价!H40</f>
        <v>157.085</v>
      </c>
      <c r="I40" s="7">
        <f>日前电价!I40-实时电价!I40</f>
        <v>99.4004</v>
      </c>
      <c r="J40" s="7">
        <f>日前电价!J40-实时电价!J40</f>
        <v>40.5173</v>
      </c>
      <c r="K40" s="7">
        <f>日前电价!K40-实时电价!K40</f>
        <v>6.72629999999998</v>
      </c>
      <c r="L40" s="7">
        <f>日前电价!L40-实时电价!L40</f>
        <v>3.75</v>
      </c>
      <c r="M40" s="7">
        <f>日前电价!M40-实时电价!M40</f>
        <v>31.47</v>
      </c>
      <c r="N40" s="7">
        <f>日前电价!N40-实时电价!N40</f>
        <v>47.9983</v>
      </c>
      <c r="O40" s="7">
        <f>日前电价!O40-实时电价!O40</f>
        <v>16.9009</v>
      </c>
      <c r="P40" s="7">
        <f>日前电价!P40-实时电价!P40</f>
        <v>-11.2511</v>
      </c>
      <c r="Q40" s="7">
        <f>日前电价!Q40-实时电价!Q40</f>
        <v>-22.5</v>
      </c>
      <c r="R40" s="7">
        <f>日前电价!R40-实时电价!R40</f>
        <v>-38.97</v>
      </c>
      <c r="S40" s="7">
        <f>日前电价!S40-实时电价!S40</f>
        <v>-20.6325</v>
      </c>
      <c r="T40" s="7">
        <f>日前电价!T40-实时电价!T40</f>
        <v>-59.0045</v>
      </c>
      <c r="U40" s="7">
        <f>日前电价!U40-实时电价!U40</f>
        <v>-161.9218</v>
      </c>
      <c r="V40" s="7">
        <f>日前电价!V40-实时电价!V40</f>
        <v>-60.6152</v>
      </c>
      <c r="W40" s="7">
        <f>日前电价!W40-实时电价!W40</f>
        <v>-298.0945</v>
      </c>
      <c r="X40" s="7">
        <f>日前电价!X40-实时电价!X40</f>
        <v>-283.0776</v>
      </c>
      <c r="Y40" s="7">
        <f>日前电价!Y40-实时电价!Y40</f>
        <v>-162.0393</v>
      </c>
      <c r="Z40" s="9">
        <f t="shared" si="0"/>
        <v>346.5</v>
      </c>
      <c r="AA40" s="9">
        <f t="shared" si="1"/>
        <v>-298.0945</v>
      </c>
      <c r="AB40" s="9">
        <f t="shared" si="2"/>
        <v>10.3481125</v>
      </c>
    </row>
    <row r="41" spans="1:28">
      <c r="A41" s="8">
        <v>45331</v>
      </c>
      <c r="B41" s="7">
        <f>日前电价!B41-实时电价!B41</f>
        <v>-294.4175</v>
      </c>
      <c r="C41" s="7">
        <f>日前电价!C41-实时电价!C41</f>
        <v>-256.0831</v>
      </c>
      <c r="D41" s="7">
        <f>日前电价!D41-实时电价!D41</f>
        <v>-43.4934</v>
      </c>
      <c r="E41" s="7">
        <f>日前电价!E41-实时电价!E41</f>
        <v>-46.75</v>
      </c>
      <c r="F41" s="7">
        <f>日前电价!F41-实时电价!F41</f>
        <v>-53.3068</v>
      </c>
      <c r="G41" s="7">
        <f>日前电价!G41-实时电价!G41</f>
        <v>-84.8215</v>
      </c>
      <c r="H41" s="7">
        <f>日前电价!H41-实时电价!H41</f>
        <v>-95.9318</v>
      </c>
      <c r="I41" s="7">
        <f>日前电价!I41-实时电价!I41</f>
        <v>-224.6589</v>
      </c>
      <c r="J41" s="7">
        <f>日前电价!J41-实时电价!J41</f>
        <v>-158.5535</v>
      </c>
      <c r="K41" s="7">
        <f>日前电价!K41-实时电价!K41</f>
        <v>-64.2271</v>
      </c>
      <c r="L41" s="7">
        <f>日前电价!L41-实时电价!L41</f>
        <v>-34.645</v>
      </c>
      <c r="M41" s="7">
        <f>日前电价!M41-实时电价!M41</f>
        <v>-146.89</v>
      </c>
      <c r="N41" s="7">
        <f>日前电价!N41-实时电价!N41</f>
        <v>-26.145</v>
      </c>
      <c r="O41" s="7">
        <f>日前电价!O41-实时电价!O41</f>
        <v>10.8535</v>
      </c>
      <c r="P41" s="7">
        <f>日前电价!P41-实时电价!P41</f>
        <v>-27.165</v>
      </c>
      <c r="Q41" s="7">
        <f>日前电价!Q41-实时电价!Q41</f>
        <v>-196.0525</v>
      </c>
      <c r="R41" s="7">
        <f>日前电价!R41-实时电价!R41</f>
        <v>-428.5</v>
      </c>
      <c r="S41" s="7">
        <f>日前电价!S41-实时电价!S41</f>
        <v>-177.94</v>
      </c>
      <c r="T41" s="7">
        <f>日前电价!T41-实时电价!T41</f>
        <v>39.6475</v>
      </c>
      <c r="U41" s="7">
        <f>日前电价!U41-实时电价!U41</f>
        <v>16.2175</v>
      </c>
      <c r="V41" s="7">
        <f>日前电价!V41-实时电价!V41</f>
        <v>8.11410000000001</v>
      </c>
      <c r="W41" s="7">
        <f>日前电价!W41-实时电价!W41</f>
        <v>-14.545</v>
      </c>
      <c r="X41" s="7">
        <f>日前电价!X41-实时电价!X41</f>
        <v>-415.8325</v>
      </c>
      <c r="Y41" s="7">
        <f>日前电价!Y41-实时电价!Y41</f>
        <v>-214.3096</v>
      </c>
      <c r="Z41" s="9">
        <f t="shared" si="0"/>
        <v>39.6475</v>
      </c>
      <c r="AA41" s="9">
        <f t="shared" si="1"/>
        <v>-428.5</v>
      </c>
      <c r="AB41" s="9">
        <f t="shared" si="2"/>
        <v>-122.059816666667</v>
      </c>
    </row>
    <row r="42" spans="1:28">
      <c r="A42" s="8">
        <v>45332</v>
      </c>
      <c r="B42" s="7">
        <f>日前电价!B42-实时电价!B42</f>
        <v>-329.1726</v>
      </c>
      <c r="C42" s="7">
        <f>日前电价!C42-实时电价!C42</f>
        <v>-317.0803</v>
      </c>
      <c r="D42" s="7">
        <f>日前电价!D42-实时电价!D42</f>
        <v>-474.2646</v>
      </c>
      <c r="E42" s="7">
        <f>日前电价!E42-实时电价!E42</f>
        <v>-277.415</v>
      </c>
      <c r="F42" s="7">
        <f>日前电价!F42-实时电价!F42</f>
        <v>-58.4425</v>
      </c>
      <c r="G42" s="7">
        <f>日前电价!G42-实时电价!G42</f>
        <v>-69</v>
      </c>
      <c r="H42" s="7">
        <f>日前电价!H42-实时电价!H42</f>
        <v>-35.34</v>
      </c>
      <c r="I42" s="7">
        <f>日前电价!I42-实时电价!I42</f>
        <v>-2.31970000000001</v>
      </c>
      <c r="J42" s="7">
        <f>日前电价!J42-实时电价!J42</f>
        <v>321.19</v>
      </c>
      <c r="K42" s="7">
        <f>日前电价!K42-实时电价!K42</f>
        <v>267.7536</v>
      </c>
      <c r="L42" s="7">
        <f>日前电价!L42-实时电价!L42</f>
        <v>267.52</v>
      </c>
      <c r="M42" s="7">
        <f>日前电价!M42-实时电价!M42</f>
        <v>-149.5805</v>
      </c>
      <c r="N42" s="7">
        <f>日前电价!N42-实时电价!N42</f>
        <v>-96.7269</v>
      </c>
      <c r="O42" s="7">
        <f>日前电价!O42-实时电价!O42</f>
        <v>378.2061</v>
      </c>
      <c r="P42" s="7">
        <f>日前电价!P42-实时电价!P42</f>
        <v>-162.9975</v>
      </c>
      <c r="Q42" s="7">
        <f>日前电价!Q42-实时电价!Q42</f>
        <v>-646.5</v>
      </c>
      <c r="R42" s="7">
        <f>日前电价!R42-实时电价!R42</f>
        <v>-70.89</v>
      </c>
      <c r="S42" s="7">
        <f>日前电价!S42-实时电价!S42</f>
        <v>-135.1149</v>
      </c>
      <c r="T42" s="7">
        <f>日前电价!T42-实时电价!T42</f>
        <v>-291.8767</v>
      </c>
      <c r="U42" s="7">
        <f>日前电价!U42-实时电价!U42</f>
        <v>-384.7526</v>
      </c>
      <c r="V42" s="7">
        <f>日前电价!V42-实时电价!V42</f>
        <v>-281.5779</v>
      </c>
      <c r="W42" s="7">
        <f>日前电价!W42-实时电价!W42</f>
        <v>-244.915</v>
      </c>
      <c r="X42" s="7">
        <f>日前电价!X42-实时电价!X42</f>
        <v>-546.387</v>
      </c>
      <c r="Y42" s="7">
        <f>日前电价!Y42-实时电价!Y42</f>
        <v>-274.1152</v>
      </c>
      <c r="Z42" s="9">
        <f t="shared" si="0"/>
        <v>378.2061</v>
      </c>
      <c r="AA42" s="9">
        <f t="shared" si="1"/>
        <v>-646.5</v>
      </c>
      <c r="AB42" s="9">
        <f t="shared" si="2"/>
        <v>-150.574966666667</v>
      </c>
    </row>
    <row r="43" spans="1:28">
      <c r="A43" s="8">
        <v>45333</v>
      </c>
      <c r="B43" s="7">
        <f>日前电价!B43-实时电价!B43</f>
        <v>-224.5878</v>
      </c>
      <c r="C43" s="7">
        <f>日前电价!C43-实时电价!C43</f>
        <v>-170.94</v>
      </c>
      <c r="D43" s="7">
        <f>日前电价!D43-实时电价!D43</f>
        <v>-69.285</v>
      </c>
      <c r="E43" s="7">
        <f>日前电价!E43-实时电价!E43</f>
        <v>-32.25</v>
      </c>
      <c r="F43" s="7">
        <f>日前电价!F43-实时电价!F43</f>
        <v>-6.3075</v>
      </c>
      <c r="G43" s="7">
        <f>日前电价!G43-实时电价!G43</f>
        <v>-8.80500000000001</v>
      </c>
      <c r="H43" s="7">
        <f>日前电价!H43-实时电价!H43</f>
        <v>-38</v>
      </c>
      <c r="I43" s="7">
        <f>日前电价!I43-实时电价!I43</f>
        <v>-94.1075</v>
      </c>
      <c r="J43" s="7">
        <f>日前电价!J43-实时电价!J43</f>
        <v>152.0086</v>
      </c>
      <c r="K43" s="7">
        <f>日前电价!K43-实时电价!K43</f>
        <v>29.5</v>
      </c>
      <c r="L43" s="7">
        <f>日前电价!L43-实时电价!L43</f>
        <v>-411.5452</v>
      </c>
      <c r="M43" s="7">
        <f>日前电价!M43-实时电价!M43</f>
        <v>-767.3766</v>
      </c>
      <c r="N43" s="7">
        <f>日前电价!N43-实时电价!N43</f>
        <v>-300.9825</v>
      </c>
      <c r="O43" s="7">
        <f>日前电价!O43-实时电价!O43</f>
        <v>-102.3083</v>
      </c>
      <c r="P43" s="7">
        <f>日前电价!P43-实时电价!P43</f>
        <v>-496.2321</v>
      </c>
      <c r="Q43" s="7">
        <f>日前电价!Q43-实时电价!Q43</f>
        <v>-772</v>
      </c>
      <c r="R43" s="7">
        <f>日前电价!R43-实时电价!R43</f>
        <v>1.43989999999997</v>
      </c>
      <c r="S43" s="7">
        <f>日前电价!S43-实时电价!S43</f>
        <v>218.695</v>
      </c>
      <c r="T43" s="7">
        <f>日前电价!T43-实时电价!T43</f>
        <v>333.0325</v>
      </c>
      <c r="U43" s="7">
        <f>日前电价!U43-实时电价!U43</f>
        <v>338.5</v>
      </c>
      <c r="V43" s="7">
        <f>日前电价!V43-实时电价!V43</f>
        <v>324.19</v>
      </c>
      <c r="W43" s="7">
        <f>日前电价!W43-实时电价!W43</f>
        <v>317.685</v>
      </c>
      <c r="X43" s="7">
        <f>日前电价!X43-实时电价!X43</f>
        <v>294.585</v>
      </c>
      <c r="Y43" s="7">
        <f>日前电价!Y43-实时电价!Y43</f>
        <v>115.865</v>
      </c>
      <c r="Z43" s="9">
        <f t="shared" si="0"/>
        <v>338.5</v>
      </c>
      <c r="AA43" s="9">
        <f t="shared" si="1"/>
        <v>-772</v>
      </c>
      <c r="AB43" s="9">
        <f t="shared" si="2"/>
        <v>-57.0511041666666</v>
      </c>
    </row>
    <row r="44" spans="1:28">
      <c r="A44" s="8">
        <v>45334</v>
      </c>
      <c r="B44" s="7">
        <f>日前电价!B44-实时电价!B44</f>
        <v>-277.9175</v>
      </c>
      <c r="C44" s="7">
        <f>日前电价!C44-实时电价!C44</f>
        <v>67.165</v>
      </c>
      <c r="D44" s="7">
        <f>日前电价!D44-实时电价!D44</f>
        <v>-8.81299999999999</v>
      </c>
      <c r="E44" s="7">
        <f>日前电价!E44-实时电价!E44</f>
        <v>-56.7365</v>
      </c>
      <c r="F44" s="7">
        <f>日前电价!F44-实时电价!F44</f>
        <v>-7.255</v>
      </c>
      <c r="G44" s="7">
        <f>日前电价!G44-实时电价!G44</f>
        <v>-100.58</v>
      </c>
      <c r="H44" s="7">
        <f>日前电价!H44-实时电价!H44</f>
        <v>0</v>
      </c>
      <c r="I44" s="7">
        <f>日前电价!I44-实时电价!I44</f>
        <v>-75</v>
      </c>
      <c r="J44" s="7">
        <f>日前电价!J44-实时电价!J44</f>
        <v>-100.275</v>
      </c>
      <c r="K44" s="7">
        <f>日前电价!K44-实时电价!K44</f>
        <v>-724.1259</v>
      </c>
      <c r="L44" s="7">
        <f>日前电价!L44-实时电价!L44</f>
        <v>-996.469</v>
      </c>
      <c r="M44" s="7">
        <f>日前电价!M44-实时电价!M44</f>
        <v>-1000</v>
      </c>
      <c r="N44" s="7">
        <f>日前电价!N44-实时电价!N44</f>
        <v>-750</v>
      </c>
      <c r="O44" s="7">
        <f>日前电价!O44-实时电价!O44</f>
        <v>0</v>
      </c>
      <c r="P44" s="7">
        <f>日前电价!P44-实时电价!P44</f>
        <v>-999.75</v>
      </c>
      <c r="Q44" s="7">
        <f>日前电价!Q44-实时电价!Q44</f>
        <v>-1000</v>
      </c>
      <c r="R44" s="7">
        <f>日前电价!R44-实时电价!R44</f>
        <v>0</v>
      </c>
      <c r="S44" s="7">
        <f>日前电价!S44-实时电价!S44</f>
        <v>-70.165</v>
      </c>
      <c r="T44" s="7">
        <f>日前电价!T44-实时电价!T44</f>
        <v>130</v>
      </c>
      <c r="U44" s="7">
        <f>日前电价!U44-实时电价!U44</f>
        <v>285.49</v>
      </c>
      <c r="V44" s="7">
        <f>日前电价!V44-实时电价!V44</f>
        <v>65</v>
      </c>
      <c r="W44" s="7">
        <f>日前电价!W44-实时电价!W44</f>
        <v>0</v>
      </c>
      <c r="X44" s="7">
        <f>日前电价!X44-实时电价!X44</f>
        <v>-18.585</v>
      </c>
      <c r="Y44" s="7">
        <f>日前电价!Y44-实时电价!Y44</f>
        <v>-0.25</v>
      </c>
      <c r="Z44" s="9">
        <f t="shared" si="0"/>
        <v>285.49</v>
      </c>
      <c r="AA44" s="9">
        <f t="shared" si="1"/>
        <v>-1000</v>
      </c>
      <c r="AB44" s="9">
        <f t="shared" si="2"/>
        <v>-234.9277875</v>
      </c>
    </row>
    <row r="45" spans="1:28">
      <c r="A45" s="8">
        <v>45335</v>
      </c>
      <c r="B45" s="7">
        <f>日前电价!B45-实时电价!B45</f>
        <v>-39.875</v>
      </c>
      <c r="C45" s="7">
        <f>日前电价!C45-实时电价!C45</f>
        <v>179.39</v>
      </c>
      <c r="D45" s="7">
        <f>日前电价!D45-实时电价!D45</f>
        <v>96.4381</v>
      </c>
      <c r="E45" s="7">
        <f>日前电价!E45-实时电价!E45</f>
        <v>78.3709</v>
      </c>
      <c r="F45" s="7">
        <f>日前电价!F45-实时电价!F45</f>
        <v>246.3375</v>
      </c>
      <c r="G45" s="7">
        <f>日前电价!G45-实时电价!G45</f>
        <v>310.555</v>
      </c>
      <c r="H45" s="7">
        <f>日前电价!H45-实时电价!H45</f>
        <v>190.335</v>
      </c>
      <c r="I45" s="7">
        <f>日前电价!I45-实时电价!I45</f>
        <v>5.07749999999999</v>
      </c>
      <c r="J45" s="7">
        <f>日前电价!J45-实时电价!J45</f>
        <v>-36.2175</v>
      </c>
      <c r="K45" s="7">
        <f>日前电价!K45-实时电价!K45</f>
        <v>-356.24</v>
      </c>
      <c r="L45" s="7">
        <f>日前电价!L45-实时电价!L45</f>
        <v>17.495</v>
      </c>
      <c r="M45" s="7">
        <f>日前电价!M45-实时电价!M45</f>
        <v>-147.0393</v>
      </c>
      <c r="N45" s="7">
        <f>日前电价!N45-实时电价!N45</f>
        <v>-112.4015</v>
      </c>
      <c r="O45" s="7">
        <f>日前电价!O45-实时电价!O45</f>
        <v>6.20050000000001</v>
      </c>
      <c r="P45" s="7">
        <f>日前电价!P45-实时电价!P45</f>
        <v>-20.1105</v>
      </c>
      <c r="Q45" s="7">
        <f>日前电价!Q45-实时电价!Q45</f>
        <v>-5.8501</v>
      </c>
      <c r="R45" s="7">
        <f>日前电价!R45-实时电价!R45</f>
        <v>62.5557</v>
      </c>
      <c r="S45" s="7">
        <f>日前电价!S45-实时电价!S45</f>
        <v>-25.7909</v>
      </c>
      <c r="T45" s="7">
        <f>日前电价!T45-实时电价!T45</f>
        <v>-37.84</v>
      </c>
      <c r="U45" s="7">
        <f>日前电价!U45-实时电价!U45</f>
        <v>-38.8235</v>
      </c>
      <c r="V45" s="7">
        <f>日前电价!V45-实时电价!V45</f>
        <v>-16.5908</v>
      </c>
      <c r="W45" s="7">
        <f>日前电价!W45-实时电价!W45</f>
        <v>-0.21629999999999</v>
      </c>
      <c r="X45" s="7">
        <f>日前电价!X45-实时电价!X45</f>
        <v>20.2631</v>
      </c>
      <c r="Y45" s="7">
        <f>日前电价!Y45-实时电价!Y45</f>
        <v>45.7736</v>
      </c>
      <c r="Z45" s="9">
        <f t="shared" si="0"/>
        <v>310.555</v>
      </c>
      <c r="AA45" s="9">
        <f t="shared" si="1"/>
        <v>-356.24</v>
      </c>
      <c r="AB45" s="9">
        <f t="shared" si="2"/>
        <v>17.5748541666667</v>
      </c>
    </row>
    <row r="46" spans="1:28">
      <c r="A46" s="8">
        <v>45336</v>
      </c>
      <c r="B46" s="7">
        <f>日前电价!B46-实时电价!B46</f>
        <v>-182.26</v>
      </c>
      <c r="C46" s="7">
        <f>日前电价!C46-实时电价!C46</f>
        <v>-145.98</v>
      </c>
      <c r="D46" s="7">
        <f>日前电价!D46-实时电价!D46</f>
        <v>-143.8242</v>
      </c>
      <c r="E46" s="7">
        <f>日前电价!E46-实时电价!E46</f>
        <v>-16.08</v>
      </c>
      <c r="F46" s="7">
        <f>日前电价!F46-实时电价!F46</f>
        <v>-24.9185</v>
      </c>
      <c r="G46" s="7">
        <f>日前电价!G46-实时电价!G46</f>
        <v>-151.75</v>
      </c>
      <c r="H46" s="7">
        <f>日前电价!H46-实时电价!H46</f>
        <v>-81.5175</v>
      </c>
      <c r="I46" s="7">
        <f>日前电价!I46-实时电价!I46</f>
        <v>-407.0684</v>
      </c>
      <c r="J46" s="7">
        <f>日前电价!J46-实时电价!J46</f>
        <v>-47.16</v>
      </c>
      <c r="K46" s="7">
        <f>日前电价!K46-实时电价!K46</f>
        <v>147.055</v>
      </c>
      <c r="L46" s="7">
        <f>日前电价!L46-实时电价!L46</f>
        <v>146.7298</v>
      </c>
      <c r="M46" s="7">
        <f>日前电价!M46-实时电价!M46</f>
        <v>181.1679</v>
      </c>
      <c r="N46" s="7">
        <f>日前电价!N46-实时电价!N46</f>
        <v>109.608</v>
      </c>
      <c r="O46" s="7">
        <f>日前电价!O46-实时电价!O46</f>
        <v>188.4375</v>
      </c>
      <c r="P46" s="7">
        <f>日前电价!P46-实时电价!P46</f>
        <v>110.8975</v>
      </c>
      <c r="Q46" s="7">
        <f>日前电价!Q46-实时电价!Q46</f>
        <v>74.0692</v>
      </c>
      <c r="R46" s="7">
        <f>日前电价!R46-实时电价!R46</f>
        <v>47.3762</v>
      </c>
      <c r="S46" s="7">
        <f>日前电价!S46-实时电价!S46</f>
        <v>10.6925</v>
      </c>
      <c r="T46" s="7">
        <f>日前电价!T46-实时电价!T46</f>
        <v>4.13749999999999</v>
      </c>
      <c r="U46" s="7">
        <f>日前电价!U46-实时电价!U46</f>
        <v>-6.33499999999998</v>
      </c>
      <c r="V46" s="7">
        <f>日前电价!V46-实时电价!V46</f>
        <v>28.17</v>
      </c>
      <c r="W46" s="7">
        <f>日前电价!W46-实时电价!W46</f>
        <v>33.3025</v>
      </c>
      <c r="X46" s="7">
        <f>日前电价!X46-实时电价!X46</f>
        <v>30</v>
      </c>
      <c r="Y46" s="7">
        <f>日前电价!Y46-实时电价!Y46</f>
        <v>26.9393</v>
      </c>
      <c r="Z46" s="9">
        <f t="shared" si="0"/>
        <v>188.4375</v>
      </c>
      <c r="AA46" s="9">
        <f t="shared" si="1"/>
        <v>-407.0684</v>
      </c>
      <c r="AB46" s="9">
        <f t="shared" si="2"/>
        <v>-2.84627916666666</v>
      </c>
    </row>
    <row r="47" spans="1:28">
      <c r="A47" s="8">
        <v>45337</v>
      </c>
      <c r="B47" s="7">
        <f>日前电价!B47-实时电价!B47</f>
        <v>-371.5946</v>
      </c>
      <c r="C47" s="7">
        <f>日前电价!C47-实时电价!C47</f>
        <v>-423.1715</v>
      </c>
      <c r="D47" s="7">
        <f>日前电价!D47-实时电价!D47</f>
        <v>-421.8814</v>
      </c>
      <c r="E47" s="7">
        <f>日前电价!E47-实时电价!E47</f>
        <v>-178.9475</v>
      </c>
      <c r="F47" s="7">
        <f>日前电价!F47-实时电价!F47</f>
        <v>-158.6375</v>
      </c>
      <c r="G47" s="7">
        <f>日前电价!G47-实时电价!G47</f>
        <v>-55.195</v>
      </c>
      <c r="H47" s="7">
        <f>日前电价!H47-实时电价!H47</f>
        <v>-111.181</v>
      </c>
      <c r="I47" s="7">
        <f>日前电价!I47-实时电价!I47</f>
        <v>-101.2388</v>
      </c>
      <c r="J47" s="7">
        <f>日前电价!J47-实时电价!J47</f>
        <v>-24.75</v>
      </c>
      <c r="K47" s="7">
        <f>日前电价!K47-实时电价!K47</f>
        <v>-31.0475</v>
      </c>
      <c r="L47" s="7">
        <f>日前电价!L47-实时电价!L47</f>
        <v>-32.89</v>
      </c>
      <c r="M47" s="7">
        <f>日前电价!M47-实时电价!M47</f>
        <v>-117.2078</v>
      </c>
      <c r="N47" s="7">
        <f>日前电价!N47-实时电价!N47</f>
        <v>-6.32460000000003</v>
      </c>
      <c r="O47" s="7">
        <f>日前电价!O47-实时电价!O47</f>
        <v>30.4972</v>
      </c>
      <c r="P47" s="7">
        <f>日前电价!P47-实时电价!P47</f>
        <v>31.7225</v>
      </c>
      <c r="Q47" s="7">
        <f>日前电价!Q47-实时电价!Q47</f>
        <v>13.5631</v>
      </c>
      <c r="R47" s="7">
        <f>日前电价!R47-实时电价!R47</f>
        <v>26.1761</v>
      </c>
      <c r="S47" s="7">
        <f>日前电价!S47-实时电价!S47</f>
        <v>-130.402</v>
      </c>
      <c r="T47" s="7">
        <f>日前电价!T47-实时电价!T47</f>
        <v>-361.25</v>
      </c>
      <c r="U47" s="7">
        <f>日前电价!U47-实时电价!U47</f>
        <v>-70.0375</v>
      </c>
      <c r="V47" s="7">
        <f>日前电价!V47-实时电价!V47</f>
        <v>-37.1245</v>
      </c>
      <c r="W47" s="7">
        <f>日前电价!W47-实时电价!W47</f>
        <v>-6.15190000000001</v>
      </c>
      <c r="X47" s="7">
        <f>日前电价!X47-实时电价!X47</f>
        <v>15.0225</v>
      </c>
      <c r="Y47" s="7">
        <f>日前电价!Y47-实时电价!Y47</f>
        <v>22.7248</v>
      </c>
      <c r="Z47" s="9">
        <f t="shared" si="0"/>
        <v>31.7225</v>
      </c>
      <c r="AA47" s="9">
        <f t="shared" si="1"/>
        <v>-423.1715</v>
      </c>
      <c r="AB47" s="9">
        <f t="shared" si="2"/>
        <v>-104.138620833333</v>
      </c>
    </row>
    <row r="48" spans="1:28">
      <c r="A48" s="8">
        <v>45338</v>
      </c>
      <c r="B48" s="7">
        <f>日前电价!B48-实时电价!B48</f>
        <v>-351.7125</v>
      </c>
      <c r="C48" s="7">
        <f>日前电价!C48-实时电价!C48</f>
        <v>-158.545</v>
      </c>
      <c r="D48" s="7">
        <f>日前电价!D48-实时电价!D48</f>
        <v>-109.6673</v>
      </c>
      <c r="E48" s="7">
        <f>日前电价!E48-实时电价!E48</f>
        <v>-39.0737</v>
      </c>
      <c r="F48" s="7">
        <f>日前电价!F48-实时电价!F48</f>
        <v>-28.2716</v>
      </c>
      <c r="G48" s="7">
        <f>日前电价!G48-实时电价!G48</f>
        <v>-12.6925</v>
      </c>
      <c r="H48" s="7">
        <f>日前电价!H48-实时电价!H48</f>
        <v>5.83499999999998</v>
      </c>
      <c r="I48" s="7">
        <f>日前电价!I48-实时电价!I48</f>
        <v>-37.2287</v>
      </c>
      <c r="J48" s="7">
        <f>日前电价!J48-实时电价!J48</f>
        <v>-26.6161</v>
      </c>
      <c r="K48" s="7">
        <f>日前电价!K48-实时电价!K48</f>
        <v>-28.255</v>
      </c>
      <c r="L48" s="7">
        <f>日前电价!L48-实时电价!L48</f>
        <v>209.3376</v>
      </c>
      <c r="M48" s="7">
        <f>日前电价!M48-实时电价!M48</f>
        <v>231.7275</v>
      </c>
      <c r="N48" s="7">
        <f>日前电价!N48-实时电价!N48</f>
        <v>119.0543</v>
      </c>
      <c r="O48" s="7">
        <f>日前电价!O48-实时电价!O48</f>
        <v>237.91</v>
      </c>
      <c r="P48" s="7">
        <f>日前电价!P48-实时电价!P48</f>
        <v>64.4987</v>
      </c>
      <c r="Q48" s="7">
        <f>日前电价!Q48-实时电价!Q48</f>
        <v>7.11249999999998</v>
      </c>
      <c r="R48" s="7">
        <f>日前电价!R48-实时电价!R48</f>
        <v>60.325</v>
      </c>
      <c r="S48" s="7">
        <f>日前电价!S48-实时电价!S48</f>
        <v>-11.3093</v>
      </c>
      <c r="T48" s="7">
        <f>日前电价!T48-实时电价!T48</f>
        <v>-19.3428</v>
      </c>
      <c r="U48" s="7">
        <f>日前电价!U48-实时电价!U48</f>
        <v>-60.3545</v>
      </c>
      <c r="V48" s="7">
        <f>日前电价!V48-实时电价!V48</f>
        <v>-225.8523</v>
      </c>
      <c r="W48" s="7">
        <f>日前电价!W48-实时电价!W48</f>
        <v>-328.7409</v>
      </c>
      <c r="X48" s="7">
        <f>日前电价!X48-实时电价!X48</f>
        <v>-306.329</v>
      </c>
      <c r="Y48" s="7">
        <f>日前电价!Y48-实时电价!Y48</f>
        <v>-369.9604</v>
      </c>
      <c r="Z48" s="9">
        <f t="shared" si="0"/>
        <v>237.91</v>
      </c>
      <c r="AA48" s="9">
        <f t="shared" si="1"/>
        <v>-369.9604</v>
      </c>
      <c r="AB48" s="9">
        <f t="shared" si="2"/>
        <v>-49.089625</v>
      </c>
    </row>
    <row r="49" spans="1:28">
      <c r="A49" s="8">
        <v>45339</v>
      </c>
      <c r="B49" s="7">
        <f>日前电价!B49-实时电价!B49</f>
        <v>-68.83</v>
      </c>
      <c r="C49" s="7">
        <f>日前电价!C49-实时电价!C49</f>
        <v>-1.92000000000002</v>
      </c>
      <c r="D49" s="7">
        <f>日前电价!D49-实时电价!D49</f>
        <v>109.375</v>
      </c>
      <c r="E49" s="7">
        <f>日前电价!E49-实时电价!E49</f>
        <v>156.42</v>
      </c>
      <c r="F49" s="7">
        <f>日前电价!F49-实时电价!F49</f>
        <v>108.975</v>
      </c>
      <c r="G49" s="7">
        <f>日前电价!G49-实时电价!G49</f>
        <v>129.3275</v>
      </c>
      <c r="H49" s="7">
        <f>日前电价!H49-实时电价!H49</f>
        <v>36.4425</v>
      </c>
      <c r="I49" s="7">
        <f>日前电价!I49-实时电价!I49</f>
        <v>-33.835</v>
      </c>
      <c r="J49" s="7">
        <f>日前电价!J49-实时电价!J49</f>
        <v>-54.615</v>
      </c>
      <c r="K49" s="7">
        <f>日前电价!K49-实时电价!K49</f>
        <v>-81.8741</v>
      </c>
      <c r="L49" s="7">
        <f>日前电价!L49-实时电价!L49</f>
        <v>-29.1232</v>
      </c>
      <c r="M49" s="7">
        <f>日前电价!M49-实时电价!M49</f>
        <v>-21.0904</v>
      </c>
      <c r="N49" s="7">
        <f>日前电价!N49-实时电价!N49</f>
        <v>-2.58100000000002</v>
      </c>
      <c r="O49" s="7">
        <f>日前电价!O49-实时电价!O49</f>
        <v>111.6803</v>
      </c>
      <c r="P49" s="7">
        <f>日前电价!P49-实时电价!P49</f>
        <v>2.9375</v>
      </c>
      <c r="Q49" s="7">
        <f>日前电价!Q49-实时电价!Q49</f>
        <v>28.445</v>
      </c>
      <c r="R49" s="7">
        <f>日前电价!R49-实时电价!R49</f>
        <v>89.1099</v>
      </c>
      <c r="S49" s="7">
        <f>日前电价!S49-实时电价!S49</f>
        <v>1.53449999999998</v>
      </c>
      <c r="T49" s="7">
        <f>日前电价!T49-实时电价!T49</f>
        <v>-17.705</v>
      </c>
      <c r="U49" s="7">
        <f>日前电价!U49-实时电价!U49</f>
        <v>-19.84</v>
      </c>
      <c r="V49" s="7">
        <f>日前电价!V49-实时电价!V49</f>
        <v>-19.302</v>
      </c>
      <c r="W49" s="7">
        <f>日前电价!W49-实时电价!W49</f>
        <v>-27.1907</v>
      </c>
      <c r="X49" s="7">
        <f>日前电价!X49-实时电价!X49</f>
        <v>23.8431</v>
      </c>
      <c r="Y49" s="7">
        <f>日前电价!Y49-实时电价!Y49</f>
        <v>-45.8029</v>
      </c>
      <c r="Z49" s="9">
        <f t="shared" si="0"/>
        <v>156.42</v>
      </c>
      <c r="AA49" s="9">
        <f t="shared" si="1"/>
        <v>-81.8741</v>
      </c>
      <c r="AB49" s="9">
        <f t="shared" si="2"/>
        <v>15.5992083333333</v>
      </c>
    </row>
    <row r="50" spans="1:28">
      <c r="A50" s="8">
        <v>45340</v>
      </c>
      <c r="B50" s="7">
        <f>日前电价!B50-实时电价!B50</f>
        <v>-130.75</v>
      </c>
      <c r="C50" s="7">
        <f>日前电价!C50-实时电价!C50</f>
        <v>86.25</v>
      </c>
      <c r="D50" s="7">
        <f>日前电价!D50-实时电价!D50</f>
        <v>96.08</v>
      </c>
      <c r="E50" s="7">
        <f>日前电价!E50-实时电价!E50</f>
        <v>206.635</v>
      </c>
      <c r="F50" s="7">
        <f>日前电价!F50-实时电价!F50</f>
        <v>16.1325</v>
      </c>
      <c r="G50" s="7">
        <f>日前电价!G50-实时电价!G50</f>
        <v>68.1025</v>
      </c>
      <c r="H50" s="7">
        <f>日前电价!H50-实时电价!H50</f>
        <v>-25.755</v>
      </c>
      <c r="I50" s="7">
        <f>日前电价!I50-实时电价!I50</f>
        <v>-148.5575</v>
      </c>
      <c r="J50" s="7">
        <f>日前电价!J50-实时电价!J50</f>
        <v>-41.5275</v>
      </c>
      <c r="K50" s="7">
        <f>日前电价!K50-实时电价!K50</f>
        <v>-32.495</v>
      </c>
      <c r="L50" s="7">
        <f>日前电价!L50-实时电价!L50</f>
        <v>-17.42</v>
      </c>
      <c r="M50" s="7">
        <f>日前电价!M50-实时电价!M50</f>
        <v>23.5229</v>
      </c>
      <c r="N50" s="7">
        <f>日前电价!N50-实时电价!N50</f>
        <v>163.8075</v>
      </c>
      <c r="O50" s="7">
        <f>日前电价!O50-实时电价!O50</f>
        <v>80.01</v>
      </c>
      <c r="P50" s="7">
        <f>日前电价!P50-实时电价!P50</f>
        <v>185.25</v>
      </c>
      <c r="Q50" s="7">
        <f>日前电价!Q50-实时电价!Q50</f>
        <v>-19.9775</v>
      </c>
      <c r="R50" s="7">
        <f>日前电价!R50-实时电价!R50</f>
        <v>-5</v>
      </c>
      <c r="S50" s="7">
        <f>日前电价!S50-实时电价!S50</f>
        <v>66.25</v>
      </c>
      <c r="T50" s="7">
        <f>日前电价!T50-实时电价!T50</f>
        <v>-22.6899</v>
      </c>
      <c r="U50" s="7">
        <f>日前电价!U50-实时电价!U50</f>
        <v>-52.5</v>
      </c>
      <c r="V50" s="7">
        <f>日前电价!V50-实时电价!V50</f>
        <v>-39.4535</v>
      </c>
      <c r="W50" s="7">
        <f>日前电价!W50-实时电价!W50</f>
        <v>-40</v>
      </c>
      <c r="X50" s="7">
        <f>日前电价!X50-实时电价!X50</f>
        <v>-43.505</v>
      </c>
      <c r="Y50" s="7">
        <f>日前电价!Y50-实时电价!Y50</f>
        <v>-106.3675</v>
      </c>
      <c r="Z50" s="9">
        <f t="shared" si="0"/>
        <v>206.635</v>
      </c>
      <c r="AA50" s="9">
        <f t="shared" si="1"/>
        <v>-148.5575</v>
      </c>
      <c r="AB50" s="9">
        <f t="shared" si="2"/>
        <v>11.0850833333333</v>
      </c>
    </row>
    <row r="51" spans="1:28">
      <c r="A51" s="8">
        <v>45341</v>
      </c>
      <c r="B51" s="7">
        <f>日前电价!B51-实时电价!B51</f>
        <v>-8.5575</v>
      </c>
      <c r="C51" s="7">
        <f>日前电价!C51-实时电价!C51</f>
        <v>-15</v>
      </c>
      <c r="D51" s="7">
        <f>日前电价!D51-实时电价!D51</f>
        <v>-14.25</v>
      </c>
      <c r="E51" s="7">
        <f>日前电价!E51-实时电价!E51</f>
        <v>4.75</v>
      </c>
      <c r="F51" s="7">
        <f>日前电价!F51-实时电价!F51</f>
        <v>-2.0575</v>
      </c>
      <c r="G51" s="7">
        <f>日前电价!G51-实时电价!G51</f>
        <v>-5.9425</v>
      </c>
      <c r="H51" s="7">
        <f>日前电价!H51-实时电价!H51</f>
        <v>-6.255</v>
      </c>
      <c r="I51" s="7">
        <f>日前电价!I51-实时电价!I51</f>
        <v>-17.5</v>
      </c>
      <c r="J51" s="7">
        <f>日前电价!J51-实时电价!J51</f>
        <v>-151</v>
      </c>
      <c r="K51" s="7">
        <f>日前电价!K51-实时电价!K51</f>
        <v>-163.745</v>
      </c>
      <c r="L51" s="7">
        <f>日前电价!L51-实时电价!L51</f>
        <v>-16.415</v>
      </c>
      <c r="M51" s="7">
        <f>日前电价!M51-实时电价!M51</f>
        <v>29.7299</v>
      </c>
      <c r="N51" s="7">
        <f>日前电价!N51-实时电价!N51</f>
        <v>192.1815</v>
      </c>
      <c r="O51" s="7">
        <f>日前电价!O51-实时电价!O51</f>
        <v>109.5367</v>
      </c>
      <c r="P51" s="7">
        <f>日前电价!P51-实时电价!P51</f>
        <v>13.47</v>
      </c>
      <c r="Q51" s="7">
        <f>日前电价!Q51-实时电价!Q51</f>
        <v>65.3692</v>
      </c>
      <c r="R51" s="7">
        <f>日前电价!R51-实时电价!R51</f>
        <v>-31.7395</v>
      </c>
      <c r="S51" s="7">
        <f>日前电价!S51-实时电价!S51</f>
        <v>-12.5554</v>
      </c>
      <c r="T51" s="7">
        <f>日前电价!T51-实时电价!T51</f>
        <v>-1.42239999999998</v>
      </c>
      <c r="U51" s="7">
        <f>日前电价!U51-实时电价!U51</f>
        <v>-4.63060000000002</v>
      </c>
      <c r="V51" s="7">
        <f>日前电价!V51-实时电价!V51</f>
        <v>15.6698</v>
      </c>
      <c r="W51" s="7">
        <f>日前电价!W51-实时电价!W51</f>
        <v>8.32040000000001</v>
      </c>
      <c r="X51" s="7">
        <f>日前电价!X51-实时电价!X51</f>
        <v>57.0627</v>
      </c>
      <c r="Y51" s="7">
        <f>日前电价!Y51-实时电价!Y51</f>
        <v>58.5307</v>
      </c>
      <c r="Z51" s="9">
        <f t="shared" si="0"/>
        <v>192.1815</v>
      </c>
      <c r="AA51" s="9">
        <f t="shared" si="1"/>
        <v>-163.745</v>
      </c>
      <c r="AB51" s="9">
        <f t="shared" si="2"/>
        <v>4.31460416666667</v>
      </c>
    </row>
    <row r="52" spans="1:28">
      <c r="A52" s="8">
        <v>45342</v>
      </c>
      <c r="B52" s="7">
        <f>日前电价!B52-实时电价!B52</f>
        <v>-5.9674</v>
      </c>
      <c r="C52" s="7">
        <f>日前电价!C52-实时电价!C52</f>
        <v>-2.31760000000003</v>
      </c>
      <c r="D52" s="7">
        <f>日前电价!D52-实时电价!D52</f>
        <v>-0.437900000000013</v>
      </c>
      <c r="E52" s="7">
        <f>日前电价!E52-实时电价!E52</f>
        <v>154.3673</v>
      </c>
      <c r="F52" s="7">
        <f>日前电价!F52-实时电价!F52</f>
        <v>225.0522</v>
      </c>
      <c r="G52" s="7">
        <f>日前电价!G52-实时电价!G52</f>
        <v>49.3271</v>
      </c>
      <c r="H52" s="7">
        <f>日前电价!H52-实时电价!H52</f>
        <v>-24.0004</v>
      </c>
      <c r="I52" s="7">
        <f>日前电价!I52-实时电价!I52</f>
        <v>-20.9149</v>
      </c>
      <c r="J52" s="7">
        <f>日前电价!J52-实时电价!J52</f>
        <v>-8.53359999999998</v>
      </c>
      <c r="K52" s="7">
        <f>日前电价!K52-实时电价!K52</f>
        <v>13.9381</v>
      </c>
      <c r="L52" s="7">
        <f>日前电价!L52-实时电价!L52</f>
        <v>40.7026</v>
      </c>
      <c r="M52" s="7">
        <f>日前电价!M52-实时电价!M52</f>
        <v>127.3232</v>
      </c>
      <c r="N52" s="7">
        <f>日前电价!N52-实时电价!N52</f>
        <v>302.7029</v>
      </c>
      <c r="O52" s="7">
        <f>日前电价!O52-实时电价!O52</f>
        <v>300.9647</v>
      </c>
      <c r="P52" s="7">
        <f>日前电价!P52-实时电价!P52</f>
        <v>118.6885</v>
      </c>
      <c r="Q52" s="7">
        <f>日前电价!Q52-实时电价!Q52</f>
        <v>81.3771</v>
      </c>
      <c r="R52" s="7">
        <f>日前电价!R52-实时电价!R52</f>
        <v>4.71190000000001</v>
      </c>
      <c r="S52" s="7">
        <f>日前电价!S52-实时电价!S52</f>
        <v>21.3034</v>
      </c>
      <c r="T52" s="7">
        <f>日前电价!T52-实时电价!T52</f>
        <v>1.2706</v>
      </c>
      <c r="U52" s="7">
        <f>日前电价!U52-实时电价!U52</f>
        <v>-11.2309</v>
      </c>
      <c r="V52" s="7">
        <f>日前电价!V52-实时电价!V52</f>
        <v>-8.94349999999997</v>
      </c>
      <c r="W52" s="7">
        <f>日前电价!W52-实时电价!W52</f>
        <v>2.64049999999997</v>
      </c>
      <c r="X52" s="7">
        <f>日前电价!X52-实时电价!X52</f>
        <v>6.28220000000005</v>
      </c>
      <c r="Y52" s="7">
        <f>日前电价!Y52-实时电价!Y52</f>
        <v>-3.57040000000001</v>
      </c>
      <c r="Z52" s="9">
        <f t="shared" si="0"/>
        <v>302.7029</v>
      </c>
      <c r="AA52" s="9">
        <f t="shared" si="1"/>
        <v>-24.0004</v>
      </c>
      <c r="AB52" s="9">
        <f t="shared" si="2"/>
        <v>56.8639875</v>
      </c>
    </row>
    <row r="53" spans="1:28">
      <c r="A53" s="8">
        <v>45343</v>
      </c>
      <c r="B53" s="7">
        <f>日前电价!B53-实时电价!B53</f>
        <v>0.296199999999999</v>
      </c>
      <c r="C53" s="7">
        <f>日前电价!C53-实时电价!C53</f>
        <v>7.45839999999998</v>
      </c>
      <c r="D53" s="7">
        <f>日前电价!D53-实时电价!D53</f>
        <v>69.6392</v>
      </c>
      <c r="E53" s="7">
        <f>日前电价!E53-实时电价!E53</f>
        <v>100.9224</v>
      </c>
      <c r="F53" s="7">
        <f>日前电价!F53-实时电价!F53</f>
        <v>19.4836</v>
      </c>
      <c r="G53" s="7">
        <f>日前电价!G53-实时电价!G53</f>
        <v>2.68540000000002</v>
      </c>
      <c r="H53" s="7">
        <f>日前电价!H53-实时电价!H53</f>
        <v>-2.73880000000003</v>
      </c>
      <c r="I53" s="7">
        <f>日前电价!I53-实时电价!I53</f>
        <v>-2.98759999999999</v>
      </c>
      <c r="J53" s="7">
        <f>日前电价!J53-实时电价!J53</f>
        <v>-25.7575</v>
      </c>
      <c r="K53" s="7">
        <f>日前电价!K53-实时电价!K53</f>
        <v>-4.75849999999997</v>
      </c>
      <c r="L53" s="7">
        <f>日前电价!L53-实时电价!L53</f>
        <v>30.3314</v>
      </c>
      <c r="M53" s="7">
        <f>日前电价!M53-实时电价!M53</f>
        <v>64.0606</v>
      </c>
      <c r="N53" s="7">
        <f>日前电价!N53-实时电价!N53</f>
        <v>77.6141</v>
      </c>
      <c r="O53" s="7">
        <f>日前电价!O53-实时电价!O53</f>
        <v>20.3118</v>
      </c>
      <c r="P53" s="7">
        <f>日前电价!P53-实时电价!P53</f>
        <v>-7.30530000000005</v>
      </c>
      <c r="Q53" s="7">
        <f>日前电价!Q53-实时电价!Q53</f>
        <v>-7.52750000000003</v>
      </c>
      <c r="R53" s="7">
        <f>日前电价!R53-实时电价!R53</f>
        <v>-15.2116</v>
      </c>
      <c r="S53" s="7">
        <f>日前电价!S53-实时电价!S53</f>
        <v>7.14769999999999</v>
      </c>
      <c r="T53" s="7">
        <f>日前电价!T53-实时电价!T53</f>
        <v>10.442</v>
      </c>
      <c r="U53" s="7">
        <f>日前电价!U53-实时电价!U53</f>
        <v>6.65839999999997</v>
      </c>
      <c r="V53" s="7">
        <f>日前电价!V53-实时电价!V53</f>
        <v>13.1138</v>
      </c>
      <c r="W53" s="7">
        <f>日前电价!W53-实时电价!W53</f>
        <v>14.7731</v>
      </c>
      <c r="X53" s="7">
        <f>日前电价!X53-实时电价!X53</f>
        <v>19.7533</v>
      </c>
      <c r="Y53" s="7">
        <f>日前电价!Y53-实时电价!Y53</f>
        <v>19.1317</v>
      </c>
      <c r="Z53" s="9">
        <f t="shared" si="0"/>
        <v>100.9224</v>
      </c>
      <c r="AA53" s="9">
        <f t="shared" si="1"/>
        <v>-25.7575</v>
      </c>
      <c r="AB53" s="9">
        <f t="shared" si="2"/>
        <v>17.3973458333333</v>
      </c>
    </row>
    <row r="54" spans="1:28">
      <c r="A54" s="8">
        <v>45344</v>
      </c>
      <c r="B54" s="7">
        <f>日前电价!B54-实时电价!B54</f>
        <v>-20.1712</v>
      </c>
      <c r="C54" s="7">
        <f>日前电价!C54-实时电价!C54</f>
        <v>-4.22879999999998</v>
      </c>
      <c r="D54" s="7">
        <f>日前电价!D54-实时电价!D54</f>
        <v>-2.51650000000001</v>
      </c>
      <c r="E54" s="7">
        <f>日前电价!E54-实时电价!E54</f>
        <v>1.45159999999998</v>
      </c>
      <c r="F54" s="7">
        <f>日前电价!F54-实时电价!F54</f>
        <v>0</v>
      </c>
      <c r="G54" s="7">
        <f>日前电价!G54-实时电价!G54</f>
        <v>-5.75</v>
      </c>
      <c r="H54" s="7">
        <f>日前电价!H54-实时电价!H54</f>
        <v>-10.8271</v>
      </c>
      <c r="I54" s="7">
        <f>日前电价!I54-实时电价!I54</f>
        <v>-20.2495</v>
      </c>
      <c r="J54" s="7">
        <f>日前电价!J54-实时电价!J54</f>
        <v>-227.0609</v>
      </c>
      <c r="K54" s="7">
        <f>日前电价!K54-实时电价!K54</f>
        <v>-236.3973</v>
      </c>
      <c r="L54" s="7">
        <f>日前电价!L54-实时电价!L54</f>
        <v>-10.5247</v>
      </c>
      <c r="M54" s="7">
        <f>日前电价!M54-实时电价!M54</f>
        <v>4.9923</v>
      </c>
      <c r="N54" s="7">
        <f>日前电价!N54-实时电价!N54</f>
        <v>9.24010000000004</v>
      </c>
      <c r="O54" s="7">
        <f>日前电价!O54-实时电价!O54</f>
        <v>-4.91270000000003</v>
      </c>
      <c r="P54" s="7">
        <f>日前电价!P54-实时电价!P54</f>
        <v>-5.01859999999999</v>
      </c>
      <c r="Q54" s="7">
        <f>日前电价!Q54-实时电价!Q54</f>
        <v>0</v>
      </c>
      <c r="R54" s="7">
        <f>日前电价!R54-实时电价!R54</f>
        <v>-0.327600000000018</v>
      </c>
      <c r="S54" s="7">
        <f>日前电价!S54-实时电价!S54</f>
        <v>10.9043</v>
      </c>
      <c r="T54" s="7">
        <f>日前电价!T54-实时电价!T54</f>
        <v>18.9315</v>
      </c>
      <c r="U54" s="7">
        <f>日前电价!U54-实时电价!U54</f>
        <v>34.5098</v>
      </c>
      <c r="V54" s="7">
        <f>日前电价!V54-实时电价!V54</f>
        <v>19.5264</v>
      </c>
      <c r="W54" s="7">
        <f>日前电价!W54-实时电价!W54</f>
        <v>8.89030000000002</v>
      </c>
      <c r="X54" s="7">
        <f>日前电价!X54-实时电价!X54</f>
        <v>6.512</v>
      </c>
      <c r="Y54" s="7">
        <f>日前电价!Y54-实时电价!Y54</f>
        <v>13.385</v>
      </c>
      <c r="Z54" s="9">
        <f t="shared" si="0"/>
        <v>34.5098</v>
      </c>
      <c r="AA54" s="9">
        <f t="shared" si="1"/>
        <v>-236.3973</v>
      </c>
      <c r="AB54" s="9">
        <f t="shared" si="2"/>
        <v>-17.4850666666667</v>
      </c>
    </row>
    <row r="55" spans="1:28">
      <c r="A55" s="8">
        <v>45345</v>
      </c>
      <c r="B55" s="7">
        <f>日前电价!B55-实时电价!B55</f>
        <v>-7.44459999999998</v>
      </c>
      <c r="C55" s="7">
        <f>日前电价!C55-实时电价!C55</f>
        <v>4.87970000000001</v>
      </c>
      <c r="D55" s="7">
        <f>日前电价!D55-实时电价!D55</f>
        <v>13.335</v>
      </c>
      <c r="E55" s="7">
        <f>日前电价!E55-实时电价!E55</f>
        <v>15.7525</v>
      </c>
      <c r="F55" s="7">
        <f>日前电价!F55-实时电价!F55</f>
        <v>4.9975</v>
      </c>
      <c r="G55" s="7">
        <f>日前电价!G55-实时电价!G55</f>
        <v>5.66999999999996</v>
      </c>
      <c r="H55" s="7">
        <f>日前电价!H55-实时电价!H55</f>
        <v>7.75</v>
      </c>
      <c r="I55" s="7">
        <f>日前电价!I55-实时电价!I55</f>
        <v>2.41109999999998</v>
      </c>
      <c r="J55" s="7">
        <f>日前电价!J55-实时电价!J55</f>
        <v>-3.57749999999999</v>
      </c>
      <c r="K55" s="7">
        <f>日前电价!K55-实时电价!K55</f>
        <v>15.3517</v>
      </c>
      <c r="L55" s="7">
        <f>日前电价!L55-实时电价!L55</f>
        <v>22.3146</v>
      </c>
      <c r="M55" s="7">
        <f>日前电价!M55-实时电价!M55</f>
        <v>25.5192</v>
      </c>
      <c r="N55" s="7">
        <f>日前电价!N55-实时电价!N55</f>
        <v>104.2598</v>
      </c>
      <c r="O55" s="7">
        <f>日前电价!O55-实时电价!O55</f>
        <v>-1.67340000000002</v>
      </c>
      <c r="P55" s="7">
        <f>日前电价!P55-实时电价!P55</f>
        <v>6.678</v>
      </c>
      <c r="Q55" s="7">
        <f>日前电价!Q55-实时电价!Q55</f>
        <v>4.82330000000002</v>
      </c>
      <c r="R55" s="7">
        <f>日前电价!R55-实时电价!R55</f>
        <v>19.8701</v>
      </c>
      <c r="S55" s="7">
        <f>日前电价!S55-实时电价!S55</f>
        <v>15.1278</v>
      </c>
      <c r="T55" s="7">
        <f>日前电价!T55-实时电价!T55</f>
        <v>15.7943</v>
      </c>
      <c r="U55" s="7">
        <f>日前电价!U55-实时电价!U55</f>
        <v>21.1924</v>
      </c>
      <c r="V55" s="7">
        <f>日前电价!V55-实时电价!V55</f>
        <v>19.2885</v>
      </c>
      <c r="W55" s="7">
        <f>日前电价!W55-实时电价!W55</f>
        <v>18.6925</v>
      </c>
      <c r="X55" s="7">
        <f>日前电价!X55-实时电价!X55</f>
        <v>11.8929</v>
      </c>
      <c r="Y55" s="7">
        <f>日前电价!Y55-实时电价!Y55</f>
        <v>-4.87540000000001</v>
      </c>
      <c r="Z55" s="9">
        <f t="shared" si="0"/>
        <v>104.2598</v>
      </c>
      <c r="AA55" s="9">
        <f t="shared" si="1"/>
        <v>-7.44459999999998</v>
      </c>
      <c r="AB55" s="9">
        <f t="shared" si="2"/>
        <v>14.0845833333333</v>
      </c>
    </row>
    <row r="56" spans="1:28">
      <c r="A56" s="8">
        <v>45346</v>
      </c>
      <c r="B56" s="7">
        <f>日前电价!B56-实时电价!B56</f>
        <v>-40.1397</v>
      </c>
      <c r="C56" s="7">
        <f>日前电价!C56-实时电价!C56</f>
        <v>-13.1265</v>
      </c>
      <c r="D56" s="7">
        <f>日前电价!D56-实时电价!D56</f>
        <v>5.52010000000001</v>
      </c>
      <c r="E56" s="7">
        <f>日前电价!E56-实时电价!E56</f>
        <v>-1.29470000000003</v>
      </c>
      <c r="F56" s="7">
        <f>日前电价!F56-实时电价!F56</f>
        <v>89.9075</v>
      </c>
      <c r="G56" s="7">
        <f>日前电价!G56-实时电价!G56</f>
        <v>88.41</v>
      </c>
      <c r="H56" s="7">
        <f>日前电价!H56-实时电价!H56</f>
        <v>6.91500000000002</v>
      </c>
      <c r="I56" s="7">
        <f>日前电价!I56-实时电价!I56</f>
        <v>-9.67430000000002</v>
      </c>
      <c r="J56" s="7">
        <f>日前电价!J56-实时电价!J56</f>
        <v>-18.4944</v>
      </c>
      <c r="K56" s="7">
        <f>日前电价!K56-实时电价!K56</f>
        <v>-14.3533</v>
      </c>
      <c r="L56" s="7">
        <f>日前电价!L56-实时电价!L56</f>
        <v>-12.6697</v>
      </c>
      <c r="M56" s="7">
        <f>日前电价!M56-实时电价!M56</f>
        <v>5.34949999999998</v>
      </c>
      <c r="N56" s="7">
        <f>日前电价!N56-实时电价!N56</f>
        <v>116.2677</v>
      </c>
      <c r="O56" s="7">
        <f>日前电价!O56-实时电价!O56</f>
        <v>-32.945</v>
      </c>
      <c r="P56" s="7">
        <f>日前电价!P56-实时电价!P56</f>
        <v>-4.49380000000002</v>
      </c>
      <c r="Q56" s="7">
        <f>日前电价!Q56-实时电价!Q56</f>
        <v>-9.17500000000001</v>
      </c>
      <c r="R56" s="7">
        <f>日前电价!R56-实时电价!R56</f>
        <v>-6.36279999999999</v>
      </c>
      <c r="S56" s="7">
        <f>日前电价!S56-实时电价!S56</f>
        <v>-6.06189999999998</v>
      </c>
      <c r="T56" s="7">
        <f>日前电价!T56-实时电价!T56</f>
        <v>1.2568</v>
      </c>
      <c r="U56" s="7">
        <f>日前电价!U56-实时电价!U56</f>
        <v>14.1747</v>
      </c>
      <c r="V56" s="7">
        <f>日前电价!V56-实时电价!V56</f>
        <v>30.7321</v>
      </c>
      <c r="W56" s="7">
        <f>日前电价!W56-实时电价!W56</f>
        <v>20.073</v>
      </c>
      <c r="X56" s="7">
        <f>日前电价!X56-实时电价!X56</f>
        <v>4.46980000000002</v>
      </c>
      <c r="Y56" s="7">
        <f>日前电价!Y56-实时电价!Y56</f>
        <v>-7.06599999999997</v>
      </c>
      <c r="Z56" s="9">
        <f t="shared" si="0"/>
        <v>116.2677</v>
      </c>
      <c r="AA56" s="9">
        <f t="shared" si="1"/>
        <v>-40.1397</v>
      </c>
      <c r="AB56" s="9">
        <f t="shared" si="2"/>
        <v>8.63412916666666</v>
      </c>
    </row>
    <row r="57" spans="1:28">
      <c r="A57" s="8">
        <v>45347</v>
      </c>
      <c r="B57" s="7">
        <f>日前电价!B57-实时电价!B57</f>
        <v>-42.9871</v>
      </c>
      <c r="C57" s="7">
        <f>日前电价!C57-实时电价!C57</f>
        <v>7.02999999999997</v>
      </c>
      <c r="D57" s="7">
        <f>日前电价!D57-实时电价!D57</f>
        <v>10.67</v>
      </c>
      <c r="E57" s="7">
        <f>日前电价!E57-实时电价!E57</f>
        <v>16.17</v>
      </c>
      <c r="F57" s="7">
        <f>日前电价!F57-实时电价!F57</f>
        <v>25.0725</v>
      </c>
      <c r="G57" s="7">
        <f>日前电价!G57-实时电价!G57</f>
        <v>78.33</v>
      </c>
      <c r="H57" s="7">
        <f>日前电价!H57-实时电价!H57</f>
        <v>19.4125</v>
      </c>
      <c r="I57" s="7">
        <f>日前电价!I57-实时电价!I57</f>
        <v>-19.6198</v>
      </c>
      <c r="J57" s="7">
        <f>日前电价!J57-实时电价!J57</f>
        <v>-20.5</v>
      </c>
      <c r="K57" s="7">
        <f>日前电价!K57-实时电价!K57</f>
        <v>-12.5156</v>
      </c>
      <c r="L57" s="7">
        <f>日前电价!L57-实时电价!L57</f>
        <v>-7.49040000000002</v>
      </c>
      <c r="M57" s="7">
        <f>日前电价!M57-实时电价!M57</f>
        <v>-20.5043</v>
      </c>
      <c r="N57" s="7">
        <f>日前电价!N57-实时电价!N57</f>
        <v>-38.3173</v>
      </c>
      <c r="O57" s="7">
        <f>日前电价!O57-实时电价!O57</f>
        <v>-31.0429</v>
      </c>
      <c r="P57" s="7">
        <f>日前电价!P57-实时电价!P57</f>
        <v>-9.7389</v>
      </c>
      <c r="Q57" s="7">
        <f>日前电价!Q57-实时电价!Q57</f>
        <v>-9.82369999999997</v>
      </c>
      <c r="R57" s="7">
        <f>日前电价!R57-实时电价!R57</f>
        <v>-22.7392</v>
      </c>
      <c r="S57" s="7">
        <f>日前电价!S57-实时电价!S57</f>
        <v>-33.5518</v>
      </c>
      <c r="T57" s="7">
        <f>日前电价!T57-实时电价!T57</f>
        <v>-54.3604</v>
      </c>
      <c r="U57" s="7">
        <f>日前电价!U57-实时电价!U57</f>
        <v>-113.4987</v>
      </c>
      <c r="V57" s="7">
        <f>日前电价!V57-实时电价!V57</f>
        <v>-81.2249</v>
      </c>
      <c r="W57" s="7">
        <f>日前电价!W57-实时电价!W57</f>
        <v>-112.7291</v>
      </c>
      <c r="X57" s="7">
        <f>日前电价!X57-实时电价!X57</f>
        <v>-37.2063</v>
      </c>
      <c r="Y57" s="7">
        <f>日前电价!Y57-实时电价!Y57</f>
        <v>-43.0223999999999</v>
      </c>
      <c r="Z57" s="9">
        <f t="shared" si="0"/>
        <v>78.33</v>
      </c>
      <c r="AA57" s="9">
        <f t="shared" si="1"/>
        <v>-113.4987</v>
      </c>
      <c r="AB57" s="9">
        <f t="shared" si="2"/>
        <v>-23.0911583333333</v>
      </c>
    </row>
    <row r="58" spans="1:28">
      <c r="A58" s="8">
        <v>45348</v>
      </c>
      <c r="B58" s="7">
        <f>日前电价!B58-实时电价!B58</f>
        <v>-37.1134</v>
      </c>
      <c r="C58" s="7">
        <f>日前电价!C58-实时电价!C58</f>
        <v>-21.9297</v>
      </c>
      <c r="D58" s="7">
        <f>日前电价!D58-实时电价!D58</f>
        <v>-15.624</v>
      </c>
      <c r="E58" s="7">
        <f>日前电价!E58-实时电价!E58</f>
        <v>-3.24340000000001</v>
      </c>
      <c r="F58" s="7">
        <f>日前电价!F58-实时电价!F58</f>
        <v>-14.7988</v>
      </c>
      <c r="G58" s="7">
        <f>日前电价!G58-实时电价!G58</f>
        <v>9.59390000000002</v>
      </c>
      <c r="H58" s="7">
        <f>日前电价!H58-实时电价!H58</f>
        <v>-16.758</v>
      </c>
      <c r="I58" s="7">
        <f>日前电价!I58-实时电价!I58</f>
        <v>-14.3694</v>
      </c>
      <c r="J58" s="7">
        <f>日前电价!J58-实时电价!J58</f>
        <v>-22.5526</v>
      </c>
      <c r="K58" s="7">
        <f>日前电价!K58-实时电价!K58</f>
        <v>-25.4338</v>
      </c>
      <c r="L58" s="7">
        <f>日前电价!L58-实时电价!L58</f>
        <v>0.192999999999984</v>
      </c>
      <c r="M58" s="7">
        <f>日前电价!M58-实时电价!M58</f>
        <v>24.4209</v>
      </c>
      <c r="N58" s="7">
        <f>日前电价!N58-实时电价!N58</f>
        <v>100.8096</v>
      </c>
      <c r="O58" s="7">
        <f>日前电价!O58-实时电价!O58</f>
        <v>124.8986</v>
      </c>
      <c r="P58" s="7">
        <f>日前电价!P58-实时电价!P58</f>
        <v>10.723</v>
      </c>
      <c r="Q58" s="7">
        <f>日前电价!Q58-实时电价!Q58</f>
        <v>-5.97060000000005</v>
      </c>
      <c r="R58" s="7">
        <f>日前电价!R58-实时电价!R58</f>
        <v>-6.54769999999996</v>
      </c>
      <c r="S58" s="7">
        <f>日前电价!S58-实时电价!S58</f>
        <v>-9.48430000000002</v>
      </c>
      <c r="T58" s="7">
        <f>日前电价!T58-实时电价!T58</f>
        <v>-8.6678</v>
      </c>
      <c r="U58" s="7">
        <f>日前电价!U58-实时电价!U58</f>
        <v>-27.1826</v>
      </c>
      <c r="V58" s="7">
        <f>日前电价!V58-实时电价!V58</f>
        <v>-47.5035</v>
      </c>
      <c r="W58" s="7">
        <f>日前电价!W58-实时电价!W58</f>
        <v>-53.8118</v>
      </c>
      <c r="X58" s="7">
        <f>日前电价!X58-实时电价!X58</f>
        <v>-16.6435</v>
      </c>
      <c r="Y58" s="7">
        <f>日前电价!Y58-实时电价!Y58</f>
        <v>1.33339999999998</v>
      </c>
      <c r="Z58" s="9">
        <f t="shared" si="0"/>
        <v>124.8986</v>
      </c>
      <c r="AA58" s="9">
        <f t="shared" si="1"/>
        <v>-53.8118</v>
      </c>
      <c r="AB58" s="9">
        <f t="shared" si="2"/>
        <v>-3.15260416666667</v>
      </c>
    </row>
    <row r="59" spans="1:28">
      <c r="A59" s="8">
        <v>45349</v>
      </c>
      <c r="B59" s="7">
        <f>日前电价!B59-实时电价!B59</f>
        <v>37.9294</v>
      </c>
      <c r="C59" s="7">
        <f>日前电价!C59-实时电价!C59</f>
        <v>25.6817</v>
      </c>
      <c r="D59" s="7">
        <f>日前电价!D59-实时电价!D59</f>
        <v>27.1939</v>
      </c>
      <c r="E59" s="7">
        <f>日前电价!E59-实时电价!E59</f>
        <v>33.2703</v>
      </c>
      <c r="F59" s="7">
        <f>日前电价!F59-实时电价!F59</f>
        <v>29.3508</v>
      </c>
      <c r="G59" s="7">
        <f>日前电价!G59-实时电价!G59</f>
        <v>60.862</v>
      </c>
      <c r="H59" s="7">
        <f>日前电价!H59-实时电价!H59</f>
        <v>23.7017</v>
      </c>
      <c r="I59" s="7">
        <f>日前电价!I59-实时电价!I59</f>
        <v>-6.69800000000004</v>
      </c>
      <c r="J59" s="7">
        <f>日前电价!J59-实时电价!J59</f>
        <v>-37.5705</v>
      </c>
      <c r="K59" s="7">
        <f>日前电价!K59-实时电价!K59</f>
        <v>-23.1047</v>
      </c>
      <c r="L59" s="7">
        <f>日前电价!L59-实时电价!L59</f>
        <v>-11.7132</v>
      </c>
      <c r="M59" s="7">
        <f>日前电价!M59-实时电价!M59</f>
        <v>26.0584</v>
      </c>
      <c r="N59" s="7">
        <f>日前电价!N59-实时电价!N59</f>
        <v>54.1025</v>
      </c>
      <c r="O59" s="7">
        <f>日前电价!O59-实时电价!O59</f>
        <v>8.41980000000001</v>
      </c>
      <c r="P59" s="7">
        <f>日前电价!P59-实时电价!P59</f>
        <v>6.67169999999999</v>
      </c>
      <c r="Q59" s="7">
        <f>日前电价!Q59-实时电价!Q59</f>
        <v>-1.7208</v>
      </c>
      <c r="R59" s="7">
        <f>日前电价!R59-实时电价!R59</f>
        <v>7.68970000000002</v>
      </c>
      <c r="S59" s="7">
        <f>日前电价!S59-实时电价!S59</f>
        <v>4.45370000000003</v>
      </c>
      <c r="T59" s="7">
        <f>日前电价!T59-实时电价!T59</f>
        <v>-2.70840000000004</v>
      </c>
      <c r="U59" s="7">
        <f>日前电价!U59-实时电价!U59</f>
        <v>-12.2058</v>
      </c>
      <c r="V59" s="7">
        <f>日前电价!V59-实时电价!V59</f>
        <v>-11.9661</v>
      </c>
      <c r="W59" s="7">
        <f>日前电价!W59-实时电价!W59</f>
        <v>-1.90140000000002</v>
      </c>
      <c r="X59" s="7">
        <f>日前电价!X59-实时电价!X59</f>
        <v>3.39340000000004</v>
      </c>
      <c r="Y59" s="7">
        <f>日前电价!Y59-实时电价!Y59</f>
        <v>3.11930000000001</v>
      </c>
      <c r="Z59" s="9">
        <f t="shared" si="0"/>
        <v>60.862</v>
      </c>
      <c r="AA59" s="9">
        <f t="shared" si="1"/>
        <v>-37.5705</v>
      </c>
      <c r="AB59" s="9">
        <f t="shared" si="2"/>
        <v>10.096225</v>
      </c>
    </row>
    <row r="60" spans="1:28">
      <c r="A60" s="8">
        <v>45350</v>
      </c>
      <c r="B60" s="7">
        <f>日前电价!B60-实时电价!B60</f>
        <v>-12.5825</v>
      </c>
      <c r="C60" s="7">
        <f>日前电价!C60-实时电价!C60</f>
        <v>-2.9966</v>
      </c>
      <c r="D60" s="7">
        <f>日前电价!D60-实时电价!D60</f>
        <v>13.935</v>
      </c>
      <c r="E60" s="7">
        <f>日前电价!E60-实时电价!E60</f>
        <v>9.34749999999997</v>
      </c>
      <c r="F60" s="7">
        <f>日前电价!F60-实时电价!F60</f>
        <v>76.975</v>
      </c>
      <c r="G60" s="7">
        <f>日前电价!G60-实时电价!G60</f>
        <v>2.04750000000001</v>
      </c>
      <c r="H60" s="7">
        <f>日前电价!H60-实时电价!H60</f>
        <v>-9.16310000000004</v>
      </c>
      <c r="I60" s="7">
        <f>日前电价!I60-实时电价!I60</f>
        <v>-13.788</v>
      </c>
      <c r="J60" s="7">
        <f>日前电价!J60-实时电价!J60</f>
        <v>-107.3596</v>
      </c>
      <c r="K60" s="7">
        <f>日前电价!K60-实时电价!K60</f>
        <v>-159.1514</v>
      </c>
      <c r="L60" s="7">
        <f>日前电价!L60-实时电价!L60</f>
        <v>-100.6608</v>
      </c>
      <c r="M60" s="7">
        <f>日前电价!M60-实时电价!M60</f>
        <v>8.62220000000002</v>
      </c>
      <c r="N60" s="7">
        <f>日前电价!N60-实时电价!N60</f>
        <v>17.0664</v>
      </c>
      <c r="O60" s="7">
        <f>日前电价!O60-实时电价!O60</f>
        <v>-1.89849999999996</v>
      </c>
      <c r="P60" s="7">
        <f>日前电价!P60-实时电价!P60</f>
        <v>-2.67829999999998</v>
      </c>
      <c r="Q60" s="7">
        <f>日前电价!Q60-实时电价!Q60</f>
        <v>-4.71859999999998</v>
      </c>
      <c r="R60" s="7">
        <f>日前电价!R60-实时电价!R60</f>
        <v>-8.73950000000002</v>
      </c>
      <c r="S60" s="7">
        <f>日前电价!S60-实时电价!S60</f>
        <v>-6.21600000000001</v>
      </c>
      <c r="T60" s="7">
        <f>日前电价!T60-实时电价!T60</f>
        <v>-15.0858</v>
      </c>
      <c r="U60" s="7">
        <f>日前电价!U60-实时电价!U60</f>
        <v>-45.989</v>
      </c>
      <c r="V60" s="7">
        <f>日前电价!V60-实时电价!V60</f>
        <v>-34.1893</v>
      </c>
      <c r="W60" s="7">
        <f>日前电价!W60-实时电价!W60</f>
        <v>-25.5997</v>
      </c>
      <c r="X60" s="7">
        <f>日前电价!X60-实时电价!X60</f>
        <v>-6.36989999999997</v>
      </c>
      <c r="Y60" s="7">
        <f>日前电价!Y60-实时电价!Y60</f>
        <v>-8.20690000000002</v>
      </c>
      <c r="Z60" s="9">
        <f t="shared" si="0"/>
        <v>76.975</v>
      </c>
      <c r="AA60" s="9">
        <f t="shared" si="1"/>
        <v>-159.1514</v>
      </c>
      <c r="AB60" s="9">
        <f t="shared" si="2"/>
        <v>-18.2249958333333</v>
      </c>
    </row>
    <row r="61" spans="1:28">
      <c r="A61" s="8">
        <v>45351</v>
      </c>
      <c r="B61" s="7">
        <f>日前电价!B61-实时电价!B61</f>
        <v>-7.59640000000002</v>
      </c>
      <c r="C61" s="7">
        <f>日前电价!C61-实时电价!C61</f>
        <v>-4.12970000000001</v>
      </c>
      <c r="D61" s="7">
        <f>日前电价!D61-实时电价!D61</f>
        <v>-0.77940000000001</v>
      </c>
      <c r="E61" s="7">
        <f>日前电价!E61-实时电价!E61</f>
        <v>7.88889999999998</v>
      </c>
      <c r="F61" s="7">
        <f>日前电价!F61-实时电价!F61</f>
        <v>0.75</v>
      </c>
      <c r="G61" s="7">
        <f>日前电价!G61-实时电价!G61</f>
        <v>-7.03500000000003</v>
      </c>
      <c r="H61" s="7">
        <f>日前电价!H61-实时电价!H61</f>
        <v>-2.91989999999998</v>
      </c>
      <c r="I61" s="7">
        <f>日前电价!I61-实时电价!I61</f>
        <v>-4.99710000000005</v>
      </c>
      <c r="J61" s="7">
        <f>日前电价!J61-实时电价!J61</f>
        <v>9.69929999999999</v>
      </c>
      <c r="K61" s="7">
        <f>日前电价!K61-实时电价!K61</f>
        <v>-2.49259999999998</v>
      </c>
      <c r="L61" s="7">
        <f>日前电价!L61-实时电价!L61</f>
        <v>-2.70769999999999</v>
      </c>
      <c r="M61" s="7">
        <f>日前电价!M61-实时电价!M61</f>
        <v>1.4982</v>
      </c>
      <c r="N61" s="7">
        <f>日前电价!N61-实时电价!N61</f>
        <v>15.1076</v>
      </c>
      <c r="O61" s="7">
        <f>日前电价!O61-实时电价!O61</f>
        <v>-5.01220000000001</v>
      </c>
      <c r="P61" s="7">
        <f>日前电价!P61-实时电价!P61</f>
        <v>-7.15430000000003</v>
      </c>
      <c r="Q61" s="7">
        <f>日前电价!Q61-实时电价!Q61</f>
        <v>-1.04159999999996</v>
      </c>
      <c r="R61" s="7">
        <f>日前电价!R61-实时电价!R61</f>
        <v>11.8615</v>
      </c>
      <c r="S61" s="7">
        <f>日前电价!S61-实时电价!S61</f>
        <v>17.936</v>
      </c>
      <c r="T61" s="7">
        <f>日前电价!T61-实时电价!T61</f>
        <v>26.9194</v>
      </c>
      <c r="U61" s="7">
        <f>日前电价!U61-实时电价!U61</f>
        <v>39.0969</v>
      </c>
      <c r="V61" s="7">
        <f>日前电价!V61-实时电价!V61</f>
        <v>26.4262000000001</v>
      </c>
      <c r="W61" s="7">
        <f>日前电价!W61-实时电价!W61</f>
        <v>21.2465</v>
      </c>
      <c r="X61" s="7">
        <f>日前电价!X61-实时电价!X61</f>
        <v>39.6989</v>
      </c>
      <c r="Y61" s="7">
        <f>日前电价!Y61-实时电价!Y61</f>
        <v>24.1624</v>
      </c>
      <c r="Z61" s="9">
        <f t="shared" si="0"/>
        <v>39.6989</v>
      </c>
      <c r="AA61" s="9">
        <f t="shared" si="1"/>
        <v>-7.59640000000002</v>
      </c>
      <c r="AB61" s="9">
        <f t="shared" si="2"/>
        <v>8.1844125</v>
      </c>
    </row>
    <row r="62" spans="1:28">
      <c r="A62" s="8">
        <v>45352</v>
      </c>
      <c r="B62" s="7">
        <f>日前电价!B62-实时电价!B62</f>
        <v>9.59840000000003</v>
      </c>
      <c r="C62" s="7">
        <f>日前电价!C62-实时电价!C62</f>
        <v>2.52480000000003</v>
      </c>
      <c r="D62" s="7">
        <f>日前电价!D62-实时电价!D62</f>
        <v>25.3415</v>
      </c>
      <c r="E62" s="7">
        <f>日前电价!E62-实时电价!E62</f>
        <v>173.8577</v>
      </c>
      <c r="F62" s="7">
        <f>日前电价!F62-实时电价!F62</f>
        <v>-34.0866</v>
      </c>
      <c r="G62" s="7">
        <f>日前电价!G62-实时电价!G62</f>
        <v>20.3142</v>
      </c>
      <c r="H62" s="7">
        <f>日前电价!H62-实时电价!H62</f>
        <v>-39.3873</v>
      </c>
      <c r="I62" s="7">
        <f>日前电价!I62-实时电价!I62</f>
        <v>-7.0804</v>
      </c>
      <c r="J62" s="7">
        <f>日前电价!J62-实时电价!J62</f>
        <v>22.5117</v>
      </c>
      <c r="K62" s="7">
        <f>日前电价!K62-实时电价!K62</f>
        <v>20.8948</v>
      </c>
      <c r="L62" s="7">
        <f>日前电价!L62-实时电价!L62</f>
        <v>10.0998</v>
      </c>
      <c r="M62" s="7">
        <f>日前电价!M62-实时电价!M62</f>
        <v>123.6442</v>
      </c>
      <c r="N62" s="7">
        <f>日前电价!N62-实时电价!N62</f>
        <v>41.9088</v>
      </c>
      <c r="O62" s="7">
        <f>日前电价!O62-实时电价!O62</f>
        <v>-38.7643</v>
      </c>
      <c r="P62" s="7">
        <f>日前电价!P62-实时电价!P62</f>
        <v>6.76080000000002</v>
      </c>
      <c r="Q62" s="7">
        <f>日前电价!Q62-实时电价!Q62</f>
        <v>49.3543</v>
      </c>
      <c r="R62" s="7">
        <f>日前电价!R62-实时电价!R62</f>
        <v>187.6197</v>
      </c>
      <c r="S62" s="7">
        <f>日前电价!S62-实时电价!S62</f>
        <v>127.2965</v>
      </c>
      <c r="T62" s="7">
        <f>日前电价!T62-实时电价!T62</f>
        <v>144.5627</v>
      </c>
      <c r="U62" s="7">
        <f>日前电价!U62-实时电价!U62</f>
        <v>196.2014</v>
      </c>
      <c r="V62" s="7">
        <f>日前电价!V62-实时电价!V62</f>
        <v>40.8497</v>
      </c>
      <c r="W62" s="7">
        <f>日前电价!W62-实时电价!W62</f>
        <v>23.9563</v>
      </c>
      <c r="X62" s="7">
        <f>日前电价!X62-实时电价!X62</f>
        <v>0.839099999999974</v>
      </c>
      <c r="Y62" s="7">
        <f>日前电价!Y62-实时电价!Y62</f>
        <v>-25.1672</v>
      </c>
      <c r="Z62" s="9">
        <f t="shared" si="0"/>
        <v>196.2014</v>
      </c>
      <c r="AA62" s="9">
        <f t="shared" si="1"/>
        <v>-39.3873</v>
      </c>
      <c r="AB62" s="9">
        <f t="shared" si="2"/>
        <v>45.1521083333333</v>
      </c>
    </row>
    <row r="63" spans="1:28">
      <c r="A63" s="8">
        <v>45353</v>
      </c>
      <c r="B63" s="7">
        <f>日前电价!B63-实时电价!B63</f>
        <v>-27.0942</v>
      </c>
      <c r="C63" s="7">
        <f>日前电价!C63-实时电价!C63</f>
        <v>-13.5182</v>
      </c>
      <c r="D63" s="7">
        <f>日前电价!D63-实时电价!D63</f>
        <v>-7.59090000000003</v>
      </c>
      <c r="E63" s="7">
        <f>日前电价!E63-实时电价!E63</f>
        <v>80.7329</v>
      </c>
      <c r="F63" s="7">
        <f>日前电价!F63-实时电价!F63</f>
        <v>127.5041</v>
      </c>
      <c r="G63" s="7">
        <f>日前电价!G63-实时电价!G63</f>
        <v>71.5956</v>
      </c>
      <c r="H63" s="7">
        <f>日前电价!H63-实时电价!H63</f>
        <v>2.18310000000002</v>
      </c>
      <c r="I63" s="7">
        <f>日前电价!I63-实时电价!I63</f>
        <v>-12.0686</v>
      </c>
      <c r="J63" s="7">
        <f>日前电价!J63-实时电价!J63</f>
        <v>-7.98770000000002</v>
      </c>
      <c r="K63" s="7">
        <f>日前电价!K63-实时电价!K63</f>
        <v>46.3618</v>
      </c>
      <c r="L63" s="7">
        <f>日前电价!L63-实时电价!L63</f>
        <v>41.87</v>
      </c>
      <c r="M63" s="7">
        <f>日前电价!M63-实时电价!M63</f>
        <v>44.6394</v>
      </c>
      <c r="N63" s="7">
        <f>日前电价!N63-实时电价!N63</f>
        <v>28.2996</v>
      </c>
      <c r="O63" s="7">
        <f>日前电价!O63-实时电价!O63</f>
        <v>15.2998</v>
      </c>
      <c r="P63" s="7">
        <f>日前电价!P63-实时电价!P63</f>
        <v>17.3404</v>
      </c>
      <c r="Q63" s="7">
        <f>日前电价!Q63-实时电价!Q63</f>
        <v>16.4371</v>
      </c>
      <c r="R63" s="7">
        <f>日前电价!R63-实时电价!R63</f>
        <v>1.31529999999998</v>
      </c>
      <c r="S63" s="7">
        <f>日前电价!S63-实时电价!S63</f>
        <v>9.61380000000003</v>
      </c>
      <c r="T63" s="7">
        <f>日前电价!T63-实时电价!T63</f>
        <v>14.4406</v>
      </c>
      <c r="U63" s="7">
        <f>日前电价!U63-实时电价!U63</f>
        <v>11.031</v>
      </c>
      <c r="V63" s="7">
        <f>日前电价!V63-实时电价!V63</f>
        <v>12.4241</v>
      </c>
      <c r="W63" s="7">
        <f>日前电价!W63-实时电价!W63</f>
        <v>6.61630000000002</v>
      </c>
      <c r="X63" s="7">
        <f>日前电价!X63-实时电价!X63</f>
        <v>-0.463099999999997</v>
      </c>
      <c r="Y63" s="7">
        <f>日前电价!Y63-实时电价!Y63</f>
        <v>-18.6209</v>
      </c>
      <c r="Z63" s="9">
        <f t="shared" si="0"/>
        <v>127.5041</v>
      </c>
      <c r="AA63" s="9">
        <f t="shared" si="1"/>
        <v>-27.0942</v>
      </c>
      <c r="AB63" s="9">
        <f t="shared" si="2"/>
        <v>19.1817208333333</v>
      </c>
    </row>
    <row r="64" spans="1:28">
      <c r="A64" s="8">
        <v>45354</v>
      </c>
      <c r="B64" s="7">
        <f>日前电价!B64-实时电价!B64</f>
        <v>-17.2747</v>
      </c>
      <c r="C64" s="7">
        <f>日前电价!C64-实时电价!C64</f>
        <v>-7.37940000000003</v>
      </c>
      <c r="D64" s="7">
        <f>日前电价!D64-实时电价!D64</f>
        <v>-1.10759999999999</v>
      </c>
      <c r="E64" s="7">
        <f>日前电价!E64-实时电价!E64</f>
        <v>5.24759999999998</v>
      </c>
      <c r="F64" s="7">
        <f>日前电价!F64-实时电价!F64</f>
        <v>5.1438</v>
      </c>
      <c r="G64" s="7">
        <f>日前电价!G64-实时电价!G64</f>
        <v>9.77110000000005</v>
      </c>
      <c r="H64" s="7">
        <f>日前电价!H64-实时电价!H64</f>
        <v>13.4639</v>
      </c>
      <c r="I64" s="7">
        <f>日前电价!I64-实时电价!I64</f>
        <v>10.2313</v>
      </c>
      <c r="J64" s="7">
        <f>日前电价!J64-实时电价!J64</f>
        <v>25.409</v>
      </c>
      <c r="K64" s="7">
        <f>日前电价!K64-实时电价!K64</f>
        <v>31.3095</v>
      </c>
      <c r="L64" s="7">
        <f>日前电价!L64-实时电价!L64</f>
        <v>35.0969</v>
      </c>
      <c r="M64" s="7">
        <f>日前电价!M64-实时电价!M64</f>
        <v>50.7634</v>
      </c>
      <c r="N64" s="7">
        <f>日前电价!N64-实时电价!N64</f>
        <v>137.9491</v>
      </c>
      <c r="O64" s="7">
        <f>日前电价!O64-实时电价!O64</f>
        <v>120.2166</v>
      </c>
      <c r="P64" s="7">
        <f>日前电价!P64-实时电价!P64</f>
        <v>43.5977999999999</v>
      </c>
      <c r="Q64" s="7">
        <f>日前电价!Q64-实时电价!Q64</f>
        <v>29.4633</v>
      </c>
      <c r="R64" s="7">
        <f>日前电价!R64-实时电价!R64</f>
        <v>25.689</v>
      </c>
      <c r="S64" s="7">
        <f>日前电价!S64-实时电价!S64</f>
        <v>25.4675999999999</v>
      </c>
      <c r="T64" s="7">
        <f>日前电价!T64-实时电价!T64</f>
        <v>34.9919</v>
      </c>
      <c r="U64" s="7">
        <f>日前电价!U64-实时电价!U64</f>
        <v>52.8197</v>
      </c>
      <c r="V64" s="7">
        <f>日前电价!V64-实时电价!V64</f>
        <v>44.2438</v>
      </c>
      <c r="W64" s="7">
        <f>日前电价!W64-实时电价!W64</f>
        <v>52.0542</v>
      </c>
      <c r="X64" s="7">
        <f>日前电价!X64-实时电价!X64</f>
        <v>39.2188</v>
      </c>
      <c r="Y64" s="7">
        <f>日前电价!Y64-实时电价!Y64</f>
        <v>246.3951</v>
      </c>
      <c r="Z64" s="9">
        <f t="shared" si="0"/>
        <v>246.3951</v>
      </c>
      <c r="AA64" s="9">
        <f t="shared" si="1"/>
        <v>-17.2747</v>
      </c>
      <c r="AB64" s="9">
        <f t="shared" si="2"/>
        <v>42.1992375</v>
      </c>
    </row>
    <row r="65" spans="1:28">
      <c r="A65" s="8">
        <v>45355</v>
      </c>
      <c r="B65" s="7">
        <f>日前电价!B65-实时电价!B65</f>
        <v>177.749</v>
      </c>
      <c r="C65" s="7">
        <f>日前电价!C65-实时电价!C65</f>
        <v>31.0882</v>
      </c>
      <c r="D65" s="7">
        <f>日前电价!D65-实时电价!D65</f>
        <v>20.3614</v>
      </c>
      <c r="E65" s="7">
        <f>日前电价!E65-实时电价!E65</f>
        <v>45.0956</v>
      </c>
      <c r="F65" s="7">
        <f>日前电价!F65-实时电价!F65</f>
        <v>200.23</v>
      </c>
      <c r="G65" s="7">
        <f>日前电价!G65-实时电价!G65</f>
        <v>-204.3385</v>
      </c>
      <c r="H65" s="7">
        <f>日前电价!H65-实时电价!H65</f>
        <v>118.4614</v>
      </c>
      <c r="I65" s="7">
        <f>日前电价!I65-实时电价!I65</f>
        <v>-5.3931</v>
      </c>
      <c r="J65" s="7">
        <f>日前电价!J65-实时电价!J65</f>
        <v>1.51679999999999</v>
      </c>
      <c r="K65" s="7">
        <f>日前电价!K65-实时电价!K65</f>
        <v>-8.67869999999999</v>
      </c>
      <c r="L65" s="7">
        <f>日前电价!L65-实时电价!L65</f>
        <v>18.4472</v>
      </c>
      <c r="M65" s="7">
        <f>日前电价!M65-实时电价!M65</f>
        <v>27.9186</v>
      </c>
      <c r="N65" s="7">
        <f>日前电价!N65-实时电价!N65</f>
        <v>136.8264</v>
      </c>
      <c r="O65" s="7">
        <f>日前电价!O65-实时电价!O65</f>
        <v>55.9562</v>
      </c>
      <c r="P65" s="7">
        <f>日前电价!P65-实时电价!P65</f>
        <v>11.9374</v>
      </c>
      <c r="Q65" s="7">
        <f>日前电价!Q65-实时电价!Q65</f>
        <v>2.5</v>
      </c>
      <c r="R65" s="7">
        <f>日前电价!R65-实时电价!R65</f>
        <v>14.5437</v>
      </c>
      <c r="S65" s="7">
        <f>日前电价!S65-实时电价!S65</f>
        <v>2.44040000000001</v>
      </c>
      <c r="T65" s="7">
        <f>日前电价!T65-实时电价!T65</f>
        <v>12.9</v>
      </c>
      <c r="U65" s="7">
        <f>日前电价!U65-实时电价!U65</f>
        <v>3.05930000000001</v>
      </c>
      <c r="V65" s="7">
        <f>日前电价!V65-实时电价!V65</f>
        <v>6.75999999999999</v>
      </c>
      <c r="W65" s="7">
        <f>日前电价!W65-实时电价!W65</f>
        <v>1.40700000000004</v>
      </c>
      <c r="X65" s="7">
        <f>日前电价!X65-实时电价!X65</f>
        <v>10.5994</v>
      </c>
      <c r="Y65" s="7">
        <f>日前电价!Y65-实时电价!Y65</f>
        <v>51.8159</v>
      </c>
      <c r="Z65" s="9">
        <f t="shared" si="0"/>
        <v>200.23</v>
      </c>
      <c r="AA65" s="9">
        <f t="shared" si="1"/>
        <v>-204.3385</v>
      </c>
      <c r="AB65" s="9">
        <f t="shared" si="2"/>
        <v>30.55015</v>
      </c>
    </row>
    <row r="66" spans="1:28">
      <c r="A66" s="8">
        <v>45356</v>
      </c>
      <c r="B66" s="7">
        <f>日前电价!B66-实时电价!B66</f>
        <v>2.05160000000001</v>
      </c>
      <c r="C66" s="7">
        <f>日前电价!C66-实时电价!C66</f>
        <v>22.5001</v>
      </c>
      <c r="D66" s="7">
        <f>日前电价!D66-实时电价!D66</f>
        <v>70.5109</v>
      </c>
      <c r="E66" s="7">
        <f>日前电价!E66-实时电价!E66</f>
        <v>36.2855</v>
      </c>
      <c r="F66" s="7">
        <f>日前电价!F66-实时电价!F66</f>
        <v>87.4968</v>
      </c>
      <c r="G66" s="7">
        <f>日前电价!G66-实时电价!G66</f>
        <v>12.7429</v>
      </c>
      <c r="H66" s="7">
        <f>日前电价!H66-实时电价!H66</f>
        <v>3.44819999999999</v>
      </c>
      <c r="I66" s="7">
        <f>日前电价!I66-实时电价!I66</f>
        <v>-14.2732</v>
      </c>
      <c r="J66" s="7">
        <f>日前电价!J66-实时电价!J66</f>
        <v>-3.10450000000003</v>
      </c>
      <c r="K66" s="7">
        <f>日前电价!K66-实时电价!K66</f>
        <v>-96.9920999999999</v>
      </c>
      <c r="L66" s="7">
        <f>日前电价!L66-实时电价!L66</f>
        <v>1.2131</v>
      </c>
      <c r="M66" s="7">
        <f>日前电价!M66-实时电价!M66</f>
        <v>5.553</v>
      </c>
      <c r="N66" s="7">
        <f>日前电价!N66-实时电价!N66</f>
        <v>81.7139</v>
      </c>
      <c r="O66" s="7">
        <f>日前电价!O66-实时电价!O66</f>
        <v>-83.0999</v>
      </c>
      <c r="P66" s="7">
        <f>日前电价!P66-实时电价!P66</f>
        <v>-0.822900000000004</v>
      </c>
      <c r="Q66" s="7">
        <f>日前电价!Q66-实时电价!Q66</f>
        <v>-13.549</v>
      </c>
      <c r="R66" s="7">
        <f>日前电价!R66-实时电价!R66</f>
        <v>-17.9193</v>
      </c>
      <c r="S66" s="7">
        <f>日前电价!S66-实时电价!S66</f>
        <v>-7.62450000000001</v>
      </c>
      <c r="T66" s="7">
        <f>日前电价!T66-实时电价!T66</f>
        <v>-9.1909</v>
      </c>
      <c r="U66" s="7">
        <f>日前电价!U66-实时电价!U66</f>
        <v>-14.8901</v>
      </c>
      <c r="V66" s="7">
        <f>日前电价!V66-实时电价!V66</f>
        <v>-23.593</v>
      </c>
      <c r="W66" s="7">
        <f>日前电价!W66-实时电价!W66</f>
        <v>-14.7402</v>
      </c>
      <c r="X66" s="7">
        <f>日前电价!X66-实时电价!X66</f>
        <v>-5.91750000000002</v>
      </c>
      <c r="Y66" s="7">
        <f>日前电价!Y66-实时电价!Y66</f>
        <v>-3.93990000000002</v>
      </c>
      <c r="Z66" s="9">
        <f t="shared" ref="Z66:Z129" si="3">MAX($B66:$Y66)</f>
        <v>87.4968</v>
      </c>
      <c r="AA66" s="9">
        <f t="shared" ref="AA66:AA129" si="4">MIN($B66:$Y66)</f>
        <v>-96.9920999999999</v>
      </c>
      <c r="AB66" s="9">
        <f t="shared" ref="AB66:AB129" si="5">AVERAGE($B66:$Y66)</f>
        <v>0.577458333333335</v>
      </c>
    </row>
    <row r="67" spans="1:28">
      <c r="A67" s="8">
        <v>45357</v>
      </c>
      <c r="B67" s="7">
        <f>日前电价!B67-实时电价!B67</f>
        <v>-13.7163</v>
      </c>
      <c r="C67" s="7">
        <f>日前电价!C67-实时电价!C67</f>
        <v>-6.85320000000002</v>
      </c>
      <c r="D67" s="7">
        <f>日前电价!D67-实时电价!D67</f>
        <v>-3.62450000000001</v>
      </c>
      <c r="E67" s="7">
        <f>日前电价!E67-实时电价!E67</f>
        <v>-4.05059999999997</v>
      </c>
      <c r="F67" s="7">
        <f>日前电价!F67-实时电价!F67</f>
        <v>-6.80799999999999</v>
      </c>
      <c r="G67" s="7">
        <f>日前电价!G67-实时电价!G67</f>
        <v>-4.75</v>
      </c>
      <c r="H67" s="7">
        <f>日前电价!H67-实时电价!H67</f>
        <v>-10.5436</v>
      </c>
      <c r="I67" s="7">
        <f>日前电价!I67-实时电价!I67</f>
        <v>-15.5034</v>
      </c>
      <c r="J67" s="7">
        <f>日前电价!J67-实时电价!J67</f>
        <v>-9.39089999999999</v>
      </c>
      <c r="K67" s="7">
        <f>日前电价!K67-实时电价!K67</f>
        <v>-0.722300000000018</v>
      </c>
      <c r="L67" s="7">
        <f>日前电价!L67-实时电价!L67</f>
        <v>11.2361</v>
      </c>
      <c r="M67" s="7">
        <f>日前电价!M67-实时电价!M67</f>
        <v>17.912</v>
      </c>
      <c r="N67" s="7">
        <f>日前电价!N67-实时电价!N67</f>
        <v>24.0971</v>
      </c>
      <c r="O67" s="7">
        <f>日前电价!O67-实时电价!O67</f>
        <v>6.34690000000001</v>
      </c>
      <c r="P67" s="7">
        <f>日前电价!P67-实时电价!P67</f>
        <v>4.91029999999995</v>
      </c>
      <c r="Q67" s="7">
        <f>日前电价!Q67-实时电价!Q67</f>
        <v>15.9075</v>
      </c>
      <c r="R67" s="7">
        <f>日前电价!R67-实时电价!R67</f>
        <v>19.8848</v>
      </c>
      <c r="S67" s="7">
        <f>日前电价!S67-实时电价!S67</f>
        <v>28.9059</v>
      </c>
      <c r="T67" s="7">
        <f>日前电价!T67-实时电价!T67</f>
        <v>27.2771</v>
      </c>
      <c r="U67" s="7">
        <f>日前电价!U67-实时电价!U67</f>
        <v>41.7751</v>
      </c>
      <c r="V67" s="7">
        <f>日前电价!V67-实时电价!V67</f>
        <v>42.9954</v>
      </c>
      <c r="W67" s="7">
        <f>日前电价!W67-实时电价!W67</f>
        <v>49.6075</v>
      </c>
      <c r="X67" s="7">
        <f>日前电价!X67-实时电价!X67</f>
        <v>59.3846</v>
      </c>
      <c r="Y67" s="7">
        <f>日前电价!Y67-实时电价!Y67</f>
        <v>95.4189</v>
      </c>
      <c r="Z67" s="9">
        <f t="shared" si="3"/>
        <v>95.4189</v>
      </c>
      <c r="AA67" s="9">
        <f t="shared" si="4"/>
        <v>-15.5034</v>
      </c>
      <c r="AB67" s="9">
        <f t="shared" si="5"/>
        <v>15.4040166666667</v>
      </c>
    </row>
    <row r="68" spans="1:28">
      <c r="A68" s="8">
        <v>45358</v>
      </c>
      <c r="B68" s="7">
        <f>日前电价!B68-实时电价!B68</f>
        <v>51.2887</v>
      </c>
      <c r="C68" s="7">
        <f>日前电价!C68-实时电价!C68</f>
        <v>21.6259</v>
      </c>
      <c r="D68" s="7">
        <f>日前电价!D68-实时电价!D68</f>
        <v>38.3002</v>
      </c>
      <c r="E68" s="7">
        <f>日前电价!E68-实时电价!E68</f>
        <v>42.9877</v>
      </c>
      <c r="F68" s="7">
        <f>日前电价!F68-实时电价!F68</f>
        <v>138.6991</v>
      </c>
      <c r="G68" s="7">
        <f>日前电价!G68-实时电价!G68</f>
        <v>147.3709</v>
      </c>
      <c r="H68" s="7">
        <f>日前电价!H68-实时电价!H68</f>
        <v>12.3465</v>
      </c>
      <c r="I68" s="7">
        <f>日前电价!I68-实时电价!I68</f>
        <v>0.723900000000015</v>
      </c>
      <c r="J68" s="7">
        <f>日前电价!J68-实时电价!J68</f>
        <v>10.9659</v>
      </c>
      <c r="K68" s="7">
        <f>日前电价!K68-实时电价!K68</f>
        <v>33.7187</v>
      </c>
      <c r="L68" s="7">
        <f>日前电价!L68-实时电价!L68</f>
        <v>49.9354</v>
      </c>
      <c r="M68" s="7">
        <f>日前电价!M68-实时电价!M68</f>
        <v>60.5546</v>
      </c>
      <c r="N68" s="7">
        <f>日前电价!N68-实时电价!N68</f>
        <v>126.637</v>
      </c>
      <c r="O68" s="7">
        <f>日前电价!O68-实时电价!O68</f>
        <v>38.4082</v>
      </c>
      <c r="P68" s="7">
        <f>日前电价!P68-实时电价!P68</f>
        <v>28.4738</v>
      </c>
      <c r="Q68" s="7">
        <f>日前电价!Q68-实时电价!Q68</f>
        <v>24.1808</v>
      </c>
      <c r="R68" s="7">
        <f>日前电价!R68-实时电价!R68</f>
        <v>27.4062</v>
      </c>
      <c r="S68" s="7">
        <f>日前电价!S68-实时电价!S68</f>
        <v>17.8793</v>
      </c>
      <c r="T68" s="7">
        <f>日前电价!T68-实时电价!T68</f>
        <v>13.2965</v>
      </c>
      <c r="U68" s="7">
        <f>日前电价!U68-实时电价!U68</f>
        <v>26.2732</v>
      </c>
      <c r="V68" s="7">
        <f>日前电价!V68-实时电价!V68</f>
        <v>23.9274</v>
      </c>
      <c r="W68" s="7">
        <f>日前电价!W68-实时电价!W68</f>
        <v>23.4506</v>
      </c>
      <c r="X68" s="7">
        <f>日前电价!X68-实时电价!X68</f>
        <v>34.8993</v>
      </c>
      <c r="Y68" s="7">
        <f>日前电价!Y68-实时电价!Y68</f>
        <v>106.7023</v>
      </c>
      <c r="Z68" s="9">
        <f t="shared" si="3"/>
        <v>147.3709</v>
      </c>
      <c r="AA68" s="9">
        <f t="shared" si="4"/>
        <v>0.723900000000015</v>
      </c>
      <c r="AB68" s="9">
        <f t="shared" si="5"/>
        <v>45.8355041666667</v>
      </c>
    </row>
    <row r="69" spans="1:28">
      <c r="A69" s="8">
        <v>45359</v>
      </c>
      <c r="B69" s="7">
        <f>日前电价!B69-实时电价!B69</f>
        <v>4.90379999999999</v>
      </c>
      <c r="C69" s="7">
        <f>日前电价!C69-实时电价!C69</f>
        <v>10.1725</v>
      </c>
      <c r="D69" s="7">
        <f>日前电价!D69-实时电价!D69</f>
        <v>29.373</v>
      </c>
      <c r="E69" s="7">
        <f>日前电价!E69-实时电价!E69</f>
        <v>52.0181</v>
      </c>
      <c r="F69" s="7">
        <f>日前电价!F69-实时电价!F69</f>
        <v>35.4549</v>
      </c>
      <c r="G69" s="7">
        <f>日前电价!G69-实时电价!G69</f>
        <v>20.3411</v>
      </c>
      <c r="H69" s="7">
        <f>日前电价!H69-实时电价!H69</f>
        <v>9.7516</v>
      </c>
      <c r="I69" s="7">
        <f>日前电价!I69-实时电价!I69</f>
        <v>7.51639999999998</v>
      </c>
      <c r="J69" s="7">
        <f>日前电价!J69-实时电价!J69</f>
        <v>15.6061</v>
      </c>
      <c r="K69" s="7">
        <f>日前电价!K69-实时电价!K69</f>
        <v>59.0157</v>
      </c>
      <c r="L69" s="7">
        <f>日前电价!L69-实时电价!L69</f>
        <v>93.5463</v>
      </c>
      <c r="M69" s="7">
        <f>日前电价!M69-实时电价!M69</f>
        <v>91.076</v>
      </c>
      <c r="N69" s="7">
        <f>日前电价!N69-实时电价!N69</f>
        <v>244.8391</v>
      </c>
      <c r="O69" s="7">
        <f>日前电价!O69-实时电价!O69</f>
        <v>206.354</v>
      </c>
      <c r="P69" s="7">
        <f>日前电价!P69-实时电价!P69</f>
        <v>68.9552</v>
      </c>
      <c r="Q69" s="7">
        <f>日前电价!Q69-实时电价!Q69</f>
        <v>62.6445</v>
      </c>
      <c r="R69" s="7">
        <f>日前电价!R69-实时电价!R69</f>
        <v>54.6325</v>
      </c>
      <c r="S69" s="7">
        <f>日前电价!S69-实时电价!S69</f>
        <v>42.8983</v>
      </c>
      <c r="T69" s="7">
        <f>日前电价!T69-实时电价!T69</f>
        <v>39.5826</v>
      </c>
      <c r="U69" s="7">
        <f>日前电价!U69-实时电价!U69</f>
        <v>33.2264</v>
      </c>
      <c r="V69" s="7">
        <f>日前电价!V69-实时电价!V69</f>
        <v>29.6814000000001</v>
      </c>
      <c r="W69" s="7">
        <f>日前电价!W69-实时电价!W69</f>
        <v>31.9338</v>
      </c>
      <c r="X69" s="7">
        <f>日前电价!X69-实时电价!X69</f>
        <v>30.8012</v>
      </c>
      <c r="Y69" s="7">
        <f>日前电价!Y69-实时电价!Y69</f>
        <v>12.0245</v>
      </c>
      <c r="Z69" s="9">
        <f t="shared" si="3"/>
        <v>244.8391</v>
      </c>
      <c r="AA69" s="9">
        <f t="shared" si="4"/>
        <v>4.90379999999999</v>
      </c>
      <c r="AB69" s="9">
        <f t="shared" si="5"/>
        <v>53.597875</v>
      </c>
    </row>
    <row r="70" spans="1:28">
      <c r="A70" s="8">
        <v>45360</v>
      </c>
      <c r="B70" s="7">
        <f>日前电价!B70-实时电价!B70</f>
        <v>-31.4412</v>
      </c>
      <c r="C70" s="7">
        <f>日前电价!C70-实时电价!C70</f>
        <v>-12.5911</v>
      </c>
      <c r="D70" s="7">
        <f>日前电价!D70-实时电价!D70</f>
        <v>-6.01499999999999</v>
      </c>
      <c r="E70" s="7">
        <f>日前电价!E70-实时电价!E70</f>
        <v>-4.83460000000002</v>
      </c>
      <c r="F70" s="7">
        <f>日前电价!F70-实时电价!F70</f>
        <v>-4.78360000000004</v>
      </c>
      <c r="G70" s="7">
        <f>日前电价!G70-实时电价!G70</f>
        <v>-7.15209999999996</v>
      </c>
      <c r="H70" s="7">
        <f>日前电价!H70-实时电价!H70</f>
        <v>-10.6113</v>
      </c>
      <c r="I70" s="7">
        <f>日前电价!I70-实时电价!I70</f>
        <v>-16.5345</v>
      </c>
      <c r="J70" s="7">
        <f>日前电价!J70-实时电价!J70</f>
        <v>-9.06399999999996</v>
      </c>
      <c r="K70" s="7">
        <f>日前电价!K70-实时电价!K70</f>
        <v>-13.2802</v>
      </c>
      <c r="L70" s="7">
        <f>日前电价!L70-实时电价!L70</f>
        <v>-15.2648</v>
      </c>
      <c r="M70" s="7">
        <f>日前电价!M70-实时电价!M70</f>
        <v>-9.19040000000001</v>
      </c>
      <c r="N70" s="7">
        <f>日前电价!N70-实时电价!N70</f>
        <v>86.1871</v>
      </c>
      <c r="O70" s="7">
        <f>日前电价!O70-实时电价!O70</f>
        <v>-15.315</v>
      </c>
      <c r="P70" s="7">
        <f>日前电价!P70-实时电价!P70</f>
        <v>-24.9233</v>
      </c>
      <c r="Q70" s="7">
        <f>日前电价!Q70-实时电价!Q70</f>
        <v>-7.65379999999999</v>
      </c>
      <c r="R70" s="7">
        <f>日前电价!R70-实时电价!R70</f>
        <v>-0.808399999999949</v>
      </c>
      <c r="S70" s="7">
        <f>日前电价!S70-实时电价!S70</f>
        <v>-10.6983</v>
      </c>
      <c r="T70" s="7">
        <f>日前电价!T70-实时电价!T70</f>
        <v>12.1757</v>
      </c>
      <c r="U70" s="7">
        <f>日前电价!U70-实时电价!U70</f>
        <v>26.0054</v>
      </c>
      <c r="V70" s="7">
        <f>日前电价!V70-实时电价!V70</f>
        <v>35.3407</v>
      </c>
      <c r="W70" s="7">
        <f>日前电价!W70-实时电价!W70</f>
        <v>19.1825</v>
      </c>
      <c r="X70" s="7">
        <f>日前电价!X70-实时电价!X70</f>
        <v>5.08179999999999</v>
      </c>
      <c r="Y70" s="7">
        <f>日前电价!Y70-实时电价!Y70</f>
        <v>-4.51029999999997</v>
      </c>
      <c r="Z70" s="9">
        <f t="shared" si="3"/>
        <v>86.1871</v>
      </c>
      <c r="AA70" s="9">
        <f t="shared" si="4"/>
        <v>-31.4412</v>
      </c>
      <c r="AB70" s="9">
        <f t="shared" si="5"/>
        <v>-0.862445833333323</v>
      </c>
    </row>
    <row r="71" spans="1:28">
      <c r="A71" s="8">
        <v>45361</v>
      </c>
      <c r="B71" s="7">
        <f>日前电价!B71-实时电价!B71</f>
        <v>-9.06029999999998</v>
      </c>
      <c r="C71" s="7">
        <f>日前电价!C71-实时电价!C71</f>
        <v>7.52429999999998</v>
      </c>
      <c r="D71" s="7">
        <f>日前电价!D71-实时电价!D71</f>
        <v>8.96769999999998</v>
      </c>
      <c r="E71" s="7">
        <f>日前电价!E71-实时电价!E71</f>
        <v>55.0227</v>
      </c>
      <c r="F71" s="7">
        <f>日前电价!F71-实时电价!F71</f>
        <v>120.4569</v>
      </c>
      <c r="G71" s="7">
        <f>日前电价!G71-实时电价!G71</f>
        <v>78.5327</v>
      </c>
      <c r="H71" s="7">
        <f>日前电价!H71-实时电价!H71</f>
        <v>12.584</v>
      </c>
      <c r="I71" s="7">
        <f>日前电价!I71-实时电价!I71</f>
        <v>10.9801</v>
      </c>
      <c r="J71" s="7">
        <f>日前电价!J71-实时电价!J71</f>
        <v>-5.11439999999999</v>
      </c>
      <c r="K71" s="7">
        <f>日前电价!K71-实时电价!K71</f>
        <v>-1.90460000000002</v>
      </c>
      <c r="L71" s="7">
        <f>日前电价!L71-实时电价!L71</f>
        <v>-5.6626</v>
      </c>
      <c r="M71" s="7">
        <f>日前电价!M71-实时电价!M71</f>
        <v>5.08260000000001</v>
      </c>
      <c r="N71" s="7">
        <f>日前电价!N71-实时电价!N71</f>
        <v>145.0835</v>
      </c>
      <c r="O71" s="7">
        <f>日前电价!O71-实时电价!O71</f>
        <v>11.3662</v>
      </c>
      <c r="P71" s="7">
        <f>日前电价!P71-实时电价!P71</f>
        <v>20.9085</v>
      </c>
      <c r="Q71" s="7">
        <f>日前电价!Q71-实时电价!Q71</f>
        <v>8.38899999999995</v>
      </c>
      <c r="R71" s="7">
        <f>日前电价!R71-实时电价!R71</f>
        <v>2.24579999999997</v>
      </c>
      <c r="S71" s="7">
        <f>日前电价!S71-实时电价!S71</f>
        <v>11.2218</v>
      </c>
      <c r="T71" s="7">
        <f>日前电价!T71-实时电价!T71</f>
        <v>12.2727</v>
      </c>
      <c r="U71" s="7">
        <f>日前电价!U71-实时电价!U71</f>
        <v>9.61789999999996</v>
      </c>
      <c r="V71" s="7">
        <f>日前电价!V71-实时电价!V71</f>
        <v>9.12970000000001</v>
      </c>
      <c r="W71" s="7">
        <f>日前电价!W71-实时电价!W71</f>
        <v>7.38420000000002</v>
      </c>
      <c r="X71" s="7">
        <f>日前电价!X71-实时电价!X71</f>
        <v>14.478</v>
      </c>
      <c r="Y71" s="7">
        <f>日前电价!Y71-实时电价!Y71</f>
        <v>14.0141</v>
      </c>
      <c r="Z71" s="9">
        <f t="shared" si="3"/>
        <v>145.0835</v>
      </c>
      <c r="AA71" s="9">
        <f t="shared" si="4"/>
        <v>-9.06029999999998</v>
      </c>
      <c r="AB71" s="9">
        <f t="shared" si="5"/>
        <v>22.6466875</v>
      </c>
    </row>
    <row r="72" spans="1:28">
      <c r="A72" s="8">
        <v>45362</v>
      </c>
      <c r="B72" s="7">
        <f>日前电价!B72-实时电价!B72</f>
        <v>13.2203</v>
      </c>
      <c r="C72" s="7">
        <f>日前电价!C72-实时电价!C72</f>
        <v>7.35110000000003</v>
      </c>
      <c r="D72" s="7">
        <f>日前电价!D72-实时电价!D72</f>
        <v>25.4989</v>
      </c>
      <c r="E72" s="7">
        <f>日前电价!E72-实时电价!E72</f>
        <v>28.9373000000001</v>
      </c>
      <c r="F72" s="7">
        <f>日前电价!F72-实时电价!F72</f>
        <v>28.2292</v>
      </c>
      <c r="G72" s="7">
        <f>日前电价!G72-实时电价!G72</f>
        <v>19.9668</v>
      </c>
      <c r="H72" s="7">
        <f>日前电价!H72-实时电价!H72</f>
        <v>1.774</v>
      </c>
      <c r="I72" s="7">
        <f>日前电价!I72-实时电价!I72</f>
        <v>1.34309999999999</v>
      </c>
      <c r="J72" s="7">
        <f>日前电价!J72-实时电价!J72</f>
        <v>8.24740000000003</v>
      </c>
      <c r="K72" s="7">
        <f>日前电价!K72-实时电价!K72</f>
        <v>29.5621</v>
      </c>
      <c r="L72" s="7">
        <f>日前电价!L72-实时电价!L72</f>
        <v>30.6913</v>
      </c>
      <c r="M72" s="7">
        <f>日前电价!M72-实时电价!M72</f>
        <v>75.7016</v>
      </c>
      <c r="N72" s="7">
        <f>日前电价!N72-实时电价!N72</f>
        <v>53.6504</v>
      </c>
      <c r="O72" s="7">
        <f>日前电价!O72-实时电价!O72</f>
        <v>43.9294</v>
      </c>
      <c r="P72" s="7">
        <f>日前电价!P72-实时电价!P72</f>
        <v>59.0213</v>
      </c>
      <c r="Q72" s="7">
        <f>日前电价!Q72-实时电价!Q72</f>
        <v>59.2229</v>
      </c>
      <c r="R72" s="7">
        <f>日前电价!R72-实时电价!R72</f>
        <v>85.522</v>
      </c>
      <c r="S72" s="7">
        <f>日前电价!S72-实时电价!S72</f>
        <v>60.1514</v>
      </c>
      <c r="T72" s="7">
        <f>日前电价!T72-实时电价!T72</f>
        <v>37.6584</v>
      </c>
      <c r="U72" s="7">
        <f>日前电价!U72-实时电价!U72</f>
        <v>36.6291</v>
      </c>
      <c r="V72" s="7">
        <f>日前电价!V72-实时电价!V72</f>
        <v>40.6765</v>
      </c>
      <c r="W72" s="7">
        <f>日前电价!W72-实时电价!W72</f>
        <v>27.7945</v>
      </c>
      <c r="X72" s="7">
        <f>日前电价!X72-实时电价!X72</f>
        <v>15.676</v>
      </c>
      <c r="Y72" s="7">
        <f>日前电价!Y72-实时电价!Y72</f>
        <v>4.447</v>
      </c>
      <c r="Z72" s="9">
        <f t="shared" si="3"/>
        <v>85.522</v>
      </c>
      <c r="AA72" s="9">
        <f t="shared" si="4"/>
        <v>1.34309999999999</v>
      </c>
      <c r="AB72" s="9">
        <f t="shared" si="5"/>
        <v>33.1209166666667</v>
      </c>
    </row>
    <row r="73" spans="1:28">
      <c r="A73" s="8">
        <v>45363</v>
      </c>
      <c r="B73" s="7">
        <f>日前电价!B73-实时电价!B73</f>
        <v>-1.8177</v>
      </c>
      <c r="C73" s="7">
        <f>日前电价!C73-实时电价!C73</f>
        <v>8.14120000000003</v>
      </c>
      <c r="D73" s="7">
        <f>日前电价!D73-实时电价!D73</f>
        <v>12.181</v>
      </c>
      <c r="E73" s="7">
        <f>日前电价!E73-实时电价!E73</f>
        <v>14.9826</v>
      </c>
      <c r="F73" s="7">
        <f>日前电价!F73-实时电价!F73</f>
        <v>2.988</v>
      </c>
      <c r="G73" s="7">
        <f>日前电价!G73-实时电价!G73</f>
        <v>8.25</v>
      </c>
      <c r="H73" s="7">
        <f>日前电价!H73-实时电价!H73</f>
        <v>3.5865</v>
      </c>
      <c r="I73" s="7">
        <f>日前电价!I73-实时电价!I73</f>
        <v>-3.49770000000001</v>
      </c>
      <c r="J73" s="7">
        <f>日前电价!J73-实时电价!J73</f>
        <v>16.8741</v>
      </c>
      <c r="K73" s="7">
        <f>日前电价!K73-实时电价!K73</f>
        <v>37.9102</v>
      </c>
      <c r="L73" s="7">
        <f>日前电价!L73-实时电价!L73</f>
        <v>48.6681</v>
      </c>
      <c r="M73" s="7">
        <f>日前电价!M73-实时电价!M73</f>
        <v>58.3429</v>
      </c>
      <c r="N73" s="7">
        <f>日前电价!N73-实时电价!N73</f>
        <v>334.1026</v>
      </c>
      <c r="O73" s="7">
        <f>日前电价!O73-实时电价!O73</f>
        <v>127.6618</v>
      </c>
      <c r="P73" s="7">
        <f>日前电价!P73-实时电价!P73</f>
        <v>169.8688</v>
      </c>
      <c r="Q73" s="7">
        <f>日前电价!Q73-实时电价!Q73</f>
        <v>39.8786</v>
      </c>
      <c r="R73" s="7">
        <f>日前电价!R73-实时电价!R73</f>
        <v>36.3127</v>
      </c>
      <c r="S73" s="7">
        <f>日前电价!S73-实时电价!S73</f>
        <v>40.0112</v>
      </c>
      <c r="T73" s="7">
        <f>日前电价!T73-实时电价!T73</f>
        <v>21.001</v>
      </c>
      <c r="U73" s="7">
        <f>日前电价!U73-实时电价!U73</f>
        <v>22.1169</v>
      </c>
      <c r="V73" s="7">
        <f>日前电价!V73-实时电价!V73</f>
        <v>24.3783</v>
      </c>
      <c r="W73" s="7">
        <f>日前电价!W73-实时电价!W73</f>
        <v>20.0915</v>
      </c>
      <c r="X73" s="7">
        <f>日前电价!X73-实时电价!X73</f>
        <v>19.3287</v>
      </c>
      <c r="Y73" s="7">
        <f>日前电价!Y73-实时电价!Y73</f>
        <v>4.35180000000003</v>
      </c>
      <c r="Z73" s="9">
        <f t="shared" si="3"/>
        <v>334.1026</v>
      </c>
      <c r="AA73" s="9">
        <f t="shared" si="4"/>
        <v>-3.49770000000001</v>
      </c>
      <c r="AB73" s="9">
        <f t="shared" si="5"/>
        <v>44.4047125</v>
      </c>
    </row>
    <row r="74" spans="1:28">
      <c r="A74" s="8">
        <v>45364</v>
      </c>
      <c r="B74" s="7">
        <f>日前电价!B74-实时电价!B74</f>
        <v>-12.0717</v>
      </c>
      <c r="C74" s="7">
        <f>日前电价!C74-实时电价!C74</f>
        <v>-0.196699999999964</v>
      </c>
      <c r="D74" s="7">
        <f>日前电价!D74-实时电价!D74</f>
        <v>-0.478800000000035</v>
      </c>
      <c r="E74" s="7">
        <f>日前电价!E74-实时电价!E74</f>
        <v>-11.3311</v>
      </c>
      <c r="F74" s="7">
        <f>日前电价!F74-实时电价!F74</f>
        <v>-12.9245</v>
      </c>
      <c r="G74" s="7">
        <f>日前电价!G74-实时电价!G74</f>
        <v>-12.8345</v>
      </c>
      <c r="H74" s="7">
        <f>日前电价!H74-实时电价!H74</f>
        <v>-13.2665</v>
      </c>
      <c r="I74" s="7">
        <f>日前电价!I74-实时电价!I74</f>
        <v>5.76939999999996</v>
      </c>
      <c r="J74" s="7">
        <f>日前电价!J74-实时电价!J74</f>
        <v>-5.74290000000002</v>
      </c>
      <c r="K74" s="7">
        <f>日前电价!K74-实时电价!K74</f>
        <v>4.41489999999999</v>
      </c>
      <c r="L74" s="7">
        <f>日前电价!L74-实时电价!L74</f>
        <v>32.1174</v>
      </c>
      <c r="M74" s="7">
        <f>日前电价!M74-实时电价!M74</f>
        <v>59.276</v>
      </c>
      <c r="N74" s="7">
        <f>日前电价!N74-实时电价!N74</f>
        <v>139.6461</v>
      </c>
      <c r="O74" s="7">
        <f>日前电价!O74-实时电价!O74</f>
        <v>-3.12820000000005</v>
      </c>
      <c r="P74" s="7">
        <f>日前电价!P74-实时电价!P74</f>
        <v>31.6887</v>
      </c>
      <c r="Q74" s="7">
        <f>日前电价!Q74-实时电价!Q74</f>
        <v>66.3897</v>
      </c>
      <c r="R74" s="7">
        <f>日前电价!R74-实时电价!R74</f>
        <v>43.5099</v>
      </c>
      <c r="S74" s="7">
        <f>日前电价!S74-实时电价!S74</f>
        <v>18.7575</v>
      </c>
      <c r="T74" s="7">
        <f>日前电价!T74-实时电价!T74</f>
        <v>-8.1497</v>
      </c>
      <c r="U74" s="7">
        <f>日前电价!U74-实时电价!U74</f>
        <v>0.148599999999988</v>
      </c>
      <c r="V74" s="7">
        <f>日前电价!V74-实时电价!V74</f>
        <v>39.2755</v>
      </c>
      <c r="W74" s="7">
        <f>日前电价!W74-实时电价!W74</f>
        <v>20.6013</v>
      </c>
      <c r="X74" s="7">
        <f>日前电价!X74-实时电价!X74</f>
        <v>24.3352</v>
      </c>
      <c r="Y74" s="7">
        <f>日前电价!Y74-实时电价!Y74</f>
        <v>12.4689</v>
      </c>
      <c r="Z74" s="9">
        <f t="shared" si="3"/>
        <v>139.6461</v>
      </c>
      <c r="AA74" s="9">
        <f t="shared" si="4"/>
        <v>-13.2665</v>
      </c>
      <c r="AB74" s="9">
        <f t="shared" si="5"/>
        <v>17.4281041666667</v>
      </c>
    </row>
    <row r="75" spans="1:28">
      <c r="A75" s="8">
        <v>45365</v>
      </c>
      <c r="B75" s="7">
        <f>日前电价!B75-实时电价!B75</f>
        <v>-23.6665</v>
      </c>
      <c r="C75" s="7">
        <f>日前电价!C75-实时电价!C75</f>
        <v>-14.2044</v>
      </c>
      <c r="D75" s="7">
        <f>日前电价!D75-实时电价!D75</f>
        <v>-10.6159</v>
      </c>
      <c r="E75" s="7">
        <f>日前电价!E75-实时电价!E75</f>
        <v>-6.05369999999999</v>
      </c>
      <c r="F75" s="7">
        <f>日前电价!F75-实时电价!F75</f>
        <v>1.64409999999998</v>
      </c>
      <c r="G75" s="7">
        <f>日前电价!G75-实时电价!G75</f>
        <v>-15.0257</v>
      </c>
      <c r="H75" s="7">
        <f>日前电价!H75-实时电价!H75</f>
        <v>-14.0445</v>
      </c>
      <c r="I75" s="7">
        <f>日前电价!I75-实时电价!I75</f>
        <v>-20.3781</v>
      </c>
      <c r="J75" s="7">
        <f>日前电价!J75-实时电价!J75</f>
        <v>-57.6936</v>
      </c>
      <c r="K75" s="7">
        <f>日前电价!K75-实时电价!K75</f>
        <v>-147.2594</v>
      </c>
      <c r="L75" s="7">
        <f>日前电价!L75-实时电价!L75</f>
        <v>-16.3622</v>
      </c>
      <c r="M75" s="7">
        <f>日前电价!M75-实时电价!M75</f>
        <v>15.1635</v>
      </c>
      <c r="N75" s="7">
        <f>日前电价!N75-实时电价!N75</f>
        <v>77.11</v>
      </c>
      <c r="O75" s="7">
        <f>日前电价!O75-实时电价!O75</f>
        <v>-5.46500000000003</v>
      </c>
      <c r="P75" s="7">
        <f>日前电价!P75-实时电价!P75</f>
        <v>-7.03090000000003</v>
      </c>
      <c r="Q75" s="7">
        <f>日前电价!Q75-实时电价!Q75</f>
        <v>-55.3393</v>
      </c>
      <c r="R75" s="7">
        <f>日前电价!R75-实时电价!R75</f>
        <v>-262.4827</v>
      </c>
      <c r="S75" s="7">
        <f>日前电价!S75-实时电价!S75</f>
        <v>-86.4945</v>
      </c>
      <c r="T75" s="7">
        <f>日前电价!T75-实时电价!T75</f>
        <v>-9.35329999999999</v>
      </c>
      <c r="U75" s="7">
        <f>日前电价!U75-实时电价!U75</f>
        <v>-9.52449999999999</v>
      </c>
      <c r="V75" s="7">
        <f>日前电价!V75-实时电价!V75</f>
        <v>-9.73759999999999</v>
      </c>
      <c r="W75" s="7">
        <f>日前电价!W75-实时电价!W75</f>
        <v>-11.4793</v>
      </c>
      <c r="X75" s="7">
        <f>日前电价!X75-实时电价!X75</f>
        <v>-2.81200000000001</v>
      </c>
      <c r="Y75" s="7">
        <f>日前电价!Y75-实时电价!Y75</f>
        <v>-4.4169</v>
      </c>
      <c r="Z75" s="9">
        <f t="shared" si="3"/>
        <v>77.11</v>
      </c>
      <c r="AA75" s="9">
        <f t="shared" si="4"/>
        <v>-262.4827</v>
      </c>
      <c r="AB75" s="9">
        <f t="shared" si="5"/>
        <v>-28.9801</v>
      </c>
    </row>
    <row r="76" spans="1:28">
      <c r="A76" s="8">
        <v>45366</v>
      </c>
      <c r="B76" s="7">
        <f>日前电价!B76-实时电价!B76</f>
        <v>-29.4991</v>
      </c>
      <c r="C76" s="7">
        <f>日前电价!C76-实时电价!C76</f>
        <v>-11.1732</v>
      </c>
      <c r="D76" s="7">
        <f>日前电价!D76-实时电价!D76</f>
        <v>2.05969999999996</v>
      </c>
      <c r="E76" s="7">
        <f>日前电价!E76-实时电价!E76</f>
        <v>-4.11659999999995</v>
      </c>
      <c r="F76" s="7">
        <f>日前电价!F76-实时电价!F76</f>
        <v>2.1909</v>
      </c>
      <c r="G76" s="7">
        <f>日前电价!G76-实时电价!G76</f>
        <v>-12.784</v>
      </c>
      <c r="H76" s="7">
        <f>日前电价!H76-实时电价!H76</f>
        <v>-8.46340000000004</v>
      </c>
      <c r="I76" s="7">
        <f>日前电价!I76-实时电价!I76</f>
        <v>-16.7164</v>
      </c>
      <c r="J76" s="7">
        <f>日前电价!J76-实时电价!J76</f>
        <v>-11.5263</v>
      </c>
      <c r="K76" s="7">
        <f>日前电价!K76-实时电价!K76</f>
        <v>-0.387699999999995</v>
      </c>
      <c r="L76" s="7">
        <f>日前电价!L76-实时电价!L76</f>
        <v>4.37979999999999</v>
      </c>
      <c r="M76" s="7">
        <f>日前电价!M76-实时电价!M76</f>
        <v>20.6884</v>
      </c>
      <c r="N76" s="7">
        <f>日前电价!N76-实时电价!N76</f>
        <v>109.1774</v>
      </c>
      <c r="O76" s="7">
        <f>日前电价!O76-实时电价!O76</f>
        <v>82.0393</v>
      </c>
      <c r="P76" s="7">
        <f>日前电价!P76-实时电价!P76</f>
        <v>-11.4453</v>
      </c>
      <c r="Q76" s="7">
        <f>日前电价!Q76-实时电价!Q76</f>
        <v>0.91149999999999</v>
      </c>
      <c r="R76" s="7">
        <f>日前电价!R76-实时电价!R76</f>
        <v>6.12119999999999</v>
      </c>
      <c r="S76" s="7">
        <f>日前电价!S76-实时电价!S76</f>
        <v>-2.78719999999998</v>
      </c>
      <c r="T76" s="7">
        <f>日前电价!T76-实时电价!T76</f>
        <v>-7.27519999999998</v>
      </c>
      <c r="U76" s="7">
        <f>日前电价!U76-实时电价!U76</f>
        <v>-5.08839999999998</v>
      </c>
      <c r="V76" s="7">
        <f>日前电价!V76-实时电价!V76</f>
        <v>-1.39210000000003</v>
      </c>
      <c r="W76" s="7">
        <f>日前电价!W76-实时电价!W76</f>
        <v>5.7878</v>
      </c>
      <c r="X76" s="7">
        <f>日前电价!X76-实时电价!X76</f>
        <v>4.82479999999998</v>
      </c>
      <c r="Y76" s="7">
        <f>日前电价!Y76-实时电价!Y76</f>
        <v>-7.81150000000002</v>
      </c>
      <c r="Z76" s="9">
        <f t="shared" si="3"/>
        <v>109.1774</v>
      </c>
      <c r="AA76" s="9">
        <f t="shared" si="4"/>
        <v>-29.4991</v>
      </c>
      <c r="AB76" s="9">
        <f t="shared" si="5"/>
        <v>4.4881</v>
      </c>
    </row>
    <row r="77" spans="1:28">
      <c r="A77" s="8">
        <v>45367</v>
      </c>
      <c r="B77" s="7">
        <f>日前电价!B77-实时电价!B77</f>
        <v>-16.4899</v>
      </c>
      <c r="C77" s="7">
        <f>日前电价!C77-实时电价!C77</f>
        <v>-8.5104</v>
      </c>
      <c r="D77" s="7">
        <f>日前电价!D77-实时电价!D77</f>
        <v>-11.9622</v>
      </c>
      <c r="E77" s="7">
        <f>日前电价!E77-实时电价!E77</f>
        <v>-0.633700000000033</v>
      </c>
      <c r="F77" s="7">
        <f>日前电价!F77-实时电价!F77</f>
        <v>7.07249999999999</v>
      </c>
      <c r="G77" s="7">
        <f>日前电价!G77-实时电价!G77</f>
        <v>9.74599999999998</v>
      </c>
      <c r="H77" s="7">
        <f>日前电价!H77-实时电价!H77</f>
        <v>6.87600000000003</v>
      </c>
      <c r="I77" s="7">
        <f>日前电价!I77-实时电价!I77</f>
        <v>-3.40660000000003</v>
      </c>
      <c r="J77" s="7">
        <f>日前电价!J77-实时电价!J77</f>
        <v>-4.78870000000001</v>
      </c>
      <c r="K77" s="7">
        <f>日前电价!K77-实时电价!K77</f>
        <v>-3.54930000000002</v>
      </c>
      <c r="L77" s="7">
        <f>日前电价!L77-实时电价!L77</f>
        <v>-0.474499999999978</v>
      </c>
      <c r="M77" s="7">
        <f>日前电价!M77-实时电价!M77</f>
        <v>21.2885</v>
      </c>
      <c r="N77" s="7">
        <f>日前电价!N77-实时电价!N77</f>
        <v>99.0118</v>
      </c>
      <c r="O77" s="7">
        <f>日前电价!O77-实时电价!O77</f>
        <v>10.4289</v>
      </c>
      <c r="P77" s="7">
        <f>日前电价!P77-实时电价!P77</f>
        <v>0.70229999999998</v>
      </c>
      <c r="Q77" s="7">
        <f>日前电价!Q77-实时电价!Q77</f>
        <v>15.3579</v>
      </c>
      <c r="R77" s="7">
        <f>日前电价!R77-实时电价!R77</f>
        <v>18.0474</v>
      </c>
      <c r="S77" s="7">
        <f>日前电价!S77-实时电价!S77</f>
        <v>9.80340000000001</v>
      </c>
      <c r="T77" s="7">
        <f>日前电价!T77-实时电价!T77</f>
        <v>0.837699999999984</v>
      </c>
      <c r="U77" s="7">
        <f>日前电价!U77-实时电价!U77</f>
        <v>2.95009999999996</v>
      </c>
      <c r="V77" s="7">
        <f>日前电价!V77-实时电价!V77</f>
        <v>6.94880000000001</v>
      </c>
      <c r="W77" s="7">
        <f>日前电价!W77-实时电价!W77</f>
        <v>4.7901</v>
      </c>
      <c r="X77" s="7">
        <f>日前电价!X77-实时电价!X77</f>
        <v>0.904099999999971</v>
      </c>
      <c r="Y77" s="7">
        <f>日前电价!Y77-实时电价!Y77</f>
        <v>-6.97790000000003</v>
      </c>
      <c r="Z77" s="9">
        <f t="shared" si="3"/>
        <v>99.0118</v>
      </c>
      <c r="AA77" s="9">
        <f t="shared" si="4"/>
        <v>-16.4899</v>
      </c>
      <c r="AB77" s="9">
        <f t="shared" si="5"/>
        <v>6.58217916666666</v>
      </c>
    </row>
    <row r="78" spans="1:28">
      <c r="A78" s="8">
        <v>45368</v>
      </c>
      <c r="B78" s="7">
        <f>日前电价!B78-实时电价!B78</f>
        <v>-59.1063</v>
      </c>
      <c r="C78" s="7">
        <f>日前电价!C78-实时电价!C78</f>
        <v>15.5034</v>
      </c>
      <c r="D78" s="7">
        <f>日前电价!D78-实时电价!D78</f>
        <v>19.3129</v>
      </c>
      <c r="E78" s="7">
        <f>日前电价!E78-实时电价!E78</f>
        <v>8.79930000000002</v>
      </c>
      <c r="F78" s="7">
        <f>日前电价!F78-实时电价!F78</f>
        <v>2.77319999999997</v>
      </c>
      <c r="G78" s="7">
        <f>日前电价!G78-实时电价!G78</f>
        <v>-0.971499999999992</v>
      </c>
      <c r="H78" s="7">
        <f>日前电价!H78-实时电价!H78</f>
        <v>-5.23930000000001</v>
      </c>
      <c r="I78" s="7">
        <f>日前电价!I78-实时电价!I78</f>
        <v>-12.525</v>
      </c>
      <c r="J78" s="7">
        <f>日前电价!J78-实时电价!J78</f>
        <v>0.898600000000044</v>
      </c>
      <c r="K78" s="7">
        <f>日前电价!K78-实时电价!K78</f>
        <v>11.5752</v>
      </c>
      <c r="L78" s="7">
        <f>日前电价!L78-实时电价!L78</f>
        <v>20.0039</v>
      </c>
      <c r="M78" s="7">
        <f>日前电价!M78-实时电价!M78</f>
        <v>26.4668</v>
      </c>
      <c r="N78" s="7">
        <f>日前电价!N78-实时电价!N78</f>
        <v>299.9703</v>
      </c>
      <c r="O78" s="7">
        <f>日前电价!O78-实时电价!O78</f>
        <v>229.9492</v>
      </c>
      <c r="P78" s="7">
        <f>日前电价!P78-实时电价!P78</f>
        <v>24.744</v>
      </c>
      <c r="Q78" s="7">
        <f>日前电价!Q78-实时电价!Q78</f>
        <v>12.7235</v>
      </c>
      <c r="R78" s="7">
        <f>日前电价!R78-实时电价!R78</f>
        <v>23.7965</v>
      </c>
      <c r="S78" s="7">
        <f>日前电价!S78-实时电价!S78</f>
        <v>24.2029</v>
      </c>
      <c r="T78" s="7">
        <f>日前电价!T78-实时电价!T78</f>
        <v>18.101</v>
      </c>
      <c r="U78" s="7">
        <f>日前电价!U78-实时电价!U78</f>
        <v>14.1446</v>
      </c>
      <c r="V78" s="7">
        <f>日前电价!V78-实时电价!V78</f>
        <v>-21.4186</v>
      </c>
      <c r="W78" s="7">
        <f>日前电价!W78-实时电价!W78</f>
        <v>-2.41529999999995</v>
      </c>
      <c r="X78" s="7">
        <f>日前电价!X78-实时电价!X78</f>
        <v>-5.92689999999999</v>
      </c>
      <c r="Y78" s="7">
        <f>日前电价!Y78-实时电价!Y78</f>
        <v>4.56540000000001</v>
      </c>
      <c r="Z78" s="9">
        <f t="shared" si="3"/>
        <v>299.9703</v>
      </c>
      <c r="AA78" s="9">
        <f t="shared" si="4"/>
        <v>-59.1063</v>
      </c>
      <c r="AB78" s="9">
        <f t="shared" si="5"/>
        <v>27.080325</v>
      </c>
    </row>
    <row r="79" spans="1:28">
      <c r="A79" s="8">
        <v>45369</v>
      </c>
      <c r="B79" s="7">
        <f>日前电价!B79-实时电价!B79</f>
        <v>-17.5634</v>
      </c>
      <c r="C79" s="7">
        <f>日前电价!C79-实时电价!C79</f>
        <v>-4.06450000000001</v>
      </c>
      <c r="D79" s="7">
        <f>日前电价!D79-实时电价!D79</f>
        <v>0.0939000000000192</v>
      </c>
      <c r="E79" s="7">
        <f>日前电价!E79-实时电价!E79</f>
        <v>1.89929999999998</v>
      </c>
      <c r="F79" s="7">
        <f>日前电价!F79-实时电价!F79</f>
        <v>2.04610000000002</v>
      </c>
      <c r="G79" s="7">
        <f>日前电价!G79-实时电价!G79</f>
        <v>6.93439999999998</v>
      </c>
      <c r="H79" s="7">
        <f>日前电价!H79-实时电价!H79</f>
        <v>-5.55290000000002</v>
      </c>
      <c r="I79" s="7">
        <f>日前电价!I79-实时电价!I79</f>
        <v>-12.4416</v>
      </c>
      <c r="J79" s="7">
        <f>日前电价!J79-实时电价!J79</f>
        <v>-9.47050000000002</v>
      </c>
      <c r="K79" s="7">
        <f>日前电价!K79-实时电价!K79</f>
        <v>-38.039</v>
      </c>
      <c r="L79" s="7">
        <f>日前电价!L79-实时电价!L79</f>
        <v>-16.7382</v>
      </c>
      <c r="M79" s="7">
        <f>日前电价!M79-实时电价!M79</f>
        <v>11.507</v>
      </c>
      <c r="N79" s="7">
        <f>日前电价!N79-实时电价!N79</f>
        <v>72.9916</v>
      </c>
      <c r="O79" s="7">
        <f>日前电价!O79-实时电价!O79</f>
        <v>1.48700000000002</v>
      </c>
      <c r="P79" s="7">
        <f>日前电价!P79-实时电价!P79</f>
        <v>-12.7784</v>
      </c>
      <c r="Q79" s="7">
        <f>日前电价!Q79-实时电价!Q79</f>
        <v>-11.2286</v>
      </c>
      <c r="R79" s="7">
        <f>日前电价!R79-实时电价!R79</f>
        <v>-6.92689999999999</v>
      </c>
      <c r="S79" s="7">
        <f>日前电价!S79-实时电价!S79</f>
        <v>13.1768</v>
      </c>
      <c r="T79" s="7">
        <f>日前电价!T79-实时电价!T79</f>
        <v>6.29420000000005</v>
      </c>
      <c r="U79" s="7">
        <f>日前电价!U79-实时电价!U79</f>
        <v>-5.07239999999996</v>
      </c>
      <c r="V79" s="7">
        <f>日前电价!V79-实时电价!V79</f>
        <v>7.34640000000002</v>
      </c>
      <c r="W79" s="7">
        <f>日前电价!W79-实时电价!W79</f>
        <v>5.85739999999998</v>
      </c>
      <c r="X79" s="7">
        <f>日前电价!X79-实时电价!X79</f>
        <v>14.5798</v>
      </c>
      <c r="Y79" s="7">
        <f>日前电价!Y79-实时电价!Y79</f>
        <v>11.6421</v>
      </c>
      <c r="Z79" s="9">
        <f t="shared" si="3"/>
        <v>72.9916</v>
      </c>
      <c r="AA79" s="9">
        <f t="shared" si="4"/>
        <v>-38.039</v>
      </c>
      <c r="AB79" s="9">
        <f t="shared" si="5"/>
        <v>0.665816666666668</v>
      </c>
    </row>
    <row r="80" spans="1:28">
      <c r="A80" s="8">
        <v>45370</v>
      </c>
      <c r="B80" s="7">
        <f>日前电价!B80-实时电价!B80</f>
        <v>-8.15690000000001</v>
      </c>
      <c r="C80" s="7">
        <f>日前电价!C80-实时电价!C80</f>
        <v>5.7319</v>
      </c>
      <c r="D80" s="7">
        <f>日前电价!D80-实时电价!D80</f>
        <v>3.48390000000001</v>
      </c>
      <c r="E80" s="7">
        <f>日前电价!E80-实时电价!E80</f>
        <v>6.62720000000002</v>
      </c>
      <c r="F80" s="7">
        <f>日前电价!F80-实时电价!F80</f>
        <v>13.8105</v>
      </c>
      <c r="G80" s="7">
        <f>日前电价!G80-实时电价!G80</f>
        <v>8.34800000000001</v>
      </c>
      <c r="H80" s="7">
        <f>日前电价!H80-实时电价!H80</f>
        <v>5.09129999999999</v>
      </c>
      <c r="I80" s="7">
        <f>日前电价!I80-实时电价!I80</f>
        <v>-8.91770000000002</v>
      </c>
      <c r="J80" s="7">
        <f>日前电价!J80-实时电价!J80</f>
        <v>-1.64010000000002</v>
      </c>
      <c r="K80" s="7">
        <f>日前电价!K80-实时电价!K80</f>
        <v>3.26429999999999</v>
      </c>
      <c r="L80" s="7">
        <f>日前电价!L80-实时电价!L80</f>
        <v>14.7322</v>
      </c>
      <c r="M80" s="7">
        <f>日前电价!M80-实时电价!M80</f>
        <v>36.5617</v>
      </c>
      <c r="N80" s="7">
        <f>日前电价!N80-实时电价!N80</f>
        <v>255.3972</v>
      </c>
      <c r="O80" s="7">
        <f>日前电价!O80-实时电价!O80</f>
        <v>104.2853</v>
      </c>
      <c r="P80" s="7">
        <f>日前电价!P80-实时电价!P80</f>
        <v>36.4255</v>
      </c>
      <c r="Q80" s="7">
        <f>日前电价!Q80-实时电价!Q80</f>
        <v>27.5351</v>
      </c>
      <c r="R80" s="7">
        <f>日前电价!R80-实时电价!R80</f>
        <v>29.5286</v>
      </c>
      <c r="S80" s="7">
        <f>日前电价!S80-实时电价!S80</f>
        <v>22.9498</v>
      </c>
      <c r="T80" s="7">
        <f>日前电价!T80-实时电价!T80</f>
        <v>17.5332</v>
      </c>
      <c r="U80" s="7">
        <f>日前电价!U80-实时电价!U80</f>
        <v>-4.41330000000005</v>
      </c>
      <c r="V80" s="7">
        <f>日前电价!V80-实时电价!V80</f>
        <v>0.0447999999999524</v>
      </c>
      <c r="W80" s="7">
        <f>日前电价!W80-实时电价!W80</f>
        <v>5.5829</v>
      </c>
      <c r="X80" s="7">
        <f>日前电价!X80-实时电价!X80</f>
        <v>14.0692</v>
      </c>
      <c r="Y80" s="7">
        <f>日前电价!Y80-实时电价!Y80</f>
        <v>6.78809999999999</v>
      </c>
      <c r="Z80" s="9">
        <f t="shared" si="3"/>
        <v>255.3972</v>
      </c>
      <c r="AA80" s="9">
        <f t="shared" si="4"/>
        <v>-8.91770000000002</v>
      </c>
      <c r="AB80" s="9">
        <f t="shared" si="5"/>
        <v>24.7776125</v>
      </c>
    </row>
    <row r="81" spans="1:28">
      <c r="A81" s="8">
        <v>45371</v>
      </c>
      <c r="B81" s="7">
        <f>日前电价!B81-实时电价!B81</f>
        <v>-46.5211</v>
      </c>
      <c r="C81" s="7">
        <f>日前电价!C81-实时电价!C81</f>
        <v>1.16410000000002</v>
      </c>
      <c r="D81" s="7">
        <f>日前电价!D81-实时电价!D81</f>
        <v>5.59819999999996</v>
      </c>
      <c r="E81" s="7">
        <f>日前电价!E81-实时电价!E81</f>
        <v>13.9241</v>
      </c>
      <c r="F81" s="7">
        <f>日前电价!F81-实时电价!F81</f>
        <v>-5.17169999999999</v>
      </c>
      <c r="G81" s="7">
        <f>日前电价!G81-实时电价!G81</f>
        <v>-45.5643</v>
      </c>
      <c r="H81" s="7">
        <f>日前电价!H81-实时电价!H81</f>
        <v>-8.02520000000004</v>
      </c>
      <c r="I81" s="7">
        <f>日前电价!I81-实时电价!I81</f>
        <v>-6.52159999999998</v>
      </c>
      <c r="J81" s="7">
        <f>日前电价!J81-实时电价!J81</f>
        <v>-7.1191</v>
      </c>
      <c r="K81" s="7">
        <f>日前电价!K81-实时电价!K81</f>
        <v>34.9281</v>
      </c>
      <c r="L81" s="7">
        <f>日前电价!L81-实时电价!L81</f>
        <v>67.517</v>
      </c>
      <c r="M81" s="7">
        <f>日前电价!M81-实时电价!M81</f>
        <v>84.7851</v>
      </c>
      <c r="N81" s="7">
        <f>日前电价!N81-实时电价!N81</f>
        <v>213.5779</v>
      </c>
      <c r="O81" s="7">
        <f>日前电价!O81-实时电价!O81</f>
        <v>58.28</v>
      </c>
      <c r="P81" s="7">
        <f>日前电价!P81-实时电价!P81</f>
        <v>15.0449</v>
      </c>
      <c r="Q81" s="7">
        <f>日前电价!Q81-实时电价!Q81</f>
        <v>1.74449999999996</v>
      </c>
      <c r="R81" s="7">
        <f>日前电价!R81-实时电价!R81</f>
        <v>-25.5781</v>
      </c>
      <c r="S81" s="7">
        <f>日前电价!S81-实时电价!S81</f>
        <v>5.863</v>
      </c>
      <c r="T81" s="7">
        <f>日前电价!T81-实时电价!T81</f>
        <v>4.64510000000001</v>
      </c>
      <c r="U81" s="7">
        <f>日前电价!U81-实时电价!U81</f>
        <v>0.169500000000028</v>
      </c>
      <c r="V81" s="7">
        <f>日前电价!V81-实时电价!V81</f>
        <v>6.3879</v>
      </c>
      <c r="W81" s="7">
        <f>日前电价!W81-实时电价!W81</f>
        <v>18.6724</v>
      </c>
      <c r="X81" s="7">
        <f>日前电价!X81-实时电价!X81</f>
        <v>15.4062</v>
      </c>
      <c r="Y81" s="7">
        <f>日前电价!Y81-实时电价!Y81</f>
        <v>11.7598</v>
      </c>
      <c r="Z81" s="9">
        <f t="shared" si="3"/>
        <v>213.5779</v>
      </c>
      <c r="AA81" s="9">
        <f t="shared" si="4"/>
        <v>-46.5211</v>
      </c>
      <c r="AB81" s="9">
        <f t="shared" si="5"/>
        <v>17.2902791666667</v>
      </c>
    </row>
    <row r="82" spans="1:28">
      <c r="A82" s="8">
        <v>45372</v>
      </c>
      <c r="B82" s="7">
        <f>日前电价!B82-实时电价!B82</f>
        <v>-30.4971</v>
      </c>
      <c r="C82" s="7">
        <f>日前电价!C82-实时电价!C82</f>
        <v>-11.115</v>
      </c>
      <c r="D82" s="7">
        <f>日前电价!D82-实时电价!D82</f>
        <v>-7.24369999999999</v>
      </c>
      <c r="E82" s="7">
        <f>日前电价!E82-实时电价!E82</f>
        <v>8.065</v>
      </c>
      <c r="F82" s="7">
        <f>日前电价!F82-实时电价!F82</f>
        <v>5.05360000000002</v>
      </c>
      <c r="G82" s="7">
        <f>日前电价!G82-实时电价!G82</f>
        <v>7.74439999999998</v>
      </c>
      <c r="H82" s="7">
        <f>日前电价!H82-实时电价!H82</f>
        <v>-7.3673</v>
      </c>
      <c r="I82" s="7">
        <f>日前电价!I82-实时电价!I82</f>
        <v>-12.4012</v>
      </c>
      <c r="J82" s="7">
        <f>日前电价!J82-实时电价!J82</f>
        <v>-19.3664</v>
      </c>
      <c r="K82" s="7">
        <f>日前电价!K82-实时电价!K82</f>
        <v>-10.6362</v>
      </c>
      <c r="L82" s="7">
        <f>日前电价!L82-实时电价!L82</f>
        <v>0.776200000000017</v>
      </c>
      <c r="M82" s="7">
        <f>日前电价!M82-实时电价!M82</f>
        <v>45.2648</v>
      </c>
      <c r="N82" s="7">
        <f>日前电价!N82-实时电价!N82</f>
        <v>48.9788</v>
      </c>
      <c r="O82" s="7">
        <f>日前电价!O82-实时电价!O82</f>
        <v>0.123100000000022</v>
      </c>
      <c r="P82" s="7">
        <f>日前电价!P82-实时电价!P82</f>
        <v>4.024</v>
      </c>
      <c r="Q82" s="7">
        <f>日前电价!Q82-实时电价!Q82</f>
        <v>-16.8402</v>
      </c>
      <c r="R82" s="7">
        <f>日前电价!R82-实时电价!R82</f>
        <v>-54.0533</v>
      </c>
      <c r="S82" s="7">
        <f>日前电价!S82-实时电价!S82</f>
        <v>-15.2974</v>
      </c>
      <c r="T82" s="7">
        <f>日前电价!T82-实时电价!T82</f>
        <v>3.37049999999999</v>
      </c>
      <c r="U82" s="7">
        <f>日前电价!U82-实时电价!U82</f>
        <v>-20.3654</v>
      </c>
      <c r="V82" s="7">
        <f>日前电价!V82-实时电价!V82</f>
        <v>4.00540000000001</v>
      </c>
      <c r="W82" s="7">
        <f>日前电价!W82-实时电价!W82</f>
        <v>-2.18669999999997</v>
      </c>
      <c r="X82" s="7">
        <f>日前电价!X82-实时电价!X82</f>
        <v>9.18900000000002</v>
      </c>
      <c r="Y82" s="7">
        <f>日前电价!Y82-实时电价!Y82</f>
        <v>-3.20590000000004</v>
      </c>
      <c r="Z82" s="9">
        <f t="shared" si="3"/>
        <v>48.9788</v>
      </c>
      <c r="AA82" s="9">
        <f t="shared" si="4"/>
        <v>-54.0533</v>
      </c>
      <c r="AB82" s="9">
        <f t="shared" si="5"/>
        <v>-3.08254166666667</v>
      </c>
    </row>
    <row r="83" spans="1:28">
      <c r="A83" s="8">
        <v>45373</v>
      </c>
      <c r="B83" s="7">
        <f>日前电价!B83-实时电价!B83</f>
        <v>-34.1474</v>
      </c>
      <c r="C83" s="7">
        <f>日前电价!C83-实时电价!C83</f>
        <v>5.05369999999999</v>
      </c>
      <c r="D83" s="7">
        <f>日前电价!D83-实时电价!D83</f>
        <v>10.5445</v>
      </c>
      <c r="E83" s="7">
        <f>日前电价!E83-实时电价!E83</f>
        <v>9.15449999999998</v>
      </c>
      <c r="F83" s="7">
        <f>日前电价!F83-实时电价!F83</f>
        <v>11.8966</v>
      </c>
      <c r="G83" s="7">
        <f>日前电价!G83-实时电价!G83</f>
        <v>3.8424</v>
      </c>
      <c r="H83" s="7">
        <f>日前电价!H83-实时电价!H83</f>
        <v>0.907399999999996</v>
      </c>
      <c r="I83" s="7">
        <f>日前电价!I83-实时电价!I83</f>
        <v>-11.1595</v>
      </c>
      <c r="J83" s="7">
        <f>日前电价!J83-实时电价!J83</f>
        <v>-187.9224</v>
      </c>
      <c r="K83" s="7">
        <f>日前电价!K83-实时电价!K83</f>
        <v>-93.412</v>
      </c>
      <c r="L83" s="7">
        <f>日前电价!L83-实时电价!L83</f>
        <v>-184.0705</v>
      </c>
      <c r="M83" s="7">
        <f>日前电价!M83-实时电价!M83</f>
        <v>4.96190000000001</v>
      </c>
      <c r="N83" s="7">
        <f>日前电价!N83-实时电价!N83</f>
        <v>47.6458</v>
      </c>
      <c r="O83" s="7">
        <f>日前电价!O83-实时电价!O83</f>
        <v>-39.4976</v>
      </c>
      <c r="P83" s="7">
        <f>日前电价!P83-实时电价!P83</f>
        <v>-75.6503</v>
      </c>
      <c r="Q83" s="7">
        <f>日前电价!Q83-实时电价!Q83</f>
        <v>-53.0065</v>
      </c>
      <c r="R83" s="7">
        <f>日前电价!R83-实时电价!R83</f>
        <v>-128.9288</v>
      </c>
      <c r="S83" s="7">
        <f>日前电价!S83-实时电价!S83</f>
        <v>-7.33529999999996</v>
      </c>
      <c r="T83" s="7">
        <f>日前电价!T83-实时电价!T83</f>
        <v>-40.4389</v>
      </c>
      <c r="U83" s="7">
        <f>日前电价!U83-实时电价!U83</f>
        <v>-45.371</v>
      </c>
      <c r="V83" s="7">
        <f>日前电价!V83-实时电价!V83</f>
        <v>-11.4932</v>
      </c>
      <c r="W83" s="7">
        <f>日前电价!W83-实时电价!W83</f>
        <v>-4.9597</v>
      </c>
      <c r="X83" s="7">
        <f>日前电价!X83-实时电价!X83</f>
        <v>-7.26439999999997</v>
      </c>
      <c r="Y83" s="7">
        <f>日前电价!Y83-实时电价!Y83</f>
        <v>-3.55219999999997</v>
      </c>
      <c r="Z83" s="9">
        <f t="shared" si="3"/>
        <v>47.6458</v>
      </c>
      <c r="AA83" s="9">
        <f t="shared" si="4"/>
        <v>-187.9224</v>
      </c>
      <c r="AB83" s="9">
        <f t="shared" si="5"/>
        <v>-34.7584541666667</v>
      </c>
    </row>
    <row r="84" spans="1:28">
      <c r="A84" s="8">
        <v>45374</v>
      </c>
      <c r="B84" s="7">
        <f>日前电价!B84-实时电价!B84</f>
        <v>-219.6074</v>
      </c>
      <c r="C84" s="7">
        <f>日前电价!C84-实时电价!C84</f>
        <v>-3.10320000000002</v>
      </c>
      <c r="D84" s="7">
        <f>日前电价!D84-实时电价!D84</f>
        <v>10.0493</v>
      </c>
      <c r="E84" s="7">
        <f>日前电价!E84-实时电价!E84</f>
        <v>7.60019999999997</v>
      </c>
      <c r="F84" s="7">
        <f>日前电价!F84-实时电价!F84</f>
        <v>8.59219999999999</v>
      </c>
      <c r="G84" s="7">
        <f>日前电价!G84-实时电价!G84</f>
        <v>-0.796100000000024</v>
      </c>
      <c r="H84" s="7">
        <f>日前电价!H84-实时电价!H84</f>
        <v>15.485</v>
      </c>
      <c r="I84" s="7">
        <f>日前电价!I84-实时电价!I84</f>
        <v>-7.88740000000001</v>
      </c>
      <c r="J84" s="7">
        <f>日前电价!J84-实时电价!J84</f>
        <v>-239.388</v>
      </c>
      <c r="K84" s="7">
        <f>日前电价!K84-实时电价!K84</f>
        <v>-257.9976</v>
      </c>
      <c r="L84" s="7">
        <f>日前电价!L84-实时电价!L84</f>
        <v>-45.2405</v>
      </c>
      <c r="M84" s="7">
        <f>日前电价!M84-实时电价!M84</f>
        <v>55.4611</v>
      </c>
      <c r="N84" s="7">
        <f>日前电价!N84-实时电价!N84</f>
        <v>71.1151</v>
      </c>
      <c r="O84" s="7">
        <f>日前电价!O84-实时电价!O84</f>
        <v>-31.7966</v>
      </c>
      <c r="P84" s="7">
        <f>日前电价!P84-实时电价!P84</f>
        <v>-13.1731</v>
      </c>
      <c r="Q84" s="7">
        <f>日前电价!Q84-实时电价!Q84</f>
        <v>-10.0372</v>
      </c>
      <c r="R84" s="7">
        <f>日前电价!R84-实时电价!R84</f>
        <v>-143.0254</v>
      </c>
      <c r="S84" s="7">
        <f>日前电价!S84-实时电价!S84</f>
        <v>-17.6781</v>
      </c>
      <c r="T84" s="7">
        <f>日前电价!T84-实时电价!T84</f>
        <v>0.67470000000003</v>
      </c>
      <c r="U84" s="7">
        <f>日前电价!U84-实时电价!U84</f>
        <v>-0.365100000000041</v>
      </c>
      <c r="V84" s="7">
        <f>日前电价!V84-实时电价!V84</f>
        <v>5.11079999999998</v>
      </c>
      <c r="W84" s="7">
        <f>日前电价!W84-实时电价!W84</f>
        <v>-6.6508</v>
      </c>
      <c r="X84" s="7">
        <f>日前电价!X84-实时电价!X84</f>
        <v>-11.3821</v>
      </c>
      <c r="Y84" s="7">
        <f>日前电价!Y84-实时电价!Y84</f>
        <v>-26.5078999999999</v>
      </c>
      <c r="Z84" s="9">
        <f t="shared" si="3"/>
        <v>71.1151</v>
      </c>
      <c r="AA84" s="9">
        <f t="shared" si="4"/>
        <v>-257.9976</v>
      </c>
      <c r="AB84" s="9">
        <f t="shared" si="5"/>
        <v>-35.8561708333333</v>
      </c>
    </row>
    <row r="85" spans="1:28">
      <c r="A85" s="8">
        <v>45375</v>
      </c>
      <c r="B85" s="7">
        <f>日前电价!B85-实时电价!B85</f>
        <v>-251.7514</v>
      </c>
      <c r="C85" s="7">
        <f>日前电价!C85-实时电价!C85</f>
        <v>-20.9916</v>
      </c>
      <c r="D85" s="7">
        <f>日前电价!D85-实时电价!D85</f>
        <v>-10.7231</v>
      </c>
      <c r="E85" s="7">
        <f>日前电价!E85-实时电价!E85</f>
        <v>-27.537</v>
      </c>
      <c r="F85" s="7">
        <f>日前电价!F85-实时电价!F85</f>
        <v>-7.1103</v>
      </c>
      <c r="G85" s="7">
        <f>日前电价!G85-实时电价!G85</f>
        <v>-4.06279999999998</v>
      </c>
      <c r="H85" s="7">
        <f>日前电价!H85-实时电价!H85</f>
        <v>-11.0372</v>
      </c>
      <c r="I85" s="7">
        <f>日前电价!I85-实时电价!I85</f>
        <v>-16.2394</v>
      </c>
      <c r="J85" s="7">
        <f>日前电价!J85-实时电价!J85</f>
        <v>-13.8536</v>
      </c>
      <c r="K85" s="7">
        <f>日前电价!K85-实时电价!K85</f>
        <v>-1.19290000000001</v>
      </c>
      <c r="L85" s="7">
        <f>日前电价!L85-实时电价!L85</f>
        <v>22.1333</v>
      </c>
      <c r="M85" s="7">
        <f>日前电价!M85-实时电价!M85</f>
        <v>28.8054</v>
      </c>
      <c r="N85" s="7">
        <f>日前电价!N85-实时电价!N85</f>
        <v>181.6478</v>
      </c>
      <c r="O85" s="7">
        <f>日前电价!O85-实时电价!O85</f>
        <v>6.85360000000003</v>
      </c>
      <c r="P85" s="7">
        <f>日前电价!P85-实时电价!P85</f>
        <v>12.7157</v>
      </c>
      <c r="Q85" s="7">
        <f>日前电价!Q85-实时电价!Q85</f>
        <v>5.76030000000003</v>
      </c>
      <c r="R85" s="7">
        <f>日前电价!R85-实时电价!R85</f>
        <v>-6.59899999999999</v>
      </c>
      <c r="S85" s="7">
        <f>日前电价!S85-实时电价!S85</f>
        <v>-6.8193</v>
      </c>
      <c r="T85" s="7">
        <f>日前电价!T85-实时电价!T85</f>
        <v>-15.5318</v>
      </c>
      <c r="U85" s="7">
        <f>日前电价!U85-实时电价!U85</f>
        <v>-50.1485</v>
      </c>
      <c r="V85" s="7">
        <f>日前电价!V85-实时电价!V85</f>
        <v>-167.9433</v>
      </c>
      <c r="W85" s="7">
        <f>日前电价!W85-实时电价!W85</f>
        <v>-68.4674</v>
      </c>
      <c r="X85" s="7">
        <f>日前电价!X85-实时电价!X85</f>
        <v>-41.9284</v>
      </c>
      <c r="Y85" s="7">
        <f>日前电价!Y85-实时电价!Y85</f>
        <v>-34.5292</v>
      </c>
      <c r="Z85" s="9">
        <f t="shared" si="3"/>
        <v>181.6478</v>
      </c>
      <c r="AA85" s="9">
        <f t="shared" si="4"/>
        <v>-251.7514</v>
      </c>
      <c r="AB85" s="9">
        <f t="shared" si="5"/>
        <v>-20.7729208333333</v>
      </c>
    </row>
    <row r="86" spans="1:28">
      <c r="A86" s="8">
        <v>45376</v>
      </c>
      <c r="B86" s="7">
        <f>日前电价!B86-实时电价!B86</f>
        <v>-166.656</v>
      </c>
      <c r="C86" s="7">
        <f>日前电价!C86-实时电价!C86</f>
        <v>-29.7205</v>
      </c>
      <c r="D86" s="7">
        <f>日前电价!D86-实时电价!D86</f>
        <v>-1.77390000000003</v>
      </c>
      <c r="E86" s="7">
        <f>日前电价!E86-实时电价!E86</f>
        <v>-10.7553</v>
      </c>
      <c r="F86" s="7">
        <f>日前电价!F86-实时电价!F86</f>
        <v>-15.2084</v>
      </c>
      <c r="G86" s="7">
        <f>日前电价!G86-实时电价!G86</f>
        <v>-19.8183</v>
      </c>
      <c r="H86" s="7">
        <f>日前电价!H86-实时电价!H86</f>
        <v>-63.0601</v>
      </c>
      <c r="I86" s="7">
        <f>日前电价!I86-实时电价!I86</f>
        <v>-247.5091</v>
      </c>
      <c r="J86" s="7">
        <f>日前电价!J86-实时电价!J86</f>
        <v>-282.5631</v>
      </c>
      <c r="K86" s="7">
        <f>日前电价!K86-实时电价!K86</f>
        <v>-321.6389</v>
      </c>
      <c r="L86" s="7">
        <f>日前电价!L86-实时电价!L86</f>
        <v>92.0946</v>
      </c>
      <c r="M86" s="7">
        <f>日前电价!M86-实时电价!M86</f>
        <v>160.1426</v>
      </c>
      <c r="N86" s="7">
        <f>日前电价!N86-实时电价!N86</f>
        <v>35.3462</v>
      </c>
      <c r="O86" s="7">
        <f>日前电价!O86-实时电价!O86</f>
        <v>-95.7758999999999</v>
      </c>
      <c r="P86" s="7">
        <f>日前电价!P86-实时电价!P86</f>
        <v>99.0346999999999</v>
      </c>
      <c r="Q86" s="7">
        <f>日前电价!Q86-实时电价!Q86</f>
        <v>122.1833</v>
      </c>
      <c r="R86" s="7">
        <f>日前电价!R86-实时电价!R86</f>
        <v>99.3657000000001</v>
      </c>
      <c r="S86" s="7">
        <f>日前电价!S86-实时电价!S86</f>
        <v>80.7043</v>
      </c>
      <c r="T86" s="7">
        <f>日前电价!T86-实时电价!T86</f>
        <v>57.5625</v>
      </c>
      <c r="U86" s="7">
        <f>日前电价!U86-实时电价!U86</f>
        <v>51.8915</v>
      </c>
      <c r="V86" s="7">
        <f>日前电价!V86-实时电价!V86</f>
        <v>40.4769</v>
      </c>
      <c r="W86" s="7">
        <f>日前电价!W86-实时电价!W86</f>
        <v>34.8558</v>
      </c>
      <c r="X86" s="7">
        <f>日前电价!X86-实时电价!X86</f>
        <v>33.2858</v>
      </c>
      <c r="Y86" s="7">
        <f>日前电价!Y86-实时电价!Y86</f>
        <v>-8.33729999999997</v>
      </c>
      <c r="Z86" s="9">
        <f t="shared" si="3"/>
        <v>160.1426</v>
      </c>
      <c r="AA86" s="9">
        <f t="shared" si="4"/>
        <v>-321.6389</v>
      </c>
      <c r="AB86" s="9">
        <f t="shared" si="5"/>
        <v>-14.8280375</v>
      </c>
    </row>
    <row r="87" spans="1:28">
      <c r="A87" s="8">
        <v>45377</v>
      </c>
      <c r="B87" s="7">
        <f>日前电价!B87-实时电价!B87</f>
        <v>-364.9841</v>
      </c>
      <c r="C87" s="7">
        <f>日前电价!C87-实时电价!C87</f>
        <v>-17.1821</v>
      </c>
      <c r="D87" s="7">
        <f>日前电价!D87-实时电价!D87</f>
        <v>0.72320000000002</v>
      </c>
      <c r="E87" s="7">
        <f>日前电价!E87-实时电价!E87</f>
        <v>-0.419900000000041</v>
      </c>
      <c r="F87" s="7">
        <f>日前电价!F87-实时电价!F87</f>
        <v>-0.773899999999969</v>
      </c>
      <c r="G87" s="7">
        <f>日前电价!G87-实时电价!G87</f>
        <v>-2.06079999999997</v>
      </c>
      <c r="H87" s="7">
        <f>日前电价!H87-实时电价!H87</f>
        <v>-12.9823</v>
      </c>
      <c r="I87" s="7">
        <f>日前电价!I87-实时电价!I87</f>
        <v>-81.1101</v>
      </c>
      <c r="J87" s="7">
        <f>日前电价!J87-实时电价!J87</f>
        <v>-109.2407</v>
      </c>
      <c r="K87" s="7">
        <f>日前电价!K87-实时电价!K87</f>
        <v>-7.27670000000001</v>
      </c>
      <c r="L87" s="7">
        <f>日前电价!L87-实时电价!L87</f>
        <v>52.3501</v>
      </c>
      <c r="M87" s="7">
        <f>日前电价!M87-实时电价!M87</f>
        <v>71.6481</v>
      </c>
      <c r="N87" s="7">
        <f>日前电价!N87-实时电价!N87</f>
        <v>122.1095</v>
      </c>
      <c r="O87" s="7">
        <f>日前电价!O87-实时电价!O87</f>
        <v>28.227</v>
      </c>
      <c r="P87" s="7">
        <f>日前电价!P87-实时电价!P87</f>
        <v>20.3181</v>
      </c>
      <c r="Q87" s="7">
        <f>日前电价!Q87-实时电价!Q87</f>
        <v>-9.59289999999999</v>
      </c>
      <c r="R87" s="7">
        <f>日前电价!R87-实时电价!R87</f>
        <v>-82.5125</v>
      </c>
      <c r="S87" s="7">
        <f>日前电价!S87-实时电价!S87</f>
        <v>-29.765</v>
      </c>
      <c r="T87" s="7">
        <f>日前电价!T87-实时电价!T87</f>
        <v>-3.48009999999999</v>
      </c>
      <c r="U87" s="7">
        <f>日前电价!U87-实时电价!U87</f>
        <v>-140.6726</v>
      </c>
      <c r="V87" s="7">
        <f>日前电价!V87-实时电价!V87</f>
        <v>-33.5166</v>
      </c>
      <c r="W87" s="7">
        <f>日前电价!W87-实时电价!W87</f>
        <v>-11.944</v>
      </c>
      <c r="X87" s="7">
        <f>日前电价!X87-实时电价!X87</f>
        <v>-0.470499999999959</v>
      </c>
      <c r="Y87" s="7">
        <f>日前电价!Y87-实时电价!Y87</f>
        <v>-11.6347</v>
      </c>
      <c r="Z87" s="9">
        <f t="shared" si="3"/>
        <v>122.1095</v>
      </c>
      <c r="AA87" s="9">
        <f t="shared" si="4"/>
        <v>-364.9841</v>
      </c>
      <c r="AB87" s="9">
        <f t="shared" si="5"/>
        <v>-26.0101458333333</v>
      </c>
    </row>
    <row r="88" spans="1:28">
      <c r="A88" s="8">
        <v>45378</v>
      </c>
      <c r="B88" s="7">
        <f>日前电价!B88-实时电价!B88</f>
        <v>-127.2297</v>
      </c>
      <c r="C88" s="7">
        <f>日前电价!C88-实时电价!C88</f>
        <v>18.9215</v>
      </c>
      <c r="D88" s="7">
        <f>日前电价!D88-实时电价!D88</f>
        <v>17.3738</v>
      </c>
      <c r="E88" s="7">
        <f>日前电价!E88-实时电价!E88</f>
        <v>6.51990000000001</v>
      </c>
      <c r="F88" s="7">
        <f>日前电价!F88-实时电价!F88</f>
        <v>5.23310000000004</v>
      </c>
      <c r="G88" s="7">
        <f>日前电价!G88-实时电价!G88</f>
        <v>-7.452</v>
      </c>
      <c r="H88" s="7">
        <f>日前电价!H88-实时电价!H88</f>
        <v>-14.0876</v>
      </c>
      <c r="I88" s="7">
        <f>日前电价!I88-实时电价!I88</f>
        <v>-29.6172</v>
      </c>
      <c r="J88" s="7">
        <f>日前电价!J88-实时电价!J88</f>
        <v>-141.5247</v>
      </c>
      <c r="K88" s="7">
        <f>日前电价!K88-实时电价!K88</f>
        <v>-73.6268</v>
      </c>
      <c r="L88" s="7">
        <f>日前电价!L88-实时电价!L88</f>
        <v>268.083</v>
      </c>
      <c r="M88" s="7">
        <f>日前电价!M88-实时电价!M88</f>
        <v>92.2704</v>
      </c>
      <c r="N88" s="7">
        <f>日前电价!N88-实时电价!N88</f>
        <v>185.3857</v>
      </c>
      <c r="O88" s="7">
        <f>日前电价!O88-实时电价!O88</f>
        <v>37.0195</v>
      </c>
      <c r="P88" s="7">
        <f>日前电价!P88-实时电价!P88</f>
        <v>30.0124</v>
      </c>
      <c r="Q88" s="7">
        <f>日前电价!Q88-实时电价!Q88</f>
        <v>38.7486</v>
      </c>
      <c r="R88" s="7">
        <f>日前电价!R88-实时电价!R88</f>
        <v>17.8023</v>
      </c>
      <c r="S88" s="7">
        <f>日前电价!S88-实时电价!S88</f>
        <v>0.965899999999976</v>
      </c>
      <c r="T88" s="7">
        <f>日前电价!T88-实时电价!T88</f>
        <v>14.1367</v>
      </c>
      <c r="U88" s="7">
        <f>日前电价!U88-实时电价!U88</f>
        <v>26.4908</v>
      </c>
      <c r="V88" s="7">
        <f>日前电价!V88-实时电价!V88</f>
        <v>66.3964</v>
      </c>
      <c r="W88" s="7">
        <f>日前电价!W88-实时电价!W88</f>
        <v>87.8449</v>
      </c>
      <c r="X88" s="7">
        <f>日前电价!X88-实时电价!X88</f>
        <v>53.4488</v>
      </c>
      <c r="Y88" s="7">
        <f>日前电价!Y88-实时电价!Y88</f>
        <v>40.3674</v>
      </c>
      <c r="Z88" s="9">
        <f t="shared" si="3"/>
        <v>268.083</v>
      </c>
      <c r="AA88" s="9">
        <f t="shared" si="4"/>
        <v>-141.5247</v>
      </c>
      <c r="AB88" s="9">
        <f t="shared" si="5"/>
        <v>25.5617958333333</v>
      </c>
    </row>
    <row r="89" spans="1:28">
      <c r="A89" s="8">
        <v>45379</v>
      </c>
      <c r="B89" s="7">
        <f>日前电价!B89-实时电价!B89</f>
        <v>28.632</v>
      </c>
      <c r="C89" s="7">
        <f>日前电价!C89-实时电价!C89</f>
        <v>7.4957</v>
      </c>
      <c r="D89" s="7">
        <f>日前电价!D89-实时电价!D89</f>
        <v>-11.8691</v>
      </c>
      <c r="E89" s="7">
        <f>日前电价!E89-实时电价!E89</f>
        <v>-4.95749999999998</v>
      </c>
      <c r="F89" s="7">
        <f>日前电价!F89-实时电价!F89</f>
        <v>25.1201</v>
      </c>
      <c r="G89" s="7">
        <f>日前电价!G89-实时电价!G89</f>
        <v>12.5289</v>
      </c>
      <c r="H89" s="7">
        <f>日前电价!H89-实时电价!H89</f>
        <v>-32.4741</v>
      </c>
      <c r="I89" s="7">
        <f>日前电价!I89-实时电价!I89</f>
        <v>-95.6958</v>
      </c>
      <c r="J89" s="7">
        <f>日前电价!J89-实时电价!J89</f>
        <v>-111.0685</v>
      </c>
      <c r="K89" s="7">
        <f>日前电价!K89-实时电价!K89</f>
        <v>-108.6552</v>
      </c>
      <c r="L89" s="7">
        <f>日前电价!L89-实时电价!L89</f>
        <v>-17.3095</v>
      </c>
      <c r="M89" s="7">
        <f>日前电价!M89-实时电价!M89</f>
        <v>-17.6545</v>
      </c>
      <c r="N89" s="7">
        <f>日前电价!N89-实时电价!N89</f>
        <v>12.9452</v>
      </c>
      <c r="O89" s="7">
        <f>日前电价!O89-实时电价!O89</f>
        <v>-28.6242</v>
      </c>
      <c r="P89" s="7">
        <f>日前电价!P89-实时电价!P89</f>
        <v>-30.9058</v>
      </c>
      <c r="Q89" s="7">
        <f>日前电价!Q89-实时电价!Q89</f>
        <v>-11.6795</v>
      </c>
      <c r="R89" s="7">
        <f>日前电价!R89-实时电价!R89</f>
        <v>7.6463</v>
      </c>
      <c r="S89" s="7">
        <f>日前电价!S89-实时电价!S89</f>
        <v>-19.5609</v>
      </c>
      <c r="T89" s="7">
        <f>日前电价!T89-实时电价!T89</f>
        <v>-10.5835</v>
      </c>
      <c r="U89" s="7">
        <f>日前电价!U89-实时电价!U89</f>
        <v>3.47410000000002</v>
      </c>
      <c r="V89" s="7">
        <f>日前电价!V89-实时电价!V89</f>
        <v>40.244</v>
      </c>
      <c r="W89" s="7">
        <f>日前电价!W89-实时电价!W89</f>
        <v>-6.60309999999998</v>
      </c>
      <c r="X89" s="7">
        <f>日前电价!X89-实时电价!X89</f>
        <v>4.97569999999996</v>
      </c>
      <c r="Y89" s="7">
        <f>日前电价!Y89-实时电价!Y89</f>
        <v>-10.073</v>
      </c>
      <c r="Z89" s="9">
        <f t="shared" si="3"/>
        <v>40.244</v>
      </c>
      <c r="AA89" s="9">
        <f t="shared" si="4"/>
        <v>-111.0685</v>
      </c>
      <c r="AB89" s="9">
        <f t="shared" si="5"/>
        <v>-15.6105083333333</v>
      </c>
    </row>
    <row r="90" spans="1:28">
      <c r="A90" s="8">
        <v>45380</v>
      </c>
      <c r="B90" s="7">
        <f>日前电价!B90-实时电价!B90</f>
        <v>-58.7978</v>
      </c>
      <c r="C90" s="7">
        <f>日前电价!C90-实时电价!C90</f>
        <v>-47.3251</v>
      </c>
      <c r="D90" s="7">
        <f>日前电价!D90-实时电价!D90</f>
        <v>-20.6263</v>
      </c>
      <c r="E90" s="7">
        <f>日前电价!E90-实时电价!E90</f>
        <v>-14.0455</v>
      </c>
      <c r="F90" s="7">
        <f>日前电价!F90-实时电价!F90</f>
        <v>-32.5525</v>
      </c>
      <c r="G90" s="7">
        <f>日前电价!G90-实时电价!G90</f>
        <v>-30.3967</v>
      </c>
      <c r="H90" s="7">
        <f>日前电价!H90-实时电价!H90</f>
        <v>-33.4297</v>
      </c>
      <c r="I90" s="7">
        <f>日前电价!I90-实时电价!I90</f>
        <v>-56.6962</v>
      </c>
      <c r="J90" s="7">
        <f>日前电价!J90-实时电价!J90</f>
        <v>-69.7476</v>
      </c>
      <c r="K90" s="7">
        <f>日前电价!K90-实时电价!K90</f>
        <v>-42.3829</v>
      </c>
      <c r="L90" s="7">
        <f>日前电价!L90-实时电价!L90</f>
        <v>16.5663</v>
      </c>
      <c r="M90" s="7">
        <f>日前电价!M90-实时电价!M90</f>
        <v>33.9772</v>
      </c>
      <c r="N90" s="7">
        <f>日前电价!N90-实时电价!N90</f>
        <v>110.0677</v>
      </c>
      <c r="O90" s="7">
        <f>日前电价!O90-实时电价!O90</f>
        <v>20.327</v>
      </c>
      <c r="P90" s="7">
        <f>日前电价!P90-实时电价!P90</f>
        <v>-13.4972</v>
      </c>
      <c r="Q90" s="7">
        <f>日前电价!Q90-实时电价!Q90</f>
        <v>-26.4413</v>
      </c>
      <c r="R90" s="7">
        <f>日前电价!R90-实时电价!R90</f>
        <v>-38.7344</v>
      </c>
      <c r="S90" s="7">
        <f>日前电价!S90-实时电价!S90</f>
        <v>-74.9653</v>
      </c>
      <c r="T90" s="7">
        <f>日前电价!T90-实时电价!T90</f>
        <v>-40.8413</v>
      </c>
      <c r="U90" s="7">
        <f>日前电价!U90-实时电价!U90</f>
        <v>28.3032</v>
      </c>
      <c r="V90" s="7">
        <f>日前电价!V90-实时电价!V90</f>
        <v>18.5956</v>
      </c>
      <c r="W90" s="7">
        <f>日前电价!W90-实时电价!W90</f>
        <v>3.11600000000004</v>
      </c>
      <c r="X90" s="7">
        <f>日前电价!X90-实时电价!X90</f>
        <v>-3.3698</v>
      </c>
      <c r="Y90" s="7">
        <f>日前电价!Y90-实时电价!Y90</f>
        <v>-17.7724</v>
      </c>
      <c r="Z90" s="9">
        <f t="shared" si="3"/>
        <v>110.0677</v>
      </c>
      <c r="AA90" s="9">
        <f t="shared" si="4"/>
        <v>-74.9653</v>
      </c>
      <c r="AB90" s="9">
        <f t="shared" si="5"/>
        <v>-16.277875</v>
      </c>
    </row>
    <row r="91" spans="1:28">
      <c r="A91" s="8">
        <v>45381</v>
      </c>
      <c r="B91" s="7">
        <f>日前电价!B91-实时电价!B91</f>
        <v>-25.9591</v>
      </c>
      <c r="C91" s="7">
        <f>日前电价!C91-实时电价!C91</f>
        <v>11.6462</v>
      </c>
      <c r="D91" s="7">
        <f>日前电价!D91-实时电价!D91</f>
        <v>11.1085</v>
      </c>
      <c r="E91" s="7">
        <f>日前电价!E91-实时电价!E91</f>
        <v>13.5212</v>
      </c>
      <c r="F91" s="7">
        <f>日前电价!F91-实时电价!F91</f>
        <v>12.1446</v>
      </c>
      <c r="G91" s="7">
        <f>日前电价!G91-实时电价!G91</f>
        <v>3.96940000000001</v>
      </c>
      <c r="H91" s="7">
        <f>日前电价!H91-实时电价!H91</f>
        <v>-13.4055</v>
      </c>
      <c r="I91" s="7">
        <f>日前电价!I91-实时电价!I91</f>
        <v>-19.5899</v>
      </c>
      <c r="J91" s="7">
        <f>日前电价!J91-实时电价!J91</f>
        <v>-4.46929999999998</v>
      </c>
      <c r="K91" s="7">
        <f>日前电价!K91-实时电价!K91</f>
        <v>35.8695</v>
      </c>
      <c r="L91" s="7">
        <f>日前电价!L91-实时电价!L91</f>
        <v>44.989</v>
      </c>
      <c r="M91" s="7">
        <f>日前电价!M91-实时电价!M91</f>
        <v>-16.1784</v>
      </c>
      <c r="N91" s="7">
        <f>日前电价!N91-实时电价!N91</f>
        <v>36.507</v>
      </c>
      <c r="O91" s="7">
        <f>日前电价!O91-实时电价!O91</f>
        <v>1.88990000000001</v>
      </c>
      <c r="P91" s="7">
        <f>日前电价!P91-实时电价!P91</f>
        <v>-26.3638</v>
      </c>
      <c r="Q91" s="7">
        <f>日前电价!Q91-实时电价!Q91</f>
        <v>-60.6084</v>
      </c>
      <c r="R91" s="7">
        <f>日前电价!R91-实时电价!R91</f>
        <v>-80.3488</v>
      </c>
      <c r="S91" s="7">
        <f>日前电价!S91-实时电价!S91</f>
        <v>-40.1748</v>
      </c>
      <c r="T91" s="7">
        <f>日前电价!T91-实时电价!T91</f>
        <v>-19.7284</v>
      </c>
      <c r="U91" s="7">
        <f>日前电价!U91-实时电价!U91</f>
        <v>-2.73169999999999</v>
      </c>
      <c r="V91" s="7">
        <f>日前电价!V91-实时电价!V91</f>
        <v>-18.6395</v>
      </c>
      <c r="W91" s="7">
        <f>日前电价!W91-实时电价!W91</f>
        <v>8.5675</v>
      </c>
      <c r="X91" s="7">
        <f>日前电价!X91-实时电价!X91</f>
        <v>-3.43960000000004</v>
      </c>
      <c r="Y91" s="7">
        <f>日前电价!Y91-实时电价!Y91</f>
        <v>18.5659</v>
      </c>
      <c r="Z91" s="9">
        <f t="shared" si="3"/>
        <v>44.989</v>
      </c>
      <c r="AA91" s="9">
        <f t="shared" si="4"/>
        <v>-80.3488</v>
      </c>
      <c r="AB91" s="9">
        <f t="shared" si="5"/>
        <v>-5.53577083333334</v>
      </c>
    </row>
    <row r="92" spans="1:28">
      <c r="A92" s="8">
        <v>45382</v>
      </c>
      <c r="B92" s="7">
        <f>日前电价!B92-实时电价!B92</f>
        <v>-30.2356</v>
      </c>
      <c r="C92" s="7">
        <f>日前电价!C92-实时电价!C92</f>
        <v>-16.5982</v>
      </c>
      <c r="D92" s="7">
        <f>日前电价!D92-实时电价!D92</f>
        <v>-3.15409999999997</v>
      </c>
      <c r="E92" s="7">
        <f>日前电价!E92-实时电价!E92</f>
        <v>-9.80590000000001</v>
      </c>
      <c r="F92" s="7">
        <f>日前电价!F92-实时电价!F92</f>
        <v>-48.6839</v>
      </c>
      <c r="G92" s="7">
        <f>日前电价!G92-实时电价!G92</f>
        <v>-56.7614</v>
      </c>
      <c r="H92" s="7">
        <f>日前电价!H92-实时电价!H92</f>
        <v>-24.253</v>
      </c>
      <c r="I92" s="7">
        <f>日前电价!I92-实时电价!I92</f>
        <v>-8.53289999999998</v>
      </c>
      <c r="J92" s="7">
        <f>日前电价!J92-实时电价!J92</f>
        <v>-0.826099999999997</v>
      </c>
      <c r="K92" s="7">
        <f>日前电价!K92-实时电价!K92</f>
        <v>-1.18029999999999</v>
      </c>
      <c r="L92" s="7">
        <f>日前电价!L92-实时电价!L92</f>
        <v>0.946200000000033</v>
      </c>
      <c r="M92" s="7">
        <f>日前电价!M92-实时电价!M92</f>
        <v>17.4225</v>
      </c>
      <c r="N92" s="7">
        <f>日前电价!N92-实时电价!N92</f>
        <v>12.5011</v>
      </c>
      <c r="O92" s="7">
        <f>日前电价!O92-实时电价!O92</f>
        <v>-94.8432</v>
      </c>
      <c r="P92" s="7">
        <f>日前电价!P92-实时电价!P92</f>
        <v>-136.4584</v>
      </c>
      <c r="Q92" s="7">
        <f>日前电价!Q92-实时电价!Q92</f>
        <v>-56.6117</v>
      </c>
      <c r="R92" s="7">
        <f>日前电价!R92-实时电价!R92</f>
        <v>-80.1884</v>
      </c>
      <c r="S92" s="7">
        <f>日前电价!S92-实时电价!S92</f>
        <v>-169.842</v>
      </c>
      <c r="T92" s="7">
        <f>日前电价!T92-实时电价!T92</f>
        <v>-107.8483</v>
      </c>
      <c r="U92" s="7">
        <f>日前电价!U92-实时电价!U92</f>
        <v>-99.0827</v>
      </c>
      <c r="V92" s="7">
        <f>日前电价!V92-实时电价!V92</f>
        <v>-91.1403</v>
      </c>
      <c r="W92" s="7">
        <f>日前电价!W92-实时电价!W92</f>
        <v>-39.688</v>
      </c>
      <c r="X92" s="7">
        <f>日前电价!X92-实时电价!X92</f>
        <v>-27.5007</v>
      </c>
      <c r="Y92" s="7">
        <f>日前电价!Y92-实时电价!Y92</f>
        <v>-7.53879999999998</v>
      </c>
      <c r="Z92" s="9">
        <f t="shared" si="3"/>
        <v>17.4225</v>
      </c>
      <c r="AA92" s="9">
        <f t="shared" si="4"/>
        <v>-169.842</v>
      </c>
      <c r="AB92" s="9">
        <f t="shared" si="5"/>
        <v>-44.9960041666667</v>
      </c>
    </row>
    <row r="93" spans="1:28">
      <c r="A93" s="8">
        <v>45383</v>
      </c>
      <c r="B93" s="7">
        <f>日前电价!B93-实时电价!B93</f>
        <v>-22.67</v>
      </c>
      <c r="C93" s="7">
        <f>日前电价!C93-实时电价!C93</f>
        <v>-8.43000000000001</v>
      </c>
      <c r="D93" s="7">
        <f>日前电价!D93-实时电价!D93</f>
        <v>-0.150000000000034</v>
      </c>
      <c r="E93" s="7">
        <f>日前电价!E93-实时电价!E93</f>
        <v>1.58999999999997</v>
      </c>
      <c r="F93" s="7">
        <f>日前电价!F93-实时电价!F93</f>
        <v>17.23</v>
      </c>
      <c r="G93" s="7">
        <f>日前电价!G93-实时电价!G93</f>
        <v>-2.15000000000003</v>
      </c>
      <c r="H93" s="7">
        <f>日前电价!H93-实时电价!H93</f>
        <v>-10.04</v>
      </c>
      <c r="I93" s="7">
        <f>日前电价!I93-实时电价!I93</f>
        <v>-22.72</v>
      </c>
      <c r="J93" s="7">
        <f>日前电价!J93-实时电价!J93</f>
        <v>-322.84</v>
      </c>
      <c r="K93" s="7">
        <f>日前电价!K93-实时电价!K93</f>
        <v>-232.1</v>
      </c>
      <c r="L93" s="7">
        <f>日前电价!L93-实时电价!L93</f>
        <v>-73.23</v>
      </c>
      <c r="M93" s="7">
        <f>日前电价!M93-实时电价!M93</f>
        <v>-3.44</v>
      </c>
      <c r="N93" s="7">
        <f>日前电价!N93-实时电价!N93</f>
        <v>73.83</v>
      </c>
      <c r="O93" s="7">
        <f>日前电价!O93-实时电价!O93</f>
        <v>-33.83</v>
      </c>
      <c r="P93" s="7">
        <f>日前电价!P93-实时电价!P93</f>
        <v>-62.55</v>
      </c>
      <c r="Q93" s="7">
        <f>日前电价!Q93-实时电价!Q93</f>
        <v>-41.67</v>
      </c>
      <c r="R93" s="7">
        <f>日前电价!R93-实时电价!R93</f>
        <v>-86.27</v>
      </c>
      <c r="S93" s="7">
        <f>日前电价!S93-实时电价!S93</f>
        <v>-138.31</v>
      </c>
      <c r="T93" s="7">
        <f>日前电价!T93-实时电价!T93</f>
        <v>-13.29</v>
      </c>
      <c r="U93" s="7">
        <f>日前电价!U93-实时电价!U93</f>
        <v>-19.26</v>
      </c>
      <c r="V93" s="7">
        <f>日前电价!V93-实时电价!V93</f>
        <v>-13.28</v>
      </c>
      <c r="W93" s="7">
        <f>日前电价!W93-实时电价!W93</f>
        <v>5.71000000000004</v>
      </c>
      <c r="X93" s="7">
        <f>日前电价!X93-实时电价!X93</f>
        <v>10.17</v>
      </c>
      <c r="Y93" s="7">
        <f>日前电价!Y93-实时电价!Y93</f>
        <v>-0.689999999999998</v>
      </c>
      <c r="Z93" s="9">
        <f t="shared" si="3"/>
        <v>73.83</v>
      </c>
      <c r="AA93" s="9">
        <f t="shared" si="4"/>
        <v>-322.84</v>
      </c>
      <c r="AB93" s="9">
        <f t="shared" si="5"/>
        <v>-41.5995833333333</v>
      </c>
    </row>
    <row r="94" spans="1:28">
      <c r="A94" s="8">
        <v>45384</v>
      </c>
      <c r="B94" s="7">
        <f>日前电价!B94-实时电价!B94</f>
        <v>21.9681</v>
      </c>
      <c r="C94" s="7">
        <f>日前电价!C94-实时电价!C94</f>
        <v>33.8885</v>
      </c>
      <c r="D94" s="7">
        <f>日前电价!D94-实时电价!D94</f>
        <v>17.3378</v>
      </c>
      <c r="E94" s="7">
        <f>日前电价!E94-实时电价!E94</f>
        <v>22.0997</v>
      </c>
      <c r="F94" s="7">
        <f>日前电价!F94-实时电价!F94</f>
        <v>57.3639</v>
      </c>
      <c r="G94" s="7">
        <f>日前电价!G94-实时电价!G94</f>
        <v>2.74380000000002</v>
      </c>
      <c r="H94" s="7">
        <f>日前电价!H94-实时电价!H94</f>
        <v>-2.29690000000005</v>
      </c>
      <c r="I94" s="7">
        <f>日前电价!I94-实时电价!I94</f>
        <v>-16.0362</v>
      </c>
      <c r="J94" s="7">
        <f>日前电价!J94-实时电价!J94</f>
        <v>-22.0673</v>
      </c>
      <c r="K94" s="7">
        <f>日前电价!K94-实时电价!K94</f>
        <v>34.4408</v>
      </c>
      <c r="L94" s="7">
        <f>日前电价!L94-实时电价!L94</f>
        <v>67.6621</v>
      </c>
      <c r="M94" s="7">
        <f>日前电价!M94-实时电价!M94</f>
        <v>77.8699</v>
      </c>
      <c r="N94" s="7">
        <f>日前电价!N94-实时电价!N94</f>
        <v>178.1639</v>
      </c>
      <c r="O94" s="7">
        <f>日前电价!O94-实时电价!O94</f>
        <v>57.0982</v>
      </c>
      <c r="P94" s="7">
        <f>日前电价!P94-实时电价!P94</f>
        <v>77.5062</v>
      </c>
      <c r="Q94" s="7">
        <f>日前电价!Q94-实时电价!Q94</f>
        <v>78.6126</v>
      </c>
      <c r="R94" s="7">
        <f>日前电价!R94-实时电价!R94</f>
        <v>66.8445</v>
      </c>
      <c r="S94" s="7">
        <f>日前电价!S94-实时电价!S94</f>
        <v>42.6122</v>
      </c>
      <c r="T94" s="7">
        <f>日前电价!T94-实时电价!T94</f>
        <v>22.9915</v>
      </c>
      <c r="U94" s="7">
        <f>日前电价!U94-实时电价!U94</f>
        <v>25.2801</v>
      </c>
      <c r="V94" s="7">
        <f>日前电价!V94-实时电价!V94</f>
        <v>18.7221</v>
      </c>
      <c r="W94" s="7">
        <f>日前电价!W94-实时电价!W94</f>
        <v>13.2469</v>
      </c>
      <c r="X94" s="7">
        <f>日前电价!X94-实时电价!X94</f>
        <v>32.7182</v>
      </c>
      <c r="Y94" s="7">
        <f>日前电价!Y94-实时电价!Y94</f>
        <v>13.6567</v>
      </c>
      <c r="Z94" s="9">
        <f t="shared" si="3"/>
        <v>178.1639</v>
      </c>
      <c r="AA94" s="9">
        <f t="shared" si="4"/>
        <v>-22.0673</v>
      </c>
      <c r="AB94" s="9">
        <f t="shared" si="5"/>
        <v>38.4344708333333</v>
      </c>
    </row>
    <row r="95" spans="1:28">
      <c r="A95" s="8">
        <v>45385</v>
      </c>
      <c r="B95" s="7">
        <f>日前电价!B95-实时电价!B95</f>
        <v>-38.6226</v>
      </c>
      <c r="C95" s="7">
        <f>日前电价!C95-实时电价!C95</f>
        <v>-45.381</v>
      </c>
      <c r="D95" s="7">
        <f>日前电价!D95-实时电价!D95</f>
        <v>-9.39300000000003</v>
      </c>
      <c r="E95" s="7">
        <f>日前电价!E95-实时电价!E95</f>
        <v>-3.87669999999997</v>
      </c>
      <c r="F95" s="7">
        <f>日前电价!F95-实时电价!F95</f>
        <v>-11.6926</v>
      </c>
      <c r="G95" s="7">
        <f>日前电价!G95-实时电价!G95</f>
        <v>-13.4677</v>
      </c>
      <c r="H95" s="7">
        <f>日前电价!H95-实时电价!H95</f>
        <v>-15.2437</v>
      </c>
      <c r="I95" s="7">
        <f>日前电价!I95-实时电价!I95</f>
        <v>-22.1582</v>
      </c>
      <c r="J95" s="7">
        <f>日前电价!J95-实时电价!J95</f>
        <v>-77.9724000000001</v>
      </c>
      <c r="K95" s="7">
        <f>日前电价!K95-实时电价!K95</f>
        <v>-43.4858</v>
      </c>
      <c r="L95" s="7">
        <f>日前电价!L95-实时电价!L95</f>
        <v>59.8623</v>
      </c>
      <c r="M95" s="7">
        <f>日前电价!M95-实时电价!M95</f>
        <v>262.1123</v>
      </c>
      <c r="N95" s="7">
        <f>日前电价!N95-实时电价!N95</f>
        <v>27.2493</v>
      </c>
      <c r="O95" s="7">
        <f>日前电价!O95-实时电价!O95</f>
        <v>47.7134</v>
      </c>
      <c r="P95" s="7">
        <f>日前电价!P95-实时电价!P95</f>
        <v>74.3836</v>
      </c>
      <c r="Q95" s="7">
        <f>日前电价!Q95-实时电价!Q95</f>
        <v>83.1674</v>
      </c>
      <c r="R95" s="7">
        <f>日前电价!R95-实时电价!R95</f>
        <v>40.0585</v>
      </c>
      <c r="S95" s="7">
        <f>日前电价!S95-实时电价!S95</f>
        <v>30.098</v>
      </c>
      <c r="T95" s="7">
        <f>日前电价!T95-实时电价!T95</f>
        <v>14.0881</v>
      </c>
      <c r="U95" s="7">
        <f>日前电价!U95-实时电价!U95</f>
        <v>7.76679999999999</v>
      </c>
      <c r="V95" s="7">
        <f>日前电价!V95-实时电价!V95</f>
        <v>17.8697</v>
      </c>
      <c r="W95" s="7">
        <f>日前电价!W95-实时电价!W95</f>
        <v>22.3434</v>
      </c>
      <c r="X95" s="7">
        <f>日前电价!X95-实时电价!X95</f>
        <v>16.7239</v>
      </c>
      <c r="Y95" s="7">
        <f>日前电价!Y95-实时电价!Y95</f>
        <v>-10.6104</v>
      </c>
      <c r="Z95" s="9">
        <f t="shared" si="3"/>
        <v>262.1123</v>
      </c>
      <c r="AA95" s="9">
        <f t="shared" si="4"/>
        <v>-77.9724000000001</v>
      </c>
      <c r="AB95" s="9">
        <f t="shared" si="5"/>
        <v>17.1471916666667</v>
      </c>
    </row>
    <row r="96" spans="1:28">
      <c r="A96" s="8">
        <v>45386</v>
      </c>
      <c r="B96" s="7">
        <f>日前电价!B96-实时电价!B96</f>
        <v>-246.1404</v>
      </c>
      <c r="C96" s="7">
        <f>日前电价!C96-实时电价!C96</f>
        <v>-120.6133</v>
      </c>
      <c r="D96" s="7">
        <f>日前电价!D96-实时电价!D96</f>
        <v>-31.5062</v>
      </c>
      <c r="E96" s="7">
        <f>日前电价!E96-实时电价!E96</f>
        <v>-21.6448</v>
      </c>
      <c r="F96" s="7">
        <f>日前电价!F96-实时电价!F96</f>
        <v>-28.6495</v>
      </c>
      <c r="G96" s="7">
        <f>日前电价!G96-实时电价!G96</f>
        <v>-29.1988</v>
      </c>
      <c r="H96" s="7">
        <f>日前电价!H96-实时电价!H96</f>
        <v>-21.6281</v>
      </c>
      <c r="I96" s="7">
        <f>日前电价!I96-实时电价!I96</f>
        <v>-2.4719</v>
      </c>
      <c r="J96" s="7">
        <f>日前电价!J96-实时电价!J96</f>
        <v>147.8135</v>
      </c>
      <c r="K96" s="7">
        <f>日前电价!K96-实时电价!K96</f>
        <v>143.5211</v>
      </c>
      <c r="L96" s="7">
        <f>日前电价!L96-实时电价!L96</f>
        <v>302.2565</v>
      </c>
      <c r="M96" s="7">
        <f>日前电价!M96-实时电价!M96</f>
        <v>278.1322</v>
      </c>
      <c r="N96" s="7">
        <f>日前电价!N96-实时电价!N96</f>
        <v>226.0902</v>
      </c>
      <c r="O96" s="7">
        <f>日前电价!O96-实时电价!O96</f>
        <v>292.6746</v>
      </c>
      <c r="P96" s="7">
        <f>日前电价!P96-实时电价!P96</f>
        <v>295.4758</v>
      </c>
      <c r="Q96" s="7">
        <f>日前电价!Q96-实时电价!Q96</f>
        <v>190.2624</v>
      </c>
      <c r="R96" s="7">
        <f>日前电价!R96-实时电价!R96</f>
        <v>60.5495</v>
      </c>
      <c r="S96" s="7">
        <f>日前电价!S96-实时电价!S96</f>
        <v>15.0539</v>
      </c>
      <c r="T96" s="7">
        <f>日前电价!T96-实时电价!T96</f>
        <v>102.8095</v>
      </c>
      <c r="U96" s="7">
        <f>日前电价!U96-实时电价!U96</f>
        <v>-0.860000000000014</v>
      </c>
      <c r="V96" s="7">
        <f>日前电价!V96-实时电价!V96</f>
        <v>1.00110000000001</v>
      </c>
      <c r="W96" s="7">
        <f>日前电价!W96-实时电价!W96</f>
        <v>0.208000000000027</v>
      </c>
      <c r="X96" s="7">
        <f>日前电价!X96-实时电价!X96</f>
        <v>-11.5275</v>
      </c>
      <c r="Y96" s="7">
        <f>日前电价!Y96-实时电价!Y96</f>
        <v>-5.55500000000001</v>
      </c>
      <c r="Z96" s="9">
        <f t="shared" si="3"/>
        <v>302.2565</v>
      </c>
      <c r="AA96" s="9">
        <f t="shared" si="4"/>
        <v>-246.1404</v>
      </c>
      <c r="AB96" s="9">
        <f t="shared" si="5"/>
        <v>64.0022</v>
      </c>
    </row>
    <row r="97" spans="1:28">
      <c r="A97" s="8">
        <v>45387</v>
      </c>
      <c r="B97" s="7">
        <f>日前电价!B97-实时电价!B97</f>
        <v>-103.75</v>
      </c>
      <c r="C97" s="7">
        <f>日前电价!C97-实时电价!C97</f>
        <v>6.7808</v>
      </c>
      <c r="D97" s="7">
        <f>日前电价!D97-实时电价!D97</f>
        <v>18.4885</v>
      </c>
      <c r="E97" s="7">
        <f>日前电价!E97-实时电价!E97</f>
        <v>84.3106</v>
      </c>
      <c r="F97" s="7">
        <f>日前电价!F97-实时电价!F97</f>
        <v>226.2453</v>
      </c>
      <c r="G97" s="7">
        <f>日前电价!G97-实时电价!G97</f>
        <v>297.7438</v>
      </c>
      <c r="H97" s="7">
        <f>日前电价!H97-实时电价!H97</f>
        <v>133.0479</v>
      </c>
      <c r="I97" s="7">
        <f>日前电价!I97-实时电价!I97</f>
        <v>1.29560000000004</v>
      </c>
      <c r="J97" s="7">
        <f>日前电价!J97-实时电价!J97</f>
        <v>8.68760000000003</v>
      </c>
      <c r="K97" s="7">
        <f>日前电价!K97-实时电价!K97</f>
        <v>28.0616</v>
      </c>
      <c r="L97" s="7">
        <f>日前电价!L97-实时电价!L97</f>
        <v>62.9596</v>
      </c>
      <c r="M97" s="7">
        <f>日前电价!M97-实时电价!M97</f>
        <v>85.2183</v>
      </c>
      <c r="N97" s="7">
        <f>日前电价!N97-实时电价!N97</f>
        <v>9.34950000000003</v>
      </c>
      <c r="O97" s="7">
        <f>日前电价!O97-实时电价!O97</f>
        <v>4.72209999999995</v>
      </c>
      <c r="P97" s="7">
        <f>日前电价!P97-实时电价!P97</f>
        <v>30.674</v>
      </c>
      <c r="Q97" s="7">
        <f>日前电价!Q97-实时电价!Q97</f>
        <v>29.8949</v>
      </c>
      <c r="R97" s="7">
        <f>日前电价!R97-实时电价!R97</f>
        <v>40.0135</v>
      </c>
      <c r="S97" s="7">
        <f>日前电价!S97-实时电价!S97</f>
        <v>36.3867</v>
      </c>
      <c r="T97" s="7">
        <f>日前电价!T97-实时电价!T97</f>
        <v>25.4315</v>
      </c>
      <c r="U97" s="7">
        <f>日前电价!U97-实时电价!U97</f>
        <v>39.981</v>
      </c>
      <c r="V97" s="7">
        <f>日前电价!V97-实时电价!V97</f>
        <v>33.854</v>
      </c>
      <c r="W97" s="7">
        <f>日前电价!W97-实时电价!W97</f>
        <v>49.2509</v>
      </c>
      <c r="X97" s="7">
        <f>日前电价!X97-实时电价!X97</f>
        <v>61.6481</v>
      </c>
      <c r="Y97" s="7">
        <f>日前电价!Y97-实时电价!Y97</f>
        <v>44.1878</v>
      </c>
      <c r="Z97" s="9">
        <f t="shared" si="3"/>
        <v>297.7438</v>
      </c>
      <c r="AA97" s="9">
        <f t="shared" si="4"/>
        <v>-103.75</v>
      </c>
      <c r="AB97" s="9">
        <f t="shared" si="5"/>
        <v>52.27015</v>
      </c>
    </row>
    <row r="98" spans="1:28">
      <c r="A98" s="8">
        <v>45388</v>
      </c>
      <c r="B98" s="7">
        <f>日前电价!B98-实时电价!B98</f>
        <v>-1.16410000000002</v>
      </c>
      <c r="C98" s="7">
        <f>日前电价!C98-实时电价!C98</f>
        <v>-1.38710000000003</v>
      </c>
      <c r="D98" s="7">
        <f>日前电价!D98-实时电价!D98</f>
        <v>41.4505</v>
      </c>
      <c r="E98" s="7">
        <f>日前电价!E98-实时电价!E98</f>
        <v>95.7169</v>
      </c>
      <c r="F98" s="7">
        <f>日前电价!F98-实时电价!F98</f>
        <v>198.263</v>
      </c>
      <c r="G98" s="7">
        <f>日前电价!G98-实时电价!G98</f>
        <v>147.0503</v>
      </c>
      <c r="H98" s="7">
        <f>日前电价!H98-实时电价!H98</f>
        <v>139.4298</v>
      </c>
      <c r="I98" s="7">
        <f>日前电价!I98-实时电价!I98</f>
        <v>24.6009</v>
      </c>
      <c r="J98" s="7">
        <f>日前电价!J98-实时电价!J98</f>
        <v>20.1808</v>
      </c>
      <c r="K98" s="7">
        <f>日前电价!K98-实时电价!K98</f>
        <v>41.0857</v>
      </c>
      <c r="L98" s="7">
        <f>日前电价!L98-实时电价!L98</f>
        <v>148.4982</v>
      </c>
      <c r="M98" s="7">
        <f>日前电价!M98-实时电价!M98</f>
        <v>197.6992</v>
      </c>
      <c r="N98" s="7">
        <f>日前电价!N98-实时电价!N98</f>
        <v>116.2694</v>
      </c>
      <c r="O98" s="7">
        <f>日前电价!O98-实时电价!O98</f>
        <v>36.2902</v>
      </c>
      <c r="P98" s="7">
        <f>日前电价!P98-实时电价!P98</f>
        <v>66.4447</v>
      </c>
      <c r="Q98" s="7">
        <f>日前电价!Q98-实时电价!Q98</f>
        <v>67.5104</v>
      </c>
      <c r="R98" s="7">
        <f>日前电价!R98-实时电价!R98</f>
        <v>26.9949</v>
      </c>
      <c r="S98" s="7">
        <f>日前电价!S98-实时电价!S98</f>
        <v>26.7977</v>
      </c>
      <c r="T98" s="7">
        <f>日前电价!T98-实时电价!T98</f>
        <v>39.5854</v>
      </c>
      <c r="U98" s="7">
        <f>日前电价!U98-实时电价!U98</f>
        <v>49.7983</v>
      </c>
      <c r="V98" s="7">
        <f>日前电价!V98-实时电价!V98</f>
        <v>46.5644</v>
      </c>
      <c r="W98" s="7">
        <f>日前电价!W98-实时电价!W98</f>
        <v>36.722</v>
      </c>
      <c r="X98" s="7">
        <f>日前电价!X98-实时电价!X98</f>
        <v>57.0413</v>
      </c>
      <c r="Y98" s="7">
        <f>日前电价!Y98-实时电价!Y98</f>
        <v>65.5241</v>
      </c>
      <c r="Z98" s="9">
        <f t="shared" si="3"/>
        <v>198.263</v>
      </c>
      <c r="AA98" s="9">
        <f t="shared" si="4"/>
        <v>-1.38710000000003</v>
      </c>
      <c r="AB98" s="9">
        <f t="shared" si="5"/>
        <v>70.2902875</v>
      </c>
    </row>
    <row r="99" spans="1:28">
      <c r="A99" s="8">
        <v>45389</v>
      </c>
      <c r="B99" s="7">
        <f>日前电价!B99-实时电价!B99</f>
        <v>-108.1342</v>
      </c>
      <c r="C99" s="7">
        <f>日前电价!C99-实时电价!C99</f>
        <v>6.75049999999999</v>
      </c>
      <c r="D99" s="7">
        <f>日前电价!D99-实时电价!D99</f>
        <v>11.8422</v>
      </c>
      <c r="E99" s="7">
        <f>日前电价!E99-实时电价!E99</f>
        <v>10.9048</v>
      </c>
      <c r="F99" s="7">
        <f>日前电价!F99-实时电价!F99</f>
        <v>8.46690000000001</v>
      </c>
      <c r="G99" s="7">
        <f>日前电价!G99-实时电价!G99</f>
        <v>8.18979999999999</v>
      </c>
      <c r="H99" s="7">
        <f>日前电价!H99-实时电价!H99</f>
        <v>0.244799999999998</v>
      </c>
      <c r="I99" s="7">
        <f>日前电价!I99-实时电价!I99</f>
        <v>-2.28719999999998</v>
      </c>
      <c r="J99" s="7">
        <f>日前电价!J99-实时电价!J99</f>
        <v>-6.20820000000003</v>
      </c>
      <c r="K99" s="7">
        <f>日前电价!K99-实时电价!K99</f>
        <v>-61.3659</v>
      </c>
      <c r="L99" s="7">
        <f>日前电价!L99-实时电价!L99</f>
        <v>-217.7283</v>
      </c>
      <c r="M99" s="7">
        <f>日前电价!M99-实时电价!M99</f>
        <v>-97.0289</v>
      </c>
      <c r="N99" s="7">
        <f>日前电价!N99-实时电价!N99</f>
        <v>-39.1407</v>
      </c>
      <c r="O99" s="7">
        <f>日前电价!O99-实时电价!O99</f>
        <v>-188.0389</v>
      </c>
      <c r="P99" s="7">
        <f>日前电价!P99-实时电价!P99</f>
        <v>-294.5642</v>
      </c>
      <c r="Q99" s="7">
        <f>日前电价!Q99-实时电价!Q99</f>
        <v>-56.7169</v>
      </c>
      <c r="R99" s="7">
        <f>日前电价!R99-实时电价!R99</f>
        <v>-20.7456</v>
      </c>
      <c r="S99" s="7">
        <f>日前电价!S99-实时电价!S99</f>
        <v>-31.1223</v>
      </c>
      <c r="T99" s="7">
        <f>日前电价!T99-实时电价!T99</f>
        <v>-16.3271</v>
      </c>
      <c r="U99" s="7">
        <f>日前电价!U99-实时电价!U99</f>
        <v>0.708100000000002</v>
      </c>
      <c r="V99" s="7">
        <f>日前电价!V99-实时电价!V99</f>
        <v>5.17490000000004</v>
      </c>
      <c r="W99" s="7">
        <f>日前电价!W99-实时电价!W99</f>
        <v>11.069</v>
      </c>
      <c r="X99" s="7">
        <f>日前电价!X99-实时电价!X99</f>
        <v>13.5967</v>
      </c>
      <c r="Y99" s="7">
        <f>日前电价!Y99-实时电价!Y99</f>
        <v>15.2089</v>
      </c>
      <c r="Z99" s="9">
        <f t="shared" si="3"/>
        <v>15.2089</v>
      </c>
      <c r="AA99" s="9">
        <f t="shared" si="4"/>
        <v>-294.5642</v>
      </c>
      <c r="AB99" s="9">
        <f t="shared" si="5"/>
        <v>-43.6354916666667</v>
      </c>
    </row>
    <row r="100" spans="1:28">
      <c r="A100" s="8">
        <v>45390</v>
      </c>
      <c r="B100" s="7">
        <f>日前电价!B100-实时电价!B100</f>
        <v>16.727</v>
      </c>
      <c r="C100" s="7">
        <f>日前电价!C100-实时电价!C100</f>
        <v>23.1391</v>
      </c>
      <c r="D100" s="7">
        <f>日前电价!D100-实时电价!D100</f>
        <v>18.2538</v>
      </c>
      <c r="E100" s="7">
        <f>日前电价!E100-实时电价!E100</f>
        <v>18.9899</v>
      </c>
      <c r="F100" s="7">
        <f>日前电价!F100-实时电价!F100</f>
        <v>16.7552</v>
      </c>
      <c r="G100" s="7">
        <f>日前电价!G100-实时电价!G100</f>
        <v>15.5666</v>
      </c>
      <c r="H100" s="7">
        <f>日前电价!H100-实时电价!H100</f>
        <v>9.17899999999997</v>
      </c>
      <c r="I100" s="7">
        <f>日前电价!I100-实时电价!I100</f>
        <v>5.35230000000001</v>
      </c>
      <c r="J100" s="7">
        <f>日前电价!J100-实时电价!J100</f>
        <v>-14.771</v>
      </c>
      <c r="K100" s="7">
        <f>日前电价!K100-实时电价!K100</f>
        <v>10.2199</v>
      </c>
      <c r="L100" s="7">
        <f>日前电价!L100-实时电价!L100</f>
        <v>29.2983</v>
      </c>
      <c r="M100" s="7">
        <f>日前电价!M100-实时电价!M100</f>
        <v>26.5051</v>
      </c>
      <c r="N100" s="7">
        <f>日前电价!N100-实时电价!N100</f>
        <v>149.0256</v>
      </c>
      <c r="O100" s="7">
        <f>日前电价!O100-实时电价!O100</f>
        <v>62.7686</v>
      </c>
      <c r="P100" s="7">
        <f>日前电价!P100-实时电价!P100</f>
        <v>52.6683</v>
      </c>
      <c r="Q100" s="7">
        <f>日前电价!Q100-实时电价!Q100</f>
        <v>38.6037</v>
      </c>
      <c r="R100" s="7">
        <f>日前电价!R100-实时电价!R100</f>
        <v>28.5624</v>
      </c>
      <c r="S100" s="7">
        <f>日前电价!S100-实时电价!S100</f>
        <v>30.1464999999999</v>
      </c>
      <c r="T100" s="7">
        <f>日前电价!T100-实时电价!T100</f>
        <v>28.7953</v>
      </c>
      <c r="U100" s="7">
        <f>日前电价!U100-实时电价!U100</f>
        <v>22.8698</v>
      </c>
      <c r="V100" s="7">
        <f>日前电价!V100-实时电价!V100</f>
        <v>25.928</v>
      </c>
      <c r="W100" s="7">
        <f>日前电价!W100-实时电价!W100</f>
        <v>31.5722</v>
      </c>
      <c r="X100" s="7">
        <f>日前电价!X100-实时电价!X100</f>
        <v>33.6802</v>
      </c>
      <c r="Y100" s="7">
        <f>日前电价!Y100-实时电价!Y100</f>
        <v>73.4245</v>
      </c>
      <c r="Z100" s="9">
        <f t="shared" si="3"/>
        <v>149.0256</v>
      </c>
      <c r="AA100" s="9">
        <f t="shared" si="4"/>
        <v>-14.771</v>
      </c>
      <c r="AB100" s="9">
        <f t="shared" si="5"/>
        <v>31.3858458333333</v>
      </c>
    </row>
    <row r="101" spans="1:28">
      <c r="A101" s="8">
        <v>45391</v>
      </c>
      <c r="B101" s="7">
        <f>日前电价!B101-实时电价!B101</f>
        <v>21.8827</v>
      </c>
      <c r="C101" s="7">
        <f>日前电价!C101-实时电价!C101</f>
        <v>31.9008</v>
      </c>
      <c r="D101" s="7">
        <f>日前电价!D101-实时电价!D101</f>
        <v>146.5723</v>
      </c>
      <c r="E101" s="7">
        <f>日前电价!E101-实时电价!E101</f>
        <v>261.8971</v>
      </c>
      <c r="F101" s="7">
        <f>日前电价!F101-实时电价!F101</f>
        <v>292.4021</v>
      </c>
      <c r="G101" s="7">
        <f>日前电价!G101-实时电价!G101</f>
        <v>285.3057</v>
      </c>
      <c r="H101" s="7">
        <f>日前电价!H101-实时电价!H101</f>
        <v>91.5978</v>
      </c>
      <c r="I101" s="7">
        <f>日前电价!I101-实时电价!I101</f>
        <v>19.2821</v>
      </c>
      <c r="J101" s="7">
        <f>日前电价!J101-实时电价!J101</f>
        <v>25.2779</v>
      </c>
      <c r="K101" s="7">
        <f>日前电价!K101-实时电价!K101</f>
        <v>38.5013</v>
      </c>
      <c r="L101" s="7">
        <f>日前电价!L101-实时电价!L101</f>
        <v>91.2504</v>
      </c>
      <c r="M101" s="7">
        <f>日前电价!M101-实时电价!M101</f>
        <v>312.9077</v>
      </c>
      <c r="N101" s="7">
        <f>日前电价!N101-实时电价!N101</f>
        <v>327.9541</v>
      </c>
      <c r="O101" s="7">
        <f>日前电价!O101-实时电价!O101</f>
        <v>36.6106</v>
      </c>
      <c r="P101" s="7">
        <f>日前电价!P101-实时电价!P101</f>
        <v>43.8763</v>
      </c>
      <c r="Q101" s="7">
        <f>日前电价!Q101-实时电价!Q101</f>
        <v>35.2321</v>
      </c>
      <c r="R101" s="7">
        <f>日前电价!R101-实时电价!R101</f>
        <v>15.3952</v>
      </c>
      <c r="S101" s="7">
        <f>日前电价!S101-实时电价!S101</f>
        <v>20.3785</v>
      </c>
      <c r="T101" s="7">
        <f>日前电价!T101-实时电价!T101</f>
        <v>21.9371</v>
      </c>
      <c r="U101" s="7">
        <f>日前电价!U101-实时电价!U101</f>
        <v>10.8279</v>
      </c>
      <c r="V101" s="7">
        <f>日前电价!V101-实时电价!V101</f>
        <v>25.3282</v>
      </c>
      <c r="W101" s="7">
        <f>日前电价!W101-实时电价!W101</f>
        <v>36.5366</v>
      </c>
      <c r="X101" s="7">
        <f>日前电价!X101-实时电价!X101</f>
        <v>54.7936</v>
      </c>
      <c r="Y101" s="7">
        <f>日前电价!Y101-实时电价!Y101</f>
        <v>305.0137</v>
      </c>
      <c r="Z101" s="9">
        <f t="shared" si="3"/>
        <v>327.9541</v>
      </c>
      <c r="AA101" s="9">
        <f t="shared" si="4"/>
        <v>10.8279</v>
      </c>
      <c r="AB101" s="9">
        <f t="shared" si="5"/>
        <v>106.360908333333</v>
      </c>
    </row>
    <row r="102" spans="1:28">
      <c r="A102" s="8">
        <v>45392</v>
      </c>
      <c r="B102" s="7">
        <f>日前电价!B102-实时电价!B102</f>
        <v>0.206999999999994</v>
      </c>
      <c r="C102" s="7">
        <f>日前电价!C102-实时电价!C102</f>
        <v>215.515</v>
      </c>
      <c r="D102" s="7">
        <f>日前电价!D102-实时电价!D102</f>
        <v>207.1881</v>
      </c>
      <c r="E102" s="7">
        <f>日前电价!E102-实时电价!E102</f>
        <v>2.34</v>
      </c>
      <c r="F102" s="7">
        <f>日前电价!F102-实时电价!F102</f>
        <v>0</v>
      </c>
      <c r="G102" s="7">
        <f>日前电价!G102-实时电价!G102</f>
        <v>0</v>
      </c>
      <c r="H102" s="7">
        <f>日前电价!H102-实时电价!H102</f>
        <v>56.9141</v>
      </c>
      <c r="I102" s="7">
        <f>日前电价!I102-实时电价!I102</f>
        <v>-9.83769999999998</v>
      </c>
      <c r="J102" s="7">
        <f>日前电价!J102-实时电价!J102</f>
        <v>-45.4266</v>
      </c>
      <c r="K102" s="7">
        <f>日前电价!K102-实时电价!K102</f>
        <v>-26.7781</v>
      </c>
      <c r="L102" s="7">
        <f>日前电价!L102-实时电价!L102</f>
        <v>19.3342</v>
      </c>
      <c r="M102" s="7">
        <f>日前电价!M102-实时电价!M102</f>
        <v>30.6418</v>
      </c>
      <c r="N102" s="7">
        <f>日前电价!N102-实时电价!N102</f>
        <v>301.1491</v>
      </c>
      <c r="O102" s="7">
        <f>日前电价!O102-实时电价!O102</f>
        <v>231.384</v>
      </c>
      <c r="P102" s="7">
        <f>日前电价!P102-实时电价!P102</f>
        <v>24.188</v>
      </c>
      <c r="Q102" s="7">
        <f>日前电价!Q102-实时电价!Q102</f>
        <v>-4.15369999999996</v>
      </c>
      <c r="R102" s="7">
        <f>日前电价!R102-实时电价!R102</f>
        <v>-29.654</v>
      </c>
      <c r="S102" s="7">
        <f>日前电价!S102-实时电价!S102</f>
        <v>-18.4918</v>
      </c>
      <c r="T102" s="7">
        <f>日前电价!T102-实时电价!T102</f>
        <v>14.874</v>
      </c>
      <c r="U102" s="7">
        <f>日前电价!U102-实时电价!U102</f>
        <v>-21.0876</v>
      </c>
      <c r="V102" s="7">
        <f>日前电价!V102-实时电价!V102</f>
        <v>0.712299999999971</v>
      </c>
      <c r="W102" s="7">
        <f>日前电价!W102-实时电价!W102</f>
        <v>17.1699</v>
      </c>
      <c r="X102" s="7">
        <f>日前电价!X102-实时电价!X102</f>
        <v>19.3991</v>
      </c>
      <c r="Y102" s="7">
        <f>日前电价!Y102-实时电价!Y102</f>
        <v>69.8775</v>
      </c>
      <c r="Z102" s="9">
        <f t="shared" si="3"/>
        <v>301.1491</v>
      </c>
      <c r="AA102" s="9">
        <f t="shared" si="4"/>
        <v>-45.4266</v>
      </c>
      <c r="AB102" s="9">
        <f t="shared" si="5"/>
        <v>43.9776916666667</v>
      </c>
    </row>
    <row r="103" spans="1:28">
      <c r="A103" s="8">
        <v>45393</v>
      </c>
      <c r="B103" s="7">
        <f>日前电价!B103-实时电价!B103</f>
        <v>-7.2928</v>
      </c>
      <c r="C103" s="7">
        <f>日前电价!C103-实时电价!C103</f>
        <v>12.1753</v>
      </c>
      <c r="D103" s="7">
        <f>日前电价!D103-实时电价!D103</f>
        <v>19.0326</v>
      </c>
      <c r="E103" s="7">
        <f>日前电价!E103-实时电价!E103</f>
        <v>12.4256</v>
      </c>
      <c r="F103" s="7">
        <f>日前电价!F103-实时电价!F103</f>
        <v>175.8025</v>
      </c>
      <c r="G103" s="7">
        <f>日前电价!G103-实时电价!G103</f>
        <v>41.9739</v>
      </c>
      <c r="H103" s="7">
        <f>日前电价!H103-实时电价!H103</f>
        <v>-9.97860000000003</v>
      </c>
      <c r="I103" s="7">
        <f>日前电价!I103-实时电价!I103</f>
        <v>-16.1576</v>
      </c>
      <c r="J103" s="7">
        <f>日前电价!J103-实时电价!J103</f>
        <v>-31.8132000000001</v>
      </c>
      <c r="K103" s="7">
        <f>日前电价!K103-实时电价!K103</f>
        <v>-14.9804</v>
      </c>
      <c r="L103" s="7">
        <f>日前电价!L103-实时电价!L103</f>
        <v>-6.82460000000003</v>
      </c>
      <c r="M103" s="7">
        <f>日前电价!M103-实时电价!M103</f>
        <v>1.97219999999999</v>
      </c>
      <c r="N103" s="7">
        <f>日前电价!N103-实时电价!N103</f>
        <v>67.3111</v>
      </c>
      <c r="O103" s="7">
        <f>日前电价!O103-实时电价!O103</f>
        <v>-48.7087</v>
      </c>
      <c r="P103" s="7">
        <f>日前电价!P103-实时电价!P103</f>
        <v>-15.44</v>
      </c>
      <c r="Q103" s="7">
        <f>日前电价!Q103-实时电价!Q103</f>
        <v>-14.2517</v>
      </c>
      <c r="R103" s="7">
        <f>日前电价!R103-实时电价!R103</f>
        <v>-196.4078</v>
      </c>
      <c r="S103" s="7">
        <f>日前电价!S103-实时电价!S103</f>
        <v>-154.1346</v>
      </c>
      <c r="T103" s="7">
        <f>日前电价!T103-实时电价!T103</f>
        <v>-85.056</v>
      </c>
      <c r="U103" s="7">
        <f>日前电价!U103-实时电价!U103</f>
        <v>-114.6722</v>
      </c>
      <c r="V103" s="7">
        <f>日前电价!V103-实时电价!V103</f>
        <v>-85.8148</v>
      </c>
      <c r="W103" s="7">
        <f>日前电价!W103-实时电价!W103</f>
        <v>-9.4794</v>
      </c>
      <c r="X103" s="7">
        <f>日前电价!X103-实时电价!X103</f>
        <v>-6.1026</v>
      </c>
      <c r="Y103" s="7">
        <f>日前电价!Y103-实时电价!Y103</f>
        <v>-14.2258</v>
      </c>
      <c r="Z103" s="9">
        <f t="shared" si="3"/>
        <v>175.8025</v>
      </c>
      <c r="AA103" s="9">
        <f t="shared" si="4"/>
        <v>-196.4078</v>
      </c>
      <c r="AB103" s="9">
        <f t="shared" si="5"/>
        <v>-20.8603166666667</v>
      </c>
    </row>
    <row r="104" spans="1:28">
      <c r="A104" s="8">
        <v>45394</v>
      </c>
      <c r="B104" s="7">
        <f>日前电价!B104-实时电价!B104</f>
        <v>-25.7442</v>
      </c>
      <c r="C104" s="7">
        <f>日前电价!C104-实时电价!C104</f>
        <v>-6.06790000000001</v>
      </c>
      <c r="D104" s="7">
        <f>日前电价!D104-实时电价!D104</f>
        <v>0.865400000000022</v>
      </c>
      <c r="E104" s="7">
        <f>日前电价!E104-实时电价!E104</f>
        <v>2.16429999999997</v>
      </c>
      <c r="F104" s="7">
        <f>日前电价!F104-实时电价!F104</f>
        <v>-1.75830000000002</v>
      </c>
      <c r="G104" s="7">
        <f>日前电价!G104-实时电价!G104</f>
        <v>-7.202</v>
      </c>
      <c r="H104" s="7">
        <f>日前电价!H104-实时电价!H104</f>
        <v>-12.1475</v>
      </c>
      <c r="I104" s="7">
        <f>日前电价!I104-实时电价!I104</f>
        <v>-7.1703</v>
      </c>
      <c r="J104" s="7">
        <f>日前电价!J104-实时电价!J104</f>
        <v>-18.6089</v>
      </c>
      <c r="K104" s="7">
        <f>日前电价!K104-实时电价!K104</f>
        <v>-25.4513</v>
      </c>
      <c r="L104" s="7">
        <f>日前电价!L104-实时电价!L104</f>
        <v>-11.1411</v>
      </c>
      <c r="M104" s="7">
        <f>日前电价!M104-实时电价!M104</f>
        <v>20.5249</v>
      </c>
      <c r="N104" s="7">
        <f>日前电价!N104-实时电价!N104</f>
        <v>81.2006</v>
      </c>
      <c r="O104" s="7">
        <f>日前电价!O104-实时电价!O104</f>
        <v>-19.3846</v>
      </c>
      <c r="P104" s="7">
        <f>日前电价!P104-实时电价!P104</f>
        <v>-0.510400000000004</v>
      </c>
      <c r="Q104" s="7">
        <f>日前电价!Q104-实时电价!Q104</f>
        <v>-36.8305</v>
      </c>
      <c r="R104" s="7">
        <f>日前电价!R104-实时电价!R104</f>
        <v>-40.0716</v>
      </c>
      <c r="S104" s="7">
        <f>日前电价!S104-实时电价!S104</f>
        <v>-28.0729</v>
      </c>
      <c r="T104" s="7">
        <f>日前电价!T104-实时电价!T104</f>
        <v>-3.23970000000003</v>
      </c>
      <c r="U104" s="7">
        <f>日前电价!U104-实时电价!U104</f>
        <v>-28.4698</v>
      </c>
      <c r="V104" s="7">
        <f>日前电价!V104-实时电价!V104</f>
        <v>-32.9688</v>
      </c>
      <c r="W104" s="7">
        <f>日前电价!W104-实时电价!W104</f>
        <v>-22.2988</v>
      </c>
      <c r="X104" s="7">
        <f>日前电价!X104-实时电价!X104</f>
        <v>-23.0777</v>
      </c>
      <c r="Y104" s="7">
        <f>日前电价!Y104-实时电价!Y104</f>
        <v>-31.3179</v>
      </c>
      <c r="Z104" s="9">
        <f t="shared" si="3"/>
        <v>81.2006</v>
      </c>
      <c r="AA104" s="9">
        <f t="shared" si="4"/>
        <v>-40.0716</v>
      </c>
      <c r="AB104" s="9">
        <f t="shared" si="5"/>
        <v>-11.5324583333333</v>
      </c>
    </row>
    <row r="105" spans="1:28">
      <c r="A105" s="8">
        <v>45395</v>
      </c>
      <c r="B105" s="7">
        <f>日前电价!B105-实时电价!B105</f>
        <v>-289.4768</v>
      </c>
      <c r="C105" s="7">
        <f>日前电价!C105-实时电价!C105</f>
        <v>-62.7613</v>
      </c>
      <c r="D105" s="7">
        <f>日前电价!D105-实时电价!D105</f>
        <v>-14.3705</v>
      </c>
      <c r="E105" s="7">
        <f>日前电价!E105-实时电价!E105</f>
        <v>-9.2038</v>
      </c>
      <c r="F105" s="7">
        <f>日前电价!F105-实时电价!F105</f>
        <v>-10.7244</v>
      </c>
      <c r="G105" s="7">
        <f>日前电价!G105-实时电价!G105</f>
        <v>-4.911</v>
      </c>
      <c r="H105" s="7">
        <f>日前电价!H105-实时电价!H105</f>
        <v>-8.07810000000001</v>
      </c>
      <c r="I105" s="7">
        <f>日前电价!I105-实时电价!I105</f>
        <v>-10.0819</v>
      </c>
      <c r="J105" s="7">
        <f>日前电价!J105-实时电价!J105</f>
        <v>-9.48880000000003</v>
      </c>
      <c r="K105" s="7">
        <f>日前电价!K105-实时电价!K105</f>
        <v>1.1669</v>
      </c>
      <c r="L105" s="7">
        <f>日前电价!L105-实时电价!L105</f>
        <v>2.4187</v>
      </c>
      <c r="M105" s="7">
        <f>日前电价!M105-实时电价!M105</f>
        <v>30.6308</v>
      </c>
      <c r="N105" s="7">
        <f>日前电价!N105-实时电价!N105</f>
        <v>150.411</v>
      </c>
      <c r="O105" s="7">
        <f>日前电价!O105-实时电价!O105</f>
        <v>-19.2954</v>
      </c>
      <c r="P105" s="7">
        <f>日前电价!P105-实时电价!P105</f>
        <v>-18.8266</v>
      </c>
      <c r="Q105" s="7">
        <f>日前电价!Q105-实时电价!Q105</f>
        <v>-41.4699</v>
      </c>
      <c r="R105" s="7">
        <f>日前电价!R105-实时电价!R105</f>
        <v>-99.9302</v>
      </c>
      <c r="S105" s="7">
        <f>日前电价!S105-实时电价!S105</f>
        <v>10.6944</v>
      </c>
      <c r="T105" s="7">
        <f>日前电价!T105-实时电价!T105</f>
        <v>-0.406999999999982</v>
      </c>
      <c r="U105" s="7">
        <f>日前电价!U105-实时电价!U105</f>
        <v>-15.2185</v>
      </c>
      <c r="V105" s="7">
        <f>日前电价!V105-实时电价!V105</f>
        <v>3.88959999999997</v>
      </c>
      <c r="W105" s="7">
        <f>日前电价!W105-实时电价!W105</f>
        <v>3.75110000000001</v>
      </c>
      <c r="X105" s="7">
        <f>日前电价!X105-实时电价!X105</f>
        <v>-13.1594</v>
      </c>
      <c r="Y105" s="7">
        <f>日前电价!Y105-实时电价!Y105</f>
        <v>-19.7173</v>
      </c>
      <c r="Z105" s="9">
        <f t="shared" si="3"/>
        <v>150.411</v>
      </c>
      <c r="AA105" s="9">
        <f t="shared" si="4"/>
        <v>-289.4768</v>
      </c>
      <c r="AB105" s="9">
        <f t="shared" si="5"/>
        <v>-18.5066</v>
      </c>
    </row>
    <row r="106" spans="1:28">
      <c r="A106" s="8">
        <v>45396</v>
      </c>
      <c r="B106" s="7">
        <f>日前电价!B106-实时电价!B106</f>
        <v>-276.0986</v>
      </c>
      <c r="C106" s="7">
        <f>日前电价!C106-实时电价!C106</f>
        <v>-171.4326</v>
      </c>
      <c r="D106" s="7">
        <f>日前电价!D106-实时电价!D106</f>
        <v>-19.1312</v>
      </c>
      <c r="E106" s="7">
        <f>日前电价!E106-实时电价!E106</f>
        <v>-14.2827</v>
      </c>
      <c r="F106" s="7">
        <f>日前电价!F106-实时电价!F106</f>
        <v>-15.1206</v>
      </c>
      <c r="G106" s="7">
        <f>日前电价!G106-实时电价!G106</f>
        <v>-6.69460000000004</v>
      </c>
      <c r="H106" s="7">
        <f>日前电价!H106-实时电价!H106</f>
        <v>-11.6295</v>
      </c>
      <c r="I106" s="7">
        <f>日前电价!I106-实时电价!I106</f>
        <v>-14.889</v>
      </c>
      <c r="J106" s="7">
        <f>日前电价!J106-实时电价!J106</f>
        <v>-8.07429999999999</v>
      </c>
      <c r="K106" s="7">
        <f>日前电价!K106-实时电价!K106</f>
        <v>4.7099</v>
      </c>
      <c r="L106" s="7">
        <f>日前电价!L106-实时电价!L106</f>
        <v>-3.94409999999999</v>
      </c>
      <c r="M106" s="7">
        <f>日前电价!M106-实时电价!M106</f>
        <v>34.9913</v>
      </c>
      <c r="N106" s="7">
        <f>日前电价!N106-实时电价!N106</f>
        <v>81.8496</v>
      </c>
      <c r="O106" s="7">
        <f>日前电价!O106-实时电价!O106</f>
        <v>4.13810000000001</v>
      </c>
      <c r="P106" s="7">
        <f>日前电价!P106-实时电价!P106</f>
        <v>-16.5235</v>
      </c>
      <c r="Q106" s="7">
        <f>日前电价!Q106-实时电价!Q106</f>
        <v>-5.91899999999998</v>
      </c>
      <c r="R106" s="7">
        <f>日前电价!R106-实时电价!R106</f>
        <v>-29.3348</v>
      </c>
      <c r="S106" s="7">
        <f>日前电价!S106-实时电价!S106</f>
        <v>-7.66699999999997</v>
      </c>
      <c r="T106" s="7">
        <f>日前电价!T106-实时电价!T106</f>
        <v>-11.1023</v>
      </c>
      <c r="U106" s="7">
        <f>日前电价!U106-实时电价!U106</f>
        <v>-60.8431</v>
      </c>
      <c r="V106" s="7">
        <f>日前电价!V106-实时电价!V106</f>
        <v>-85.2415</v>
      </c>
      <c r="W106" s="7">
        <f>日前电价!W106-实时电价!W106</f>
        <v>-252.8422</v>
      </c>
      <c r="X106" s="7">
        <f>日前电价!X106-实时电价!X106</f>
        <v>-53.3042</v>
      </c>
      <c r="Y106" s="7">
        <f>日前电价!Y106-实时电价!Y106</f>
        <v>-32.8223</v>
      </c>
      <c r="Z106" s="9">
        <f t="shared" si="3"/>
        <v>81.8496</v>
      </c>
      <c r="AA106" s="9">
        <f t="shared" si="4"/>
        <v>-276.0986</v>
      </c>
      <c r="AB106" s="9">
        <f t="shared" si="5"/>
        <v>-40.4670083333333</v>
      </c>
    </row>
    <row r="107" spans="1:28">
      <c r="A107" s="8">
        <v>45397</v>
      </c>
      <c r="B107" s="7">
        <f>日前电价!B107-实时电价!B107</f>
        <v>-365.9312</v>
      </c>
      <c r="C107" s="7">
        <f>日前电价!C107-实时电价!C107</f>
        <v>-113.2722</v>
      </c>
      <c r="D107" s="7">
        <f>日前电价!D107-实时电价!D107</f>
        <v>-14.8496</v>
      </c>
      <c r="E107" s="7">
        <f>日前电价!E107-实时电价!E107</f>
        <v>-4.7706</v>
      </c>
      <c r="F107" s="7">
        <f>日前电价!F107-实时电价!F107</f>
        <v>-4.94350000000003</v>
      </c>
      <c r="G107" s="7">
        <f>日前电价!G107-实时电价!G107</f>
        <v>-9.21599999999995</v>
      </c>
      <c r="H107" s="7">
        <f>日前电价!H107-实时电价!H107</f>
        <v>-54.0161</v>
      </c>
      <c r="I107" s="7">
        <f>日前电价!I107-实时电价!I107</f>
        <v>-103.2848</v>
      </c>
      <c r="J107" s="7">
        <f>日前电价!J107-实时电价!J107</f>
        <v>-261.8734</v>
      </c>
      <c r="K107" s="7">
        <f>日前电价!K107-实时电价!K107</f>
        <v>-207.6535</v>
      </c>
      <c r="L107" s="7">
        <f>日前电价!L107-实时电价!L107</f>
        <v>52.9038</v>
      </c>
      <c r="M107" s="7">
        <f>日前电价!M107-实时电价!M107</f>
        <v>82.4933</v>
      </c>
      <c r="N107" s="7">
        <f>日前电价!N107-实时电价!N107</f>
        <v>17.8524</v>
      </c>
      <c r="O107" s="7">
        <f>日前电价!O107-实时电价!O107</f>
        <v>20.4765</v>
      </c>
      <c r="P107" s="7">
        <f>日前电价!P107-实时电价!P107</f>
        <v>125.2529</v>
      </c>
      <c r="Q107" s="7">
        <f>日前电价!Q107-实时电价!Q107</f>
        <v>-92.3136</v>
      </c>
      <c r="R107" s="7">
        <f>日前电价!R107-实时电价!R107</f>
        <v>-44.5744</v>
      </c>
      <c r="S107" s="7">
        <f>日前电价!S107-实时电价!S107</f>
        <v>-45.188</v>
      </c>
      <c r="T107" s="7">
        <f>日前电价!T107-实时电价!T107</f>
        <v>-22.2506</v>
      </c>
      <c r="U107" s="7">
        <f>日前电价!U107-实时电价!U107</f>
        <v>-53.4972</v>
      </c>
      <c r="V107" s="7">
        <f>日前电价!V107-实时电价!V107</f>
        <v>-50.6264</v>
      </c>
      <c r="W107" s="7">
        <f>日前电价!W107-实时电价!W107</f>
        <v>-56.3477</v>
      </c>
      <c r="X107" s="7">
        <f>日前电价!X107-实时电价!X107</f>
        <v>-19.85</v>
      </c>
      <c r="Y107" s="7">
        <f>日前电价!Y107-实时电价!Y107</f>
        <v>-14.2373</v>
      </c>
      <c r="Z107" s="9">
        <f t="shared" si="3"/>
        <v>125.2529</v>
      </c>
      <c r="AA107" s="9">
        <f t="shared" si="4"/>
        <v>-365.9312</v>
      </c>
      <c r="AB107" s="9">
        <f t="shared" si="5"/>
        <v>-51.6548833333333</v>
      </c>
    </row>
    <row r="108" spans="1:28">
      <c r="A108" s="8">
        <v>45398</v>
      </c>
      <c r="B108" s="7">
        <f>日前电价!B108-实时电价!B108</f>
        <v>-19.6273</v>
      </c>
      <c r="C108" s="7">
        <f>日前电价!C108-实时电价!C108</f>
        <v>-2.887</v>
      </c>
      <c r="D108" s="7">
        <f>日前电价!D108-实时电价!D108</f>
        <v>-0.606100000000026</v>
      </c>
      <c r="E108" s="7">
        <f>日前电价!E108-实时电价!E108</f>
        <v>7.65879999999999</v>
      </c>
      <c r="F108" s="7">
        <f>日前电价!F108-实时电价!F108</f>
        <v>0.266500000000008</v>
      </c>
      <c r="G108" s="7">
        <f>日前电价!G108-实时电价!G108</f>
        <v>5.29789999999997</v>
      </c>
      <c r="H108" s="7">
        <f>日前电价!H108-实时电价!H108</f>
        <v>-1.17310000000003</v>
      </c>
      <c r="I108" s="7">
        <f>日前电价!I108-实时电价!I108</f>
        <v>-6.67849999999999</v>
      </c>
      <c r="J108" s="7">
        <f>日前电价!J108-实时电价!J108</f>
        <v>-12.5426</v>
      </c>
      <c r="K108" s="7">
        <f>日前电价!K108-实时电价!K108</f>
        <v>75.0717</v>
      </c>
      <c r="L108" s="7">
        <f>日前电价!L108-实时电价!L108</f>
        <v>169.4095</v>
      </c>
      <c r="M108" s="7">
        <f>日前电价!M108-实时电价!M108</f>
        <v>83.9534</v>
      </c>
      <c r="N108" s="7">
        <f>日前电价!N108-实时电价!N108</f>
        <v>30.7925</v>
      </c>
      <c r="O108" s="7">
        <f>日前电价!O108-实时电价!O108</f>
        <v>68.6907</v>
      </c>
      <c r="P108" s="7">
        <f>日前电价!P108-实时电价!P108</f>
        <v>104.5096</v>
      </c>
      <c r="Q108" s="7">
        <f>日前电价!Q108-实时电价!Q108</f>
        <v>16.9806</v>
      </c>
      <c r="R108" s="7">
        <f>日前电价!R108-实时电价!R108</f>
        <v>-15.4058</v>
      </c>
      <c r="S108" s="7">
        <f>日前电价!S108-实时电价!S108</f>
        <v>-21.5563</v>
      </c>
      <c r="T108" s="7">
        <f>日前电价!T108-实时电价!T108</f>
        <v>-16.4508</v>
      </c>
      <c r="U108" s="7">
        <f>日前电价!U108-实时电价!U108</f>
        <v>-17.7347</v>
      </c>
      <c r="V108" s="7">
        <f>日前电价!V108-实时电价!V108</f>
        <v>-31.0664</v>
      </c>
      <c r="W108" s="7">
        <f>日前电价!W108-实时电价!W108</f>
        <v>-46.6733</v>
      </c>
      <c r="X108" s="7">
        <f>日前电价!X108-实时电价!X108</f>
        <v>-50.2346</v>
      </c>
      <c r="Y108" s="7">
        <f>日前电价!Y108-实时电价!Y108</f>
        <v>-33.1131</v>
      </c>
      <c r="Z108" s="9">
        <f t="shared" si="3"/>
        <v>169.4095</v>
      </c>
      <c r="AA108" s="9">
        <f t="shared" si="4"/>
        <v>-50.2346</v>
      </c>
      <c r="AB108" s="9">
        <f t="shared" si="5"/>
        <v>11.9534</v>
      </c>
    </row>
    <row r="109" spans="1:28">
      <c r="A109" s="8">
        <v>45399</v>
      </c>
      <c r="B109" s="7">
        <f>日前电价!B109-实时电价!B109</f>
        <v>-291.3616</v>
      </c>
      <c r="C109" s="7">
        <f>日前电价!C109-实时电价!C109</f>
        <v>-159.1849</v>
      </c>
      <c r="D109" s="7">
        <f>日前电价!D109-实时电价!D109</f>
        <v>-15.7449</v>
      </c>
      <c r="E109" s="7">
        <f>日前电价!E109-实时电价!E109</f>
        <v>-11.5134</v>
      </c>
      <c r="F109" s="7">
        <f>日前电价!F109-实时电价!F109</f>
        <v>-12.1073</v>
      </c>
      <c r="G109" s="7">
        <f>日前电价!G109-实时电价!G109</f>
        <v>-11.3876</v>
      </c>
      <c r="H109" s="7">
        <f>日前电价!H109-实时电价!H109</f>
        <v>-21.2906</v>
      </c>
      <c r="I109" s="7">
        <f>日前电价!I109-实时电价!I109</f>
        <v>-21.8497</v>
      </c>
      <c r="J109" s="7">
        <f>日前电价!J109-实时电价!J109</f>
        <v>-48.8219</v>
      </c>
      <c r="K109" s="7">
        <f>日前电价!K109-实时电价!K109</f>
        <v>39.9193</v>
      </c>
      <c r="L109" s="7">
        <f>日前电价!L109-实时电价!L109</f>
        <v>-124.1185</v>
      </c>
      <c r="M109" s="7">
        <f>日前电价!M109-实时电价!M109</f>
        <v>86.2533</v>
      </c>
      <c r="N109" s="7">
        <f>日前电价!N109-实时电价!N109</f>
        <v>-44.1148</v>
      </c>
      <c r="O109" s="7">
        <f>日前电价!O109-实时电价!O109</f>
        <v>-90.9365</v>
      </c>
      <c r="P109" s="7">
        <f>日前电价!P109-实时电价!P109</f>
        <v>-151.4758</v>
      </c>
      <c r="Q109" s="7">
        <f>日前电价!Q109-实时电价!Q109</f>
        <v>-221.6642</v>
      </c>
      <c r="R109" s="7">
        <f>日前电价!R109-实时电价!R109</f>
        <v>-96.6435</v>
      </c>
      <c r="S109" s="7">
        <f>日前电价!S109-实时电价!S109</f>
        <v>-120.0418</v>
      </c>
      <c r="T109" s="7">
        <f>日前电价!T109-实时电价!T109</f>
        <v>-19.402</v>
      </c>
      <c r="U109" s="7">
        <f>日前电价!U109-实时电价!U109</f>
        <v>-14.3236</v>
      </c>
      <c r="V109" s="7">
        <f>日前电价!V109-实时电价!V109</f>
        <v>-165.6639</v>
      </c>
      <c r="W109" s="7">
        <f>日前电价!W109-实时电价!W109</f>
        <v>-314.8075</v>
      </c>
      <c r="X109" s="7">
        <f>日前电价!X109-实时电价!X109</f>
        <v>-230.9694</v>
      </c>
      <c r="Y109" s="7">
        <f>日前电价!Y109-实时电价!Y109</f>
        <v>-61.3031</v>
      </c>
      <c r="Z109" s="9">
        <f t="shared" si="3"/>
        <v>86.2533</v>
      </c>
      <c r="AA109" s="9">
        <f t="shared" si="4"/>
        <v>-314.8075</v>
      </c>
      <c r="AB109" s="9">
        <f t="shared" si="5"/>
        <v>-88.4397458333333</v>
      </c>
    </row>
    <row r="110" spans="1:28">
      <c r="A110" s="8">
        <v>45400</v>
      </c>
      <c r="B110" s="7">
        <f>日前电价!B110-实时电价!B110</f>
        <v>-160.1885</v>
      </c>
      <c r="C110" s="7">
        <f>日前电价!C110-实时电价!C110</f>
        <v>-167.0299</v>
      </c>
      <c r="D110" s="7">
        <f>日前电价!D110-实时电价!D110</f>
        <v>-98.9371</v>
      </c>
      <c r="E110" s="7">
        <f>日前电价!E110-实时电价!E110</f>
        <v>-15.3129</v>
      </c>
      <c r="F110" s="7">
        <f>日前电价!F110-实时电价!F110</f>
        <v>-16.523</v>
      </c>
      <c r="G110" s="7">
        <f>日前电价!G110-实时电价!G110</f>
        <v>-17.1989</v>
      </c>
      <c r="H110" s="7">
        <f>日前电价!H110-实时电价!H110</f>
        <v>-10.0759</v>
      </c>
      <c r="I110" s="7">
        <f>日前电价!I110-实时电价!I110</f>
        <v>-26.1605</v>
      </c>
      <c r="J110" s="7">
        <f>日前电价!J110-实时电价!J110</f>
        <v>-139.3193</v>
      </c>
      <c r="K110" s="7">
        <f>日前电价!K110-实时电价!K110</f>
        <v>-92.7871</v>
      </c>
      <c r="L110" s="7">
        <f>日前电价!L110-实时电价!L110</f>
        <v>203.8328</v>
      </c>
      <c r="M110" s="7">
        <f>日前电价!M110-实时电价!M110</f>
        <v>179.8345</v>
      </c>
      <c r="N110" s="7">
        <f>日前电价!N110-实时电价!N110</f>
        <v>160.4259</v>
      </c>
      <c r="O110" s="7">
        <f>日前电价!O110-实时电价!O110</f>
        <v>211.7853</v>
      </c>
      <c r="P110" s="7">
        <f>日前电价!P110-实时电价!P110</f>
        <v>296.285</v>
      </c>
      <c r="Q110" s="7">
        <f>日前电价!Q110-实时电价!Q110</f>
        <v>324.2105</v>
      </c>
      <c r="R110" s="7">
        <f>日前电价!R110-实时电价!R110</f>
        <v>301.1079</v>
      </c>
      <c r="S110" s="7">
        <f>日前电价!S110-实时电价!S110</f>
        <v>146.7736</v>
      </c>
      <c r="T110" s="7">
        <f>日前电价!T110-实时电价!T110</f>
        <v>24.7477</v>
      </c>
      <c r="U110" s="7">
        <f>日前电价!U110-实时电价!U110</f>
        <v>43.2222</v>
      </c>
      <c r="V110" s="7">
        <f>日前电价!V110-实时电价!V110</f>
        <v>183.7355</v>
      </c>
      <c r="W110" s="7">
        <f>日前电价!W110-实时电价!W110</f>
        <v>139.8789</v>
      </c>
      <c r="X110" s="7">
        <f>日前电价!X110-实时电价!X110</f>
        <v>85.2661</v>
      </c>
      <c r="Y110" s="7">
        <f>日前电价!Y110-实时电价!Y110</f>
        <v>46.7316</v>
      </c>
      <c r="Z110" s="9">
        <f t="shared" si="3"/>
        <v>324.2105</v>
      </c>
      <c r="AA110" s="9">
        <f t="shared" si="4"/>
        <v>-167.0299</v>
      </c>
      <c r="AB110" s="9">
        <f t="shared" si="5"/>
        <v>66.8460166666667</v>
      </c>
    </row>
    <row r="111" spans="1:28">
      <c r="A111" s="8">
        <v>45401</v>
      </c>
      <c r="B111" s="7">
        <f>日前电价!B111-实时电价!B111</f>
        <v>30.4278</v>
      </c>
      <c r="C111" s="7">
        <f>日前电价!C111-实时电价!C111</f>
        <v>30.5112</v>
      </c>
      <c r="D111" s="7">
        <f>日前电价!D111-实时电价!D111</f>
        <v>15.7768</v>
      </c>
      <c r="E111" s="7">
        <f>日前电价!E111-实时电价!E111</f>
        <v>19.5787</v>
      </c>
      <c r="F111" s="7">
        <f>日前电价!F111-实时电价!F111</f>
        <v>7.43030000000005</v>
      </c>
      <c r="G111" s="7">
        <f>日前电价!G111-实时电价!G111</f>
        <v>19.1905</v>
      </c>
      <c r="H111" s="7">
        <f>日前电价!H111-实时电价!H111</f>
        <v>4.52499999999998</v>
      </c>
      <c r="I111" s="7">
        <f>日前电价!I111-实时电价!I111</f>
        <v>-2.09640000000002</v>
      </c>
      <c r="J111" s="7">
        <f>日前电价!J111-实时电价!J111</f>
        <v>-213.2753</v>
      </c>
      <c r="K111" s="7">
        <f>日前电价!K111-实时电价!K111</f>
        <v>-347.1322</v>
      </c>
      <c r="L111" s="7">
        <f>日前电价!L111-实时电价!L111</f>
        <v>27.9962</v>
      </c>
      <c r="M111" s="7">
        <f>日前电价!M111-实时电价!M111</f>
        <v>87.2262</v>
      </c>
      <c r="N111" s="7">
        <f>日前电价!N111-实时电价!N111</f>
        <v>21.4986</v>
      </c>
      <c r="O111" s="7">
        <f>日前电价!O111-实时电价!O111</f>
        <v>58.6301</v>
      </c>
      <c r="P111" s="7">
        <f>日前电价!P111-实时电价!P111</f>
        <v>102.2585</v>
      </c>
      <c r="Q111" s="7">
        <f>日前电价!Q111-实时电价!Q111</f>
        <v>12.193</v>
      </c>
      <c r="R111" s="7">
        <f>日前电价!R111-实时电价!R111</f>
        <v>3.863</v>
      </c>
      <c r="S111" s="7">
        <f>日前电价!S111-实时电价!S111</f>
        <v>19.5683</v>
      </c>
      <c r="T111" s="7">
        <f>日前电价!T111-实时电价!T111</f>
        <v>13.9625</v>
      </c>
      <c r="U111" s="7">
        <f>日前电价!U111-实时电价!U111</f>
        <v>7.48329999999999</v>
      </c>
      <c r="V111" s="7">
        <f>日前电价!V111-实时电价!V111</f>
        <v>50.6319</v>
      </c>
      <c r="W111" s="7">
        <f>日前电价!W111-实时电价!W111</f>
        <v>69.7899</v>
      </c>
      <c r="X111" s="7">
        <f>日前电价!X111-实时电价!X111</f>
        <v>27.1439</v>
      </c>
      <c r="Y111" s="7">
        <f>日前电价!Y111-实时电价!Y111</f>
        <v>16.2987</v>
      </c>
      <c r="Z111" s="9">
        <f t="shared" si="3"/>
        <v>102.2585</v>
      </c>
      <c r="AA111" s="9">
        <f t="shared" si="4"/>
        <v>-347.1322</v>
      </c>
      <c r="AB111" s="9">
        <f t="shared" si="5"/>
        <v>3.47835416666666</v>
      </c>
    </row>
    <row r="112" spans="1:28">
      <c r="A112" s="8">
        <v>45402</v>
      </c>
      <c r="B112" s="7">
        <f>日前电价!B112-实时电价!B112</f>
        <v>-80.2176</v>
      </c>
      <c r="C112" s="7">
        <f>日前电价!C112-实时电价!C112</f>
        <v>2.52280000000002</v>
      </c>
      <c r="D112" s="7">
        <f>日前电价!D112-实时电价!D112</f>
        <v>4.40959999999995</v>
      </c>
      <c r="E112" s="7">
        <f>日前电价!E112-实时电价!E112</f>
        <v>6.87649999999996</v>
      </c>
      <c r="F112" s="7">
        <f>日前电价!F112-实时电价!F112</f>
        <v>-1.17419999999998</v>
      </c>
      <c r="G112" s="7">
        <f>日前电价!G112-实时电价!G112</f>
        <v>-4.29990000000004</v>
      </c>
      <c r="H112" s="7">
        <f>日前电价!H112-实时电价!H112</f>
        <v>-4.77269999999999</v>
      </c>
      <c r="I112" s="7">
        <f>日前电价!I112-实时电价!I112</f>
        <v>-9.13210000000004</v>
      </c>
      <c r="J112" s="7">
        <f>日前电价!J112-实时电价!J112</f>
        <v>-12.7262</v>
      </c>
      <c r="K112" s="7">
        <f>日前电价!K112-实时电价!K112</f>
        <v>-164.8692</v>
      </c>
      <c r="L112" s="7">
        <f>日前电价!L112-实时电价!L112</f>
        <v>-90.0967</v>
      </c>
      <c r="M112" s="7">
        <f>日前电价!M112-实时电价!M112</f>
        <v>-21.1611</v>
      </c>
      <c r="N112" s="7">
        <f>日前电价!N112-实时电价!N112</f>
        <v>-1.61599999999999</v>
      </c>
      <c r="O112" s="7">
        <f>日前电价!O112-实时电价!O112</f>
        <v>-44.0284</v>
      </c>
      <c r="P112" s="7">
        <f>日前电价!P112-实时电价!P112</f>
        <v>-41.8006</v>
      </c>
      <c r="Q112" s="7">
        <f>日前电价!Q112-实时电价!Q112</f>
        <v>-204.9383</v>
      </c>
      <c r="R112" s="7">
        <f>日前电价!R112-实时电价!R112</f>
        <v>-6.1438</v>
      </c>
      <c r="S112" s="7">
        <f>日前电价!S112-实时电价!S112</f>
        <v>-9.0668</v>
      </c>
      <c r="T112" s="7">
        <f>日前电价!T112-实时电价!T112</f>
        <v>-3.4128</v>
      </c>
      <c r="U112" s="7">
        <f>日前电价!U112-实时电价!U112</f>
        <v>31.2441</v>
      </c>
      <c r="V112" s="7">
        <f>日前电价!V112-实时电价!V112</f>
        <v>42.0678</v>
      </c>
      <c r="W112" s="7">
        <f>日前电价!W112-实时电价!W112</f>
        <v>39.4456</v>
      </c>
      <c r="X112" s="7">
        <f>日前电价!X112-实时电价!X112</f>
        <v>30.6174</v>
      </c>
      <c r="Y112" s="7">
        <f>日前电价!Y112-实时电价!Y112</f>
        <v>32.0625</v>
      </c>
      <c r="Z112" s="9">
        <f t="shared" si="3"/>
        <v>42.0678</v>
      </c>
      <c r="AA112" s="9">
        <f t="shared" si="4"/>
        <v>-204.9383</v>
      </c>
      <c r="AB112" s="9">
        <f t="shared" si="5"/>
        <v>-21.2587541666667</v>
      </c>
    </row>
    <row r="113" spans="1:28">
      <c r="A113" s="8">
        <v>45403</v>
      </c>
      <c r="B113" s="7">
        <f>日前电价!B113-实时电价!B113</f>
        <v>-65.2212</v>
      </c>
      <c r="C113" s="7">
        <f>日前电价!C113-实时电价!C113</f>
        <v>42.4586</v>
      </c>
      <c r="D113" s="7">
        <f>日前电价!D113-实时电价!D113</f>
        <v>21.2225</v>
      </c>
      <c r="E113" s="7">
        <f>日前电价!E113-实时电价!E113</f>
        <v>18.6424</v>
      </c>
      <c r="F113" s="7">
        <f>日前电价!F113-实时电价!F113</f>
        <v>29.6757</v>
      </c>
      <c r="G113" s="7">
        <f>日前电价!G113-实时电价!G113</f>
        <v>30.8776</v>
      </c>
      <c r="H113" s="7">
        <f>日前电价!H113-实时电价!H113</f>
        <v>18.9069</v>
      </c>
      <c r="I113" s="7">
        <f>日前电价!I113-实时电价!I113</f>
        <v>15.231</v>
      </c>
      <c r="J113" s="7">
        <f>日前电价!J113-实时电价!J113</f>
        <v>18.5408</v>
      </c>
      <c r="K113" s="7">
        <f>日前电价!K113-实时电价!K113</f>
        <v>-74.174</v>
      </c>
      <c r="L113" s="7">
        <f>日前电价!L113-实时电价!L113</f>
        <v>12.9631</v>
      </c>
      <c r="M113" s="7">
        <f>日前电价!M113-实时电价!M113</f>
        <v>28.621</v>
      </c>
      <c r="N113" s="7">
        <f>日前电价!N113-实时电价!N113</f>
        <v>26.1017</v>
      </c>
      <c r="O113" s="7">
        <f>日前电价!O113-实时电价!O113</f>
        <v>32.3393</v>
      </c>
      <c r="P113" s="7">
        <f>日前电价!P113-实时电价!P113</f>
        <v>50.579</v>
      </c>
      <c r="Q113" s="7">
        <f>日前电价!Q113-实时电价!Q113</f>
        <v>63.167</v>
      </c>
      <c r="R113" s="7">
        <f>日前电价!R113-实时电价!R113</f>
        <v>90.6112</v>
      </c>
      <c r="S113" s="7">
        <f>日前电价!S113-实时电价!S113</f>
        <v>120.5763</v>
      </c>
      <c r="T113" s="7">
        <f>日前电价!T113-实时电价!T113</f>
        <v>43.837</v>
      </c>
      <c r="U113" s="7">
        <f>日前电价!U113-实时电价!U113</f>
        <v>40.5423</v>
      </c>
      <c r="V113" s="7">
        <f>日前电价!V113-实时电价!V113</f>
        <v>43.3592</v>
      </c>
      <c r="W113" s="7">
        <f>日前电价!W113-实时电价!W113</f>
        <v>36.0238</v>
      </c>
      <c r="X113" s="7">
        <f>日前电价!X113-实时电价!X113</f>
        <v>36.0653</v>
      </c>
      <c r="Y113" s="7">
        <f>日前电价!Y113-实时电价!Y113</f>
        <v>222.4898</v>
      </c>
      <c r="Z113" s="9">
        <f t="shared" si="3"/>
        <v>222.4898</v>
      </c>
      <c r="AA113" s="9">
        <f t="shared" si="4"/>
        <v>-74.174</v>
      </c>
      <c r="AB113" s="9">
        <f t="shared" si="5"/>
        <v>37.6431791666667</v>
      </c>
    </row>
    <row r="114" spans="1:28">
      <c r="A114" s="8">
        <v>45404</v>
      </c>
      <c r="B114" s="7">
        <f>日前电价!B114-实时电价!B114</f>
        <v>-182.2623</v>
      </c>
      <c r="C114" s="7">
        <f>日前电价!C114-实时电价!C114</f>
        <v>-0.183199999999999</v>
      </c>
      <c r="D114" s="7">
        <f>日前电价!D114-实时电价!D114</f>
        <v>20.1272</v>
      </c>
      <c r="E114" s="7">
        <f>日前电价!E114-实时电价!E114</f>
        <v>6.13639999999998</v>
      </c>
      <c r="F114" s="7">
        <f>日前电价!F114-实时电价!F114</f>
        <v>-6.11410000000001</v>
      </c>
      <c r="G114" s="7">
        <f>日前电价!G114-实时电价!G114</f>
        <v>-11.75</v>
      </c>
      <c r="H114" s="7">
        <f>日前电价!H114-实时电价!H114</f>
        <v>-4.62869999999998</v>
      </c>
      <c r="I114" s="7">
        <f>日前电价!I114-实时电价!I114</f>
        <v>-12.6809</v>
      </c>
      <c r="J114" s="7">
        <f>日前电价!J114-实时电价!J114</f>
        <v>-247.4029</v>
      </c>
      <c r="K114" s="7">
        <f>日前电价!K114-实时电价!K114</f>
        <v>-29.1712</v>
      </c>
      <c r="L114" s="7">
        <f>日前电价!L114-实时电价!L114</f>
        <v>-8.20519999999999</v>
      </c>
      <c r="M114" s="7">
        <f>日前电价!M114-实时电价!M114</f>
        <v>-0.00849999999996953</v>
      </c>
      <c r="N114" s="7">
        <f>日前电价!N114-实时电价!N114</f>
        <v>-0.521500000000003</v>
      </c>
      <c r="O114" s="7">
        <f>日前电价!O114-实时电价!O114</f>
        <v>-9.23849999999999</v>
      </c>
      <c r="P114" s="7">
        <f>日前电价!P114-实时电价!P114</f>
        <v>-22.0994</v>
      </c>
      <c r="Q114" s="7">
        <f>日前电价!Q114-实时电价!Q114</f>
        <v>-23.3543</v>
      </c>
      <c r="R114" s="7">
        <f>日前电价!R114-实时电价!R114</f>
        <v>-38.6566</v>
      </c>
      <c r="S114" s="7">
        <f>日前电价!S114-实时电价!S114</f>
        <v>-11.1967</v>
      </c>
      <c r="T114" s="7">
        <f>日前电价!T114-实时电价!T114</f>
        <v>-30.2474</v>
      </c>
      <c r="U114" s="7">
        <f>日前电价!U114-实时电价!U114</f>
        <v>-71.7214</v>
      </c>
      <c r="V114" s="7">
        <f>日前电价!V114-实时电价!V114</f>
        <v>-107.1163</v>
      </c>
      <c r="W114" s="7">
        <f>日前电价!W114-实时电价!W114</f>
        <v>-70.4228</v>
      </c>
      <c r="X114" s="7">
        <f>日前电价!X114-实时电价!X114</f>
        <v>-18.4962</v>
      </c>
      <c r="Y114" s="7">
        <f>日前电价!Y114-实时电价!Y114</f>
        <v>-21.906</v>
      </c>
      <c r="Z114" s="9">
        <f t="shared" si="3"/>
        <v>20.1272</v>
      </c>
      <c r="AA114" s="9">
        <f t="shared" si="4"/>
        <v>-247.4029</v>
      </c>
      <c r="AB114" s="9">
        <f t="shared" si="5"/>
        <v>-37.5466875</v>
      </c>
    </row>
    <row r="115" spans="1:28">
      <c r="A115" s="8">
        <v>45405</v>
      </c>
      <c r="B115" s="7">
        <f>日前电价!B115-实时电价!B115</f>
        <v>-9.18199999999996</v>
      </c>
      <c r="C115" s="7">
        <f>日前电价!C115-实时电价!C115</f>
        <v>2.0985</v>
      </c>
      <c r="D115" s="7">
        <f>日前电价!D115-实时电价!D115</f>
        <v>0.708299999999952</v>
      </c>
      <c r="E115" s="7">
        <f>日前电价!E115-实时电价!E115</f>
        <v>2.78990000000005</v>
      </c>
      <c r="F115" s="7">
        <f>日前电价!F115-实时电价!F115</f>
        <v>0.898200000000031</v>
      </c>
      <c r="G115" s="7">
        <f>日前电价!G115-实时电价!G115</f>
        <v>0.4495</v>
      </c>
      <c r="H115" s="7">
        <f>日前电价!H115-实时电价!H115</f>
        <v>-5.27679999999998</v>
      </c>
      <c r="I115" s="7">
        <f>日前电价!I115-实时电价!I115</f>
        <v>-10.7201</v>
      </c>
      <c r="J115" s="7">
        <f>日前电价!J115-实时电价!J115</f>
        <v>-229.2531</v>
      </c>
      <c r="K115" s="7">
        <f>日前电价!K115-实时电价!K115</f>
        <v>-36.8006</v>
      </c>
      <c r="L115" s="7">
        <f>日前电价!L115-实时电价!L115</f>
        <v>-55.7208</v>
      </c>
      <c r="M115" s="7">
        <f>日前电价!M115-实时电价!M115</f>
        <v>-74.0225</v>
      </c>
      <c r="N115" s="7">
        <f>日前电价!N115-实时电价!N115</f>
        <v>13.3244</v>
      </c>
      <c r="O115" s="7">
        <f>日前电价!O115-实时电价!O115</f>
        <v>-35.0744</v>
      </c>
      <c r="P115" s="7">
        <f>日前电价!P115-实时电价!P115</f>
        <v>43.2312</v>
      </c>
      <c r="Q115" s="7">
        <f>日前电价!Q115-实时电价!Q115</f>
        <v>-49.334</v>
      </c>
      <c r="R115" s="7">
        <f>日前电价!R115-实时电价!R115</f>
        <v>-152.0844</v>
      </c>
      <c r="S115" s="7">
        <f>日前电价!S115-实时电价!S115</f>
        <v>-129.4891</v>
      </c>
      <c r="T115" s="7">
        <f>日前电价!T115-实时电价!T115</f>
        <v>-218.6892</v>
      </c>
      <c r="U115" s="7">
        <f>日前电价!U115-实时电价!U115</f>
        <v>-373.6221</v>
      </c>
      <c r="V115" s="7">
        <f>日前电价!V115-实时电价!V115</f>
        <v>-169.9829</v>
      </c>
      <c r="W115" s="7">
        <f>日前电价!W115-实时电价!W115</f>
        <v>-586.0356</v>
      </c>
      <c r="X115" s="7">
        <f>日前电价!X115-实时电价!X115</f>
        <v>-17.753</v>
      </c>
      <c r="Y115" s="7">
        <f>日前电价!Y115-实时电价!Y115</f>
        <v>-14.022</v>
      </c>
      <c r="Z115" s="9">
        <f t="shared" si="3"/>
        <v>43.2312</v>
      </c>
      <c r="AA115" s="9">
        <f t="shared" si="4"/>
        <v>-586.0356</v>
      </c>
      <c r="AB115" s="9">
        <f t="shared" si="5"/>
        <v>-87.6484416666667</v>
      </c>
    </row>
    <row r="116" spans="1:28">
      <c r="A116" s="8">
        <v>45406</v>
      </c>
      <c r="B116" s="7">
        <f>日前电价!B116-实时电价!B116</f>
        <v>-8.31579999999997</v>
      </c>
      <c r="C116" s="7">
        <f>日前电价!C116-实时电价!C116</f>
        <v>5.42509999999999</v>
      </c>
      <c r="D116" s="7">
        <f>日前电价!D116-实时电价!D116</f>
        <v>4.85200000000003</v>
      </c>
      <c r="E116" s="7">
        <f>日前电价!E116-实时电价!E116</f>
        <v>3.71970000000005</v>
      </c>
      <c r="F116" s="7">
        <f>日前电价!F116-实时电价!F116</f>
        <v>5.68720000000002</v>
      </c>
      <c r="G116" s="7">
        <f>日前电价!G116-实时电价!G116</f>
        <v>-4.53839999999997</v>
      </c>
      <c r="H116" s="7">
        <f>日前电价!H116-实时电价!H116</f>
        <v>-14.6547</v>
      </c>
      <c r="I116" s="7">
        <f>日前电价!I116-实时电价!I116</f>
        <v>-6.01080000000002</v>
      </c>
      <c r="J116" s="7">
        <f>日前电价!J116-实时电价!J116</f>
        <v>-53.9062</v>
      </c>
      <c r="K116" s="7">
        <f>日前电价!K116-实时电价!K116</f>
        <v>-36.3072</v>
      </c>
      <c r="L116" s="7">
        <f>日前电价!L116-实时电价!L116</f>
        <v>12.9616</v>
      </c>
      <c r="M116" s="7">
        <f>日前电价!M116-实时电价!M116</f>
        <v>7.50650000000002</v>
      </c>
      <c r="N116" s="7">
        <f>日前电价!N116-实时电价!N116</f>
        <v>7.96010000000001</v>
      </c>
      <c r="O116" s="7">
        <f>日前电价!O116-实时电价!O116</f>
        <v>-1.02860000000004</v>
      </c>
      <c r="P116" s="7">
        <f>日前电价!P116-实时电价!P116</f>
        <v>-39.8476</v>
      </c>
      <c r="Q116" s="7">
        <f>日前电价!Q116-实时电价!Q116</f>
        <v>-252.7717</v>
      </c>
      <c r="R116" s="7">
        <f>日前电价!R116-实时电价!R116</f>
        <v>-316.9638</v>
      </c>
      <c r="S116" s="7">
        <f>日前电价!S116-实时电价!S116</f>
        <v>-229.3816</v>
      </c>
      <c r="T116" s="7">
        <f>日前电价!T116-实时电价!T116</f>
        <v>-34.2875</v>
      </c>
      <c r="U116" s="7">
        <f>日前电价!U116-实时电价!U116</f>
        <v>-34.8489</v>
      </c>
      <c r="V116" s="7">
        <f>日前电价!V116-实时电价!V116</f>
        <v>-41.92</v>
      </c>
      <c r="W116" s="7">
        <f>日前电价!W116-实时电价!W116</f>
        <v>0.191300000000012</v>
      </c>
      <c r="X116" s="7">
        <f>日前电价!X116-实时电价!X116</f>
        <v>0.320300000000032</v>
      </c>
      <c r="Y116" s="7">
        <f>日前电价!Y116-实时电价!Y116</f>
        <v>-5.46719999999999</v>
      </c>
      <c r="Z116" s="9">
        <f t="shared" si="3"/>
        <v>12.9616</v>
      </c>
      <c r="AA116" s="9">
        <f t="shared" si="4"/>
        <v>-316.9638</v>
      </c>
      <c r="AB116" s="9">
        <f t="shared" si="5"/>
        <v>-42.984425</v>
      </c>
    </row>
    <row r="117" spans="1:28">
      <c r="A117" s="8">
        <v>45407</v>
      </c>
      <c r="B117" s="7">
        <f>日前电价!B117-实时电价!B117</f>
        <v>-0.861099999999965</v>
      </c>
      <c r="C117" s="7">
        <f>日前电价!C117-实时电价!C117</f>
        <v>10.37</v>
      </c>
      <c r="D117" s="7">
        <f>日前电价!D117-实时电价!D117</f>
        <v>12.4085</v>
      </c>
      <c r="E117" s="7">
        <f>日前电价!E117-实时电价!E117</f>
        <v>11.1298</v>
      </c>
      <c r="F117" s="7">
        <f>日前电价!F117-实时电价!F117</f>
        <v>-2.46249999999998</v>
      </c>
      <c r="G117" s="7">
        <f>日前电价!G117-实时电价!G117</f>
        <v>-3.08550000000002</v>
      </c>
      <c r="H117" s="7">
        <f>日前电价!H117-实时电价!H117</f>
        <v>-8.24369999999999</v>
      </c>
      <c r="I117" s="7">
        <f>日前电价!I117-实时电价!I117</f>
        <v>-3.20710000000003</v>
      </c>
      <c r="J117" s="7">
        <f>日前电价!J117-实时电价!J117</f>
        <v>-77.3519</v>
      </c>
      <c r="K117" s="7">
        <f>日前电价!K117-实时电价!K117</f>
        <v>-147.158</v>
      </c>
      <c r="L117" s="7">
        <f>日前电价!L117-实时电价!L117</f>
        <v>-97.4109</v>
      </c>
      <c r="M117" s="7">
        <f>日前电价!M117-实时电价!M117</f>
        <v>83.4735</v>
      </c>
      <c r="N117" s="7">
        <f>日前电价!N117-实时电价!N117</f>
        <v>86.5346</v>
      </c>
      <c r="O117" s="7">
        <f>日前电价!O117-实时电价!O117</f>
        <v>-18.7353</v>
      </c>
      <c r="P117" s="7">
        <f>日前电价!P117-实时电价!P117</f>
        <v>-12.0604</v>
      </c>
      <c r="Q117" s="7">
        <f>日前电价!Q117-实时电价!Q117</f>
        <v>-9.08730000000003</v>
      </c>
      <c r="R117" s="7">
        <f>日前电价!R117-实时电价!R117</f>
        <v>-25.8978</v>
      </c>
      <c r="S117" s="7">
        <f>日前电价!S117-实时电价!S117</f>
        <v>-56.7064999999999</v>
      </c>
      <c r="T117" s="7">
        <f>日前电价!T117-实时电价!T117</f>
        <v>-6.62240000000003</v>
      </c>
      <c r="U117" s="7">
        <f>日前电价!U117-实时电价!U117</f>
        <v>-54.9806</v>
      </c>
      <c r="V117" s="7">
        <f>日前电价!V117-实时电价!V117</f>
        <v>-35.7682</v>
      </c>
      <c r="W117" s="7">
        <f>日前电价!W117-实时电价!W117</f>
        <v>-7.14400000000001</v>
      </c>
      <c r="X117" s="7">
        <f>日前电价!X117-实时电价!X117</f>
        <v>-6.3356</v>
      </c>
      <c r="Y117" s="7">
        <f>日前电价!Y117-实时电价!Y117</f>
        <v>-18.613</v>
      </c>
      <c r="Z117" s="9">
        <f t="shared" si="3"/>
        <v>86.5346</v>
      </c>
      <c r="AA117" s="9">
        <f t="shared" si="4"/>
        <v>-147.158</v>
      </c>
      <c r="AB117" s="9">
        <f t="shared" si="5"/>
        <v>-16.158975</v>
      </c>
    </row>
    <row r="118" spans="1:28">
      <c r="A118" s="8">
        <v>45408</v>
      </c>
      <c r="B118" s="7">
        <f>日前电价!B118-实时电价!B118</f>
        <v>-10.2</v>
      </c>
      <c r="C118" s="7">
        <f>日前电价!C118-实时电价!C118</f>
        <v>-5.07999999999998</v>
      </c>
      <c r="D118" s="7">
        <f>日前电价!D118-实时电价!D118</f>
        <v>-6.22000000000003</v>
      </c>
      <c r="E118" s="7">
        <f>日前电价!E118-实时电价!E118</f>
        <v>3.69</v>
      </c>
      <c r="F118" s="7">
        <f>日前电价!F118-实时电价!F118</f>
        <v>-1.69999999999999</v>
      </c>
      <c r="G118" s="7">
        <f>日前电价!G118-实时电价!G118</f>
        <v>-6.26999999999998</v>
      </c>
      <c r="H118" s="7">
        <f>日前电价!H118-实时电价!H118</f>
        <v>-9.38999999999999</v>
      </c>
      <c r="I118" s="7">
        <f>日前电价!I118-实时电价!I118</f>
        <v>-18.19</v>
      </c>
      <c r="J118" s="7">
        <f>日前电价!J118-实时电价!J118</f>
        <v>-6.88999999999999</v>
      </c>
      <c r="K118" s="7">
        <f>日前电价!K118-实时电价!K118</f>
        <v>5.43000000000001</v>
      </c>
      <c r="L118" s="7">
        <f>日前电价!L118-实时电价!L118</f>
        <v>9.48000000000002</v>
      </c>
      <c r="M118" s="7">
        <f>日前电价!M118-实时电价!M118</f>
        <v>42.21</v>
      </c>
      <c r="N118" s="7">
        <f>日前电价!N118-实时电价!N118</f>
        <v>144.63</v>
      </c>
      <c r="O118" s="7">
        <f>日前电价!O118-实时电价!O118</f>
        <v>32.94</v>
      </c>
      <c r="P118" s="7">
        <f>日前电价!P118-实时电价!P118</f>
        <v>9.64999999999998</v>
      </c>
      <c r="Q118" s="7">
        <f>日前电价!Q118-实时电价!Q118</f>
        <v>-7.66999999999996</v>
      </c>
      <c r="R118" s="7">
        <f>日前电价!R118-实时电价!R118</f>
        <v>-74.46</v>
      </c>
      <c r="S118" s="7">
        <f>日前电价!S118-实时电价!S118</f>
        <v>-72.35</v>
      </c>
      <c r="T118" s="7">
        <f>日前电价!T118-实时电价!T118</f>
        <v>-51.13</v>
      </c>
      <c r="U118" s="7">
        <f>日前电价!U118-实时电价!U118</f>
        <v>-146.61</v>
      </c>
      <c r="V118" s="7">
        <f>日前电价!V118-实时电价!V118</f>
        <v>-29.37</v>
      </c>
      <c r="W118" s="7">
        <f>日前电价!W118-实时电价!W118</f>
        <v>-35.42</v>
      </c>
      <c r="X118" s="7">
        <f>日前电价!X118-实时电价!X118</f>
        <v>-82.19</v>
      </c>
      <c r="Y118" s="7">
        <f>日前电价!Y118-实时电价!Y118</f>
        <v>-25.85</v>
      </c>
      <c r="Z118" s="9">
        <f t="shared" si="3"/>
        <v>144.63</v>
      </c>
      <c r="AA118" s="9">
        <f t="shared" si="4"/>
        <v>-146.61</v>
      </c>
      <c r="AB118" s="9">
        <f t="shared" si="5"/>
        <v>-14.2066666666667</v>
      </c>
    </row>
    <row r="119" spans="1:28">
      <c r="A119" s="8">
        <v>45409</v>
      </c>
      <c r="B119" s="7">
        <f>日前电价!B119-实时电价!B119</f>
        <v>-278.9126</v>
      </c>
      <c r="C119" s="7">
        <f>日前电价!C119-实时电价!C119</f>
        <v>-138.6927</v>
      </c>
      <c r="D119" s="7">
        <f>日前电价!D119-实时电价!D119</f>
        <v>-20.8504</v>
      </c>
      <c r="E119" s="7">
        <f>日前电价!E119-实时电价!E119</f>
        <v>-14.899</v>
      </c>
      <c r="F119" s="7">
        <f>日前电价!F119-实时电价!F119</f>
        <v>-20.2464</v>
      </c>
      <c r="G119" s="7">
        <f>日前电价!G119-实时电价!G119</f>
        <v>-15.3243</v>
      </c>
      <c r="H119" s="7">
        <f>日前电价!H119-实时电价!H119</f>
        <v>-11.264</v>
      </c>
      <c r="I119" s="7">
        <f>日前电价!I119-实时电价!I119</f>
        <v>-6.75979999999998</v>
      </c>
      <c r="J119" s="7">
        <f>日前电价!J119-实时电价!J119</f>
        <v>1.60590000000002</v>
      </c>
      <c r="K119" s="7">
        <f>日前电价!K119-实时电价!K119</f>
        <v>-19.764</v>
      </c>
      <c r="L119" s="7">
        <f>日前电价!L119-实时电价!L119</f>
        <v>-79.2658</v>
      </c>
      <c r="M119" s="7">
        <f>日前电价!M119-实时电价!M119</f>
        <v>-115.9753</v>
      </c>
      <c r="N119" s="7">
        <f>日前电价!N119-实时电价!N119</f>
        <v>-0.910500000000013</v>
      </c>
      <c r="O119" s="7">
        <f>日前电价!O119-实时电价!O119</f>
        <v>-123.283</v>
      </c>
      <c r="P119" s="7">
        <f>日前电价!P119-实时电价!P119</f>
        <v>-278.4935</v>
      </c>
      <c r="Q119" s="7">
        <f>日前电价!Q119-实时电价!Q119</f>
        <v>-222.9388</v>
      </c>
      <c r="R119" s="7">
        <f>日前电价!R119-实时电价!R119</f>
        <v>-109.2118</v>
      </c>
      <c r="S119" s="7">
        <f>日前电价!S119-实时电价!S119</f>
        <v>-66.5831</v>
      </c>
      <c r="T119" s="7">
        <f>日前电价!T119-实时电价!T119</f>
        <v>1.85179999999997</v>
      </c>
      <c r="U119" s="7">
        <f>日前电价!U119-实时电价!U119</f>
        <v>22.2305</v>
      </c>
      <c r="V119" s="7">
        <f>日前电价!V119-实时电价!V119</f>
        <v>71.2982</v>
      </c>
      <c r="W119" s="7">
        <f>日前电价!W119-实时电价!W119</f>
        <v>53.6761</v>
      </c>
      <c r="X119" s="7">
        <f>日前电价!X119-实时电价!X119</f>
        <v>56.3967</v>
      </c>
      <c r="Y119" s="7">
        <f>日前电价!Y119-实时电价!Y119</f>
        <v>11.2028</v>
      </c>
      <c r="Z119" s="9">
        <f t="shared" si="3"/>
        <v>71.2982</v>
      </c>
      <c r="AA119" s="9">
        <f t="shared" si="4"/>
        <v>-278.9126</v>
      </c>
      <c r="AB119" s="9">
        <f t="shared" si="5"/>
        <v>-54.3797083333333</v>
      </c>
    </row>
    <row r="120" spans="1:28">
      <c r="A120" s="8">
        <v>45410</v>
      </c>
      <c r="B120" s="7">
        <f>日前电价!B120-实时电价!B120</f>
        <v>-1.37799999999999</v>
      </c>
      <c r="C120" s="7">
        <f>日前电价!C120-实时电价!C120</f>
        <v>3.66560000000004</v>
      </c>
      <c r="D120" s="7">
        <f>日前电价!D120-实时电价!D120</f>
        <v>2.19209999999998</v>
      </c>
      <c r="E120" s="7">
        <f>日前电价!E120-实时电价!E120</f>
        <v>-9.40570000000002</v>
      </c>
      <c r="F120" s="7">
        <f>日前电价!F120-实时电价!F120</f>
        <v>7.67439999999999</v>
      </c>
      <c r="G120" s="7">
        <f>日前电价!G120-实时电价!G120</f>
        <v>8.6601</v>
      </c>
      <c r="H120" s="7">
        <f>日前电价!H120-实时电价!H120</f>
        <v>4.34870000000001</v>
      </c>
      <c r="I120" s="7">
        <f>日前电价!I120-实时电价!I120</f>
        <v>11.6671</v>
      </c>
      <c r="J120" s="7">
        <f>日前电价!J120-实时电价!J120</f>
        <v>46.705</v>
      </c>
      <c r="K120" s="7">
        <f>日前电价!K120-实时电价!K120</f>
        <v>49.2465</v>
      </c>
      <c r="L120" s="7">
        <f>日前电价!L120-实时电价!L120</f>
        <v>67.081</v>
      </c>
      <c r="M120" s="7">
        <f>日前电价!M120-实时电价!M120</f>
        <v>88.2241</v>
      </c>
      <c r="N120" s="7">
        <f>日前电价!N120-实时电价!N120</f>
        <v>50.8075</v>
      </c>
      <c r="O120" s="7">
        <f>日前电价!O120-实时电价!O120</f>
        <v>15.6678</v>
      </c>
      <c r="P120" s="7">
        <f>日前电价!P120-实时电价!P120</f>
        <v>35.661</v>
      </c>
      <c r="Q120" s="7">
        <f>日前电价!Q120-实时电价!Q120</f>
        <v>49.301</v>
      </c>
      <c r="R120" s="7">
        <f>日前电价!R120-实时电价!R120</f>
        <v>28.4373</v>
      </c>
      <c r="S120" s="7">
        <f>日前电价!S120-实时电价!S120</f>
        <v>21.2977</v>
      </c>
      <c r="T120" s="7">
        <f>日前电价!T120-实时电价!T120</f>
        <v>24.2694</v>
      </c>
      <c r="U120" s="7">
        <f>日前电价!U120-实时电价!U120</f>
        <v>40.0235</v>
      </c>
      <c r="V120" s="7">
        <f>日前电价!V120-实时电价!V120</f>
        <v>28.6843</v>
      </c>
      <c r="W120" s="7">
        <f>日前电价!W120-实时电价!W120</f>
        <v>20.8381</v>
      </c>
      <c r="X120" s="7">
        <f>日前电价!X120-实时电价!X120</f>
        <v>20.5457</v>
      </c>
      <c r="Y120" s="7">
        <f>日前电价!Y120-实时电价!Y120</f>
        <v>28.0747</v>
      </c>
      <c r="Z120" s="9">
        <f t="shared" si="3"/>
        <v>88.2241</v>
      </c>
      <c r="AA120" s="9">
        <f t="shared" si="4"/>
        <v>-9.40570000000002</v>
      </c>
      <c r="AB120" s="9">
        <f t="shared" si="5"/>
        <v>26.7620375</v>
      </c>
    </row>
    <row r="121" spans="1:28">
      <c r="A121" s="8">
        <v>45411</v>
      </c>
      <c r="B121" s="7">
        <f>日前电价!B121-实时电价!B121</f>
        <v>-14.779</v>
      </c>
      <c r="C121" s="7">
        <f>日前电价!C121-实时电价!C121</f>
        <v>-5.34610000000004</v>
      </c>
      <c r="D121" s="7">
        <f>日前电价!D121-实时电价!D121</f>
        <v>0.198700000000031</v>
      </c>
      <c r="E121" s="7">
        <f>日前电价!E121-实时电价!E121</f>
        <v>10.368</v>
      </c>
      <c r="F121" s="7">
        <f>日前电价!F121-实时电价!F121</f>
        <v>64.7452</v>
      </c>
      <c r="G121" s="7">
        <f>日前电价!G121-实时电价!G121</f>
        <v>5.5453</v>
      </c>
      <c r="H121" s="7">
        <f>日前电价!H121-实时电价!H121</f>
        <v>6.93049999999999</v>
      </c>
      <c r="I121" s="7">
        <f>日前电价!I121-实时电价!I121</f>
        <v>10.5378</v>
      </c>
      <c r="J121" s="7">
        <f>日前电价!J121-实时电价!J121</f>
        <v>20.7001</v>
      </c>
      <c r="K121" s="7">
        <f>日前电价!K121-实时电价!K121</f>
        <v>22.9227</v>
      </c>
      <c r="L121" s="7">
        <f>日前电价!L121-实时电价!L121</f>
        <v>57.802</v>
      </c>
      <c r="M121" s="7">
        <f>日前电价!M121-实时电价!M121</f>
        <v>54.1631</v>
      </c>
      <c r="N121" s="7">
        <f>日前电价!N121-实时电价!N121</f>
        <v>90.6399</v>
      </c>
      <c r="O121" s="7">
        <f>日前电价!O121-实时电价!O121</f>
        <v>9.25550000000004</v>
      </c>
      <c r="P121" s="7">
        <f>日前电价!P121-实时电价!P121</f>
        <v>33.9394</v>
      </c>
      <c r="Q121" s="7">
        <f>日前电价!Q121-实时电价!Q121</f>
        <v>57.1394</v>
      </c>
      <c r="R121" s="7">
        <f>日前电价!R121-实时电价!R121</f>
        <v>-35.5775</v>
      </c>
      <c r="S121" s="7">
        <f>日前电价!S121-实时电价!S121</f>
        <v>51.4846</v>
      </c>
      <c r="T121" s="7">
        <f>日前电价!T121-实时电价!T121</f>
        <v>7.93959999999998</v>
      </c>
      <c r="U121" s="7">
        <f>日前电价!U121-实时电价!U121</f>
        <v>-2.05610000000001</v>
      </c>
      <c r="V121" s="7">
        <f>日前电价!V121-实时电价!V121</f>
        <v>13.918</v>
      </c>
      <c r="W121" s="7">
        <f>日前电价!W121-实时电价!W121</f>
        <v>25.818</v>
      </c>
      <c r="X121" s="7">
        <f>日前电价!X121-实时电价!X121</f>
        <v>37.6977</v>
      </c>
      <c r="Y121" s="7">
        <f>日前电价!Y121-实时电价!Y121</f>
        <v>10.4308</v>
      </c>
      <c r="Z121" s="9">
        <f t="shared" si="3"/>
        <v>90.6399</v>
      </c>
      <c r="AA121" s="9">
        <f t="shared" si="4"/>
        <v>-35.5775</v>
      </c>
      <c r="AB121" s="9">
        <f t="shared" si="5"/>
        <v>22.2674</v>
      </c>
    </row>
    <row r="122" spans="1:28">
      <c r="A122" s="8">
        <v>45412</v>
      </c>
      <c r="B122" s="7">
        <f>日前电价!B122-实时电价!B122</f>
        <v>35.2599</v>
      </c>
      <c r="C122" s="7">
        <f>日前电价!C122-实时电价!C122</f>
        <v>15.7635</v>
      </c>
      <c r="D122" s="7">
        <f>日前电价!D122-实时电价!D122</f>
        <v>18.9429</v>
      </c>
      <c r="E122" s="7">
        <f>日前电价!E122-实时电价!E122</f>
        <v>27.6558</v>
      </c>
      <c r="F122" s="7">
        <f>日前电价!F122-实时电价!F122</f>
        <v>31.8264</v>
      </c>
      <c r="G122" s="7">
        <f>日前电价!G122-实时电价!G122</f>
        <v>31.3507</v>
      </c>
      <c r="H122" s="7">
        <f>日前电价!H122-实时电价!H122</f>
        <v>23.4777</v>
      </c>
      <c r="I122" s="7">
        <f>日前电价!I122-实时电价!I122</f>
        <v>26.4471</v>
      </c>
      <c r="J122" s="7">
        <f>日前电价!J122-实时电价!J122</f>
        <v>13.9206</v>
      </c>
      <c r="K122" s="7">
        <f>日前电价!K122-实时电价!K122</f>
        <v>4.89760000000001</v>
      </c>
      <c r="L122" s="7">
        <f>日前电价!L122-实时电价!L122</f>
        <v>-14.4394</v>
      </c>
      <c r="M122" s="7">
        <f>日前电价!M122-实时电价!M122</f>
        <v>-2.04160000000002</v>
      </c>
      <c r="N122" s="7">
        <f>日前电价!N122-实时电价!N122</f>
        <v>101.7297</v>
      </c>
      <c r="O122" s="7">
        <f>日前电价!O122-实时电价!O122</f>
        <v>17.5513</v>
      </c>
      <c r="P122" s="7">
        <f>日前电价!P122-实时电价!P122</f>
        <v>17.1332</v>
      </c>
      <c r="Q122" s="7">
        <f>日前电价!Q122-实时电价!Q122</f>
        <v>22.2356</v>
      </c>
      <c r="R122" s="7">
        <f>日前电价!R122-实时电价!R122</f>
        <v>20.2493</v>
      </c>
      <c r="S122" s="7">
        <f>日前电价!S122-实时电价!S122</f>
        <v>57.0101</v>
      </c>
      <c r="T122" s="7">
        <f>日前电价!T122-实时电价!T122</f>
        <v>37.8768</v>
      </c>
      <c r="U122" s="7">
        <f>日前电价!U122-实时电价!U122</f>
        <v>28.6524</v>
      </c>
      <c r="V122" s="7">
        <f>日前电价!V122-实时电价!V122</f>
        <v>28.362</v>
      </c>
      <c r="W122" s="7">
        <f>日前电价!W122-实时电价!W122</f>
        <v>46.4293</v>
      </c>
      <c r="X122" s="7">
        <f>日前电价!X122-实时电价!X122</f>
        <v>27.0127</v>
      </c>
      <c r="Y122" s="7">
        <f>日前电价!Y122-实时电价!Y122</f>
        <v>28.3467</v>
      </c>
      <c r="Z122" s="9">
        <f t="shared" si="3"/>
        <v>101.7297</v>
      </c>
      <c r="AA122" s="9">
        <f t="shared" si="4"/>
        <v>-14.4394</v>
      </c>
      <c r="AB122" s="9">
        <f t="shared" si="5"/>
        <v>26.9020958333333</v>
      </c>
    </row>
    <row r="123" spans="1:28">
      <c r="A123" s="8">
        <v>45413</v>
      </c>
      <c r="B123" s="7">
        <f>日前电价!B123-实时电价!B123</f>
        <v>-61.1304</v>
      </c>
      <c r="C123" s="7">
        <f>日前电价!C123-实时电价!C123</f>
        <v>48.0145</v>
      </c>
      <c r="D123" s="7">
        <f>日前电价!D123-实时电价!D123</f>
        <v>34.3751</v>
      </c>
      <c r="E123" s="7">
        <f>日前电价!E123-实时电价!E123</f>
        <v>116.0974</v>
      </c>
      <c r="F123" s="7">
        <f>日前电价!F123-实时电价!F123</f>
        <v>267.83</v>
      </c>
      <c r="G123" s="7">
        <f>日前电价!G123-实时电价!G123</f>
        <v>319.9823</v>
      </c>
      <c r="H123" s="7">
        <f>日前电价!H123-实时电价!H123</f>
        <v>332.1253</v>
      </c>
      <c r="I123" s="7">
        <f>日前电价!I123-实时电价!I123</f>
        <v>281.1071</v>
      </c>
      <c r="J123" s="7">
        <f>日前电价!J123-实时电价!J123</f>
        <v>257.9513</v>
      </c>
      <c r="K123" s="7">
        <f>日前电价!K123-实时电价!K123</f>
        <v>-42.6613</v>
      </c>
      <c r="L123" s="7">
        <f>日前电价!L123-实时电价!L123</f>
        <v>160.3075</v>
      </c>
      <c r="M123" s="7">
        <f>日前电价!M123-实时电价!M123</f>
        <v>223.205</v>
      </c>
      <c r="N123" s="7">
        <f>日前电价!N123-实时电价!N123</f>
        <v>270.9215</v>
      </c>
      <c r="O123" s="7">
        <f>日前电价!O123-实时电价!O123</f>
        <v>267.4447</v>
      </c>
      <c r="P123" s="7">
        <f>日前电价!P123-实时电价!P123</f>
        <v>274.9437</v>
      </c>
      <c r="Q123" s="7">
        <f>日前电价!Q123-实时电价!Q123</f>
        <v>283.9106</v>
      </c>
      <c r="R123" s="7">
        <f>日前电价!R123-实时电价!R123</f>
        <v>279.7673</v>
      </c>
      <c r="S123" s="7">
        <f>日前电价!S123-实时电价!S123</f>
        <v>267.4842</v>
      </c>
      <c r="T123" s="7">
        <f>日前电价!T123-实时电价!T123</f>
        <v>256.6935</v>
      </c>
      <c r="U123" s="7">
        <f>日前电价!U123-实时电价!U123</f>
        <v>240.2749</v>
      </c>
      <c r="V123" s="7">
        <f>日前电价!V123-实时电价!V123</f>
        <v>219.0647</v>
      </c>
      <c r="W123" s="7">
        <f>日前电价!W123-实时电价!W123</f>
        <v>137.1833</v>
      </c>
      <c r="X123" s="7">
        <f>日前电价!X123-实时电价!X123</f>
        <v>238.6542</v>
      </c>
      <c r="Y123" s="7">
        <f>日前电价!Y123-实时电价!Y123</f>
        <v>141.8874</v>
      </c>
      <c r="Z123" s="9">
        <f t="shared" si="3"/>
        <v>332.1253</v>
      </c>
      <c r="AA123" s="9">
        <f t="shared" si="4"/>
        <v>-61.1304</v>
      </c>
      <c r="AB123" s="9">
        <f t="shared" si="5"/>
        <v>200.643075</v>
      </c>
    </row>
    <row r="124" spans="1:28">
      <c r="A124" s="8">
        <v>45414</v>
      </c>
      <c r="B124" s="7">
        <f>日前电价!B124-实时电价!B124</f>
        <v>-55.9257</v>
      </c>
      <c r="C124" s="7">
        <f>日前电价!C124-实时电价!C124</f>
        <v>152.914</v>
      </c>
      <c r="D124" s="7">
        <f>日前电价!D124-实时电价!D124</f>
        <v>154.4544</v>
      </c>
      <c r="E124" s="7">
        <f>日前电价!E124-实时电价!E124</f>
        <v>59.3842</v>
      </c>
      <c r="F124" s="7">
        <f>日前电价!F124-实时电价!F124</f>
        <v>0</v>
      </c>
      <c r="G124" s="7">
        <f>日前电价!G124-实时电价!G124</f>
        <v>0</v>
      </c>
      <c r="H124" s="7">
        <f>日前电价!H124-实时电价!H124</f>
        <v>-2.4463</v>
      </c>
      <c r="I124" s="7">
        <f>日前电价!I124-实时电价!I124</f>
        <v>44.1731</v>
      </c>
      <c r="J124" s="7">
        <f>日前电价!J124-实时电价!J124</f>
        <v>109.5478</v>
      </c>
      <c r="K124" s="7">
        <f>日前电价!K124-实时电价!K124</f>
        <v>-8.8358</v>
      </c>
      <c r="L124" s="7">
        <f>日前电价!L124-实时电价!L124</f>
        <v>13.8846</v>
      </c>
      <c r="M124" s="7">
        <f>日前电价!M124-实时电价!M124</f>
        <v>125.388</v>
      </c>
      <c r="N124" s="7">
        <f>日前电价!N124-实时电价!N124</f>
        <v>-63.6709</v>
      </c>
      <c r="O124" s="7">
        <f>日前电价!O124-实时电价!O124</f>
        <v>22.7407</v>
      </c>
      <c r="P124" s="7">
        <f>日前电价!P124-实时电价!P124</f>
        <v>180.0558</v>
      </c>
      <c r="Q124" s="7">
        <f>日前电价!Q124-实时电价!Q124</f>
        <v>197.7153</v>
      </c>
      <c r="R124" s="7">
        <f>日前电价!R124-实时电价!R124</f>
        <v>224.5447</v>
      </c>
      <c r="S124" s="7">
        <f>日前电价!S124-实时电价!S124</f>
        <v>195.8535</v>
      </c>
      <c r="T124" s="7">
        <f>日前电价!T124-实时电价!T124</f>
        <v>106.0325</v>
      </c>
      <c r="U124" s="7">
        <f>日前电价!U124-实时电价!U124</f>
        <v>65.6898</v>
      </c>
      <c r="V124" s="7">
        <f>日前电价!V124-实时电价!V124</f>
        <v>31.1038</v>
      </c>
      <c r="W124" s="7">
        <f>日前电价!W124-实时电价!W124</f>
        <v>28.0216</v>
      </c>
      <c r="X124" s="7">
        <f>日前电价!X124-实时电价!X124</f>
        <v>1.76900000000001</v>
      </c>
      <c r="Y124" s="7">
        <f>日前电价!Y124-实时电价!Y124</f>
        <v>-34.6065</v>
      </c>
      <c r="Z124" s="9">
        <f t="shared" si="3"/>
        <v>224.5447</v>
      </c>
      <c r="AA124" s="9">
        <f t="shared" si="4"/>
        <v>-63.6709</v>
      </c>
      <c r="AB124" s="9">
        <f t="shared" si="5"/>
        <v>64.49115</v>
      </c>
    </row>
    <row r="125" spans="1:28">
      <c r="A125" s="8">
        <v>45415</v>
      </c>
      <c r="B125" s="7">
        <f>日前电价!B125-实时电价!B125</f>
        <v>-30.4247999999999</v>
      </c>
      <c r="C125" s="7">
        <f>日前电价!C125-实时电价!C125</f>
        <v>-0.212800000000016</v>
      </c>
      <c r="D125" s="7">
        <f>日前电价!D125-实时电价!D125</f>
        <v>0.991399999999999</v>
      </c>
      <c r="E125" s="7">
        <f>日前电价!E125-实时电价!E125</f>
        <v>17.4228</v>
      </c>
      <c r="F125" s="7">
        <f>日前电价!F125-实时电价!F125</f>
        <v>257.4366</v>
      </c>
      <c r="G125" s="7">
        <f>日前电价!G125-实时电价!G125</f>
        <v>137.4941</v>
      </c>
      <c r="H125" s="7">
        <f>日前电价!H125-实时电价!H125</f>
        <v>21.0977999999999</v>
      </c>
      <c r="I125" s="7">
        <f>日前电价!I125-实时电价!I125</f>
        <v>28.0086</v>
      </c>
      <c r="J125" s="7">
        <f>日前电价!J125-实时电价!J125</f>
        <v>-7.30130000000003</v>
      </c>
      <c r="K125" s="7">
        <f>日前电价!K125-实时电价!K125</f>
        <v>32.4944</v>
      </c>
      <c r="L125" s="7">
        <f>日前电价!L125-实时电价!L125</f>
        <v>57.2036</v>
      </c>
      <c r="M125" s="7">
        <f>日前电价!M125-实时电价!M125</f>
        <v>67.8664</v>
      </c>
      <c r="N125" s="7">
        <f>日前电价!N125-实时电价!N125</f>
        <v>65.7339</v>
      </c>
      <c r="O125" s="7">
        <f>日前电价!O125-实时电价!O125</f>
        <v>45.774</v>
      </c>
      <c r="P125" s="7">
        <f>日前电价!P125-实时电价!P125</f>
        <v>80.0685</v>
      </c>
      <c r="Q125" s="7">
        <f>日前电价!Q125-实时电价!Q125</f>
        <v>33.5002</v>
      </c>
      <c r="R125" s="7">
        <f>日前电价!R125-实时电价!R125</f>
        <v>1.46320000000003</v>
      </c>
      <c r="S125" s="7">
        <f>日前电价!S125-实时电价!S125</f>
        <v>7.23140000000001</v>
      </c>
      <c r="T125" s="7">
        <f>日前电价!T125-实时电价!T125</f>
        <v>12.7963</v>
      </c>
      <c r="U125" s="7">
        <f>日前电价!U125-实时电价!U125</f>
        <v>6.41209999999995</v>
      </c>
      <c r="V125" s="7">
        <f>日前电价!V125-实时电价!V125</f>
        <v>25.1322</v>
      </c>
      <c r="W125" s="7">
        <f>日前电价!W125-实时电价!W125</f>
        <v>37.8137</v>
      </c>
      <c r="X125" s="7">
        <f>日前电价!X125-实时电价!X125</f>
        <v>-0.670500000000004</v>
      </c>
      <c r="Y125" s="7">
        <f>日前电价!Y125-实时电价!Y125</f>
        <v>-13.0702</v>
      </c>
      <c r="Z125" s="9">
        <f t="shared" si="3"/>
        <v>257.4366</v>
      </c>
      <c r="AA125" s="9">
        <f t="shared" si="4"/>
        <v>-30.4247999999999</v>
      </c>
      <c r="AB125" s="9">
        <f t="shared" si="5"/>
        <v>36.8442333333333</v>
      </c>
    </row>
    <row r="126" spans="1:28">
      <c r="A126" s="8">
        <v>45416</v>
      </c>
      <c r="B126" s="7">
        <f>日前电价!B126-实时电价!B126</f>
        <v>-138.696</v>
      </c>
      <c r="C126" s="7">
        <f>日前电价!C126-实时电价!C126</f>
        <v>-4.9631</v>
      </c>
      <c r="D126" s="7">
        <f>日前电价!D126-实时电价!D126</f>
        <v>0.300299999999993</v>
      </c>
      <c r="E126" s="7">
        <f>日前电价!E126-实时电价!E126</f>
        <v>10.1328</v>
      </c>
      <c r="F126" s="7">
        <f>日前电价!F126-实时电价!F126</f>
        <v>9.74010000000004</v>
      </c>
      <c r="G126" s="7">
        <f>日前电价!G126-实时电价!G126</f>
        <v>8.14609999999999</v>
      </c>
      <c r="H126" s="7">
        <f>日前电价!H126-实时电价!H126</f>
        <v>6.84620000000001</v>
      </c>
      <c r="I126" s="7">
        <f>日前电价!I126-实时电价!I126</f>
        <v>-4.57769999999999</v>
      </c>
      <c r="J126" s="7">
        <f>日前电价!J126-实时电价!J126</f>
        <v>3.39260000000002</v>
      </c>
      <c r="K126" s="7">
        <f>日前电价!K126-实时电价!K126</f>
        <v>17.0714</v>
      </c>
      <c r="L126" s="7">
        <f>日前电价!L126-实时电价!L126</f>
        <v>20.6692</v>
      </c>
      <c r="M126" s="7">
        <f>日前电价!M126-实时电价!M126</f>
        <v>69.8678</v>
      </c>
      <c r="N126" s="7">
        <f>日前电价!N126-实时电价!N126</f>
        <v>56.9078</v>
      </c>
      <c r="O126" s="7">
        <f>日前电价!O126-实时电价!O126</f>
        <v>59.9602</v>
      </c>
      <c r="P126" s="7">
        <f>日前电价!P126-实时电价!P126</f>
        <v>51.0782</v>
      </c>
      <c r="Q126" s="7">
        <f>日前电价!Q126-实时电价!Q126</f>
        <v>28.1601</v>
      </c>
      <c r="R126" s="7">
        <f>日前电价!R126-实时电价!R126</f>
        <v>113.3623</v>
      </c>
      <c r="S126" s="7">
        <f>日前电价!S126-实时电价!S126</f>
        <v>91.5467</v>
      </c>
      <c r="T126" s="7">
        <f>日前电价!T126-实时电价!T126</f>
        <v>56.2482</v>
      </c>
      <c r="U126" s="7">
        <f>日前电价!U126-实时电价!U126</f>
        <v>106.5853</v>
      </c>
      <c r="V126" s="7">
        <f>日前电价!V126-实时电价!V126</f>
        <v>119.017</v>
      </c>
      <c r="W126" s="7">
        <f>日前电价!W126-实时电价!W126</f>
        <v>67.8106</v>
      </c>
      <c r="X126" s="7">
        <f>日前电价!X126-实时电价!X126</f>
        <v>51.0597</v>
      </c>
      <c r="Y126" s="7">
        <f>日前电价!Y126-实时电价!Y126</f>
        <v>41.26</v>
      </c>
      <c r="Z126" s="9">
        <f t="shared" si="3"/>
        <v>119.017</v>
      </c>
      <c r="AA126" s="9">
        <f t="shared" si="4"/>
        <v>-138.696</v>
      </c>
      <c r="AB126" s="9">
        <f t="shared" si="5"/>
        <v>35.038575</v>
      </c>
    </row>
    <row r="127" spans="1:28">
      <c r="A127" s="8">
        <v>45417</v>
      </c>
      <c r="B127" s="7">
        <f>日前电价!B127-实时电价!B127</f>
        <v>15.2183</v>
      </c>
      <c r="C127" s="7">
        <f>日前电价!C127-实时电价!C127</f>
        <v>15.5388</v>
      </c>
      <c r="D127" s="7">
        <f>日前电价!D127-实时电价!D127</f>
        <v>12.6474</v>
      </c>
      <c r="E127" s="7">
        <f>日前电价!E127-实时电价!E127</f>
        <v>21.7327</v>
      </c>
      <c r="F127" s="7">
        <f>日前电价!F127-实时电价!F127</f>
        <v>23.1735</v>
      </c>
      <c r="G127" s="7">
        <f>日前电价!G127-实时电价!G127</f>
        <v>23.1494</v>
      </c>
      <c r="H127" s="7">
        <f>日前电价!H127-实时电价!H127</f>
        <v>11.5398</v>
      </c>
      <c r="I127" s="7">
        <f>日前电价!I127-实时电价!I127</f>
        <v>15.2565</v>
      </c>
      <c r="J127" s="7">
        <f>日前电价!J127-实时电价!J127</f>
        <v>33.5871</v>
      </c>
      <c r="K127" s="7">
        <f>日前电价!K127-实时电价!K127</f>
        <v>57.9291</v>
      </c>
      <c r="L127" s="7">
        <f>日前电价!L127-实时电价!L127</f>
        <v>108.9361</v>
      </c>
      <c r="M127" s="7">
        <f>日前电价!M127-实时电价!M127</f>
        <v>291.996</v>
      </c>
      <c r="N127" s="7">
        <f>日前电价!N127-实时电价!N127</f>
        <v>293.469</v>
      </c>
      <c r="O127" s="7">
        <f>日前电价!O127-实时电价!O127</f>
        <v>279.91</v>
      </c>
      <c r="P127" s="7">
        <f>日前电价!P127-实时电价!P127</f>
        <v>227.213</v>
      </c>
      <c r="Q127" s="7">
        <f>日前电价!Q127-实时电价!Q127</f>
        <v>76.6328</v>
      </c>
      <c r="R127" s="7">
        <f>日前电价!R127-实时电价!R127</f>
        <v>49.8442</v>
      </c>
      <c r="S127" s="7">
        <f>日前电价!S127-实时电价!S127</f>
        <v>27.8704</v>
      </c>
      <c r="T127" s="7">
        <f>日前电价!T127-实时电价!T127</f>
        <v>23.5057</v>
      </c>
      <c r="U127" s="7">
        <f>日前电价!U127-实时电价!U127</f>
        <v>28.7582</v>
      </c>
      <c r="V127" s="7">
        <f>日前电价!V127-实时电价!V127</f>
        <v>17.131</v>
      </c>
      <c r="W127" s="7">
        <f>日前电价!W127-实时电价!W127</f>
        <v>5.20499999999998</v>
      </c>
      <c r="X127" s="7">
        <f>日前电价!X127-实时电价!X127</f>
        <v>-1.19749999999999</v>
      </c>
      <c r="Y127" s="7">
        <f>日前电价!Y127-实时电价!Y127</f>
        <v>-13.7391</v>
      </c>
      <c r="Z127" s="9">
        <f t="shared" si="3"/>
        <v>293.469</v>
      </c>
      <c r="AA127" s="9">
        <f t="shared" si="4"/>
        <v>-13.7391</v>
      </c>
      <c r="AB127" s="9">
        <f t="shared" si="5"/>
        <v>68.554475</v>
      </c>
    </row>
    <row r="128" spans="1:28">
      <c r="A128" s="8">
        <v>45418</v>
      </c>
      <c r="B128" s="7">
        <f>日前电价!B128-实时电价!B128</f>
        <v>-107.5549</v>
      </c>
      <c r="C128" s="7">
        <f>日前电价!C128-实时电价!C128</f>
        <v>-7.14060000000001</v>
      </c>
      <c r="D128" s="7">
        <f>日前电价!D128-实时电价!D128</f>
        <v>-8.14480000000003</v>
      </c>
      <c r="E128" s="7">
        <f>日前电价!E128-实时电价!E128</f>
        <v>-9.83710000000002</v>
      </c>
      <c r="F128" s="7">
        <f>日前电价!F128-实时电价!F128</f>
        <v>-0.522999999999968</v>
      </c>
      <c r="G128" s="7">
        <f>日前电价!G128-实时电价!G128</f>
        <v>-3.76870000000002</v>
      </c>
      <c r="H128" s="7">
        <f>日前电价!H128-实时电价!H128</f>
        <v>-10.4334</v>
      </c>
      <c r="I128" s="7">
        <f>日前电价!I128-实时电价!I128</f>
        <v>-11.2635</v>
      </c>
      <c r="J128" s="7">
        <f>日前电价!J128-实时电价!J128</f>
        <v>-70.1843</v>
      </c>
      <c r="K128" s="7">
        <f>日前电价!K128-实时电价!K128</f>
        <v>46.8874</v>
      </c>
      <c r="L128" s="7">
        <f>日前电价!L128-实时电价!L128</f>
        <v>137.1462</v>
      </c>
      <c r="M128" s="7">
        <f>日前电价!M128-实时电价!M128</f>
        <v>107.1957</v>
      </c>
      <c r="N128" s="7">
        <f>日前电价!N128-实时电价!N128</f>
        <v>7.80500000000001</v>
      </c>
      <c r="O128" s="7">
        <f>日前电价!O128-实时电价!O128</f>
        <v>-31.0303</v>
      </c>
      <c r="P128" s="7">
        <f>日前电价!P128-实时电价!P128</f>
        <v>-164.5413</v>
      </c>
      <c r="Q128" s="7">
        <f>日前电价!Q128-实时电价!Q128</f>
        <v>-241.9498</v>
      </c>
      <c r="R128" s="7">
        <f>日前电价!R128-实时电价!R128</f>
        <v>-497.1958</v>
      </c>
      <c r="S128" s="7">
        <f>日前电价!S128-实时电价!S128</f>
        <v>-273.3111</v>
      </c>
      <c r="T128" s="7">
        <f>日前电价!T128-实时电价!T128</f>
        <v>-62.2557</v>
      </c>
      <c r="U128" s="7">
        <f>日前电价!U128-实时电价!U128</f>
        <v>-37.8705</v>
      </c>
      <c r="V128" s="7">
        <f>日前电价!V128-实时电价!V128</f>
        <v>10.0535</v>
      </c>
      <c r="W128" s="7">
        <f>日前电价!W128-实时电价!W128</f>
        <v>13.6216</v>
      </c>
      <c r="X128" s="7">
        <f>日前电价!X128-实时电价!X128</f>
        <v>17.0246</v>
      </c>
      <c r="Y128" s="7">
        <f>日前电价!Y128-实时电价!Y128</f>
        <v>2.50850000000003</v>
      </c>
      <c r="Z128" s="9">
        <f t="shared" si="3"/>
        <v>137.1462</v>
      </c>
      <c r="AA128" s="9">
        <f t="shared" si="4"/>
        <v>-497.1958</v>
      </c>
      <c r="AB128" s="9">
        <f t="shared" si="5"/>
        <v>-49.7817625</v>
      </c>
    </row>
    <row r="129" spans="1:28">
      <c r="A129" s="8">
        <v>45419</v>
      </c>
      <c r="B129" s="7">
        <f>日前电价!B129-实时电价!B129</f>
        <v>-98.7627</v>
      </c>
      <c r="C129" s="7">
        <f>日前电价!C129-实时电价!C129</f>
        <v>4.14280000000002</v>
      </c>
      <c r="D129" s="7">
        <f>日前电价!D129-实时电价!D129</f>
        <v>7.26080000000002</v>
      </c>
      <c r="E129" s="7">
        <f>日前电价!E129-实时电价!E129</f>
        <v>8.7629</v>
      </c>
      <c r="F129" s="7">
        <f>日前电价!F129-实时电价!F129</f>
        <v>11.8535</v>
      </c>
      <c r="G129" s="7">
        <f>日前电价!G129-实时电价!G129</f>
        <v>11.2076</v>
      </c>
      <c r="H129" s="7">
        <f>日前电价!H129-实时电价!H129</f>
        <v>8.0702</v>
      </c>
      <c r="I129" s="7">
        <f>日前电价!I129-实时电价!I129</f>
        <v>7.15460000000002</v>
      </c>
      <c r="J129" s="7">
        <f>日前电价!J129-实时电价!J129</f>
        <v>25.2856</v>
      </c>
      <c r="K129" s="7">
        <f>日前电价!K129-实时电价!K129</f>
        <v>37.9487</v>
      </c>
      <c r="L129" s="7">
        <f>日前电价!L129-实时电价!L129</f>
        <v>43.6789</v>
      </c>
      <c r="M129" s="7">
        <f>日前电价!M129-实时电价!M129</f>
        <v>42.0347</v>
      </c>
      <c r="N129" s="7">
        <f>日前电价!N129-实时电价!N129</f>
        <v>36.3556</v>
      </c>
      <c r="O129" s="7">
        <f>日前电价!O129-实时电价!O129</f>
        <v>39.2176</v>
      </c>
      <c r="P129" s="7">
        <f>日前电价!P129-实时电价!P129</f>
        <v>87.9351</v>
      </c>
      <c r="Q129" s="7">
        <f>日前电价!Q129-实时电价!Q129</f>
        <v>40.3043</v>
      </c>
      <c r="R129" s="7">
        <f>日前电价!R129-实时电价!R129</f>
        <v>31.2246</v>
      </c>
      <c r="S129" s="7">
        <f>日前电价!S129-实时电价!S129</f>
        <v>25.9018</v>
      </c>
      <c r="T129" s="7">
        <f>日前电价!T129-实时电价!T129</f>
        <v>25.0903</v>
      </c>
      <c r="U129" s="7">
        <f>日前电价!U129-实时电价!U129</f>
        <v>17.8392</v>
      </c>
      <c r="V129" s="7">
        <f>日前电价!V129-实时电价!V129</f>
        <v>25.0282</v>
      </c>
      <c r="W129" s="7">
        <f>日前电价!W129-实时电价!W129</f>
        <v>19.1035</v>
      </c>
      <c r="X129" s="7">
        <f>日前电价!X129-实时电价!X129</f>
        <v>6.25939999999997</v>
      </c>
      <c r="Y129" s="7">
        <f>日前电价!Y129-实时电价!Y129</f>
        <v>6.14280000000002</v>
      </c>
      <c r="Z129" s="9">
        <f t="shared" si="3"/>
        <v>87.9351</v>
      </c>
      <c r="AA129" s="9">
        <f t="shared" si="4"/>
        <v>-98.7627</v>
      </c>
      <c r="AB129" s="9">
        <f t="shared" si="5"/>
        <v>19.5433333333333</v>
      </c>
    </row>
    <row r="130" spans="1:28">
      <c r="A130" s="8">
        <v>45420</v>
      </c>
      <c r="B130" s="7">
        <f>日前电价!B130-实时电价!B130</f>
        <v>-14.428</v>
      </c>
      <c r="C130" s="7">
        <f>日前电价!C130-实时电价!C130</f>
        <v>-4.72620000000001</v>
      </c>
      <c r="D130" s="7">
        <f>日前电价!D130-实时电价!D130</f>
        <v>0.508999999999958</v>
      </c>
      <c r="E130" s="7">
        <f>日前电价!E130-实时电价!E130</f>
        <v>6.52080000000001</v>
      </c>
      <c r="F130" s="7">
        <f>日前电价!F130-实时电价!F130</f>
        <v>-0.310999999999979</v>
      </c>
      <c r="G130" s="7">
        <f>日前电价!G130-实时电价!G130</f>
        <v>4.70909999999998</v>
      </c>
      <c r="H130" s="7">
        <f>日前电价!H130-实时电价!H130</f>
        <v>-2.46549999999996</v>
      </c>
      <c r="I130" s="7">
        <f>日前电价!I130-实时电价!I130</f>
        <v>-1.46120000000002</v>
      </c>
      <c r="J130" s="7">
        <f>日前电价!J130-实时电价!J130</f>
        <v>3.5566</v>
      </c>
      <c r="K130" s="7">
        <f>日前电价!K130-实时电价!K130</f>
        <v>3.94319999999999</v>
      </c>
      <c r="L130" s="7">
        <f>日前电价!L130-实时电价!L130</f>
        <v>26.4391</v>
      </c>
      <c r="M130" s="7">
        <f>日前电价!M130-实时电价!M130</f>
        <v>23.7992</v>
      </c>
      <c r="N130" s="7">
        <f>日前电价!N130-实时电价!N130</f>
        <v>14.4363</v>
      </c>
      <c r="O130" s="7">
        <f>日前电价!O130-实时电价!O130</f>
        <v>3.64670000000001</v>
      </c>
      <c r="P130" s="7">
        <f>日前电价!P130-实时电价!P130</f>
        <v>27.9044</v>
      </c>
      <c r="Q130" s="7">
        <f>日前电价!Q130-实时电价!Q130</f>
        <v>20.2525000000001</v>
      </c>
      <c r="R130" s="7">
        <f>日前电价!R130-实时电价!R130</f>
        <v>8.56560000000002</v>
      </c>
      <c r="S130" s="7">
        <f>日前电价!S130-实时电价!S130</f>
        <v>17.6267</v>
      </c>
      <c r="T130" s="7">
        <f>日前电价!T130-实时电价!T130</f>
        <v>15.4217</v>
      </c>
      <c r="U130" s="7">
        <f>日前电价!U130-实时电价!U130</f>
        <v>12.5609</v>
      </c>
      <c r="V130" s="7">
        <f>日前电价!V130-实时电价!V130</f>
        <v>11.4401</v>
      </c>
      <c r="W130" s="7">
        <f>日前电价!W130-实时电价!W130</f>
        <v>11.2737</v>
      </c>
      <c r="X130" s="7">
        <f>日前电价!X130-实时电价!X130</f>
        <v>2.33449999999999</v>
      </c>
      <c r="Y130" s="7">
        <f>日前电价!Y130-实时电价!Y130</f>
        <v>-5.36010000000005</v>
      </c>
      <c r="Z130" s="9">
        <f t="shared" ref="Z130:Z193" si="6">MAX($B130:$Y130)</f>
        <v>27.9044</v>
      </c>
      <c r="AA130" s="9">
        <f t="shared" ref="AA130:AA193" si="7">MIN($B130:$Y130)</f>
        <v>-14.428</v>
      </c>
      <c r="AB130" s="9">
        <f t="shared" ref="AB130:AB193" si="8">AVERAGE($B130:$Y130)</f>
        <v>7.7578375</v>
      </c>
    </row>
    <row r="131" spans="1:28">
      <c r="A131" s="8">
        <v>45421</v>
      </c>
      <c r="B131" s="7">
        <f>日前电价!B131-实时电价!B131</f>
        <v>-6.06560000000002</v>
      </c>
      <c r="C131" s="7">
        <f>日前电价!C131-实时电价!C131</f>
        <v>6.07390000000004</v>
      </c>
      <c r="D131" s="7">
        <f>日前电价!D131-实时电价!D131</f>
        <v>10.0583</v>
      </c>
      <c r="E131" s="7">
        <f>日前电价!E131-实时电价!E131</f>
        <v>6.68289999999996</v>
      </c>
      <c r="F131" s="7">
        <f>日前电价!F131-实时电价!F131</f>
        <v>11.7377</v>
      </c>
      <c r="G131" s="7">
        <f>日前电价!G131-实时电价!G131</f>
        <v>8.88099999999997</v>
      </c>
      <c r="H131" s="7">
        <f>日前电价!H131-实时电价!H131</f>
        <v>3.7457</v>
      </c>
      <c r="I131" s="7">
        <f>日前电价!I131-实时电价!I131</f>
        <v>7.96100000000001</v>
      </c>
      <c r="J131" s="7">
        <f>日前电价!J131-实时电价!J131</f>
        <v>8.5224</v>
      </c>
      <c r="K131" s="7">
        <f>日前电价!K131-实时电价!K131</f>
        <v>17.2832</v>
      </c>
      <c r="L131" s="7">
        <f>日前电价!L131-实时电价!L131</f>
        <v>36.9759</v>
      </c>
      <c r="M131" s="7">
        <f>日前电价!M131-实时电价!M131</f>
        <v>36.4198</v>
      </c>
      <c r="N131" s="7">
        <f>日前电价!N131-实时电价!N131</f>
        <v>92.928</v>
      </c>
      <c r="O131" s="7">
        <f>日前电价!O131-实时电价!O131</f>
        <v>8.24760000000003</v>
      </c>
      <c r="P131" s="7">
        <f>日前电价!P131-实时电价!P131</f>
        <v>9.03029999999995</v>
      </c>
      <c r="Q131" s="7">
        <f>日前电价!Q131-实时电价!Q131</f>
        <v>11.8113</v>
      </c>
      <c r="R131" s="7">
        <f>日前电价!R131-实时电价!R131</f>
        <v>15.1213</v>
      </c>
      <c r="S131" s="7">
        <f>日前电价!S131-实时电价!S131</f>
        <v>108.9468</v>
      </c>
      <c r="T131" s="7">
        <f>日前电价!T131-实时电价!T131</f>
        <v>28.8356</v>
      </c>
      <c r="U131" s="7">
        <f>日前电价!U131-实时电价!U131</f>
        <v>25.5436</v>
      </c>
      <c r="V131" s="7">
        <f>日前电价!V131-实时电价!V131</f>
        <v>22.6316</v>
      </c>
      <c r="W131" s="7">
        <f>日前电价!W131-实时电价!W131</f>
        <v>25.2426</v>
      </c>
      <c r="X131" s="7">
        <f>日前电价!X131-实时电价!X131</f>
        <v>27.721</v>
      </c>
      <c r="Y131" s="7">
        <f>日前电价!Y131-实时电价!Y131</f>
        <v>96.4531</v>
      </c>
      <c r="Z131" s="9">
        <f t="shared" si="6"/>
        <v>108.9468</v>
      </c>
      <c r="AA131" s="9">
        <f t="shared" si="7"/>
        <v>-6.06560000000002</v>
      </c>
      <c r="AB131" s="9">
        <f t="shared" si="8"/>
        <v>25.8662083333333</v>
      </c>
    </row>
    <row r="132" spans="1:28">
      <c r="A132" s="8">
        <v>45422</v>
      </c>
      <c r="B132" s="7">
        <f>日前电价!B132-实时电价!B132</f>
        <v>11.0854</v>
      </c>
      <c r="C132" s="7">
        <f>日前电价!C132-实时电价!C132</f>
        <v>18.2421</v>
      </c>
      <c r="D132" s="7">
        <f>日前电价!D132-实时电价!D132</f>
        <v>20.2032</v>
      </c>
      <c r="E132" s="7">
        <f>日前电价!E132-实时电价!E132</f>
        <v>87.0096</v>
      </c>
      <c r="F132" s="7">
        <f>日前电价!F132-实时电价!F132</f>
        <v>303.4821</v>
      </c>
      <c r="G132" s="7">
        <f>日前电价!G132-实时电价!G132</f>
        <v>303.4264</v>
      </c>
      <c r="H132" s="7">
        <f>日前电价!H132-实时电价!H132</f>
        <v>11.7236</v>
      </c>
      <c r="I132" s="7">
        <f>日前电价!I132-实时电价!I132</f>
        <v>13.6478</v>
      </c>
      <c r="J132" s="7">
        <f>日前电价!J132-实时电价!J132</f>
        <v>19.4788</v>
      </c>
      <c r="K132" s="7">
        <f>日前电价!K132-实时电价!K132</f>
        <v>28.8229</v>
      </c>
      <c r="L132" s="7">
        <f>日前电价!L132-实时电价!L132</f>
        <v>36.7057</v>
      </c>
      <c r="M132" s="7">
        <f>日前电价!M132-实时电价!M132</f>
        <v>66.0126</v>
      </c>
      <c r="N132" s="7">
        <f>日前电价!N132-实时电价!N132</f>
        <v>178.3136</v>
      </c>
      <c r="O132" s="7">
        <f>日前电价!O132-实时电价!O132</f>
        <v>25.7877</v>
      </c>
      <c r="P132" s="7">
        <f>日前电价!P132-实时电价!P132</f>
        <v>23.1799</v>
      </c>
      <c r="Q132" s="7">
        <f>日前电价!Q132-实时电价!Q132</f>
        <v>15.5595</v>
      </c>
      <c r="R132" s="7">
        <f>日前电价!R132-实时电价!R132</f>
        <v>12.2877</v>
      </c>
      <c r="S132" s="7">
        <f>日前电价!S132-实时电价!S132</f>
        <v>111.0602</v>
      </c>
      <c r="T132" s="7">
        <f>日前电价!T132-实时电价!T132</f>
        <v>142.9254</v>
      </c>
      <c r="U132" s="7">
        <f>日前电价!U132-实时电价!U132</f>
        <v>35.8151</v>
      </c>
      <c r="V132" s="7">
        <f>日前电价!V132-实时电价!V132</f>
        <v>22.2136</v>
      </c>
      <c r="W132" s="7">
        <f>日前电价!W132-实时电价!W132</f>
        <v>19.7698</v>
      </c>
      <c r="X132" s="7">
        <f>日前电价!X132-实时电价!X132</f>
        <v>1.01330000000002</v>
      </c>
      <c r="Y132" s="7">
        <f>日前电价!Y132-实时电价!Y132</f>
        <v>-5.14800000000002</v>
      </c>
      <c r="Z132" s="9">
        <f t="shared" si="6"/>
        <v>303.4821</v>
      </c>
      <c r="AA132" s="9">
        <f t="shared" si="7"/>
        <v>-5.14800000000002</v>
      </c>
      <c r="AB132" s="9">
        <f t="shared" si="8"/>
        <v>62.6090833333334</v>
      </c>
    </row>
    <row r="133" spans="1:28">
      <c r="A133" s="8">
        <v>45423</v>
      </c>
      <c r="B133" s="7">
        <f>日前电价!B133-实时电价!B133</f>
        <v>-3.48520000000002</v>
      </c>
      <c r="C133" s="7">
        <f>日前电价!C133-实时电价!C133</f>
        <v>3.48910000000001</v>
      </c>
      <c r="D133" s="7">
        <f>日前电价!D133-实时电价!D133</f>
        <v>-0.231899999999996</v>
      </c>
      <c r="E133" s="7">
        <f>日前电价!E133-实时电价!E133</f>
        <v>-3.86869999999999</v>
      </c>
      <c r="F133" s="7">
        <f>日前电价!F133-实时电价!F133</f>
        <v>-5.7208</v>
      </c>
      <c r="G133" s="7">
        <f>日前电价!G133-实时电价!G133</f>
        <v>-8.45420000000001</v>
      </c>
      <c r="H133" s="7">
        <f>日前电价!H133-实时电价!H133</f>
        <v>0.466600000000028</v>
      </c>
      <c r="I133" s="7">
        <f>日前电价!I133-实时电价!I133</f>
        <v>-0.128100000000018</v>
      </c>
      <c r="J133" s="7">
        <f>日前电价!J133-实时电价!J133</f>
        <v>2.06360000000001</v>
      </c>
      <c r="K133" s="7">
        <f>日前电价!K133-实时电价!K133</f>
        <v>-9.50719999999995</v>
      </c>
      <c r="L133" s="7">
        <f>日前电价!L133-实时电价!L133</f>
        <v>19.426</v>
      </c>
      <c r="M133" s="7">
        <f>日前电价!M133-实时电价!M133</f>
        <v>32.8887</v>
      </c>
      <c r="N133" s="7">
        <f>日前电价!N133-实时电价!N133</f>
        <v>101.4191</v>
      </c>
      <c r="O133" s="7">
        <f>日前电价!O133-实时电价!O133</f>
        <v>18.6386</v>
      </c>
      <c r="P133" s="7">
        <f>日前电价!P133-实时电价!P133</f>
        <v>3.10239999999999</v>
      </c>
      <c r="Q133" s="7">
        <f>日前电价!Q133-实时电价!Q133</f>
        <v>-14.356</v>
      </c>
      <c r="R133" s="7">
        <f>日前电价!R133-实时电价!R133</f>
        <v>-24.562</v>
      </c>
      <c r="S133" s="7">
        <f>日前电价!S133-实时电价!S133</f>
        <v>4.1241</v>
      </c>
      <c r="T133" s="7">
        <f>日前电价!T133-实时电价!T133</f>
        <v>12.8399</v>
      </c>
      <c r="U133" s="7">
        <f>日前电价!U133-实时电价!U133</f>
        <v>6.12059999999997</v>
      </c>
      <c r="V133" s="7">
        <f>日前电价!V133-实时电价!V133</f>
        <v>2.52409999999998</v>
      </c>
      <c r="W133" s="7">
        <f>日前电价!W133-实时电价!W133</f>
        <v>7.02670000000001</v>
      </c>
      <c r="X133" s="7">
        <f>日前电价!X133-实时电价!X133</f>
        <v>-25.7849</v>
      </c>
      <c r="Y133" s="7">
        <f>日前电价!Y133-实时电价!Y133</f>
        <v>-18.6187</v>
      </c>
      <c r="Z133" s="9">
        <f t="shared" si="6"/>
        <v>101.4191</v>
      </c>
      <c r="AA133" s="9">
        <f t="shared" si="7"/>
        <v>-25.7849</v>
      </c>
      <c r="AB133" s="9">
        <f t="shared" si="8"/>
        <v>4.14215833333333</v>
      </c>
    </row>
    <row r="134" spans="1:28">
      <c r="A134" s="8">
        <v>45424</v>
      </c>
      <c r="B134" s="7">
        <f>日前电价!B134-实时电价!B134</f>
        <v>-30.7276</v>
      </c>
      <c r="C134" s="7">
        <f>日前电价!C134-实时电价!C134</f>
        <v>-0.984399999999994</v>
      </c>
      <c r="D134" s="7">
        <f>日前电价!D134-实时电价!D134</f>
        <v>5.30989999999997</v>
      </c>
      <c r="E134" s="7">
        <f>日前电价!E134-实时电价!E134</f>
        <v>0.393199999999979</v>
      </c>
      <c r="F134" s="7">
        <f>日前电价!F134-实时电价!F134</f>
        <v>-0.922599999999989</v>
      </c>
      <c r="G134" s="7">
        <f>日前电价!G134-实时电价!G134</f>
        <v>0.0373000000000161</v>
      </c>
      <c r="H134" s="7">
        <f>日前电价!H134-实时电价!H134</f>
        <v>0.230500000000006</v>
      </c>
      <c r="I134" s="7">
        <f>日前电价!I134-实时电价!I134</f>
        <v>0.975000000000023</v>
      </c>
      <c r="J134" s="7">
        <f>日前电价!J134-实时电价!J134</f>
        <v>13.7519</v>
      </c>
      <c r="K134" s="7">
        <f>日前电价!K134-实时电价!K134</f>
        <v>14.5933</v>
      </c>
      <c r="L134" s="7">
        <f>日前电价!L134-实时电价!L134</f>
        <v>20.5303</v>
      </c>
      <c r="M134" s="7">
        <f>日前电价!M134-实时电价!M134</f>
        <v>22.4404</v>
      </c>
      <c r="N134" s="7">
        <f>日前电价!N134-实时电价!N134</f>
        <v>23.532</v>
      </c>
      <c r="O134" s="7">
        <f>日前电价!O134-实时电价!O134</f>
        <v>18.191</v>
      </c>
      <c r="P134" s="7">
        <f>日前电价!P134-实时电价!P134</f>
        <v>22.6798</v>
      </c>
      <c r="Q134" s="7">
        <f>日前电价!Q134-实时电价!Q134</f>
        <v>27.776</v>
      </c>
      <c r="R134" s="7">
        <f>日前电价!R134-实时电价!R134</f>
        <v>6.36930000000001</v>
      </c>
      <c r="S134" s="7">
        <f>日前电价!S134-实时电价!S134</f>
        <v>4.84909999999996</v>
      </c>
      <c r="T134" s="7">
        <f>日前电价!T134-实时电价!T134</f>
        <v>14.5314</v>
      </c>
      <c r="U134" s="7">
        <f>日前电价!U134-实时电价!U134</f>
        <v>19.9612</v>
      </c>
      <c r="V134" s="7">
        <f>日前电价!V134-实时电价!V134</f>
        <v>15.9053</v>
      </c>
      <c r="W134" s="7">
        <f>日前电价!W134-实时电价!W134</f>
        <v>15.277</v>
      </c>
      <c r="X134" s="7">
        <f>日前电价!X134-实时电价!X134</f>
        <v>14.8717</v>
      </c>
      <c r="Y134" s="7">
        <f>日前电价!Y134-实时电价!Y134</f>
        <v>10.1916</v>
      </c>
      <c r="Z134" s="9">
        <f t="shared" si="6"/>
        <v>27.776</v>
      </c>
      <c r="AA134" s="9">
        <f t="shared" si="7"/>
        <v>-30.7276</v>
      </c>
      <c r="AB134" s="9">
        <f t="shared" si="8"/>
        <v>9.99010833333333</v>
      </c>
    </row>
    <row r="135" spans="1:28">
      <c r="A135" s="8">
        <v>45425</v>
      </c>
      <c r="B135" s="7">
        <f>日前电价!B135-实时电价!B135</f>
        <v>-0.841799999999978</v>
      </c>
      <c r="C135" s="7">
        <f>日前电价!C135-实时电价!C135</f>
        <v>8.63760000000002</v>
      </c>
      <c r="D135" s="7">
        <f>日前电价!D135-实时电价!D135</f>
        <v>13.0819</v>
      </c>
      <c r="E135" s="7">
        <f>日前电价!E135-实时电价!E135</f>
        <v>25.2475</v>
      </c>
      <c r="F135" s="7">
        <f>日前电价!F135-实时电价!F135</f>
        <v>96.7116</v>
      </c>
      <c r="G135" s="7">
        <f>日前电价!G135-实时电价!G135</f>
        <v>41.7681</v>
      </c>
      <c r="H135" s="7">
        <f>日前电价!H135-实时电价!H135</f>
        <v>5.47320000000002</v>
      </c>
      <c r="I135" s="7">
        <f>日前电价!I135-实时电价!I135</f>
        <v>8.3716</v>
      </c>
      <c r="J135" s="7">
        <f>日前电价!J135-实时电价!J135</f>
        <v>-0.720900000000029</v>
      </c>
      <c r="K135" s="7">
        <f>日前电价!K135-实时电价!K135</f>
        <v>8.435</v>
      </c>
      <c r="L135" s="7">
        <f>日前电价!L135-实时电价!L135</f>
        <v>119.5571</v>
      </c>
      <c r="M135" s="7">
        <f>日前电价!M135-实时电价!M135</f>
        <v>81.9199</v>
      </c>
      <c r="N135" s="7">
        <f>日前电价!N135-实时电价!N135</f>
        <v>248.8867</v>
      </c>
      <c r="O135" s="7">
        <f>日前电价!O135-实时电价!O135</f>
        <v>78.0768</v>
      </c>
      <c r="P135" s="7">
        <f>日前电价!P135-实时电价!P135</f>
        <v>24.3568</v>
      </c>
      <c r="Q135" s="7">
        <f>日前电价!Q135-实时电价!Q135</f>
        <v>10.3878</v>
      </c>
      <c r="R135" s="7">
        <f>日前电价!R135-实时电价!R135</f>
        <v>13.013</v>
      </c>
      <c r="S135" s="7">
        <f>日前电价!S135-实时电价!S135</f>
        <v>2.74340000000001</v>
      </c>
      <c r="T135" s="7">
        <f>日前电价!T135-实时电价!T135</f>
        <v>4.56540000000001</v>
      </c>
      <c r="U135" s="7">
        <f>日前电价!U135-实时电价!U135</f>
        <v>-0.0147000000000048</v>
      </c>
      <c r="V135" s="7">
        <f>日前电价!V135-实时电价!V135</f>
        <v>1.98559999999998</v>
      </c>
      <c r="W135" s="7">
        <f>日前电价!W135-实时电价!W135</f>
        <v>1.37709999999998</v>
      </c>
      <c r="X135" s="7">
        <f>日前电价!X135-实时电价!X135</f>
        <v>-1.93630000000002</v>
      </c>
      <c r="Y135" s="7">
        <f>日前电价!Y135-实时电价!Y135</f>
        <v>-5.30400000000003</v>
      </c>
      <c r="Z135" s="9">
        <f t="shared" si="6"/>
        <v>248.8867</v>
      </c>
      <c r="AA135" s="9">
        <f t="shared" si="7"/>
        <v>-5.30400000000003</v>
      </c>
      <c r="AB135" s="9">
        <f t="shared" si="8"/>
        <v>32.7407666666667</v>
      </c>
    </row>
    <row r="136" spans="1:28">
      <c r="A136" s="8">
        <v>45426</v>
      </c>
      <c r="B136" s="7">
        <f>日前电价!B136-实时电价!B136</f>
        <v>-80.9057</v>
      </c>
      <c r="C136" s="7">
        <f>日前电价!C136-实时电价!C136</f>
        <v>4.10310000000004</v>
      </c>
      <c r="D136" s="7">
        <f>日前电价!D136-实时电价!D136</f>
        <v>-7.52080000000001</v>
      </c>
      <c r="E136" s="7">
        <f>日前电价!E136-实时电价!E136</f>
        <v>-14.237</v>
      </c>
      <c r="F136" s="7">
        <f>日前电价!F136-实时电价!F136</f>
        <v>-101.2222</v>
      </c>
      <c r="G136" s="7">
        <f>日前电价!G136-实时电价!G136</f>
        <v>45.4668</v>
      </c>
      <c r="H136" s="7">
        <f>日前电价!H136-实时电价!H136</f>
        <v>-1.14409999999998</v>
      </c>
      <c r="I136" s="7">
        <f>日前电价!I136-实时电价!I136</f>
        <v>5.02670000000001</v>
      </c>
      <c r="J136" s="7">
        <f>日前电价!J136-实时电价!J136</f>
        <v>4.25260000000003</v>
      </c>
      <c r="K136" s="7">
        <f>日前电价!K136-实时电价!K136</f>
        <v>168.8259</v>
      </c>
      <c r="L136" s="7">
        <f>日前电价!L136-实时电价!L136</f>
        <v>294.6743</v>
      </c>
      <c r="M136" s="7">
        <f>日前电价!M136-实时电价!M136</f>
        <v>179.1175</v>
      </c>
      <c r="N136" s="7">
        <f>日前电价!N136-实时电价!N136</f>
        <v>225.0275</v>
      </c>
      <c r="O136" s="7">
        <f>日前电价!O136-实时电价!O136</f>
        <v>266.8232</v>
      </c>
      <c r="P136" s="7">
        <f>日前电价!P136-实时电价!P136</f>
        <v>316.0621</v>
      </c>
      <c r="Q136" s="7">
        <f>日前电价!Q136-实时电价!Q136</f>
        <v>203.351</v>
      </c>
      <c r="R136" s="7">
        <f>日前电价!R136-实时电价!R136</f>
        <v>32.3954</v>
      </c>
      <c r="S136" s="7">
        <f>日前电价!S136-实时电价!S136</f>
        <v>11.2157</v>
      </c>
      <c r="T136" s="7">
        <f>日前电价!T136-实时电价!T136</f>
        <v>4.54450000000003</v>
      </c>
      <c r="U136" s="7">
        <f>日前电价!U136-实时电价!U136</f>
        <v>6.99289999999996</v>
      </c>
      <c r="V136" s="7">
        <f>日前电价!V136-实时电价!V136</f>
        <v>7.69960000000003</v>
      </c>
      <c r="W136" s="7">
        <f>日前电价!W136-实时电价!W136</f>
        <v>5.5419</v>
      </c>
      <c r="X136" s="7">
        <f>日前电价!X136-实时电价!X136</f>
        <v>3.10649999999998</v>
      </c>
      <c r="Y136" s="7">
        <f>日前电价!Y136-实时电价!Y136</f>
        <v>-6.51089999999999</v>
      </c>
      <c r="Z136" s="9">
        <f t="shared" si="6"/>
        <v>316.0621</v>
      </c>
      <c r="AA136" s="9">
        <f t="shared" si="7"/>
        <v>-101.2222</v>
      </c>
      <c r="AB136" s="9">
        <f t="shared" si="8"/>
        <v>65.5286041666667</v>
      </c>
    </row>
    <row r="137" spans="1:28">
      <c r="A137" s="8">
        <v>45427</v>
      </c>
      <c r="B137" s="7">
        <f>日前电价!B137-实时电价!B137</f>
        <v>-6.32159999999999</v>
      </c>
      <c r="C137" s="7">
        <f>日前电价!C137-实时电价!C137</f>
        <v>-6.1925</v>
      </c>
      <c r="D137" s="7">
        <f>日前电价!D137-实时电价!D137</f>
        <v>-3.07510000000002</v>
      </c>
      <c r="E137" s="7">
        <f>日前电价!E137-实时电价!E137</f>
        <v>2.8775</v>
      </c>
      <c r="F137" s="7">
        <f>日前电价!F137-实时电价!F137</f>
        <v>-13.715</v>
      </c>
      <c r="G137" s="7">
        <f>日前电价!G137-实时电价!G137</f>
        <v>-20.105</v>
      </c>
      <c r="H137" s="7">
        <f>日前电价!H137-实时电价!H137</f>
        <v>-11.444</v>
      </c>
      <c r="I137" s="7">
        <f>日前电价!I137-实时电价!I137</f>
        <v>-10.9651</v>
      </c>
      <c r="J137" s="7">
        <f>日前电价!J137-实时电价!J137</f>
        <v>1.39970000000005</v>
      </c>
      <c r="K137" s="7">
        <f>日前电价!K137-实时电价!K137</f>
        <v>14.5576</v>
      </c>
      <c r="L137" s="7">
        <f>日前电价!L137-实时电价!L137</f>
        <v>207.6731</v>
      </c>
      <c r="M137" s="7">
        <f>日前电价!M137-实时电价!M137</f>
        <v>186.6821</v>
      </c>
      <c r="N137" s="7">
        <f>日前电价!N137-实时电价!N137</f>
        <v>115.3711</v>
      </c>
      <c r="O137" s="7">
        <f>日前电价!O137-实时电价!O137</f>
        <v>82.3011</v>
      </c>
      <c r="P137" s="7">
        <f>日前电价!P137-实时电价!P137</f>
        <v>30.3823</v>
      </c>
      <c r="Q137" s="7">
        <f>日前电价!Q137-实时电价!Q137</f>
        <v>-3.72460000000001</v>
      </c>
      <c r="R137" s="7">
        <f>日前电价!R137-实时电价!R137</f>
        <v>-11.0148</v>
      </c>
      <c r="S137" s="7">
        <f>日前电价!S137-实时电价!S137</f>
        <v>-13.8312</v>
      </c>
      <c r="T137" s="7">
        <f>日前电价!T137-实时电价!T137</f>
        <v>-4.23480000000001</v>
      </c>
      <c r="U137" s="7">
        <f>日前电价!U137-实时电价!U137</f>
        <v>5.8168</v>
      </c>
      <c r="V137" s="7">
        <f>日前电价!V137-实时电价!V137</f>
        <v>0.148599999999988</v>
      </c>
      <c r="W137" s="7">
        <f>日前电价!W137-实时电价!W137</f>
        <v>0.32770000000005</v>
      </c>
      <c r="X137" s="7">
        <f>日前电价!X137-实时电价!X137</f>
        <v>-1.47999999999996</v>
      </c>
      <c r="Y137" s="7">
        <f>日前电价!Y137-实时电价!Y137</f>
        <v>-8.47580000000005</v>
      </c>
      <c r="Z137" s="9">
        <f t="shared" si="6"/>
        <v>207.6731</v>
      </c>
      <c r="AA137" s="9">
        <f t="shared" si="7"/>
        <v>-20.105</v>
      </c>
      <c r="AB137" s="9">
        <f t="shared" si="8"/>
        <v>22.2065875</v>
      </c>
    </row>
    <row r="138" spans="1:28">
      <c r="A138" s="8">
        <v>45428</v>
      </c>
      <c r="B138" s="7">
        <f>日前电价!B138-实时电价!B138</f>
        <v>-5.05549999999999</v>
      </c>
      <c r="C138" s="7">
        <f>日前电价!C138-实时电价!C138</f>
        <v>-5.23090000000002</v>
      </c>
      <c r="D138" s="7">
        <f>日前电价!D138-实时电价!D138</f>
        <v>-4.2081</v>
      </c>
      <c r="E138" s="7">
        <f>日前电价!E138-实时电价!E138</f>
        <v>0.569699999999955</v>
      </c>
      <c r="F138" s="7">
        <f>日前电价!F138-实时电价!F138</f>
        <v>25.8034</v>
      </c>
      <c r="G138" s="7">
        <f>日前电价!G138-实时电价!G138</f>
        <v>175.9342</v>
      </c>
      <c r="H138" s="7">
        <f>日前电价!H138-实时电价!H138</f>
        <v>72.375</v>
      </c>
      <c r="I138" s="7">
        <f>日前电价!I138-实时电价!I138</f>
        <v>92.3622</v>
      </c>
      <c r="J138" s="7">
        <f>日前电价!J138-实时电价!J138</f>
        <v>78.8839</v>
      </c>
      <c r="K138" s="7">
        <f>日前电价!K138-实时电价!K138</f>
        <v>123.5457</v>
      </c>
      <c r="L138" s="7">
        <f>日前电价!L138-实时电价!L138</f>
        <v>261.2758</v>
      </c>
      <c r="M138" s="7">
        <f>日前电价!M138-实时电价!M138</f>
        <v>115.2948</v>
      </c>
      <c r="N138" s="7">
        <f>日前电价!N138-实时电价!N138</f>
        <v>-20.5475</v>
      </c>
      <c r="O138" s="7">
        <f>日前电价!O138-实时电价!O138</f>
        <v>-43.1317</v>
      </c>
      <c r="P138" s="7">
        <f>日前电价!P138-实时电价!P138</f>
        <v>79.6732</v>
      </c>
      <c r="Q138" s="7">
        <f>日前电价!Q138-实时电价!Q138</f>
        <v>45.8694</v>
      </c>
      <c r="R138" s="7">
        <f>日前电价!R138-实时电价!R138</f>
        <v>114.4276</v>
      </c>
      <c r="S138" s="7">
        <f>日前电价!S138-实时电价!S138</f>
        <v>121.4973</v>
      </c>
      <c r="T138" s="7">
        <f>日前电价!T138-实时电价!T138</f>
        <v>198.5151</v>
      </c>
      <c r="U138" s="7">
        <f>日前电价!U138-实时电价!U138</f>
        <v>15.1786</v>
      </c>
      <c r="V138" s="7">
        <f>日前电价!V138-实时电价!V138</f>
        <v>15.4338</v>
      </c>
      <c r="W138" s="7">
        <f>日前电价!W138-实时电价!W138</f>
        <v>11.4512</v>
      </c>
      <c r="X138" s="7">
        <f>日前电价!X138-实时电价!X138</f>
        <v>5.63280000000003</v>
      </c>
      <c r="Y138" s="7">
        <f>日前电价!Y138-实时电价!Y138</f>
        <v>-2.6232</v>
      </c>
      <c r="Z138" s="9">
        <f t="shared" si="6"/>
        <v>261.2758</v>
      </c>
      <c r="AA138" s="9">
        <f t="shared" si="7"/>
        <v>-43.1317</v>
      </c>
      <c r="AB138" s="9">
        <f t="shared" si="8"/>
        <v>61.37195</v>
      </c>
    </row>
    <row r="139" spans="1:28">
      <c r="A139" s="8">
        <v>45429</v>
      </c>
      <c r="B139" s="7">
        <f>日前电价!B139-实时电价!B139</f>
        <v>-1.48609999999996</v>
      </c>
      <c r="C139" s="7">
        <f>日前电价!C139-实时电价!C139</f>
        <v>2.899</v>
      </c>
      <c r="D139" s="7">
        <f>日前电价!D139-实时电价!D139</f>
        <v>7.88350000000003</v>
      </c>
      <c r="E139" s="7">
        <f>日前电价!E139-实时电价!E139</f>
        <v>4.88100000000003</v>
      </c>
      <c r="F139" s="7">
        <f>日前电价!F139-实时电价!F139</f>
        <v>112.9884</v>
      </c>
      <c r="G139" s="7">
        <f>日前电价!G139-实时电价!G139</f>
        <v>47.75</v>
      </c>
      <c r="H139" s="7">
        <f>日前电价!H139-实时电价!H139</f>
        <v>0.0102999999999724</v>
      </c>
      <c r="I139" s="7">
        <f>日前电价!I139-实时电价!I139</f>
        <v>11.6125</v>
      </c>
      <c r="J139" s="7">
        <f>日前电价!J139-实时电价!J139</f>
        <v>1.09289999999999</v>
      </c>
      <c r="K139" s="7">
        <f>日前电价!K139-实时电价!K139</f>
        <v>6.7996</v>
      </c>
      <c r="L139" s="7">
        <f>日前电价!L139-实时电价!L139</f>
        <v>30.9903</v>
      </c>
      <c r="M139" s="7">
        <f>日前电价!M139-实时电价!M139</f>
        <v>8.35829999999999</v>
      </c>
      <c r="N139" s="7">
        <f>日前电价!N139-实时电价!N139</f>
        <v>69.6432</v>
      </c>
      <c r="O139" s="7">
        <f>日前电价!O139-实时电价!O139</f>
        <v>-42.2881</v>
      </c>
      <c r="P139" s="7">
        <f>日前电价!P139-实时电价!P139</f>
        <v>-23.5181</v>
      </c>
      <c r="Q139" s="7">
        <f>日前电价!Q139-实时电价!Q139</f>
        <v>-7.35660000000001</v>
      </c>
      <c r="R139" s="7">
        <f>日前电价!R139-实时电价!R139</f>
        <v>1.41890000000001</v>
      </c>
      <c r="S139" s="7">
        <f>日前电价!S139-实时电价!S139</f>
        <v>7.70640000000003</v>
      </c>
      <c r="T139" s="7">
        <f>日前电价!T139-实时电价!T139</f>
        <v>1.78620000000001</v>
      </c>
      <c r="U139" s="7">
        <f>日前电价!U139-实时电价!U139</f>
        <v>2.5462</v>
      </c>
      <c r="V139" s="7">
        <f>日前电价!V139-实时电价!V139</f>
        <v>-2.61689999999999</v>
      </c>
      <c r="W139" s="7">
        <f>日前电价!W139-实时电价!W139</f>
        <v>0.632800000000032</v>
      </c>
      <c r="X139" s="7">
        <f>日前电价!X139-实时电价!X139</f>
        <v>-0.259099999999989</v>
      </c>
      <c r="Y139" s="7">
        <f>日前电价!Y139-实时电价!Y139</f>
        <v>-8.85399999999998</v>
      </c>
      <c r="Z139" s="9">
        <f t="shared" si="6"/>
        <v>112.9884</v>
      </c>
      <c r="AA139" s="9">
        <f t="shared" si="7"/>
        <v>-42.2881</v>
      </c>
      <c r="AB139" s="9">
        <f t="shared" si="8"/>
        <v>9.69252500000001</v>
      </c>
    </row>
    <row r="140" spans="1:28">
      <c r="A140" s="8">
        <v>45430</v>
      </c>
      <c r="B140" s="7">
        <f>日前电价!B140-实时电价!B140</f>
        <v>-15.25</v>
      </c>
      <c r="C140" s="7">
        <f>日前电价!C140-实时电价!C140</f>
        <v>-1.70740000000001</v>
      </c>
      <c r="D140" s="7">
        <f>日前电价!D140-实时电价!D140</f>
        <v>-1.89359999999999</v>
      </c>
      <c r="E140" s="7">
        <f>日前电价!E140-实时电价!E140</f>
        <v>-0.932300000000055</v>
      </c>
      <c r="F140" s="7">
        <f>日前电价!F140-实时电价!F140</f>
        <v>-1.28250000000003</v>
      </c>
      <c r="G140" s="7">
        <f>日前电价!G140-实时电价!G140</f>
        <v>-7.90750000000003</v>
      </c>
      <c r="H140" s="7">
        <f>日前电价!H140-实时电价!H140</f>
        <v>-2.97309999999999</v>
      </c>
      <c r="I140" s="7">
        <f>日前电价!I140-实时电价!I140</f>
        <v>-10.9004</v>
      </c>
      <c r="J140" s="7">
        <f>日前电价!J140-实时电价!J140</f>
        <v>-4.98590000000002</v>
      </c>
      <c r="K140" s="7">
        <f>日前电价!K140-实时电价!K140</f>
        <v>1.26510000000002</v>
      </c>
      <c r="L140" s="7">
        <f>日前电价!L140-实时电价!L140</f>
        <v>-1.06990000000002</v>
      </c>
      <c r="M140" s="7">
        <f>日前电价!M140-实时电价!M140</f>
        <v>0.885999999999967</v>
      </c>
      <c r="N140" s="7">
        <f>日前电价!N140-实时电价!N140</f>
        <v>79.9351</v>
      </c>
      <c r="O140" s="7">
        <f>日前电价!O140-实时电价!O140</f>
        <v>-15.5663</v>
      </c>
      <c r="P140" s="7">
        <f>日前电价!P140-实时电价!P140</f>
        <v>-90.7471</v>
      </c>
      <c r="Q140" s="7">
        <f>日前电价!Q140-实时电价!Q140</f>
        <v>-0.044900000000041</v>
      </c>
      <c r="R140" s="7">
        <f>日前电价!R140-实时电价!R140</f>
        <v>-12.5271</v>
      </c>
      <c r="S140" s="7">
        <f>日前电价!S140-实时电价!S140</f>
        <v>127.4266</v>
      </c>
      <c r="T140" s="7">
        <f>日前电价!T140-实时电价!T140</f>
        <v>158.7486</v>
      </c>
      <c r="U140" s="7">
        <f>日前电价!U140-实时电价!U140</f>
        <v>66.5454</v>
      </c>
      <c r="V140" s="7">
        <f>日前电价!V140-实时电价!V140</f>
        <v>7.56759999999997</v>
      </c>
      <c r="W140" s="7">
        <f>日前电价!W140-实时电价!W140</f>
        <v>25.8202</v>
      </c>
      <c r="X140" s="7">
        <f>日前电价!X140-实时电价!X140</f>
        <v>54.9238</v>
      </c>
      <c r="Y140" s="7">
        <f>日前电价!Y140-实时电价!Y140</f>
        <v>30.988</v>
      </c>
      <c r="Z140" s="9">
        <f t="shared" si="6"/>
        <v>158.7486</v>
      </c>
      <c r="AA140" s="9">
        <f t="shared" si="7"/>
        <v>-90.7471</v>
      </c>
      <c r="AB140" s="9">
        <f t="shared" si="8"/>
        <v>16.0966</v>
      </c>
    </row>
    <row r="141" spans="1:28">
      <c r="A141" s="8">
        <v>45431</v>
      </c>
      <c r="B141" s="7">
        <f>日前电价!B141-实时电价!B141</f>
        <v>2.93539999999996</v>
      </c>
      <c r="C141" s="7">
        <f>日前电价!C141-实时电价!C141</f>
        <v>22.2384</v>
      </c>
      <c r="D141" s="7">
        <f>日前电价!D141-实时电价!D141</f>
        <v>34.5953</v>
      </c>
      <c r="E141" s="7">
        <f>日前电价!E141-实时电价!E141</f>
        <v>101.8788</v>
      </c>
      <c r="F141" s="7">
        <f>日前电价!F141-实时电价!F141</f>
        <v>170.3025</v>
      </c>
      <c r="G141" s="7">
        <f>日前电价!G141-实时电价!G141</f>
        <v>236.1325</v>
      </c>
      <c r="H141" s="7">
        <f>日前电价!H141-实时电价!H141</f>
        <v>94.775</v>
      </c>
      <c r="I141" s="7">
        <f>日前电价!I141-实时电价!I141</f>
        <v>166.3825</v>
      </c>
      <c r="J141" s="7">
        <f>日前电价!J141-实时电价!J141</f>
        <v>225.4571</v>
      </c>
      <c r="K141" s="7">
        <f>日前电价!K141-实时电价!K141</f>
        <v>298.5344</v>
      </c>
      <c r="L141" s="7">
        <f>日前电价!L141-实时电价!L141</f>
        <v>298.2138</v>
      </c>
      <c r="M141" s="7">
        <f>日前电价!M141-实时电价!M141</f>
        <v>229.9674</v>
      </c>
      <c r="N141" s="7">
        <f>日前电价!N141-实时电价!N141</f>
        <v>82.9687</v>
      </c>
      <c r="O141" s="7">
        <f>日前电价!O141-实时电价!O141</f>
        <v>14.82</v>
      </c>
      <c r="P141" s="7">
        <f>日前电价!P141-实时电价!P141</f>
        <v>22.7203</v>
      </c>
      <c r="Q141" s="7">
        <f>日前电价!Q141-实时电价!Q141</f>
        <v>154.8994</v>
      </c>
      <c r="R141" s="7">
        <f>日前电价!R141-实时电价!R141</f>
        <v>297.9427</v>
      </c>
      <c r="S141" s="7">
        <f>日前电价!S141-实时电价!S141</f>
        <v>303.695</v>
      </c>
      <c r="T141" s="7">
        <f>日前电价!T141-实时电价!T141</f>
        <v>302.695</v>
      </c>
      <c r="U141" s="7">
        <f>日前电价!U141-实时电价!U141</f>
        <v>246.4712</v>
      </c>
      <c r="V141" s="7">
        <f>日前电价!V141-实时电价!V141</f>
        <v>244.4482</v>
      </c>
      <c r="W141" s="7">
        <f>日前电价!W141-实时电价!W141</f>
        <v>115.5599</v>
      </c>
      <c r="X141" s="7">
        <f>日前电价!X141-实时电价!X141</f>
        <v>77.7446</v>
      </c>
      <c r="Y141" s="7">
        <f>日前电价!Y141-实时电价!Y141</f>
        <v>28.6016</v>
      </c>
      <c r="Z141" s="9">
        <f t="shared" si="6"/>
        <v>303.695</v>
      </c>
      <c r="AA141" s="9">
        <f t="shared" si="7"/>
        <v>2.93539999999996</v>
      </c>
      <c r="AB141" s="9">
        <f t="shared" si="8"/>
        <v>157.249154166667</v>
      </c>
    </row>
    <row r="142" spans="1:28">
      <c r="A142" s="8">
        <v>45432</v>
      </c>
      <c r="B142" s="7">
        <f>日前电价!B142-实时电价!B142</f>
        <v>-79.0058</v>
      </c>
      <c r="C142" s="7">
        <f>日前电价!C142-实时电价!C142</f>
        <v>3.51100000000002</v>
      </c>
      <c r="D142" s="7">
        <f>日前电价!D142-实时电价!D142</f>
        <v>223.9443</v>
      </c>
      <c r="E142" s="7">
        <f>日前电价!E142-实时电价!E142</f>
        <v>68.2081</v>
      </c>
      <c r="F142" s="7">
        <f>日前电价!F142-实时电价!F142</f>
        <v>0</v>
      </c>
      <c r="G142" s="7">
        <f>日前电价!G142-实时电价!G142</f>
        <v>0</v>
      </c>
      <c r="H142" s="7">
        <f>日前电价!H142-实时电价!H142</f>
        <v>-9.85999999999999</v>
      </c>
      <c r="I142" s="7">
        <f>日前电价!I142-实时电价!I142</f>
        <v>-8.98239999999998</v>
      </c>
      <c r="J142" s="7">
        <f>日前电价!J142-实时电价!J142</f>
        <v>1.03309999999999</v>
      </c>
      <c r="K142" s="7">
        <f>日前电价!K142-实时电价!K142</f>
        <v>-0.858000000000004</v>
      </c>
      <c r="L142" s="7">
        <f>日前电价!L142-实时电价!L142</f>
        <v>2.15810000000005</v>
      </c>
      <c r="M142" s="7">
        <f>日前电价!M142-实时电价!M142</f>
        <v>7.65870000000001</v>
      </c>
      <c r="N142" s="7">
        <f>日前电价!N142-实时电价!N142</f>
        <v>82.6158</v>
      </c>
      <c r="O142" s="7">
        <f>日前电价!O142-实时电价!O142</f>
        <v>-9.57220000000001</v>
      </c>
      <c r="P142" s="7">
        <f>日前电价!P142-实时电价!P142</f>
        <v>-5.36529999999999</v>
      </c>
      <c r="Q142" s="7">
        <f>日前电价!Q142-实时电价!Q142</f>
        <v>1.08299999999997</v>
      </c>
      <c r="R142" s="7">
        <f>日前电价!R142-实时电价!R142</f>
        <v>4.57420000000002</v>
      </c>
      <c r="S142" s="7">
        <f>日前电价!S142-实时电价!S142</f>
        <v>17.0713</v>
      </c>
      <c r="T142" s="7">
        <f>日前电价!T142-实时电价!T142</f>
        <v>26.0556</v>
      </c>
      <c r="U142" s="7">
        <f>日前电价!U142-实时电价!U142</f>
        <v>23.1525</v>
      </c>
      <c r="V142" s="7">
        <f>日前电价!V142-实时电价!V142</f>
        <v>25.3687</v>
      </c>
      <c r="W142" s="7">
        <f>日前电价!W142-实时电价!W142</f>
        <v>26.3215</v>
      </c>
      <c r="X142" s="7">
        <f>日前电价!X142-实时电价!X142</f>
        <v>164.8804</v>
      </c>
      <c r="Y142" s="7">
        <f>日前电价!Y142-实时电价!Y142</f>
        <v>224.4956</v>
      </c>
      <c r="Z142" s="9">
        <f t="shared" si="6"/>
        <v>224.4956</v>
      </c>
      <c r="AA142" s="9">
        <f t="shared" si="7"/>
        <v>-79.0058</v>
      </c>
      <c r="AB142" s="9">
        <f t="shared" si="8"/>
        <v>32.853675</v>
      </c>
    </row>
    <row r="143" spans="1:28">
      <c r="A143" s="8">
        <v>45433</v>
      </c>
      <c r="B143" s="7">
        <f>日前电价!B143-实时电价!B143</f>
        <v>78.7518</v>
      </c>
      <c r="C143" s="7">
        <f>日前电价!C143-实时电价!C143</f>
        <v>15.044</v>
      </c>
      <c r="D143" s="7">
        <f>日前电价!D143-实时电价!D143</f>
        <v>15.1281</v>
      </c>
      <c r="E143" s="7">
        <f>日前电价!E143-实时电价!E143</f>
        <v>77.3111</v>
      </c>
      <c r="F143" s="7">
        <f>日前电价!F143-实时电价!F143</f>
        <v>-23.8765</v>
      </c>
      <c r="G143" s="7">
        <f>日前电价!G143-实时电价!G143</f>
        <v>-158.074</v>
      </c>
      <c r="H143" s="7">
        <f>日前电价!H143-实时电价!H143</f>
        <v>-16.1767</v>
      </c>
      <c r="I143" s="7">
        <f>日前电价!I143-实时电价!I143</f>
        <v>-12.4696</v>
      </c>
      <c r="J143" s="7">
        <f>日前电价!J143-实时电价!J143</f>
        <v>-0.516399999999976</v>
      </c>
      <c r="K143" s="7">
        <f>日前电价!K143-实时电价!K143</f>
        <v>15.9615</v>
      </c>
      <c r="L143" s="7">
        <f>日前电价!L143-实时电价!L143</f>
        <v>16.6574</v>
      </c>
      <c r="M143" s="7">
        <f>日前电价!M143-实时电价!M143</f>
        <v>16.3879</v>
      </c>
      <c r="N143" s="7">
        <f>日前电价!N143-实时电价!N143</f>
        <v>79.5074</v>
      </c>
      <c r="O143" s="7">
        <f>日前电价!O143-实时电价!O143</f>
        <v>-0.174699999999973</v>
      </c>
      <c r="P143" s="7">
        <f>日前电价!P143-实时电价!P143</f>
        <v>-1.29359999999997</v>
      </c>
      <c r="Q143" s="7">
        <f>日前电价!Q143-实时电价!Q143</f>
        <v>3.86170000000004</v>
      </c>
      <c r="R143" s="7">
        <f>日前电价!R143-实时电价!R143</f>
        <v>-1.28920000000005</v>
      </c>
      <c r="S143" s="7">
        <f>日前电价!S143-实时电价!S143</f>
        <v>25.7915</v>
      </c>
      <c r="T143" s="7">
        <f>日前电价!T143-实时电价!T143</f>
        <v>17.9477</v>
      </c>
      <c r="U143" s="7">
        <f>日前电价!U143-实时电价!U143</f>
        <v>9.46080000000001</v>
      </c>
      <c r="V143" s="7">
        <f>日前电价!V143-实时电价!V143</f>
        <v>12.0248</v>
      </c>
      <c r="W143" s="7">
        <f>日前电价!W143-实时电价!W143</f>
        <v>6.89830000000001</v>
      </c>
      <c r="X143" s="7">
        <f>日前电价!X143-实时电价!X143</f>
        <v>9.88240000000002</v>
      </c>
      <c r="Y143" s="7">
        <f>日前电价!Y143-实时电价!Y143</f>
        <v>-35.3729</v>
      </c>
      <c r="Z143" s="9">
        <f t="shared" si="6"/>
        <v>79.5074</v>
      </c>
      <c r="AA143" s="9">
        <f t="shared" si="7"/>
        <v>-158.074</v>
      </c>
      <c r="AB143" s="9">
        <f t="shared" si="8"/>
        <v>6.3072</v>
      </c>
    </row>
    <row r="144" spans="1:28">
      <c r="A144" s="8">
        <v>45434</v>
      </c>
      <c r="B144" s="7">
        <f>日前电价!B144-实时电价!B144</f>
        <v>-41.9511</v>
      </c>
      <c r="C144" s="7">
        <f>日前电价!C144-实时电价!C144</f>
        <v>-12.5</v>
      </c>
      <c r="D144" s="7">
        <f>日前电价!D144-实时电价!D144</f>
        <v>0.0507000000000062</v>
      </c>
      <c r="E144" s="7">
        <f>日前电价!E144-实时电价!E144</f>
        <v>79.3178</v>
      </c>
      <c r="F144" s="7">
        <f>日前电价!F144-实时电价!F144</f>
        <v>213.8124</v>
      </c>
      <c r="G144" s="7">
        <f>日前电价!G144-实时电价!G144</f>
        <v>205.2803</v>
      </c>
      <c r="H144" s="7">
        <f>日前电价!H144-实时电价!H144</f>
        <v>1.46839999999997</v>
      </c>
      <c r="I144" s="7">
        <f>日前电价!I144-实时电价!I144</f>
        <v>-2.23490000000004</v>
      </c>
      <c r="J144" s="7">
        <f>日前电价!J144-实时电价!J144</f>
        <v>2.01929999999999</v>
      </c>
      <c r="K144" s="7">
        <f>日前电价!K144-实时电价!K144</f>
        <v>4.15979999999996</v>
      </c>
      <c r="L144" s="7">
        <f>日前电价!L144-实时电价!L144</f>
        <v>24.7146</v>
      </c>
      <c r="M144" s="7">
        <f>日前电价!M144-实时电价!M144</f>
        <v>20.472</v>
      </c>
      <c r="N144" s="7">
        <f>日前电价!N144-实时电价!N144</f>
        <v>87.3709</v>
      </c>
      <c r="O144" s="7">
        <f>日前电价!O144-实时电价!O144</f>
        <v>16.6007</v>
      </c>
      <c r="P144" s="7">
        <f>日前电价!P144-实时电价!P144</f>
        <v>6.6456</v>
      </c>
      <c r="Q144" s="7">
        <f>日前电价!Q144-实时电价!Q144</f>
        <v>-11.9189</v>
      </c>
      <c r="R144" s="7">
        <f>日前电价!R144-实时电价!R144</f>
        <v>-3.95940000000002</v>
      </c>
      <c r="S144" s="7">
        <f>日前电价!S144-实时电价!S144</f>
        <v>3.9171</v>
      </c>
      <c r="T144" s="7">
        <f>日前电价!T144-实时电价!T144</f>
        <v>2.30770000000001</v>
      </c>
      <c r="U144" s="7">
        <f>日前电价!U144-实时电价!U144</f>
        <v>-14.6177</v>
      </c>
      <c r="V144" s="7">
        <f>日前电价!V144-实时电价!V144</f>
        <v>-5.2715</v>
      </c>
      <c r="W144" s="7">
        <f>日前电价!W144-实时电价!W144</f>
        <v>0.31389999999999</v>
      </c>
      <c r="X144" s="7">
        <f>日前电价!X144-实时电价!X144</f>
        <v>-2.90640000000002</v>
      </c>
      <c r="Y144" s="7">
        <f>日前电价!Y144-实时电价!Y144</f>
        <v>-6.9658</v>
      </c>
      <c r="Z144" s="9">
        <f t="shared" si="6"/>
        <v>213.8124</v>
      </c>
      <c r="AA144" s="9">
        <f t="shared" si="7"/>
        <v>-41.9511</v>
      </c>
      <c r="AB144" s="9">
        <f t="shared" si="8"/>
        <v>23.5885625</v>
      </c>
    </row>
    <row r="145" spans="1:28">
      <c r="A145" s="8">
        <v>45435</v>
      </c>
      <c r="B145" s="7">
        <f>日前电价!B145-实时电价!B145</f>
        <v>-18.4851</v>
      </c>
      <c r="C145" s="7">
        <f>日前电价!C145-实时电价!C145</f>
        <v>-13.7398</v>
      </c>
      <c r="D145" s="7">
        <f>日前电价!D145-实时电价!D145</f>
        <v>-10.7474</v>
      </c>
      <c r="E145" s="7">
        <f>日前电价!E145-实时电价!E145</f>
        <v>-15.0229</v>
      </c>
      <c r="F145" s="7">
        <f>日前电价!F145-实时电价!F145</f>
        <v>-96.3234</v>
      </c>
      <c r="G145" s="7">
        <f>日前电价!G145-实时电价!G145</f>
        <v>-149.7747</v>
      </c>
      <c r="H145" s="7">
        <f>日前电价!H145-实时电价!H145</f>
        <v>-17.0915</v>
      </c>
      <c r="I145" s="7">
        <f>日前电价!I145-实时电价!I145</f>
        <v>-11.6823</v>
      </c>
      <c r="J145" s="7">
        <f>日前电价!J145-实时电价!J145</f>
        <v>-14.2241</v>
      </c>
      <c r="K145" s="7">
        <f>日前电价!K145-实时电价!K145</f>
        <v>-16.1979</v>
      </c>
      <c r="L145" s="7">
        <f>日前电价!L145-实时电价!L145</f>
        <v>1.21929999999998</v>
      </c>
      <c r="M145" s="7">
        <f>日前电价!M145-实时电价!M145</f>
        <v>15.0925</v>
      </c>
      <c r="N145" s="7">
        <f>日前电价!N145-实时电价!N145</f>
        <v>79.0442</v>
      </c>
      <c r="O145" s="7">
        <f>日前电价!O145-实时电价!O145</f>
        <v>0.944200000000023</v>
      </c>
      <c r="P145" s="7">
        <f>日前电价!P145-实时电价!P145</f>
        <v>8.48360000000002</v>
      </c>
      <c r="Q145" s="7">
        <f>日前电价!Q145-实时电价!Q145</f>
        <v>-1.70870000000002</v>
      </c>
      <c r="R145" s="7">
        <f>日前电价!R145-实时电价!R145</f>
        <v>2.1497</v>
      </c>
      <c r="S145" s="7">
        <f>日前电价!S145-实时电价!S145</f>
        <v>0.638199999999983</v>
      </c>
      <c r="T145" s="7">
        <f>日前电价!T145-实时电价!T145</f>
        <v>5.77170000000001</v>
      </c>
      <c r="U145" s="7">
        <f>日前电价!U145-实时电价!U145</f>
        <v>3.82460000000003</v>
      </c>
      <c r="V145" s="7">
        <f>日前电价!V145-实时电价!V145</f>
        <v>-1.90370000000001</v>
      </c>
      <c r="W145" s="7">
        <f>日前电价!W145-实时电价!W145</f>
        <v>0.0545000000000186</v>
      </c>
      <c r="X145" s="7">
        <f>日前电价!X145-实时电价!X145</f>
        <v>4.83080000000001</v>
      </c>
      <c r="Y145" s="7">
        <f>日前电价!Y145-实时电价!Y145</f>
        <v>-8.11070000000001</v>
      </c>
      <c r="Z145" s="9">
        <f t="shared" si="6"/>
        <v>79.0442</v>
      </c>
      <c r="AA145" s="9">
        <f t="shared" si="7"/>
        <v>-149.7747</v>
      </c>
      <c r="AB145" s="9">
        <f t="shared" si="8"/>
        <v>-10.5399541666667</v>
      </c>
    </row>
    <row r="146" spans="1:28">
      <c r="A146" s="8">
        <v>45436</v>
      </c>
      <c r="B146" s="7">
        <f>日前电价!B146-实时电价!B146</f>
        <v>15.5561</v>
      </c>
      <c r="C146" s="7">
        <f>日前电价!C146-实时电价!C146</f>
        <v>21.587</v>
      </c>
      <c r="D146" s="7">
        <f>日前电价!D146-实时电价!D146</f>
        <v>46.4486</v>
      </c>
      <c r="E146" s="7">
        <f>日前电价!E146-实时电价!E146</f>
        <v>58.5228</v>
      </c>
      <c r="F146" s="7">
        <f>日前电价!F146-实时电价!F146</f>
        <v>169.877</v>
      </c>
      <c r="G146" s="7">
        <f>日前电价!G146-实时电价!G146</f>
        <v>91.1409</v>
      </c>
      <c r="H146" s="7">
        <f>日前电价!H146-实时电价!H146</f>
        <v>14.839</v>
      </c>
      <c r="I146" s="7">
        <f>日前电价!I146-实时电价!I146</f>
        <v>9.8657</v>
      </c>
      <c r="J146" s="7">
        <f>日前电价!J146-实时电价!J146</f>
        <v>6.86920000000003</v>
      </c>
      <c r="K146" s="7">
        <f>日前电价!K146-实时电价!K146</f>
        <v>11.707</v>
      </c>
      <c r="L146" s="7">
        <f>日前电价!L146-实时电价!L146</f>
        <v>26.854</v>
      </c>
      <c r="M146" s="7">
        <f>日前电价!M146-实时电价!M146</f>
        <v>29.2728</v>
      </c>
      <c r="N146" s="7">
        <f>日前电价!N146-实时电价!N146</f>
        <v>88.2538</v>
      </c>
      <c r="O146" s="7">
        <f>日前电价!O146-实时电价!O146</f>
        <v>21.7166</v>
      </c>
      <c r="P146" s="7">
        <f>日前电价!P146-实时电价!P146</f>
        <v>37.2449</v>
      </c>
      <c r="Q146" s="7">
        <f>日前电价!Q146-实时电价!Q146</f>
        <v>8.95699999999999</v>
      </c>
      <c r="R146" s="7">
        <f>日前电价!R146-实时电价!R146</f>
        <v>14.4824</v>
      </c>
      <c r="S146" s="7">
        <f>日前电价!S146-实时电价!S146</f>
        <v>34.3949</v>
      </c>
      <c r="T146" s="7">
        <f>日前电价!T146-实时电价!T146</f>
        <v>41.4141</v>
      </c>
      <c r="U146" s="7">
        <f>日前电价!U146-实时电价!U146</f>
        <v>30.5346</v>
      </c>
      <c r="V146" s="7">
        <f>日前电价!V146-实时电价!V146</f>
        <v>29.7472</v>
      </c>
      <c r="W146" s="7">
        <f>日前电价!W146-实时电价!W146</f>
        <v>36.0049</v>
      </c>
      <c r="X146" s="7">
        <f>日前电价!X146-实时电价!X146</f>
        <v>44.806</v>
      </c>
      <c r="Y146" s="7">
        <f>日前电价!Y146-实时电价!Y146</f>
        <v>62.9456</v>
      </c>
      <c r="Z146" s="9">
        <f t="shared" si="6"/>
        <v>169.877</v>
      </c>
      <c r="AA146" s="9">
        <f t="shared" si="7"/>
        <v>6.86920000000003</v>
      </c>
      <c r="AB146" s="9">
        <f t="shared" si="8"/>
        <v>39.7100875</v>
      </c>
    </row>
    <row r="147" spans="1:28">
      <c r="A147" s="8">
        <v>45437</v>
      </c>
      <c r="B147" s="7">
        <f>日前电价!B147-实时电价!B147</f>
        <v>-4.31869999999998</v>
      </c>
      <c r="C147" s="7">
        <f>日前电价!C147-实时电价!C147</f>
        <v>14.2567</v>
      </c>
      <c r="D147" s="7">
        <f>日前电价!D147-实时电价!D147</f>
        <v>33.7916</v>
      </c>
      <c r="E147" s="7">
        <f>日前电价!E147-实时电价!E147</f>
        <v>16.9778</v>
      </c>
      <c r="F147" s="7">
        <f>日前电价!F147-实时电价!F147</f>
        <v>29.7393</v>
      </c>
      <c r="G147" s="7">
        <f>日前电价!G147-实时电价!G147</f>
        <v>89.0078</v>
      </c>
      <c r="H147" s="7">
        <f>日前电价!H147-实时电价!H147</f>
        <v>-0.717300000000023</v>
      </c>
      <c r="I147" s="7">
        <f>日前电价!I147-实时电价!I147</f>
        <v>68.4137</v>
      </c>
      <c r="J147" s="7">
        <f>日前电价!J147-实时电价!J147</f>
        <v>11.7879</v>
      </c>
      <c r="K147" s="7">
        <f>日前电价!K147-实时电价!K147</f>
        <v>10.3224</v>
      </c>
      <c r="L147" s="7">
        <f>日前电价!L147-实时电价!L147</f>
        <v>11.6741</v>
      </c>
      <c r="M147" s="7">
        <f>日前电价!M147-实时电价!M147</f>
        <v>21.9973</v>
      </c>
      <c r="N147" s="7">
        <f>日前电价!N147-实时电价!N147</f>
        <v>98.0122</v>
      </c>
      <c r="O147" s="7">
        <f>日前电价!O147-实时电价!O147</f>
        <v>21.3847</v>
      </c>
      <c r="P147" s="7">
        <f>日前电价!P147-实时电价!P147</f>
        <v>13.1877</v>
      </c>
      <c r="Q147" s="7">
        <f>日前电价!Q147-实时电价!Q147</f>
        <v>5.03379999999999</v>
      </c>
      <c r="R147" s="7">
        <f>日前电价!R147-实时电价!R147</f>
        <v>2.8467</v>
      </c>
      <c r="S147" s="7">
        <f>日前电价!S147-实时电价!S147</f>
        <v>13.6215</v>
      </c>
      <c r="T147" s="7">
        <f>日前电价!T147-实时电价!T147</f>
        <v>13.6128</v>
      </c>
      <c r="U147" s="7">
        <f>日前电价!U147-实时电价!U147</f>
        <v>8.21090000000004</v>
      </c>
      <c r="V147" s="7">
        <f>日前电价!V147-实时电价!V147</f>
        <v>9.32470000000001</v>
      </c>
      <c r="W147" s="7">
        <f>日前电价!W147-实时电价!W147</f>
        <v>12.8046</v>
      </c>
      <c r="X147" s="7">
        <f>日前电价!X147-实时电价!X147</f>
        <v>16.4288</v>
      </c>
      <c r="Y147" s="7">
        <f>日前电价!Y147-实时电价!Y147</f>
        <v>2.94709999999998</v>
      </c>
      <c r="Z147" s="9">
        <f t="shared" si="6"/>
        <v>98.0122</v>
      </c>
      <c r="AA147" s="9">
        <f t="shared" si="7"/>
        <v>-4.31869999999998</v>
      </c>
      <c r="AB147" s="9">
        <f t="shared" si="8"/>
        <v>21.6811708333333</v>
      </c>
    </row>
    <row r="148" spans="1:28">
      <c r="A148" s="8">
        <v>45438</v>
      </c>
      <c r="B148" s="7">
        <f>日前电价!B148-实时电价!B148</f>
        <v>-7.8365</v>
      </c>
      <c r="C148" s="7">
        <f>日前电价!C148-实时电价!C148</f>
        <v>9.70679999999999</v>
      </c>
      <c r="D148" s="7">
        <f>日前电价!D148-实时电价!D148</f>
        <v>44.4262</v>
      </c>
      <c r="E148" s="7">
        <f>日前电价!E148-实时电价!E148</f>
        <v>290.3425</v>
      </c>
      <c r="F148" s="7">
        <f>日前电价!F148-实时电价!F148</f>
        <v>269.6071</v>
      </c>
      <c r="G148" s="7">
        <f>日前电价!G148-实时电价!G148</f>
        <v>262.7329</v>
      </c>
      <c r="H148" s="7">
        <f>日前电价!H148-实时电价!H148</f>
        <v>207.1103</v>
      </c>
      <c r="I148" s="7">
        <f>日前电价!I148-实时电价!I148</f>
        <v>269.7745</v>
      </c>
      <c r="J148" s="7">
        <f>日前电价!J148-实时电价!J148</f>
        <v>274.4219</v>
      </c>
      <c r="K148" s="7">
        <f>日前电价!K148-实时电价!K148</f>
        <v>259.0999</v>
      </c>
      <c r="L148" s="7">
        <f>日前电价!L148-实时电价!L148</f>
        <v>281.3476</v>
      </c>
      <c r="M148" s="7">
        <f>日前电价!M148-实时电价!M148</f>
        <v>245.5934</v>
      </c>
      <c r="N148" s="7">
        <f>日前电价!N148-实时电价!N148</f>
        <v>292.8037</v>
      </c>
      <c r="O148" s="7">
        <f>日前电价!O148-实时电价!O148</f>
        <v>172.9355</v>
      </c>
      <c r="P148" s="7">
        <f>日前电价!P148-实时电价!P148</f>
        <v>121.8622</v>
      </c>
      <c r="Q148" s="7">
        <f>日前电价!Q148-实时电价!Q148</f>
        <v>245.4595</v>
      </c>
      <c r="R148" s="7">
        <f>日前电价!R148-实时电价!R148</f>
        <v>32.1906</v>
      </c>
      <c r="S148" s="7">
        <f>日前电价!S148-实时电价!S148</f>
        <v>16.0752</v>
      </c>
      <c r="T148" s="7">
        <f>日前电价!T148-实时电价!T148</f>
        <v>36.545</v>
      </c>
      <c r="U148" s="7">
        <f>日前电价!U148-实时电价!U148</f>
        <v>22.8496</v>
      </c>
      <c r="V148" s="7">
        <f>日前电价!V148-实时电价!V148</f>
        <v>30.7107</v>
      </c>
      <c r="W148" s="7">
        <f>日前电价!W148-实时电价!W148</f>
        <v>22.3325</v>
      </c>
      <c r="X148" s="7">
        <f>日前电价!X148-实时电价!X148</f>
        <v>39.7863</v>
      </c>
      <c r="Y148" s="7">
        <f>日前电价!Y148-实时电价!Y148</f>
        <v>25.0231</v>
      </c>
      <c r="Z148" s="9">
        <f t="shared" si="6"/>
        <v>292.8037</v>
      </c>
      <c r="AA148" s="9">
        <f t="shared" si="7"/>
        <v>-7.8365</v>
      </c>
      <c r="AB148" s="9">
        <f t="shared" si="8"/>
        <v>144.370854166667</v>
      </c>
    </row>
    <row r="149" spans="1:28">
      <c r="A149" s="8">
        <v>45439</v>
      </c>
      <c r="B149" s="7">
        <f>日前电价!B149-实时电价!B149</f>
        <v>-109.3599</v>
      </c>
      <c r="C149" s="7">
        <f>日前电价!C149-实时电价!C149</f>
        <v>-28.532</v>
      </c>
      <c r="D149" s="7">
        <f>日前电价!D149-实时电价!D149</f>
        <v>-20.3015</v>
      </c>
      <c r="E149" s="7">
        <f>日前电价!E149-实时电价!E149</f>
        <v>-138.5833</v>
      </c>
      <c r="F149" s="7">
        <f>日前电价!F149-实时电价!F149</f>
        <v>-69.9375</v>
      </c>
      <c r="G149" s="7">
        <f>日前电价!G149-实时电价!G149</f>
        <v>-0.0863</v>
      </c>
      <c r="H149" s="7">
        <f>日前电价!H149-实时电价!H149</f>
        <v>-69.2527</v>
      </c>
      <c r="I149" s="7">
        <f>日前电价!I149-实时电价!I149</f>
        <v>59.2696</v>
      </c>
      <c r="J149" s="7">
        <f>日前电价!J149-实时电价!J149</f>
        <v>-1.77110000000005</v>
      </c>
      <c r="K149" s="7">
        <f>日前电价!K149-实时电价!K149</f>
        <v>-7.35250000000002</v>
      </c>
      <c r="L149" s="7">
        <f>日前电价!L149-实时电价!L149</f>
        <v>-45.6308</v>
      </c>
      <c r="M149" s="7">
        <f>日前电价!M149-实时电价!M149</f>
        <v>-13.7101</v>
      </c>
      <c r="N149" s="7">
        <f>日前电价!N149-实时电价!N149</f>
        <v>24.5569</v>
      </c>
      <c r="O149" s="7">
        <f>日前电价!O149-实时电价!O149</f>
        <v>1.09649999999999</v>
      </c>
      <c r="P149" s="7">
        <f>日前电价!P149-实时电价!P149</f>
        <v>-3.73740000000004</v>
      </c>
      <c r="Q149" s="7">
        <f>日前电价!Q149-实时电价!Q149</f>
        <v>-20.1304</v>
      </c>
      <c r="R149" s="7">
        <f>日前电价!R149-实时电价!R149</f>
        <v>-19.962</v>
      </c>
      <c r="S149" s="7">
        <f>日前电价!S149-实时电价!S149</f>
        <v>-4.5942</v>
      </c>
      <c r="T149" s="7">
        <f>日前电价!T149-实时电价!T149</f>
        <v>3.07680000000005</v>
      </c>
      <c r="U149" s="7">
        <f>日前电价!U149-实时电价!U149</f>
        <v>15.8153</v>
      </c>
      <c r="V149" s="7">
        <f>日前电价!V149-实时电价!V149</f>
        <v>-4.48840000000001</v>
      </c>
      <c r="W149" s="7">
        <f>日前电价!W149-实时电价!W149</f>
        <v>-5.74689999999998</v>
      </c>
      <c r="X149" s="7">
        <f>日前电价!X149-实时电价!X149</f>
        <v>-0.445499999999981</v>
      </c>
      <c r="Y149" s="7">
        <f>日前电价!Y149-实时电价!Y149</f>
        <v>-7.17070000000001</v>
      </c>
      <c r="Z149" s="9">
        <f t="shared" si="6"/>
        <v>59.2696</v>
      </c>
      <c r="AA149" s="9">
        <f t="shared" si="7"/>
        <v>-138.5833</v>
      </c>
      <c r="AB149" s="9">
        <f t="shared" si="8"/>
        <v>-19.4574208333333</v>
      </c>
    </row>
    <row r="150" spans="1:28">
      <c r="A150" s="8">
        <v>45440</v>
      </c>
      <c r="B150" s="7">
        <f>日前电价!B150-实时电价!B150</f>
        <v>-0.00850000000002638</v>
      </c>
      <c r="C150" s="7">
        <f>日前电价!C150-实时电价!C150</f>
        <v>3.96409999999997</v>
      </c>
      <c r="D150" s="7">
        <f>日前电价!D150-实时电价!D150</f>
        <v>20.5924</v>
      </c>
      <c r="E150" s="7">
        <f>日前电价!E150-实时电价!E150</f>
        <v>92.55</v>
      </c>
      <c r="F150" s="7">
        <f>日前电价!F150-实时电价!F150</f>
        <v>234.0303</v>
      </c>
      <c r="G150" s="7">
        <f>日前电价!G150-实时电价!G150</f>
        <v>214.6955</v>
      </c>
      <c r="H150" s="7">
        <f>日前电价!H150-实时电价!H150</f>
        <v>-16.3062</v>
      </c>
      <c r="I150" s="7">
        <f>日前电价!I150-实时电价!I150</f>
        <v>1.9522</v>
      </c>
      <c r="J150" s="7">
        <f>日前电价!J150-实时电价!J150</f>
        <v>2.20749999999998</v>
      </c>
      <c r="K150" s="7">
        <f>日前电价!K150-实时电价!K150</f>
        <v>18.6195</v>
      </c>
      <c r="L150" s="7">
        <f>日前电价!L150-实时电价!L150</f>
        <v>20.7796</v>
      </c>
      <c r="M150" s="7">
        <f>日前电价!M150-实时电价!M150</f>
        <v>20.7295</v>
      </c>
      <c r="N150" s="7">
        <f>日前电价!N150-实时电价!N150</f>
        <v>24.3772</v>
      </c>
      <c r="O150" s="7">
        <f>日前电价!O150-实时电价!O150</f>
        <v>-5.82939999999996</v>
      </c>
      <c r="P150" s="7">
        <f>日前电价!P150-实时电价!P150</f>
        <v>21.4371</v>
      </c>
      <c r="Q150" s="7">
        <f>日前电价!Q150-实时电价!Q150</f>
        <v>18.8701</v>
      </c>
      <c r="R150" s="7">
        <f>日前电价!R150-实时电价!R150</f>
        <v>19.5449</v>
      </c>
      <c r="S150" s="7">
        <f>日前电价!S150-实时电价!S150</f>
        <v>18.6637</v>
      </c>
      <c r="T150" s="7">
        <f>日前电价!T150-实时电价!T150</f>
        <v>25.6189</v>
      </c>
      <c r="U150" s="7">
        <f>日前电价!U150-实时电价!U150</f>
        <v>20.9876</v>
      </c>
      <c r="V150" s="7">
        <f>日前电价!V150-实时电价!V150</f>
        <v>19.9972</v>
      </c>
      <c r="W150" s="7">
        <f>日前电价!W150-实时电价!W150</f>
        <v>25.8255</v>
      </c>
      <c r="X150" s="7">
        <f>日前电价!X150-实时电价!X150</f>
        <v>112.2214</v>
      </c>
      <c r="Y150" s="7">
        <f>日前电价!Y150-实时电价!Y150</f>
        <v>178.4593</v>
      </c>
      <c r="Z150" s="9">
        <f t="shared" si="6"/>
        <v>234.0303</v>
      </c>
      <c r="AA150" s="9">
        <f t="shared" si="7"/>
        <v>-16.3062</v>
      </c>
      <c r="AB150" s="9">
        <f t="shared" si="8"/>
        <v>45.582475</v>
      </c>
    </row>
    <row r="151" spans="1:28">
      <c r="A151" s="8">
        <v>45441</v>
      </c>
      <c r="B151" s="7">
        <f>日前电价!B151-实时电价!B151</f>
        <v>90.5872</v>
      </c>
      <c r="C151" s="7">
        <f>日前电价!C151-实时电价!C151</f>
        <v>160.2042</v>
      </c>
      <c r="D151" s="7">
        <f>日前电价!D151-实时电价!D151</f>
        <v>285.2756</v>
      </c>
      <c r="E151" s="7">
        <f>日前电价!E151-实时电价!E151</f>
        <v>248.3965</v>
      </c>
      <c r="F151" s="7">
        <f>日前电价!F151-实时电价!F151</f>
        <v>2.5896</v>
      </c>
      <c r="G151" s="7">
        <f>日前电价!G151-实时电价!G151</f>
        <v>2.6618</v>
      </c>
      <c r="H151" s="7">
        <f>日前电价!H151-实时电价!H151</f>
        <v>190.5009</v>
      </c>
      <c r="I151" s="7">
        <f>日前电价!I151-实时电价!I151</f>
        <v>220.4868</v>
      </c>
      <c r="J151" s="7">
        <f>日前电价!J151-实时电价!J151</f>
        <v>192.0724</v>
      </c>
      <c r="K151" s="7">
        <f>日前电价!K151-实时电价!K151</f>
        <v>302.6702</v>
      </c>
      <c r="L151" s="7">
        <f>日前电价!L151-实时电价!L151</f>
        <v>345.5917</v>
      </c>
      <c r="M151" s="7">
        <f>日前电价!M151-实时电价!M151</f>
        <v>336.8424</v>
      </c>
      <c r="N151" s="7">
        <f>日前电价!N151-实时电价!N151</f>
        <v>313.9921</v>
      </c>
      <c r="O151" s="7">
        <f>日前电价!O151-实时电价!O151</f>
        <v>321.2177</v>
      </c>
      <c r="P151" s="7">
        <f>日前电价!P151-实时电价!P151</f>
        <v>338.5743</v>
      </c>
      <c r="Q151" s="7">
        <f>日前电价!Q151-实时电价!Q151</f>
        <v>236.5289</v>
      </c>
      <c r="R151" s="7">
        <f>日前电价!R151-实时电价!R151</f>
        <v>297.415</v>
      </c>
      <c r="S151" s="7">
        <f>日前电价!S151-实时电价!S151</f>
        <v>306.5555</v>
      </c>
      <c r="T151" s="7">
        <f>日前电价!T151-实时电价!T151</f>
        <v>325.625</v>
      </c>
      <c r="U151" s="7">
        <f>日前电价!U151-实时电价!U151</f>
        <v>227.129</v>
      </c>
      <c r="V151" s="7">
        <f>日前电价!V151-实时电价!V151</f>
        <v>308.5394</v>
      </c>
      <c r="W151" s="7">
        <f>日前电价!W151-实时电价!W151</f>
        <v>157.3442</v>
      </c>
      <c r="X151" s="7">
        <f>日前电价!X151-实时电价!X151</f>
        <v>132.2992</v>
      </c>
      <c r="Y151" s="7">
        <f>日前电价!Y151-实时电价!Y151</f>
        <v>122.8316</v>
      </c>
      <c r="Z151" s="9">
        <f t="shared" si="6"/>
        <v>345.5917</v>
      </c>
      <c r="AA151" s="9">
        <f t="shared" si="7"/>
        <v>2.5896</v>
      </c>
      <c r="AB151" s="9">
        <f t="shared" si="8"/>
        <v>227.747133333333</v>
      </c>
    </row>
    <row r="152" spans="1:28">
      <c r="A152" s="8">
        <v>45442</v>
      </c>
      <c r="B152" s="7">
        <f>日前电价!B152-实时电价!B152</f>
        <v>-13.9585</v>
      </c>
      <c r="C152" s="7">
        <f>日前电价!C152-实时电价!C152</f>
        <v>-1.43870000000004</v>
      </c>
      <c r="D152" s="7">
        <f>日前电价!D152-实时电价!D152</f>
        <v>24.5659</v>
      </c>
      <c r="E152" s="7">
        <f>日前电价!E152-实时电价!E152</f>
        <v>-63.6263</v>
      </c>
      <c r="F152" s="7">
        <f>日前电价!F152-实时电价!F152</f>
        <v>-65.216</v>
      </c>
      <c r="G152" s="7">
        <f>日前电价!G152-实时电价!G152</f>
        <v>2.3758</v>
      </c>
      <c r="H152" s="7">
        <f>日前电价!H152-实时电价!H152</f>
        <v>-117.7174</v>
      </c>
      <c r="I152" s="7">
        <f>日前电价!I152-实时电价!I152</f>
        <v>36.9349</v>
      </c>
      <c r="J152" s="7">
        <f>日前电价!J152-实时电价!J152</f>
        <v>20.8673</v>
      </c>
      <c r="K152" s="7">
        <f>日前电价!K152-实时电价!K152</f>
        <v>206.9166</v>
      </c>
      <c r="L152" s="7">
        <f>日前电价!L152-实时电价!L152</f>
        <v>271.4121</v>
      </c>
      <c r="M152" s="7">
        <f>日前电价!M152-实时电价!M152</f>
        <v>115.3005</v>
      </c>
      <c r="N152" s="7">
        <f>日前电价!N152-实时电价!N152</f>
        <v>100.7328</v>
      </c>
      <c r="O152" s="7">
        <f>日前电价!O152-实时电价!O152</f>
        <v>33.2293</v>
      </c>
      <c r="P152" s="7">
        <f>日前电价!P152-实时电价!P152</f>
        <v>12.0661</v>
      </c>
      <c r="Q152" s="7">
        <f>日前电价!Q152-实时电价!Q152</f>
        <v>12.6983</v>
      </c>
      <c r="R152" s="7">
        <f>日前电价!R152-实时电价!R152</f>
        <v>5.73849999999999</v>
      </c>
      <c r="S152" s="7">
        <f>日前电价!S152-实时电价!S152</f>
        <v>19.8303</v>
      </c>
      <c r="T152" s="7">
        <f>日前电价!T152-实时电价!T152</f>
        <v>21.9776</v>
      </c>
      <c r="U152" s="7">
        <f>日前电价!U152-实时电价!U152</f>
        <v>1.91769999999997</v>
      </c>
      <c r="V152" s="7">
        <f>日前电价!V152-实时电价!V152</f>
        <v>14.3282</v>
      </c>
      <c r="W152" s="7">
        <f>日前电价!W152-实时电价!W152</f>
        <v>18.3189</v>
      </c>
      <c r="X152" s="7">
        <f>日前电价!X152-实时电价!X152</f>
        <v>12.722</v>
      </c>
      <c r="Y152" s="7">
        <f>日前电价!Y152-实时电价!Y152</f>
        <v>0.354500000000002</v>
      </c>
      <c r="Z152" s="9">
        <f t="shared" si="6"/>
        <v>271.4121</v>
      </c>
      <c r="AA152" s="9">
        <f t="shared" si="7"/>
        <v>-117.7174</v>
      </c>
      <c r="AB152" s="9">
        <f t="shared" si="8"/>
        <v>27.9304333333333</v>
      </c>
    </row>
    <row r="153" spans="1:28">
      <c r="A153" s="8">
        <v>45443</v>
      </c>
      <c r="B153" s="7">
        <f>日前电价!B153-实时电价!B153</f>
        <v>17.5099</v>
      </c>
      <c r="C153" s="7">
        <f>日前电价!C153-实时电价!C153</f>
        <v>10.287</v>
      </c>
      <c r="D153" s="7">
        <f>日前电价!D153-实时电价!D153</f>
        <v>18.4608</v>
      </c>
      <c r="E153" s="7">
        <f>日前电价!E153-实时电价!E153</f>
        <v>35.7162</v>
      </c>
      <c r="F153" s="7">
        <f>日前电价!F153-实时电价!F153</f>
        <v>140.5138</v>
      </c>
      <c r="G153" s="7">
        <f>日前电价!G153-实时电价!G153</f>
        <v>161.8611</v>
      </c>
      <c r="H153" s="7">
        <f>日前电价!H153-实时电价!H153</f>
        <v>93.3495</v>
      </c>
      <c r="I153" s="7">
        <f>日前电价!I153-实时电价!I153</f>
        <v>125.9609</v>
      </c>
      <c r="J153" s="7">
        <f>日前电价!J153-实时电价!J153</f>
        <v>22.005</v>
      </c>
      <c r="K153" s="7">
        <f>日前电价!K153-实时电价!K153</f>
        <v>20.8294</v>
      </c>
      <c r="L153" s="7">
        <f>日前电价!L153-实时电价!L153</f>
        <v>0.680299999999988</v>
      </c>
      <c r="M153" s="7">
        <f>日前电价!M153-实时电价!M153</f>
        <v>30.5751</v>
      </c>
      <c r="N153" s="7">
        <f>日前电价!N153-实时电价!N153</f>
        <v>121.7558</v>
      </c>
      <c r="O153" s="7">
        <f>日前电价!O153-实时电价!O153</f>
        <v>30.8272</v>
      </c>
      <c r="P153" s="7">
        <f>日前电价!P153-实时电价!P153</f>
        <v>34.0304</v>
      </c>
      <c r="Q153" s="7">
        <f>日前电价!Q153-实时电价!Q153</f>
        <v>27.3187</v>
      </c>
      <c r="R153" s="7">
        <f>日前电价!R153-实时电价!R153</f>
        <v>28.5654</v>
      </c>
      <c r="S153" s="7">
        <f>日前电价!S153-实时电价!S153</f>
        <v>46.7173</v>
      </c>
      <c r="T153" s="7">
        <f>日前电价!T153-实时电价!T153</f>
        <v>47.6279</v>
      </c>
      <c r="U153" s="7">
        <f>日前电价!U153-实时电价!U153</f>
        <v>35.9071</v>
      </c>
      <c r="V153" s="7">
        <f>日前电价!V153-实时电价!V153</f>
        <v>33.6663</v>
      </c>
      <c r="W153" s="7">
        <f>日前电价!W153-实时电价!W153</f>
        <v>40.2114</v>
      </c>
      <c r="X153" s="7">
        <f>日前电价!X153-实时电价!X153</f>
        <v>59.9266</v>
      </c>
      <c r="Y153" s="7">
        <f>日前电价!Y153-实时电价!Y153</f>
        <v>25.682</v>
      </c>
      <c r="Z153" s="9">
        <f t="shared" si="6"/>
        <v>161.8611</v>
      </c>
      <c r="AA153" s="9">
        <f t="shared" si="7"/>
        <v>0.680299999999988</v>
      </c>
      <c r="AB153" s="9">
        <f t="shared" si="8"/>
        <v>50.4160458333333</v>
      </c>
    </row>
    <row r="154" spans="1:28">
      <c r="A154" s="8">
        <v>45444</v>
      </c>
      <c r="B154" s="7">
        <f>日前电价!B154-实时电价!B154</f>
        <v>-23.7008</v>
      </c>
      <c r="C154" s="7">
        <f>日前电价!C154-实时电价!C154</f>
        <v>7.51179999999999</v>
      </c>
      <c r="D154" s="7">
        <f>日前电价!D154-实时电价!D154</f>
        <v>31.7265</v>
      </c>
      <c r="E154" s="7">
        <f>日前电价!E154-实时电价!E154</f>
        <v>109.624</v>
      </c>
      <c r="F154" s="7">
        <f>日前电价!F154-实时电价!F154</f>
        <v>265.7075</v>
      </c>
      <c r="G154" s="7">
        <f>日前电价!G154-实时电价!G154</f>
        <v>263.01</v>
      </c>
      <c r="H154" s="7">
        <f>日前电价!H154-实时电价!H154</f>
        <v>39.3115</v>
      </c>
      <c r="I154" s="7">
        <f>日前电价!I154-实时电价!I154</f>
        <v>218.3384</v>
      </c>
      <c r="J154" s="7">
        <f>日前电价!J154-实时电价!J154</f>
        <v>87.841</v>
      </c>
      <c r="K154" s="7">
        <f>日前电价!K154-实时电价!K154</f>
        <v>83.9182</v>
      </c>
      <c r="L154" s="7">
        <f>日前电价!L154-实时电价!L154</f>
        <v>72.2498</v>
      </c>
      <c r="M154" s="7">
        <f>日前电价!M154-实时电价!M154</f>
        <v>21.064</v>
      </c>
      <c r="N154" s="7">
        <f>日前电价!N154-实时电价!N154</f>
        <v>117.3175</v>
      </c>
      <c r="O154" s="7">
        <f>日前电价!O154-实时电价!O154</f>
        <v>69.3197</v>
      </c>
      <c r="P154" s="7">
        <f>日前电价!P154-实时电价!P154</f>
        <v>124.8158</v>
      </c>
      <c r="Q154" s="7">
        <f>日前电价!Q154-实时电价!Q154</f>
        <v>42.9061</v>
      </c>
      <c r="R154" s="7">
        <f>日前电价!R154-实时电价!R154</f>
        <v>49.0821</v>
      </c>
      <c r="S154" s="7">
        <f>日前电价!S154-实时电价!S154</f>
        <v>43.2568</v>
      </c>
      <c r="T154" s="7">
        <f>日前电价!T154-实时电价!T154</f>
        <v>24.6876</v>
      </c>
      <c r="U154" s="7">
        <f>日前电价!U154-实时电价!U154</f>
        <v>44.5342</v>
      </c>
      <c r="V154" s="7">
        <f>日前电价!V154-实时电价!V154</f>
        <v>41.2453</v>
      </c>
      <c r="W154" s="7">
        <f>日前电价!W154-实时电价!W154</f>
        <v>26.004</v>
      </c>
      <c r="X154" s="7">
        <f>日前电价!X154-实时电价!X154</f>
        <v>20.8366</v>
      </c>
      <c r="Y154" s="7">
        <f>日前电价!Y154-实时电价!Y154</f>
        <v>2.91449999999998</v>
      </c>
      <c r="Z154" s="9">
        <f t="shared" si="6"/>
        <v>265.7075</v>
      </c>
      <c r="AA154" s="9">
        <f t="shared" si="7"/>
        <v>-23.7008</v>
      </c>
      <c r="AB154" s="9">
        <f t="shared" si="8"/>
        <v>74.3134208333333</v>
      </c>
    </row>
    <row r="155" spans="1:28">
      <c r="A155" s="8">
        <v>45445</v>
      </c>
      <c r="B155" s="7">
        <f>日前电价!B155-实时电价!B155</f>
        <v>-6.26439999999997</v>
      </c>
      <c r="C155" s="7">
        <f>日前电价!C155-实时电价!C155</f>
        <v>14.0088</v>
      </c>
      <c r="D155" s="7">
        <f>日前电价!D155-实时电价!D155</f>
        <v>22.9858</v>
      </c>
      <c r="E155" s="7">
        <f>日前电价!E155-实时电价!E155</f>
        <v>33.4507</v>
      </c>
      <c r="F155" s="7">
        <f>日前电价!F155-实时电价!F155</f>
        <v>88.5</v>
      </c>
      <c r="G155" s="7">
        <f>日前电价!G155-实时电价!G155</f>
        <v>93.5</v>
      </c>
      <c r="H155" s="7">
        <f>日前电价!H155-实时电价!H155</f>
        <v>15.64</v>
      </c>
      <c r="I155" s="7">
        <f>日前电价!I155-实时电价!I155</f>
        <v>181.3145</v>
      </c>
      <c r="J155" s="7">
        <f>日前电价!J155-实时电价!J155</f>
        <v>71.0223</v>
      </c>
      <c r="K155" s="7">
        <f>日前电价!K155-实时电价!K155</f>
        <v>172.3852</v>
      </c>
      <c r="L155" s="7">
        <f>日前电价!L155-实时电价!L155</f>
        <v>240.7565</v>
      </c>
      <c r="M155" s="7">
        <f>日前电价!M155-实时电价!M155</f>
        <v>25.4432</v>
      </c>
      <c r="N155" s="7">
        <f>日前电价!N155-实时电价!N155</f>
        <v>114.7272</v>
      </c>
      <c r="O155" s="7">
        <f>日前电价!O155-实时电价!O155</f>
        <v>-9.77659999999997</v>
      </c>
      <c r="P155" s="7">
        <f>日前电价!P155-实时电价!P155</f>
        <v>1.91050000000001</v>
      </c>
      <c r="Q155" s="7">
        <f>日前电价!Q155-实时电价!Q155</f>
        <v>-15.3469</v>
      </c>
      <c r="R155" s="7">
        <f>日前电价!R155-实时电价!R155</f>
        <v>1.13990000000001</v>
      </c>
      <c r="S155" s="7">
        <f>日前电价!S155-实时电价!S155</f>
        <v>-41.9163</v>
      </c>
      <c r="T155" s="7">
        <f>日前电价!T155-实时电价!T155</f>
        <v>-29.5284</v>
      </c>
      <c r="U155" s="7">
        <f>日前电价!U155-实时电价!U155</f>
        <v>-30.6474</v>
      </c>
      <c r="V155" s="7">
        <f>日前电价!V155-实时电价!V155</f>
        <v>-38.743</v>
      </c>
      <c r="W155" s="7">
        <f>日前电价!W155-实时电价!W155</f>
        <v>-184.4033</v>
      </c>
      <c r="X155" s="7">
        <f>日前电价!X155-实时电价!X155</f>
        <v>-42.0535</v>
      </c>
      <c r="Y155" s="7">
        <f>日前电价!Y155-实时电价!Y155</f>
        <v>-15.4213</v>
      </c>
      <c r="Z155" s="9">
        <f t="shared" si="6"/>
        <v>240.7565</v>
      </c>
      <c r="AA155" s="9">
        <f t="shared" si="7"/>
        <v>-184.4033</v>
      </c>
      <c r="AB155" s="9">
        <f t="shared" si="8"/>
        <v>27.6118125</v>
      </c>
    </row>
    <row r="156" spans="1:28">
      <c r="A156" s="8">
        <v>45446</v>
      </c>
      <c r="B156" s="7">
        <f>日前电价!B156-实时电价!B156</f>
        <v>-8.1121</v>
      </c>
      <c r="C156" s="7">
        <f>日前电价!C156-实时电价!C156</f>
        <v>-40.4394</v>
      </c>
      <c r="D156" s="7">
        <f>日前电价!D156-实时电价!D156</f>
        <v>-17.2252</v>
      </c>
      <c r="E156" s="7">
        <f>日前电价!E156-实时电价!E156</f>
        <v>-15.16</v>
      </c>
      <c r="F156" s="7">
        <f>日前电价!F156-实时电价!F156</f>
        <v>-10.5525</v>
      </c>
      <c r="G156" s="7">
        <f>日前电价!G156-实时电价!G156</f>
        <v>-23.38</v>
      </c>
      <c r="H156" s="7">
        <f>日前电价!H156-实时电价!H156</f>
        <v>-3.77999999999997</v>
      </c>
      <c r="I156" s="7">
        <f>日前电价!I156-实时电价!I156</f>
        <v>-2.27749999999997</v>
      </c>
      <c r="J156" s="7">
        <f>日前电价!J156-实时电价!J156</f>
        <v>-27.0155</v>
      </c>
      <c r="K156" s="7">
        <f>日前电价!K156-实时电价!K156</f>
        <v>-24.0895</v>
      </c>
      <c r="L156" s="7">
        <f>日前电价!L156-实时电价!L156</f>
        <v>42.8782</v>
      </c>
      <c r="M156" s="7">
        <f>日前电价!M156-实时电价!M156</f>
        <v>59.2727</v>
      </c>
      <c r="N156" s="7">
        <f>日前电价!N156-实时电价!N156</f>
        <v>94.2668</v>
      </c>
      <c r="O156" s="7">
        <f>日前电价!O156-实时电价!O156</f>
        <v>28.3186</v>
      </c>
      <c r="P156" s="7">
        <f>日前电价!P156-实时电价!P156</f>
        <v>43.0315</v>
      </c>
      <c r="Q156" s="7">
        <f>日前电价!Q156-实时电价!Q156</f>
        <v>43.8588</v>
      </c>
      <c r="R156" s="7">
        <f>日前电价!R156-实时电价!R156</f>
        <v>28.2575000000001</v>
      </c>
      <c r="S156" s="7">
        <f>日前电价!S156-实时电价!S156</f>
        <v>39.0073</v>
      </c>
      <c r="T156" s="7">
        <f>日前电价!T156-实时电价!T156</f>
        <v>32.5437</v>
      </c>
      <c r="U156" s="7">
        <f>日前电价!U156-实时电价!U156</f>
        <v>41.2714</v>
      </c>
      <c r="V156" s="7">
        <f>日前电价!V156-实时电价!V156</f>
        <v>44.5161000000001</v>
      </c>
      <c r="W156" s="7">
        <f>日前电价!W156-实时电价!W156</f>
        <v>147.7808</v>
      </c>
      <c r="X156" s="7">
        <f>日前电价!X156-实时电价!X156</f>
        <v>92.848</v>
      </c>
      <c r="Y156" s="7">
        <f>日前电价!Y156-实时电价!Y156</f>
        <v>29.0429</v>
      </c>
      <c r="Z156" s="9">
        <f t="shared" si="6"/>
        <v>147.7808</v>
      </c>
      <c r="AA156" s="9">
        <f t="shared" si="7"/>
        <v>-40.4394</v>
      </c>
      <c r="AB156" s="9">
        <f t="shared" si="8"/>
        <v>24.7859416666667</v>
      </c>
    </row>
    <row r="157" spans="1:28">
      <c r="A157" s="8">
        <v>45447</v>
      </c>
      <c r="B157" s="7">
        <f>日前电价!B157-实时电价!B157</f>
        <v>8.03379999999999</v>
      </c>
      <c r="C157" s="7">
        <f>日前电价!C157-实时电价!C157</f>
        <v>19.9315</v>
      </c>
      <c r="D157" s="7">
        <f>日前电价!D157-实时电价!D157</f>
        <v>177.7275</v>
      </c>
      <c r="E157" s="7">
        <f>日前电价!E157-实时电价!E157</f>
        <v>280.1517</v>
      </c>
      <c r="F157" s="7">
        <f>日前电价!F157-实时电价!F157</f>
        <v>119.195</v>
      </c>
      <c r="G157" s="7">
        <f>日前电价!G157-实时电价!G157</f>
        <v>112.9321</v>
      </c>
      <c r="H157" s="7">
        <f>日前电价!H157-实时电价!H157</f>
        <v>-11.531</v>
      </c>
      <c r="I157" s="7">
        <f>日前电价!I157-实时电价!I157</f>
        <v>-4.07080000000002</v>
      </c>
      <c r="J157" s="7">
        <f>日前电价!J157-实时电价!J157</f>
        <v>-7.06</v>
      </c>
      <c r="K157" s="7">
        <f>日前电价!K157-实时电价!K157</f>
        <v>3.71849999999995</v>
      </c>
      <c r="L157" s="7">
        <f>日前电价!L157-实时电价!L157</f>
        <v>13.8764</v>
      </c>
      <c r="M157" s="7">
        <f>日前电价!M157-实时电价!M157</f>
        <v>14.3346</v>
      </c>
      <c r="N157" s="7">
        <f>日前电价!N157-实时电价!N157</f>
        <v>84.4386</v>
      </c>
      <c r="O157" s="7">
        <f>日前电价!O157-实时电价!O157</f>
        <v>26.227</v>
      </c>
      <c r="P157" s="7">
        <f>日前电价!P157-实时电价!P157</f>
        <v>19.1439</v>
      </c>
      <c r="Q157" s="7">
        <f>日前电价!Q157-实时电价!Q157</f>
        <v>11.7062</v>
      </c>
      <c r="R157" s="7">
        <f>日前电价!R157-实时电价!R157</f>
        <v>31.5369</v>
      </c>
      <c r="S157" s="7">
        <f>日前电价!S157-实时电价!S157</f>
        <v>82.4538</v>
      </c>
      <c r="T157" s="7">
        <f>日前电价!T157-实时电价!T157</f>
        <v>115.1667</v>
      </c>
      <c r="U157" s="7">
        <f>日前电价!U157-实时电价!U157</f>
        <v>24.3173</v>
      </c>
      <c r="V157" s="7">
        <f>日前电价!V157-实时电价!V157</f>
        <v>40.6275</v>
      </c>
      <c r="W157" s="7">
        <f>日前电价!W157-实时电价!W157</f>
        <v>169.9559</v>
      </c>
      <c r="X157" s="7">
        <f>日前电价!X157-实时电价!X157</f>
        <v>250.7673</v>
      </c>
      <c r="Y157" s="7">
        <f>日前电价!Y157-实时电价!Y157</f>
        <v>184.8566</v>
      </c>
      <c r="Z157" s="9">
        <f t="shared" si="6"/>
        <v>280.1517</v>
      </c>
      <c r="AA157" s="9">
        <f t="shared" si="7"/>
        <v>-11.531</v>
      </c>
      <c r="AB157" s="9">
        <f t="shared" si="8"/>
        <v>73.684875</v>
      </c>
    </row>
    <row r="158" spans="1:28">
      <c r="A158" s="8">
        <v>45448</v>
      </c>
      <c r="B158" s="7">
        <f>日前电价!B158-实时电价!B158</f>
        <v>71.8283</v>
      </c>
      <c r="C158" s="7">
        <f>日前电价!C158-实时电价!C158</f>
        <v>303.0325</v>
      </c>
      <c r="D158" s="7">
        <f>日前电价!D158-实时电价!D158</f>
        <v>238.59</v>
      </c>
      <c r="E158" s="7">
        <f>日前电价!E158-实时电价!E158</f>
        <v>270.4575</v>
      </c>
      <c r="F158" s="7">
        <f>日前电价!F158-实时电价!F158</f>
        <v>47.5</v>
      </c>
      <c r="G158" s="7">
        <f>日前电价!G158-实时电价!G158</f>
        <v>112.5</v>
      </c>
      <c r="H158" s="7">
        <f>日前电价!H158-实时电价!H158</f>
        <v>67.7425</v>
      </c>
      <c r="I158" s="7">
        <f>日前电价!I158-实时电价!I158</f>
        <v>87.0037</v>
      </c>
      <c r="J158" s="7">
        <f>日前电价!J158-实时电价!J158</f>
        <v>14.7556</v>
      </c>
      <c r="K158" s="7">
        <f>日前电价!K158-实时电价!K158</f>
        <v>43.7244</v>
      </c>
      <c r="L158" s="7">
        <f>日前电价!L158-实时电价!L158</f>
        <v>87.5813</v>
      </c>
      <c r="M158" s="7">
        <f>日前电价!M158-实时电价!M158</f>
        <v>74.6235</v>
      </c>
      <c r="N158" s="7">
        <f>日前电价!N158-实时电价!N158</f>
        <v>116.3315</v>
      </c>
      <c r="O158" s="7">
        <f>日前电价!O158-实时电价!O158</f>
        <v>36.8324</v>
      </c>
      <c r="P158" s="7">
        <f>日前电价!P158-实时电价!P158</f>
        <v>37.3126</v>
      </c>
      <c r="Q158" s="7">
        <f>日前电价!Q158-实时电价!Q158</f>
        <v>25.9628</v>
      </c>
      <c r="R158" s="7">
        <f>日前电价!R158-实时电价!R158</f>
        <v>73.9106</v>
      </c>
      <c r="S158" s="7">
        <f>日前电价!S158-实时电价!S158</f>
        <v>45.0515</v>
      </c>
      <c r="T158" s="7">
        <f>日前电价!T158-实时电价!T158</f>
        <v>23.3914</v>
      </c>
      <c r="U158" s="7">
        <f>日前电价!U158-实时电价!U158</f>
        <v>19.4431</v>
      </c>
      <c r="V158" s="7">
        <f>日前电价!V158-实时电价!V158</f>
        <v>11.9417</v>
      </c>
      <c r="W158" s="7">
        <f>日前电价!W158-实时电价!W158</f>
        <v>9.42259999999999</v>
      </c>
      <c r="X158" s="7">
        <f>日前电价!X158-实时电价!X158</f>
        <v>69.6129</v>
      </c>
      <c r="Y158" s="7">
        <f>日前电价!Y158-实时电价!Y158</f>
        <v>76.4927</v>
      </c>
      <c r="Z158" s="9">
        <f t="shared" si="6"/>
        <v>303.0325</v>
      </c>
      <c r="AA158" s="9">
        <f t="shared" si="7"/>
        <v>9.42259999999999</v>
      </c>
      <c r="AB158" s="9">
        <f t="shared" si="8"/>
        <v>81.8768791666667</v>
      </c>
    </row>
    <row r="159" spans="1:28">
      <c r="A159" s="8">
        <v>45449</v>
      </c>
      <c r="B159" s="7">
        <f>日前电价!B159-实时电价!B159</f>
        <v>-26.5326</v>
      </c>
      <c r="C159" s="7">
        <f>日前电价!C159-实时电价!C159</f>
        <v>36.3726</v>
      </c>
      <c r="D159" s="7">
        <f>日前电价!D159-实时电价!D159</f>
        <v>74.0232</v>
      </c>
      <c r="E159" s="7">
        <f>日前电价!E159-实时电价!E159</f>
        <v>156.5097</v>
      </c>
      <c r="F159" s="7">
        <f>日前电价!F159-实时电价!F159</f>
        <v>204.257</v>
      </c>
      <c r="G159" s="7">
        <f>日前电价!G159-实时电价!G159</f>
        <v>140.71</v>
      </c>
      <c r="H159" s="7">
        <f>日前电价!H159-实时电价!H159</f>
        <v>-7.93029999999999</v>
      </c>
      <c r="I159" s="7">
        <f>日前电价!I159-实时电价!I159</f>
        <v>104.3672</v>
      </c>
      <c r="J159" s="7">
        <f>日前电价!J159-实时电价!J159</f>
        <v>18.6257</v>
      </c>
      <c r="K159" s="7">
        <f>日前电价!K159-实时电价!K159</f>
        <v>65.5189</v>
      </c>
      <c r="L159" s="7">
        <f>日前电价!L159-实时电价!L159</f>
        <v>-86.8612</v>
      </c>
      <c r="M159" s="7">
        <f>日前电价!M159-实时电价!M159</f>
        <v>64.7631</v>
      </c>
      <c r="N159" s="7">
        <f>日前电价!N159-实时电价!N159</f>
        <v>229.0432</v>
      </c>
      <c r="O159" s="7">
        <f>日前电价!O159-实时电价!O159</f>
        <v>25.6286</v>
      </c>
      <c r="P159" s="7">
        <f>日前电价!P159-实时电价!P159</f>
        <v>-16.7497</v>
      </c>
      <c r="Q159" s="7">
        <f>日前电价!Q159-实时电价!Q159</f>
        <v>-56.5738</v>
      </c>
      <c r="R159" s="7">
        <f>日前电价!R159-实时电价!R159</f>
        <v>-127.8545</v>
      </c>
      <c r="S159" s="7">
        <f>日前电价!S159-实时电价!S159</f>
        <v>-33.5841</v>
      </c>
      <c r="T159" s="7">
        <f>日前电价!T159-实时电价!T159</f>
        <v>-99.3462</v>
      </c>
      <c r="U159" s="7">
        <f>日前电价!U159-实时电价!U159</f>
        <v>-63.3282</v>
      </c>
      <c r="V159" s="7">
        <f>日前电价!V159-实时电价!V159</f>
        <v>-92.3758</v>
      </c>
      <c r="W159" s="7">
        <f>日前电价!W159-实时电价!W159</f>
        <v>-5.19539999999995</v>
      </c>
      <c r="X159" s="7">
        <f>日前电价!X159-实时电价!X159</f>
        <v>7.7235</v>
      </c>
      <c r="Y159" s="7">
        <f>日前电价!Y159-实时电价!Y159</f>
        <v>6.18359999999998</v>
      </c>
      <c r="Z159" s="9">
        <f t="shared" si="6"/>
        <v>229.0432</v>
      </c>
      <c r="AA159" s="9">
        <f t="shared" si="7"/>
        <v>-127.8545</v>
      </c>
      <c r="AB159" s="9">
        <f t="shared" si="8"/>
        <v>21.5581041666667</v>
      </c>
    </row>
    <row r="160" spans="1:28">
      <c r="A160" s="8">
        <v>45450</v>
      </c>
      <c r="B160" s="7">
        <f>日前电价!B160-实时电价!B160</f>
        <v>-17.654</v>
      </c>
      <c r="C160" s="7">
        <f>日前电价!C160-实时电价!C160</f>
        <v>89.4093</v>
      </c>
      <c r="D160" s="7">
        <f>日前电价!D160-实时电价!D160</f>
        <v>218.3516</v>
      </c>
      <c r="E160" s="7">
        <f>日前电价!E160-实时电价!E160</f>
        <v>258.3987</v>
      </c>
      <c r="F160" s="7">
        <f>日前电价!F160-实时电价!F160</f>
        <v>261.2072</v>
      </c>
      <c r="G160" s="7">
        <f>日前电价!G160-实时电价!G160</f>
        <v>259.6089</v>
      </c>
      <c r="H160" s="7">
        <f>日前电价!H160-实时电价!H160</f>
        <v>114.884</v>
      </c>
      <c r="I160" s="7">
        <f>日前电价!I160-实时电价!I160</f>
        <v>66.3296</v>
      </c>
      <c r="J160" s="7">
        <f>日前电价!J160-实时电价!J160</f>
        <v>28.4343</v>
      </c>
      <c r="K160" s="7">
        <f>日前电价!K160-实时电价!K160</f>
        <v>-1.9221</v>
      </c>
      <c r="L160" s="7">
        <f>日前电价!L160-实时电价!L160</f>
        <v>-7.11269999999996</v>
      </c>
      <c r="M160" s="7">
        <f>日前电价!M160-实时电价!M160</f>
        <v>23.4611</v>
      </c>
      <c r="N160" s="7">
        <f>日前电价!N160-实时电价!N160</f>
        <v>250.8979</v>
      </c>
      <c r="O160" s="7">
        <f>日前电价!O160-实时电价!O160</f>
        <v>8.96660000000003</v>
      </c>
      <c r="P160" s="7">
        <f>日前电价!P160-实时电价!P160</f>
        <v>13.3534</v>
      </c>
      <c r="Q160" s="7">
        <f>日前电价!Q160-实时电价!Q160</f>
        <v>5.66799999999995</v>
      </c>
      <c r="R160" s="7">
        <f>日前电价!R160-实时电价!R160</f>
        <v>4.94960000000003</v>
      </c>
      <c r="S160" s="7">
        <f>日前电价!S160-实时电价!S160</f>
        <v>24.4551</v>
      </c>
      <c r="T160" s="7">
        <f>日前电价!T160-实时电价!T160</f>
        <v>33.3474</v>
      </c>
      <c r="U160" s="7">
        <f>日前电价!U160-实时电价!U160</f>
        <v>38.5782</v>
      </c>
      <c r="V160" s="7">
        <f>日前电价!V160-实时电价!V160</f>
        <v>28.9789</v>
      </c>
      <c r="W160" s="7">
        <f>日前电价!W160-实时电价!W160</f>
        <v>18.7552</v>
      </c>
      <c r="X160" s="7">
        <f>日前电价!X160-实时电价!X160</f>
        <v>24.6251</v>
      </c>
      <c r="Y160" s="7">
        <f>日前电价!Y160-实时电价!Y160</f>
        <v>-16.3621</v>
      </c>
      <c r="Z160" s="9">
        <f t="shared" si="6"/>
        <v>261.2072</v>
      </c>
      <c r="AA160" s="9">
        <f t="shared" si="7"/>
        <v>-17.654</v>
      </c>
      <c r="AB160" s="9">
        <f t="shared" si="8"/>
        <v>72.06705</v>
      </c>
    </row>
    <row r="161" spans="1:28">
      <c r="A161" s="8">
        <v>45451</v>
      </c>
      <c r="B161" s="7">
        <f>日前电价!B161-实时电价!B161</f>
        <v>-97.1761</v>
      </c>
      <c r="C161" s="7">
        <f>日前电价!C161-实时电价!C161</f>
        <v>-8.65859999999998</v>
      </c>
      <c r="D161" s="7">
        <f>日前电价!D161-实时电价!D161</f>
        <v>-8.61790000000002</v>
      </c>
      <c r="E161" s="7">
        <f>日前电价!E161-实时电价!E161</f>
        <v>-9.30429999999996</v>
      </c>
      <c r="F161" s="7">
        <f>日前电价!F161-实时电价!F161</f>
        <v>-14.23</v>
      </c>
      <c r="G161" s="7">
        <f>日前电价!G161-实时电价!G161</f>
        <v>-12.0525</v>
      </c>
      <c r="H161" s="7">
        <f>日前电价!H161-实时电价!H161</f>
        <v>-21.8198</v>
      </c>
      <c r="I161" s="7">
        <f>日前电价!I161-实时电价!I161</f>
        <v>-18.75</v>
      </c>
      <c r="J161" s="7">
        <f>日前电价!J161-实时电价!J161</f>
        <v>-1.40929999999997</v>
      </c>
      <c r="K161" s="7">
        <f>日前电价!K161-实时电价!K161</f>
        <v>-17.6391</v>
      </c>
      <c r="L161" s="7">
        <f>日前电价!L161-实时电价!L161</f>
        <v>-20.3475</v>
      </c>
      <c r="M161" s="7">
        <f>日前电价!M161-实时电价!M161</f>
        <v>9.16399999999999</v>
      </c>
      <c r="N161" s="7">
        <f>日前电价!N161-实时电价!N161</f>
        <v>77.2592</v>
      </c>
      <c r="O161" s="7">
        <f>日前电价!O161-实时电价!O161</f>
        <v>13.0819</v>
      </c>
      <c r="P161" s="7">
        <f>日前电价!P161-实时电价!P161</f>
        <v>12.9759</v>
      </c>
      <c r="Q161" s="7">
        <f>日前电价!Q161-实时电价!Q161</f>
        <v>-13.1455</v>
      </c>
      <c r="R161" s="7">
        <f>日前电价!R161-实时电价!R161</f>
        <v>-5.34140000000002</v>
      </c>
      <c r="S161" s="7">
        <f>日前电价!S161-实时电价!S161</f>
        <v>-7.74079999999998</v>
      </c>
      <c r="T161" s="7">
        <f>日前电价!T161-实时电价!T161</f>
        <v>-4.66729999999995</v>
      </c>
      <c r="U161" s="7">
        <f>日前电价!U161-实时电价!U161</f>
        <v>-40.7188</v>
      </c>
      <c r="V161" s="7">
        <f>日前电价!V161-实时电价!V161</f>
        <v>-64.0108</v>
      </c>
      <c r="W161" s="7">
        <f>日前电价!W161-实时电价!W161</f>
        <v>-197.6189</v>
      </c>
      <c r="X161" s="7">
        <f>日前电价!X161-实时电价!X161</f>
        <v>-35.1127</v>
      </c>
      <c r="Y161" s="7">
        <f>日前电价!Y161-实时电价!Y161</f>
        <v>-17.3224</v>
      </c>
      <c r="Z161" s="9">
        <f t="shared" si="6"/>
        <v>77.2592</v>
      </c>
      <c r="AA161" s="9">
        <f t="shared" si="7"/>
        <v>-197.6189</v>
      </c>
      <c r="AB161" s="9">
        <f t="shared" si="8"/>
        <v>-20.9667791666667</v>
      </c>
    </row>
    <row r="162" spans="1:28">
      <c r="A162" s="8">
        <v>45452</v>
      </c>
      <c r="B162" s="7">
        <f>日前电价!B162-实时电价!B162</f>
        <v>-75.2779</v>
      </c>
      <c r="C162" s="7">
        <f>日前电价!C162-实时电价!C162</f>
        <v>-49.0739</v>
      </c>
      <c r="D162" s="7">
        <f>日前电价!D162-实时电价!D162</f>
        <v>-22.1089</v>
      </c>
      <c r="E162" s="7">
        <f>日前电价!E162-实时电价!E162</f>
        <v>-20.3905999999999</v>
      </c>
      <c r="F162" s="7">
        <f>日前电价!F162-实时电价!F162</f>
        <v>-21.3694</v>
      </c>
      <c r="G162" s="7">
        <f>日前电价!G162-实时电价!G162</f>
        <v>77.4491</v>
      </c>
      <c r="H162" s="7">
        <f>日前电价!H162-实时电价!H162</f>
        <v>-34.5447</v>
      </c>
      <c r="I162" s="7">
        <f>日前电价!I162-实时电价!I162</f>
        <v>-30.6923</v>
      </c>
      <c r="J162" s="7">
        <f>日前电价!J162-实时电价!J162</f>
        <v>89.4692</v>
      </c>
      <c r="K162" s="7">
        <f>日前电价!K162-实时电价!K162</f>
        <v>28.6553</v>
      </c>
      <c r="L162" s="7">
        <f>日前电价!L162-实时电价!L162</f>
        <v>46.1324</v>
      </c>
      <c r="M162" s="7">
        <f>日前电价!M162-实时电价!M162</f>
        <v>200.0202</v>
      </c>
      <c r="N162" s="7">
        <f>日前电价!N162-实时电价!N162</f>
        <v>249.553</v>
      </c>
      <c r="O162" s="7">
        <f>日前电价!O162-实时电价!O162</f>
        <v>54.9934</v>
      </c>
      <c r="P162" s="7">
        <f>日前电价!P162-实时电价!P162</f>
        <v>214.8639</v>
      </c>
      <c r="Q162" s="7">
        <f>日前电价!Q162-实时电价!Q162</f>
        <v>200.7097</v>
      </c>
      <c r="R162" s="7">
        <f>日前电价!R162-实时电价!R162</f>
        <v>199.8287</v>
      </c>
      <c r="S162" s="7">
        <f>日前电价!S162-实时电价!S162</f>
        <v>255.7377</v>
      </c>
      <c r="T162" s="7">
        <f>日前电价!T162-实时电价!T162</f>
        <v>196.8128</v>
      </c>
      <c r="U162" s="7">
        <f>日前电价!U162-实时电价!U162</f>
        <v>55.6432</v>
      </c>
      <c r="V162" s="7">
        <f>日前电价!V162-实时电价!V162</f>
        <v>14.1974</v>
      </c>
      <c r="W162" s="7">
        <f>日前电价!W162-实时电价!W162</f>
        <v>12.0763</v>
      </c>
      <c r="X162" s="7">
        <f>日前电价!X162-实时电价!X162</f>
        <v>10.2405</v>
      </c>
      <c r="Y162" s="7">
        <f>日前电价!Y162-实时电价!Y162</f>
        <v>182.0597</v>
      </c>
      <c r="Z162" s="9">
        <f t="shared" si="6"/>
        <v>255.7377</v>
      </c>
      <c r="AA162" s="9">
        <f t="shared" si="7"/>
        <v>-75.2779</v>
      </c>
      <c r="AB162" s="9">
        <f t="shared" si="8"/>
        <v>76.4577</v>
      </c>
    </row>
    <row r="163" spans="1:28">
      <c r="A163" s="8">
        <v>45453</v>
      </c>
      <c r="B163" s="7">
        <f>日前电价!B163-实时电价!B163</f>
        <v>-93.6479</v>
      </c>
      <c r="C163" s="7">
        <f>日前电价!C163-实时电价!C163</f>
        <v>-43.3866</v>
      </c>
      <c r="D163" s="7">
        <f>日前电价!D163-实时电价!D163</f>
        <v>-42.4075</v>
      </c>
      <c r="E163" s="7">
        <f>日前电价!E163-实时电价!E163</f>
        <v>0</v>
      </c>
      <c r="F163" s="7">
        <f>日前电价!F163-实时电价!F163</f>
        <v>0</v>
      </c>
      <c r="G163" s="7">
        <f>日前电价!G163-实时电价!G163</f>
        <v>0</v>
      </c>
      <c r="H163" s="7">
        <f>日前电价!H163-实时电价!H163</f>
        <v>0</v>
      </c>
      <c r="I163" s="7">
        <f>日前电价!I163-实时电价!I163</f>
        <v>0</v>
      </c>
      <c r="J163" s="7">
        <f>日前电价!J163-实时电价!J163</f>
        <v>-65.3675</v>
      </c>
      <c r="K163" s="7">
        <f>日前电价!K163-实时电价!K163</f>
        <v>0</v>
      </c>
      <c r="L163" s="7">
        <f>日前电价!L163-实时电价!L163</f>
        <v>-134.3971</v>
      </c>
      <c r="M163" s="7">
        <f>日前电价!M163-实时电价!M163</f>
        <v>-64.9948</v>
      </c>
      <c r="N163" s="7">
        <f>日前电价!N163-实时电价!N163</f>
        <v>-197.8776</v>
      </c>
      <c r="O163" s="7">
        <f>日前电价!O163-实时电价!O163</f>
        <v>-0.0686</v>
      </c>
      <c r="P163" s="7">
        <f>日前电价!P163-实时电价!P163</f>
        <v>-49.7603</v>
      </c>
      <c r="Q163" s="7">
        <f>日前电价!Q163-实时电价!Q163</f>
        <v>-150.1367</v>
      </c>
      <c r="R163" s="7">
        <f>日前电价!R163-实时电价!R163</f>
        <v>-6.3146</v>
      </c>
      <c r="S163" s="7">
        <f>日前电价!S163-实时电价!S163</f>
        <v>-27.0586</v>
      </c>
      <c r="T163" s="7">
        <f>日前电价!T163-实时电价!T163</f>
        <v>-31.9992</v>
      </c>
      <c r="U163" s="7">
        <f>日前电价!U163-实时电价!U163</f>
        <v>-250.8359</v>
      </c>
      <c r="V163" s="7">
        <f>日前电价!V163-实时电价!V163</f>
        <v>-444.7024</v>
      </c>
      <c r="W163" s="7">
        <f>日前电价!W163-实时电价!W163</f>
        <v>-436.6626</v>
      </c>
      <c r="X163" s="7">
        <f>日前电价!X163-实时电价!X163</f>
        <v>-87.946</v>
      </c>
      <c r="Y163" s="7">
        <f>日前电价!Y163-实时电价!Y163</f>
        <v>-109.7123</v>
      </c>
      <c r="Z163" s="9">
        <f t="shared" si="6"/>
        <v>0</v>
      </c>
      <c r="AA163" s="9">
        <f t="shared" si="7"/>
        <v>-444.7024</v>
      </c>
      <c r="AB163" s="9">
        <f t="shared" si="8"/>
        <v>-93.2198416666667</v>
      </c>
    </row>
    <row r="164" spans="1:28">
      <c r="A164" s="8">
        <v>45454</v>
      </c>
      <c r="B164" s="7">
        <f>日前电价!B164-实时电价!B164</f>
        <v>-190.9455</v>
      </c>
      <c r="C164" s="7">
        <f>日前电价!C164-实时电价!C164</f>
        <v>-75.6159</v>
      </c>
      <c r="D164" s="7">
        <f>日前电价!D164-实时电价!D164</f>
        <v>-29</v>
      </c>
      <c r="E164" s="7">
        <f>日前电价!E164-实时电价!E164</f>
        <v>-13.83</v>
      </c>
      <c r="F164" s="7">
        <f>日前电价!F164-实时电价!F164</f>
        <v>-18.165</v>
      </c>
      <c r="G164" s="7">
        <f>日前电价!G164-实时电价!G164</f>
        <v>-32.86</v>
      </c>
      <c r="H164" s="7">
        <f>日前电价!H164-实时电价!H164</f>
        <v>-26.5275</v>
      </c>
      <c r="I164" s="7">
        <f>日前电价!I164-实时电价!I164</f>
        <v>2.40289999999999</v>
      </c>
      <c r="J164" s="7">
        <f>日前电价!J164-实时电价!J164</f>
        <v>-372.3271</v>
      </c>
      <c r="K164" s="7">
        <f>日前电价!K164-实时电价!K164</f>
        <v>-600.3118</v>
      </c>
      <c r="L164" s="7">
        <f>日前电价!L164-实时电价!L164</f>
        <v>-250.3191</v>
      </c>
      <c r="M164" s="7">
        <f>日前电价!M164-实时电价!M164</f>
        <v>-431.1867</v>
      </c>
      <c r="N164" s="7">
        <f>日前电价!N164-实时电价!N164</f>
        <v>-67.7649</v>
      </c>
      <c r="O164" s="7">
        <f>日前电价!O164-实时电价!O164</f>
        <v>-342.2013</v>
      </c>
      <c r="P164" s="7">
        <f>日前电价!P164-实时电价!P164</f>
        <v>-314.8356</v>
      </c>
      <c r="Q164" s="7">
        <f>日前电价!Q164-实时电价!Q164</f>
        <v>-486.3966</v>
      </c>
      <c r="R164" s="7">
        <f>日前电价!R164-实时电价!R164</f>
        <v>-306.9801</v>
      </c>
      <c r="S164" s="7">
        <f>日前电价!S164-实时电价!S164</f>
        <v>-69.9694</v>
      </c>
      <c r="T164" s="7">
        <f>日前电价!T164-实时电价!T164</f>
        <v>-20.3784</v>
      </c>
      <c r="U164" s="7">
        <f>日前电价!U164-实时电价!U164</f>
        <v>-93.8906</v>
      </c>
      <c r="V164" s="7">
        <f>日前电价!V164-实时电价!V164</f>
        <v>-183.1353</v>
      </c>
      <c r="W164" s="7">
        <f>日前电价!W164-实时电价!W164</f>
        <v>-506.5123</v>
      </c>
      <c r="X164" s="7">
        <f>日前电价!X164-实时电价!X164</f>
        <v>-80.9674</v>
      </c>
      <c r="Y164" s="7">
        <f>日前电价!Y164-实时电价!Y164</f>
        <v>-44.4037</v>
      </c>
      <c r="Z164" s="9">
        <f t="shared" si="6"/>
        <v>2.40289999999999</v>
      </c>
      <c r="AA164" s="9">
        <f t="shared" si="7"/>
        <v>-600.3118</v>
      </c>
      <c r="AB164" s="9">
        <f t="shared" si="8"/>
        <v>-189.8383875</v>
      </c>
    </row>
    <row r="165" spans="1:28">
      <c r="A165" s="8">
        <v>45455</v>
      </c>
      <c r="B165" s="7">
        <f>日前电价!B165-实时电价!B165</f>
        <v>-185.0224</v>
      </c>
      <c r="C165" s="7">
        <f>日前电价!C165-实时电价!C165</f>
        <v>-34.3447</v>
      </c>
      <c r="D165" s="7">
        <f>日前电价!D165-实时电价!D165</f>
        <v>-6.86700000000002</v>
      </c>
      <c r="E165" s="7">
        <f>日前电价!E165-实时电价!E165</f>
        <v>-13.5587</v>
      </c>
      <c r="F165" s="7">
        <f>日前电价!F165-实时电价!F165</f>
        <v>-19.4895</v>
      </c>
      <c r="G165" s="7">
        <f>日前电价!G165-实时电价!G165</f>
        <v>-23.2982</v>
      </c>
      <c r="H165" s="7">
        <f>日前电价!H165-实时电价!H165</f>
        <v>-25.9803</v>
      </c>
      <c r="I165" s="7">
        <f>日前电价!I165-实时电价!I165</f>
        <v>-23.3194999999999</v>
      </c>
      <c r="J165" s="7">
        <f>日前电价!J165-实时电价!J165</f>
        <v>-15.7031</v>
      </c>
      <c r="K165" s="7">
        <f>日前电价!K165-实时电价!K165</f>
        <v>3.4676</v>
      </c>
      <c r="L165" s="7">
        <f>日前电价!L165-实时电价!L165</f>
        <v>6.21409999999997</v>
      </c>
      <c r="M165" s="7">
        <f>日前电价!M165-实时电价!M165</f>
        <v>0.452499999999986</v>
      </c>
      <c r="N165" s="7">
        <f>日前电价!N165-实时电价!N165</f>
        <v>-6.77820000000003</v>
      </c>
      <c r="O165" s="7">
        <f>日前电价!O165-实时电价!O165</f>
        <v>-66.9862</v>
      </c>
      <c r="P165" s="7">
        <f>日前电价!P165-实时电价!P165</f>
        <v>-22.0463</v>
      </c>
      <c r="Q165" s="7">
        <f>日前电价!Q165-实时电价!Q165</f>
        <v>-1.17750000000001</v>
      </c>
      <c r="R165" s="7">
        <f>日前电价!R165-实时电价!R165</f>
        <v>-16.2653</v>
      </c>
      <c r="S165" s="7">
        <f>日前电价!S165-实时电价!S165</f>
        <v>-9.4984</v>
      </c>
      <c r="T165" s="7">
        <f>日前电价!T165-实时电价!T165</f>
        <v>-15.512</v>
      </c>
      <c r="U165" s="7">
        <f>日前电价!U165-实时电价!U165</f>
        <v>-54.4683</v>
      </c>
      <c r="V165" s="7">
        <f>日前电价!V165-实时电价!V165</f>
        <v>-63.659</v>
      </c>
      <c r="W165" s="7">
        <f>日前电价!W165-实时电价!W165</f>
        <v>-69.8502</v>
      </c>
      <c r="X165" s="7">
        <f>日前电价!X165-实时电价!X165</f>
        <v>-43.6671</v>
      </c>
      <c r="Y165" s="7">
        <f>日前电价!Y165-实时电价!Y165</f>
        <v>-37.7996</v>
      </c>
      <c r="Z165" s="9">
        <f t="shared" si="6"/>
        <v>6.21409999999997</v>
      </c>
      <c r="AA165" s="9">
        <f t="shared" si="7"/>
        <v>-185.0224</v>
      </c>
      <c r="AB165" s="9">
        <f t="shared" si="8"/>
        <v>-31.0482208333333</v>
      </c>
    </row>
    <row r="166" spans="1:28">
      <c r="A166" s="8">
        <v>45456</v>
      </c>
      <c r="B166" s="7">
        <f>日前电价!B166-实时电价!B166</f>
        <v>-55.7796</v>
      </c>
      <c r="C166" s="7">
        <f>日前电价!C166-实时电价!C166</f>
        <v>-28.6496</v>
      </c>
      <c r="D166" s="7">
        <f>日前电价!D166-实时电价!D166</f>
        <v>-7.35820000000001</v>
      </c>
      <c r="E166" s="7">
        <f>日前电价!E166-实时电价!E166</f>
        <v>-7.88380000000001</v>
      </c>
      <c r="F166" s="7">
        <f>日前电价!F166-实时电价!F166</f>
        <v>-7.71539999999999</v>
      </c>
      <c r="G166" s="7">
        <f>日前电价!G166-实时电价!G166</f>
        <v>-9.07499999999999</v>
      </c>
      <c r="H166" s="7">
        <f>日前电价!H166-实时电价!H166</f>
        <v>-13</v>
      </c>
      <c r="I166" s="7">
        <f>日前电价!I166-实时电价!I166</f>
        <v>-10.4772</v>
      </c>
      <c r="J166" s="7">
        <f>日前电价!J166-实时电价!J166</f>
        <v>-20.4944</v>
      </c>
      <c r="K166" s="7">
        <f>日前电价!K166-实时电价!K166</f>
        <v>-6.75279999999998</v>
      </c>
      <c r="L166" s="7">
        <f>日前电价!L166-实时电价!L166</f>
        <v>71.1203</v>
      </c>
      <c r="M166" s="7">
        <f>日前电价!M166-实时电价!M166</f>
        <v>40.1132</v>
      </c>
      <c r="N166" s="7">
        <f>日前电价!N166-实时电价!N166</f>
        <v>82.7741</v>
      </c>
      <c r="O166" s="7">
        <f>日前电价!O166-实时电价!O166</f>
        <v>18.3201</v>
      </c>
      <c r="P166" s="7">
        <f>日前电价!P166-实时电价!P166</f>
        <v>34.2252</v>
      </c>
      <c r="Q166" s="7">
        <f>日前电价!Q166-实时电价!Q166</f>
        <v>22.3305</v>
      </c>
      <c r="R166" s="7">
        <f>日前电价!R166-实时电价!R166</f>
        <v>9.58320000000003</v>
      </c>
      <c r="S166" s="7">
        <f>日前电价!S166-实时电价!S166</f>
        <v>-65.2761</v>
      </c>
      <c r="T166" s="7">
        <f>日前电价!T166-实时电价!T166</f>
        <v>-46.0376</v>
      </c>
      <c r="U166" s="7">
        <f>日前电价!U166-实时电价!U166</f>
        <v>-97.1304</v>
      </c>
      <c r="V166" s="7">
        <f>日前电价!V166-实时电价!V166</f>
        <v>-88.7794</v>
      </c>
      <c r="W166" s="7">
        <f>日前电价!W166-实时电价!W166</f>
        <v>-57.6835</v>
      </c>
      <c r="X166" s="7">
        <f>日前电价!X166-实时电价!X166</f>
        <v>-28.1931</v>
      </c>
      <c r="Y166" s="7">
        <f>日前电价!Y166-实时电价!Y166</f>
        <v>-45.3156</v>
      </c>
      <c r="Z166" s="9">
        <f t="shared" si="6"/>
        <v>82.7741</v>
      </c>
      <c r="AA166" s="9">
        <f t="shared" si="7"/>
        <v>-97.1304</v>
      </c>
      <c r="AB166" s="9">
        <f t="shared" si="8"/>
        <v>-13.2139625</v>
      </c>
    </row>
    <row r="167" spans="1:28">
      <c r="A167" s="8">
        <v>45457</v>
      </c>
      <c r="B167" s="7">
        <f>日前电价!B167-实时电价!B167</f>
        <v>-49.7443</v>
      </c>
      <c r="C167" s="7">
        <f>日前电价!C167-实时电价!C167</f>
        <v>-14.0248</v>
      </c>
      <c r="D167" s="7">
        <f>日前电价!D167-实时电价!D167</f>
        <v>-3.07959999999997</v>
      </c>
      <c r="E167" s="7">
        <f>日前电价!E167-实时电价!E167</f>
        <v>1.64789999999999</v>
      </c>
      <c r="F167" s="7">
        <f>日前电价!F167-实时电价!F167</f>
        <v>-6.83320000000003</v>
      </c>
      <c r="G167" s="7">
        <f>日前电价!G167-实时电价!G167</f>
        <v>-5.37599999999998</v>
      </c>
      <c r="H167" s="7">
        <f>日前电价!H167-实时电价!H167</f>
        <v>-12.9565</v>
      </c>
      <c r="I167" s="7">
        <f>日前电价!I167-实时电价!I167</f>
        <v>-8.14669999999995</v>
      </c>
      <c r="J167" s="7">
        <f>日前电价!J167-实时电价!J167</f>
        <v>-11.1831</v>
      </c>
      <c r="K167" s="7">
        <f>日前电价!K167-实时电价!K167</f>
        <v>14.0268</v>
      </c>
      <c r="L167" s="7">
        <f>日前电价!L167-实时电价!L167</f>
        <v>111.1384</v>
      </c>
      <c r="M167" s="7">
        <f>日前电价!M167-实时电价!M167</f>
        <v>163.1372</v>
      </c>
      <c r="N167" s="7">
        <f>日前电价!N167-实时电价!N167</f>
        <v>175.0697</v>
      </c>
      <c r="O167" s="7">
        <f>日前电价!O167-实时电价!O167</f>
        <v>29.2924</v>
      </c>
      <c r="P167" s="7">
        <f>日前电价!P167-实时电价!P167</f>
        <v>81.3605</v>
      </c>
      <c r="Q167" s="7">
        <f>日前电价!Q167-实时电价!Q167</f>
        <v>100.887</v>
      </c>
      <c r="R167" s="7">
        <f>日前电价!R167-实时电价!R167</f>
        <v>77.7634</v>
      </c>
      <c r="S167" s="7">
        <f>日前电价!S167-实时电价!S167</f>
        <v>74.1842</v>
      </c>
      <c r="T167" s="7">
        <f>日前电价!T167-实时电价!T167</f>
        <v>50.2657</v>
      </c>
      <c r="U167" s="7">
        <f>日前电价!U167-实时电价!U167</f>
        <v>44.5352</v>
      </c>
      <c r="V167" s="7">
        <f>日前电价!V167-实时电价!V167</f>
        <v>38.0032</v>
      </c>
      <c r="W167" s="7">
        <f>日前电价!W167-实时电价!W167</f>
        <v>40.3846</v>
      </c>
      <c r="X167" s="7">
        <f>日前电价!X167-实时电价!X167</f>
        <v>27.2753</v>
      </c>
      <c r="Y167" s="7">
        <f>日前电价!Y167-实时电价!Y167</f>
        <v>3.1979</v>
      </c>
      <c r="Z167" s="9">
        <f t="shared" si="6"/>
        <v>175.0697</v>
      </c>
      <c r="AA167" s="9">
        <f t="shared" si="7"/>
        <v>-49.7443</v>
      </c>
      <c r="AB167" s="9">
        <f t="shared" si="8"/>
        <v>38.3677166666667</v>
      </c>
    </row>
    <row r="168" spans="1:28">
      <c r="A168" s="8">
        <v>45458</v>
      </c>
      <c r="B168" s="7">
        <f>日前电价!B168-实时电价!B168</f>
        <v>6.93819999999999</v>
      </c>
      <c r="C168" s="7">
        <f>日前电价!C168-实时电价!C168</f>
        <v>16.4129</v>
      </c>
      <c r="D168" s="7">
        <f>日前电价!D168-实时电价!D168</f>
        <v>30.4489</v>
      </c>
      <c r="E168" s="7">
        <f>日前电价!E168-实时电价!E168</f>
        <v>21.8191</v>
      </c>
      <c r="F168" s="7">
        <f>日前电价!F168-实时电价!F168</f>
        <v>15.5541</v>
      </c>
      <c r="G168" s="7">
        <f>日前电价!G168-实时电价!G168</f>
        <v>11.2173</v>
      </c>
      <c r="H168" s="7">
        <f>日前电价!H168-实时电价!H168</f>
        <v>10.2762</v>
      </c>
      <c r="I168" s="7">
        <f>日前电价!I168-实时电价!I168</f>
        <v>11.8317</v>
      </c>
      <c r="J168" s="7">
        <f>日前电价!J168-实时电价!J168</f>
        <v>26.4734</v>
      </c>
      <c r="K168" s="7">
        <f>日前电价!K168-实时电价!K168</f>
        <v>68.7311</v>
      </c>
      <c r="L168" s="7">
        <f>日前电价!L168-实时电价!L168</f>
        <v>160.9324</v>
      </c>
      <c r="M168" s="7">
        <f>日前电价!M168-实时电价!M168</f>
        <v>116.9636</v>
      </c>
      <c r="N168" s="7">
        <f>日前电价!N168-实时电价!N168</f>
        <v>150.3631</v>
      </c>
      <c r="O168" s="7">
        <f>日前电价!O168-实时电价!O168</f>
        <v>50.8719</v>
      </c>
      <c r="P168" s="7">
        <f>日前电价!P168-实时电价!P168</f>
        <v>56.8552</v>
      </c>
      <c r="Q168" s="7">
        <f>日前电价!Q168-实时电价!Q168</f>
        <v>72.7599</v>
      </c>
      <c r="R168" s="7">
        <f>日前电价!R168-实时电价!R168</f>
        <v>69.2634</v>
      </c>
      <c r="S168" s="7">
        <f>日前电价!S168-实时电价!S168</f>
        <v>63.2835</v>
      </c>
      <c r="T168" s="7">
        <f>日前电价!T168-实时电价!T168</f>
        <v>49.1295</v>
      </c>
      <c r="U168" s="7">
        <f>日前电价!U168-实时电价!U168</f>
        <v>58.3998</v>
      </c>
      <c r="V168" s="7">
        <f>日前电价!V168-实时电价!V168</f>
        <v>50.2021</v>
      </c>
      <c r="W168" s="7">
        <f>日前电价!W168-实时电价!W168</f>
        <v>55.3176</v>
      </c>
      <c r="X168" s="7">
        <f>日前电价!X168-实时电价!X168</f>
        <v>63.3247</v>
      </c>
      <c r="Y168" s="7">
        <f>日前电价!Y168-实时电价!Y168</f>
        <v>54.0922</v>
      </c>
      <c r="Z168" s="9">
        <f t="shared" si="6"/>
        <v>160.9324</v>
      </c>
      <c r="AA168" s="9">
        <f t="shared" si="7"/>
        <v>6.93819999999999</v>
      </c>
      <c r="AB168" s="9">
        <f t="shared" si="8"/>
        <v>53.8109083333333</v>
      </c>
    </row>
    <row r="169" spans="1:28">
      <c r="A169" s="8">
        <v>45459</v>
      </c>
      <c r="B169" s="7">
        <f>日前电价!B169-实时电价!B169</f>
        <v>-1.83170000000001</v>
      </c>
      <c r="C169" s="7">
        <f>日前电价!C169-实时电价!C169</f>
        <v>26.3605</v>
      </c>
      <c r="D169" s="7">
        <f>日前电价!D169-实时电价!D169</f>
        <v>18.4282</v>
      </c>
      <c r="E169" s="7">
        <f>日前电价!E169-实时电价!E169</f>
        <v>13.8113</v>
      </c>
      <c r="F169" s="7">
        <f>日前电价!F169-实时电价!F169</f>
        <v>35.4280000000001</v>
      </c>
      <c r="G169" s="7">
        <f>日前电价!G169-实时电价!G169</f>
        <v>224.9006</v>
      </c>
      <c r="H169" s="7">
        <f>日前电价!H169-实时电价!H169</f>
        <v>277.7316</v>
      </c>
      <c r="I169" s="7">
        <f>日前电价!I169-实时电价!I169</f>
        <v>233.727</v>
      </c>
      <c r="J169" s="7">
        <f>日前电价!J169-实时电价!J169</f>
        <v>9.6528</v>
      </c>
      <c r="K169" s="7">
        <f>日前电价!K169-实时电价!K169</f>
        <v>63.5463</v>
      </c>
      <c r="L169" s="7">
        <f>日前电价!L169-实时电价!L169</f>
        <v>54.4923</v>
      </c>
      <c r="M169" s="7">
        <f>日前电价!M169-实时电价!M169</f>
        <v>-27.8732</v>
      </c>
      <c r="N169" s="7">
        <f>日前电价!N169-实时电价!N169</f>
        <v>218.9502</v>
      </c>
      <c r="O169" s="7">
        <f>日前电价!O169-实时电价!O169</f>
        <v>37.2674</v>
      </c>
      <c r="P169" s="7">
        <f>日前电价!P169-实时电价!P169</f>
        <v>167.3347</v>
      </c>
      <c r="Q169" s="7">
        <f>日前电价!Q169-实时电价!Q169</f>
        <v>233.6734</v>
      </c>
      <c r="R169" s="7">
        <f>日前电价!R169-实时电价!R169</f>
        <v>245.8954</v>
      </c>
      <c r="S169" s="7">
        <f>日前电价!S169-实时电价!S169</f>
        <v>268.714</v>
      </c>
      <c r="T169" s="7">
        <f>日前电价!T169-实时电价!T169</f>
        <v>247.4248</v>
      </c>
      <c r="U169" s="7">
        <f>日前电价!U169-实时电价!U169</f>
        <v>211.9693</v>
      </c>
      <c r="V169" s="7">
        <f>日前电价!V169-实时电价!V169</f>
        <v>50.0845</v>
      </c>
      <c r="W169" s="7">
        <f>日前电价!W169-实时电价!W169</f>
        <v>23.1433</v>
      </c>
      <c r="X169" s="7">
        <f>日前电价!X169-实时电价!X169</f>
        <v>105.2688</v>
      </c>
      <c r="Y169" s="7">
        <f>日前电价!Y169-实时电价!Y169</f>
        <v>43.4254</v>
      </c>
      <c r="Z169" s="9">
        <f t="shared" si="6"/>
        <v>277.7316</v>
      </c>
      <c r="AA169" s="9">
        <f t="shared" si="7"/>
        <v>-27.8732</v>
      </c>
      <c r="AB169" s="9">
        <f t="shared" si="8"/>
        <v>115.896870833333</v>
      </c>
    </row>
    <row r="170" spans="1:28">
      <c r="A170" s="8">
        <v>45460</v>
      </c>
      <c r="B170" s="7">
        <f>日前电价!B170-实时电价!B170</f>
        <v>7.63</v>
      </c>
      <c r="C170" s="7">
        <f>日前电价!C170-实时电价!C170</f>
        <v>52.2641</v>
      </c>
      <c r="D170" s="7">
        <f>日前电价!D170-实时电价!D170</f>
        <v>234.2298</v>
      </c>
      <c r="E170" s="7">
        <f>日前电价!E170-实时电价!E170</f>
        <v>191.2292</v>
      </c>
      <c r="F170" s="7">
        <f>日前电价!F170-实时电价!F170</f>
        <v>1.5075</v>
      </c>
      <c r="G170" s="7">
        <f>日前电价!G170-实时电价!G170</f>
        <v>-0.0002</v>
      </c>
      <c r="H170" s="7">
        <f>日前电价!H170-实时电价!H170</f>
        <v>81.0718</v>
      </c>
      <c r="I170" s="7">
        <f>日前电价!I170-实时电价!I170</f>
        <v>178.7429</v>
      </c>
      <c r="J170" s="7">
        <f>日前电价!J170-实时电价!J170</f>
        <v>0.561500000000024</v>
      </c>
      <c r="K170" s="7">
        <f>日前电价!K170-实时电价!K170</f>
        <v>17.8572</v>
      </c>
      <c r="L170" s="7">
        <f>日前电价!L170-实时电价!L170</f>
        <v>14.0968</v>
      </c>
      <c r="M170" s="7">
        <f>日前电价!M170-实时电价!M170</f>
        <v>49.227</v>
      </c>
      <c r="N170" s="7">
        <f>日前电价!N170-实时电价!N170</f>
        <v>142.4858</v>
      </c>
      <c r="O170" s="7">
        <f>日前电价!O170-实时电价!O170</f>
        <v>23.3486</v>
      </c>
      <c r="P170" s="7">
        <f>日前电价!P170-实时电价!P170</f>
        <v>58.7046</v>
      </c>
      <c r="Q170" s="7">
        <f>日前电价!Q170-实时电价!Q170</f>
        <v>61.4911</v>
      </c>
      <c r="R170" s="7">
        <f>日前电价!R170-实时电价!R170</f>
        <v>29.983</v>
      </c>
      <c r="S170" s="7">
        <f>日前电价!S170-实时电价!S170</f>
        <v>-5.44659999999999</v>
      </c>
      <c r="T170" s="7">
        <f>日前电价!T170-实时电价!T170</f>
        <v>14.9702</v>
      </c>
      <c r="U170" s="7">
        <f>日前电价!U170-实时电价!U170</f>
        <v>5.97030000000001</v>
      </c>
      <c r="V170" s="7">
        <f>日前电价!V170-实时电价!V170</f>
        <v>11.5782</v>
      </c>
      <c r="W170" s="7">
        <f>日前电价!W170-实时电价!W170</f>
        <v>8.74110000000002</v>
      </c>
      <c r="X170" s="7">
        <f>日前电价!X170-实时电价!X170</f>
        <v>10.4287</v>
      </c>
      <c r="Y170" s="7">
        <f>日前电价!Y170-实时电价!Y170</f>
        <v>5.65959999999995</v>
      </c>
      <c r="Z170" s="9">
        <f t="shared" si="6"/>
        <v>234.2298</v>
      </c>
      <c r="AA170" s="9">
        <f t="shared" si="7"/>
        <v>-5.44659999999999</v>
      </c>
      <c r="AB170" s="9">
        <f t="shared" si="8"/>
        <v>49.847175</v>
      </c>
    </row>
    <row r="171" spans="1:28">
      <c r="A171" s="8">
        <v>45461</v>
      </c>
      <c r="B171" s="7">
        <f>日前电价!B171-实时电价!B171</f>
        <v>-7.66839999999996</v>
      </c>
      <c r="C171" s="7">
        <f>日前电价!C171-实时电价!C171</f>
        <v>8.52340000000004</v>
      </c>
      <c r="D171" s="7">
        <f>日前电价!D171-实时电价!D171</f>
        <v>14.1726</v>
      </c>
      <c r="E171" s="7">
        <f>日前电价!E171-实时电价!E171</f>
        <v>48.3701</v>
      </c>
      <c r="F171" s="7">
        <f>日前电价!F171-实时电价!F171</f>
        <v>63.3304</v>
      </c>
      <c r="G171" s="7">
        <f>日前电价!G171-实时电价!G171</f>
        <v>42.5419</v>
      </c>
      <c r="H171" s="7">
        <f>日前电价!H171-实时电价!H171</f>
        <v>11.1063</v>
      </c>
      <c r="I171" s="7">
        <f>日前电价!I171-实时电价!I171</f>
        <v>10.82</v>
      </c>
      <c r="J171" s="7">
        <f>日前电价!J171-实时电价!J171</f>
        <v>-3.3229</v>
      </c>
      <c r="K171" s="7">
        <f>日前电价!K171-实时电价!K171</f>
        <v>15.7885</v>
      </c>
      <c r="L171" s="7">
        <f>日前电价!L171-实时电价!L171</f>
        <v>21.383</v>
      </c>
      <c r="M171" s="7">
        <f>日前电价!M171-实时电价!M171</f>
        <v>37.0959</v>
      </c>
      <c r="N171" s="7">
        <f>日前电价!N171-实时电价!N171</f>
        <v>-10.8251</v>
      </c>
      <c r="O171" s="7">
        <f>日前电价!O171-实时电价!O171</f>
        <v>9.71279999999996</v>
      </c>
      <c r="P171" s="7">
        <f>日前电价!P171-实时电价!P171</f>
        <v>34.9163</v>
      </c>
      <c r="Q171" s="7">
        <f>日前电价!Q171-实时电价!Q171</f>
        <v>35.4935</v>
      </c>
      <c r="R171" s="7">
        <f>日前电价!R171-实时电价!R171</f>
        <v>39.416</v>
      </c>
      <c r="S171" s="7">
        <f>日前电价!S171-实时电价!S171</f>
        <v>46.8915</v>
      </c>
      <c r="T171" s="7">
        <f>日前电价!T171-实时电价!T171</f>
        <v>26.7088</v>
      </c>
      <c r="U171" s="7">
        <f>日前电价!U171-实时电价!U171</f>
        <v>40.4419</v>
      </c>
      <c r="V171" s="7">
        <f>日前电价!V171-实时电价!V171</f>
        <v>26.6379</v>
      </c>
      <c r="W171" s="7">
        <f>日前电价!W171-实时电价!W171</f>
        <v>16.3225</v>
      </c>
      <c r="X171" s="7">
        <f>日前电价!X171-实时电价!X171</f>
        <v>25.9198</v>
      </c>
      <c r="Y171" s="7">
        <f>日前电价!Y171-实时电价!Y171</f>
        <v>1.84039999999999</v>
      </c>
      <c r="Z171" s="9">
        <f t="shared" si="6"/>
        <v>63.3304</v>
      </c>
      <c r="AA171" s="9">
        <f t="shared" si="7"/>
        <v>-10.8251</v>
      </c>
      <c r="AB171" s="9">
        <f t="shared" si="8"/>
        <v>23.1507125</v>
      </c>
    </row>
    <row r="172" spans="1:28">
      <c r="A172" s="8">
        <v>45462</v>
      </c>
      <c r="B172" s="7">
        <f>日前电价!B172-实时电价!B172</f>
        <v>-2.46519999999998</v>
      </c>
      <c r="C172" s="7">
        <f>日前电价!C172-实时电价!C172</f>
        <v>5.04220000000004</v>
      </c>
      <c r="D172" s="7">
        <f>日前电价!D172-实时电价!D172</f>
        <v>13.6205</v>
      </c>
      <c r="E172" s="7">
        <f>日前电价!E172-实时电价!E172</f>
        <v>29.8831</v>
      </c>
      <c r="F172" s="7">
        <f>日前电价!F172-实时电价!F172</f>
        <v>151.6177</v>
      </c>
      <c r="G172" s="7">
        <f>日前电价!G172-实时电价!G172</f>
        <v>265.5309</v>
      </c>
      <c r="H172" s="7">
        <f>日前电价!H172-实时电价!H172</f>
        <v>52.8708</v>
      </c>
      <c r="I172" s="7">
        <f>日前电价!I172-实时电价!I172</f>
        <v>71.0723</v>
      </c>
      <c r="J172" s="7">
        <f>日前电价!J172-实时电价!J172</f>
        <v>4.51159999999999</v>
      </c>
      <c r="K172" s="7">
        <f>日前电价!K172-实时电价!K172</f>
        <v>24.8241</v>
      </c>
      <c r="L172" s="7">
        <f>日前电价!L172-实时电价!L172</f>
        <v>40.9363</v>
      </c>
      <c r="M172" s="7">
        <f>日前电价!M172-实时电价!M172</f>
        <v>15.9578</v>
      </c>
      <c r="N172" s="7">
        <f>日前电价!N172-实时电价!N172</f>
        <v>102.8055</v>
      </c>
      <c r="O172" s="7">
        <f>日前电价!O172-实时电价!O172</f>
        <v>36.1204</v>
      </c>
      <c r="P172" s="7">
        <f>日前电价!P172-实时电价!P172</f>
        <v>121.2351</v>
      </c>
      <c r="Q172" s="7">
        <f>日前电价!Q172-实时电价!Q172</f>
        <v>18.4810000000001</v>
      </c>
      <c r="R172" s="7">
        <f>日前电价!R172-实时电价!R172</f>
        <v>-8.76759999999996</v>
      </c>
      <c r="S172" s="7">
        <f>日前电价!S172-实时电价!S172</f>
        <v>11.8705</v>
      </c>
      <c r="T172" s="7">
        <f>日前电价!T172-实时电价!T172</f>
        <v>19.0255</v>
      </c>
      <c r="U172" s="7">
        <f>日前电价!U172-实时电价!U172</f>
        <v>20.6702</v>
      </c>
      <c r="V172" s="7">
        <f>日前电价!V172-实时电价!V172</f>
        <v>14.4036</v>
      </c>
      <c r="W172" s="7">
        <f>日前电价!W172-实时电价!W172</f>
        <v>17.5412</v>
      </c>
      <c r="X172" s="7">
        <f>日前电价!X172-实时电价!X172</f>
        <v>13.3895</v>
      </c>
      <c r="Y172" s="7">
        <f>日前电价!Y172-实时电价!Y172</f>
        <v>11.1895</v>
      </c>
      <c r="Z172" s="9">
        <f t="shared" si="6"/>
        <v>265.5309</v>
      </c>
      <c r="AA172" s="9">
        <f t="shared" si="7"/>
        <v>-8.76759999999996</v>
      </c>
      <c r="AB172" s="9">
        <f t="shared" si="8"/>
        <v>43.8069375</v>
      </c>
    </row>
    <row r="173" spans="1:28">
      <c r="A173" s="8">
        <v>45463</v>
      </c>
      <c r="B173" s="7">
        <f>日前电价!B173-实时电价!B173</f>
        <v>-7.56419999999997</v>
      </c>
      <c r="C173" s="7">
        <f>日前电价!C173-实时电价!C173</f>
        <v>-0.744799999999998</v>
      </c>
      <c r="D173" s="7">
        <f>日前电价!D173-实时电价!D173</f>
        <v>4.79290000000003</v>
      </c>
      <c r="E173" s="7">
        <f>日前电价!E173-实时电价!E173</f>
        <v>2.82739999999995</v>
      </c>
      <c r="F173" s="7">
        <f>日前电价!F173-实时电价!F173</f>
        <v>6.22800000000001</v>
      </c>
      <c r="G173" s="7">
        <f>日前电价!G173-实时电价!G173</f>
        <v>-124.3876</v>
      </c>
      <c r="H173" s="7">
        <f>日前电价!H173-实时电价!H173</f>
        <v>-155.75</v>
      </c>
      <c r="I173" s="7">
        <f>日前电价!I173-实时电价!I173</f>
        <v>-10.7477</v>
      </c>
      <c r="J173" s="7">
        <f>日前电价!J173-实时电价!J173</f>
        <v>20.6217</v>
      </c>
      <c r="K173" s="7">
        <f>日前电价!K173-实时电价!K173</f>
        <v>70.6339</v>
      </c>
      <c r="L173" s="7">
        <f>日前电价!L173-实时电价!L173</f>
        <v>115.7395</v>
      </c>
      <c r="M173" s="7">
        <f>日前电价!M173-实时电价!M173</f>
        <v>186.9212</v>
      </c>
      <c r="N173" s="7">
        <f>日前电价!N173-实时电价!N173</f>
        <v>139.8156</v>
      </c>
      <c r="O173" s="7">
        <f>日前电价!O173-实时电价!O173</f>
        <v>97.8157</v>
      </c>
      <c r="P173" s="7">
        <f>日前电价!P173-实时电价!P173</f>
        <v>74.3034</v>
      </c>
      <c r="Q173" s="7">
        <f>日前电价!Q173-实时电价!Q173</f>
        <v>62.6071</v>
      </c>
      <c r="R173" s="7">
        <f>日前电价!R173-实时电价!R173</f>
        <v>15.0056</v>
      </c>
      <c r="S173" s="7">
        <f>日前电价!S173-实时电价!S173</f>
        <v>5.62060000000002</v>
      </c>
      <c r="T173" s="7">
        <f>日前电价!T173-实时电价!T173</f>
        <v>27.1715</v>
      </c>
      <c r="U173" s="7">
        <f>日前电价!U173-实时电价!U173</f>
        <v>37.1233</v>
      </c>
      <c r="V173" s="7">
        <f>日前电价!V173-实时电价!V173</f>
        <v>40.3232</v>
      </c>
      <c r="W173" s="7">
        <f>日前电价!W173-实时电价!W173</f>
        <v>17.9021</v>
      </c>
      <c r="X173" s="7">
        <f>日前电价!X173-实时电价!X173</f>
        <v>10.4978</v>
      </c>
      <c r="Y173" s="7">
        <f>日前电价!Y173-实时电价!Y173</f>
        <v>3.69190000000003</v>
      </c>
      <c r="Z173" s="9">
        <f t="shared" si="6"/>
        <v>186.9212</v>
      </c>
      <c r="AA173" s="9">
        <f t="shared" si="7"/>
        <v>-155.75</v>
      </c>
      <c r="AB173" s="9">
        <f t="shared" si="8"/>
        <v>26.6853375</v>
      </c>
    </row>
    <row r="174" spans="1:28">
      <c r="A174" s="8">
        <v>45464</v>
      </c>
      <c r="B174" s="7">
        <f>日前电价!B174-实时电价!B174</f>
        <v>-31.8754</v>
      </c>
      <c r="C174" s="7">
        <f>日前电价!C174-实时电价!C174</f>
        <v>-18.6166</v>
      </c>
      <c r="D174" s="7">
        <f>日前电价!D174-实时电价!D174</f>
        <v>-11.7289</v>
      </c>
      <c r="E174" s="7">
        <f>日前电价!E174-实时电价!E174</f>
        <v>-17.9621</v>
      </c>
      <c r="F174" s="7">
        <f>日前电价!F174-实时电价!F174</f>
        <v>-37.826</v>
      </c>
      <c r="G174" s="7">
        <f>日前电价!G174-实时电价!G174</f>
        <v>-142.16</v>
      </c>
      <c r="H174" s="7">
        <f>日前电价!H174-实时电价!H174</f>
        <v>-177.9207</v>
      </c>
      <c r="I174" s="7">
        <f>日前电价!I174-实时电价!I174</f>
        <v>-185.9211</v>
      </c>
      <c r="J174" s="7">
        <f>日前电价!J174-实时电价!J174</f>
        <v>-1.02160000000003</v>
      </c>
      <c r="K174" s="7">
        <f>日前电价!K174-实时电价!K174</f>
        <v>111.8674</v>
      </c>
      <c r="L174" s="7">
        <f>日前电价!L174-实时电价!L174</f>
        <v>167.1491</v>
      </c>
      <c r="M174" s="7">
        <f>日前电价!M174-实时电价!M174</f>
        <v>305.2322</v>
      </c>
      <c r="N174" s="7">
        <f>日前电价!N174-实时电价!N174</f>
        <v>245.9935</v>
      </c>
      <c r="O174" s="7">
        <f>日前电价!O174-实时电价!O174</f>
        <v>198.0272</v>
      </c>
      <c r="P174" s="7">
        <f>日前电价!P174-实时电价!P174</f>
        <v>179.2491</v>
      </c>
      <c r="Q174" s="7">
        <f>日前电价!Q174-实时电价!Q174</f>
        <v>35.6775</v>
      </c>
      <c r="R174" s="7">
        <f>日前电价!R174-实时电价!R174</f>
        <v>27.6894</v>
      </c>
      <c r="S174" s="7">
        <f>日前电价!S174-实时电价!S174</f>
        <v>20.8886</v>
      </c>
      <c r="T174" s="7">
        <f>日前电价!T174-实时电价!T174</f>
        <v>13.4996</v>
      </c>
      <c r="U174" s="7">
        <f>日前电价!U174-实时电价!U174</f>
        <v>-3.60269999999997</v>
      </c>
      <c r="V174" s="7">
        <f>日前电价!V174-实时电价!V174</f>
        <v>-3.51240000000001</v>
      </c>
      <c r="W174" s="7">
        <f>日前电价!W174-实时电价!W174</f>
        <v>-11.6728000000001</v>
      </c>
      <c r="X174" s="7">
        <f>日前电价!X174-实时电价!X174</f>
        <v>-6.70300000000003</v>
      </c>
      <c r="Y174" s="7">
        <f>日前电价!Y174-实时电价!Y174</f>
        <v>-15.8191</v>
      </c>
      <c r="Z174" s="9">
        <f t="shared" si="6"/>
        <v>305.2322</v>
      </c>
      <c r="AA174" s="9">
        <f t="shared" si="7"/>
        <v>-185.9211</v>
      </c>
      <c r="AB174" s="9">
        <f t="shared" si="8"/>
        <v>26.6221333333333</v>
      </c>
    </row>
    <row r="175" spans="1:28">
      <c r="A175" s="8">
        <v>45465</v>
      </c>
      <c r="B175" s="7">
        <f>日前电价!B175-实时电价!B175</f>
        <v>-42.1941</v>
      </c>
      <c r="C175" s="7">
        <f>日前电价!C175-实时电价!C175</f>
        <v>-30.964</v>
      </c>
      <c r="D175" s="7">
        <f>日前电价!D175-实时电价!D175</f>
        <v>-13.3726</v>
      </c>
      <c r="E175" s="7">
        <f>日前电价!E175-实时电价!E175</f>
        <v>-4.9522</v>
      </c>
      <c r="F175" s="7">
        <f>日前电价!F175-实时电价!F175</f>
        <v>-3.93119999999999</v>
      </c>
      <c r="G175" s="7">
        <f>日前电价!G175-实时电价!G175</f>
        <v>-13.1942</v>
      </c>
      <c r="H175" s="7">
        <f>日前电价!H175-实时电价!H175</f>
        <v>-11.0813</v>
      </c>
      <c r="I175" s="7">
        <f>日前电价!I175-实时电价!I175</f>
        <v>-24.767</v>
      </c>
      <c r="J175" s="7">
        <f>日前电价!J175-实时电价!J175</f>
        <v>-16.2111</v>
      </c>
      <c r="K175" s="7">
        <f>日前电价!K175-实时电价!K175</f>
        <v>8.35339999999997</v>
      </c>
      <c r="L175" s="7">
        <f>日前电价!L175-实时电价!L175</f>
        <v>55.524</v>
      </c>
      <c r="M175" s="7">
        <f>日前电价!M175-实时电价!M175</f>
        <v>31.7279</v>
      </c>
      <c r="N175" s="7">
        <f>日前电价!N175-实时电价!N175</f>
        <v>125.9294</v>
      </c>
      <c r="O175" s="7">
        <f>日前电价!O175-实时电价!O175</f>
        <v>25.1649</v>
      </c>
      <c r="P175" s="7">
        <f>日前电价!P175-实时电价!P175</f>
        <v>-12.8442</v>
      </c>
      <c r="Q175" s="7">
        <f>日前电价!Q175-实时电价!Q175</f>
        <v>3.19200000000001</v>
      </c>
      <c r="R175" s="7">
        <f>日前电价!R175-实时电价!R175</f>
        <v>-54.3836</v>
      </c>
      <c r="S175" s="7">
        <f>日前电价!S175-实时电价!S175</f>
        <v>-6.85820000000001</v>
      </c>
      <c r="T175" s="7">
        <f>日前电价!T175-实时电价!T175</f>
        <v>11.6865</v>
      </c>
      <c r="U175" s="7">
        <f>日前电价!U175-实时电价!U175</f>
        <v>19.9718</v>
      </c>
      <c r="V175" s="7">
        <f>日前电价!V175-实时电价!V175</f>
        <v>24.7338999999999</v>
      </c>
      <c r="W175" s="7">
        <f>日前电价!W175-实时电价!W175</f>
        <v>11.6867</v>
      </c>
      <c r="X175" s="7">
        <f>日前电价!X175-实时电价!X175</f>
        <v>-12.794</v>
      </c>
      <c r="Y175" s="7">
        <f>日前电价!Y175-实时电价!Y175</f>
        <v>-16.2597</v>
      </c>
      <c r="Z175" s="9">
        <f t="shared" si="6"/>
        <v>125.9294</v>
      </c>
      <c r="AA175" s="9">
        <f t="shared" si="7"/>
        <v>-54.3836</v>
      </c>
      <c r="AB175" s="9">
        <f t="shared" si="8"/>
        <v>2.25679583333333</v>
      </c>
    </row>
    <row r="176" spans="1:28">
      <c r="A176" s="8">
        <v>45466</v>
      </c>
      <c r="B176" s="7">
        <f>日前电价!B176-实时电价!B176</f>
        <v>-499.4847</v>
      </c>
      <c r="C176" s="7">
        <f>日前电价!C176-实时电价!C176</f>
        <v>-178.7559</v>
      </c>
      <c r="D176" s="7">
        <f>日前电价!D176-实时电价!D176</f>
        <v>2.56699999999995</v>
      </c>
      <c r="E176" s="7">
        <f>日前电价!E176-实时电价!E176</f>
        <v>1.7328</v>
      </c>
      <c r="F176" s="7">
        <f>日前电价!F176-实时电价!F176</f>
        <v>12.2755</v>
      </c>
      <c r="G176" s="7">
        <f>日前电价!G176-实时电价!G176</f>
        <v>10.7899</v>
      </c>
      <c r="H176" s="7">
        <f>日前电价!H176-实时电价!H176</f>
        <v>7.8039</v>
      </c>
      <c r="I176" s="7">
        <f>日前电价!I176-实时电价!I176</f>
        <v>10.2877</v>
      </c>
      <c r="J176" s="7">
        <f>日前电价!J176-实时电价!J176</f>
        <v>143.5934</v>
      </c>
      <c r="K176" s="7">
        <f>日前电价!K176-实时电价!K176</f>
        <v>223.3374</v>
      </c>
      <c r="L176" s="7">
        <f>日前电价!L176-实时电价!L176</f>
        <v>164.579</v>
      </c>
      <c r="M176" s="7">
        <f>日前电价!M176-实时电价!M176</f>
        <v>45.2419</v>
      </c>
      <c r="N176" s="7">
        <f>日前电价!N176-实时电价!N176</f>
        <v>0.810000000000002</v>
      </c>
      <c r="O176" s="7">
        <f>日前电价!O176-实时电价!O176</f>
        <v>-37.3964</v>
      </c>
      <c r="P176" s="7">
        <f>日前电价!P176-实时电价!P176</f>
        <v>9.44389999999999</v>
      </c>
      <c r="Q176" s="7">
        <f>日前电价!Q176-实时电价!Q176</f>
        <v>6.13989999999995</v>
      </c>
      <c r="R176" s="7">
        <f>日前电价!R176-实时电价!R176</f>
        <v>-10.5339</v>
      </c>
      <c r="S176" s="7">
        <f>日前电价!S176-实时电价!S176</f>
        <v>5.1388</v>
      </c>
      <c r="T176" s="7">
        <f>日前电价!T176-实时电价!T176</f>
        <v>11.69</v>
      </c>
      <c r="U176" s="7">
        <f>日前电价!U176-实时电价!U176</f>
        <v>14.5551</v>
      </c>
      <c r="V176" s="7">
        <f>日前电价!V176-实时电价!V176</f>
        <v>-0.41659999999996</v>
      </c>
      <c r="W176" s="7">
        <f>日前电价!W176-实时电价!W176</f>
        <v>-8.0231</v>
      </c>
      <c r="X176" s="7">
        <f>日前电价!X176-实时电价!X176</f>
        <v>8.1044</v>
      </c>
      <c r="Y176" s="7">
        <f>日前电价!Y176-实时电价!Y176</f>
        <v>25.8227</v>
      </c>
      <c r="Z176" s="9">
        <f t="shared" si="6"/>
        <v>223.3374</v>
      </c>
      <c r="AA176" s="9">
        <f t="shared" si="7"/>
        <v>-499.4847</v>
      </c>
      <c r="AB176" s="9">
        <f t="shared" si="8"/>
        <v>-1.27905416666667</v>
      </c>
    </row>
    <row r="177" spans="1:28">
      <c r="A177" s="8">
        <v>45467</v>
      </c>
      <c r="B177" s="7">
        <f>日前电价!B177-实时电价!B177</f>
        <v>94.6858</v>
      </c>
      <c r="C177" s="7">
        <f>日前电价!C177-实时电价!C177</f>
        <v>2.97500000000002</v>
      </c>
      <c r="D177" s="7">
        <f>日前电价!D177-实时电价!D177</f>
        <v>0.702200000000005</v>
      </c>
      <c r="E177" s="7">
        <f>日前电价!E177-实时电价!E177</f>
        <v>70.3748</v>
      </c>
      <c r="F177" s="7">
        <f>日前电价!F177-实时电价!F177</f>
        <v>44.8266</v>
      </c>
      <c r="G177" s="7">
        <f>日前电价!G177-实时电价!G177</f>
        <v>7.57549999999998</v>
      </c>
      <c r="H177" s="7">
        <f>日前电价!H177-实时电价!H177</f>
        <v>3.507</v>
      </c>
      <c r="I177" s="7">
        <f>日前电价!I177-实时电价!I177</f>
        <v>12.7778</v>
      </c>
      <c r="J177" s="7">
        <f>日前电价!J177-实时电价!J177</f>
        <v>-23.165</v>
      </c>
      <c r="K177" s="7">
        <f>日前电价!K177-实时电价!K177</f>
        <v>-4.45780000000002</v>
      </c>
      <c r="L177" s="7">
        <f>日前电价!L177-实时电价!L177</f>
        <v>17.7732</v>
      </c>
      <c r="M177" s="7">
        <f>日前电价!M177-实时电价!M177</f>
        <v>15.3535</v>
      </c>
      <c r="N177" s="7">
        <f>日前电价!N177-实时电价!N177</f>
        <v>4.28369999999995</v>
      </c>
      <c r="O177" s="7">
        <f>日前电价!O177-实时电价!O177</f>
        <v>-16.7346</v>
      </c>
      <c r="P177" s="7">
        <f>日前电价!P177-实时电价!P177</f>
        <v>14.4915</v>
      </c>
      <c r="Q177" s="7">
        <f>日前电价!Q177-实时电价!Q177</f>
        <v>35.0461</v>
      </c>
      <c r="R177" s="7">
        <f>日前电价!R177-实时电价!R177</f>
        <v>24.1103000000001</v>
      </c>
      <c r="S177" s="7">
        <f>日前电价!S177-实时电价!S177</f>
        <v>-21.2879</v>
      </c>
      <c r="T177" s="7">
        <f>日前电价!T177-实时电价!T177</f>
        <v>-25.2132</v>
      </c>
      <c r="U177" s="7">
        <f>日前电价!U177-实时电价!U177</f>
        <v>-37.7014</v>
      </c>
      <c r="V177" s="7">
        <f>日前电价!V177-实时电价!V177</f>
        <v>-33.1348</v>
      </c>
      <c r="W177" s="7">
        <f>日前电价!W177-实时电价!W177</f>
        <v>-39.0849</v>
      </c>
      <c r="X177" s="7">
        <f>日前电价!X177-实时电价!X177</f>
        <v>-23.173</v>
      </c>
      <c r="Y177" s="7">
        <f>日前电价!Y177-实时电价!Y177</f>
        <v>1.48250000000002</v>
      </c>
      <c r="Z177" s="9">
        <f t="shared" si="6"/>
        <v>94.6858</v>
      </c>
      <c r="AA177" s="9">
        <f t="shared" si="7"/>
        <v>-39.0849</v>
      </c>
      <c r="AB177" s="9">
        <f t="shared" si="8"/>
        <v>5.2505375</v>
      </c>
    </row>
    <row r="178" spans="1:28">
      <c r="A178" s="8">
        <v>45468</v>
      </c>
      <c r="B178" s="7">
        <f>日前电价!B178-实时电价!B178</f>
        <v>-14.2953</v>
      </c>
      <c r="C178" s="7">
        <f>日前电价!C178-实时电价!C178</f>
        <v>-22.2762</v>
      </c>
      <c r="D178" s="7">
        <f>日前电价!D178-实时电价!D178</f>
        <v>8.59620000000001</v>
      </c>
      <c r="E178" s="7">
        <f>日前电价!E178-实时电价!E178</f>
        <v>117.6361</v>
      </c>
      <c r="F178" s="7">
        <f>日前电价!F178-实时电价!F178</f>
        <v>177.9374</v>
      </c>
      <c r="G178" s="7">
        <f>日前电价!G178-实时电价!G178</f>
        <v>193.5229</v>
      </c>
      <c r="H178" s="7">
        <f>日前电价!H178-实时电价!H178</f>
        <v>204.5848</v>
      </c>
      <c r="I178" s="7">
        <f>日前电价!I178-实时电价!I178</f>
        <v>228.5045</v>
      </c>
      <c r="J178" s="7">
        <f>日前电价!J178-实时电价!J178</f>
        <v>48.9377</v>
      </c>
      <c r="K178" s="7">
        <f>日前电价!K178-实时电价!K178</f>
        <v>61.1994</v>
      </c>
      <c r="L178" s="7">
        <f>日前电价!L178-实时电价!L178</f>
        <v>70.3018</v>
      </c>
      <c r="M178" s="7">
        <f>日前电价!M178-实时电价!M178</f>
        <v>65.9568</v>
      </c>
      <c r="N178" s="7">
        <f>日前电价!N178-实时电价!N178</f>
        <v>44.6045</v>
      </c>
      <c r="O178" s="7">
        <f>日前电价!O178-实时电价!O178</f>
        <v>83.2074</v>
      </c>
      <c r="P178" s="7">
        <f>日前电价!P178-实时电价!P178</f>
        <v>77.335</v>
      </c>
      <c r="Q178" s="7">
        <f>日前电价!Q178-实时电价!Q178</f>
        <v>78.2165</v>
      </c>
      <c r="R178" s="7">
        <f>日前电价!R178-实时电价!R178</f>
        <v>94.5339</v>
      </c>
      <c r="S178" s="7">
        <f>日前电价!S178-实时电价!S178</f>
        <v>68.2152</v>
      </c>
      <c r="T178" s="7">
        <f>日前电价!T178-实时电价!T178</f>
        <v>39.6702</v>
      </c>
      <c r="U178" s="7">
        <f>日前电价!U178-实时电价!U178</f>
        <v>48.8399</v>
      </c>
      <c r="V178" s="7">
        <f>日前电价!V178-实时电价!V178</f>
        <v>32.4315</v>
      </c>
      <c r="W178" s="7">
        <f>日前电价!W178-实时电价!W178</f>
        <v>20.8156</v>
      </c>
      <c r="X178" s="7">
        <f>日前电价!X178-实时电价!X178</f>
        <v>41.2458</v>
      </c>
      <c r="Y178" s="7">
        <f>日前电价!Y178-实时电价!Y178</f>
        <v>23.4537</v>
      </c>
      <c r="Z178" s="9">
        <f t="shared" si="6"/>
        <v>228.5045</v>
      </c>
      <c r="AA178" s="9">
        <f t="shared" si="7"/>
        <v>-22.2762</v>
      </c>
      <c r="AB178" s="9">
        <f t="shared" si="8"/>
        <v>74.7156375</v>
      </c>
    </row>
    <row r="179" spans="1:28">
      <c r="A179" s="8">
        <v>45469</v>
      </c>
      <c r="B179" s="7">
        <f>日前电价!B179-实时电价!B179</f>
        <v>44.2731</v>
      </c>
      <c r="C179" s="7">
        <f>日前电价!C179-实时电价!C179</f>
        <v>31.9676</v>
      </c>
      <c r="D179" s="7">
        <f>日前电价!D179-实时电价!D179</f>
        <v>30.2843</v>
      </c>
      <c r="E179" s="7">
        <f>日前电价!E179-实时电价!E179</f>
        <v>32.9074</v>
      </c>
      <c r="F179" s="7">
        <f>日前电价!F179-实时电价!F179</f>
        <v>24.3013</v>
      </c>
      <c r="G179" s="7">
        <f>日前电价!G179-实时电价!G179</f>
        <v>4.40299999999996</v>
      </c>
      <c r="H179" s="7">
        <f>日前电价!H179-实时电价!H179</f>
        <v>-20.2914</v>
      </c>
      <c r="I179" s="7">
        <f>日前电价!I179-实时电价!I179</f>
        <v>-19.0798</v>
      </c>
      <c r="J179" s="7">
        <f>日前电价!J179-实时电价!J179</f>
        <v>-5.31230000000005</v>
      </c>
      <c r="K179" s="7">
        <f>日前电价!K179-实时电价!K179</f>
        <v>14.5765</v>
      </c>
      <c r="L179" s="7">
        <f>日前电价!L179-实时电价!L179</f>
        <v>14.6323</v>
      </c>
      <c r="M179" s="7">
        <f>日前电价!M179-实时电价!M179</f>
        <v>18.1979</v>
      </c>
      <c r="N179" s="7">
        <f>日前电价!N179-实时电价!N179</f>
        <v>74.8339</v>
      </c>
      <c r="O179" s="7">
        <f>日前电价!O179-实时电价!O179</f>
        <v>10.309</v>
      </c>
      <c r="P179" s="7">
        <f>日前电价!P179-实时电价!P179</f>
        <v>24.8554</v>
      </c>
      <c r="Q179" s="7">
        <f>日前电价!Q179-实时电价!Q179</f>
        <v>-31.2716</v>
      </c>
      <c r="R179" s="7">
        <f>日前电价!R179-实时电价!R179</f>
        <v>-66.1769</v>
      </c>
      <c r="S179" s="7">
        <f>日前电价!S179-实时电价!S179</f>
        <v>-22.0528</v>
      </c>
      <c r="T179" s="7">
        <f>日前电价!T179-实时电价!T179</f>
        <v>-2.52710000000002</v>
      </c>
      <c r="U179" s="7">
        <f>日前电价!U179-实时电价!U179</f>
        <v>16.8572</v>
      </c>
      <c r="V179" s="7">
        <f>日前电价!V179-实时电价!V179</f>
        <v>24.0061</v>
      </c>
      <c r="W179" s="7">
        <f>日前电价!W179-实时电价!W179</f>
        <v>-19.7659</v>
      </c>
      <c r="X179" s="7">
        <f>日前电价!X179-实时电价!X179</f>
        <v>-12.5739</v>
      </c>
      <c r="Y179" s="7">
        <f>日前电价!Y179-实时电价!Y179</f>
        <v>-3.76749999999998</v>
      </c>
      <c r="Z179" s="9">
        <f t="shared" si="6"/>
        <v>74.8339</v>
      </c>
      <c r="AA179" s="9">
        <f t="shared" si="7"/>
        <v>-66.1769</v>
      </c>
      <c r="AB179" s="9">
        <f t="shared" si="8"/>
        <v>6.81607499999999</v>
      </c>
    </row>
    <row r="180" spans="1:28">
      <c r="A180" s="8">
        <v>45470</v>
      </c>
      <c r="B180" s="7">
        <f>日前电价!B180-实时电价!B180</f>
        <v>-0.022199999999998</v>
      </c>
      <c r="C180" s="7">
        <f>日前电价!C180-实时电价!C180</f>
        <v>2.33389999999997</v>
      </c>
      <c r="D180" s="7">
        <f>日前电价!D180-实时电价!D180</f>
        <v>6.79429999999996</v>
      </c>
      <c r="E180" s="7">
        <f>日前电价!E180-实时电价!E180</f>
        <v>5.79480000000001</v>
      </c>
      <c r="F180" s="7">
        <f>日前电价!F180-实时电价!F180</f>
        <v>9.26170000000002</v>
      </c>
      <c r="G180" s="7">
        <f>日前电价!G180-实时电价!G180</f>
        <v>24.608</v>
      </c>
      <c r="H180" s="7">
        <f>日前电价!H180-实时电价!H180</f>
        <v>9.02390000000003</v>
      </c>
      <c r="I180" s="7">
        <f>日前电价!I180-实时电价!I180</f>
        <v>5.79879999999997</v>
      </c>
      <c r="J180" s="7">
        <f>日前电价!J180-实时电价!J180</f>
        <v>12.9749</v>
      </c>
      <c r="K180" s="7">
        <f>日前电价!K180-实时电价!K180</f>
        <v>27.6967</v>
      </c>
      <c r="L180" s="7">
        <f>日前电价!L180-实时电价!L180</f>
        <v>29.0132</v>
      </c>
      <c r="M180" s="7">
        <f>日前电价!M180-实时电价!M180</f>
        <v>7.41370000000001</v>
      </c>
      <c r="N180" s="7">
        <f>日前电价!N180-实时电价!N180</f>
        <v>18.3271</v>
      </c>
      <c r="O180" s="7">
        <f>日前电价!O180-实时电价!O180</f>
        <v>7.55399999999997</v>
      </c>
      <c r="P180" s="7">
        <f>日前电价!P180-实时电价!P180</f>
        <v>13.7078</v>
      </c>
      <c r="Q180" s="7">
        <f>日前电价!Q180-实时电价!Q180</f>
        <v>15.2617</v>
      </c>
      <c r="R180" s="7">
        <f>日前电价!R180-实时电价!R180</f>
        <v>19.1857</v>
      </c>
      <c r="S180" s="7">
        <f>日前电价!S180-实时电价!S180</f>
        <v>59.3042</v>
      </c>
      <c r="T180" s="7">
        <f>日前电价!T180-实时电价!T180</f>
        <v>9.67879999999997</v>
      </c>
      <c r="U180" s="7">
        <f>日前电价!U180-实时电价!U180</f>
        <v>80.9975000000001</v>
      </c>
      <c r="V180" s="7">
        <f>日前电价!V180-实时电价!V180</f>
        <v>74.6531</v>
      </c>
      <c r="W180" s="7">
        <f>日前电价!W180-实时电价!W180</f>
        <v>-44.3283</v>
      </c>
      <c r="X180" s="7">
        <f>日前电价!X180-实时电价!X180</f>
        <v>9.00470000000001</v>
      </c>
      <c r="Y180" s="7">
        <f>日前电价!Y180-实时电价!Y180</f>
        <v>2.95799999999997</v>
      </c>
      <c r="Z180" s="9">
        <f t="shared" si="6"/>
        <v>80.9975000000001</v>
      </c>
      <c r="AA180" s="9">
        <f t="shared" si="7"/>
        <v>-44.3283</v>
      </c>
      <c r="AB180" s="9">
        <f t="shared" si="8"/>
        <v>16.9581666666667</v>
      </c>
    </row>
    <row r="181" spans="1:28">
      <c r="A181" s="8">
        <v>45471</v>
      </c>
      <c r="B181" s="7">
        <f>日前电价!B181-实时电价!B181</f>
        <v>-23.5441</v>
      </c>
      <c r="C181" s="7">
        <f>日前电价!C181-实时电价!C181</f>
        <v>-14.6426</v>
      </c>
      <c r="D181" s="7">
        <f>日前电价!D181-实时电价!D181</f>
        <v>-16.5591</v>
      </c>
      <c r="E181" s="7">
        <f>日前电价!E181-实时电价!E181</f>
        <v>-18.4372</v>
      </c>
      <c r="F181" s="7">
        <f>日前电价!F181-实时电价!F181</f>
        <v>-23.24</v>
      </c>
      <c r="G181" s="7">
        <f>日前电价!G181-实时电价!G181</f>
        <v>-9.22559999999999</v>
      </c>
      <c r="H181" s="7">
        <f>日前电价!H181-实时电价!H181</f>
        <v>-23.0571</v>
      </c>
      <c r="I181" s="7">
        <f>日前电价!I181-实时电价!I181</f>
        <v>-12.1563</v>
      </c>
      <c r="J181" s="7">
        <f>日前电价!J181-实时电价!J181</f>
        <v>-0.322199999999953</v>
      </c>
      <c r="K181" s="7">
        <f>日前电价!K181-实时电价!K181</f>
        <v>20.8289</v>
      </c>
      <c r="L181" s="7">
        <f>日前电价!L181-实时电价!L181</f>
        <v>13.9687</v>
      </c>
      <c r="M181" s="7">
        <f>日前电价!M181-实时电价!M181</f>
        <v>29.5573000000001</v>
      </c>
      <c r="N181" s="7">
        <f>日前电价!N181-实时电价!N181</f>
        <v>25.8284</v>
      </c>
      <c r="O181" s="7">
        <f>日前电价!O181-实时电价!O181</f>
        <v>-5.20310000000001</v>
      </c>
      <c r="P181" s="7">
        <f>日前电价!P181-实时电价!P181</f>
        <v>-5.90230000000003</v>
      </c>
      <c r="Q181" s="7">
        <f>日前电价!Q181-实时电价!Q181</f>
        <v>-15.8812</v>
      </c>
      <c r="R181" s="7">
        <f>日前电价!R181-实时电价!R181</f>
        <v>-50.2287</v>
      </c>
      <c r="S181" s="7">
        <f>日前电价!S181-实时电价!S181</f>
        <v>-15.6414</v>
      </c>
      <c r="T181" s="7">
        <f>日前电价!T181-实时电价!T181</f>
        <v>-7.8546</v>
      </c>
      <c r="U181" s="7">
        <f>日前电价!U181-实时电价!U181</f>
        <v>-10.4585</v>
      </c>
      <c r="V181" s="7">
        <f>日前电价!V181-实时电价!V181</f>
        <v>-6.64459999999997</v>
      </c>
      <c r="W181" s="7">
        <f>日前电价!W181-实时电价!W181</f>
        <v>-18.0565</v>
      </c>
      <c r="X181" s="7">
        <f>日前电价!X181-实时电价!X181</f>
        <v>-29.7728</v>
      </c>
      <c r="Y181" s="7">
        <f>日前电价!Y181-实时电价!Y181</f>
        <v>-41.7067</v>
      </c>
      <c r="Z181" s="9">
        <f t="shared" si="6"/>
        <v>29.5573000000001</v>
      </c>
      <c r="AA181" s="9">
        <f t="shared" si="7"/>
        <v>-50.2287</v>
      </c>
      <c r="AB181" s="9">
        <f t="shared" si="8"/>
        <v>-10.7646375</v>
      </c>
    </row>
    <row r="182" spans="1:28">
      <c r="A182" s="8">
        <v>45472</v>
      </c>
      <c r="B182" s="7">
        <f>日前电价!B182-实时电价!B182</f>
        <v>-37.6632</v>
      </c>
      <c r="C182" s="7">
        <f>日前电价!C182-实时电价!C182</f>
        <v>-3.21879999999999</v>
      </c>
      <c r="D182" s="7">
        <f>日前电价!D182-实时电价!D182</f>
        <v>3.7808</v>
      </c>
      <c r="E182" s="7">
        <f>日前电价!E182-实时电价!E182</f>
        <v>4.85199999999998</v>
      </c>
      <c r="F182" s="7">
        <f>日前电价!F182-实时电价!F182</f>
        <v>17.2254</v>
      </c>
      <c r="G182" s="7">
        <f>日前电价!G182-实时电价!G182</f>
        <v>14.0242</v>
      </c>
      <c r="H182" s="7">
        <f>日前电价!H182-实时电价!H182</f>
        <v>9.15829999999997</v>
      </c>
      <c r="I182" s="7">
        <f>日前电价!I182-实时电价!I182</f>
        <v>96.2206</v>
      </c>
      <c r="J182" s="7">
        <f>日前电价!J182-实时电价!J182</f>
        <v>65.1827</v>
      </c>
      <c r="K182" s="7">
        <f>日前电价!K182-实时电价!K182</f>
        <v>64.7823</v>
      </c>
      <c r="L182" s="7">
        <f>日前电价!L182-实时电价!L182</f>
        <v>101.0478</v>
      </c>
      <c r="M182" s="7">
        <f>日前电价!M182-实时电价!M182</f>
        <v>62.1831</v>
      </c>
      <c r="N182" s="7">
        <f>日前电价!N182-实时电价!N182</f>
        <v>77.0857</v>
      </c>
      <c r="O182" s="7">
        <f>日前电价!O182-实时电价!O182</f>
        <v>71.6131</v>
      </c>
      <c r="P182" s="7">
        <f>日前电价!P182-实时电价!P182</f>
        <v>60.4701</v>
      </c>
      <c r="Q182" s="7">
        <f>日前电价!Q182-实时电价!Q182</f>
        <v>63.1151</v>
      </c>
      <c r="R182" s="7">
        <f>日前电价!R182-实时电价!R182</f>
        <v>54.2713</v>
      </c>
      <c r="S182" s="7">
        <f>日前电价!S182-实时电价!S182</f>
        <v>72.0894</v>
      </c>
      <c r="T182" s="7">
        <f>日前电价!T182-实时电价!T182</f>
        <v>53.4237</v>
      </c>
      <c r="U182" s="7">
        <f>日前电价!U182-实时电价!U182</f>
        <v>16.5863</v>
      </c>
      <c r="V182" s="7">
        <f>日前电价!V182-实时电价!V182</f>
        <v>37.8776</v>
      </c>
      <c r="W182" s="7">
        <f>日前电价!W182-实时电价!W182</f>
        <v>45.0905</v>
      </c>
      <c r="X182" s="7">
        <f>日前电价!X182-实时电价!X182</f>
        <v>44.0046</v>
      </c>
      <c r="Y182" s="7">
        <f>日前电价!Y182-实时电价!Y182</f>
        <v>46.5859</v>
      </c>
      <c r="Z182" s="9">
        <f t="shared" si="6"/>
        <v>101.0478</v>
      </c>
      <c r="AA182" s="9">
        <f t="shared" si="7"/>
        <v>-37.6632</v>
      </c>
      <c r="AB182" s="9">
        <f t="shared" si="8"/>
        <v>43.3245208333333</v>
      </c>
    </row>
    <row r="183" spans="1:28">
      <c r="A183" s="8">
        <v>45473</v>
      </c>
      <c r="B183" s="7">
        <f>日前电价!B183-实时电价!B183</f>
        <v>21.7834</v>
      </c>
      <c r="C183" s="7">
        <f>日前电价!C183-实时电价!C183</f>
        <v>41.5063</v>
      </c>
      <c r="D183" s="7">
        <f>日前电价!D183-实时电价!D183</f>
        <v>269.7593</v>
      </c>
      <c r="E183" s="7">
        <f>日前电价!E183-实时电价!E183</f>
        <v>187.4459</v>
      </c>
      <c r="F183" s="7">
        <f>日前电价!F183-实时电价!F183</f>
        <v>148.9613</v>
      </c>
      <c r="G183" s="7">
        <f>日前电价!G183-实时电价!G183</f>
        <v>258.4865</v>
      </c>
      <c r="H183" s="7">
        <f>日前电价!H183-实时电价!H183</f>
        <v>255.1453</v>
      </c>
      <c r="I183" s="7">
        <f>日前电价!I183-实时电价!I183</f>
        <v>246.3191</v>
      </c>
      <c r="J183" s="7">
        <f>日前电价!J183-实时电价!J183</f>
        <v>230.2724</v>
      </c>
      <c r="K183" s="7">
        <f>日前电价!K183-实时电价!K183</f>
        <v>223.9688</v>
      </c>
      <c r="L183" s="7">
        <f>日前电价!L183-实时电价!L183</f>
        <v>150.5784</v>
      </c>
      <c r="M183" s="7">
        <f>日前电价!M183-实时电价!M183</f>
        <v>35.4969</v>
      </c>
      <c r="N183" s="7">
        <f>日前电价!N183-实时电价!N183</f>
        <v>241.9746</v>
      </c>
      <c r="O183" s="7">
        <f>日前电价!O183-实时电价!O183</f>
        <v>99.4911</v>
      </c>
      <c r="P183" s="7">
        <f>日前电价!P183-实时电价!P183</f>
        <v>98.1775</v>
      </c>
      <c r="Q183" s="7">
        <f>日前电价!Q183-实时电价!Q183</f>
        <v>170.0161</v>
      </c>
      <c r="R183" s="7">
        <f>日前电价!R183-实时电价!R183</f>
        <v>89.0055</v>
      </c>
      <c r="S183" s="7">
        <f>日前电价!S183-实时电价!S183</f>
        <v>131.5847</v>
      </c>
      <c r="T183" s="7">
        <f>日前电价!T183-实时电价!T183</f>
        <v>126.3004</v>
      </c>
      <c r="U183" s="7">
        <f>日前电价!U183-实时电价!U183</f>
        <v>46.4232</v>
      </c>
      <c r="V183" s="7">
        <f>日前电价!V183-实时电价!V183</f>
        <v>-1.21210000000002</v>
      </c>
      <c r="W183" s="7">
        <f>日前电价!W183-实时电价!W183</f>
        <v>4.15639999999996</v>
      </c>
      <c r="X183" s="7">
        <f>日前电价!X183-实时电价!X183</f>
        <v>26.8658</v>
      </c>
      <c r="Y183" s="7">
        <f>日前电价!Y183-实时电价!Y183</f>
        <v>89.0035</v>
      </c>
      <c r="Z183" s="9">
        <f t="shared" si="6"/>
        <v>269.7593</v>
      </c>
      <c r="AA183" s="9">
        <f t="shared" si="7"/>
        <v>-1.21210000000002</v>
      </c>
      <c r="AB183" s="9">
        <f t="shared" si="8"/>
        <v>132.979595833333</v>
      </c>
    </row>
    <row r="184" spans="1:28">
      <c r="A184" s="8">
        <v>45474</v>
      </c>
      <c r="B184" s="7">
        <f>日前电价!B184-实时电价!B184</f>
        <v>14.0632</v>
      </c>
      <c r="C184" s="7">
        <f>日前电价!C184-实时电价!C184</f>
        <v>4.9803</v>
      </c>
      <c r="D184" s="7">
        <f>日前电价!D184-实时电价!D184</f>
        <v>21.6003</v>
      </c>
      <c r="E184" s="7">
        <f>日前电价!E184-实时电价!E184</f>
        <v>54.1762</v>
      </c>
      <c r="F184" s="7">
        <f>日前电价!F184-实时电价!F184</f>
        <v>204.9091</v>
      </c>
      <c r="G184" s="7">
        <f>日前电价!G184-实时电价!G184</f>
        <v>238.6319</v>
      </c>
      <c r="H184" s="7">
        <f>日前电价!H184-实时电价!H184</f>
        <v>248.3891</v>
      </c>
      <c r="I184" s="7">
        <f>日前电价!I184-实时电价!I184</f>
        <v>154.1482</v>
      </c>
      <c r="J184" s="7">
        <f>日前电价!J184-实时电价!J184</f>
        <v>52.1024</v>
      </c>
      <c r="K184" s="7">
        <f>日前电价!K184-实时电价!K184</f>
        <v>88.0419</v>
      </c>
      <c r="L184" s="7">
        <f>日前电价!L184-实时电价!L184</f>
        <v>134.538</v>
      </c>
      <c r="M184" s="7">
        <f>日前电价!M184-实时电价!M184</f>
        <v>206.5569</v>
      </c>
      <c r="N184" s="7">
        <f>日前电价!N184-实时电价!N184</f>
        <v>131.1826</v>
      </c>
      <c r="O184" s="7">
        <f>日前电价!O184-实时电价!O184</f>
        <v>99.3651</v>
      </c>
      <c r="P184" s="7">
        <f>日前电价!P184-实时电价!P184</f>
        <v>176.3299</v>
      </c>
      <c r="Q184" s="7">
        <f>日前电价!Q184-实时电价!Q184</f>
        <v>221.7229</v>
      </c>
      <c r="R184" s="7">
        <f>日前电价!R184-实时电价!R184</f>
        <v>121.4831</v>
      </c>
      <c r="S184" s="7">
        <f>日前电价!S184-实时电价!S184</f>
        <v>57.5148</v>
      </c>
      <c r="T184" s="7">
        <f>日前电价!T184-实时电价!T184</f>
        <v>21.5522</v>
      </c>
      <c r="U184" s="7">
        <f>日前电价!U184-实时电价!U184</f>
        <v>23.3557</v>
      </c>
      <c r="V184" s="7">
        <f>日前电价!V184-实时电价!V184</f>
        <v>18.6851</v>
      </c>
      <c r="W184" s="7">
        <f>日前电价!W184-实时电价!W184</f>
        <v>2.05790000000002</v>
      </c>
      <c r="X184" s="7">
        <f>日前电价!X184-实时电价!X184</f>
        <v>8.09870000000001</v>
      </c>
      <c r="Y184" s="7">
        <f>日前电价!Y184-实时电价!Y184</f>
        <v>1.21120000000002</v>
      </c>
      <c r="Z184" s="9">
        <f t="shared" si="6"/>
        <v>248.3891</v>
      </c>
      <c r="AA184" s="9">
        <f t="shared" si="7"/>
        <v>1.21120000000002</v>
      </c>
      <c r="AB184" s="9">
        <f t="shared" si="8"/>
        <v>96.0290291666667</v>
      </c>
    </row>
    <row r="185" spans="1:28">
      <c r="A185" s="8">
        <v>45475</v>
      </c>
      <c r="B185" s="7">
        <f>日前电价!B185-实时电价!B185</f>
        <v>-20.2348</v>
      </c>
      <c r="C185" s="7">
        <f>日前电价!C185-实时电价!C185</f>
        <v>-4.0899</v>
      </c>
      <c r="D185" s="7">
        <f>日前电价!D185-实时电价!D185</f>
        <v>-3.11329999999998</v>
      </c>
      <c r="E185" s="7">
        <f>日前电价!E185-实时电价!E185</f>
        <v>1.19330000000002</v>
      </c>
      <c r="F185" s="7">
        <f>日前电价!F185-实时电价!F185</f>
        <v>4.08119999999997</v>
      </c>
      <c r="G185" s="7">
        <f>日前电价!G185-实时电价!G185</f>
        <v>-1.46659999999997</v>
      </c>
      <c r="H185" s="7">
        <f>日前电价!H185-实时电价!H185</f>
        <v>2.68399999999997</v>
      </c>
      <c r="I185" s="7">
        <f>日前电价!I185-实时电价!I185</f>
        <v>8.50150000000002</v>
      </c>
      <c r="J185" s="7">
        <f>日前电价!J185-实时电价!J185</f>
        <v>-1.99020000000002</v>
      </c>
      <c r="K185" s="7">
        <f>日前电价!K185-实时电价!K185</f>
        <v>-16.8382</v>
      </c>
      <c r="L185" s="7">
        <f>日前电价!L185-实时电价!L185</f>
        <v>27.8357</v>
      </c>
      <c r="M185" s="7">
        <f>日前电价!M185-实时电价!M185</f>
        <v>40.4874</v>
      </c>
      <c r="N185" s="7">
        <f>日前电价!N185-实时电价!N185</f>
        <v>63.347</v>
      </c>
      <c r="O185" s="7">
        <f>日前电价!O185-实时电价!O185</f>
        <v>65.3906</v>
      </c>
      <c r="P185" s="7">
        <f>日前电价!P185-实时电价!P185</f>
        <v>40.8804</v>
      </c>
      <c r="Q185" s="7">
        <f>日前电价!Q185-实时电价!Q185</f>
        <v>26.725</v>
      </c>
      <c r="R185" s="7">
        <f>日前电价!R185-实时电价!R185</f>
        <v>33.7083</v>
      </c>
      <c r="S185" s="7">
        <f>日前电价!S185-实时电价!S185</f>
        <v>18.2819</v>
      </c>
      <c r="T185" s="7">
        <f>日前电价!T185-实时电价!T185</f>
        <v>11.0919</v>
      </c>
      <c r="U185" s="7">
        <f>日前电价!U185-实时电价!U185</f>
        <v>-3.26979999999997</v>
      </c>
      <c r="V185" s="7">
        <f>日前电价!V185-实时电价!V185</f>
        <v>9.72889999999995</v>
      </c>
      <c r="W185" s="7">
        <f>日前电价!W185-实时电价!W185</f>
        <v>-46.0567</v>
      </c>
      <c r="X185" s="7">
        <f>日前电价!X185-实时电价!X185</f>
        <v>-39.0938</v>
      </c>
      <c r="Y185" s="7">
        <f>日前电价!Y185-实时电价!Y185</f>
        <v>-6.87389999999999</v>
      </c>
      <c r="Z185" s="9">
        <f t="shared" si="6"/>
        <v>65.3906</v>
      </c>
      <c r="AA185" s="9">
        <f t="shared" si="7"/>
        <v>-46.0567</v>
      </c>
      <c r="AB185" s="9">
        <f t="shared" si="8"/>
        <v>8.7879125</v>
      </c>
    </row>
    <row r="186" spans="1:28">
      <c r="A186" s="8">
        <v>45476</v>
      </c>
      <c r="B186" s="7">
        <f>日前电价!B186-实时电价!B186</f>
        <v>31.1516</v>
      </c>
      <c r="C186" s="7">
        <f>日前电价!C186-实时电价!C186</f>
        <v>18.0298</v>
      </c>
      <c r="D186" s="7">
        <f>日前电价!D186-实时电价!D186</f>
        <v>22.5603</v>
      </c>
      <c r="E186" s="7">
        <f>日前电价!E186-实时电价!E186</f>
        <v>20.5497</v>
      </c>
      <c r="F186" s="7">
        <f>日前电价!F186-实时电价!F186</f>
        <v>10.5222</v>
      </c>
      <c r="G186" s="7">
        <f>日前电价!G186-实时电价!G186</f>
        <v>10.3911</v>
      </c>
      <c r="H186" s="7">
        <f>日前电价!H186-实时电价!H186</f>
        <v>8.22610000000003</v>
      </c>
      <c r="I186" s="7">
        <f>日前电价!I186-实时电价!I186</f>
        <v>7.05000000000001</v>
      </c>
      <c r="J186" s="7">
        <f>日前电价!J186-实时电价!J186</f>
        <v>26.4474</v>
      </c>
      <c r="K186" s="7">
        <f>日前电价!K186-实时电价!K186</f>
        <v>54.3718</v>
      </c>
      <c r="L186" s="7">
        <f>日前电价!L186-实时电价!L186</f>
        <v>209.2104</v>
      </c>
      <c r="M186" s="7">
        <f>日前电价!M186-实时电价!M186</f>
        <v>207.7732</v>
      </c>
      <c r="N186" s="7">
        <f>日前电价!N186-实时电价!N186</f>
        <v>96.83</v>
      </c>
      <c r="O186" s="7">
        <f>日前电价!O186-实时电价!O186</f>
        <v>77.8121</v>
      </c>
      <c r="P186" s="7">
        <f>日前电价!P186-实时电价!P186</f>
        <v>85.3688</v>
      </c>
      <c r="Q186" s="7">
        <f>日前电价!Q186-实时电价!Q186</f>
        <v>87.6835</v>
      </c>
      <c r="R186" s="7">
        <f>日前电价!R186-实时电价!R186</f>
        <v>90.5657</v>
      </c>
      <c r="S186" s="7">
        <f>日前电价!S186-实时电价!S186</f>
        <v>49.5577</v>
      </c>
      <c r="T186" s="7">
        <f>日前电价!T186-实时电价!T186</f>
        <v>23.9418</v>
      </c>
      <c r="U186" s="7">
        <f>日前电价!U186-实时电价!U186</f>
        <v>34.1416</v>
      </c>
      <c r="V186" s="7">
        <f>日前电价!V186-实时电价!V186</f>
        <v>30.2815</v>
      </c>
      <c r="W186" s="7">
        <f>日前电价!W186-实时电价!W186</f>
        <v>18.207</v>
      </c>
      <c r="X186" s="7">
        <f>日前电价!X186-实时电价!X186</f>
        <v>25.4193</v>
      </c>
      <c r="Y186" s="7">
        <f>日前电价!Y186-实时电价!Y186</f>
        <v>20.5863</v>
      </c>
      <c r="Z186" s="9">
        <f t="shared" si="6"/>
        <v>209.2104</v>
      </c>
      <c r="AA186" s="9">
        <f t="shared" si="7"/>
        <v>7.05000000000001</v>
      </c>
      <c r="AB186" s="9">
        <f t="shared" si="8"/>
        <v>52.7782875</v>
      </c>
    </row>
    <row r="187" spans="1:28">
      <c r="A187" s="8">
        <v>45477</v>
      </c>
      <c r="B187" s="7">
        <f>日前电价!B187-实时电价!B187</f>
        <v>-52.6881</v>
      </c>
      <c r="C187" s="7">
        <f>日前电价!C187-实时电价!C187</f>
        <v>-42.2529</v>
      </c>
      <c r="D187" s="7">
        <f>日前电价!D187-实时电价!D187</f>
        <v>-23.5659</v>
      </c>
      <c r="E187" s="7">
        <f>日前电价!E187-实时电价!E187</f>
        <v>-17.887</v>
      </c>
      <c r="F187" s="7">
        <f>日前电价!F187-实时电价!F187</f>
        <v>-13.6682</v>
      </c>
      <c r="G187" s="7">
        <f>日前电价!G187-实时电价!G187</f>
        <v>-18.2375</v>
      </c>
      <c r="H187" s="7">
        <f>日前电价!H187-实时电价!H187</f>
        <v>-11.2299</v>
      </c>
      <c r="I187" s="7">
        <f>日前电价!I187-实时电价!I187</f>
        <v>-7.12459999999999</v>
      </c>
      <c r="J187" s="7">
        <f>日前电价!J187-实时电价!J187</f>
        <v>-7.5095</v>
      </c>
      <c r="K187" s="7">
        <f>日前电价!K187-实时电价!K187</f>
        <v>34.1727</v>
      </c>
      <c r="L187" s="7">
        <f>日前电价!L187-实时电价!L187</f>
        <v>40.6632</v>
      </c>
      <c r="M187" s="7">
        <f>日前电价!M187-实时电价!M187</f>
        <v>56.4648</v>
      </c>
      <c r="N187" s="7">
        <f>日前电价!N187-实时电价!N187</f>
        <v>17.4586</v>
      </c>
      <c r="O187" s="7">
        <f>日前电价!O187-实时电价!O187</f>
        <v>14.9309</v>
      </c>
      <c r="P187" s="7">
        <f>日前电价!P187-实时电价!P187</f>
        <v>27.749</v>
      </c>
      <c r="Q187" s="7">
        <f>日前电价!Q187-实时电价!Q187</f>
        <v>65.7143</v>
      </c>
      <c r="R187" s="7">
        <f>日前电价!R187-实时电价!R187</f>
        <v>54.29</v>
      </c>
      <c r="S187" s="7">
        <f>日前电价!S187-实时电价!S187</f>
        <v>36.0488</v>
      </c>
      <c r="T187" s="7">
        <f>日前电价!T187-实时电价!T187</f>
        <v>9.24709999999999</v>
      </c>
      <c r="U187" s="7">
        <f>日前电价!U187-实时电价!U187</f>
        <v>8.75349999999997</v>
      </c>
      <c r="V187" s="7">
        <f>日前电价!V187-实时电价!V187</f>
        <v>4.04050000000001</v>
      </c>
      <c r="W187" s="7">
        <f>日前电价!W187-实时电价!W187</f>
        <v>-19.9793</v>
      </c>
      <c r="X187" s="7">
        <f>日前电价!X187-实时电价!X187</f>
        <v>-7.3544</v>
      </c>
      <c r="Y187" s="7">
        <f>日前电价!Y187-实时电价!Y187</f>
        <v>-11.9659</v>
      </c>
      <c r="Z187" s="9">
        <f t="shared" si="6"/>
        <v>65.7143</v>
      </c>
      <c r="AA187" s="9">
        <f t="shared" si="7"/>
        <v>-52.6881</v>
      </c>
      <c r="AB187" s="9">
        <f t="shared" si="8"/>
        <v>5.66959166666666</v>
      </c>
    </row>
    <row r="188" spans="1:28">
      <c r="A188" s="8">
        <v>45478</v>
      </c>
      <c r="B188" s="7">
        <f>日前电价!B188-实时电价!B188</f>
        <v>-20.7394</v>
      </c>
      <c r="C188" s="7">
        <f>日前电价!C188-实时电价!C188</f>
        <v>2.66120000000001</v>
      </c>
      <c r="D188" s="7">
        <f>日前电价!D188-实时电价!D188</f>
        <v>12.8438</v>
      </c>
      <c r="E188" s="7">
        <f>日前电价!E188-实时电价!E188</f>
        <v>15.2206</v>
      </c>
      <c r="F188" s="7">
        <f>日前电价!F188-实时电价!F188</f>
        <v>20.8632</v>
      </c>
      <c r="G188" s="7">
        <f>日前电价!G188-实时电价!G188</f>
        <v>16.9019</v>
      </c>
      <c r="H188" s="7">
        <f>日前电价!H188-实时电价!H188</f>
        <v>12.8844</v>
      </c>
      <c r="I188" s="7">
        <f>日前电价!I188-实时电价!I188</f>
        <v>8.8116</v>
      </c>
      <c r="J188" s="7">
        <f>日前电价!J188-实时电价!J188</f>
        <v>23.8238</v>
      </c>
      <c r="K188" s="7">
        <f>日前电价!K188-实时电价!K188</f>
        <v>73.0461</v>
      </c>
      <c r="L188" s="7">
        <f>日前电价!L188-实时电价!L188</f>
        <v>136.47</v>
      </c>
      <c r="M188" s="7">
        <f>日前电价!M188-实时电价!M188</f>
        <v>112.8159</v>
      </c>
      <c r="N188" s="7">
        <f>日前电价!N188-实时电价!N188</f>
        <v>26.1052</v>
      </c>
      <c r="O188" s="7">
        <f>日前电价!O188-实时电价!O188</f>
        <v>34.4183</v>
      </c>
      <c r="P188" s="7">
        <f>日前电价!P188-实时电价!P188</f>
        <v>56.3068</v>
      </c>
      <c r="Q188" s="7">
        <f>日前电价!Q188-实时电价!Q188</f>
        <v>86.8467</v>
      </c>
      <c r="R188" s="7">
        <f>日前电价!R188-实时电价!R188</f>
        <v>84.9453</v>
      </c>
      <c r="S188" s="7">
        <f>日前电价!S188-实时电价!S188</f>
        <v>41.6212</v>
      </c>
      <c r="T188" s="7">
        <f>日前电价!T188-实时电价!T188</f>
        <v>27.4756</v>
      </c>
      <c r="U188" s="7">
        <f>日前电价!U188-实时电价!U188</f>
        <v>33.985</v>
      </c>
      <c r="V188" s="7">
        <f>日前电价!V188-实时电价!V188</f>
        <v>23.794</v>
      </c>
      <c r="W188" s="7">
        <f>日前电价!W188-实时电价!W188</f>
        <v>-21.0596</v>
      </c>
      <c r="X188" s="7">
        <f>日前电价!X188-实时电价!X188</f>
        <v>-10.9692</v>
      </c>
      <c r="Y188" s="7">
        <f>日前电价!Y188-实时电价!Y188</f>
        <v>3.0129</v>
      </c>
      <c r="Z188" s="9">
        <f t="shared" si="6"/>
        <v>136.47</v>
      </c>
      <c r="AA188" s="9">
        <f t="shared" si="7"/>
        <v>-21.0596</v>
      </c>
      <c r="AB188" s="9">
        <f t="shared" si="8"/>
        <v>33.4202208333333</v>
      </c>
    </row>
    <row r="189" spans="1:28">
      <c r="A189" s="8">
        <v>45479</v>
      </c>
      <c r="B189" s="7">
        <f>日前电价!B189-实时电价!B189</f>
        <v>-199.0408</v>
      </c>
      <c r="C189" s="7">
        <f>日前电价!C189-实时电价!C189</f>
        <v>-76.2055</v>
      </c>
      <c r="D189" s="7">
        <f>日前电价!D189-实时电价!D189</f>
        <v>-20.2625</v>
      </c>
      <c r="E189" s="7">
        <f>日前电价!E189-实时电价!E189</f>
        <v>-8.90569999999997</v>
      </c>
      <c r="F189" s="7">
        <f>日前电价!F189-实时电价!F189</f>
        <v>-2.3143</v>
      </c>
      <c r="G189" s="7">
        <f>日前电价!G189-实时电价!G189</f>
        <v>-1.0378</v>
      </c>
      <c r="H189" s="7">
        <f>日前电价!H189-实时电价!H189</f>
        <v>-4.44720000000001</v>
      </c>
      <c r="I189" s="7">
        <f>日前电价!I189-实时电价!I189</f>
        <v>-8.14049999999997</v>
      </c>
      <c r="J189" s="7">
        <f>日前电价!J189-实时电价!J189</f>
        <v>4.84120000000001</v>
      </c>
      <c r="K189" s="7">
        <f>日前电价!K189-实时电价!K189</f>
        <v>18.2379</v>
      </c>
      <c r="L189" s="7">
        <f>日前电价!L189-实时电价!L189</f>
        <v>47.2193</v>
      </c>
      <c r="M189" s="7">
        <f>日前电价!M189-实时电价!M189</f>
        <v>38.0852</v>
      </c>
      <c r="N189" s="7">
        <f>日前电价!N189-实时电价!N189</f>
        <v>39.346</v>
      </c>
      <c r="O189" s="7">
        <f>日前电价!O189-实时电价!O189</f>
        <v>-6.77609999999999</v>
      </c>
      <c r="P189" s="7">
        <f>日前电价!P189-实时电价!P189</f>
        <v>14.5788</v>
      </c>
      <c r="Q189" s="7">
        <f>日前电价!Q189-实时电价!Q189</f>
        <v>11.101</v>
      </c>
      <c r="R189" s="7">
        <f>日前电价!R189-实时电价!R189</f>
        <v>-58.1707</v>
      </c>
      <c r="S189" s="7">
        <f>日前电价!S189-实时电价!S189</f>
        <v>-20.5903</v>
      </c>
      <c r="T189" s="7">
        <f>日前电价!T189-实时电价!T189</f>
        <v>5.56140000000005</v>
      </c>
      <c r="U189" s="7">
        <f>日前电价!U189-实时电价!U189</f>
        <v>-7.68079999999998</v>
      </c>
      <c r="V189" s="7">
        <f>日前电价!V189-实时电价!V189</f>
        <v>-1.8623</v>
      </c>
      <c r="W189" s="7">
        <f>日前电价!W189-实时电价!W189</f>
        <v>-156.6303</v>
      </c>
      <c r="X189" s="7">
        <f>日前电价!X189-实时电价!X189</f>
        <v>-97.3549</v>
      </c>
      <c r="Y189" s="7">
        <f>日前电价!Y189-实时电价!Y189</f>
        <v>-128.0184</v>
      </c>
      <c r="Z189" s="9">
        <f t="shared" si="6"/>
        <v>47.2193</v>
      </c>
      <c r="AA189" s="9">
        <f t="shared" si="7"/>
        <v>-199.0408</v>
      </c>
      <c r="AB189" s="9">
        <f t="shared" si="8"/>
        <v>-25.7694708333333</v>
      </c>
    </row>
    <row r="190" spans="1:28">
      <c r="A190" s="8">
        <v>45480</v>
      </c>
      <c r="B190" s="7">
        <f>日前电价!B190-实时电价!B190</f>
        <v>-328.9406</v>
      </c>
      <c r="C190" s="7">
        <f>日前电价!C190-实时电价!C190</f>
        <v>-14.9243</v>
      </c>
      <c r="D190" s="7">
        <f>日前电价!D190-实时电价!D190</f>
        <v>-10.8631</v>
      </c>
      <c r="E190" s="7">
        <f>日前电价!E190-实时电价!E190</f>
        <v>-7.1841</v>
      </c>
      <c r="F190" s="7">
        <f>日前电价!F190-实时电价!F190</f>
        <v>-4.63249999999999</v>
      </c>
      <c r="G190" s="7">
        <f>日前电价!G190-实时电价!G190</f>
        <v>-5.76530000000002</v>
      </c>
      <c r="H190" s="7">
        <f>日前电价!H190-实时电价!H190</f>
        <v>-6.34509999999995</v>
      </c>
      <c r="I190" s="7">
        <f>日前电价!I190-实时电价!I190</f>
        <v>-6.49180000000001</v>
      </c>
      <c r="J190" s="7">
        <f>日前电价!J190-实时电价!J190</f>
        <v>5.04450000000003</v>
      </c>
      <c r="K190" s="7">
        <f>日前电价!K190-实时电价!K190</f>
        <v>19.2791</v>
      </c>
      <c r="L190" s="7">
        <f>日前电价!L190-实时电价!L190</f>
        <v>81.6805</v>
      </c>
      <c r="M190" s="7">
        <f>日前电价!M190-实时电价!M190</f>
        <v>93.6505</v>
      </c>
      <c r="N190" s="7">
        <f>日前电价!N190-实时电价!N190</f>
        <v>21.81</v>
      </c>
      <c r="O190" s="7">
        <f>日前电价!O190-实时电价!O190</f>
        <v>8.80039999999997</v>
      </c>
      <c r="P190" s="7">
        <f>日前电价!P190-实时电价!P190</f>
        <v>29.2413</v>
      </c>
      <c r="Q190" s="7">
        <f>日前电价!Q190-实时电价!Q190</f>
        <v>48.1017</v>
      </c>
      <c r="R190" s="7">
        <f>日前电价!R190-实时电价!R190</f>
        <v>32.8894</v>
      </c>
      <c r="S190" s="7">
        <f>日前电价!S190-实时电价!S190</f>
        <v>26.1855</v>
      </c>
      <c r="T190" s="7">
        <f>日前电价!T190-实时电价!T190</f>
        <v>14.1425</v>
      </c>
      <c r="U190" s="7">
        <f>日前电价!U190-实时电价!U190</f>
        <v>16.5425</v>
      </c>
      <c r="V190" s="7">
        <f>日前电价!V190-实时电价!V190</f>
        <v>15.41</v>
      </c>
      <c r="W190" s="7">
        <f>日前电价!W190-实时电价!W190</f>
        <v>-3.6859</v>
      </c>
      <c r="X190" s="7">
        <f>日前电价!X190-实时电价!X190</f>
        <v>-4.70519999999999</v>
      </c>
      <c r="Y190" s="7">
        <f>日前电价!Y190-实时电价!Y190</f>
        <v>-8.57420000000002</v>
      </c>
      <c r="Z190" s="9">
        <f t="shared" si="6"/>
        <v>93.6505</v>
      </c>
      <c r="AA190" s="9">
        <f t="shared" si="7"/>
        <v>-328.9406</v>
      </c>
      <c r="AB190" s="9">
        <f t="shared" si="8"/>
        <v>0.444408333333336</v>
      </c>
    </row>
    <row r="191" spans="1:28">
      <c r="A191" s="8">
        <v>45481</v>
      </c>
      <c r="B191" s="7">
        <f>日前电价!B191-实时电价!B191</f>
        <v>-176.3206</v>
      </c>
      <c r="C191" s="7">
        <f>日前电价!C191-实时电价!C191</f>
        <v>-11.6348</v>
      </c>
      <c r="D191" s="7">
        <f>日前电价!D191-实时电价!D191</f>
        <v>8.80349999999999</v>
      </c>
      <c r="E191" s="7">
        <f>日前电价!E191-实时电价!E191</f>
        <v>6.82599999999996</v>
      </c>
      <c r="F191" s="7">
        <f>日前电价!F191-实时电价!F191</f>
        <v>-0.186000000000035</v>
      </c>
      <c r="G191" s="7">
        <f>日前电价!G191-实时电价!G191</f>
        <v>-0.293200000000013</v>
      </c>
      <c r="H191" s="7">
        <f>日前电价!H191-实时电价!H191</f>
        <v>-2.03569999999996</v>
      </c>
      <c r="I191" s="7">
        <f>日前电价!I191-实时电价!I191</f>
        <v>-0.399100000000033</v>
      </c>
      <c r="J191" s="7">
        <f>日前电价!J191-实时电价!J191</f>
        <v>8.49169999999998</v>
      </c>
      <c r="K191" s="7">
        <f>日前电价!K191-实时电价!K191</f>
        <v>50.7994</v>
      </c>
      <c r="L191" s="7">
        <f>日前电价!L191-实时电价!L191</f>
        <v>52.0315</v>
      </c>
      <c r="M191" s="7">
        <f>日前电价!M191-实时电价!M191</f>
        <v>40.2679</v>
      </c>
      <c r="N191" s="7">
        <f>日前电价!N191-实时电价!N191</f>
        <v>71.075</v>
      </c>
      <c r="O191" s="7">
        <f>日前电价!O191-实时电价!O191</f>
        <v>83.3907</v>
      </c>
      <c r="P191" s="7">
        <f>日前电价!P191-实时电价!P191</f>
        <v>56.4108000000001</v>
      </c>
      <c r="Q191" s="7">
        <f>日前电价!Q191-实时电价!Q191</f>
        <v>50.4945</v>
      </c>
      <c r="R191" s="7">
        <f>日前电价!R191-实时电价!R191</f>
        <v>5.00890000000004</v>
      </c>
      <c r="S191" s="7">
        <f>日前电价!S191-实时电价!S191</f>
        <v>-5.89919999999995</v>
      </c>
      <c r="T191" s="7">
        <f>日前电价!T191-实时电价!T191</f>
        <v>11.9737</v>
      </c>
      <c r="U191" s="7">
        <f>日前电价!U191-实时电价!U191</f>
        <v>9.87939999999998</v>
      </c>
      <c r="V191" s="7">
        <f>日前电价!V191-实时电价!V191</f>
        <v>12.2971</v>
      </c>
      <c r="W191" s="7">
        <f>日前电价!W191-实时电价!W191</f>
        <v>-17.7234</v>
      </c>
      <c r="X191" s="7">
        <f>日前电价!X191-实时电价!X191</f>
        <v>-14.845</v>
      </c>
      <c r="Y191" s="7">
        <f>日前电价!Y191-实时电价!Y191</f>
        <v>1.4513</v>
      </c>
      <c r="Z191" s="9">
        <f t="shared" si="6"/>
        <v>83.3907</v>
      </c>
      <c r="AA191" s="9">
        <f t="shared" si="7"/>
        <v>-176.3206</v>
      </c>
      <c r="AB191" s="9">
        <f t="shared" si="8"/>
        <v>9.99435</v>
      </c>
    </row>
    <row r="192" spans="1:28">
      <c r="A192" s="8">
        <v>45482</v>
      </c>
      <c r="B192" s="7">
        <f>日前电价!B192-实时电价!B192</f>
        <v>-178.8967</v>
      </c>
      <c r="C192" s="7">
        <f>日前电价!C192-实时电价!C192</f>
        <v>-22.7599</v>
      </c>
      <c r="D192" s="7">
        <f>日前电价!D192-实时电价!D192</f>
        <v>-2.44560000000001</v>
      </c>
      <c r="E192" s="7">
        <f>日前电价!E192-实时电价!E192</f>
        <v>-3.49430000000001</v>
      </c>
      <c r="F192" s="7">
        <f>日前电价!F192-实时电价!F192</f>
        <v>-6.16360000000003</v>
      </c>
      <c r="G192" s="7">
        <f>日前电价!G192-实时电价!G192</f>
        <v>-3.02300000000002</v>
      </c>
      <c r="H192" s="7">
        <f>日前电价!H192-实时电价!H192</f>
        <v>-6.1191</v>
      </c>
      <c r="I192" s="7">
        <f>日前电价!I192-实时电价!I192</f>
        <v>-4.6755</v>
      </c>
      <c r="J192" s="7">
        <f>日前电价!J192-实时电价!J192</f>
        <v>0.586000000000013</v>
      </c>
      <c r="K192" s="7">
        <f>日前电价!K192-实时电价!K192</f>
        <v>15.1199</v>
      </c>
      <c r="L192" s="7">
        <f>日前电价!L192-实时电价!L192</f>
        <v>7.90320000000003</v>
      </c>
      <c r="M192" s="7">
        <f>日前电价!M192-实时电价!M192</f>
        <v>36.2723</v>
      </c>
      <c r="N192" s="7">
        <f>日前电价!N192-实时电价!N192</f>
        <v>41.7127</v>
      </c>
      <c r="O192" s="7">
        <f>日前电价!O192-实时电价!O192</f>
        <v>9.40539999999999</v>
      </c>
      <c r="P192" s="7">
        <f>日前电价!P192-实时电价!P192</f>
        <v>17.4077</v>
      </c>
      <c r="Q192" s="7">
        <f>日前电价!Q192-实时电价!Q192</f>
        <v>-20.2089</v>
      </c>
      <c r="R192" s="7">
        <f>日前电价!R192-实时电价!R192</f>
        <v>-10.266</v>
      </c>
      <c r="S192" s="7">
        <f>日前电价!S192-实时电价!S192</f>
        <v>-20.6417</v>
      </c>
      <c r="T192" s="7">
        <f>日前电价!T192-实时电价!T192</f>
        <v>1.33100000000002</v>
      </c>
      <c r="U192" s="7">
        <f>日前电价!U192-实时电价!U192</f>
        <v>-11.5387</v>
      </c>
      <c r="V192" s="7">
        <f>日前电价!V192-实时电价!V192</f>
        <v>5.16149999999999</v>
      </c>
      <c r="W192" s="7">
        <f>日前电价!W192-实时电价!W192</f>
        <v>-6.22620000000001</v>
      </c>
      <c r="X192" s="7">
        <f>日前电价!X192-实时电价!X192</f>
        <v>-7.45750000000004</v>
      </c>
      <c r="Y192" s="7">
        <f>日前电价!Y192-实时电价!Y192</f>
        <v>-14.6742</v>
      </c>
      <c r="Z192" s="9">
        <f t="shared" si="6"/>
        <v>41.7127</v>
      </c>
      <c r="AA192" s="9">
        <f t="shared" si="7"/>
        <v>-178.8967</v>
      </c>
      <c r="AB192" s="9">
        <f t="shared" si="8"/>
        <v>-7.6538</v>
      </c>
    </row>
    <row r="193" spans="1:28">
      <c r="A193" s="8">
        <v>45483</v>
      </c>
      <c r="B193" s="7">
        <f>日前电价!B193-实时电价!B193</f>
        <v>-265.5014</v>
      </c>
      <c r="C193" s="7">
        <f>日前电价!C193-实时电价!C193</f>
        <v>-186.4496</v>
      </c>
      <c r="D193" s="7">
        <f>日前电价!D193-实时电价!D193</f>
        <v>-21.3262</v>
      </c>
      <c r="E193" s="7">
        <f>日前电价!E193-实时电价!E193</f>
        <v>-4.59640000000002</v>
      </c>
      <c r="F193" s="7">
        <f>日前电价!F193-实时电价!F193</f>
        <v>-5.4923</v>
      </c>
      <c r="G193" s="7">
        <f>日前电价!G193-实时电价!G193</f>
        <v>-10.6775</v>
      </c>
      <c r="H193" s="7">
        <f>日前电价!H193-实时电价!H193</f>
        <v>-11.9142000000001</v>
      </c>
      <c r="I193" s="7">
        <f>日前电价!I193-实时电价!I193</f>
        <v>-5.65250000000003</v>
      </c>
      <c r="J193" s="7">
        <f>日前电价!J193-实时电价!J193</f>
        <v>-19.1817</v>
      </c>
      <c r="K193" s="7">
        <f>日前电价!K193-实时电价!K193</f>
        <v>-31.5292</v>
      </c>
      <c r="L193" s="7">
        <f>日前电价!L193-实时电价!L193</f>
        <v>11.3486</v>
      </c>
      <c r="M193" s="7">
        <f>日前电价!M193-实时电价!M193</f>
        <v>4.14840000000004</v>
      </c>
      <c r="N193" s="7">
        <f>日前电价!N193-实时电价!N193</f>
        <v>51.1374</v>
      </c>
      <c r="O193" s="7">
        <f>日前电价!O193-实时电价!O193</f>
        <v>-52.8708</v>
      </c>
      <c r="P193" s="7">
        <f>日前电价!P193-实时电价!P193</f>
        <v>-19.6984</v>
      </c>
      <c r="Q193" s="7">
        <f>日前电价!Q193-实时电价!Q193</f>
        <v>-39.6291</v>
      </c>
      <c r="R193" s="7">
        <f>日前电价!R193-实时电价!R193</f>
        <v>9.55339999999995</v>
      </c>
      <c r="S193" s="7">
        <f>日前电价!S193-实时电价!S193</f>
        <v>-13.2419</v>
      </c>
      <c r="T193" s="7">
        <f>日前电价!T193-实时电价!T193</f>
        <v>20.9609</v>
      </c>
      <c r="U193" s="7">
        <f>日前电价!U193-实时电价!U193</f>
        <v>10.6452</v>
      </c>
      <c r="V193" s="7">
        <f>日前电价!V193-实时电价!V193</f>
        <v>11.1754</v>
      </c>
      <c r="W193" s="7">
        <f>日前电价!W193-实时电价!W193</f>
        <v>5.48829999999998</v>
      </c>
      <c r="X193" s="7">
        <f>日前电价!X193-实时电价!X193</f>
        <v>-5.49810000000002</v>
      </c>
      <c r="Y193" s="7">
        <f>日前电价!Y193-实时电价!Y193</f>
        <v>-1.05429999999996</v>
      </c>
      <c r="Z193" s="9">
        <f t="shared" si="6"/>
        <v>51.1374</v>
      </c>
      <c r="AA193" s="9">
        <f t="shared" si="7"/>
        <v>-265.5014</v>
      </c>
      <c r="AB193" s="9">
        <f t="shared" si="8"/>
        <v>-23.744</v>
      </c>
    </row>
    <row r="194" spans="1:28">
      <c r="A194" s="8">
        <v>45484</v>
      </c>
      <c r="B194" s="7">
        <f>日前电价!B194-实时电价!B194</f>
        <v>-221.8029</v>
      </c>
      <c r="C194" s="7">
        <f>日前电价!C194-实时电价!C194</f>
        <v>-111.4977</v>
      </c>
      <c r="D194" s="7">
        <f>日前电价!D194-实时电价!D194</f>
        <v>0.576600000000042</v>
      </c>
      <c r="E194" s="7">
        <f>日前电价!E194-实时电价!E194</f>
        <v>6.69690000000003</v>
      </c>
      <c r="F194" s="7">
        <f>日前电价!F194-实时电价!F194</f>
        <v>2.79790000000003</v>
      </c>
      <c r="G194" s="7">
        <f>日前电价!G194-实时电价!G194</f>
        <v>2.36109999999996</v>
      </c>
      <c r="H194" s="7">
        <f>日前电价!H194-实时电价!H194</f>
        <v>0.66149999999999</v>
      </c>
      <c r="I194" s="7">
        <f>日前电价!I194-实时电价!I194</f>
        <v>-0.274000000000001</v>
      </c>
      <c r="J194" s="7">
        <f>日前电价!J194-实时电价!J194</f>
        <v>-1.63099999999997</v>
      </c>
      <c r="K194" s="7">
        <f>日前电价!K194-实时电价!K194</f>
        <v>17.3515</v>
      </c>
      <c r="L194" s="7">
        <f>日前电价!L194-实时电价!L194</f>
        <v>17.318</v>
      </c>
      <c r="M194" s="7">
        <f>日前电价!M194-实时电价!M194</f>
        <v>26.0961</v>
      </c>
      <c r="N194" s="7">
        <f>日前电价!N194-实时电价!N194</f>
        <v>83.7907</v>
      </c>
      <c r="O194" s="7">
        <f>日前电价!O194-实时电价!O194</f>
        <v>21.4565</v>
      </c>
      <c r="P194" s="7">
        <f>日前电价!P194-实时电价!P194</f>
        <v>32.9471</v>
      </c>
      <c r="Q194" s="7">
        <f>日前电价!Q194-实时电价!Q194</f>
        <v>32.0116</v>
      </c>
      <c r="R194" s="7">
        <f>日前电价!R194-实时电价!R194</f>
        <v>40.5526</v>
      </c>
      <c r="S194" s="7">
        <f>日前电价!S194-实时电价!S194</f>
        <v>31.2697</v>
      </c>
      <c r="T194" s="7">
        <f>日前电价!T194-实时电价!T194</f>
        <v>25.6725</v>
      </c>
      <c r="U194" s="7">
        <f>日前电价!U194-实时电价!U194</f>
        <v>22.5955</v>
      </c>
      <c r="V194" s="7">
        <f>日前电价!V194-实时电价!V194</f>
        <v>19.5018</v>
      </c>
      <c r="W194" s="7">
        <f>日前电价!W194-实时电价!W194</f>
        <v>15.5954</v>
      </c>
      <c r="X194" s="7">
        <f>日前电价!X194-实时电价!X194</f>
        <v>9.19659999999999</v>
      </c>
      <c r="Y194" s="7">
        <f>日前电价!Y194-实时电价!Y194</f>
        <v>3.43819999999999</v>
      </c>
      <c r="Z194" s="9">
        <f t="shared" ref="Z194:Z257" si="9">MAX($B194:$Y194)</f>
        <v>83.7907</v>
      </c>
      <c r="AA194" s="9">
        <f t="shared" ref="AA194:AA257" si="10">MIN($B194:$Y194)</f>
        <v>-221.8029</v>
      </c>
      <c r="AB194" s="9">
        <f t="shared" ref="AB194:AB257" si="11">AVERAGE($B194:$Y194)</f>
        <v>3.19509166666667</v>
      </c>
    </row>
    <row r="195" spans="1:28">
      <c r="A195" s="8">
        <v>45485</v>
      </c>
      <c r="B195" s="7">
        <f>日前电价!B195-实时电价!B195</f>
        <v>-97.8259</v>
      </c>
      <c r="C195" s="7">
        <f>日前电价!C195-实时电价!C195</f>
        <v>15.5818</v>
      </c>
      <c r="D195" s="7">
        <f>日前电价!D195-实时电价!D195</f>
        <v>26.2136</v>
      </c>
      <c r="E195" s="7">
        <f>日前电价!E195-实时电价!E195</f>
        <v>7.84470000000005</v>
      </c>
      <c r="F195" s="7">
        <f>日前电价!F195-实时电价!F195</f>
        <v>6.82089999999999</v>
      </c>
      <c r="G195" s="7">
        <f>日前电价!G195-实时电价!G195</f>
        <v>5.74839999999995</v>
      </c>
      <c r="H195" s="7">
        <f>日前电价!H195-实时电价!H195</f>
        <v>6.06810000000002</v>
      </c>
      <c r="I195" s="7">
        <f>日前电价!I195-实时电价!I195</f>
        <v>8.54239999999999</v>
      </c>
      <c r="J195" s="7">
        <f>日前电价!J195-实时电价!J195</f>
        <v>4.21449999999999</v>
      </c>
      <c r="K195" s="7">
        <f>日前电价!K195-实时电价!K195</f>
        <v>36.6827</v>
      </c>
      <c r="L195" s="7">
        <f>日前电价!L195-实时电价!L195</f>
        <v>39.3374</v>
      </c>
      <c r="M195" s="7">
        <f>日前电价!M195-实时电价!M195</f>
        <v>38.2171</v>
      </c>
      <c r="N195" s="7">
        <f>日前电价!N195-实时电价!N195</f>
        <v>31.1331</v>
      </c>
      <c r="O195" s="7">
        <f>日前电价!O195-实时电价!O195</f>
        <v>36.9129</v>
      </c>
      <c r="P195" s="7">
        <f>日前电价!P195-实时电价!P195</f>
        <v>40.9736</v>
      </c>
      <c r="Q195" s="7">
        <f>日前电价!Q195-实时电价!Q195</f>
        <v>39.1783</v>
      </c>
      <c r="R195" s="7">
        <f>日前电价!R195-实时电价!R195</f>
        <v>38.9575</v>
      </c>
      <c r="S195" s="7">
        <f>日前电价!S195-实时电价!S195</f>
        <v>23.2057</v>
      </c>
      <c r="T195" s="7">
        <f>日前电价!T195-实时电价!T195</f>
        <v>22.7659</v>
      </c>
      <c r="U195" s="7">
        <f>日前电价!U195-实时电价!U195</f>
        <v>7.51089999999999</v>
      </c>
      <c r="V195" s="7">
        <f>日前电价!V195-实时电价!V195</f>
        <v>13.3128</v>
      </c>
      <c r="W195" s="7">
        <f>日前电价!W195-实时电价!W195</f>
        <v>14.1198</v>
      </c>
      <c r="X195" s="7">
        <f>日前电价!X195-实时电价!X195</f>
        <v>11.185</v>
      </c>
      <c r="Y195" s="7">
        <f>日前电价!Y195-实时电价!Y195</f>
        <v>10.9304</v>
      </c>
      <c r="Z195" s="9">
        <f t="shared" si="9"/>
        <v>40.9736</v>
      </c>
      <c r="AA195" s="9">
        <f t="shared" si="10"/>
        <v>-97.8259</v>
      </c>
      <c r="AB195" s="9">
        <f t="shared" si="11"/>
        <v>16.1513166666667</v>
      </c>
    </row>
    <row r="196" spans="1:28">
      <c r="A196" s="8">
        <v>45486</v>
      </c>
      <c r="B196" s="7">
        <f>日前电价!B196-实时电价!B196</f>
        <v>59.2441</v>
      </c>
      <c r="C196" s="7">
        <f>日前电价!C196-实时电价!C196</f>
        <v>37.3596</v>
      </c>
      <c r="D196" s="7">
        <f>日前电价!D196-实时电价!D196</f>
        <v>34.5066</v>
      </c>
      <c r="E196" s="7">
        <f>日前电价!E196-实时电价!E196</f>
        <v>10.0629</v>
      </c>
      <c r="F196" s="7">
        <f>日前电价!F196-实时电价!F196</f>
        <v>7.0949</v>
      </c>
      <c r="G196" s="7">
        <f>日前电价!G196-实时电价!G196</f>
        <v>9.51310000000001</v>
      </c>
      <c r="H196" s="7">
        <f>日前电价!H196-实时电价!H196</f>
        <v>2.4588</v>
      </c>
      <c r="I196" s="7">
        <f>日前电价!I196-实时电价!I196</f>
        <v>5.57729999999998</v>
      </c>
      <c r="J196" s="7">
        <f>日前电价!J196-实时电价!J196</f>
        <v>2.61240000000004</v>
      </c>
      <c r="K196" s="7">
        <f>日前电价!K196-实时电价!K196</f>
        <v>40.1581</v>
      </c>
      <c r="L196" s="7">
        <f>日前电价!L196-实时电价!L196</f>
        <v>85.1822</v>
      </c>
      <c r="M196" s="7">
        <f>日前电价!M196-实时电价!M196</f>
        <v>38.3125</v>
      </c>
      <c r="N196" s="7">
        <f>日前电价!N196-实时电价!N196</f>
        <v>52.3031</v>
      </c>
      <c r="O196" s="7">
        <f>日前电价!O196-实时电价!O196</f>
        <v>-33.6138</v>
      </c>
      <c r="P196" s="7">
        <f>日前电价!P196-实时电价!P196</f>
        <v>-30.2031</v>
      </c>
      <c r="Q196" s="7">
        <f>日前电价!Q196-实时电价!Q196</f>
        <v>41.3718</v>
      </c>
      <c r="R196" s="7">
        <f>日前电价!R196-实时电价!R196</f>
        <v>40.8617</v>
      </c>
      <c r="S196" s="7">
        <f>日前电价!S196-实时电价!S196</f>
        <v>30.3118</v>
      </c>
      <c r="T196" s="7">
        <f>日前电价!T196-实时电价!T196</f>
        <v>11.8784</v>
      </c>
      <c r="U196" s="7">
        <f>日前电价!U196-实时电价!U196</f>
        <v>28.7438</v>
      </c>
      <c r="V196" s="7">
        <f>日前电价!V196-实时电价!V196</f>
        <v>27.0796</v>
      </c>
      <c r="W196" s="7">
        <f>日前电价!W196-实时电价!W196</f>
        <v>31.9549</v>
      </c>
      <c r="X196" s="7">
        <f>日前电价!X196-实时电价!X196</f>
        <v>14.0513</v>
      </c>
      <c r="Y196" s="7">
        <f>日前电价!Y196-实时电价!Y196</f>
        <v>15.0869</v>
      </c>
      <c r="Z196" s="9">
        <f t="shared" si="9"/>
        <v>85.1822</v>
      </c>
      <c r="AA196" s="9">
        <f t="shared" si="10"/>
        <v>-33.6138</v>
      </c>
      <c r="AB196" s="9">
        <f t="shared" si="11"/>
        <v>23.4128708333333</v>
      </c>
    </row>
    <row r="197" spans="1:28">
      <c r="A197" s="8">
        <v>45487</v>
      </c>
      <c r="B197" s="7">
        <f>日前电价!B197-实时电价!B197</f>
        <v>6.16539999999998</v>
      </c>
      <c r="C197" s="7">
        <f>日前电价!C197-实时电价!C197</f>
        <v>4.25</v>
      </c>
      <c r="D197" s="7">
        <f>日前电价!D197-实时电价!D197</f>
        <v>12.4628</v>
      </c>
      <c r="E197" s="7">
        <f>日前电价!E197-实时电价!E197</f>
        <v>16.8418</v>
      </c>
      <c r="F197" s="7">
        <f>日前电价!F197-实时电价!F197</f>
        <v>11.941</v>
      </c>
      <c r="G197" s="7">
        <f>日前电价!G197-实时电价!G197</f>
        <v>8.37039999999996</v>
      </c>
      <c r="H197" s="7">
        <f>日前电价!H197-实时电价!H197</f>
        <v>3.72539999999998</v>
      </c>
      <c r="I197" s="7">
        <f>日前电价!I197-实时电价!I197</f>
        <v>7.11349999999999</v>
      </c>
      <c r="J197" s="7">
        <f>日前电价!J197-实时电价!J197</f>
        <v>82.2891</v>
      </c>
      <c r="K197" s="7">
        <f>日前电价!K197-实时电价!K197</f>
        <v>94.9687</v>
      </c>
      <c r="L197" s="7">
        <f>日前电价!L197-实时电价!L197</f>
        <v>145.6617</v>
      </c>
      <c r="M197" s="7">
        <f>日前电价!M197-实时电价!M197</f>
        <v>132.1445</v>
      </c>
      <c r="N197" s="7">
        <f>日前电价!N197-实时电价!N197</f>
        <v>106.5027</v>
      </c>
      <c r="O197" s="7">
        <f>日前电价!O197-实时电价!O197</f>
        <v>16.4935</v>
      </c>
      <c r="P197" s="7">
        <f>日前电价!P197-实时电价!P197</f>
        <v>99.0036</v>
      </c>
      <c r="Q197" s="7">
        <f>日前电价!Q197-实时电价!Q197</f>
        <v>112.2253</v>
      </c>
      <c r="R197" s="7">
        <f>日前电价!R197-实时电价!R197</f>
        <v>97.0793</v>
      </c>
      <c r="S197" s="7">
        <f>日前电价!S197-实时电价!S197</f>
        <v>18.753</v>
      </c>
      <c r="T197" s="7">
        <f>日前电价!T197-实时电价!T197</f>
        <v>19.5109</v>
      </c>
      <c r="U197" s="7">
        <f>日前电价!U197-实时电价!U197</f>
        <v>21.378</v>
      </c>
      <c r="V197" s="7">
        <f>日前电价!V197-实时电价!V197</f>
        <v>10.929</v>
      </c>
      <c r="W197" s="7">
        <f>日前电价!W197-实时电价!W197</f>
        <v>17.3346</v>
      </c>
      <c r="X197" s="7">
        <f>日前电价!X197-实时电价!X197</f>
        <v>4.21269999999998</v>
      </c>
      <c r="Y197" s="7">
        <f>日前电价!Y197-实时电价!Y197</f>
        <v>-7.58049999999997</v>
      </c>
      <c r="Z197" s="9">
        <f t="shared" si="9"/>
        <v>145.6617</v>
      </c>
      <c r="AA197" s="9">
        <f t="shared" si="10"/>
        <v>-7.58049999999997</v>
      </c>
      <c r="AB197" s="9">
        <f t="shared" si="11"/>
        <v>43.40735</v>
      </c>
    </row>
    <row r="198" spans="1:28">
      <c r="A198" s="8">
        <v>45488</v>
      </c>
      <c r="B198" s="7">
        <f>日前电价!B198-实时电价!B198</f>
        <v>-42.6474</v>
      </c>
      <c r="C198" s="7">
        <f>日前电价!C198-实时电价!C198</f>
        <v>-14.1474</v>
      </c>
      <c r="D198" s="7">
        <f>日前电价!D198-实时电价!D198</f>
        <v>-3.40379999999999</v>
      </c>
      <c r="E198" s="7">
        <f>日前电价!E198-实时电价!E198</f>
        <v>-5.32209999999998</v>
      </c>
      <c r="F198" s="7">
        <f>日前电价!F198-实时电价!F198</f>
        <v>-0.251300000000015</v>
      </c>
      <c r="G198" s="7">
        <f>日前电价!G198-实时电价!G198</f>
        <v>1.15440000000001</v>
      </c>
      <c r="H198" s="7">
        <f>日前电价!H198-实时电价!H198</f>
        <v>0.894799999999975</v>
      </c>
      <c r="I198" s="7">
        <f>日前电价!I198-实时电价!I198</f>
        <v>2.87090000000001</v>
      </c>
      <c r="J198" s="7">
        <f>日前电价!J198-实时电价!J198</f>
        <v>6.43680000000001</v>
      </c>
      <c r="K198" s="7">
        <f>日前电价!K198-实时电价!K198</f>
        <v>-7.3039</v>
      </c>
      <c r="L198" s="7">
        <f>日前电价!L198-实时电价!L198</f>
        <v>39.03</v>
      </c>
      <c r="M198" s="7">
        <f>日前电价!M198-实时电价!M198</f>
        <v>27.2247</v>
      </c>
      <c r="N198" s="7">
        <f>日前电价!N198-实时电价!N198</f>
        <v>84.3233</v>
      </c>
      <c r="O198" s="7">
        <f>日前电价!O198-实时电价!O198</f>
        <v>17.9016</v>
      </c>
      <c r="P198" s="7">
        <f>日前电价!P198-实时电价!P198</f>
        <v>9.70620000000002</v>
      </c>
      <c r="Q198" s="7">
        <f>日前电价!Q198-实时电价!Q198</f>
        <v>-31.8998</v>
      </c>
      <c r="R198" s="7">
        <f>日前电价!R198-实时电价!R198</f>
        <v>-58.8566</v>
      </c>
      <c r="S198" s="7">
        <f>日前电价!S198-实时电价!S198</f>
        <v>-20.0648</v>
      </c>
      <c r="T198" s="7">
        <f>日前电价!T198-实时电价!T198</f>
        <v>1.66239999999999</v>
      </c>
      <c r="U198" s="7">
        <f>日前电价!U198-实时电价!U198</f>
        <v>-21.8855</v>
      </c>
      <c r="V198" s="7">
        <f>日前电价!V198-实时电价!V198</f>
        <v>-7.38299999999998</v>
      </c>
      <c r="W198" s="7">
        <f>日前电价!W198-实时电价!W198</f>
        <v>-6.88670000000002</v>
      </c>
      <c r="X198" s="7">
        <f>日前电价!X198-实时电价!X198</f>
        <v>-3.36020000000002</v>
      </c>
      <c r="Y198" s="7">
        <f>日前电价!Y198-实时电价!Y198</f>
        <v>-5.0369</v>
      </c>
      <c r="Z198" s="9">
        <f t="shared" si="9"/>
        <v>84.3233</v>
      </c>
      <c r="AA198" s="9">
        <f t="shared" si="10"/>
        <v>-58.8566</v>
      </c>
      <c r="AB198" s="9">
        <f t="shared" si="11"/>
        <v>-1.55184583333333</v>
      </c>
    </row>
    <row r="199" spans="1:28">
      <c r="A199" s="8">
        <v>45489</v>
      </c>
      <c r="B199" s="7">
        <f>日前电价!B199-实时电价!B199</f>
        <v>-4.04770000000002</v>
      </c>
      <c r="C199" s="7">
        <f>日前电价!C199-实时电价!C199</f>
        <v>10.8715</v>
      </c>
      <c r="D199" s="7">
        <f>日前电价!D199-实时电价!D199</f>
        <v>20.4443000000001</v>
      </c>
      <c r="E199" s="7">
        <f>日前电价!E199-实时电价!E199</f>
        <v>16.7374</v>
      </c>
      <c r="F199" s="7">
        <f>日前电价!F199-实时电价!F199</f>
        <v>13.3888</v>
      </c>
      <c r="G199" s="7">
        <f>日前电价!G199-实时电价!G199</f>
        <v>11.8374</v>
      </c>
      <c r="H199" s="7">
        <f>日前电价!H199-实时电价!H199</f>
        <v>12.7406</v>
      </c>
      <c r="I199" s="7">
        <f>日前电价!I199-实时电价!I199</f>
        <v>9.24900000000002</v>
      </c>
      <c r="J199" s="7">
        <f>日前电价!J199-实时电价!J199</f>
        <v>13.6909</v>
      </c>
      <c r="K199" s="7">
        <f>日前电价!K199-实时电价!K199</f>
        <v>29.5862</v>
      </c>
      <c r="L199" s="7">
        <f>日前电价!L199-实时电价!L199</f>
        <v>3.08499999999998</v>
      </c>
      <c r="M199" s="7">
        <f>日前电价!M199-实时电价!M199</f>
        <v>21.3508</v>
      </c>
      <c r="N199" s="7">
        <f>日前电价!N199-实时电价!N199</f>
        <v>10.0717</v>
      </c>
      <c r="O199" s="7">
        <f>日前电价!O199-实时电价!O199</f>
        <v>31.2813</v>
      </c>
      <c r="P199" s="7">
        <f>日前电价!P199-实时电价!P199</f>
        <v>-29.7331</v>
      </c>
      <c r="Q199" s="7">
        <f>日前电价!Q199-实时电价!Q199</f>
        <v>27.4804</v>
      </c>
      <c r="R199" s="7">
        <f>日前电价!R199-实时电价!R199</f>
        <v>106.0666</v>
      </c>
      <c r="S199" s="7">
        <f>日前电价!S199-实时电价!S199</f>
        <v>96.3456</v>
      </c>
      <c r="T199" s="7">
        <f>日前电价!T199-实时电价!T199</f>
        <v>32.4385</v>
      </c>
      <c r="U199" s="7">
        <f>日前电价!U199-实时电价!U199</f>
        <v>64.6125</v>
      </c>
      <c r="V199" s="7">
        <f>日前电价!V199-实时电价!V199</f>
        <v>58.9825</v>
      </c>
      <c r="W199" s="7">
        <f>日前电价!W199-实时电价!W199</f>
        <v>44.5443</v>
      </c>
      <c r="X199" s="7">
        <f>日前电价!X199-实时电价!X199</f>
        <v>48.021</v>
      </c>
      <c r="Y199" s="7">
        <f>日前电价!Y199-实时电价!Y199</f>
        <v>38.4964</v>
      </c>
      <c r="Z199" s="9">
        <f t="shared" si="9"/>
        <v>106.0666</v>
      </c>
      <c r="AA199" s="9">
        <f t="shared" si="10"/>
        <v>-29.7331</v>
      </c>
      <c r="AB199" s="9">
        <f t="shared" si="11"/>
        <v>28.6475791666667</v>
      </c>
    </row>
    <row r="200" spans="1:28">
      <c r="A200" s="8">
        <v>45490</v>
      </c>
      <c r="B200" s="7">
        <f>日前电价!B200-实时电价!B200</f>
        <v>40.6792</v>
      </c>
      <c r="C200" s="7">
        <f>日前电价!C200-实时电价!C200</f>
        <v>29.4668</v>
      </c>
      <c r="D200" s="7">
        <f>日前电价!D200-实时电价!D200</f>
        <v>28.3094</v>
      </c>
      <c r="E200" s="7">
        <f>日前电价!E200-实时电价!E200</f>
        <v>23.3046</v>
      </c>
      <c r="F200" s="7">
        <f>日前电价!F200-实时电价!F200</f>
        <v>20.8286</v>
      </c>
      <c r="G200" s="7">
        <f>日前电价!G200-实时电价!G200</f>
        <v>41.0023</v>
      </c>
      <c r="H200" s="7">
        <f>日前电价!H200-实时电价!H200</f>
        <v>15.9753</v>
      </c>
      <c r="I200" s="7">
        <f>日前电价!I200-实时电价!I200</f>
        <v>25.738</v>
      </c>
      <c r="J200" s="7">
        <f>日前电价!J200-实时电价!J200</f>
        <v>19.0815</v>
      </c>
      <c r="K200" s="7">
        <f>日前电价!K200-实时电价!K200</f>
        <v>49.8927</v>
      </c>
      <c r="L200" s="7">
        <f>日前电价!L200-实时电价!L200</f>
        <v>53.9261</v>
      </c>
      <c r="M200" s="7">
        <f>日前电价!M200-实时电价!M200</f>
        <v>42.4848</v>
      </c>
      <c r="N200" s="7">
        <f>日前电价!N200-实时电价!N200</f>
        <v>92.5242</v>
      </c>
      <c r="O200" s="7">
        <f>日前电价!O200-实时电价!O200</f>
        <v>39.4101</v>
      </c>
      <c r="P200" s="7">
        <f>日前电价!P200-实时电价!P200</f>
        <v>65.2907</v>
      </c>
      <c r="Q200" s="7">
        <f>日前电价!Q200-实时电价!Q200</f>
        <v>46.8354</v>
      </c>
      <c r="R200" s="7">
        <f>日前电价!R200-实时电价!R200</f>
        <v>26.0529</v>
      </c>
      <c r="S200" s="7">
        <f>日前电价!S200-实时电价!S200</f>
        <v>23.0199</v>
      </c>
      <c r="T200" s="7">
        <f>日前电价!T200-实时电价!T200</f>
        <v>22.055</v>
      </c>
      <c r="U200" s="7">
        <f>日前电价!U200-实时电价!U200</f>
        <v>28.6621</v>
      </c>
      <c r="V200" s="7">
        <f>日前电价!V200-实时电价!V200</f>
        <v>24.6657</v>
      </c>
      <c r="W200" s="7">
        <f>日前电价!W200-实时电价!W200</f>
        <v>24.5184</v>
      </c>
      <c r="X200" s="7">
        <f>日前电价!X200-实时电价!X200</f>
        <v>34.2898</v>
      </c>
      <c r="Y200" s="7">
        <f>日前电价!Y200-实时电价!Y200</f>
        <v>24.789</v>
      </c>
      <c r="Z200" s="9">
        <f t="shared" si="9"/>
        <v>92.5242</v>
      </c>
      <c r="AA200" s="9">
        <f t="shared" si="10"/>
        <v>15.9753</v>
      </c>
      <c r="AB200" s="9">
        <f t="shared" si="11"/>
        <v>35.1167708333333</v>
      </c>
    </row>
    <row r="201" spans="1:28">
      <c r="A201" s="8">
        <v>45491</v>
      </c>
      <c r="B201" s="7">
        <f>日前电价!B201-实时电价!B201</f>
        <v>-11.2068</v>
      </c>
      <c r="C201" s="7">
        <f>日前电价!C201-实时电价!C201</f>
        <v>21.3821</v>
      </c>
      <c r="D201" s="7">
        <f>日前电价!D201-实时电价!D201</f>
        <v>14.0875</v>
      </c>
      <c r="E201" s="7">
        <f>日前电价!E201-实时电价!E201</f>
        <v>11.7548</v>
      </c>
      <c r="F201" s="7">
        <f>日前电价!F201-实时电价!F201</f>
        <v>9.28319999999997</v>
      </c>
      <c r="G201" s="7">
        <f>日前电价!G201-实时电价!G201</f>
        <v>4.7706</v>
      </c>
      <c r="H201" s="7">
        <f>日前电价!H201-实时电价!H201</f>
        <v>5.40620000000001</v>
      </c>
      <c r="I201" s="7">
        <f>日前电价!I201-实时电价!I201</f>
        <v>4.73220000000003</v>
      </c>
      <c r="J201" s="7">
        <f>日前电价!J201-实时电价!J201</f>
        <v>-0.808499999999981</v>
      </c>
      <c r="K201" s="7">
        <f>日前电价!K201-实时电价!K201</f>
        <v>21.5044</v>
      </c>
      <c r="L201" s="7">
        <f>日前电价!L201-实时电价!L201</f>
        <v>15.1196</v>
      </c>
      <c r="M201" s="7">
        <f>日前电价!M201-实时电价!M201</f>
        <v>5.70119999999997</v>
      </c>
      <c r="N201" s="7">
        <f>日前电价!N201-实时电价!N201</f>
        <v>21.7123</v>
      </c>
      <c r="O201" s="7">
        <f>日前电价!O201-实时电价!O201</f>
        <v>28.0258</v>
      </c>
      <c r="P201" s="7">
        <f>日前电价!P201-实时电价!P201</f>
        <v>32.9961</v>
      </c>
      <c r="Q201" s="7">
        <f>日前电价!Q201-实时电价!Q201</f>
        <v>70.0047</v>
      </c>
      <c r="R201" s="7">
        <f>日前电价!R201-实时电价!R201</f>
        <v>43.9757</v>
      </c>
      <c r="S201" s="7">
        <f>日前电价!S201-实时电价!S201</f>
        <v>49.411</v>
      </c>
      <c r="T201" s="7">
        <f>日前电价!T201-实时电价!T201</f>
        <v>41.3956</v>
      </c>
      <c r="U201" s="7">
        <f>日前电价!U201-实时电价!U201</f>
        <v>50.9887</v>
      </c>
      <c r="V201" s="7">
        <f>日前电价!V201-实时电价!V201</f>
        <v>49.7691</v>
      </c>
      <c r="W201" s="7">
        <f>日前电价!W201-实时电价!W201</f>
        <v>53.0563</v>
      </c>
      <c r="X201" s="7">
        <f>日前电价!X201-实时电价!X201</f>
        <v>31.6329</v>
      </c>
      <c r="Y201" s="7">
        <f>日前电价!Y201-实时电价!Y201</f>
        <v>21.1518</v>
      </c>
      <c r="Z201" s="9">
        <f t="shared" si="9"/>
        <v>70.0047</v>
      </c>
      <c r="AA201" s="9">
        <f t="shared" si="10"/>
        <v>-11.2068</v>
      </c>
      <c r="AB201" s="9">
        <f t="shared" si="11"/>
        <v>24.8269375</v>
      </c>
    </row>
    <row r="202" spans="1:28">
      <c r="A202" s="8">
        <v>45492</v>
      </c>
      <c r="B202" s="7">
        <f>日前电价!B202-实时电价!B202</f>
        <v>56.3564</v>
      </c>
      <c r="C202" s="7">
        <f>日前电价!C202-实时电价!C202</f>
        <v>32.0027</v>
      </c>
      <c r="D202" s="7">
        <f>日前电价!D202-实时电价!D202</f>
        <v>25.9183</v>
      </c>
      <c r="E202" s="7">
        <f>日前电价!E202-实时电价!E202</f>
        <v>16.8213</v>
      </c>
      <c r="F202" s="7">
        <f>日前电价!F202-实时电价!F202</f>
        <v>16.266</v>
      </c>
      <c r="G202" s="7">
        <f>日前电价!G202-实时电价!G202</f>
        <v>16.7418</v>
      </c>
      <c r="H202" s="7">
        <f>日前电价!H202-实时电价!H202</f>
        <v>13.3449000000001</v>
      </c>
      <c r="I202" s="7">
        <f>日前电价!I202-实时电价!I202</f>
        <v>18.8334</v>
      </c>
      <c r="J202" s="7">
        <f>日前电价!J202-实时电价!J202</f>
        <v>5.90449999999998</v>
      </c>
      <c r="K202" s="7">
        <f>日前电价!K202-实时电价!K202</f>
        <v>41.5269</v>
      </c>
      <c r="L202" s="7">
        <f>日前电价!L202-实时电价!L202</f>
        <v>34.3991</v>
      </c>
      <c r="M202" s="7">
        <f>日前电价!M202-实时电价!M202</f>
        <v>19.6319</v>
      </c>
      <c r="N202" s="7">
        <f>日前电价!N202-实时电价!N202</f>
        <v>73.3283</v>
      </c>
      <c r="O202" s="7">
        <f>日前电价!O202-实时电价!O202</f>
        <v>21.3911000000001</v>
      </c>
      <c r="P202" s="7">
        <f>日前电价!P202-实时电价!P202</f>
        <v>10.8902</v>
      </c>
      <c r="Q202" s="7">
        <f>日前电价!Q202-实时电价!Q202</f>
        <v>16.0406</v>
      </c>
      <c r="R202" s="7">
        <f>日前电价!R202-实时电价!R202</f>
        <v>61.5159</v>
      </c>
      <c r="S202" s="7">
        <f>日前电价!S202-实时电价!S202</f>
        <v>77.3877</v>
      </c>
      <c r="T202" s="7">
        <f>日前电价!T202-实时电价!T202</f>
        <v>15.966</v>
      </c>
      <c r="U202" s="7">
        <f>日前电价!U202-实时电价!U202</f>
        <v>33.6626</v>
      </c>
      <c r="V202" s="7">
        <f>日前电价!V202-实时电价!V202</f>
        <v>39.5156</v>
      </c>
      <c r="W202" s="7">
        <f>日前电价!W202-实时电价!W202</f>
        <v>50.2616</v>
      </c>
      <c r="X202" s="7">
        <f>日前电价!X202-实时电价!X202</f>
        <v>55.2878</v>
      </c>
      <c r="Y202" s="7">
        <f>日前电价!Y202-实时电价!Y202</f>
        <v>42.2678</v>
      </c>
      <c r="Z202" s="9">
        <f t="shared" si="9"/>
        <v>77.3877</v>
      </c>
      <c r="AA202" s="9">
        <f t="shared" si="10"/>
        <v>5.90449999999998</v>
      </c>
      <c r="AB202" s="9">
        <f t="shared" si="11"/>
        <v>33.1359333333333</v>
      </c>
    </row>
    <row r="203" spans="1:28">
      <c r="A203" s="8">
        <v>45493</v>
      </c>
      <c r="B203" s="7">
        <f>日前电价!B203-实时电价!B203</f>
        <v>3.31019999999995</v>
      </c>
      <c r="C203" s="7">
        <f>日前电价!C203-实时电价!C203</f>
        <v>5.47640000000001</v>
      </c>
      <c r="D203" s="7">
        <f>日前电价!D203-实时电价!D203</f>
        <v>3.06900000000002</v>
      </c>
      <c r="E203" s="7">
        <f>日前电价!E203-实时电价!E203</f>
        <v>3.73739999999998</v>
      </c>
      <c r="F203" s="7">
        <f>日前电价!F203-实时电价!F203</f>
        <v>5.94389999999999</v>
      </c>
      <c r="G203" s="7">
        <f>日前电价!G203-实时电价!G203</f>
        <v>5.44450000000001</v>
      </c>
      <c r="H203" s="7">
        <f>日前电价!H203-实时电价!H203</f>
        <v>5.8501</v>
      </c>
      <c r="I203" s="7">
        <f>日前电价!I203-实时电价!I203</f>
        <v>9.12459999999999</v>
      </c>
      <c r="J203" s="7">
        <f>日前电价!J203-实时电价!J203</f>
        <v>-6.36589999999995</v>
      </c>
      <c r="K203" s="7">
        <f>日前电价!K203-实时电价!K203</f>
        <v>-4.93779999999998</v>
      </c>
      <c r="L203" s="7">
        <f>日前电价!L203-实时电价!L203</f>
        <v>-29.5766</v>
      </c>
      <c r="M203" s="7">
        <f>日前电价!M203-实时电价!M203</f>
        <v>38.789</v>
      </c>
      <c r="N203" s="7">
        <f>日前电价!N203-实时电价!N203</f>
        <v>63.7737</v>
      </c>
      <c r="O203" s="7">
        <f>日前电价!O203-实时电价!O203</f>
        <v>25.7662</v>
      </c>
      <c r="P203" s="7">
        <f>日前电价!P203-实时电价!P203</f>
        <v>1.09360000000004</v>
      </c>
      <c r="Q203" s="7">
        <f>日前电价!Q203-实时电价!Q203</f>
        <v>3.53309999999999</v>
      </c>
      <c r="R203" s="7">
        <f>日前电价!R203-实时电价!R203</f>
        <v>6.88139999999999</v>
      </c>
      <c r="S203" s="7">
        <f>日前电价!S203-实时电价!S203</f>
        <v>22.0344</v>
      </c>
      <c r="T203" s="7">
        <f>日前电价!T203-实时电价!T203</f>
        <v>11.0123</v>
      </c>
      <c r="U203" s="7">
        <f>日前电价!U203-实时电价!U203</f>
        <v>-7.87619999999998</v>
      </c>
      <c r="V203" s="7">
        <f>日前电价!V203-实时电价!V203</f>
        <v>-3.26619999999997</v>
      </c>
      <c r="W203" s="7">
        <f>日前电价!W203-实时电价!W203</f>
        <v>-6.81299999999999</v>
      </c>
      <c r="X203" s="7">
        <f>日前电价!X203-实时电价!X203</f>
        <v>-3.06769999999995</v>
      </c>
      <c r="Y203" s="7">
        <f>日前电价!Y203-实时电价!Y203</f>
        <v>-0.962600000000009</v>
      </c>
      <c r="Z203" s="9">
        <f t="shared" si="9"/>
        <v>63.7737</v>
      </c>
      <c r="AA203" s="9">
        <f t="shared" si="10"/>
        <v>-29.5766</v>
      </c>
      <c r="AB203" s="9">
        <f t="shared" si="11"/>
        <v>6.33224166666667</v>
      </c>
    </row>
    <row r="204" spans="1:28">
      <c r="A204" s="8">
        <v>45494</v>
      </c>
      <c r="B204" s="7">
        <f>日前电价!B204-实时电价!B204</f>
        <v>-11.4779</v>
      </c>
      <c r="C204" s="7">
        <f>日前电价!C204-实时电价!C204</f>
        <v>-2.96899999999999</v>
      </c>
      <c r="D204" s="7">
        <f>日前电价!D204-实时电价!D204</f>
        <v>-3.92569999999995</v>
      </c>
      <c r="E204" s="7">
        <f>日前电价!E204-实时电价!E204</f>
        <v>6.29790000000003</v>
      </c>
      <c r="F204" s="7">
        <f>日前电价!F204-实时电价!F204</f>
        <v>4.27390000000003</v>
      </c>
      <c r="G204" s="7">
        <f>日前电价!G204-实时电价!G204</f>
        <v>0.775699999999972</v>
      </c>
      <c r="H204" s="7">
        <f>日前电价!H204-实时电价!H204</f>
        <v>1.66419999999999</v>
      </c>
      <c r="I204" s="7">
        <f>日前电价!I204-实时电价!I204</f>
        <v>3.34119999999996</v>
      </c>
      <c r="J204" s="7">
        <f>日前电价!J204-实时电价!J204</f>
        <v>55.7293</v>
      </c>
      <c r="K204" s="7">
        <f>日前电价!K204-实时电价!K204</f>
        <v>20.5314</v>
      </c>
      <c r="L204" s="7">
        <f>日前电价!L204-实时电价!L204</f>
        <v>77.3055</v>
      </c>
      <c r="M204" s="7">
        <f>日前电价!M204-实时电价!M204</f>
        <v>98.4409</v>
      </c>
      <c r="N204" s="7">
        <f>日前电价!N204-实时电价!N204</f>
        <v>36.9372</v>
      </c>
      <c r="O204" s="7">
        <f>日前电价!O204-实时电价!O204</f>
        <v>24.4697</v>
      </c>
      <c r="P204" s="7">
        <f>日前电价!P204-实时电价!P204</f>
        <v>-17.4907</v>
      </c>
      <c r="Q204" s="7">
        <f>日前电价!Q204-实时电价!Q204</f>
        <v>63.2762</v>
      </c>
      <c r="R204" s="7">
        <f>日前电价!R204-实时电价!R204</f>
        <v>89.3737</v>
      </c>
      <c r="S204" s="7">
        <f>日前电价!S204-实时电价!S204</f>
        <v>87.6699</v>
      </c>
      <c r="T204" s="7">
        <f>日前电价!T204-实时电价!T204</f>
        <v>58.8721</v>
      </c>
      <c r="U204" s="7">
        <f>日前电价!U204-实时电价!U204</f>
        <v>10.3631</v>
      </c>
      <c r="V204" s="7">
        <f>日前电价!V204-实时电价!V204</f>
        <v>7.0677</v>
      </c>
      <c r="W204" s="7">
        <f>日前电价!W204-实时电价!W204</f>
        <v>9.18860000000001</v>
      </c>
      <c r="X204" s="7">
        <f>日前电价!X204-实时电价!X204</f>
        <v>9.39920000000001</v>
      </c>
      <c r="Y204" s="7">
        <f>日前电价!Y204-实时电价!Y204</f>
        <v>0.543599999999969</v>
      </c>
      <c r="Z204" s="9">
        <f t="shared" si="9"/>
        <v>98.4409</v>
      </c>
      <c r="AA204" s="9">
        <f t="shared" si="10"/>
        <v>-17.4907</v>
      </c>
      <c r="AB204" s="9">
        <f t="shared" si="11"/>
        <v>26.2357375</v>
      </c>
    </row>
    <row r="205" spans="1:28">
      <c r="A205" s="8">
        <v>45495</v>
      </c>
      <c r="B205" s="7">
        <f>日前电价!B205-实时电价!B205</f>
        <v>-15.1185</v>
      </c>
      <c r="C205" s="7">
        <f>日前电价!C205-实时电价!C205</f>
        <v>-1.38729999999998</v>
      </c>
      <c r="D205" s="7">
        <f>日前电价!D205-实时电价!D205</f>
        <v>-2.43869999999998</v>
      </c>
      <c r="E205" s="7">
        <f>日前电价!E205-实时电价!E205</f>
        <v>2.26389999999998</v>
      </c>
      <c r="F205" s="7">
        <f>日前电价!F205-实时电价!F205</f>
        <v>4.43240000000003</v>
      </c>
      <c r="G205" s="7">
        <f>日前电价!G205-实时电价!G205</f>
        <v>3.41609999999997</v>
      </c>
      <c r="H205" s="7">
        <f>日前电价!H205-实时电价!H205</f>
        <v>2.63929999999999</v>
      </c>
      <c r="I205" s="7">
        <f>日前电价!I205-实时电价!I205</f>
        <v>-8.38869999999997</v>
      </c>
      <c r="J205" s="7">
        <f>日前电价!J205-实时电价!J205</f>
        <v>-84.7987</v>
      </c>
      <c r="K205" s="7">
        <f>日前电价!K205-实时电价!K205</f>
        <v>-56.9584</v>
      </c>
      <c r="L205" s="7">
        <f>日前电价!L205-实时电价!L205</f>
        <v>75.5605</v>
      </c>
      <c r="M205" s="7">
        <f>日前电价!M205-实时电价!M205</f>
        <v>34.3586</v>
      </c>
      <c r="N205" s="7">
        <f>日前电价!N205-实时电价!N205</f>
        <v>3.51850000000002</v>
      </c>
      <c r="O205" s="7">
        <f>日前电价!O205-实时电价!O205</f>
        <v>-36.7852</v>
      </c>
      <c r="P205" s="7">
        <f>日前电价!P205-实时电价!P205</f>
        <v>-212.7904</v>
      </c>
      <c r="Q205" s="7">
        <f>日前电价!Q205-实时电价!Q205</f>
        <v>-179.6735</v>
      </c>
      <c r="R205" s="7">
        <f>日前电价!R205-实时电价!R205</f>
        <v>-157.6111</v>
      </c>
      <c r="S205" s="7">
        <f>日前电价!S205-实时电价!S205</f>
        <v>-151.6907</v>
      </c>
      <c r="T205" s="7">
        <f>日前电价!T205-实时电价!T205</f>
        <v>-23.0513</v>
      </c>
      <c r="U205" s="7">
        <f>日前电价!U205-实时电价!U205</f>
        <v>-162.1287</v>
      </c>
      <c r="V205" s="7">
        <f>日前电价!V205-实时电价!V205</f>
        <v>-123.5318</v>
      </c>
      <c r="W205" s="7">
        <f>日前电价!W205-实时电价!W205</f>
        <v>-67.6275</v>
      </c>
      <c r="X205" s="7">
        <f>日前电价!X205-实时电价!X205</f>
        <v>-28.1196</v>
      </c>
      <c r="Y205" s="7">
        <f>日前电价!Y205-实时电价!Y205</f>
        <v>-16.1433</v>
      </c>
      <c r="Z205" s="9">
        <f t="shared" si="9"/>
        <v>75.5605</v>
      </c>
      <c r="AA205" s="9">
        <f t="shared" si="10"/>
        <v>-212.7904</v>
      </c>
      <c r="AB205" s="9">
        <f t="shared" si="11"/>
        <v>-50.0855875</v>
      </c>
    </row>
    <row r="206" spans="1:28">
      <c r="A206" s="8">
        <v>45496</v>
      </c>
      <c r="B206" s="7">
        <f>日前电价!B206-实时电价!B206</f>
        <v>-31.7175</v>
      </c>
      <c r="C206" s="7">
        <f>日前电价!C206-实时电价!C206</f>
        <v>-16.9476</v>
      </c>
      <c r="D206" s="7">
        <f>日前电价!D206-实时电价!D206</f>
        <v>-10.9936</v>
      </c>
      <c r="E206" s="7">
        <f>日前电价!E206-实时电价!E206</f>
        <v>-4.07470000000001</v>
      </c>
      <c r="F206" s="7">
        <f>日前电价!F206-实时电价!F206</f>
        <v>-5.26889999999997</v>
      </c>
      <c r="G206" s="7">
        <f>日前电价!G206-实时电价!G206</f>
        <v>-1.1798</v>
      </c>
      <c r="H206" s="7">
        <f>日前电价!H206-实时电价!H206</f>
        <v>-2.2681</v>
      </c>
      <c r="I206" s="7">
        <f>日前电价!I206-实时电价!I206</f>
        <v>-2.11829999999998</v>
      </c>
      <c r="J206" s="7">
        <f>日前电价!J206-实时电价!J206</f>
        <v>-1.65350000000001</v>
      </c>
      <c r="K206" s="7">
        <f>日前电价!K206-实时电价!K206</f>
        <v>28.4377</v>
      </c>
      <c r="L206" s="7">
        <f>日前电价!L206-实时电价!L206</f>
        <v>33.966</v>
      </c>
      <c r="M206" s="7">
        <f>日前电价!M206-实时电价!M206</f>
        <v>60.9251</v>
      </c>
      <c r="N206" s="7">
        <f>日前电价!N206-实时电价!N206</f>
        <v>88.8185</v>
      </c>
      <c r="O206" s="7">
        <f>日前电价!O206-实时电价!O206</f>
        <v>-1.85149999999999</v>
      </c>
      <c r="P206" s="7">
        <f>日前电价!P206-实时电价!P206</f>
        <v>58.4877</v>
      </c>
      <c r="Q206" s="7">
        <f>日前电价!Q206-实时电价!Q206</f>
        <v>62.2874</v>
      </c>
      <c r="R206" s="7">
        <f>日前电价!R206-实时电价!R206</f>
        <v>35.2141</v>
      </c>
      <c r="S206" s="7">
        <f>日前电价!S206-实时电价!S206</f>
        <v>3.50040000000001</v>
      </c>
      <c r="T206" s="7">
        <f>日前电价!T206-实时电价!T206</f>
        <v>-4.1952</v>
      </c>
      <c r="U206" s="7">
        <f>日前电价!U206-实时电价!U206</f>
        <v>-83.9471</v>
      </c>
      <c r="V206" s="7">
        <f>日前电价!V206-实时电价!V206</f>
        <v>-109.3574</v>
      </c>
      <c r="W206" s="7">
        <f>日前电价!W206-实时电价!W206</f>
        <v>-88.2801</v>
      </c>
      <c r="X206" s="7">
        <f>日前电价!X206-实时电价!X206</f>
        <v>-36.9237</v>
      </c>
      <c r="Y206" s="7">
        <f>日前电价!Y206-实时电价!Y206</f>
        <v>-24.0494</v>
      </c>
      <c r="Z206" s="9">
        <f t="shared" si="9"/>
        <v>88.8185</v>
      </c>
      <c r="AA206" s="9">
        <f t="shared" si="10"/>
        <v>-109.3574</v>
      </c>
      <c r="AB206" s="9">
        <f t="shared" si="11"/>
        <v>-2.21622916666666</v>
      </c>
    </row>
    <row r="207" spans="1:28">
      <c r="A207" s="8">
        <v>45497</v>
      </c>
      <c r="B207" s="7">
        <f>日前电价!B207-实时电价!B207</f>
        <v>-3.74350000000004</v>
      </c>
      <c r="C207" s="7">
        <f>日前电价!C207-实时电价!C207</f>
        <v>3.59059999999999</v>
      </c>
      <c r="D207" s="7">
        <f>日前电价!D207-实时电价!D207</f>
        <v>-2.02629999999999</v>
      </c>
      <c r="E207" s="7">
        <f>日前电价!E207-实时电价!E207</f>
        <v>4.00700000000001</v>
      </c>
      <c r="F207" s="7">
        <f>日前电价!F207-实时电价!F207</f>
        <v>1.52539999999999</v>
      </c>
      <c r="G207" s="7">
        <f>日前电价!G207-实时电价!G207</f>
        <v>2.44990000000001</v>
      </c>
      <c r="H207" s="7">
        <f>日前电价!H207-实时电价!H207</f>
        <v>-0.90379999999999</v>
      </c>
      <c r="I207" s="7">
        <f>日前电价!I207-实时电价!I207</f>
        <v>0.394900000000007</v>
      </c>
      <c r="J207" s="7">
        <f>日前电价!J207-实时电价!J207</f>
        <v>6.31659999999999</v>
      </c>
      <c r="K207" s="7">
        <f>日前电价!K207-实时电价!K207</f>
        <v>19.4371</v>
      </c>
      <c r="L207" s="7">
        <f>日前电价!L207-实时电价!L207</f>
        <v>28.7659</v>
      </c>
      <c r="M207" s="7">
        <f>日前电价!M207-实时电价!M207</f>
        <v>45.2493</v>
      </c>
      <c r="N207" s="7">
        <f>日前电价!N207-实时电价!N207</f>
        <v>36.2601</v>
      </c>
      <c r="O207" s="7">
        <f>日前电价!O207-实时电价!O207</f>
        <v>-3.7192</v>
      </c>
      <c r="P207" s="7">
        <f>日前电价!P207-实时电价!P207</f>
        <v>54.5583</v>
      </c>
      <c r="Q207" s="7">
        <f>日前电价!Q207-实时电价!Q207</f>
        <v>41.9622</v>
      </c>
      <c r="R207" s="7">
        <f>日前电价!R207-实时电价!R207</f>
        <v>41.8406</v>
      </c>
      <c r="S207" s="7">
        <f>日前电价!S207-实时电价!S207</f>
        <v>25.186</v>
      </c>
      <c r="T207" s="7">
        <f>日前电价!T207-实时电价!T207</f>
        <v>16.478</v>
      </c>
      <c r="U207" s="7">
        <f>日前电价!U207-实时电价!U207</f>
        <v>6.4914</v>
      </c>
      <c r="V207" s="7">
        <f>日前电价!V207-实时电价!V207</f>
        <v>4.9375</v>
      </c>
      <c r="W207" s="7">
        <f>日前电价!W207-实时电价!W207</f>
        <v>3.40700000000004</v>
      </c>
      <c r="X207" s="7">
        <f>日前电价!X207-实时电价!X207</f>
        <v>-9.48009999999999</v>
      </c>
      <c r="Y207" s="7">
        <f>日前电价!Y207-实时电价!Y207</f>
        <v>-5.65170000000001</v>
      </c>
      <c r="Z207" s="9">
        <f t="shared" si="9"/>
        <v>54.5583</v>
      </c>
      <c r="AA207" s="9">
        <f t="shared" si="10"/>
        <v>-9.48009999999999</v>
      </c>
      <c r="AB207" s="9">
        <f t="shared" si="11"/>
        <v>13.2222166666667</v>
      </c>
    </row>
    <row r="208" spans="1:28">
      <c r="A208" s="8">
        <v>45498</v>
      </c>
      <c r="B208" s="7">
        <f>日前电价!B208-实时电价!B208</f>
        <v>23.045</v>
      </c>
      <c r="C208" s="7">
        <f>日前电价!C208-实时电价!C208</f>
        <v>14.0299</v>
      </c>
      <c r="D208" s="7">
        <f>日前电价!D208-实时电价!D208</f>
        <v>-0.144000000000005</v>
      </c>
      <c r="E208" s="7">
        <f>日前电价!E208-实时电价!E208</f>
        <v>9.2174</v>
      </c>
      <c r="F208" s="7">
        <f>日前电价!F208-实时电价!F208</f>
        <v>6.4966</v>
      </c>
      <c r="G208" s="7">
        <f>日前电价!G208-实时电价!G208</f>
        <v>7.10000000000002</v>
      </c>
      <c r="H208" s="7">
        <f>日前电价!H208-实时电价!H208</f>
        <v>6.62610000000001</v>
      </c>
      <c r="I208" s="7">
        <f>日前电价!I208-实时电价!I208</f>
        <v>6.00450000000001</v>
      </c>
      <c r="J208" s="7">
        <f>日前电价!J208-实时电价!J208</f>
        <v>41.2836</v>
      </c>
      <c r="K208" s="7">
        <f>日前电价!K208-实时电价!K208</f>
        <v>71.3281</v>
      </c>
      <c r="L208" s="7">
        <f>日前电价!L208-实时电价!L208</f>
        <v>59.4986</v>
      </c>
      <c r="M208" s="7">
        <f>日前电价!M208-实时电价!M208</f>
        <v>130.2142</v>
      </c>
      <c r="N208" s="7">
        <f>日前电价!N208-实时电价!N208</f>
        <v>140.837</v>
      </c>
      <c r="O208" s="7">
        <f>日前电价!O208-实时电价!O208</f>
        <v>59.9729</v>
      </c>
      <c r="P208" s="7">
        <f>日前电价!P208-实时电价!P208</f>
        <v>139.3649</v>
      </c>
      <c r="Q208" s="7">
        <f>日前电价!Q208-实时电价!Q208</f>
        <v>42.0235</v>
      </c>
      <c r="R208" s="7">
        <f>日前电价!R208-实时电价!R208</f>
        <v>58.7721</v>
      </c>
      <c r="S208" s="7">
        <f>日前电价!S208-实时电价!S208</f>
        <v>54.7332</v>
      </c>
      <c r="T208" s="7">
        <f>日前电价!T208-实时电价!T208</f>
        <v>6.22700000000003</v>
      </c>
      <c r="U208" s="7">
        <f>日前电价!U208-实时电价!U208</f>
        <v>-0.439999999999998</v>
      </c>
      <c r="V208" s="7">
        <f>日前电价!V208-实时电价!V208</f>
        <v>-47.6278</v>
      </c>
      <c r="W208" s="7">
        <f>日前电价!W208-实时电价!W208</f>
        <v>-9.93400000000003</v>
      </c>
      <c r="X208" s="7">
        <f>日前电价!X208-实时电价!X208</f>
        <v>8.40320000000003</v>
      </c>
      <c r="Y208" s="7">
        <f>日前电价!Y208-实时电价!Y208</f>
        <v>8.00389999999999</v>
      </c>
      <c r="Z208" s="9">
        <f t="shared" si="9"/>
        <v>140.837</v>
      </c>
      <c r="AA208" s="9">
        <f t="shared" si="10"/>
        <v>-47.6278</v>
      </c>
      <c r="AB208" s="9">
        <f t="shared" si="11"/>
        <v>34.7931625</v>
      </c>
    </row>
    <row r="209" spans="1:28">
      <c r="A209" s="8">
        <v>45499</v>
      </c>
      <c r="B209" s="7">
        <f>日前电价!B209-实时电价!B209</f>
        <v>-134.9274</v>
      </c>
      <c r="C209" s="7">
        <f>日前电价!C209-实时电价!C209</f>
        <v>-117.8488</v>
      </c>
      <c r="D209" s="7">
        <f>日前电价!D209-实时电价!D209</f>
        <v>-66.841</v>
      </c>
      <c r="E209" s="7">
        <f>日前电价!E209-实时电价!E209</f>
        <v>-9.34450000000004</v>
      </c>
      <c r="F209" s="7">
        <f>日前电价!F209-实时电价!F209</f>
        <v>-1.93510000000003</v>
      </c>
      <c r="G209" s="7">
        <f>日前电价!G209-实时电价!G209</f>
        <v>3.71140000000003</v>
      </c>
      <c r="H209" s="7">
        <f>日前电价!H209-实时电价!H209</f>
        <v>4.32459999999998</v>
      </c>
      <c r="I209" s="7">
        <f>日前电价!I209-实时电价!I209</f>
        <v>2.68990000000002</v>
      </c>
      <c r="J209" s="7">
        <f>日前电价!J209-实时电价!J209</f>
        <v>26.1958</v>
      </c>
      <c r="K209" s="7">
        <f>日前电价!K209-实时电价!K209</f>
        <v>56.9013</v>
      </c>
      <c r="L209" s="7">
        <f>日前电价!L209-实时电价!L209</f>
        <v>89.4281</v>
      </c>
      <c r="M209" s="7">
        <f>日前电价!M209-实时电价!M209</f>
        <v>121.3025</v>
      </c>
      <c r="N209" s="7">
        <f>日前电价!N209-实时电价!N209</f>
        <v>81.4171</v>
      </c>
      <c r="O209" s="7">
        <f>日前电价!O209-实时电价!O209</f>
        <v>124.199</v>
      </c>
      <c r="P209" s="7">
        <f>日前电价!P209-实时电价!P209</f>
        <v>192.6142</v>
      </c>
      <c r="Q209" s="7">
        <f>日前电价!Q209-实时电价!Q209</f>
        <v>154.1966</v>
      </c>
      <c r="R209" s="7">
        <f>日前电价!R209-实时电价!R209</f>
        <v>163.3778</v>
      </c>
      <c r="S209" s="7">
        <f>日前电价!S209-实时电价!S209</f>
        <v>71.0412</v>
      </c>
      <c r="T209" s="7">
        <f>日前电价!T209-实时电价!T209</f>
        <v>39.5273</v>
      </c>
      <c r="U209" s="7">
        <f>日前电价!U209-实时电价!U209</f>
        <v>86.9786</v>
      </c>
      <c r="V209" s="7">
        <f>日前电价!V209-实时电价!V209</f>
        <v>93.3857</v>
      </c>
      <c r="W209" s="7">
        <f>日前电价!W209-实时电价!W209</f>
        <v>106.5106</v>
      </c>
      <c r="X209" s="7">
        <f>日前电价!X209-实时电价!X209</f>
        <v>109.5741</v>
      </c>
      <c r="Y209" s="7">
        <f>日前电价!Y209-实时电价!Y209</f>
        <v>46.1627</v>
      </c>
      <c r="Z209" s="9">
        <f t="shared" si="9"/>
        <v>192.6142</v>
      </c>
      <c r="AA209" s="9">
        <f t="shared" si="10"/>
        <v>-134.9274</v>
      </c>
      <c r="AB209" s="9">
        <f t="shared" si="11"/>
        <v>51.7767375</v>
      </c>
    </row>
    <row r="210" spans="1:28">
      <c r="A210" s="8">
        <v>45500</v>
      </c>
      <c r="B210" s="7">
        <f>日前电价!B210-实时电价!B210</f>
        <v>6.6814</v>
      </c>
      <c r="C210" s="7">
        <f>日前电价!C210-实时电价!C210</f>
        <v>35.4408</v>
      </c>
      <c r="D210" s="7">
        <f>日前电价!D210-实时电价!D210</f>
        <v>34.8448</v>
      </c>
      <c r="E210" s="7">
        <f>日前电价!E210-实时电价!E210</f>
        <v>30.0078999999999</v>
      </c>
      <c r="F210" s="7">
        <f>日前电价!F210-实时电价!F210</f>
        <v>21.8488</v>
      </c>
      <c r="G210" s="7">
        <f>日前电价!G210-实时电价!G210</f>
        <v>18.6644</v>
      </c>
      <c r="H210" s="7">
        <f>日前电价!H210-实时电价!H210</f>
        <v>20.6961</v>
      </c>
      <c r="I210" s="7">
        <f>日前电价!I210-实时电价!I210</f>
        <v>32.1894</v>
      </c>
      <c r="J210" s="7">
        <f>日前电价!J210-实时电价!J210</f>
        <v>18.7225</v>
      </c>
      <c r="K210" s="7">
        <f>日前电价!K210-实时电价!K210</f>
        <v>43.6173</v>
      </c>
      <c r="L210" s="7">
        <f>日前电价!L210-实时电价!L210</f>
        <v>50.4134</v>
      </c>
      <c r="M210" s="7">
        <f>日前电价!M210-实时电价!M210</f>
        <v>82.056</v>
      </c>
      <c r="N210" s="7">
        <f>日前电价!N210-实时电价!N210</f>
        <v>229.1938</v>
      </c>
      <c r="O210" s="7">
        <f>日前电价!O210-实时电价!O210</f>
        <v>82.2423</v>
      </c>
      <c r="P210" s="7">
        <f>日前电价!P210-实时电价!P210</f>
        <v>172.5785</v>
      </c>
      <c r="Q210" s="7">
        <f>日前电价!Q210-实时电价!Q210</f>
        <v>121.0254</v>
      </c>
      <c r="R210" s="7">
        <f>日前电价!R210-实时电价!R210</f>
        <v>104.2217</v>
      </c>
      <c r="S210" s="7">
        <f>日前电价!S210-实时电价!S210</f>
        <v>91.8388</v>
      </c>
      <c r="T210" s="7">
        <f>日前电价!T210-实时电价!T210</f>
        <v>60.5066</v>
      </c>
      <c r="U210" s="7">
        <f>日前电价!U210-实时电价!U210</f>
        <v>45.4749</v>
      </c>
      <c r="V210" s="7">
        <f>日前电价!V210-实时电价!V210</f>
        <v>45.9644</v>
      </c>
      <c r="W210" s="7">
        <f>日前电价!W210-实时电价!W210</f>
        <v>48.6857000000001</v>
      </c>
      <c r="X210" s="7">
        <f>日前电价!X210-实时电价!X210</f>
        <v>63.7642</v>
      </c>
      <c r="Y210" s="7">
        <f>日前电价!Y210-实时电价!Y210</f>
        <v>88.1254</v>
      </c>
      <c r="Z210" s="9">
        <f t="shared" si="9"/>
        <v>229.1938</v>
      </c>
      <c r="AA210" s="9">
        <f t="shared" si="10"/>
        <v>6.6814</v>
      </c>
      <c r="AB210" s="9">
        <f t="shared" si="11"/>
        <v>64.5335208333333</v>
      </c>
    </row>
    <row r="211" spans="1:28">
      <c r="A211" s="8">
        <v>45501</v>
      </c>
      <c r="B211" s="7">
        <f>日前电价!B211-实时电价!B211</f>
        <v>-52.6716</v>
      </c>
      <c r="C211" s="7">
        <f>日前电价!C211-实时电价!C211</f>
        <v>16.1858</v>
      </c>
      <c r="D211" s="7">
        <f>日前电价!D211-实时电价!D211</f>
        <v>12.6053</v>
      </c>
      <c r="E211" s="7">
        <f>日前电价!E211-实时电价!E211</f>
        <v>35.718</v>
      </c>
      <c r="F211" s="7">
        <f>日前电价!F211-实时电价!F211</f>
        <v>227.494</v>
      </c>
      <c r="G211" s="7">
        <f>日前电价!G211-实时电价!G211</f>
        <v>257.542</v>
      </c>
      <c r="H211" s="7">
        <f>日前电价!H211-实时电价!H211</f>
        <v>212.9332</v>
      </c>
      <c r="I211" s="7">
        <f>日前电价!I211-实时电价!I211</f>
        <v>188.2558</v>
      </c>
      <c r="J211" s="7">
        <f>日前电价!J211-实时电价!J211</f>
        <v>202.0022</v>
      </c>
      <c r="K211" s="7">
        <f>日前电价!K211-实时电价!K211</f>
        <v>270.703</v>
      </c>
      <c r="L211" s="7">
        <f>日前电价!L211-实时电价!L211</f>
        <v>235.0736</v>
      </c>
      <c r="M211" s="7">
        <f>日前电价!M211-实时电价!M211</f>
        <v>99.2184</v>
      </c>
      <c r="N211" s="7">
        <f>日前电价!N211-实时电价!N211</f>
        <v>15.3289</v>
      </c>
      <c r="O211" s="7">
        <f>日前电价!O211-实时电价!O211</f>
        <v>241.3669</v>
      </c>
      <c r="P211" s="7">
        <f>日前电价!P211-实时电价!P211</f>
        <v>296.2214</v>
      </c>
      <c r="Q211" s="7">
        <f>日前电价!Q211-实时电价!Q211</f>
        <v>282.4258</v>
      </c>
      <c r="R211" s="7">
        <f>日前电价!R211-实时电价!R211</f>
        <v>266.2695</v>
      </c>
      <c r="S211" s="7">
        <f>日前电价!S211-实时电价!S211</f>
        <v>257.2561</v>
      </c>
      <c r="T211" s="7">
        <f>日前电价!T211-实时电价!T211</f>
        <v>265.5153</v>
      </c>
      <c r="U211" s="7">
        <f>日前电价!U211-实时电价!U211</f>
        <v>277.8536</v>
      </c>
      <c r="V211" s="7">
        <f>日前电价!V211-实时电价!V211</f>
        <v>279.3566</v>
      </c>
      <c r="W211" s="7">
        <f>日前电价!W211-实时电价!W211</f>
        <v>276.6768</v>
      </c>
      <c r="X211" s="7">
        <f>日前电价!X211-实时电价!X211</f>
        <v>279.5155</v>
      </c>
      <c r="Y211" s="7">
        <f>日前电价!Y211-实时电价!Y211</f>
        <v>230.7228</v>
      </c>
      <c r="Z211" s="9">
        <f t="shared" si="9"/>
        <v>296.2214</v>
      </c>
      <c r="AA211" s="9">
        <f t="shared" si="10"/>
        <v>-52.6716</v>
      </c>
      <c r="AB211" s="9">
        <f t="shared" si="11"/>
        <v>194.7320375</v>
      </c>
    </row>
    <row r="212" spans="1:28">
      <c r="A212" s="8">
        <v>45502</v>
      </c>
      <c r="B212" s="7">
        <f>日前电价!B212-实时电价!B212</f>
        <v>58.7099</v>
      </c>
      <c r="C212" s="7">
        <f>日前电价!C212-实时电价!C212</f>
        <v>36.5251</v>
      </c>
      <c r="D212" s="7">
        <f>日前电价!D212-实时电价!D212</f>
        <v>1.5395</v>
      </c>
      <c r="E212" s="7">
        <f>日前电价!E212-实时电价!E212</f>
        <v>0</v>
      </c>
      <c r="F212" s="7">
        <f>日前电价!F212-实时电价!F212</f>
        <v>-0.25</v>
      </c>
      <c r="G212" s="7">
        <f>日前电价!G212-实时电价!G212</f>
        <v>0</v>
      </c>
      <c r="H212" s="7">
        <f>日前电价!H212-实时电价!H212</f>
        <v>-89.58</v>
      </c>
      <c r="I212" s="7">
        <f>日前电价!I212-实时电价!I212</f>
        <v>-70.721</v>
      </c>
      <c r="J212" s="7">
        <f>日前电价!J212-实时电价!J212</f>
        <v>-22.0431</v>
      </c>
      <c r="K212" s="7">
        <f>日前电价!K212-实时电价!K212</f>
        <v>-66.3716</v>
      </c>
      <c r="L212" s="7">
        <f>日前电价!L212-实时电价!L212</f>
        <v>-43.1898</v>
      </c>
      <c r="M212" s="7">
        <f>日前电价!M212-实时电价!M212</f>
        <v>30.664</v>
      </c>
      <c r="N212" s="7">
        <f>日前电价!N212-实时电价!N212</f>
        <v>76.0158</v>
      </c>
      <c r="O212" s="7">
        <f>日前电价!O212-实时电价!O212</f>
        <v>26.6954</v>
      </c>
      <c r="P212" s="7">
        <f>日前电价!P212-实时电价!P212</f>
        <v>21.5467</v>
      </c>
      <c r="Q212" s="7">
        <f>日前电价!Q212-实时电价!Q212</f>
        <v>23.9587</v>
      </c>
      <c r="R212" s="7">
        <f>日前电价!R212-实时电价!R212</f>
        <v>26.891</v>
      </c>
      <c r="S212" s="7">
        <f>日前电价!S212-实时电价!S212</f>
        <v>91.5368</v>
      </c>
      <c r="T212" s="7">
        <f>日前电价!T212-实时电价!T212</f>
        <v>33.3262</v>
      </c>
      <c r="U212" s="7">
        <f>日前电价!U212-实时电价!U212</f>
        <v>27.4846</v>
      </c>
      <c r="V212" s="7">
        <f>日前电价!V212-实时电价!V212</f>
        <v>20.0381</v>
      </c>
      <c r="W212" s="7">
        <f>日前电价!W212-实时电价!W212</f>
        <v>32.402</v>
      </c>
      <c r="X212" s="7">
        <f>日前电价!X212-实时电价!X212</f>
        <v>34.578</v>
      </c>
      <c r="Y212" s="7">
        <f>日前电价!Y212-实时电价!Y212</f>
        <v>197.2636</v>
      </c>
      <c r="Z212" s="9">
        <f t="shared" si="9"/>
        <v>197.2636</v>
      </c>
      <c r="AA212" s="9">
        <f t="shared" si="10"/>
        <v>-89.58</v>
      </c>
      <c r="AB212" s="9">
        <f t="shared" si="11"/>
        <v>18.6258291666667</v>
      </c>
    </row>
    <row r="213" spans="1:28">
      <c r="A213" s="8">
        <v>45503</v>
      </c>
      <c r="B213" s="7">
        <f>日前电价!B213-实时电价!B213</f>
        <v>7.09879999999998</v>
      </c>
      <c r="C213" s="7">
        <f>日前电价!C213-实时电价!C213</f>
        <v>10.5108</v>
      </c>
      <c r="D213" s="7">
        <f>日前电价!D213-实时电价!D213</f>
        <v>26.5195</v>
      </c>
      <c r="E213" s="7">
        <f>日前电价!E213-实时电价!E213</f>
        <v>225.12</v>
      </c>
      <c r="F213" s="7">
        <f>日前电价!F213-实时电价!F213</f>
        <v>219.407</v>
      </c>
      <c r="G213" s="7">
        <f>日前电价!G213-实时电价!G213</f>
        <v>126.1315</v>
      </c>
      <c r="H213" s="7">
        <f>日前电价!H213-实时电价!H213</f>
        <v>61.1768</v>
      </c>
      <c r="I213" s="7">
        <f>日前电价!I213-实时电价!I213</f>
        <v>15.2926</v>
      </c>
      <c r="J213" s="7">
        <f>日前电价!J213-实时电价!J213</f>
        <v>4.86130000000003</v>
      </c>
      <c r="K213" s="7">
        <f>日前电价!K213-实时电价!K213</f>
        <v>31.057</v>
      </c>
      <c r="L213" s="7">
        <f>日前电价!L213-实时电价!L213</f>
        <v>43.6484</v>
      </c>
      <c r="M213" s="7">
        <f>日前电价!M213-实时电价!M213</f>
        <v>42.5169</v>
      </c>
      <c r="N213" s="7">
        <f>日前电价!N213-实时电价!N213</f>
        <v>115.6401</v>
      </c>
      <c r="O213" s="7">
        <f>日前电价!O213-实时电价!O213</f>
        <v>17.0638</v>
      </c>
      <c r="P213" s="7">
        <f>日前电价!P213-实时电价!P213</f>
        <v>39.5747</v>
      </c>
      <c r="Q213" s="7">
        <f>日前电价!Q213-实时电价!Q213</f>
        <v>35.3125</v>
      </c>
      <c r="R213" s="7">
        <f>日前电价!R213-实时电价!R213</f>
        <v>41.9084</v>
      </c>
      <c r="S213" s="7">
        <f>日前电价!S213-实时电价!S213</f>
        <v>39.8735</v>
      </c>
      <c r="T213" s="7">
        <f>日前电价!T213-实时电价!T213</f>
        <v>27.0841</v>
      </c>
      <c r="U213" s="7">
        <f>日前电价!U213-实时电价!U213</f>
        <v>36.4832</v>
      </c>
      <c r="V213" s="7">
        <f>日前电价!V213-实时电价!V213</f>
        <v>36.4119</v>
      </c>
      <c r="W213" s="7">
        <f>日前电价!W213-实时电价!W213</f>
        <v>40.8736</v>
      </c>
      <c r="X213" s="7">
        <f>日前电价!X213-实时电价!X213</f>
        <v>30.0841</v>
      </c>
      <c r="Y213" s="7">
        <f>日前电价!Y213-实时电价!Y213</f>
        <v>113.0477</v>
      </c>
      <c r="Z213" s="9">
        <f t="shared" si="9"/>
        <v>225.12</v>
      </c>
      <c r="AA213" s="9">
        <f t="shared" si="10"/>
        <v>4.86130000000003</v>
      </c>
      <c r="AB213" s="9">
        <f t="shared" si="11"/>
        <v>57.7790916666667</v>
      </c>
    </row>
    <row r="214" spans="1:28">
      <c r="A214" s="8">
        <v>45504</v>
      </c>
      <c r="B214" s="7">
        <f>日前电价!B214-实时电价!B214</f>
        <v>8.727</v>
      </c>
      <c r="C214" s="7">
        <f>日前电价!C214-实时电价!C214</f>
        <v>14.0742</v>
      </c>
      <c r="D214" s="7">
        <f>日前电价!D214-实时电价!D214</f>
        <v>53.8346</v>
      </c>
      <c r="E214" s="7">
        <f>日前电价!E214-实时电价!E214</f>
        <v>156.2763</v>
      </c>
      <c r="F214" s="7">
        <f>日前电价!F214-实时电价!F214</f>
        <v>170.1245</v>
      </c>
      <c r="G214" s="7">
        <f>日前电价!G214-实时电价!G214</f>
        <v>0.1487</v>
      </c>
      <c r="H214" s="7">
        <f>日前电价!H214-实时电价!H214</f>
        <v>57.75</v>
      </c>
      <c r="I214" s="7">
        <f>日前电价!I214-实时电价!I214</f>
        <v>8.4999</v>
      </c>
      <c r="J214" s="7">
        <f>日前电价!J214-实时电价!J214</f>
        <v>15.3839</v>
      </c>
      <c r="K214" s="7">
        <f>日前电价!K214-实时电价!K214</f>
        <v>23.3389</v>
      </c>
      <c r="L214" s="7">
        <f>日前电价!L214-实时电价!L214</f>
        <v>40.5504</v>
      </c>
      <c r="M214" s="7">
        <f>日前电价!M214-实时电价!M214</f>
        <v>26.3631</v>
      </c>
      <c r="N214" s="7">
        <f>日前电价!N214-实时电价!N214</f>
        <v>120.9905</v>
      </c>
      <c r="O214" s="7">
        <f>日前电价!O214-实时电价!O214</f>
        <v>140.7954</v>
      </c>
      <c r="P214" s="7">
        <f>日前电价!P214-实时电价!P214</f>
        <v>174.8129</v>
      </c>
      <c r="Q214" s="7">
        <f>日前电价!Q214-实时电价!Q214</f>
        <v>113.1177</v>
      </c>
      <c r="R214" s="7">
        <f>日前电价!R214-实时电价!R214</f>
        <v>88.6623</v>
      </c>
      <c r="S214" s="7">
        <f>日前电价!S214-实时电价!S214</f>
        <v>136.1995</v>
      </c>
      <c r="T214" s="7">
        <f>日前电价!T214-实时电价!T214</f>
        <v>147.1939</v>
      </c>
      <c r="U214" s="7">
        <f>日前电价!U214-实时电价!U214</f>
        <v>72.3886</v>
      </c>
      <c r="V214" s="7">
        <f>日前电价!V214-实时电价!V214</f>
        <v>37.0006</v>
      </c>
      <c r="W214" s="7">
        <f>日前电价!W214-实时电价!W214</f>
        <v>38.7114</v>
      </c>
      <c r="X214" s="7">
        <f>日前电价!X214-实时电价!X214</f>
        <v>5.6848</v>
      </c>
      <c r="Y214" s="7">
        <f>日前电价!Y214-实时电价!Y214</f>
        <v>-25.971</v>
      </c>
      <c r="Z214" s="9">
        <f t="shared" si="9"/>
        <v>174.8129</v>
      </c>
      <c r="AA214" s="9">
        <f t="shared" si="10"/>
        <v>-25.971</v>
      </c>
      <c r="AB214" s="9">
        <f t="shared" si="11"/>
        <v>67.6940875</v>
      </c>
    </row>
    <row r="215" spans="1:28">
      <c r="A215" s="8">
        <v>45505</v>
      </c>
      <c r="B215" s="7">
        <f>日前电价!B215-实时电价!B215</f>
        <v>-98.6866</v>
      </c>
      <c r="C215" s="7">
        <f>日前电价!C215-实时电价!C215</f>
        <v>-44.8004</v>
      </c>
      <c r="D215" s="7">
        <f>日前电价!D215-实时电价!D215</f>
        <v>123.6053</v>
      </c>
      <c r="E215" s="7">
        <f>日前电价!E215-实时电价!E215</f>
        <v>18.458</v>
      </c>
      <c r="F215" s="7">
        <f>日前电价!F215-实时电价!F215</f>
        <v>0</v>
      </c>
      <c r="G215" s="7">
        <f>日前电价!G215-实时电价!G215</f>
        <v>0</v>
      </c>
      <c r="H215" s="7">
        <f>日前电价!H215-实时电价!H215</f>
        <v>-1.0588</v>
      </c>
      <c r="I215" s="7">
        <f>日前电价!I215-实时电价!I215</f>
        <v>-2.8092</v>
      </c>
      <c r="J215" s="7">
        <f>日前电价!J215-实时电价!J215</f>
        <v>-2.47729999999999</v>
      </c>
      <c r="K215" s="7">
        <f>日前电价!K215-实时电价!K215</f>
        <v>131.6342</v>
      </c>
      <c r="L215" s="7">
        <f>日前电价!L215-实时电价!L215</f>
        <v>114.6423</v>
      </c>
      <c r="M215" s="7">
        <f>日前电价!M215-实时电价!M215</f>
        <v>13.004</v>
      </c>
      <c r="N215" s="7">
        <f>日前电价!N215-实时电价!N215</f>
        <v>-78.0608</v>
      </c>
      <c r="O215" s="7">
        <f>日前电价!O215-实时电价!O215</f>
        <v>85.8961</v>
      </c>
      <c r="P215" s="7">
        <f>日前电价!P215-实时电价!P215</f>
        <v>90.479</v>
      </c>
      <c r="Q215" s="7">
        <f>日前电价!Q215-实时电价!Q215</f>
        <v>24.1328</v>
      </c>
      <c r="R215" s="7">
        <f>日前电价!R215-实时电价!R215</f>
        <v>12.9255</v>
      </c>
      <c r="S215" s="7">
        <f>日前电价!S215-实时电价!S215</f>
        <v>-20.9573</v>
      </c>
      <c r="T215" s="7">
        <f>日前电价!T215-实时电价!T215</f>
        <v>-27.0135</v>
      </c>
      <c r="U215" s="7">
        <f>日前电价!U215-实时电价!U215</f>
        <v>-38.7855</v>
      </c>
      <c r="V215" s="7">
        <f>日前电价!V215-实时电价!V215</f>
        <v>-57.5396</v>
      </c>
      <c r="W215" s="7">
        <f>日前电价!W215-实时电价!W215</f>
        <v>-60.0134</v>
      </c>
      <c r="X215" s="7">
        <f>日前电价!X215-实时电价!X215</f>
        <v>-48.4746</v>
      </c>
      <c r="Y215" s="7">
        <f>日前电价!Y215-实时电价!Y215</f>
        <v>-206.0256</v>
      </c>
      <c r="Z215" s="9">
        <f t="shared" si="9"/>
        <v>131.6342</v>
      </c>
      <c r="AA215" s="9">
        <f t="shared" si="10"/>
        <v>-206.0256</v>
      </c>
      <c r="AB215" s="9">
        <f t="shared" si="11"/>
        <v>-2.99689166666667</v>
      </c>
    </row>
    <row r="216" spans="1:28">
      <c r="A216" s="8">
        <v>45506</v>
      </c>
      <c r="B216" s="7">
        <f>日前电价!B216-实时电价!B216</f>
        <v>-35.8316</v>
      </c>
      <c r="C216" s="7">
        <f>日前电价!C216-实时电价!C216</f>
        <v>-16.2732</v>
      </c>
      <c r="D216" s="7">
        <f>日前电价!D216-实时电价!D216</f>
        <v>-19.9669</v>
      </c>
      <c r="E216" s="7">
        <f>日前电价!E216-实时电价!E216</f>
        <v>-9.59500000000003</v>
      </c>
      <c r="F216" s="7">
        <f>日前电价!F216-实时电价!F216</f>
        <v>-11.6838</v>
      </c>
      <c r="G216" s="7">
        <f>日前电价!G216-实时电价!G216</f>
        <v>-54.7214</v>
      </c>
      <c r="H216" s="7">
        <f>日前电价!H216-实时电价!H216</f>
        <v>-17.2938</v>
      </c>
      <c r="I216" s="7">
        <f>日前电价!I216-实时电价!I216</f>
        <v>-8.88389999999998</v>
      </c>
      <c r="J216" s="7">
        <f>日前电价!J216-实时电价!J216</f>
        <v>-6.00739999999996</v>
      </c>
      <c r="K216" s="7">
        <f>日前电价!K216-实时电价!K216</f>
        <v>-16.5591</v>
      </c>
      <c r="L216" s="7">
        <f>日前电价!L216-实时电价!L216</f>
        <v>-10.1118</v>
      </c>
      <c r="M216" s="7">
        <f>日前电价!M216-实时电价!M216</f>
        <v>-15.6771</v>
      </c>
      <c r="N216" s="7">
        <f>日前电价!N216-实时电价!N216</f>
        <v>3.13150000000002</v>
      </c>
      <c r="O216" s="7">
        <f>日前电价!O216-实时电价!O216</f>
        <v>-21.2426</v>
      </c>
      <c r="P216" s="7">
        <f>日前电价!P216-实时电价!P216</f>
        <v>-35.0412</v>
      </c>
      <c r="Q216" s="7">
        <f>日前电价!Q216-实时电价!Q216</f>
        <v>30.9528</v>
      </c>
      <c r="R216" s="7">
        <f>日前电价!R216-实时电价!R216</f>
        <v>-40.0515</v>
      </c>
      <c r="S216" s="7">
        <f>日前电价!S216-实时电价!S216</f>
        <v>-46.5792</v>
      </c>
      <c r="T216" s="7">
        <f>日前电价!T216-实时电价!T216</f>
        <v>-3.93020000000001</v>
      </c>
      <c r="U216" s="7">
        <f>日前电价!U216-实时电价!U216</f>
        <v>-23.675</v>
      </c>
      <c r="V216" s="7">
        <f>日前电价!V216-实时电价!V216</f>
        <v>-23.7555</v>
      </c>
      <c r="W216" s="7">
        <f>日前电价!W216-实时电价!W216</f>
        <v>-119.3298</v>
      </c>
      <c r="X216" s="7">
        <f>日前电价!X216-实时电价!X216</f>
        <v>-44.1106</v>
      </c>
      <c r="Y216" s="7">
        <f>日前电价!Y216-实时电价!Y216</f>
        <v>-8.61349999999999</v>
      </c>
      <c r="Z216" s="9">
        <f t="shared" si="9"/>
        <v>30.9528</v>
      </c>
      <c r="AA216" s="9">
        <f t="shared" si="10"/>
        <v>-119.3298</v>
      </c>
      <c r="AB216" s="9">
        <f t="shared" si="11"/>
        <v>-23.1187416666667</v>
      </c>
    </row>
    <row r="217" spans="1:28">
      <c r="A217" s="8">
        <v>45507</v>
      </c>
      <c r="B217" s="7">
        <f>日前电价!B217-实时电价!B217</f>
        <v>17.8531</v>
      </c>
      <c r="C217" s="7">
        <f>日前电价!C217-实时电价!C217</f>
        <v>16.7388</v>
      </c>
      <c r="D217" s="7">
        <f>日前电价!D217-实时电价!D217</f>
        <v>9.8485</v>
      </c>
      <c r="E217" s="7">
        <f>日前电价!E217-实时电价!E217</f>
        <v>11.4644</v>
      </c>
      <c r="F217" s="7">
        <f>日前电价!F217-实时电价!F217</f>
        <v>12.4742</v>
      </c>
      <c r="G217" s="7">
        <f>日前电价!G217-实时电价!G217</f>
        <v>22.0422</v>
      </c>
      <c r="H217" s="7">
        <f>日前电价!H217-实时电价!H217</f>
        <v>15.1105</v>
      </c>
      <c r="I217" s="7">
        <f>日前电价!I217-实时电价!I217</f>
        <v>26.123</v>
      </c>
      <c r="J217" s="7">
        <f>日前电价!J217-实时电价!J217</f>
        <v>43.1456</v>
      </c>
      <c r="K217" s="7">
        <f>日前电价!K217-实时电价!K217</f>
        <v>58.9884</v>
      </c>
      <c r="L217" s="7">
        <f>日前电价!L217-实时电价!L217</f>
        <v>74.8419</v>
      </c>
      <c r="M217" s="7">
        <f>日前电价!M217-实时电价!M217</f>
        <v>-30.0264</v>
      </c>
      <c r="N217" s="7">
        <f>日前电价!N217-实时电价!N217</f>
        <v>64.8025</v>
      </c>
      <c r="O217" s="7">
        <f>日前电价!O217-实时电价!O217</f>
        <v>37.4488</v>
      </c>
      <c r="P217" s="7">
        <f>日前电价!P217-实时电价!P217</f>
        <v>38.8635</v>
      </c>
      <c r="Q217" s="7">
        <f>日前电价!Q217-实时电价!Q217</f>
        <v>27.8389</v>
      </c>
      <c r="R217" s="7">
        <f>日前电价!R217-实时电价!R217</f>
        <v>12.6102</v>
      </c>
      <c r="S217" s="7">
        <f>日前电价!S217-实时电价!S217</f>
        <v>8.15179999999998</v>
      </c>
      <c r="T217" s="7">
        <f>日前电价!T217-实时电价!T217</f>
        <v>2.23079999999999</v>
      </c>
      <c r="U217" s="7">
        <f>日前电价!U217-实时电价!U217</f>
        <v>-22.5362</v>
      </c>
      <c r="V217" s="7">
        <f>日前电价!V217-实时电价!V217</f>
        <v>-26.1618</v>
      </c>
      <c r="W217" s="7">
        <f>日前电价!W217-实时电价!W217</f>
        <v>-23.6647</v>
      </c>
      <c r="X217" s="7">
        <f>日前电价!X217-实时电价!X217</f>
        <v>-27.1566</v>
      </c>
      <c r="Y217" s="7">
        <f>日前电价!Y217-实时电价!Y217</f>
        <v>-25.292</v>
      </c>
      <c r="Z217" s="9">
        <f t="shared" si="9"/>
        <v>74.8419</v>
      </c>
      <c r="AA217" s="9">
        <f t="shared" si="10"/>
        <v>-30.0264</v>
      </c>
      <c r="AB217" s="9">
        <f t="shared" si="11"/>
        <v>14.4058083333333</v>
      </c>
    </row>
    <row r="218" spans="1:28">
      <c r="A218" s="8">
        <v>45508</v>
      </c>
      <c r="B218" s="7">
        <f>日前电价!B218-实时电价!B218</f>
        <v>-262.6395</v>
      </c>
      <c r="C218" s="7">
        <f>日前电价!C218-实时电价!C218</f>
        <v>-56.884</v>
      </c>
      <c r="D218" s="7">
        <f>日前电价!D218-实时电价!D218</f>
        <v>-52.9475</v>
      </c>
      <c r="E218" s="7">
        <f>日前电价!E218-实时电价!E218</f>
        <v>-21.9892</v>
      </c>
      <c r="F218" s="7">
        <f>日前电价!F218-实时电价!F218</f>
        <v>-5.25729999999999</v>
      </c>
      <c r="G218" s="7">
        <f>日前电价!G218-实时电价!G218</f>
        <v>-1.50509999999997</v>
      </c>
      <c r="H218" s="7">
        <f>日前电价!H218-实时电价!H218</f>
        <v>-1.38460000000003</v>
      </c>
      <c r="I218" s="7">
        <f>日前电价!I218-实时电价!I218</f>
        <v>7.83519999999999</v>
      </c>
      <c r="J218" s="7">
        <f>日前电价!J218-实时电价!J218</f>
        <v>35.976</v>
      </c>
      <c r="K218" s="7">
        <f>日前电价!K218-实时电价!K218</f>
        <v>44.9165</v>
      </c>
      <c r="L218" s="7">
        <f>日前电价!L218-实时电价!L218</f>
        <v>70.0376</v>
      </c>
      <c r="M218" s="7">
        <f>日前电价!M218-实时电价!M218</f>
        <v>77.8091</v>
      </c>
      <c r="N218" s="7">
        <f>日前电价!N218-实时电价!N218</f>
        <v>35.7736</v>
      </c>
      <c r="O218" s="7">
        <f>日前电价!O218-实时电价!O218</f>
        <v>-5.84350000000001</v>
      </c>
      <c r="P218" s="7">
        <f>日前电价!P218-实时电价!P218</f>
        <v>33.5023</v>
      </c>
      <c r="Q218" s="7">
        <f>日前电价!Q218-实时电价!Q218</f>
        <v>27.0288</v>
      </c>
      <c r="R218" s="7">
        <f>日前电价!R218-实时电价!R218</f>
        <v>-4.91579999999999</v>
      </c>
      <c r="S218" s="7">
        <f>日前电价!S218-实时电价!S218</f>
        <v>-4.9153</v>
      </c>
      <c r="T218" s="7">
        <f>日前电价!T218-实时电价!T218</f>
        <v>-12.9129</v>
      </c>
      <c r="U218" s="7">
        <f>日前电价!U218-实时电价!U218</f>
        <v>-347.1616</v>
      </c>
      <c r="V218" s="7">
        <f>日前电价!V218-实时电价!V218</f>
        <v>-76.3881</v>
      </c>
      <c r="W218" s="7">
        <f>日前电价!W218-实时电价!W218</f>
        <v>-72.956</v>
      </c>
      <c r="X218" s="7">
        <f>日前电价!X218-实时电价!X218</f>
        <v>-166.3742</v>
      </c>
      <c r="Y218" s="7">
        <f>日前电价!Y218-实时电价!Y218</f>
        <v>-50.725</v>
      </c>
      <c r="Z218" s="9">
        <f t="shared" si="9"/>
        <v>77.8091</v>
      </c>
      <c r="AA218" s="9">
        <f t="shared" si="10"/>
        <v>-347.1616</v>
      </c>
      <c r="AB218" s="9">
        <f t="shared" si="11"/>
        <v>-33.8300208333333</v>
      </c>
    </row>
    <row r="219" spans="1:28">
      <c r="A219" s="8">
        <v>45509</v>
      </c>
      <c r="B219" s="7">
        <f>日前电价!B219-实时电价!B219</f>
        <v>-218.3498</v>
      </c>
      <c r="C219" s="7">
        <f>日前电价!C219-实时电价!C219</f>
        <v>-48.3271</v>
      </c>
      <c r="D219" s="7">
        <f>日前电价!D219-实时电价!D219</f>
        <v>-148.8816</v>
      </c>
      <c r="E219" s="7">
        <f>日前电价!E219-实时电价!E219</f>
        <v>-34.4039</v>
      </c>
      <c r="F219" s="7">
        <f>日前电价!F219-实时电价!F219</f>
        <v>-13.8312</v>
      </c>
      <c r="G219" s="7">
        <f>日前电价!G219-实时电价!G219</f>
        <v>-16.965</v>
      </c>
      <c r="H219" s="7">
        <f>日前电价!H219-实时电价!H219</f>
        <v>-16.1341</v>
      </c>
      <c r="I219" s="7">
        <f>日前电价!I219-实时电价!I219</f>
        <v>-16.7563</v>
      </c>
      <c r="J219" s="7">
        <f>日前电价!J219-实时电价!J219</f>
        <v>-27.6351</v>
      </c>
      <c r="K219" s="7">
        <f>日前电价!K219-实时电价!K219</f>
        <v>-15.6776</v>
      </c>
      <c r="L219" s="7">
        <f>日前电价!L219-实时电价!L219</f>
        <v>6.71289999999999</v>
      </c>
      <c r="M219" s="7">
        <f>日前电价!M219-实时电价!M219</f>
        <v>16.6816</v>
      </c>
      <c r="N219" s="7">
        <f>日前电价!N219-实时电价!N219</f>
        <v>-3.68939999999998</v>
      </c>
      <c r="O219" s="7">
        <f>日前电价!O219-实时电价!O219</f>
        <v>-84.5853</v>
      </c>
      <c r="P219" s="7">
        <f>日前电价!P219-实时电价!P219</f>
        <v>-68.7349</v>
      </c>
      <c r="Q219" s="7">
        <f>日前电价!Q219-实时电价!Q219</f>
        <v>-56.2969</v>
      </c>
      <c r="R219" s="7">
        <f>日前电价!R219-实时电价!R219</f>
        <v>-72.7106</v>
      </c>
      <c r="S219" s="7">
        <f>日前电价!S219-实时电价!S219</f>
        <v>-19.7415</v>
      </c>
      <c r="T219" s="7">
        <f>日前电价!T219-实时电价!T219</f>
        <v>11.6634</v>
      </c>
      <c r="U219" s="7">
        <f>日前电价!U219-实时电价!U219</f>
        <v>3.12430000000001</v>
      </c>
      <c r="V219" s="7">
        <f>日前电价!V219-实时电价!V219</f>
        <v>-1.49060000000003</v>
      </c>
      <c r="W219" s="7">
        <f>日前电价!W219-实时电价!W219</f>
        <v>-6.56529999999998</v>
      </c>
      <c r="X219" s="7">
        <f>日前电价!X219-实时电价!X219</f>
        <v>-10.8907</v>
      </c>
      <c r="Y219" s="7">
        <f>日前电价!Y219-实时电价!Y219</f>
        <v>-22.8997</v>
      </c>
      <c r="Z219" s="9">
        <f t="shared" si="9"/>
        <v>16.6816</v>
      </c>
      <c r="AA219" s="9">
        <f t="shared" si="10"/>
        <v>-218.3498</v>
      </c>
      <c r="AB219" s="9">
        <f t="shared" si="11"/>
        <v>-36.09935</v>
      </c>
    </row>
    <row r="220" spans="1:28">
      <c r="A220" s="8">
        <v>45510</v>
      </c>
      <c r="B220" s="7">
        <f>日前电价!B220-实时电价!B220</f>
        <v>1.76689999999996</v>
      </c>
      <c r="C220" s="7">
        <f>日前电价!C220-实时电价!C220</f>
        <v>39.3133</v>
      </c>
      <c r="D220" s="7">
        <f>日前电价!D220-实时电价!D220</f>
        <v>9.53370000000001</v>
      </c>
      <c r="E220" s="7">
        <f>日前电价!E220-实时电价!E220</f>
        <v>3.3195</v>
      </c>
      <c r="F220" s="7">
        <f>日前电价!F220-实时电价!F220</f>
        <v>-0.367599999999982</v>
      </c>
      <c r="G220" s="7">
        <f>日前电价!G220-实时电价!G220</f>
        <v>-2.17419999999998</v>
      </c>
      <c r="H220" s="7">
        <f>日前电价!H220-实时电价!H220</f>
        <v>-3.88400000000001</v>
      </c>
      <c r="I220" s="7">
        <f>日前电价!I220-实时电价!I220</f>
        <v>-5.65440000000001</v>
      </c>
      <c r="J220" s="7">
        <f>日前电价!J220-实时电价!J220</f>
        <v>19.5737</v>
      </c>
      <c r="K220" s="7">
        <f>日前电价!K220-实时电价!K220</f>
        <v>78.8164</v>
      </c>
      <c r="L220" s="7">
        <f>日前电价!L220-实时电价!L220</f>
        <v>78.6057</v>
      </c>
      <c r="M220" s="7">
        <f>日前电价!M220-实时电价!M220</f>
        <v>109.1734</v>
      </c>
      <c r="N220" s="7">
        <f>日前电价!N220-实时电价!N220</f>
        <v>89.9745</v>
      </c>
      <c r="O220" s="7">
        <f>日前电价!O220-实时电价!O220</f>
        <v>158.3978</v>
      </c>
      <c r="P220" s="7">
        <f>日前电价!P220-实时电价!P220</f>
        <v>258.3114</v>
      </c>
      <c r="Q220" s="7">
        <f>日前电价!Q220-实时电价!Q220</f>
        <v>223.9621</v>
      </c>
      <c r="R220" s="7">
        <f>日前电价!R220-实时电价!R220</f>
        <v>231.1007</v>
      </c>
      <c r="S220" s="7">
        <f>日前电价!S220-实时电价!S220</f>
        <v>152.961</v>
      </c>
      <c r="T220" s="7">
        <f>日前电价!T220-实时电价!T220</f>
        <v>73.5455</v>
      </c>
      <c r="U220" s="7">
        <f>日前电价!U220-实时电价!U220</f>
        <v>85.3363</v>
      </c>
      <c r="V220" s="7">
        <f>日前电价!V220-实时电价!V220</f>
        <v>90.5589</v>
      </c>
      <c r="W220" s="7">
        <f>日前电价!W220-实时电价!W220</f>
        <v>104.6331</v>
      </c>
      <c r="X220" s="7">
        <f>日前电价!X220-实时电价!X220</f>
        <v>148.1432</v>
      </c>
      <c r="Y220" s="7">
        <f>日前电价!Y220-实时电价!Y220</f>
        <v>62.8036</v>
      </c>
      <c r="Z220" s="9">
        <f t="shared" si="9"/>
        <v>258.3114</v>
      </c>
      <c r="AA220" s="9">
        <f t="shared" si="10"/>
        <v>-5.65440000000001</v>
      </c>
      <c r="AB220" s="9">
        <f t="shared" si="11"/>
        <v>83.6562708333333</v>
      </c>
    </row>
    <row r="221" spans="1:28">
      <c r="A221" s="8">
        <v>45511</v>
      </c>
      <c r="B221" s="7">
        <f>日前电价!B221-实时电价!B221</f>
        <v>19.2236</v>
      </c>
      <c r="C221" s="7">
        <f>日前电价!C221-实时电价!C221</f>
        <v>55.3647</v>
      </c>
      <c r="D221" s="7">
        <f>日前电价!D221-实时电价!D221</f>
        <v>41.4003</v>
      </c>
      <c r="E221" s="7">
        <f>日前电价!E221-实时电价!E221</f>
        <v>36.1677</v>
      </c>
      <c r="F221" s="7">
        <f>日前电价!F221-实时电价!F221</f>
        <v>34.5231</v>
      </c>
      <c r="G221" s="7">
        <f>日前电价!G221-实时电价!G221</f>
        <v>34.1037</v>
      </c>
      <c r="H221" s="7">
        <f>日前电价!H221-实时电价!H221</f>
        <v>27.3657</v>
      </c>
      <c r="I221" s="7">
        <f>日前电价!I221-实时电价!I221</f>
        <v>21.5333</v>
      </c>
      <c r="J221" s="7">
        <f>日前电价!J221-实时电价!J221</f>
        <v>41.3555</v>
      </c>
      <c r="K221" s="7">
        <f>日前电价!K221-实时电价!K221</f>
        <v>103.394</v>
      </c>
      <c r="L221" s="7">
        <f>日前电价!L221-实时电价!L221</f>
        <v>84.9228</v>
      </c>
      <c r="M221" s="7">
        <f>日前电价!M221-实时电价!M221</f>
        <v>90.6068</v>
      </c>
      <c r="N221" s="7">
        <f>日前电价!N221-实时电价!N221</f>
        <v>85.6483</v>
      </c>
      <c r="O221" s="7">
        <f>日前电价!O221-实时电价!O221</f>
        <v>142.8889</v>
      </c>
      <c r="P221" s="7">
        <f>日前电价!P221-实时电价!P221</f>
        <v>245.8428</v>
      </c>
      <c r="Q221" s="7">
        <f>日前电价!Q221-实时电价!Q221</f>
        <v>240.9955</v>
      </c>
      <c r="R221" s="7">
        <f>日前电价!R221-实时电价!R221</f>
        <v>241.3672</v>
      </c>
      <c r="S221" s="7">
        <f>日前电价!S221-实时电价!S221</f>
        <v>132.0506</v>
      </c>
      <c r="T221" s="7">
        <f>日前电价!T221-实时电价!T221</f>
        <v>52.8668</v>
      </c>
      <c r="U221" s="7">
        <f>日前电价!U221-实时电价!U221</f>
        <v>61.8385</v>
      </c>
      <c r="V221" s="7">
        <f>日前电价!V221-实时电价!V221</f>
        <v>53.3991</v>
      </c>
      <c r="W221" s="7">
        <f>日前电价!W221-实时电价!W221</f>
        <v>65.4275</v>
      </c>
      <c r="X221" s="7">
        <f>日前电价!X221-实时电价!X221</f>
        <v>104.0735</v>
      </c>
      <c r="Y221" s="7">
        <f>日前电价!Y221-实时电价!Y221</f>
        <v>57.7567</v>
      </c>
      <c r="Z221" s="9">
        <f t="shared" si="9"/>
        <v>245.8428</v>
      </c>
      <c r="AA221" s="9">
        <f t="shared" si="10"/>
        <v>19.2236</v>
      </c>
      <c r="AB221" s="9">
        <f t="shared" si="11"/>
        <v>86.421525</v>
      </c>
    </row>
    <row r="222" spans="1:28">
      <c r="A222" s="8">
        <v>45512</v>
      </c>
      <c r="B222" s="7">
        <f>日前电价!B222-实时电价!B222</f>
        <v>-25.4214</v>
      </c>
      <c r="C222" s="7">
        <f>日前电价!C222-实时电价!C222</f>
        <v>12.1567</v>
      </c>
      <c r="D222" s="7">
        <f>日前电价!D222-实时电价!D222</f>
        <v>19.8678</v>
      </c>
      <c r="E222" s="7">
        <f>日前电价!E222-实时电价!E222</f>
        <v>10.5431</v>
      </c>
      <c r="F222" s="7">
        <f>日前电价!F222-实时电价!F222</f>
        <v>13.1977</v>
      </c>
      <c r="G222" s="7">
        <f>日前电价!G222-实时电价!G222</f>
        <v>13.5718</v>
      </c>
      <c r="H222" s="7">
        <f>日前电价!H222-实时电价!H222</f>
        <v>13.2797</v>
      </c>
      <c r="I222" s="7">
        <f>日前电价!I222-实时电价!I222</f>
        <v>8.13400000000001</v>
      </c>
      <c r="J222" s="7">
        <f>日前电价!J222-实时电价!J222</f>
        <v>13.2807</v>
      </c>
      <c r="K222" s="7">
        <f>日前电价!K222-实时电价!K222</f>
        <v>33.9335</v>
      </c>
      <c r="L222" s="7">
        <f>日前电价!L222-实时电价!L222</f>
        <v>50.6067</v>
      </c>
      <c r="M222" s="7">
        <f>日前电价!M222-实时电价!M222</f>
        <v>45.7327</v>
      </c>
      <c r="N222" s="7">
        <f>日前电价!N222-实时电价!N222</f>
        <v>51.3928</v>
      </c>
      <c r="O222" s="7">
        <f>日前电价!O222-实时电价!O222</f>
        <v>62.8254</v>
      </c>
      <c r="P222" s="7">
        <f>日前电价!P222-实时电价!P222</f>
        <v>110.4583</v>
      </c>
      <c r="Q222" s="7">
        <f>日前电价!Q222-实时电价!Q222</f>
        <v>95.2174</v>
      </c>
      <c r="R222" s="7">
        <f>日前电价!R222-实时电价!R222</f>
        <v>77.3003</v>
      </c>
      <c r="S222" s="7">
        <f>日前电价!S222-实时电价!S222</f>
        <v>47.6249</v>
      </c>
      <c r="T222" s="7">
        <f>日前电价!T222-实时电价!T222</f>
        <v>10.3801</v>
      </c>
      <c r="U222" s="7">
        <f>日前电价!U222-实时电价!U222</f>
        <v>14.4683</v>
      </c>
      <c r="V222" s="7">
        <f>日前电价!V222-实时电价!V222</f>
        <v>4.3879</v>
      </c>
      <c r="W222" s="7">
        <f>日前电价!W222-实时电价!W222</f>
        <v>2.79600000000005</v>
      </c>
      <c r="X222" s="7">
        <f>日前电价!X222-实时电价!X222</f>
        <v>2.447</v>
      </c>
      <c r="Y222" s="7">
        <f>日前电价!Y222-实时电价!Y222</f>
        <v>10.2877</v>
      </c>
      <c r="Z222" s="9">
        <f t="shared" si="9"/>
        <v>110.4583</v>
      </c>
      <c r="AA222" s="9">
        <f t="shared" si="10"/>
        <v>-25.4214</v>
      </c>
      <c r="AB222" s="9">
        <f t="shared" si="11"/>
        <v>29.1028791666667</v>
      </c>
    </row>
    <row r="223" spans="1:28">
      <c r="A223" s="8">
        <v>45513</v>
      </c>
      <c r="B223" s="7">
        <f>日前电价!B223-实时电价!B223</f>
        <v>0.0269000000000119</v>
      </c>
      <c r="C223" s="7">
        <f>日前电价!C223-实时电价!C223</f>
        <v>7.6662</v>
      </c>
      <c r="D223" s="7">
        <f>日前电价!D223-实时电价!D223</f>
        <v>2.35470000000004</v>
      </c>
      <c r="E223" s="7">
        <f>日前电价!E223-实时电价!E223</f>
        <v>11.0477</v>
      </c>
      <c r="F223" s="7">
        <f>日前电价!F223-实时电价!F223</f>
        <v>6.71800000000002</v>
      </c>
      <c r="G223" s="7">
        <f>日前电价!G223-实时电价!G223</f>
        <v>6.56659999999999</v>
      </c>
      <c r="H223" s="7">
        <f>日前电价!H223-实时电价!H223</f>
        <v>3.78550000000001</v>
      </c>
      <c r="I223" s="7">
        <f>日前电价!I223-实时电价!I223</f>
        <v>-2.01909999999998</v>
      </c>
      <c r="J223" s="7">
        <f>日前电价!J223-实时电价!J223</f>
        <v>3.97570000000002</v>
      </c>
      <c r="K223" s="7">
        <f>日前电价!K223-实时电价!K223</f>
        <v>22.3598</v>
      </c>
      <c r="L223" s="7">
        <f>日前电价!L223-实时电价!L223</f>
        <v>44.6443</v>
      </c>
      <c r="M223" s="7">
        <f>日前电价!M223-实时电价!M223</f>
        <v>56.8411</v>
      </c>
      <c r="N223" s="7">
        <f>日前电价!N223-实时电价!N223</f>
        <v>76.2988</v>
      </c>
      <c r="O223" s="7">
        <f>日前电价!O223-实时电价!O223</f>
        <v>55.1395</v>
      </c>
      <c r="P223" s="7">
        <f>日前电价!P223-实时电价!P223</f>
        <v>76.9185</v>
      </c>
      <c r="Q223" s="7">
        <f>日前电价!Q223-实时电价!Q223</f>
        <v>47.0534</v>
      </c>
      <c r="R223" s="7">
        <f>日前电价!R223-实时电价!R223</f>
        <v>43.7583</v>
      </c>
      <c r="S223" s="7">
        <f>日前电价!S223-实时电价!S223</f>
        <v>38.3136</v>
      </c>
      <c r="T223" s="7">
        <f>日前电价!T223-实时电价!T223</f>
        <v>29.8019</v>
      </c>
      <c r="U223" s="7">
        <f>日前电价!U223-实时电价!U223</f>
        <v>32.6066</v>
      </c>
      <c r="V223" s="7">
        <f>日前电价!V223-实时电价!V223</f>
        <v>18.9354</v>
      </c>
      <c r="W223" s="7">
        <f>日前电价!W223-实时电价!W223</f>
        <v>13.0912</v>
      </c>
      <c r="X223" s="7">
        <f>日前电价!X223-实时电价!X223</f>
        <v>35.6427</v>
      </c>
      <c r="Y223" s="7">
        <f>日前电价!Y223-实时电价!Y223</f>
        <v>17.6028</v>
      </c>
      <c r="Z223" s="9">
        <f t="shared" si="9"/>
        <v>76.9185</v>
      </c>
      <c r="AA223" s="9">
        <f t="shared" si="10"/>
        <v>-2.01909999999998</v>
      </c>
      <c r="AB223" s="9">
        <f t="shared" si="11"/>
        <v>27.0470875</v>
      </c>
    </row>
    <row r="224" spans="1:28">
      <c r="A224" s="8">
        <v>45514</v>
      </c>
      <c r="B224" s="7">
        <f>日前电价!B224-实时电价!B224</f>
        <v>-40.919</v>
      </c>
      <c r="C224" s="7">
        <f>日前电价!C224-实时电价!C224</f>
        <v>-10.0151</v>
      </c>
      <c r="D224" s="7">
        <f>日前电价!D224-实时电价!D224</f>
        <v>-15.3546</v>
      </c>
      <c r="E224" s="7">
        <f>日前电价!E224-实时电价!E224</f>
        <v>-7.02260000000001</v>
      </c>
      <c r="F224" s="7">
        <f>日前电价!F224-实时电价!F224</f>
        <v>-8.78839999999997</v>
      </c>
      <c r="G224" s="7">
        <f>日前电价!G224-实时电价!G224</f>
        <v>-8.86840000000001</v>
      </c>
      <c r="H224" s="7">
        <f>日前电价!H224-实时电价!H224</f>
        <v>-3.84049999999996</v>
      </c>
      <c r="I224" s="7">
        <f>日前电价!I224-实时电价!I224</f>
        <v>-0.556300000000022</v>
      </c>
      <c r="J224" s="7">
        <f>日前电价!J224-实时电价!J224</f>
        <v>9.65019999999998</v>
      </c>
      <c r="K224" s="7">
        <f>日前电价!K224-实时电价!K224</f>
        <v>6.99829999999997</v>
      </c>
      <c r="L224" s="7">
        <f>日前电价!L224-实时电价!L224</f>
        <v>7.54300000000001</v>
      </c>
      <c r="M224" s="7">
        <f>日前电价!M224-实时电价!M224</f>
        <v>16.6752</v>
      </c>
      <c r="N224" s="7">
        <f>日前电价!N224-实时电价!N224</f>
        <v>40.4268</v>
      </c>
      <c r="O224" s="7">
        <f>日前电价!O224-实时电价!O224</f>
        <v>28.1858</v>
      </c>
      <c r="P224" s="7">
        <f>日前电价!P224-实时电价!P224</f>
        <v>77.1758</v>
      </c>
      <c r="Q224" s="7">
        <f>日前电价!Q224-实时电价!Q224</f>
        <v>59.854</v>
      </c>
      <c r="R224" s="7">
        <f>日前电价!R224-实时电价!R224</f>
        <v>46.584</v>
      </c>
      <c r="S224" s="7">
        <f>日前电价!S224-实时电价!S224</f>
        <v>39.9429</v>
      </c>
      <c r="T224" s="7">
        <f>日前电价!T224-实时电价!T224</f>
        <v>19.4841</v>
      </c>
      <c r="U224" s="7">
        <f>日前电价!U224-实时电价!U224</f>
        <v>10.9772</v>
      </c>
      <c r="V224" s="7">
        <f>日前电价!V224-实时电价!V224</f>
        <v>12.1205</v>
      </c>
      <c r="W224" s="7">
        <f>日前电价!W224-实时电价!W224</f>
        <v>5.38260000000002</v>
      </c>
      <c r="X224" s="7">
        <f>日前电价!X224-实时电价!X224</f>
        <v>17.0893</v>
      </c>
      <c r="Y224" s="7">
        <f>日前电价!Y224-实时电价!Y224</f>
        <v>14.9291</v>
      </c>
      <c r="Z224" s="9">
        <f t="shared" si="9"/>
        <v>77.1758</v>
      </c>
      <c r="AA224" s="9">
        <f t="shared" si="10"/>
        <v>-40.919</v>
      </c>
      <c r="AB224" s="9">
        <f t="shared" si="11"/>
        <v>13.2355791666667</v>
      </c>
    </row>
    <row r="225" spans="1:28">
      <c r="A225" s="8">
        <v>45515</v>
      </c>
      <c r="B225" s="7">
        <f>日前电价!B225-实时电价!B225</f>
        <v>-13.2416</v>
      </c>
      <c r="C225" s="7">
        <f>日前电价!C225-实时电价!C225</f>
        <v>23.2867</v>
      </c>
      <c r="D225" s="7">
        <f>日前电价!D225-实时电价!D225</f>
        <v>-6.88729999999998</v>
      </c>
      <c r="E225" s="7">
        <f>日前电价!E225-实时电价!E225</f>
        <v>3.77010000000001</v>
      </c>
      <c r="F225" s="7">
        <f>日前电价!F225-实时电价!F225</f>
        <v>10.7507</v>
      </c>
      <c r="G225" s="7">
        <f>日前电价!G225-实时电价!G225</f>
        <v>9.41070000000002</v>
      </c>
      <c r="H225" s="7">
        <f>日前电价!H225-实时电价!H225</f>
        <v>3.27549999999997</v>
      </c>
      <c r="I225" s="7">
        <f>日前电价!I225-实时电价!I225</f>
        <v>6.66469999999998</v>
      </c>
      <c r="J225" s="7">
        <f>日前电价!J225-实时电价!J225</f>
        <v>36.1161</v>
      </c>
      <c r="K225" s="7">
        <f>日前电价!K225-实时电价!K225</f>
        <v>15.7445</v>
      </c>
      <c r="L225" s="7">
        <f>日前电价!L225-实时电价!L225</f>
        <v>49.9422</v>
      </c>
      <c r="M225" s="7">
        <f>日前电价!M225-实时电价!M225</f>
        <v>104.856</v>
      </c>
      <c r="N225" s="7">
        <f>日前电价!N225-实时电价!N225</f>
        <v>62.0229</v>
      </c>
      <c r="O225" s="7">
        <f>日前电价!O225-实时电价!O225</f>
        <v>23.0885</v>
      </c>
      <c r="P225" s="7">
        <f>日前电价!P225-实时电价!P225</f>
        <v>50.6727</v>
      </c>
      <c r="Q225" s="7">
        <f>日前电价!Q225-实时电价!Q225</f>
        <v>40.3172</v>
      </c>
      <c r="R225" s="7">
        <f>日前电价!R225-实时电价!R225</f>
        <v>50.6915</v>
      </c>
      <c r="S225" s="7">
        <f>日前电价!S225-实时电价!S225</f>
        <v>33.4582</v>
      </c>
      <c r="T225" s="7">
        <f>日前电价!T225-实时电价!T225</f>
        <v>38.2707</v>
      </c>
      <c r="U225" s="7">
        <f>日前电价!U225-实时电价!U225</f>
        <v>32.3781</v>
      </c>
      <c r="V225" s="7">
        <f>日前电价!V225-实时电价!V225</f>
        <v>42.498</v>
      </c>
      <c r="W225" s="7">
        <f>日前电价!W225-实时电价!W225</f>
        <v>38.6218</v>
      </c>
      <c r="X225" s="7">
        <f>日前电价!X225-实时电价!X225</f>
        <v>42.8963</v>
      </c>
      <c r="Y225" s="7">
        <f>日前电价!Y225-实时电价!Y225</f>
        <v>34.7623</v>
      </c>
      <c r="Z225" s="9">
        <f t="shared" si="9"/>
        <v>104.856</v>
      </c>
      <c r="AA225" s="9">
        <f t="shared" si="10"/>
        <v>-13.2416</v>
      </c>
      <c r="AB225" s="9">
        <f t="shared" si="11"/>
        <v>30.5569375</v>
      </c>
    </row>
    <row r="226" spans="1:28">
      <c r="A226" s="8">
        <v>45516</v>
      </c>
      <c r="B226" s="7">
        <f>日前电价!B226-实时电价!B226</f>
        <v>-19.5592</v>
      </c>
      <c r="C226" s="7">
        <f>日前电价!C226-实时电价!C226</f>
        <v>14.3114</v>
      </c>
      <c r="D226" s="7">
        <f>日前电价!D226-实时电价!D226</f>
        <v>19.1491</v>
      </c>
      <c r="E226" s="7">
        <f>日前电价!E226-实时电价!E226</f>
        <v>22.4548</v>
      </c>
      <c r="F226" s="7">
        <f>日前电价!F226-实时电价!F226</f>
        <v>15.9389</v>
      </c>
      <c r="G226" s="7">
        <f>日前电价!G226-实时电价!G226</f>
        <v>10.1054999999999</v>
      </c>
      <c r="H226" s="7">
        <f>日前电价!H226-实时电价!H226</f>
        <v>11.2352</v>
      </c>
      <c r="I226" s="7">
        <f>日前电价!I226-实时电价!I226</f>
        <v>4.78280000000001</v>
      </c>
      <c r="J226" s="7">
        <f>日前电价!J226-实时电价!J226</f>
        <v>13.9767</v>
      </c>
      <c r="K226" s="7">
        <f>日前电价!K226-实时电价!K226</f>
        <v>8.5686</v>
      </c>
      <c r="L226" s="7">
        <f>日前电价!L226-实时电价!L226</f>
        <v>24.9542</v>
      </c>
      <c r="M226" s="7">
        <f>日前电价!M226-实时电价!M226</f>
        <v>43.2321</v>
      </c>
      <c r="N226" s="7">
        <f>日前电价!N226-实时电价!N226</f>
        <v>94.8854</v>
      </c>
      <c r="O226" s="7">
        <f>日前电价!O226-实时电价!O226</f>
        <v>33.3581</v>
      </c>
      <c r="P226" s="7">
        <f>日前电价!P226-实时电价!P226</f>
        <v>48.6618</v>
      </c>
      <c r="Q226" s="7">
        <f>日前电价!Q226-实时电价!Q226</f>
        <v>51.3164</v>
      </c>
      <c r="R226" s="7">
        <f>日前电价!R226-实时电价!R226</f>
        <v>30.3846</v>
      </c>
      <c r="S226" s="7">
        <f>日前电价!S226-实时电价!S226</f>
        <v>20.6155</v>
      </c>
      <c r="T226" s="7">
        <f>日前电价!T226-实时电价!T226</f>
        <v>16.2896</v>
      </c>
      <c r="U226" s="7">
        <f>日前电价!U226-实时电价!U226</f>
        <v>-1.12459999999999</v>
      </c>
      <c r="V226" s="7">
        <f>日前电价!V226-实时电价!V226</f>
        <v>25.1443</v>
      </c>
      <c r="W226" s="7">
        <f>日前电价!W226-实时电价!W226</f>
        <v>39.1366</v>
      </c>
      <c r="X226" s="7">
        <f>日前电价!X226-实时电价!X226</f>
        <v>40.3997</v>
      </c>
      <c r="Y226" s="7">
        <f>日前电价!Y226-实时电价!Y226</f>
        <v>35.8298</v>
      </c>
      <c r="Z226" s="9">
        <f t="shared" si="9"/>
        <v>94.8854</v>
      </c>
      <c r="AA226" s="9">
        <f t="shared" si="10"/>
        <v>-19.5592</v>
      </c>
      <c r="AB226" s="9">
        <f t="shared" si="11"/>
        <v>25.1686375</v>
      </c>
    </row>
    <row r="227" spans="1:28">
      <c r="A227" s="8">
        <v>45517</v>
      </c>
      <c r="B227" s="7">
        <f>日前电价!B227-实时电价!B227</f>
        <v>23.7766</v>
      </c>
      <c r="C227" s="7">
        <f>日前电价!C227-实时电价!C227</f>
        <v>14.4079</v>
      </c>
      <c r="D227" s="7">
        <f>日前电价!D227-实时电价!D227</f>
        <v>17.0973</v>
      </c>
      <c r="E227" s="7">
        <f>日前电价!E227-实时电价!E227</f>
        <v>17.73</v>
      </c>
      <c r="F227" s="7">
        <f>日前电价!F227-实时电价!F227</f>
        <v>17.0105</v>
      </c>
      <c r="G227" s="7">
        <f>日前电价!G227-实时电价!G227</f>
        <v>10.5909</v>
      </c>
      <c r="H227" s="7">
        <f>日前电价!H227-实时电价!H227</f>
        <v>6.46479999999997</v>
      </c>
      <c r="I227" s="7">
        <f>日前电价!I227-实时电价!I227</f>
        <v>1.44759999999997</v>
      </c>
      <c r="J227" s="7">
        <f>日前电价!J227-实时电价!J227</f>
        <v>-3.62819999999999</v>
      </c>
      <c r="K227" s="7">
        <f>日前电价!K227-实时电价!K227</f>
        <v>-8.9513</v>
      </c>
      <c r="L227" s="7">
        <f>日前电价!L227-实时电价!L227</f>
        <v>26.743</v>
      </c>
      <c r="M227" s="7">
        <f>日前电价!M227-实时电价!M227</f>
        <v>52.6205</v>
      </c>
      <c r="N227" s="7">
        <f>日前电价!N227-实时电价!N227</f>
        <v>93.5535</v>
      </c>
      <c r="O227" s="7">
        <f>日前电价!O227-实时电价!O227</f>
        <v>3.95350000000002</v>
      </c>
      <c r="P227" s="7">
        <f>日前电价!P227-实时电价!P227</f>
        <v>-48.7222</v>
      </c>
      <c r="Q227" s="7">
        <f>日前电价!Q227-实时电价!Q227</f>
        <v>21.383</v>
      </c>
      <c r="R227" s="7">
        <f>日前电价!R227-实时电价!R227</f>
        <v>19.7837</v>
      </c>
      <c r="S227" s="7">
        <f>日前电价!S227-实时电价!S227</f>
        <v>17.4846</v>
      </c>
      <c r="T227" s="7">
        <f>日前电价!T227-实时电价!T227</f>
        <v>18.4748</v>
      </c>
      <c r="U227" s="7">
        <f>日前电价!U227-实时电价!U227</f>
        <v>13.4119</v>
      </c>
      <c r="V227" s="7">
        <f>日前电价!V227-实时电价!V227</f>
        <v>17.8225</v>
      </c>
      <c r="W227" s="7">
        <f>日前电价!W227-实时电价!W227</f>
        <v>13.8664</v>
      </c>
      <c r="X227" s="7">
        <f>日前电价!X227-实时电价!X227</f>
        <v>18.423</v>
      </c>
      <c r="Y227" s="7">
        <f>日前电价!Y227-实时电价!Y227</f>
        <v>14.6567</v>
      </c>
      <c r="Z227" s="9">
        <f t="shared" si="9"/>
        <v>93.5535</v>
      </c>
      <c r="AA227" s="9">
        <f t="shared" si="10"/>
        <v>-48.7222</v>
      </c>
      <c r="AB227" s="9">
        <f t="shared" si="11"/>
        <v>15.808375</v>
      </c>
    </row>
    <row r="228" spans="1:28">
      <c r="A228" s="8">
        <v>45518</v>
      </c>
      <c r="B228" s="7">
        <f>日前电价!B228-实时电价!B228</f>
        <v>-7.57679999999999</v>
      </c>
      <c r="C228" s="7">
        <f>日前电价!C228-实时电价!C228</f>
        <v>7.17620000000005</v>
      </c>
      <c r="D228" s="7">
        <f>日前电价!D228-实时电价!D228</f>
        <v>2.8005</v>
      </c>
      <c r="E228" s="7">
        <f>日前电价!E228-实时电价!E228</f>
        <v>0.915599999999984</v>
      </c>
      <c r="F228" s="7">
        <f>日前电价!F228-实时电价!F228</f>
        <v>5.99009999999998</v>
      </c>
      <c r="G228" s="7">
        <f>日前电价!G228-实时电价!G228</f>
        <v>6.20920000000001</v>
      </c>
      <c r="H228" s="7">
        <f>日前电价!H228-实时电价!H228</f>
        <v>1.43480000000005</v>
      </c>
      <c r="I228" s="7">
        <f>日前电价!I228-实时电价!I228</f>
        <v>4.21030000000002</v>
      </c>
      <c r="J228" s="7">
        <f>日前电价!J228-实时电价!J228</f>
        <v>19.7039</v>
      </c>
      <c r="K228" s="7">
        <f>日前电价!K228-实时电价!K228</f>
        <v>22.6411</v>
      </c>
      <c r="L228" s="7">
        <f>日前电价!L228-实时电价!L228</f>
        <v>25.4458</v>
      </c>
      <c r="M228" s="7">
        <f>日前电价!M228-实时电价!M228</f>
        <v>27.2905</v>
      </c>
      <c r="N228" s="7">
        <f>日前电价!N228-实时电价!N228</f>
        <v>92.1865</v>
      </c>
      <c r="O228" s="7">
        <f>日前电价!O228-实时电价!O228</f>
        <v>65.4562</v>
      </c>
      <c r="P228" s="7">
        <f>日前电价!P228-实时电价!P228</f>
        <v>87.0034</v>
      </c>
      <c r="Q228" s="7">
        <f>日前电价!Q228-实时电价!Q228</f>
        <v>64.1172</v>
      </c>
      <c r="R228" s="7">
        <f>日前电价!R228-实时电价!R228</f>
        <v>57.1311</v>
      </c>
      <c r="S228" s="7">
        <f>日前电价!S228-实时电价!S228</f>
        <v>35.4503</v>
      </c>
      <c r="T228" s="7">
        <f>日前电价!T228-实时电价!T228</f>
        <v>14.7433</v>
      </c>
      <c r="U228" s="7">
        <f>日前电价!U228-实时电价!U228</f>
        <v>0.895100000000014</v>
      </c>
      <c r="V228" s="7">
        <f>日前电价!V228-实时电价!V228</f>
        <v>16.9354</v>
      </c>
      <c r="W228" s="7">
        <f>日前电价!W228-实时电价!W228</f>
        <v>16.6408</v>
      </c>
      <c r="X228" s="7">
        <f>日前电价!X228-实时电价!X228</f>
        <v>16.7542</v>
      </c>
      <c r="Y228" s="7">
        <f>日前电价!Y228-实时电价!Y228</f>
        <v>17.8125</v>
      </c>
      <c r="Z228" s="9">
        <f t="shared" si="9"/>
        <v>92.1865</v>
      </c>
      <c r="AA228" s="9">
        <f t="shared" si="10"/>
        <v>-7.57679999999999</v>
      </c>
      <c r="AB228" s="9">
        <f t="shared" si="11"/>
        <v>25.0569666666667</v>
      </c>
    </row>
    <row r="229" spans="1:28">
      <c r="A229" s="8">
        <v>45519</v>
      </c>
      <c r="B229" s="7">
        <f>日前电价!B229-实时电价!B229</f>
        <v>6.8766</v>
      </c>
      <c r="C229" s="7">
        <f>日前电价!C229-实时电价!C229</f>
        <v>3.98749999999995</v>
      </c>
      <c r="D229" s="7">
        <f>日前电价!D229-实时电价!D229</f>
        <v>4.8476</v>
      </c>
      <c r="E229" s="7">
        <f>日前电价!E229-实时电价!E229</f>
        <v>5.57779999999997</v>
      </c>
      <c r="F229" s="7">
        <f>日前电价!F229-实时电价!F229</f>
        <v>3.82589999999999</v>
      </c>
      <c r="G229" s="7">
        <f>日前电价!G229-实时电价!G229</f>
        <v>4.18619999999999</v>
      </c>
      <c r="H229" s="7">
        <f>日前电价!H229-实时电价!H229</f>
        <v>2.91139999999996</v>
      </c>
      <c r="I229" s="7">
        <f>日前电价!I229-实时电价!I229</f>
        <v>4.22710000000001</v>
      </c>
      <c r="J229" s="7">
        <f>日前电价!J229-实时电价!J229</f>
        <v>19.8192</v>
      </c>
      <c r="K229" s="7">
        <f>日前电价!K229-实时电价!K229</f>
        <v>16.5629</v>
      </c>
      <c r="L229" s="7">
        <f>日前电价!L229-实时电价!L229</f>
        <v>60.7627000000001</v>
      </c>
      <c r="M229" s="7">
        <f>日前电价!M229-实时电价!M229</f>
        <v>48.7576</v>
      </c>
      <c r="N229" s="7">
        <f>日前电价!N229-实时电价!N229</f>
        <v>134.7323</v>
      </c>
      <c r="O229" s="7">
        <f>日前电价!O229-实时电价!O229</f>
        <v>112.7126</v>
      </c>
      <c r="P229" s="7">
        <f>日前电价!P229-实时电价!P229</f>
        <v>143.8987</v>
      </c>
      <c r="Q229" s="7">
        <f>日前电价!Q229-实时电价!Q229</f>
        <v>113.5584</v>
      </c>
      <c r="R229" s="7">
        <f>日前电价!R229-实时电价!R229</f>
        <v>70.9947</v>
      </c>
      <c r="S229" s="7">
        <f>日前电价!S229-实时电价!S229</f>
        <v>63.316</v>
      </c>
      <c r="T229" s="7">
        <f>日前电价!T229-实时电价!T229</f>
        <v>32.3742</v>
      </c>
      <c r="U229" s="7">
        <f>日前电价!U229-实时电价!U229</f>
        <v>38.6466</v>
      </c>
      <c r="V229" s="7">
        <f>日前电价!V229-实时电价!V229</f>
        <v>38.3051</v>
      </c>
      <c r="W229" s="7">
        <f>日前电价!W229-实时电价!W229</f>
        <v>29.31</v>
      </c>
      <c r="X229" s="7">
        <f>日前电价!X229-实时电价!X229</f>
        <v>33.2535</v>
      </c>
      <c r="Y229" s="7">
        <f>日前电价!Y229-实时电价!Y229</f>
        <v>45.7812</v>
      </c>
      <c r="Z229" s="9">
        <f t="shared" si="9"/>
        <v>143.8987</v>
      </c>
      <c r="AA229" s="9">
        <f t="shared" si="10"/>
        <v>2.91139999999996</v>
      </c>
      <c r="AB229" s="9">
        <f t="shared" si="11"/>
        <v>43.301075</v>
      </c>
    </row>
    <row r="230" spans="1:28">
      <c r="A230" s="8">
        <v>45520</v>
      </c>
      <c r="B230" s="7">
        <f>日前电价!B230-实时电价!B230</f>
        <v>13.4014</v>
      </c>
      <c r="C230" s="7">
        <f>日前电价!C230-实时电价!C230</f>
        <v>18.4021</v>
      </c>
      <c r="D230" s="7">
        <f>日前电价!D230-实时电价!D230</f>
        <v>20.1602</v>
      </c>
      <c r="E230" s="7">
        <f>日前电价!E230-实时电价!E230</f>
        <v>48.5423</v>
      </c>
      <c r="F230" s="7">
        <f>日前电价!F230-实时电价!F230</f>
        <v>136.8418</v>
      </c>
      <c r="G230" s="7">
        <f>日前电价!G230-实时电价!G230</f>
        <v>212.9253</v>
      </c>
      <c r="H230" s="7">
        <f>日前电价!H230-实时电价!H230</f>
        <v>86.8512</v>
      </c>
      <c r="I230" s="7">
        <f>日前电价!I230-实时电价!I230</f>
        <v>3.30250000000001</v>
      </c>
      <c r="J230" s="7">
        <f>日前电价!J230-实时电价!J230</f>
        <v>11.0389</v>
      </c>
      <c r="K230" s="7">
        <f>日前电价!K230-实时电价!K230</f>
        <v>40.4723</v>
      </c>
      <c r="L230" s="7">
        <f>日前电价!L230-实时电价!L230</f>
        <v>49.7282</v>
      </c>
      <c r="M230" s="7">
        <f>日前电价!M230-实时电价!M230</f>
        <v>41.4718</v>
      </c>
      <c r="N230" s="7">
        <f>日前电价!N230-实时电价!N230</f>
        <v>100.8675</v>
      </c>
      <c r="O230" s="7">
        <f>日前电价!O230-实时电价!O230</f>
        <v>19.496</v>
      </c>
      <c r="P230" s="7">
        <f>日前电价!P230-实时电价!P230</f>
        <v>29.2888</v>
      </c>
      <c r="Q230" s="7">
        <f>日前电价!Q230-实时电价!Q230</f>
        <v>24.1446</v>
      </c>
      <c r="R230" s="7">
        <f>日前电价!R230-实时电价!R230</f>
        <v>19.4562</v>
      </c>
      <c r="S230" s="7">
        <f>日前电价!S230-实时电价!S230</f>
        <v>20.0834</v>
      </c>
      <c r="T230" s="7">
        <f>日前电价!T230-实时电价!T230</f>
        <v>24.6588</v>
      </c>
      <c r="U230" s="7">
        <f>日前电价!U230-实时电价!U230</f>
        <v>10.1665</v>
      </c>
      <c r="V230" s="7">
        <f>日前电价!V230-实时电价!V230</f>
        <v>9.81369999999998</v>
      </c>
      <c r="W230" s="7">
        <f>日前电价!W230-实时电价!W230</f>
        <v>10.8745</v>
      </c>
      <c r="X230" s="7">
        <f>日前电价!X230-实时电价!X230</f>
        <v>21.5649</v>
      </c>
      <c r="Y230" s="7">
        <f>日前电价!Y230-实时电价!Y230</f>
        <v>19.2688</v>
      </c>
      <c r="Z230" s="9">
        <f t="shared" si="9"/>
        <v>212.9253</v>
      </c>
      <c r="AA230" s="9">
        <f t="shared" si="10"/>
        <v>3.30250000000001</v>
      </c>
      <c r="AB230" s="9">
        <f t="shared" si="11"/>
        <v>41.3675708333333</v>
      </c>
    </row>
    <row r="231" spans="1:28">
      <c r="A231" s="8">
        <v>45521</v>
      </c>
      <c r="B231" s="7">
        <f>日前电价!B231-实时电价!B231</f>
        <v>-33.9797</v>
      </c>
      <c r="C231" s="7">
        <f>日前电价!C231-实时电价!C231</f>
        <v>2.95279999999997</v>
      </c>
      <c r="D231" s="7">
        <f>日前电价!D231-实时电价!D231</f>
        <v>2.41000000000002</v>
      </c>
      <c r="E231" s="7">
        <f>日前电价!E231-实时电价!E231</f>
        <v>0.128299999999967</v>
      </c>
      <c r="F231" s="7">
        <f>日前电价!F231-实时电价!F231</f>
        <v>5.315</v>
      </c>
      <c r="G231" s="7">
        <f>日前电价!G231-实时电价!G231</f>
        <v>35.535</v>
      </c>
      <c r="H231" s="7">
        <f>日前电价!H231-实时电价!H231</f>
        <v>9.36749999999995</v>
      </c>
      <c r="I231" s="7">
        <f>日前电价!I231-实时电价!I231</f>
        <v>10.5586</v>
      </c>
      <c r="J231" s="7">
        <f>日前电价!J231-实时电价!J231</f>
        <v>7.61200000000002</v>
      </c>
      <c r="K231" s="7">
        <f>日前电价!K231-实时电价!K231</f>
        <v>12.1333</v>
      </c>
      <c r="L231" s="7">
        <f>日前电价!L231-实时电价!L231</f>
        <v>18.4119</v>
      </c>
      <c r="M231" s="7">
        <f>日前电价!M231-实时电价!M231</f>
        <v>77.9709</v>
      </c>
      <c r="N231" s="7">
        <f>日前电价!N231-实时电价!N231</f>
        <v>137.5532</v>
      </c>
      <c r="O231" s="7">
        <f>日前电价!O231-实时电价!O231</f>
        <v>89.5293</v>
      </c>
      <c r="P231" s="7">
        <f>日前电价!P231-实时电价!P231</f>
        <v>36.5291</v>
      </c>
      <c r="Q231" s="7">
        <f>日前电价!Q231-实时电价!Q231</f>
        <v>22.6838</v>
      </c>
      <c r="R231" s="7">
        <f>日前电价!R231-实时电价!R231</f>
        <v>84.7189</v>
      </c>
      <c r="S231" s="7">
        <f>日前电价!S231-实时电价!S231</f>
        <v>48.7207</v>
      </c>
      <c r="T231" s="7">
        <f>日前电价!T231-实时电价!T231</f>
        <v>65.9958</v>
      </c>
      <c r="U231" s="7">
        <f>日前电价!U231-实时电价!U231</f>
        <v>13.2093</v>
      </c>
      <c r="V231" s="7">
        <f>日前电价!V231-实时电价!V231</f>
        <v>8.38159999999999</v>
      </c>
      <c r="W231" s="7">
        <f>日前电价!W231-实时电价!W231</f>
        <v>5.39749999999998</v>
      </c>
      <c r="X231" s="7">
        <f>日前电价!X231-实时电价!X231</f>
        <v>11.0266</v>
      </c>
      <c r="Y231" s="7">
        <f>日前电价!Y231-实时电价!Y231</f>
        <v>88.335</v>
      </c>
      <c r="Z231" s="9">
        <f t="shared" si="9"/>
        <v>137.5532</v>
      </c>
      <c r="AA231" s="9">
        <f t="shared" si="10"/>
        <v>-33.9797</v>
      </c>
      <c r="AB231" s="9">
        <f t="shared" si="11"/>
        <v>31.68735</v>
      </c>
    </row>
    <row r="232" spans="1:28">
      <c r="A232" s="8">
        <v>45522</v>
      </c>
      <c r="B232" s="7">
        <f>日前电价!B232-实时电价!B232</f>
        <v>22.9239</v>
      </c>
      <c r="C232" s="7">
        <f>日前电价!C232-实时电价!C232</f>
        <v>12.7762</v>
      </c>
      <c r="D232" s="7">
        <f>日前电价!D232-实时电价!D232</f>
        <v>35.5176</v>
      </c>
      <c r="E232" s="7">
        <f>日前电价!E232-实时电价!E232</f>
        <v>49.1573</v>
      </c>
      <c r="F232" s="7">
        <f>日前电价!F232-实时电价!F232</f>
        <v>209.42</v>
      </c>
      <c r="G232" s="7">
        <f>日前电价!G232-实时电价!G232</f>
        <v>251.3391</v>
      </c>
      <c r="H232" s="7">
        <f>日前电价!H232-实时电价!H232</f>
        <v>217.585</v>
      </c>
      <c r="I232" s="7">
        <f>日前电价!I232-实时电价!I232</f>
        <v>70</v>
      </c>
      <c r="J232" s="7">
        <f>日前电价!J232-实时电价!J232</f>
        <v>135.0665</v>
      </c>
      <c r="K232" s="7">
        <f>日前电价!K232-实时电价!K232</f>
        <v>24.8537</v>
      </c>
      <c r="L232" s="7">
        <f>日前电价!L232-实时电价!L232</f>
        <v>-20.5246</v>
      </c>
      <c r="M232" s="7">
        <f>日前电价!M232-实时电价!M232</f>
        <v>67.8528</v>
      </c>
      <c r="N232" s="7">
        <f>日前电价!N232-实时电价!N232</f>
        <v>-39.0903</v>
      </c>
      <c r="O232" s="7">
        <f>日前电价!O232-实时电价!O232</f>
        <v>130.9403</v>
      </c>
      <c r="P232" s="7">
        <f>日前电价!P232-实时电价!P232</f>
        <v>66.254</v>
      </c>
      <c r="Q232" s="7">
        <f>日前电价!Q232-实时电价!Q232</f>
        <v>43.5982</v>
      </c>
      <c r="R232" s="7">
        <f>日前电价!R232-实时电价!R232</f>
        <v>20.9943</v>
      </c>
      <c r="S232" s="7">
        <f>日前电价!S232-实时电价!S232</f>
        <v>174.8331</v>
      </c>
      <c r="T232" s="7">
        <f>日前电价!T232-实时电价!T232</f>
        <v>188.7918</v>
      </c>
      <c r="U232" s="7">
        <f>日前电价!U232-实时电价!U232</f>
        <v>37.045</v>
      </c>
      <c r="V232" s="7">
        <f>日前电价!V232-实时电价!V232</f>
        <v>48.3813</v>
      </c>
      <c r="W232" s="7">
        <f>日前电价!W232-实时电价!W232</f>
        <v>106.7613</v>
      </c>
      <c r="X232" s="7">
        <f>日前电价!X232-实时电价!X232</f>
        <v>95.0896</v>
      </c>
      <c r="Y232" s="7">
        <f>日前电价!Y232-实时电价!Y232</f>
        <v>242.5492</v>
      </c>
      <c r="Z232" s="9">
        <f t="shared" si="9"/>
        <v>251.3391</v>
      </c>
      <c r="AA232" s="9">
        <f t="shared" si="10"/>
        <v>-39.0903</v>
      </c>
      <c r="AB232" s="9">
        <f t="shared" si="11"/>
        <v>91.3381375</v>
      </c>
    </row>
    <row r="233" spans="1:28">
      <c r="A233" s="8">
        <v>45523</v>
      </c>
      <c r="B233" s="7">
        <f>日前电价!B233-实时电价!B233</f>
        <v>-49.0426</v>
      </c>
      <c r="C233" s="7">
        <f>日前电价!C233-实时电价!C233</f>
        <v>32.0064</v>
      </c>
      <c r="D233" s="7">
        <f>日前电价!D233-实时电价!D233</f>
        <v>163.0841</v>
      </c>
      <c r="E233" s="7">
        <f>日前电价!E233-实时电价!E233</f>
        <v>12.411</v>
      </c>
      <c r="F233" s="7">
        <f>日前电价!F233-实时电价!F233</f>
        <v>0</v>
      </c>
      <c r="G233" s="7">
        <f>日前电价!G233-实时电价!G233</f>
        <v>-1.1532</v>
      </c>
      <c r="H233" s="7">
        <f>日前电价!H233-实时电价!H233</f>
        <v>0</v>
      </c>
      <c r="I233" s="7">
        <f>日前电价!I233-实时电价!I233</f>
        <v>-99.3172</v>
      </c>
      <c r="J233" s="7">
        <f>日前电价!J233-实时电价!J233</f>
        <v>-23.1859</v>
      </c>
      <c r="K233" s="7">
        <f>日前电价!K233-实时电价!K233</f>
        <v>-229.5087</v>
      </c>
      <c r="L233" s="7">
        <f>日前电价!L233-实时电价!L233</f>
        <v>-2.0521</v>
      </c>
      <c r="M233" s="7">
        <f>日前电价!M233-实时电价!M233</f>
        <v>34.9122</v>
      </c>
      <c r="N233" s="7">
        <f>日前电价!N233-实时电价!N233</f>
        <v>90.6519</v>
      </c>
      <c r="O233" s="7">
        <f>日前电价!O233-实时电价!O233</f>
        <v>17.1567</v>
      </c>
      <c r="P233" s="7">
        <f>日前电价!P233-实时电价!P233</f>
        <v>24.4098</v>
      </c>
      <c r="Q233" s="7">
        <f>日前电价!Q233-实时电价!Q233</f>
        <v>14.1812</v>
      </c>
      <c r="R233" s="7">
        <f>日前电价!R233-实时电价!R233</f>
        <v>5.68039999999996</v>
      </c>
      <c r="S233" s="7">
        <f>日前电价!S233-实时电价!S233</f>
        <v>2.69850000000002</v>
      </c>
      <c r="T233" s="7">
        <f>日前电价!T233-实时电价!T233</f>
        <v>3.22210000000001</v>
      </c>
      <c r="U233" s="7">
        <f>日前电价!U233-实时电价!U233</f>
        <v>-27.052</v>
      </c>
      <c r="V233" s="7">
        <f>日前电价!V233-实时电价!V233</f>
        <v>-19.0393</v>
      </c>
      <c r="W233" s="7">
        <f>日前电价!W233-实时电价!W233</f>
        <v>-3.53910000000002</v>
      </c>
      <c r="X233" s="7">
        <f>日前电价!X233-实时电价!X233</f>
        <v>6.35760000000005</v>
      </c>
      <c r="Y233" s="7">
        <f>日前电价!Y233-实时电价!Y233</f>
        <v>13.226</v>
      </c>
      <c r="Z233" s="9">
        <f t="shared" si="9"/>
        <v>163.0841</v>
      </c>
      <c r="AA233" s="9">
        <f t="shared" si="10"/>
        <v>-229.5087</v>
      </c>
      <c r="AB233" s="9">
        <f t="shared" si="11"/>
        <v>-1.412175</v>
      </c>
    </row>
    <row r="234" spans="1:28">
      <c r="A234" s="8">
        <v>45524</v>
      </c>
      <c r="B234" s="7">
        <f>日前电价!B234-实时电价!B234</f>
        <v>-11.5407</v>
      </c>
      <c r="C234" s="7">
        <f>日前电价!C234-实时电价!C234</f>
        <v>-2.59219999999999</v>
      </c>
      <c r="D234" s="7">
        <f>日前电价!D234-实时电价!D234</f>
        <v>1.31900000000002</v>
      </c>
      <c r="E234" s="7">
        <f>日前电价!E234-实时电价!E234</f>
        <v>9.28450000000001</v>
      </c>
      <c r="F234" s="7">
        <f>日前电价!F234-实时电价!F234</f>
        <v>3.32570000000001</v>
      </c>
      <c r="G234" s="7">
        <f>日前电价!G234-实时电价!G234</f>
        <v>-11.4623</v>
      </c>
      <c r="H234" s="7">
        <f>日前电价!H234-实时电价!H234</f>
        <v>-21.2974</v>
      </c>
      <c r="I234" s="7">
        <f>日前电价!I234-实时电价!I234</f>
        <v>-44.0722</v>
      </c>
      <c r="J234" s="7">
        <f>日前电价!J234-实时电价!J234</f>
        <v>-40.3053</v>
      </c>
      <c r="K234" s="7">
        <f>日前电价!K234-实时电价!K234</f>
        <v>-169.4898</v>
      </c>
      <c r="L234" s="7">
        <f>日前电价!L234-实时电价!L234</f>
        <v>-45.9582</v>
      </c>
      <c r="M234" s="7">
        <f>日前电价!M234-实时电价!M234</f>
        <v>10.9406</v>
      </c>
      <c r="N234" s="7">
        <f>日前电价!N234-实时电价!N234</f>
        <v>66.3429</v>
      </c>
      <c r="O234" s="7">
        <f>日前电价!O234-实时电价!O234</f>
        <v>10.0177</v>
      </c>
      <c r="P234" s="7">
        <f>日前电价!P234-实时电价!P234</f>
        <v>9.57139999999998</v>
      </c>
      <c r="Q234" s="7">
        <f>日前电价!Q234-实时电价!Q234</f>
        <v>10.3827</v>
      </c>
      <c r="R234" s="7">
        <f>日前电价!R234-实时电价!R234</f>
        <v>-9.18090000000001</v>
      </c>
      <c r="S234" s="7">
        <f>日前电价!S234-实时电价!S234</f>
        <v>-0.108800000000031</v>
      </c>
      <c r="T234" s="7">
        <f>日前电价!T234-实时电价!T234</f>
        <v>2.20300000000003</v>
      </c>
      <c r="U234" s="7">
        <f>日前电价!U234-实时电价!U234</f>
        <v>23.8426</v>
      </c>
      <c r="V234" s="7">
        <f>日前电价!V234-实时电价!V234</f>
        <v>47.5016</v>
      </c>
      <c r="W234" s="7">
        <f>日前电价!W234-实时电价!W234</f>
        <v>59.1984</v>
      </c>
      <c r="X234" s="7">
        <f>日前电价!X234-实时电价!X234</f>
        <v>27.8277</v>
      </c>
      <c r="Y234" s="7">
        <f>日前电价!Y234-实时电价!Y234</f>
        <v>22.8448</v>
      </c>
      <c r="Z234" s="9">
        <f t="shared" si="9"/>
        <v>66.3429</v>
      </c>
      <c r="AA234" s="9">
        <f t="shared" si="10"/>
        <v>-169.4898</v>
      </c>
      <c r="AB234" s="9">
        <f t="shared" si="11"/>
        <v>-2.14188333333334</v>
      </c>
    </row>
    <row r="235" spans="1:28">
      <c r="A235" s="8">
        <v>45525</v>
      </c>
      <c r="B235" s="7">
        <f>日前电价!B235-实时电价!B235</f>
        <v>15.4692</v>
      </c>
      <c r="C235" s="7">
        <f>日前电价!C235-实时电价!C235</f>
        <v>11.9696</v>
      </c>
      <c r="D235" s="7">
        <f>日前电价!D235-实时电价!D235</f>
        <v>4.5677</v>
      </c>
      <c r="E235" s="7">
        <f>日前电价!E235-实时电价!E235</f>
        <v>13.8699999999999</v>
      </c>
      <c r="F235" s="7">
        <f>日前电价!F235-实时电价!F235</f>
        <v>26.53</v>
      </c>
      <c r="G235" s="7">
        <f>日前电价!G235-实时电价!G235</f>
        <v>50.385</v>
      </c>
      <c r="H235" s="7">
        <f>日前电价!H235-实时电价!H235</f>
        <v>7.60670000000002</v>
      </c>
      <c r="I235" s="7">
        <f>日前电价!I235-实时电价!I235</f>
        <v>-20.2675</v>
      </c>
      <c r="J235" s="7">
        <f>日前电价!J235-实时电价!J235</f>
        <v>-14.5309</v>
      </c>
      <c r="K235" s="7">
        <f>日前电价!K235-实时电价!K235</f>
        <v>-6.65799999999996</v>
      </c>
      <c r="L235" s="7">
        <f>日前电价!L235-实时电价!L235</f>
        <v>-3.35849999999999</v>
      </c>
      <c r="M235" s="7">
        <f>日前电价!M235-实时电价!M235</f>
        <v>55.3813</v>
      </c>
      <c r="N235" s="7">
        <f>日前电价!N235-实时电价!N235</f>
        <v>95.4983</v>
      </c>
      <c r="O235" s="7">
        <f>日前电价!O235-实时电价!O235</f>
        <v>62.7003</v>
      </c>
      <c r="P235" s="7">
        <f>日前电价!P235-实时电价!P235</f>
        <v>42.6014</v>
      </c>
      <c r="Q235" s="7">
        <f>日前电价!Q235-实时电价!Q235</f>
        <v>55.6284</v>
      </c>
      <c r="R235" s="7">
        <f>日前电价!R235-实时电价!R235</f>
        <v>36.926</v>
      </c>
      <c r="S235" s="7">
        <f>日前电价!S235-实时电价!S235</f>
        <v>32.6691</v>
      </c>
      <c r="T235" s="7">
        <f>日前电价!T235-实时电价!T235</f>
        <v>25.8875</v>
      </c>
      <c r="U235" s="7">
        <f>日前电价!U235-实时电价!U235</f>
        <v>39.8197</v>
      </c>
      <c r="V235" s="7">
        <f>日前电价!V235-实时电价!V235</f>
        <v>56.0744</v>
      </c>
      <c r="W235" s="7">
        <f>日前电价!W235-实时电价!W235</f>
        <v>64.2938</v>
      </c>
      <c r="X235" s="7">
        <f>日前电价!X235-实时电价!X235</f>
        <v>55.8486</v>
      </c>
      <c r="Y235" s="7">
        <f>日前电价!Y235-实时电价!Y235</f>
        <v>64.6005</v>
      </c>
      <c r="Z235" s="9">
        <f t="shared" si="9"/>
        <v>95.4983</v>
      </c>
      <c r="AA235" s="9">
        <f t="shared" si="10"/>
        <v>-20.2675</v>
      </c>
      <c r="AB235" s="9">
        <f t="shared" si="11"/>
        <v>32.2296916666667</v>
      </c>
    </row>
    <row r="236" spans="1:28">
      <c r="A236" s="8">
        <v>45526</v>
      </c>
      <c r="B236" s="7">
        <f>日前电价!B236-实时电价!B236</f>
        <v>-56.9521</v>
      </c>
      <c r="C236" s="7">
        <f>日前电价!C236-实时电价!C236</f>
        <v>1.3732</v>
      </c>
      <c r="D236" s="7">
        <f>日前电价!D236-实时电价!D236</f>
        <v>-25.9924</v>
      </c>
      <c r="E236" s="7">
        <f>日前电价!E236-实时电价!E236</f>
        <v>137.1642</v>
      </c>
      <c r="F236" s="7">
        <f>日前电价!F236-实时电价!F236</f>
        <v>99.88</v>
      </c>
      <c r="G236" s="7">
        <f>日前电价!G236-实时电价!G236</f>
        <v>69.96</v>
      </c>
      <c r="H236" s="7">
        <f>日前电价!H236-实时电价!H236</f>
        <v>8.11580000000001</v>
      </c>
      <c r="I236" s="7">
        <f>日前电价!I236-实时电价!I236</f>
        <v>-106.3115</v>
      </c>
      <c r="J236" s="7">
        <f>日前电价!J236-实时电价!J236</f>
        <v>8.20350000000002</v>
      </c>
      <c r="K236" s="7">
        <f>日前电价!K236-实时电价!K236</f>
        <v>38.3198</v>
      </c>
      <c r="L236" s="7">
        <f>日前电价!L236-实时电价!L236</f>
        <v>177.9027</v>
      </c>
      <c r="M236" s="7">
        <f>日前电价!M236-实时电价!M236</f>
        <v>103.6053</v>
      </c>
      <c r="N236" s="7">
        <f>日前电价!N236-实时电价!N236</f>
        <v>114.8973</v>
      </c>
      <c r="O236" s="7">
        <f>日前电价!O236-实时电价!O236</f>
        <v>48.4003</v>
      </c>
      <c r="P236" s="7">
        <f>日前电价!P236-实时电价!P236</f>
        <v>42.5852</v>
      </c>
      <c r="Q236" s="7">
        <f>日前电价!Q236-实时电价!Q236</f>
        <v>40.8205</v>
      </c>
      <c r="R236" s="7">
        <f>日前电价!R236-实时电价!R236</f>
        <v>58.0098</v>
      </c>
      <c r="S236" s="7">
        <f>日前电价!S236-实时电价!S236</f>
        <v>22.414</v>
      </c>
      <c r="T236" s="7">
        <f>日前电价!T236-实时电价!T236</f>
        <v>17.0107</v>
      </c>
      <c r="U236" s="7">
        <f>日前电价!U236-实时电价!U236</f>
        <v>30.618</v>
      </c>
      <c r="V236" s="7">
        <f>日前电价!V236-实时电价!V236</f>
        <v>56.3909</v>
      </c>
      <c r="W236" s="7">
        <f>日前电价!W236-实时电价!W236</f>
        <v>27.5345</v>
      </c>
      <c r="X236" s="7">
        <f>日前电价!X236-实时电价!X236</f>
        <v>-55.4079</v>
      </c>
      <c r="Y236" s="7">
        <f>日前电价!Y236-实时电价!Y236</f>
        <v>40.2363</v>
      </c>
      <c r="Z236" s="9">
        <f t="shared" si="9"/>
        <v>177.9027</v>
      </c>
      <c r="AA236" s="9">
        <f t="shared" si="10"/>
        <v>-106.3115</v>
      </c>
      <c r="AB236" s="9">
        <f t="shared" si="11"/>
        <v>37.4490875</v>
      </c>
    </row>
    <row r="237" spans="1:28">
      <c r="A237" s="8">
        <v>45527</v>
      </c>
      <c r="B237" s="7">
        <f>日前电价!B237-实时电价!B237</f>
        <v>51.774</v>
      </c>
      <c r="C237" s="7">
        <f>日前电价!C237-实时电价!C237</f>
        <v>66.4084</v>
      </c>
      <c r="D237" s="7">
        <f>日前电价!D237-实时电价!D237</f>
        <v>-163.3983</v>
      </c>
      <c r="E237" s="7">
        <f>日前电价!E237-实时电价!E237</f>
        <v>194.3069</v>
      </c>
      <c r="F237" s="7">
        <f>日前电价!F237-实时电价!F237</f>
        <v>171.8295</v>
      </c>
      <c r="G237" s="7">
        <f>日前电价!G237-实时电价!G237</f>
        <v>163.3739</v>
      </c>
      <c r="H237" s="7">
        <f>日前电价!H237-实时电价!H237</f>
        <v>50.5508</v>
      </c>
      <c r="I237" s="7">
        <f>日前电价!I237-实时电价!I237</f>
        <v>115.9232</v>
      </c>
      <c r="J237" s="7">
        <f>日前电价!J237-实时电价!J237</f>
        <v>16.4549</v>
      </c>
      <c r="K237" s="7">
        <f>日前电价!K237-实时电价!K237</f>
        <v>68.0259</v>
      </c>
      <c r="L237" s="7">
        <f>日前电价!L237-实时电价!L237</f>
        <v>96.5452</v>
      </c>
      <c r="M237" s="7">
        <f>日前电价!M237-实时电价!M237</f>
        <v>72.7112</v>
      </c>
      <c r="N237" s="7">
        <f>日前电价!N237-实时电价!N237</f>
        <v>114.4105</v>
      </c>
      <c r="O237" s="7">
        <f>日前电价!O237-实时电价!O237</f>
        <v>-19.5058</v>
      </c>
      <c r="P237" s="7">
        <f>日前电价!P237-实时电价!P237</f>
        <v>56.2636</v>
      </c>
      <c r="Q237" s="7">
        <f>日前电价!Q237-实时电价!Q237</f>
        <v>4.10579999999999</v>
      </c>
      <c r="R237" s="7">
        <f>日前电价!R237-实时电价!R237</f>
        <v>18.6099</v>
      </c>
      <c r="S237" s="7">
        <f>日前电价!S237-实时电价!S237</f>
        <v>-19.0884</v>
      </c>
      <c r="T237" s="7">
        <f>日前电价!T237-实时电价!T237</f>
        <v>-8.01909999999998</v>
      </c>
      <c r="U237" s="7">
        <f>日前电价!U237-实时电价!U237</f>
        <v>131.7909</v>
      </c>
      <c r="V237" s="7">
        <f>日前电价!V237-实时电价!V237</f>
        <v>14.5331</v>
      </c>
      <c r="W237" s="7">
        <f>日前电价!W237-实时电价!W237</f>
        <v>105.409</v>
      </c>
      <c r="X237" s="7">
        <f>日前电价!X237-实时电价!X237</f>
        <v>86.4157</v>
      </c>
      <c r="Y237" s="7">
        <f>日前电价!Y237-实时电价!Y237</f>
        <v>67.3645</v>
      </c>
      <c r="Z237" s="9">
        <f t="shared" si="9"/>
        <v>194.3069</v>
      </c>
      <c r="AA237" s="9">
        <f t="shared" si="10"/>
        <v>-163.3983</v>
      </c>
      <c r="AB237" s="9">
        <f t="shared" si="11"/>
        <v>60.6998041666667</v>
      </c>
    </row>
    <row r="238" spans="1:28">
      <c r="A238" s="8">
        <v>45528</v>
      </c>
      <c r="B238" s="7">
        <f>日前电价!B238-实时电价!B238</f>
        <v>-88.9955</v>
      </c>
      <c r="C238" s="7">
        <f>日前电价!C238-实时电价!C238</f>
        <v>16.0852</v>
      </c>
      <c r="D238" s="7">
        <f>日前电价!D238-实时电价!D238</f>
        <v>14.3305</v>
      </c>
      <c r="E238" s="7">
        <f>日前电价!E238-实时电价!E238</f>
        <v>7.64829999999995</v>
      </c>
      <c r="F238" s="7">
        <f>日前电价!F238-实时电价!F238</f>
        <v>43.0567</v>
      </c>
      <c r="G238" s="7">
        <f>日前电价!G238-实时电价!G238</f>
        <v>18.1215</v>
      </c>
      <c r="H238" s="7">
        <f>日前电价!H238-实时电价!H238</f>
        <v>2.17260000000005</v>
      </c>
      <c r="I238" s="7">
        <f>日前电价!I238-实时电价!I238</f>
        <v>3.47750000000002</v>
      </c>
      <c r="J238" s="7">
        <f>日前电价!J238-实时电价!J238</f>
        <v>23.0223</v>
      </c>
      <c r="K238" s="7">
        <f>日前电价!K238-实时电价!K238</f>
        <v>12.1188</v>
      </c>
      <c r="L238" s="7">
        <f>日前电价!L238-实时电价!L238</f>
        <v>-0.41070000000002</v>
      </c>
      <c r="M238" s="7">
        <f>日前电价!M238-实时电价!M238</f>
        <v>107.9861</v>
      </c>
      <c r="N238" s="7">
        <f>日前电价!N238-实时电价!N238</f>
        <v>200.0795</v>
      </c>
      <c r="O238" s="7">
        <f>日前电价!O238-实时电价!O238</f>
        <v>157.5848</v>
      </c>
      <c r="P238" s="7">
        <f>日前电价!P238-实时电价!P238</f>
        <v>62.5248</v>
      </c>
      <c r="Q238" s="7">
        <f>日前电价!Q238-实时电价!Q238</f>
        <v>-148.9186</v>
      </c>
      <c r="R238" s="7">
        <f>日前电价!R238-实时电价!R238</f>
        <v>44.9526</v>
      </c>
      <c r="S238" s="7">
        <f>日前电价!S238-实时电价!S238</f>
        <v>138.7129</v>
      </c>
      <c r="T238" s="7">
        <f>日前电价!T238-实时电价!T238</f>
        <v>10.3641</v>
      </c>
      <c r="U238" s="7">
        <f>日前电价!U238-实时电价!U238</f>
        <v>474.8251</v>
      </c>
      <c r="V238" s="7">
        <f>日前电价!V238-实时电价!V238</f>
        <v>131.0971</v>
      </c>
      <c r="W238" s="7">
        <f>日前电价!W238-实时电价!W238</f>
        <v>42.3465</v>
      </c>
      <c r="X238" s="7">
        <f>日前电价!X238-实时电价!X238</f>
        <v>33.3627</v>
      </c>
      <c r="Y238" s="7">
        <f>日前电价!Y238-实时电价!Y238</f>
        <v>-36.9229999999999</v>
      </c>
      <c r="Z238" s="9">
        <f t="shared" si="9"/>
        <v>474.8251</v>
      </c>
      <c r="AA238" s="9">
        <f t="shared" si="10"/>
        <v>-148.9186</v>
      </c>
      <c r="AB238" s="9">
        <f t="shared" si="11"/>
        <v>52.8592416666667</v>
      </c>
    </row>
    <row r="239" spans="1:28">
      <c r="A239" s="8">
        <v>45529</v>
      </c>
      <c r="B239" s="7">
        <f>日前电价!B239-实时电价!B239</f>
        <v>-88.2535</v>
      </c>
      <c r="C239" s="7">
        <f>日前电价!C239-实时电价!C239</f>
        <v>-10.7329</v>
      </c>
      <c r="D239" s="7">
        <f>日前电价!D239-实时电价!D239</f>
        <v>47.6762</v>
      </c>
      <c r="E239" s="7">
        <f>日前电价!E239-实时电价!E239</f>
        <v>41.8746</v>
      </c>
      <c r="F239" s="7">
        <f>日前电价!F239-实时电价!F239</f>
        <v>-57.914</v>
      </c>
      <c r="G239" s="7">
        <f>日前电价!G239-实时电价!G239</f>
        <v>-36.996</v>
      </c>
      <c r="H239" s="7">
        <f>日前电价!H239-实时电价!H239</f>
        <v>-45.9247</v>
      </c>
      <c r="I239" s="7">
        <f>日前电价!I239-实时电价!I239</f>
        <v>-50.5484</v>
      </c>
      <c r="J239" s="7">
        <f>日前电价!J239-实时电价!J239</f>
        <v>42.7698</v>
      </c>
      <c r="K239" s="7">
        <f>日前电价!K239-实时电价!K239</f>
        <v>162.2589</v>
      </c>
      <c r="L239" s="7">
        <f>日前电价!L239-实时电价!L239</f>
        <v>178.2073</v>
      </c>
      <c r="M239" s="7">
        <f>日前电价!M239-实时电价!M239</f>
        <v>124.4488</v>
      </c>
      <c r="N239" s="7">
        <f>日前电价!N239-实时电价!N239</f>
        <v>132.3209</v>
      </c>
      <c r="O239" s="7">
        <f>日前电价!O239-实时电价!O239</f>
        <v>92.3951</v>
      </c>
      <c r="P239" s="7">
        <f>日前电价!P239-实时电价!P239</f>
        <v>67.2625</v>
      </c>
      <c r="Q239" s="7">
        <f>日前电价!Q239-实时电价!Q239</f>
        <v>-37.7396</v>
      </c>
      <c r="R239" s="7">
        <f>日前电价!R239-实时电价!R239</f>
        <v>-24.5671</v>
      </c>
      <c r="S239" s="7">
        <f>日前电价!S239-实时电价!S239</f>
        <v>-16.3509</v>
      </c>
      <c r="T239" s="7">
        <f>日前电价!T239-实时电价!T239</f>
        <v>31.7832</v>
      </c>
      <c r="U239" s="7">
        <f>日前电价!U239-实时电价!U239</f>
        <v>20.4199</v>
      </c>
      <c r="V239" s="7">
        <f>日前电价!V239-实时电价!V239</f>
        <v>-20.2915</v>
      </c>
      <c r="W239" s="7">
        <f>日前电价!W239-实时电价!W239</f>
        <v>44.7962</v>
      </c>
      <c r="X239" s="7">
        <f>日前电价!X239-实时电价!X239</f>
        <v>47.3055</v>
      </c>
      <c r="Y239" s="7">
        <f>日前电价!Y239-实时电价!Y239</f>
        <v>36.3163</v>
      </c>
      <c r="Z239" s="9">
        <f t="shared" si="9"/>
        <v>178.2073</v>
      </c>
      <c r="AA239" s="9">
        <f t="shared" si="10"/>
        <v>-88.2535</v>
      </c>
      <c r="AB239" s="9">
        <f t="shared" si="11"/>
        <v>28.3548583333333</v>
      </c>
    </row>
    <row r="240" spans="1:28">
      <c r="A240" s="8">
        <v>45530</v>
      </c>
      <c r="B240" s="7">
        <f>日前电价!B240-实时电价!B240</f>
        <v>-38.9193</v>
      </c>
      <c r="C240" s="7">
        <f>日前电价!C240-实时电价!C240</f>
        <v>31.0631</v>
      </c>
      <c r="D240" s="7">
        <f>日前电价!D240-实时电价!D240</f>
        <v>143.2321</v>
      </c>
      <c r="E240" s="7">
        <f>日前电价!E240-实时电价!E240</f>
        <v>209.356</v>
      </c>
      <c r="F240" s="7">
        <f>日前电价!F240-实时电价!F240</f>
        <v>200.3635</v>
      </c>
      <c r="G240" s="7">
        <f>日前电价!G240-实时电价!G240</f>
        <v>196.679</v>
      </c>
      <c r="H240" s="7">
        <f>日前电价!H240-实时电价!H240</f>
        <v>200.4635</v>
      </c>
      <c r="I240" s="7">
        <f>日前电价!I240-实时电价!I240</f>
        <v>111.0571</v>
      </c>
      <c r="J240" s="7">
        <f>日前电价!J240-实时电价!J240</f>
        <v>-14.6029</v>
      </c>
      <c r="K240" s="7">
        <f>日前电价!K240-实时电价!K240</f>
        <v>8.21889999999996</v>
      </c>
      <c r="L240" s="7">
        <f>日前电价!L240-实时电价!L240</f>
        <v>36.1215</v>
      </c>
      <c r="M240" s="7">
        <f>日前电价!M240-实时电价!M240</f>
        <v>65.7558</v>
      </c>
      <c r="N240" s="7">
        <f>日前电价!N240-实时电价!N240</f>
        <v>-51.5758</v>
      </c>
      <c r="O240" s="7">
        <f>日前电价!O240-实时电价!O240</f>
        <v>42.8189</v>
      </c>
      <c r="P240" s="7">
        <f>日前电价!P240-实时电价!P240</f>
        <v>-108.6887</v>
      </c>
      <c r="Q240" s="7">
        <f>日前电价!Q240-实时电价!Q240</f>
        <v>-68.0104</v>
      </c>
      <c r="R240" s="7">
        <f>日前电价!R240-实时电价!R240</f>
        <v>35.688</v>
      </c>
      <c r="S240" s="7">
        <f>日前电价!S240-实时电价!S240</f>
        <v>102.985</v>
      </c>
      <c r="T240" s="7">
        <f>日前电价!T240-实时电价!T240</f>
        <v>-48.5549</v>
      </c>
      <c r="U240" s="7">
        <f>日前电价!U240-实时电价!U240</f>
        <v>64.3622</v>
      </c>
      <c r="V240" s="7">
        <f>日前电价!V240-实时电价!V240</f>
        <v>61.2652</v>
      </c>
      <c r="W240" s="7">
        <f>日前电价!W240-实时电价!W240</f>
        <v>-8.11180000000002</v>
      </c>
      <c r="X240" s="7">
        <f>日前电价!X240-实时电价!X240</f>
        <v>-14.6286</v>
      </c>
      <c r="Y240" s="7">
        <f>日前电价!Y240-实时电价!Y240</f>
        <v>2.07800000000003</v>
      </c>
      <c r="Z240" s="9">
        <f t="shared" si="9"/>
        <v>209.356</v>
      </c>
      <c r="AA240" s="9">
        <f t="shared" si="10"/>
        <v>-108.6887</v>
      </c>
      <c r="AB240" s="9">
        <f t="shared" si="11"/>
        <v>48.2673083333333</v>
      </c>
    </row>
    <row r="241" spans="1:28">
      <c r="A241" s="8">
        <v>45531</v>
      </c>
      <c r="B241" s="7">
        <f>日前电价!B241-实时电价!B241</f>
        <v>-111.0868</v>
      </c>
      <c r="C241" s="7">
        <f>日前电价!C241-实时电价!C241</f>
        <v>-54.2002</v>
      </c>
      <c r="D241" s="7">
        <f>日前电价!D241-实时电价!D241</f>
        <v>-22.2905</v>
      </c>
      <c r="E241" s="7">
        <f>日前电价!E241-实时电价!E241</f>
        <v>-6.15800000000002</v>
      </c>
      <c r="F241" s="7">
        <f>日前电价!F241-实时电价!F241</f>
        <v>-3.9785</v>
      </c>
      <c r="G241" s="7">
        <f>日前电价!G241-实时电价!G241</f>
        <v>-8.18470000000002</v>
      </c>
      <c r="H241" s="7">
        <f>日前电价!H241-实时电价!H241</f>
        <v>-10.0269</v>
      </c>
      <c r="I241" s="7">
        <f>日前电价!I241-实时电价!I241</f>
        <v>-13.4562</v>
      </c>
      <c r="J241" s="7">
        <f>日前电价!J241-实时电价!J241</f>
        <v>-15.4084</v>
      </c>
      <c r="K241" s="7">
        <f>日前电价!K241-实时电价!K241</f>
        <v>-12.8815</v>
      </c>
      <c r="L241" s="7">
        <f>日前电价!L241-实时电价!L241</f>
        <v>-2.48140000000001</v>
      </c>
      <c r="M241" s="7">
        <f>日前电价!M241-实时电价!M241</f>
        <v>78.8174</v>
      </c>
      <c r="N241" s="7">
        <f>日前电价!N241-实时电价!N241</f>
        <v>35.9</v>
      </c>
      <c r="O241" s="7">
        <f>日前电价!O241-实时电价!O241</f>
        <v>13.4653</v>
      </c>
      <c r="P241" s="7">
        <f>日前电价!P241-实时电价!P241</f>
        <v>-54.9344</v>
      </c>
      <c r="Q241" s="7">
        <f>日前电价!Q241-实时电价!Q241</f>
        <v>-327.0387</v>
      </c>
      <c r="R241" s="7">
        <f>日前电价!R241-实时电价!R241</f>
        <v>-461.1335</v>
      </c>
      <c r="S241" s="7">
        <f>日前电价!S241-实时电价!S241</f>
        <v>-140.6713</v>
      </c>
      <c r="T241" s="7">
        <f>日前电价!T241-实时电价!T241</f>
        <v>-79.4907</v>
      </c>
      <c r="U241" s="7">
        <f>日前电价!U241-实时电价!U241</f>
        <v>-416.2109</v>
      </c>
      <c r="V241" s="7">
        <f>日前电价!V241-实时电价!V241</f>
        <v>-274.5907</v>
      </c>
      <c r="W241" s="7">
        <f>日前电价!W241-实时电价!W241</f>
        <v>-337.45</v>
      </c>
      <c r="X241" s="7">
        <f>日前电价!X241-实时电价!X241</f>
        <v>-290.5389</v>
      </c>
      <c r="Y241" s="7">
        <f>日前电价!Y241-实时电价!Y241</f>
        <v>-91.5862</v>
      </c>
      <c r="Z241" s="9">
        <f t="shared" si="9"/>
        <v>78.8174</v>
      </c>
      <c r="AA241" s="9">
        <f t="shared" si="10"/>
        <v>-461.1335</v>
      </c>
      <c r="AB241" s="9">
        <f t="shared" si="11"/>
        <v>-108.567320833333</v>
      </c>
    </row>
    <row r="242" spans="1:28">
      <c r="A242" s="8">
        <v>45532</v>
      </c>
      <c r="B242" s="7">
        <f>日前电价!B242-实时电价!B242</f>
        <v>-75.741</v>
      </c>
      <c r="C242" s="7">
        <f>日前电价!C242-实时电价!C242</f>
        <v>-38.5796</v>
      </c>
      <c r="D242" s="7">
        <f>日前电价!D242-实时电价!D242</f>
        <v>-40.6334</v>
      </c>
      <c r="E242" s="7">
        <f>日前电价!E242-实时电价!E242</f>
        <v>-36.3568</v>
      </c>
      <c r="F242" s="7">
        <f>日前电价!F242-实时电价!F242</f>
        <v>-35.691</v>
      </c>
      <c r="G242" s="7">
        <f>日前电价!G242-实时电价!G242</f>
        <v>-34.8779</v>
      </c>
      <c r="H242" s="7">
        <f>日前电价!H242-实时电价!H242</f>
        <v>-38.5249</v>
      </c>
      <c r="I242" s="7">
        <f>日前电价!I242-实时电价!I242</f>
        <v>-32.2743</v>
      </c>
      <c r="J242" s="7">
        <f>日前电价!J242-实时电价!J242</f>
        <v>-12.9564</v>
      </c>
      <c r="K242" s="7">
        <f>日前电价!K242-实时电价!K242</f>
        <v>-88.8552</v>
      </c>
      <c r="L242" s="7">
        <f>日前电价!L242-实时电价!L242</f>
        <v>-21.4566</v>
      </c>
      <c r="M242" s="7">
        <f>日前电价!M242-实时电价!M242</f>
        <v>-41.2739</v>
      </c>
      <c r="N242" s="7">
        <f>日前电价!N242-实时电价!N242</f>
        <v>-48.6517</v>
      </c>
      <c r="O242" s="7">
        <f>日前电价!O242-实时电价!O242</f>
        <v>-192.4654</v>
      </c>
      <c r="P242" s="7">
        <f>日前电价!P242-实时电价!P242</f>
        <v>-442.0335</v>
      </c>
      <c r="Q242" s="7">
        <f>日前电价!Q242-实时电价!Q242</f>
        <v>-529.7058</v>
      </c>
      <c r="R242" s="7">
        <f>日前电价!R242-实时电价!R242</f>
        <v>-326.1524</v>
      </c>
      <c r="S242" s="7">
        <f>日前电价!S242-实时电价!S242</f>
        <v>-50.0594</v>
      </c>
      <c r="T242" s="7">
        <f>日前电价!T242-实时电价!T242</f>
        <v>-11.1988</v>
      </c>
      <c r="U242" s="7">
        <f>日前电价!U242-实时电价!U242</f>
        <v>52.0626</v>
      </c>
      <c r="V242" s="7">
        <f>日前电价!V242-实时电价!V242</f>
        <v>16.5435</v>
      </c>
      <c r="W242" s="7">
        <f>日前电价!W242-实时电价!W242</f>
        <v>66.4608</v>
      </c>
      <c r="X242" s="7">
        <f>日前电价!X242-实时电价!X242</f>
        <v>-16.5324</v>
      </c>
      <c r="Y242" s="7">
        <f>日前电价!Y242-实时电价!Y242</f>
        <v>22.685</v>
      </c>
      <c r="Z242" s="9">
        <f t="shared" si="9"/>
        <v>66.4608</v>
      </c>
      <c r="AA242" s="9">
        <f t="shared" si="10"/>
        <v>-529.7058</v>
      </c>
      <c r="AB242" s="9">
        <f t="shared" si="11"/>
        <v>-81.5111875</v>
      </c>
    </row>
    <row r="243" spans="1:28">
      <c r="A243" s="8">
        <v>45533</v>
      </c>
      <c r="B243" s="7">
        <f>日前电价!B243-实时电价!B243</f>
        <v>50.1727</v>
      </c>
      <c r="C243" s="7">
        <f>日前电价!C243-实时电价!C243</f>
        <v>32.9806</v>
      </c>
      <c r="D243" s="7">
        <f>日前电价!D243-实时电价!D243</f>
        <v>16.1742</v>
      </c>
      <c r="E243" s="7">
        <f>日前电价!E243-实时电价!E243</f>
        <v>20.4414</v>
      </c>
      <c r="F243" s="7">
        <f>日前电价!F243-实时电价!F243</f>
        <v>26.3746</v>
      </c>
      <c r="G243" s="7">
        <f>日前电价!G243-实时电价!G243</f>
        <v>-37.4302</v>
      </c>
      <c r="H243" s="7">
        <f>日前电价!H243-实时电价!H243</f>
        <v>18.9259</v>
      </c>
      <c r="I243" s="7">
        <f>日前电价!I243-实时电价!I243</f>
        <v>9.77370000000002</v>
      </c>
      <c r="J243" s="7">
        <f>日前电价!J243-实时电价!J243</f>
        <v>14.8701</v>
      </c>
      <c r="K243" s="7">
        <f>日前电价!K243-实时电价!K243</f>
        <v>31.5633</v>
      </c>
      <c r="L243" s="7">
        <f>日前电价!L243-实时电价!L243</f>
        <v>22.9343</v>
      </c>
      <c r="M243" s="7">
        <f>日前电价!M243-实时电价!M243</f>
        <v>29.665</v>
      </c>
      <c r="N243" s="7">
        <f>日前电价!N243-实时电价!N243</f>
        <v>27.5285</v>
      </c>
      <c r="O243" s="7">
        <f>日前电价!O243-实时电价!O243</f>
        <v>32.4043</v>
      </c>
      <c r="P243" s="7">
        <f>日前电价!P243-实时电价!P243</f>
        <v>27.0026</v>
      </c>
      <c r="Q243" s="7">
        <f>日前电价!Q243-实时电价!Q243</f>
        <v>15.4816</v>
      </c>
      <c r="R243" s="7">
        <f>日前电价!R243-实时电价!R243</f>
        <v>23.3279</v>
      </c>
      <c r="S243" s="7">
        <f>日前电价!S243-实时电价!S243</f>
        <v>48.5071</v>
      </c>
      <c r="T243" s="7">
        <f>日前电价!T243-实时电价!T243</f>
        <v>59.5047</v>
      </c>
      <c r="U243" s="7">
        <f>日前电价!U243-实时电价!U243</f>
        <v>143.5024</v>
      </c>
      <c r="V243" s="7">
        <f>日前电价!V243-实时电价!V243</f>
        <v>130.2539</v>
      </c>
      <c r="W243" s="7">
        <f>日前电价!W243-实时电价!W243</f>
        <v>112.7354</v>
      </c>
      <c r="X243" s="7">
        <f>日前电价!X243-实时电价!X243</f>
        <v>74.5583</v>
      </c>
      <c r="Y243" s="7">
        <f>日前电价!Y243-实时电价!Y243</f>
        <v>68.2407</v>
      </c>
      <c r="Z243" s="9">
        <f t="shared" si="9"/>
        <v>143.5024</v>
      </c>
      <c r="AA243" s="9">
        <f t="shared" si="10"/>
        <v>-37.4302</v>
      </c>
      <c r="AB243" s="9">
        <f t="shared" si="11"/>
        <v>41.6455416666667</v>
      </c>
    </row>
    <row r="244" spans="1:28">
      <c r="A244" s="8">
        <v>45534</v>
      </c>
      <c r="B244" s="7">
        <f>日前电价!B244-实时电价!B244</f>
        <v>13.2505</v>
      </c>
      <c r="C244" s="7">
        <f>日前电价!C244-实时电价!C244</f>
        <v>13.7785</v>
      </c>
      <c r="D244" s="7">
        <f>日前电价!D244-实时电价!D244</f>
        <v>6.85739999999998</v>
      </c>
      <c r="E244" s="7">
        <f>日前电价!E244-实时电价!E244</f>
        <v>-4.464</v>
      </c>
      <c r="F244" s="7">
        <f>日前电价!F244-实时电价!F244</f>
        <v>4.48749999999995</v>
      </c>
      <c r="G244" s="7">
        <f>日前电价!G244-实时电价!G244</f>
        <v>1.8236</v>
      </c>
      <c r="H244" s="7">
        <f>日前电价!H244-实时电价!H244</f>
        <v>-0.184799999999996</v>
      </c>
      <c r="I244" s="7">
        <f>日前电价!I244-实时电价!I244</f>
        <v>-8.85669999999999</v>
      </c>
      <c r="J244" s="7">
        <f>日前电价!J244-实时电价!J244</f>
        <v>-11.1225</v>
      </c>
      <c r="K244" s="7">
        <f>日前电价!K244-实时电价!K244</f>
        <v>-48.2047</v>
      </c>
      <c r="L244" s="7">
        <f>日前电价!L244-实时电价!L244</f>
        <v>-5.55329999999998</v>
      </c>
      <c r="M244" s="7">
        <f>日前电价!M244-实时电价!M244</f>
        <v>5.08659999999998</v>
      </c>
      <c r="N244" s="7">
        <f>日前电价!N244-实时电价!N244</f>
        <v>8.03989999999999</v>
      </c>
      <c r="O244" s="7">
        <f>日前电价!O244-实时电价!O244</f>
        <v>-8.26009999999997</v>
      </c>
      <c r="P244" s="7">
        <f>日前电价!P244-实时电价!P244</f>
        <v>18.1413</v>
      </c>
      <c r="Q244" s="7">
        <f>日前电价!Q244-实时电价!Q244</f>
        <v>35.8527</v>
      </c>
      <c r="R244" s="7">
        <f>日前电价!R244-实时电价!R244</f>
        <v>18.9761</v>
      </c>
      <c r="S244" s="7">
        <f>日前电价!S244-实时电价!S244</f>
        <v>43.7671</v>
      </c>
      <c r="T244" s="7">
        <f>日前电价!T244-实时电价!T244</f>
        <v>4.61849999999998</v>
      </c>
      <c r="U244" s="7">
        <f>日前电价!U244-实时电价!U244</f>
        <v>61.0399</v>
      </c>
      <c r="V244" s="7">
        <f>日前电价!V244-实时电价!V244</f>
        <v>64.1528</v>
      </c>
      <c r="W244" s="7">
        <f>日前电价!W244-实时电价!W244</f>
        <v>29.5319</v>
      </c>
      <c r="X244" s="7">
        <f>日前电价!X244-实时电价!X244</f>
        <v>-110.2252</v>
      </c>
      <c r="Y244" s="7">
        <f>日前电价!Y244-实时电价!Y244</f>
        <v>3.25919999999996</v>
      </c>
      <c r="Z244" s="9">
        <f t="shared" si="9"/>
        <v>64.1528</v>
      </c>
      <c r="AA244" s="9">
        <f t="shared" si="10"/>
        <v>-110.2252</v>
      </c>
      <c r="AB244" s="9">
        <f t="shared" si="11"/>
        <v>5.65800833333333</v>
      </c>
    </row>
    <row r="245" spans="1:28">
      <c r="A245" s="8">
        <v>45535</v>
      </c>
      <c r="B245" s="7">
        <f>日前电价!B245-实时电价!B245</f>
        <v>30.9503</v>
      </c>
      <c r="C245" s="7">
        <f>日前电价!C245-实时电价!C245</f>
        <v>-25.6698</v>
      </c>
      <c r="D245" s="7">
        <f>日前电价!D245-实时电价!D245</f>
        <v>-13.8069</v>
      </c>
      <c r="E245" s="7">
        <f>日前电价!E245-实时电价!E245</f>
        <v>-6.54549999999995</v>
      </c>
      <c r="F245" s="7">
        <f>日前电价!F245-实时电价!F245</f>
        <v>-8.74880000000002</v>
      </c>
      <c r="G245" s="7">
        <f>日前电价!G245-实时电价!G245</f>
        <v>-61.0544</v>
      </c>
      <c r="H245" s="7">
        <f>日前电价!H245-实时电价!H245</f>
        <v>-11.5979</v>
      </c>
      <c r="I245" s="7">
        <f>日前电价!I245-实时电价!I245</f>
        <v>-65.7155</v>
      </c>
      <c r="J245" s="7">
        <f>日前电价!J245-实时电价!J245</f>
        <v>1.01760000000002</v>
      </c>
      <c r="K245" s="7">
        <f>日前电价!K245-实时电价!K245</f>
        <v>23.3915</v>
      </c>
      <c r="L245" s="7">
        <f>日前电价!L245-实时电价!L245</f>
        <v>28.664</v>
      </c>
      <c r="M245" s="7">
        <f>日前电价!M245-实时电价!M245</f>
        <v>35.8868</v>
      </c>
      <c r="N245" s="7">
        <f>日前电价!N245-实时电价!N245</f>
        <v>25.5325</v>
      </c>
      <c r="O245" s="7">
        <f>日前电价!O245-实时电价!O245</f>
        <v>35.7371</v>
      </c>
      <c r="P245" s="7">
        <f>日前电价!P245-实时电价!P245</f>
        <v>52.4786</v>
      </c>
      <c r="Q245" s="7">
        <f>日前电价!Q245-实时电价!Q245</f>
        <v>53.8927</v>
      </c>
      <c r="R245" s="7">
        <f>日前电价!R245-实时电价!R245</f>
        <v>46.721</v>
      </c>
      <c r="S245" s="7">
        <f>日前电价!S245-实时电价!S245</f>
        <v>58.0821</v>
      </c>
      <c r="T245" s="7">
        <f>日前电价!T245-实时电价!T245</f>
        <v>38.8094</v>
      </c>
      <c r="U245" s="7">
        <f>日前电价!U245-实时电价!U245</f>
        <v>57.1812</v>
      </c>
      <c r="V245" s="7">
        <f>日前电价!V245-实时电价!V245</f>
        <v>75.6503</v>
      </c>
      <c r="W245" s="7">
        <f>日前电价!W245-实时电价!W245</f>
        <v>44.9355</v>
      </c>
      <c r="X245" s="7">
        <f>日前电价!X245-实时电价!X245</f>
        <v>36.257</v>
      </c>
      <c r="Y245" s="7">
        <f>日前电价!Y245-实时电价!Y245</f>
        <v>38.6815</v>
      </c>
      <c r="Z245" s="9">
        <f t="shared" si="9"/>
        <v>75.6503</v>
      </c>
      <c r="AA245" s="9">
        <f t="shared" si="10"/>
        <v>-65.7155</v>
      </c>
      <c r="AB245" s="9">
        <f t="shared" si="11"/>
        <v>20.4470958333333</v>
      </c>
    </row>
    <row r="246" spans="1:28">
      <c r="A246" s="8">
        <v>45536</v>
      </c>
      <c r="B246" s="7">
        <f>日前电价!B246-实时电价!B246</f>
        <v>31.4257</v>
      </c>
      <c r="C246" s="7">
        <f>日前电价!C246-实时电价!C246</f>
        <v>48.9173</v>
      </c>
      <c r="D246" s="7">
        <f>日前电价!D246-实时电价!D246</f>
        <v>45.7733</v>
      </c>
      <c r="E246" s="7">
        <f>日前电价!E246-实时电价!E246</f>
        <v>38.1672</v>
      </c>
      <c r="F246" s="7">
        <f>日前电价!F246-实时电价!F246</f>
        <v>37.9743999999999</v>
      </c>
      <c r="G246" s="7">
        <f>日前电价!G246-实时电价!G246</f>
        <v>36.1753</v>
      </c>
      <c r="H246" s="7">
        <f>日前电价!H246-实时电价!H246</f>
        <v>32.464</v>
      </c>
      <c r="I246" s="7">
        <f>日前电价!I246-实时电价!I246</f>
        <v>17.6094</v>
      </c>
      <c r="J246" s="7">
        <f>日前电价!J246-实时电价!J246</f>
        <v>95.9699</v>
      </c>
      <c r="K246" s="7">
        <f>日前电价!K246-实时电价!K246</f>
        <v>243.5433</v>
      </c>
      <c r="L246" s="7">
        <f>日前电价!L246-实时电价!L246</f>
        <v>286.3979</v>
      </c>
      <c r="M246" s="7">
        <f>日前电价!M246-实时电价!M246</f>
        <v>239.651</v>
      </c>
      <c r="N246" s="7">
        <f>日前电价!N246-实时电价!N246</f>
        <v>79.373</v>
      </c>
      <c r="O246" s="7">
        <f>日前电价!O246-实时电价!O246</f>
        <v>23.8536</v>
      </c>
      <c r="P246" s="7">
        <f>日前电价!P246-实时电价!P246</f>
        <v>39.6546</v>
      </c>
      <c r="Q246" s="7">
        <f>日前电价!Q246-实时电价!Q246</f>
        <v>45.3932</v>
      </c>
      <c r="R246" s="7">
        <f>日前电价!R246-实时电价!R246</f>
        <v>44.8354</v>
      </c>
      <c r="S246" s="7">
        <f>日前电价!S246-实时电价!S246</f>
        <v>23.5815</v>
      </c>
      <c r="T246" s="7">
        <f>日前电价!T246-实时电价!T246</f>
        <v>13.5823</v>
      </c>
      <c r="U246" s="7">
        <f>日前电价!U246-实时电价!U246</f>
        <v>-23.7999</v>
      </c>
      <c r="V246" s="7">
        <f>日前电价!V246-实时电价!V246</f>
        <v>-27.6957</v>
      </c>
      <c r="W246" s="7">
        <f>日前电价!W246-实时电价!W246</f>
        <v>-94.0693</v>
      </c>
      <c r="X246" s="7">
        <f>日前电价!X246-实时电价!X246</f>
        <v>-62.1208</v>
      </c>
      <c r="Y246" s="7">
        <f>日前电价!Y246-实时电价!Y246</f>
        <v>4.48590000000002</v>
      </c>
      <c r="Z246" s="9">
        <f t="shared" si="9"/>
        <v>286.3979</v>
      </c>
      <c r="AA246" s="9">
        <f t="shared" si="10"/>
        <v>-94.0693</v>
      </c>
      <c r="AB246" s="9">
        <f t="shared" si="11"/>
        <v>50.8809375</v>
      </c>
    </row>
    <row r="247" spans="1:28">
      <c r="A247" s="8">
        <v>45537</v>
      </c>
      <c r="B247" s="7">
        <f>日前电价!B247-实时电价!B247</f>
        <v>-140.4141</v>
      </c>
      <c r="C247" s="7">
        <f>日前电价!C247-实时电价!C247</f>
        <v>-72.068</v>
      </c>
      <c r="D247" s="7">
        <f>日前电价!D247-实时电价!D247</f>
        <v>-47.1041</v>
      </c>
      <c r="E247" s="7">
        <f>日前电价!E247-实时电价!E247</f>
        <v>-51.5969</v>
      </c>
      <c r="F247" s="7">
        <f>日前电价!F247-实时电价!F247</f>
        <v>-46.089</v>
      </c>
      <c r="G247" s="7">
        <f>日前电价!G247-实时电价!G247</f>
        <v>-37.9296000000001</v>
      </c>
      <c r="H247" s="7">
        <f>日前电价!H247-实时电价!H247</f>
        <v>-48.6944</v>
      </c>
      <c r="I247" s="7">
        <f>日前电价!I247-实时电价!I247</f>
        <v>-43.9203</v>
      </c>
      <c r="J247" s="7">
        <f>日前电价!J247-实时电价!J247</f>
        <v>-46.6316</v>
      </c>
      <c r="K247" s="7">
        <f>日前电价!K247-实时电价!K247</f>
        <v>-83.5232</v>
      </c>
      <c r="L247" s="7">
        <f>日前电价!L247-实时电价!L247</f>
        <v>-73.1041</v>
      </c>
      <c r="M247" s="7">
        <f>日前电价!M247-实时电价!M247</f>
        <v>-53.73</v>
      </c>
      <c r="N247" s="7">
        <f>日前电价!N247-实时电价!N247</f>
        <v>-39.2762</v>
      </c>
      <c r="O247" s="7">
        <f>日前电价!O247-实时电价!O247</f>
        <v>-181.5141</v>
      </c>
      <c r="P247" s="7">
        <f>日前电价!P247-实时电价!P247</f>
        <v>-129.7265</v>
      </c>
      <c r="Q247" s="7">
        <f>日前电价!Q247-实时电价!Q247</f>
        <v>-21.0919</v>
      </c>
      <c r="R247" s="7">
        <f>日前电价!R247-实时电价!R247</f>
        <v>10.3987</v>
      </c>
      <c r="S247" s="7">
        <f>日前电价!S247-实时电价!S247</f>
        <v>-4.69420000000002</v>
      </c>
      <c r="T247" s="7">
        <f>日前电价!T247-实时电价!T247</f>
        <v>-64.768</v>
      </c>
      <c r="U247" s="7">
        <f>日前电价!U247-实时电价!U247</f>
        <v>-157.0944</v>
      </c>
      <c r="V247" s="7">
        <f>日前电价!V247-实时电价!V247</f>
        <v>-60.6275</v>
      </c>
      <c r="W247" s="7">
        <f>日前电价!W247-实时电价!W247</f>
        <v>-49.3796</v>
      </c>
      <c r="X247" s="7">
        <f>日前电价!X247-实时电价!X247</f>
        <v>5.96750000000003</v>
      </c>
      <c r="Y247" s="7">
        <f>日前电价!Y247-实时电价!Y247</f>
        <v>32.5503</v>
      </c>
      <c r="Z247" s="9">
        <f t="shared" si="9"/>
        <v>32.5503</v>
      </c>
      <c r="AA247" s="9">
        <f t="shared" si="10"/>
        <v>-181.5141</v>
      </c>
      <c r="AB247" s="9">
        <f t="shared" si="11"/>
        <v>-58.50255</v>
      </c>
    </row>
    <row r="248" spans="1:28">
      <c r="A248" s="8">
        <v>45538</v>
      </c>
      <c r="B248" s="7">
        <f>日前电价!B248-实时电价!B248</f>
        <v>260.4601</v>
      </c>
      <c r="C248" s="7">
        <f>日前电价!C248-实时电价!C248</f>
        <v>118.3282</v>
      </c>
      <c r="D248" s="7">
        <f>日前电价!D248-实时电价!D248</f>
        <v>63.722</v>
      </c>
      <c r="E248" s="7">
        <f>日前电价!E248-实时电价!E248</f>
        <v>57.8334</v>
      </c>
      <c r="F248" s="7">
        <f>日前电价!F248-实时电价!F248</f>
        <v>35.4439</v>
      </c>
      <c r="G248" s="7">
        <f>日前电价!G248-实时电价!G248</f>
        <v>32.5554</v>
      </c>
      <c r="H248" s="7">
        <f>日前电价!H248-实时电价!H248</f>
        <v>17.598</v>
      </c>
      <c r="I248" s="7">
        <f>日前电价!I248-实时电价!I248</f>
        <v>29.7727</v>
      </c>
      <c r="J248" s="7">
        <f>日前电价!J248-实时电价!J248</f>
        <v>45.4812</v>
      </c>
      <c r="K248" s="7">
        <f>日前电价!K248-实时电价!K248</f>
        <v>58.5347</v>
      </c>
      <c r="L248" s="7">
        <f>日前电价!L248-实时电价!L248</f>
        <v>62.8553</v>
      </c>
      <c r="M248" s="7">
        <f>日前电价!M248-实时电价!M248</f>
        <v>66.9978</v>
      </c>
      <c r="N248" s="7">
        <f>日前电价!N248-实时电价!N248</f>
        <v>53.2866</v>
      </c>
      <c r="O248" s="7">
        <f>日前电价!O248-实时电价!O248</f>
        <v>54.5542</v>
      </c>
      <c r="P248" s="7">
        <f>日前电价!P248-实时电价!P248</f>
        <v>59.712</v>
      </c>
      <c r="Q248" s="7">
        <f>日前电价!Q248-实时电价!Q248</f>
        <v>52.8382</v>
      </c>
      <c r="R248" s="7">
        <f>日前电价!R248-实时电价!R248</f>
        <v>46.0364</v>
      </c>
      <c r="S248" s="7">
        <f>日前电价!S248-实时电价!S248</f>
        <v>38.0022</v>
      </c>
      <c r="T248" s="7">
        <f>日前电价!T248-实时电价!T248</f>
        <v>16.712</v>
      </c>
      <c r="U248" s="7">
        <f>日前电价!U248-实时电价!U248</f>
        <v>-19.363</v>
      </c>
      <c r="V248" s="7">
        <f>日前电价!V248-实时电价!V248</f>
        <v>6.80689999999998</v>
      </c>
      <c r="W248" s="7">
        <f>日前电价!W248-实时电价!W248</f>
        <v>6.07440000000003</v>
      </c>
      <c r="X248" s="7">
        <f>日前电价!X248-实时电价!X248</f>
        <v>5.64609999999999</v>
      </c>
      <c r="Y248" s="7">
        <f>日前电价!Y248-实时电价!Y248</f>
        <v>62.1905</v>
      </c>
      <c r="Z248" s="9">
        <f t="shared" si="9"/>
        <v>260.4601</v>
      </c>
      <c r="AA248" s="9">
        <f t="shared" si="10"/>
        <v>-19.363</v>
      </c>
      <c r="AB248" s="9">
        <f t="shared" si="11"/>
        <v>51.3366333333333</v>
      </c>
    </row>
    <row r="249" spans="1:28">
      <c r="A249" s="8">
        <v>45539</v>
      </c>
      <c r="B249" s="7">
        <f>日前电价!B249-实时电价!B249</f>
        <v>-3.03890000000001</v>
      </c>
      <c r="C249" s="7">
        <f>日前电价!C249-实时电价!C249</f>
        <v>-4.12030000000004</v>
      </c>
      <c r="D249" s="7">
        <f>日前电价!D249-实时电价!D249</f>
        <v>3.88599999999997</v>
      </c>
      <c r="E249" s="7">
        <f>日前电价!E249-实时电价!E249</f>
        <v>10.7492</v>
      </c>
      <c r="F249" s="7">
        <f>日前电价!F249-实时电价!F249</f>
        <v>9.8723</v>
      </c>
      <c r="G249" s="7">
        <f>日前电价!G249-实时电价!G249</f>
        <v>4.92450000000002</v>
      </c>
      <c r="H249" s="7">
        <f>日前电价!H249-实时电价!H249</f>
        <v>5.90899999999999</v>
      </c>
      <c r="I249" s="7">
        <f>日前电价!I249-实时电价!I249</f>
        <v>14.534</v>
      </c>
      <c r="J249" s="7">
        <f>日前电价!J249-实时电价!J249</f>
        <v>10.2872</v>
      </c>
      <c r="K249" s="7">
        <f>日前电价!K249-实时电价!K249</f>
        <v>16.1498</v>
      </c>
      <c r="L249" s="7">
        <f>日前电价!L249-实时电价!L249</f>
        <v>28.8476</v>
      </c>
      <c r="M249" s="7">
        <f>日前电价!M249-实时电价!M249</f>
        <v>26.8169</v>
      </c>
      <c r="N249" s="7">
        <f>日前电价!N249-实时电价!N249</f>
        <v>26.7779</v>
      </c>
      <c r="O249" s="7">
        <f>日前电价!O249-实时电价!O249</f>
        <v>19.8963</v>
      </c>
      <c r="P249" s="7">
        <f>日前电价!P249-实时电价!P249</f>
        <v>23.3263</v>
      </c>
      <c r="Q249" s="7">
        <f>日前电价!Q249-实时电价!Q249</f>
        <v>17.0359</v>
      </c>
      <c r="R249" s="7">
        <f>日前电价!R249-实时电价!R249</f>
        <v>11.9155</v>
      </c>
      <c r="S249" s="7">
        <f>日前电价!S249-实时电价!S249</f>
        <v>14.7277</v>
      </c>
      <c r="T249" s="7">
        <f>日前电价!T249-实时电价!T249</f>
        <v>-11.0068000000001</v>
      </c>
      <c r="U249" s="7">
        <f>日前电价!U249-实时电价!U249</f>
        <v>-72.716</v>
      </c>
      <c r="V249" s="7">
        <f>日前电价!V249-实时电价!V249</f>
        <v>-234.7168</v>
      </c>
      <c r="W249" s="7">
        <f>日前电价!W249-实时电价!W249</f>
        <v>-345.9909</v>
      </c>
      <c r="X249" s="7">
        <f>日前电价!X249-实时电价!X249</f>
        <v>-239.7577</v>
      </c>
      <c r="Y249" s="7">
        <f>日前电价!Y249-实时电价!Y249</f>
        <v>-19.4911</v>
      </c>
      <c r="Z249" s="9">
        <f t="shared" si="9"/>
        <v>28.8476</v>
      </c>
      <c r="AA249" s="9">
        <f t="shared" si="10"/>
        <v>-345.9909</v>
      </c>
      <c r="AB249" s="9">
        <f t="shared" si="11"/>
        <v>-28.5492666666667</v>
      </c>
    </row>
    <row r="250" spans="1:28">
      <c r="A250" s="8">
        <v>45540</v>
      </c>
      <c r="B250" s="7">
        <f>日前电价!B250-实时电价!B250</f>
        <v>-85.574</v>
      </c>
      <c r="C250" s="7">
        <f>日前电价!C250-实时电价!C250</f>
        <v>-20.0795000000001</v>
      </c>
      <c r="D250" s="7">
        <f>日前电价!D250-实时电价!D250</f>
        <v>-27.9251</v>
      </c>
      <c r="E250" s="7">
        <f>日前电价!E250-实时电价!E250</f>
        <v>-21.9225</v>
      </c>
      <c r="F250" s="7">
        <f>日前电价!F250-实时电价!F250</f>
        <v>-14.5189999999999</v>
      </c>
      <c r="G250" s="7">
        <f>日前电价!G250-实时电价!G250</f>
        <v>-12.8368</v>
      </c>
      <c r="H250" s="7">
        <f>日前电价!H250-实时电价!H250</f>
        <v>-14.4401</v>
      </c>
      <c r="I250" s="7">
        <f>日前电价!I250-实时电价!I250</f>
        <v>-6.59139999999996</v>
      </c>
      <c r="J250" s="7">
        <f>日前电价!J250-实时电价!J250</f>
        <v>-4.11089999999996</v>
      </c>
      <c r="K250" s="7">
        <f>日前电价!K250-实时电价!K250</f>
        <v>-17.1915</v>
      </c>
      <c r="L250" s="7">
        <f>日前电价!L250-实时电价!L250</f>
        <v>14.3219</v>
      </c>
      <c r="M250" s="7">
        <f>日前电价!M250-实时电价!M250</f>
        <v>25.4583</v>
      </c>
      <c r="N250" s="7">
        <f>日前电价!N250-实时电价!N250</f>
        <v>22.7642</v>
      </c>
      <c r="O250" s="7">
        <f>日前电价!O250-实时电价!O250</f>
        <v>33.1887</v>
      </c>
      <c r="P250" s="7">
        <f>日前电价!P250-实时电价!P250</f>
        <v>53.0795</v>
      </c>
      <c r="Q250" s="7">
        <f>日前电价!Q250-实时电价!Q250</f>
        <v>50.551</v>
      </c>
      <c r="R250" s="7">
        <f>日前电价!R250-实时电价!R250</f>
        <v>52.1101</v>
      </c>
      <c r="S250" s="7">
        <f>日前电价!S250-实时电价!S250</f>
        <v>45.7001</v>
      </c>
      <c r="T250" s="7">
        <f>日前电价!T250-实时电价!T250</f>
        <v>47.124</v>
      </c>
      <c r="U250" s="7">
        <f>日前电价!U250-实时电价!U250</f>
        <v>35.9429</v>
      </c>
      <c r="V250" s="7">
        <f>日前电价!V250-实时电价!V250</f>
        <v>8.98329999999999</v>
      </c>
      <c r="W250" s="7">
        <f>日前电价!W250-实时电价!W250</f>
        <v>31.3661</v>
      </c>
      <c r="X250" s="7">
        <f>日前电价!X250-实时电价!X250</f>
        <v>16.8159</v>
      </c>
      <c r="Y250" s="7">
        <f>日前电价!Y250-实时电价!Y250</f>
        <v>8.90750000000003</v>
      </c>
      <c r="Z250" s="9">
        <f t="shared" si="9"/>
        <v>53.0795</v>
      </c>
      <c r="AA250" s="9">
        <f t="shared" si="10"/>
        <v>-85.574</v>
      </c>
      <c r="AB250" s="9">
        <f t="shared" si="11"/>
        <v>9.21344583333334</v>
      </c>
    </row>
    <row r="251" spans="1:28">
      <c r="A251" s="8">
        <v>45541</v>
      </c>
      <c r="B251" s="7">
        <f>日前电价!B251-实时电价!B251</f>
        <v>93.5426</v>
      </c>
      <c r="C251" s="7">
        <f>日前电价!C251-实时电价!C251</f>
        <v>92.8765</v>
      </c>
      <c r="D251" s="7">
        <f>日前电价!D251-实时电价!D251</f>
        <v>73.0553</v>
      </c>
      <c r="E251" s="7">
        <f>日前电价!E251-实时电价!E251</f>
        <v>49.5159</v>
      </c>
      <c r="F251" s="7">
        <f>日前电价!F251-实时电价!F251</f>
        <v>33.8309</v>
      </c>
      <c r="G251" s="7">
        <f>日前电价!G251-实时电价!G251</f>
        <v>29.8173</v>
      </c>
      <c r="H251" s="7">
        <f>日前电价!H251-实时电价!H251</f>
        <v>31.7233</v>
      </c>
      <c r="I251" s="7">
        <f>日前电价!I251-实时电价!I251</f>
        <v>11.0275</v>
      </c>
      <c r="J251" s="7">
        <f>日前电价!J251-实时电价!J251</f>
        <v>-23.3741</v>
      </c>
      <c r="K251" s="7">
        <f>日前电价!K251-实时电价!K251</f>
        <v>-82.4583000000001</v>
      </c>
      <c r="L251" s="7">
        <f>日前电价!L251-实时电价!L251</f>
        <v>-48.6759</v>
      </c>
      <c r="M251" s="7">
        <f>日前电价!M251-实时电价!M251</f>
        <v>23.3035</v>
      </c>
      <c r="N251" s="7">
        <f>日前电价!N251-实时电价!N251</f>
        <v>71.3321</v>
      </c>
      <c r="O251" s="7">
        <f>日前电价!O251-实时电价!O251</f>
        <v>34.1822</v>
      </c>
      <c r="P251" s="7">
        <f>日前电价!P251-实时电价!P251</f>
        <v>40.6102</v>
      </c>
      <c r="Q251" s="7">
        <f>日前电价!Q251-实时电价!Q251</f>
        <v>38.5807</v>
      </c>
      <c r="R251" s="7">
        <f>日前电价!R251-实时电价!R251</f>
        <v>19.6812</v>
      </c>
      <c r="S251" s="7">
        <f>日前电价!S251-实时电价!S251</f>
        <v>39.7017</v>
      </c>
      <c r="T251" s="7">
        <f>日前电价!T251-实时电价!T251</f>
        <v>30.7084</v>
      </c>
      <c r="U251" s="7">
        <f>日前电价!U251-实时电价!U251</f>
        <v>38.5799</v>
      </c>
      <c r="V251" s="7">
        <f>日前电价!V251-实时电价!V251</f>
        <v>55.0702</v>
      </c>
      <c r="W251" s="7">
        <f>日前电价!W251-实时电价!W251</f>
        <v>57.447</v>
      </c>
      <c r="X251" s="7">
        <f>日前电价!X251-实时电价!X251</f>
        <v>65.7611</v>
      </c>
      <c r="Y251" s="7">
        <f>日前电价!Y251-实时电价!Y251</f>
        <v>68.5823</v>
      </c>
      <c r="Z251" s="9">
        <f t="shared" si="9"/>
        <v>93.5426</v>
      </c>
      <c r="AA251" s="9">
        <f t="shared" si="10"/>
        <v>-82.4583000000001</v>
      </c>
      <c r="AB251" s="9">
        <f t="shared" si="11"/>
        <v>35.1842291666667</v>
      </c>
    </row>
    <row r="252" spans="1:28">
      <c r="A252" s="8">
        <v>45542</v>
      </c>
      <c r="B252" s="7">
        <f>日前电价!B252-实时电价!B252</f>
        <v>19.312</v>
      </c>
      <c r="C252" s="7">
        <f>日前电价!C252-实时电价!C252</f>
        <v>28.994</v>
      </c>
      <c r="D252" s="7">
        <f>日前电价!D252-实时电价!D252</f>
        <v>28.4085</v>
      </c>
      <c r="E252" s="7">
        <f>日前电价!E252-实时电价!E252</f>
        <v>29.4313</v>
      </c>
      <c r="F252" s="7">
        <f>日前电价!F252-实时电价!F252</f>
        <v>17.9474</v>
      </c>
      <c r="G252" s="7">
        <f>日前电价!G252-实时电价!G252</f>
        <v>14.8394</v>
      </c>
      <c r="H252" s="7">
        <f>日前电价!H252-实时电价!H252</f>
        <v>19.8936</v>
      </c>
      <c r="I252" s="7">
        <f>日前电价!I252-实时电价!I252</f>
        <v>9.81549999999999</v>
      </c>
      <c r="J252" s="7">
        <f>日前电价!J252-实时电价!J252</f>
        <v>-1.10999999999996</v>
      </c>
      <c r="K252" s="7">
        <f>日前电价!K252-实时电价!K252</f>
        <v>25.7774</v>
      </c>
      <c r="L252" s="7">
        <f>日前电价!L252-实时电价!L252</f>
        <v>-11.8361</v>
      </c>
      <c r="M252" s="7">
        <f>日前电价!M252-实时电价!M252</f>
        <v>4.1037</v>
      </c>
      <c r="N252" s="7">
        <f>日前电价!N252-实时电价!N252</f>
        <v>17.2268</v>
      </c>
      <c r="O252" s="7">
        <f>日前电价!O252-实时电价!O252</f>
        <v>-24.5408</v>
      </c>
      <c r="P252" s="7">
        <f>日前电价!P252-实时电价!P252</f>
        <v>-33.1594</v>
      </c>
      <c r="Q252" s="7">
        <f>日前电价!Q252-实时电价!Q252</f>
        <v>-22.2993</v>
      </c>
      <c r="R252" s="7">
        <f>日前电价!R252-实时电价!R252</f>
        <v>-27.3189</v>
      </c>
      <c r="S252" s="7">
        <f>日前电价!S252-实时电价!S252</f>
        <v>-14.9755</v>
      </c>
      <c r="T252" s="7">
        <f>日前电价!T252-实时电价!T252</f>
        <v>-23.264</v>
      </c>
      <c r="U252" s="7">
        <f>日前电价!U252-实时电价!U252</f>
        <v>-8.84380000000004</v>
      </c>
      <c r="V252" s="7">
        <f>日前电价!V252-实时电价!V252</f>
        <v>5.6925</v>
      </c>
      <c r="W252" s="7">
        <f>日前电价!W252-实时电价!W252</f>
        <v>-1.17529999999999</v>
      </c>
      <c r="X252" s="7">
        <f>日前电价!X252-实时电价!X252</f>
        <v>-4.41019999999997</v>
      </c>
      <c r="Y252" s="7">
        <f>日前电价!Y252-实时电价!Y252</f>
        <v>13.3732</v>
      </c>
      <c r="Z252" s="9">
        <f t="shared" si="9"/>
        <v>29.4313</v>
      </c>
      <c r="AA252" s="9">
        <f t="shared" si="10"/>
        <v>-33.1594</v>
      </c>
      <c r="AB252" s="9">
        <f t="shared" si="11"/>
        <v>2.57841666666666</v>
      </c>
    </row>
    <row r="253" spans="1:28">
      <c r="A253" s="8">
        <v>45543</v>
      </c>
      <c r="B253" s="7">
        <f>日前电价!B253-实时电价!B253</f>
        <v>-138.1265</v>
      </c>
      <c r="C253" s="7">
        <f>日前电价!C253-实时电价!C253</f>
        <v>-142.5873</v>
      </c>
      <c r="D253" s="7">
        <f>日前电价!D253-实时电价!D253</f>
        <v>-99.9379</v>
      </c>
      <c r="E253" s="7">
        <f>日前电价!E253-实时电价!E253</f>
        <v>-52.7939</v>
      </c>
      <c r="F253" s="7">
        <f>日前电价!F253-实时电价!F253</f>
        <v>-29.8984</v>
      </c>
      <c r="G253" s="7">
        <f>日前电价!G253-实时电价!G253</f>
        <v>-31.6811</v>
      </c>
      <c r="H253" s="7">
        <f>日前电价!H253-实时电价!H253</f>
        <v>-28.6769</v>
      </c>
      <c r="I253" s="7">
        <f>日前电价!I253-实时电价!I253</f>
        <v>-35.9382</v>
      </c>
      <c r="J253" s="7">
        <f>日前电价!J253-实时电价!J253</f>
        <v>-23.8595</v>
      </c>
      <c r="K253" s="7">
        <f>日前电价!K253-实时电价!K253</f>
        <v>3.74889999999999</v>
      </c>
      <c r="L253" s="7">
        <f>日前电价!L253-实时电价!L253</f>
        <v>-12.0088</v>
      </c>
      <c r="M253" s="7">
        <f>日前电价!M253-实时电价!M253</f>
        <v>-17.7712</v>
      </c>
      <c r="N253" s="7">
        <f>日前电价!N253-实时电价!N253</f>
        <v>-19.4169</v>
      </c>
      <c r="O253" s="7">
        <f>日前电价!O253-实时电价!O253</f>
        <v>-14.3033</v>
      </c>
      <c r="P253" s="7">
        <f>日前电价!P253-实时电价!P253</f>
        <v>-33.0413</v>
      </c>
      <c r="Q253" s="7">
        <f>日前电价!Q253-实时电价!Q253</f>
        <v>-31.627</v>
      </c>
      <c r="R253" s="7">
        <f>日前电价!R253-实时电价!R253</f>
        <v>-37.0755</v>
      </c>
      <c r="S253" s="7">
        <f>日前电价!S253-实时电价!S253</f>
        <v>-10.5064</v>
      </c>
      <c r="T253" s="7">
        <f>日前电价!T253-实时电价!T253</f>
        <v>4.1952</v>
      </c>
      <c r="U253" s="7">
        <f>日前电价!U253-实时电价!U253</f>
        <v>-12.7241</v>
      </c>
      <c r="V253" s="7">
        <f>日前电价!V253-实时电价!V253</f>
        <v>-10.7756</v>
      </c>
      <c r="W253" s="7">
        <f>日前电价!W253-实时电价!W253</f>
        <v>-10.1804</v>
      </c>
      <c r="X253" s="7">
        <f>日前电价!X253-实时电价!X253</f>
        <v>-16.4733</v>
      </c>
      <c r="Y253" s="7">
        <f>日前电价!Y253-实时电价!Y253</f>
        <v>5.8578</v>
      </c>
      <c r="Z253" s="9">
        <f t="shared" si="9"/>
        <v>5.8578</v>
      </c>
      <c r="AA253" s="9">
        <f t="shared" si="10"/>
        <v>-142.5873</v>
      </c>
      <c r="AB253" s="9">
        <f t="shared" si="11"/>
        <v>-33.1500666666667</v>
      </c>
    </row>
    <row r="254" spans="1:28">
      <c r="A254" s="8">
        <v>45544</v>
      </c>
      <c r="B254" s="7">
        <f>日前电价!B254-实时电价!B254</f>
        <v>16.9005</v>
      </c>
      <c r="C254" s="7">
        <f>日前电价!C254-实时电价!C254</f>
        <v>14.0614</v>
      </c>
      <c r="D254" s="7">
        <f>日前电价!D254-实时电价!D254</f>
        <v>16.12</v>
      </c>
      <c r="E254" s="7">
        <f>日前电价!E254-实时电价!E254</f>
        <v>18.4564</v>
      </c>
      <c r="F254" s="7">
        <f>日前电价!F254-实时电价!F254</f>
        <v>8.4622</v>
      </c>
      <c r="G254" s="7">
        <f>日前电价!G254-实时电价!G254</f>
        <v>4.70260000000002</v>
      </c>
      <c r="H254" s="7">
        <f>日前电价!H254-实时电价!H254</f>
        <v>-6.12510000000003</v>
      </c>
      <c r="I254" s="7">
        <f>日前电价!I254-实时电价!I254</f>
        <v>-11.5605</v>
      </c>
      <c r="J254" s="7">
        <f>日前电价!J254-实时电价!J254</f>
        <v>-15.2682</v>
      </c>
      <c r="K254" s="7">
        <f>日前电价!K254-实时电价!K254</f>
        <v>-22.0321</v>
      </c>
      <c r="L254" s="7">
        <f>日前电价!L254-实时电价!L254</f>
        <v>-0.867999999999995</v>
      </c>
      <c r="M254" s="7">
        <f>日前电价!M254-实时电价!M254</f>
        <v>10.5029</v>
      </c>
      <c r="N254" s="7">
        <f>日前电价!N254-实时电价!N254</f>
        <v>6.73160000000001</v>
      </c>
      <c r="O254" s="7">
        <f>日前电价!O254-实时电价!O254</f>
        <v>-1.3503</v>
      </c>
      <c r="P254" s="7">
        <f>日前电价!P254-实时电价!P254</f>
        <v>17.6037</v>
      </c>
      <c r="Q254" s="7">
        <f>日前电价!Q254-实时电价!Q254</f>
        <v>13.4536</v>
      </c>
      <c r="R254" s="7">
        <f>日前电价!R254-实时电价!R254</f>
        <v>7.07800000000003</v>
      </c>
      <c r="S254" s="7">
        <f>日前电价!S254-实时电价!S254</f>
        <v>19.8099</v>
      </c>
      <c r="T254" s="7">
        <f>日前电价!T254-实时电价!T254</f>
        <v>9.08949999999999</v>
      </c>
      <c r="U254" s="7">
        <f>日前电价!U254-实时电价!U254</f>
        <v>5.87619999999998</v>
      </c>
      <c r="V254" s="7">
        <f>日前电价!V254-实时电价!V254</f>
        <v>12.4092</v>
      </c>
      <c r="W254" s="7">
        <f>日前电价!W254-实时电价!W254</f>
        <v>17.8253</v>
      </c>
      <c r="X254" s="7">
        <f>日前电价!X254-实时电价!X254</f>
        <v>22.8705</v>
      </c>
      <c r="Y254" s="7">
        <f>日前电价!Y254-实时电价!Y254</f>
        <v>34.0946</v>
      </c>
      <c r="Z254" s="9">
        <f t="shared" si="9"/>
        <v>34.0946</v>
      </c>
      <c r="AA254" s="9">
        <f t="shared" si="10"/>
        <v>-22.0321</v>
      </c>
      <c r="AB254" s="9">
        <f t="shared" si="11"/>
        <v>8.2851625</v>
      </c>
    </row>
    <row r="255" spans="1:28">
      <c r="A255" s="8">
        <v>45545</v>
      </c>
      <c r="B255" s="7">
        <f>日前电价!B255-实时电价!B255</f>
        <v>7.72699999999998</v>
      </c>
      <c r="C255" s="7">
        <f>日前电价!C255-实时电价!C255</f>
        <v>6.5154</v>
      </c>
      <c r="D255" s="7">
        <f>日前电价!D255-实时电价!D255</f>
        <v>9.16120000000001</v>
      </c>
      <c r="E255" s="7">
        <f>日前电价!E255-实时电价!E255</f>
        <v>10.8285</v>
      </c>
      <c r="F255" s="7">
        <f>日前电价!F255-实时电价!F255</f>
        <v>0.060799999999972</v>
      </c>
      <c r="G255" s="7">
        <f>日前电价!G255-实时电价!G255</f>
        <v>-4.96800000000002</v>
      </c>
      <c r="H255" s="7">
        <f>日前电价!H255-实时电价!H255</f>
        <v>-13.7078</v>
      </c>
      <c r="I255" s="7">
        <f>日前电价!I255-实时电价!I255</f>
        <v>-15.319</v>
      </c>
      <c r="J255" s="7">
        <f>日前电价!J255-实时电价!J255</f>
        <v>2.73360000000002</v>
      </c>
      <c r="K255" s="7">
        <f>日前电价!K255-实时电价!K255</f>
        <v>-2.1651</v>
      </c>
      <c r="L255" s="7">
        <f>日前电价!L255-实时电价!L255</f>
        <v>7.67750000000001</v>
      </c>
      <c r="M255" s="7">
        <f>日前电价!M255-实时电价!M255</f>
        <v>24.6542</v>
      </c>
      <c r="N255" s="7">
        <f>日前电价!N255-实时电价!N255</f>
        <v>61.7116</v>
      </c>
      <c r="O255" s="7">
        <f>日前电价!O255-实时电价!O255</f>
        <v>19.5273</v>
      </c>
      <c r="P255" s="7">
        <f>日前电价!P255-实时电价!P255</f>
        <v>38.1183</v>
      </c>
      <c r="Q255" s="7">
        <f>日前电价!Q255-实时电价!Q255</f>
        <v>33.5151</v>
      </c>
      <c r="R255" s="7">
        <f>日前电价!R255-实时电价!R255</f>
        <v>14.2736</v>
      </c>
      <c r="S255" s="7">
        <f>日前电价!S255-实时电价!S255</f>
        <v>5.58789999999999</v>
      </c>
      <c r="T255" s="7">
        <f>日前电价!T255-实时电价!T255</f>
        <v>-13.2689</v>
      </c>
      <c r="U255" s="7">
        <f>日前电价!U255-实时电价!U255</f>
        <v>-48.5844</v>
      </c>
      <c r="V255" s="7">
        <f>日前电价!V255-实时电价!V255</f>
        <v>-10.3572</v>
      </c>
      <c r="W255" s="7">
        <f>日前电价!W255-实时电价!W255</f>
        <v>-31.8611</v>
      </c>
      <c r="X255" s="7">
        <f>日前电价!X255-实时电价!X255</f>
        <v>-35.776</v>
      </c>
      <c r="Y255" s="7">
        <f>日前电价!Y255-实时电价!Y255</f>
        <v>8.53590000000003</v>
      </c>
      <c r="Z255" s="9">
        <f t="shared" si="9"/>
        <v>61.7116</v>
      </c>
      <c r="AA255" s="9">
        <f t="shared" si="10"/>
        <v>-48.5844</v>
      </c>
      <c r="AB255" s="9">
        <f t="shared" si="11"/>
        <v>3.10918333333333</v>
      </c>
    </row>
    <row r="256" spans="1:28">
      <c r="A256" s="8">
        <v>45546</v>
      </c>
      <c r="B256" s="7">
        <f>日前电价!B256-实时电价!B256</f>
        <v>-12.4745</v>
      </c>
      <c r="C256" s="7">
        <f>日前电价!C256-实时电价!C256</f>
        <v>-0.53649999999999</v>
      </c>
      <c r="D256" s="7">
        <f>日前电价!D256-实时电价!D256</f>
        <v>-6.14400000000001</v>
      </c>
      <c r="E256" s="7">
        <f>日前电价!E256-实时电价!E256</f>
        <v>-8.19330000000002</v>
      </c>
      <c r="F256" s="7">
        <f>日前电价!F256-实时电价!F256</f>
        <v>-10.0592</v>
      </c>
      <c r="G256" s="7">
        <f>日前电价!G256-实时电价!G256</f>
        <v>-14.2268</v>
      </c>
      <c r="H256" s="7">
        <f>日前电价!H256-实时电价!H256</f>
        <v>-7.56970000000001</v>
      </c>
      <c r="I256" s="7">
        <f>日前电价!I256-实时电价!I256</f>
        <v>-11.711</v>
      </c>
      <c r="J256" s="7">
        <f>日前电价!J256-实时电价!J256</f>
        <v>-15.6915</v>
      </c>
      <c r="K256" s="7">
        <f>日前电价!K256-实时电价!K256</f>
        <v>-7.93379999999996</v>
      </c>
      <c r="L256" s="7">
        <f>日前电价!L256-实时电价!L256</f>
        <v>10.523</v>
      </c>
      <c r="M256" s="7">
        <f>日前电价!M256-实时电价!M256</f>
        <v>28.9612</v>
      </c>
      <c r="N256" s="7">
        <f>日前电价!N256-实时电价!N256</f>
        <v>36.0397</v>
      </c>
      <c r="O256" s="7">
        <f>日前电价!O256-实时电价!O256</f>
        <v>-26.2157</v>
      </c>
      <c r="P256" s="7">
        <f>日前电价!P256-实时电价!P256</f>
        <v>15.4426</v>
      </c>
      <c r="Q256" s="7">
        <f>日前电价!Q256-实时电价!Q256</f>
        <v>13.2378</v>
      </c>
      <c r="R256" s="7">
        <f>日前电价!R256-实时电价!R256</f>
        <v>-55.1109</v>
      </c>
      <c r="S256" s="7">
        <f>日前电价!S256-实时电价!S256</f>
        <v>-31.4844</v>
      </c>
      <c r="T256" s="7">
        <f>日前电价!T256-实时电价!T256</f>
        <v>-83.0059</v>
      </c>
      <c r="U256" s="7">
        <f>日前电价!U256-实时电价!U256</f>
        <v>-27.9457</v>
      </c>
      <c r="V256" s="7">
        <f>日前电价!V256-实时电价!V256</f>
        <v>-17.8371</v>
      </c>
      <c r="W256" s="7">
        <f>日前电价!W256-实时电价!W256</f>
        <v>-5.8347</v>
      </c>
      <c r="X256" s="7">
        <f>日前电价!X256-实时电价!X256</f>
        <v>-23.9313</v>
      </c>
      <c r="Y256" s="7">
        <f>日前电价!Y256-实时电价!Y256</f>
        <v>-24.0374</v>
      </c>
      <c r="Z256" s="9">
        <f t="shared" si="9"/>
        <v>36.0397</v>
      </c>
      <c r="AA256" s="9">
        <f t="shared" si="10"/>
        <v>-83.0059</v>
      </c>
      <c r="AB256" s="9">
        <f t="shared" si="11"/>
        <v>-11.9057958333333</v>
      </c>
    </row>
    <row r="257" spans="1:28">
      <c r="A257" s="8">
        <v>45547</v>
      </c>
      <c r="B257" s="7">
        <f>日前电价!B257-实时电价!B257</f>
        <v>-94.6629</v>
      </c>
      <c r="C257" s="7">
        <f>日前电价!C257-实时电价!C257</f>
        <v>-34.7174</v>
      </c>
      <c r="D257" s="7">
        <f>日前电价!D257-实时电价!D257</f>
        <v>-38.3705</v>
      </c>
      <c r="E257" s="7">
        <f>日前电价!E257-实时电价!E257</f>
        <v>-38.7133</v>
      </c>
      <c r="F257" s="7">
        <f>日前电价!F257-实时电价!F257</f>
        <v>-36.1375</v>
      </c>
      <c r="G257" s="7">
        <f>日前电价!G257-实时电价!G257</f>
        <v>-29.2313</v>
      </c>
      <c r="H257" s="7">
        <f>日前电价!H257-实时电价!H257</f>
        <v>-31.3001</v>
      </c>
      <c r="I257" s="7">
        <f>日前电价!I257-实时电价!I257</f>
        <v>-21.1693</v>
      </c>
      <c r="J257" s="7">
        <f>日前电价!J257-实时电价!J257</f>
        <v>-31.0876</v>
      </c>
      <c r="K257" s="7">
        <f>日前电价!K257-实时电价!K257</f>
        <v>-9.74590000000001</v>
      </c>
      <c r="L257" s="7">
        <f>日前电价!L257-实时电价!L257</f>
        <v>18.1378</v>
      </c>
      <c r="M257" s="7">
        <f>日前电价!M257-实时电价!M257</f>
        <v>13.3374</v>
      </c>
      <c r="N257" s="7">
        <f>日前电价!N257-实时电价!N257</f>
        <v>-3.36189999999999</v>
      </c>
      <c r="O257" s="7">
        <f>日前电价!O257-实时电价!O257</f>
        <v>-11.3093</v>
      </c>
      <c r="P257" s="7">
        <f>日前电价!P257-实时电价!P257</f>
        <v>5.38250000000005</v>
      </c>
      <c r="Q257" s="7">
        <f>日前电价!Q257-实时电价!Q257</f>
        <v>14.016</v>
      </c>
      <c r="R257" s="7">
        <f>日前电价!R257-实时电价!R257</f>
        <v>7.27699999999999</v>
      </c>
      <c r="S257" s="7">
        <f>日前电价!S257-实时电价!S257</f>
        <v>-0.0509000000000128</v>
      </c>
      <c r="T257" s="7">
        <f>日前电价!T257-实时电价!T257</f>
        <v>-15.7391</v>
      </c>
      <c r="U257" s="7">
        <f>日前电价!U257-实时电价!U257</f>
        <v>-48.4753</v>
      </c>
      <c r="V257" s="7">
        <f>日前电价!V257-实时电价!V257</f>
        <v>-40.0916</v>
      </c>
      <c r="W257" s="7">
        <f>日前电价!W257-实时电价!W257</f>
        <v>-38.5203</v>
      </c>
      <c r="X257" s="7">
        <f>日前电价!X257-实时电价!X257</f>
        <v>-72.1553</v>
      </c>
      <c r="Y257" s="7">
        <f>日前电价!Y257-实时电价!Y257</f>
        <v>-21.9846</v>
      </c>
      <c r="Z257" s="9">
        <f t="shared" si="9"/>
        <v>18.1378</v>
      </c>
      <c r="AA257" s="9">
        <f t="shared" si="10"/>
        <v>-94.6629</v>
      </c>
      <c r="AB257" s="9">
        <f t="shared" si="11"/>
        <v>-23.2780583333333</v>
      </c>
    </row>
    <row r="258" spans="1:28">
      <c r="A258" s="8">
        <v>45548</v>
      </c>
      <c r="B258" s="7">
        <f>日前电价!B258-实时电价!B258</f>
        <v>-119.9842</v>
      </c>
      <c r="C258" s="7">
        <f>日前电价!C258-实时电价!C258</f>
        <v>-116.3522</v>
      </c>
      <c r="D258" s="7">
        <f>日前电价!D258-实时电价!D258</f>
        <v>-34.9195</v>
      </c>
      <c r="E258" s="7">
        <f>日前电价!E258-实时电价!E258</f>
        <v>-11.1652</v>
      </c>
      <c r="F258" s="7">
        <f>日前电价!F258-实时电价!F258</f>
        <v>-17.0549</v>
      </c>
      <c r="G258" s="7">
        <f>日前电价!G258-实时电价!G258</f>
        <v>-10.5061</v>
      </c>
      <c r="H258" s="7">
        <f>日前电价!H258-实时电价!H258</f>
        <v>-7.28789999999998</v>
      </c>
      <c r="I258" s="7">
        <f>日前电价!I258-实时电价!I258</f>
        <v>-3.03530000000001</v>
      </c>
      <c r="J258" s="7">
        <f>日前电价!J258-实时电价!J258</f>
        <v>-9.4896</v>
      </c>
      <c r="K258" s="7">
        <f>日前电价!K258-实时电价!K258</f>
        <v>4.32230000000004</v>
      </c>
      <c r="L258" s="7">
        <f>日前电价!L258-实时电价!L258</f>
        <v>15.6564</v>
      </c>
      <c r="M258" s="7">
        <f>日前电价!M258-实时电价!M258</f>
        <v>17.4322</v>
      </c>
      <c r="N258" s="7">
        <f>日前电价!N258-实时电价!N258</f>
        <v>15.7734</v>
      </c>
      <c r="O258" s="7">
        <f>日前电价!O258-实时电价!O258</f>
        <v>4.66059999999999</v>
      </c>
      <c r="P258" s="7">
        <f>日前电价!P258-实时电价!P258</f>
        <v>21.7969</v>
      </c>
      <c r="Q258" s="7">
        <f>日前电价!Q258-实时电价!Q258</f>
        <v>19.579</v>
      </c>
      <c r="R258" s="7">
        <f>日前电价!R258-实时电价!R258</f>
        <v>13.2981</v>
      </c>
      <c r="S258" s="7">
        <f>日前电价!S258-实时电价!S258</f>
        <v>5.99289999999996</v>
      </c>
      <c r="T258" s="7">
        <f>日前电价!T258-实时电价!T258</f>
        <v>0.633699999999976</v>
      </c>
      <c r="U258" s="7">
        <f>日前电价!U258-实时电价!U258</f>
        <v>-3.57310000000001</v>
      </c>
      <c r="V258" s="7">
        <f>日前电价!V258-实时电价!V258</f>
        <v>1.08320000000003</v>
      </c>
      <c r="W258" s="7">
        <f>日前电价!W258-实时电价!W258</f>
        <v>-1.1259</v>
      </c>
      <c r="X258" s="7">
        <f>日前电价!X258-实时电价!X258</f>
        <v>9.06979999999999</v>
      </c>
      <c r="Y258" s="7">
        <f>日前电价!Y258-实时电价!Y258</f>
        <v>6.99670000000003</v>
      </c>
      <c r="Z258" s="9">
        <f t="shared" ref="Z258:Z321" si="12">MAX($B258:$Y258)</f>
        <v>21.7969</v>
      </c>
      <c r="AA258" s="9">
        <f t="shared" ref="AA258:AA321" si="13">MIN($B258:$Y258)</f>
        <v>-119.9842</v>
      </c>
      <c r="AB258" s="9">
        <f t="shared" ref="AB258:AB321" si="14">AVERAGE($B258:$Y258)</f>
        <v>-8.25827916666667</v>
      </c>
    </row>
    <row r="259" spans="1:28">
      <c r="A259" s="8">
        <v>45549</v>
      </c>
      <c r="B259" s="7">
        <f>日前电价!B259-实时电价!B259</f>
        <v>-193.1299</v>
      </c>
      <c r="C259" s="7">
        <f>日前电价!C259-实时电价!C259</f>
        <v>-83.2612999999999</v>
      </c>
      <c r="D259" s="7">
        <f>日前电价!D259-实时电价!D259</f>
        <v>-32.8838</v>
      </c>
      <c r="E259" s="7">
        <f>日前电价!E259-实时电价!E259</f>
        <v>-15.3029</v>
      </c>
      <c r="F259" s="7">
        <f>日前电价!F259-实时电价!F259</f>
        <v>-9.72579999999999</v>
      </c>
      <c r="G259" s="7">
        <f>日前电价!G259-实时电价!G259</f>
        <v>-5.27510000000001</v>
      </c>
      <c r="H259" s="7">
        <f>日前电价!H259-实时电价!H259</f>
        <v>-11.8399</v>
      </c>
      <c r="I259" s="7">
        <f>日前电价!I259-实时电价!I259</f>
        <v>-2.2645</v>
      </c>
      <c r="J259" s="7">
        <f>日前电价!J259-实时电价!J259</f>
        <v>-28.1806</v>
      </c>
      <c r="K259" s="7">
        <f>日前电价!K259-实时电价!K259</f>
        <v>-21.0836</v>
      </c>
      <c r="L259" s="7">
        <f>日前电价!L259-实时电价!L259</f>
        <v>-18.1616</v>
      </c>
      <c r="M259" s="7">
        <f>日前电价!M259-实时电价!M259</f>
        <v>-8.98079999999999</v>
      </c>
      <c r="N259" s="7">
        <f>日前电价!N259-实时电价!N259</f>
        <v>4.22129999999999</v>
      </c>
      <c r="O259" s="7">
        <f>日前电价!O259-实时电价!O259</f>
        <v>-19.3244</v>
      </c>
      <c r="P259" s="7">
        <f>日前电价!P259-实时电价!P259</f>
        <v>-7.75730000000004</v>
      </c>
      <c r="Q259" s="7">
        <f>日前电价!Q259-实时电价!Q259</f>
        <v>-0.0269000000000119</v>
      </c>
      <c r="R259" s="7">
        <f>日前电价!R259-实时电价!R259</f>
        <v>5.1146</v>
      </c>
      <c r="S259" s="7">
        <f>日前电价!S259-实时电价!S259</f>
        <v>14.9949</v>
      </c>
      <c r="T259" s="7">
        <f>日前电价!T259-实时电价!T259</f>
        <v>9.97150000000005</v>
      </c>
      <c r="U259" s="7">
        <f>日前电价!U259-实时电价!U259</f>
        <v>5.30009999999999</v>
      </c>
      <c r="V259" s="7">
        <f>日前电价!V259-实时电价!V259</f>
        <v>-25.2975</v>
      </c>
      <c r="W259" s="7">
        <f>日前电价!W259-实时电价!W259</f>
        <v>-15.7904</v>
      </c>
      <c r="X259" s="7">
        <f>日前电价!X259-实时电价!X259</f>
        <v>-9.20359999999999</v>
      </c>
      <c r="Y259" s="7">
        <f>日前电价!Y259-实时电价!Y259</f>
        <v>-6.27480000000003</v>
      </c>
      <c r="Z259" s="9">
        <f t="shared" si="12"/>
        <v>14.9949</v>
      </c>
      <c r="AA259" s="9">
        <f t="shared" si="13"/>
        <v>-193.1299</v>
      </c>
      <c r="AB259" s="9">
        <f t="shared" si="14"/>
        <v>-19.7567625</v>
      </c>
    </row>
    <row r="260" spans="1:28">
      <c r="A260" s="8">
        <v>45550</v>
      </c>
      <c r="B260" s="7">
        <f>日前电价!B260-实时电价!B260</f>
        <v>48.3857</v>
      </c>
      <c r="C260" s="7">
        <f>日前电价!C260-实时电价!C260</f>
        <v>54.262</v>
      </c>
      <c r="D260" s="7">
        <f>日前电价!D260-实时电价!D260</f>
        <v>74.7208</v>
      </c>
      <c r="E260" s="7">
        <f>日前电价!E260-实时电价!E260</f>
        <v>26.1331</v>
      </c>
      <c r="F260" s="7">
        <f>日前电价!F260-实时电价!F260</f>
        <v>15.7871</v>
      </c>
      <c r="G260" s="7">
        <f>日前电价!G260-实时电价!G260</f>
        <v>11.368</v>
      </c>
      <c r="H260" s="7">
        <f>日前电价!H260-实时电价!H260</f>
        <v>19.0956</v>
      </c>
      <c r="I260" s="7">
        <f>日前电价!I260-实时电价!I260</f>
        <v>17.7122</v>
      </c>
      <c r="J260" s="7">
        <f>日前电价!J260-实时电价!J260</f>
        <v>72.1656</v>
      </c>
      <c r="K260" s="7">
        <f>日前电价!K260-实时电价!K260</f>
        <v>35.8194999999999</v>
      </c>
      <c r="L260" s="7">
        <f>日前电价!L260-实时电价!L260</f>
        <v>60.208</v>
      </c>
      <c r="M260" s="7">
        <f>日前电价!M260-实时电价!M260</f>
        <v>66.6022</v>
      </c>
      <c r="N260" s="7">
        <f>日前电价!N260-实时电价!N260</f>
        <v>193.2898</v>
      </c>
      <c r="O260" s="7">
        <f>日前电价!O260-实时电价!O260</f>
        <v>48.735</v>
      </c>
      <c r="P260" s="7">
        <f>日前电价!P260-实时电价!P260</f>
        <v>36.1624</v>
      </c>
      <c r="Q260" s="7">
        <f>日前电价!Q260-实时电价!Q260</f>
        <v>26.8254</v>
      </c>
      <c r="R260" s="7">
        <f>日前电价!R260-实时电价!R260</f>
        <v>13.806</v>
      </c>
      <c r="S260" s="7">
        <f>日前电价!S260-实时电价!S260</f>
        <v>34.4302</v>
      </c>
      <c r="T260" s="7">
        <f>日前电价!T260-实时电价!T260</f>
        <v>45.4218</v>
      </c>
      <c r="U260" s="7">
        <f>日前电价!U260-实时电价!U260</f>
        <v>49.2788</v>
      </c>
      <c r="V260" s="7">
        <f>日前电价!V260-实时电价!V260</f>
        <v>44.9585</v>
      </c>
      <c r="W260" s="7">
        <f>日前电价!W260-实时电价!W260</f>
        <v>37.3425</v>
      </c>
      <c r="X260" s="7">
        <f>日前电价!X260-实时电价!X260</f>
        <v>64.314</v>
      </c>
      <c r="Y260" s="7">
        <f>日前电价!Y260-实时电价!Y260</f>
        <v>50.9492</v>
      </c>
      <c r="Z260" s="9">
        <f t="shared" si="12"/>
        <v>193.2898</v>
      </c>
      <c r="AA260" s="9">
        <f t="shared" si="13"/>
        <v>11.368</v>
      </c>
      <c r="AB260" s="9">
        <f t="shared" si="14"/>
        <v>47.8238916666667</v>
      </c>
    </row>
    <row r="261" spans="1:28">
      <c r="A261" s="8">
        <v>45551</v>
      </c>
      <c r="B261" s="7">
        <f>日前电价!B261-实时电价!B261</f>
        <v>27.8492</v>
      </c>
      <c r="C261" s="7">
        <f>日前电价!C261-实时电价!C261</f>
        <v>-59.4837</v>
      </c>
      <c r="D261" s="7">
        <f>日前电价!D261-实时电价!D261</f>
        <v>-84.4932</v>
      </c>
      <c r="E261" s="7">
        <f>日前电价!E261-实时电价!E261</f>
        <v>-92.7546</v>
      </c>
      <c r="F261" s="7">
        <f>日前电价!F261-实时电价!F261</f>
        <v>-28.0932</v>
      </c>
      <c r="G261" s="7">
        <f>日前电价!G261-实时电价!G261</f>
        <v>-32.1274</v>
      </c>
      <c r="H261" s="7">
        <f>日前电价!H261-实时电价!H261</f>
        <v>-29.1078</v>
      </c>
      <c r="I261" s="7">
        <f>日前电价!I261-实时电价!I261</f>
        <v>-13.4594</v>
      </c>
      <c r="J261" s="7">
        <f>日前电价!J261-实时电价!J261</f>
        <v>28.3712</v>
      </c>
      <c r="K261" s="7">
        <f>日前电价!K261-实时电价!K261</f>
        <v>34.9733</v>
      </c>
      <c r="L261" s="7">
        <f>日前电价!L261-实时电价!L261</f>
        <v>33.8754</v>
      </c>
      <c r="M261" s="7">
        <f>日前电价!M261-实时电价!M261</f>
        <v>21.0395</v>
      </c>
      <c r="N261" s="7">
        <f>日前电价!N261-实时电价!N261</f>
        <v>24.6058</v>
      </c>
      <c r="O261" s="7">
        <f>日前电价!O261-实时电价!O261</f>
        <v>-17.9096</v>
      </c>
      <c r="P261" s="7">
        <f>日前电价!P261-实时电价!P261</f>
        <v>13.9919</v>
      </c>
      <c r="Q261" s="7">
        <f>日前电价!Q261-实时电价!Q261</f>
        <v>19.8066</v>
      </c>
      <c r="R261" s="7">
        <f>日前电价!R261-实时电价!R261</f>
        <v>16.4236</v>
      </c>
      <c r="S261" s="7">
        <f>日前电价!S261-实时电价!S261</f>
        <v>37.2945</v>
      </c>
      <c r="T261" s="7">
        <f>日前电价!T261-实时电价!T261</f>
        <v>13.7791</v>
      </c>
      <c r="U261" s="7">
        <f>日前电价!U261-实时电价!U261</f>
        <v>14.2966</v>
      </c>
      <c r="V261" s="7">
        <f>日前电价!V261-实时电价!V261</f>
        <v>20.9386</v>
      </c>
      <c r="W261" s="7">
        <f>日前电价!W261-实时电价!W261</f>
        <v>11.713</v>
      </c>
      <c r="X261" s="7">
        <f>日前电价!X261-实时电价!X261</f>
        <v>4.4846</v>
      </c>
      <c r="Y261" s="7">
        <f>日前电价!Y261-实时电价!Y261</f>
        <v>3.59809999999999</v>
      </c>
      <c r="Z261" s="9">
        <f t="shared" si="12"/>
        <v>37.2945</v>
      </c>
      <c r="AA261" s="9">
        <f t="shared" si="13"/>
        <v>-92.7546</v>
      </c>
      <c r="AB261" s="9">
        <f t="shared" si="14"/>
        <v>-1.2661625</v>
      </c>
    </row>
    <row r="262" spans="1:28">
      <c r="A262" s="8">
        <v>45552</v>
      </c>
      <c r="B262" s="7">
        <f>日前电价!B262-实时电价!B262</f>
        <v>-119.7109</v>
      </c>
      <c r="C262" s="7">
        <f>日前电价!C262-实时电价!C262</f>
        <v>0.26400000000001</v>
      </c>
      <c r="D262" s="7">
        <f>日前电价!D262-实时电价!D262</f>
        <v>27.3068</v>
      </c>
      <c r="E262" s="7">
        <f>日前电价!E262-实时电价!E262</f>
        <v>12.5797</v>
      </c>
      <c r="F262" s="7">
        <f>日前电价!F262-实时电价!F262</f>
        <v>10.0216</v>
      </c>
      <c r="G262" s="7">
        <f>日前电价!G262-实时电价!G262</f>
        <v>14.5001999999999</v>
      </c>
      <c r="H262" s="7">
        <f>日前电价!H262-实时电价!H262</f>
        <v>12.0017</v>
      </c>
      <c r="I262" s="7">
        <f>日前电价!I262-实时电价!I262</f>
        <v>82.1889</v>
      </c>
      <c r="J262" s="7">
        <f>日前电价!J262-实时电价!J262</f>
        <v>8.9865</v>
      </c>
      <c r="K262" s="7">
        <f>日前电价!K262-实时电价!K262</f>
        <v>0.0548999999999999</v>
      </c>
      <c r="L262" s="7">
        <f>日前电价!L262-实时电价!L262</f>
        <v>-5.741</v>
      </c>
      <c r="M262" s="7">
        <f>日前电价!M262-实时电价!M262</f>
        <v>-2.7253</v>
      </c>
      <c r="N262" s="7">
        <f>日前电价!N262-实时电价!N262</f>
        <v>-106.6025</v>
      </c>
      <c r="O262" s="7">
        <f>日前电价!O262-实时电价!O262</f>
        <v>-241.3673</v>
      </c>
      <c r="P262" s="7">
        <f>日前电价!P262-实时电价!P262</f>
        <v>-103.4677</v>
      </c>
      <c r="Q262" s="7">
        <f>日前电价!Q262-实时电价!Q262</f>
        <v>-12.9703</v>
      </c>
      <c r="R262" s="7">
        <f>日前电价!R262-实时电价!R262</f>
        <v>-7.7869</v>
      </c>
      <c r="S262" s="7">
        <f>日前电价!S262-实时电价!S262</f>
        <v>-52.5879</v>
      </c>
      <c r="T262" s="7">
        <f>日前电价!T262-实时电价!T262</f>
        <v>-37.9513</v>
      </c>
      <c r="U262" s="7">
        <f>日前电价!U262-实时电价!U262</f>
        <v>1.3727</v>
      </c>
      <c r="V262" s="7">
        <f>日前电价!V262-实时电价!V262</f>
        <v>8.1825</v>
      </c>
      <c r="W262" s="7">
        <f>日前电价!W262-实时电价!W262</f>
        <v>-94.8424</v>
      </c>
      <c r="X262" s="7">
        <f>日前电价!X262-实时电价!X262</f>
        <v>-21.0889</v>
      </c>
      <c r="Y262" s="7">
        <f>日前电价!Y262-实时电价!Y262</f>
        <v>-13.9877</v>
      </c>
      <c r="Z262" s="9">
        <f t="shared" si="12"/>
        <v>82.1889</v>
      </c>
      <c r="AA262" s="9">
        <f t="shared" si="13"/>
        <v>-241.3673</v>
      </c>
      <c r="AB262" s="9">
        <f t="shared" si="14"/>
        <v>-26.8071083333333</v>
      </c>
    </row>
    <row r="263" spans="1:28">
      <c r="A263" s="8">
        <v>45553</v>
      </c>
      <c r="B263" s="7">
        <f>日前电价!B263-实时电价!B263</f>
        <v>-139.1369</v>
      </c>
      <c r="C263" s="7">
        <f>日前电价!C263-实时电价!C263</f>
        <v>-120.8455</v>
      </c>
      <c r="D263" s="7">
        <f>日前电价!D263-实时电价!D263</f>
        <v>5.565</v>
      </c>
      <c r="E263" s="7">
        <f>日前电价!E263-实时电价!E263</f>
        <v>0.197500000000048</v>
      </c>
      <c r="F263" s="7">
        <f>日前电价!F263-实时电价!F263</f>
        <v>-0.487000000000023</v>
      </c>
      <c r="G263" s="7">
        <f>日前电价!G263-实时电价!G263</f>
        <v>-5.50600000000003</v>
      </c>
      <c r="H263" s="7">
        <f>日前电价!H263-实时电价!H263</f>
        <v>-3.60669999999999</v>
      </c>
      <c r="I263" s="7">
        <f>日前电价!I263-实时电价!I263</f>
        <v>-9.80760000000004</v>
      </c>
      <c r="J263" s="7">
        <f>日前电价!J263-实时电价!J263</f>
        <v>20.5713</v>
      </c>
      <c r="K263" s="7">
        <f>日前电价!K263-实时电价!K263</f>
        <v>83.5446</v>
      </c>
      <c r="L263" s="7">
        <f>日前电价!L263-实时电价!L263</f>
        <v>153.3055</v>
      </c>
      <c r="M263" s="7">
        <f>日前电价!M263-实时电价!M263</f>
        <v>145.2436</v>
      </c>
      <c r="N263" s="7">
        <f>日前电价!N263-实时电价!N263</f>
        <v>113.3987</v>
      </c>
      <c r="O263" s="7">
        <f>日前电价!O263-实时电价!O263</f>
        <v>51.0435</v>
      </c>
      <c r="P263" s="7">
        <f>日前电价!P263-实时电价!P263</f>
        <v>70.9173</v>
      </c>
      <c r="Q263" s="7">
        <f>日前电价!Q263-实时电价!Q263</f>
        <v>45.4005</v>
      </c>
      <c r="R263" s="7">
        <f>日前电价!R263-实时电价!R263</f>
        <v>11.5734</v>
      </c>
      <c r="S263" s="7">
        <f>日前电价!S263-实时电价!S263</f>
        <v>11.36</v>
      </c>
      <c r="T263" s="7">
        <f>日前电价!T263-实时电价!T263</f>
        <v>2.16390000000001</v>
      </c>
      <c r="U263" s="7">
        <f>日前电价!U263-实时电价!U263</f>
        <v>30.3011</v>
      </c>
      <c r="V263" s="7">
        <f>日前电价!V263-实时电价!V263</f>
        <v>35.7335</v>
      </c>
      <c r="W263" s="7">
        <f>日前电价!W263-实时电价!W263</f>
        <v>32.3177</v>
      </c>
      <c r="X263" s="7">
        <f>日前电价!X263-实时电价!X263</f>
        <v>28.0714</v>
      </c>
      <c r="Y263" s="7">
        <f>日前电价!Y263-实时电价!Y263</f>
        <v>11.279</v>
      </c>
      <c r="Z263" s="9">
        <f t="shared" si="12"/>
        <v>153.3055</v>
      </c>
      <c r="AA263" s="9">
        <f t="shared" si="13"/>
        <v>-139.1369</v>
      </c>
      <c r="AB263" s="9">
        <f t="shared" si="14"/>
        <v>23.8582416666667</v>
      </c>
    </row>
    <row r="264" spans="1:28">
      <c r="A264" s="8">
        <v>45554</v>
      </c>
      <c r="B264" s="7">
        <f>日前电价!B264-实时电价!B264</f>
        <v>-388.2957</v>
      </c>
      <c r="C264" s="7">
        <f>日前电价!C264-实时电价!C264</f>
        <v>-448.7771</v>
      </c>
      <c r="D264" s="7">
        <f>日前电价!D264-实时电价!D264</f>
        <v>-304.71</v>
      </c>
      <c r="E264" s="7">
        <f>日前电价!E264-实时电价!E264</f>
        <v>-33.7594</v>
      </c>
      <c r="F264" s="7">
        <f>日前电价!F264-实时电价!F264</f>
        <v>-9.36680000000001</v>
      </c>
      <c r="G264" s="7">
        <f>日前电价!G264-实时电价!G264</f>
        <v>-11.1113</v>
      </c>
      <c r="H264" s="7">
        <f>日前电价!H264-实时电价!H264</f>
        <v>-6.16300000000001</v>
      </c>
      <c r="I264" s="7">
        <f>日前电价!I264-实时电价!I264</f>
        <v>3.9914</v>
      </c>
      <c r="J264" s="7">
        <f>日前电价!J264-实时电价!J264</f>
        <v>7.28860000000003</v>
      </c>
      <c r="K264" s="7">
        <f>日前电价!K264-实时电价!K264</f>
        <v>8.68530000000004</v>
      </c>
      <c r="L264" s="7">
        <f>日前电价!L264-实时电价!L264</f>
        <v>2.17689999999999</v>
      </c>
      <c r="M264" s="7">
        <f>日前电价!M264-实时电价!M264</f>
        <v>5.79559999999998</v>
      </c>
      <c r="N264" s="7">
        <f>日前电价!N264-实时电价!N264</f>
        <v>19.4171</v>
      </c>
      <c r="O264" s="7">
        <f>日前电价!O264-实时电价!O264</f>
        <v>10.0194</v>
      </c>
      <c r="P264" s="7">
        <f>日前电价!P264-实时电价!P264</f>
        <v>33.9619</v>
      </c>
      <c r="Q264" s="7">
        <f>日前电价!Q264-实时电价!Q264</f>
        <v>19.3361</v>
      </c>
      <c r="R264" s="7">
        <f>日前电价!R264-实时电价!R264</f>
        <v>-46.6736</v>
      </c>
      <c r="S264" s="7">
        <f>日前电价!S264-实时电价!S264</f>
        <v>-23.3283</v>
      </c>
      <c r="T264" s="7">
        <f>日前电价!T264-实时电价!T264</f>
        <v>-13.5416</v>
      </c>
      <c r="U264" s="7">
        <f>日前电价!U264-实时电价!U264</f>
        <v>-12.3631</v>
      </c>
      <c r="V264" s="7">
        <f>日前电价!V264-实时电价!V264</f>
        <v>13.3357</v>
      </c>
      <c r="W264" s="7">
        <f>日前电价!W264-实时电价!W264</f>
        <v>5.56819999999999</v>
      </c>
      <c r="X264" s="7">
        <f>日前电价!X264-实时电价!X264</f>
        <v>-2.19709999999998</v>
      </c>
      <c r="Y264" s="7">
        <f>日前电价!Y264-实时电价!Y264</f>
        <v>-7.12100000000004</v>
      </c>
      <c r="Z264" s="9">
        <f t="shared" si="12"/>
        <v>33.9619</v>
      </c>
      <c r="AA264" s="9">
        <f t="shared" si="13"/>
        <v>-448.7771</v>
      </c>
      <c r="AB264" s="9">
        <f t="shared" si="14"/>
        <v>-49.076325</v>
      </c>
    </row>
    <row r="265" spans="1:28">
      <c r="A265" s="8">
        <v>45555</v>
      </c>
      <c r="B265" s="7">
        <f>日前电价!B265-实时电价!B265</f>
        <v>-13.8875</v>
      </c>
      <c r="C265" s="7">
        <f>日前电价!C265-实时电价!C265</f>
        <v>31.7009</v>
      </c>
      <c r="D265" s="7">
        <f>日前电价!D265-实时电价!D265</f>
        <v>176.8334</v>
      </c>
      <c r="E265" s="7">
        <f>日前电价!E265-实时电价!E265</f>
        <v>22.7607</v>
      </c>
      <c r="F265" s="7">
        <f>日前电价!F265-实时电价!F265</f>
        <v>4.3972</v>
      </c>
      <c r="G265" s="7">
        <f>日前电价!G265-实时电价!G265</f>
        <v>-0.317300000000046</v>
      </c>
      <c r="H265" s="7">
        <f>日前电价!H265-实时电价!H265</f>
        <v>-1.92239999999998</v>
      </c>
      <c r="I265" s="7">
        <f>日前电价!I265-实时电价!I265</f>
        <v>-3.74340000000001</v>
      </c>
      <c r="J265" s="7">
        <f>日前电价!J265-实时电价!J265</f>
        <v>8.7706</v>
      </c>
      <c r="K265" s="7">
        <f>日前电价!K265-实时电价!K265</f>
        <v>155.2499</v>
      </c>
      <c r="L265" s="7">
        <f>日前电价!L265-实时电价!L265</f>
        <v>206.3909</v>
      </c>
      <c r="M265" s="7">
        <f>日前电价!M265-实时电价!M265</f>
        <v>177.5245</v>
      </c>
      <c r="N265" s="7">
        <f>日前电价!N265-实时电价!N265</f>
        <v>53.5924</v>
      </c>
      <c r="O265" s="7">
        <f>日前电价!O265-实时电价!O265</f>
        <v>176.1753</v>
      </c>
      <c r="P265" s="7">
        <f>日前电价!P265-实时电价!P265</f>
        <v>231.4673</v>
      </c>
      <c r="Q265" s="7">
        <f>日前电价!Q265-实时电价!Q265</f>
        <v>199.7261</v>
      </c>
      <c r="R265" s="7">
        <f>日前电价!R265-实时电价!R265</f>
        <v>1.09069999999997</v>
      </c>
      <c r="S265" s="7">
        <f>日前电价!S265-实时电价!S265</f>
        <v>-56.9983999999999</v>
      </c>
      <c r="T265" s="7">
        <f>日前电价!T265-实时电价!T265</f>
        <v>-59.7991</v>
      </c>
      <c r="U265" s="7">
        <f>日前电价!U265-实时电价!U265</f>
        <v>25.9424</v>
      </c>
      <c r="V265" s="7">
        <f>日前电价!V265-实时电价!V265</f>
        <v>94.105</v>
      </c>
      <c r="W265" s="7">
        <f>日前电价!W265-实时电价!W265</f>
        <v>75.8653</v>
      </c>
      <c r="X265" s="7">
        <f>日前电价!X265-实时电价!X265</f>
        <v>118.8341</v>
      </c>
      <c r="Y265" s="7">
        <f>日前电价!Y265-实时电价!Y265</f>
        <v>65.8418</v>
      </c>
      <c r="Z265" s="9">
        <f t="shared" si="12"/>
        <v>231.4673</v>
      </c>
      <c r="AA265" s="9">
        <f t="shared" si="13"/>
        <v>-59.7991</v>
      </c>
      <c r="AB265" s="9">
        <f t="shared" si="14"/>
        <v>70.4000166666667</v>
      </c>
    </row>
    <row r="266" spans="1:28">
      <c r="A266" s="8">
        <v>45556</v>
      </c>
      <c r="B266" s="7">
        <f>日前电价!B266-实时电价!B266</f>
        <v>-18.1925</v>
      </c>
      <c r="C266" s="7">
        <f>日前电价!C266-实时电价!C266</f>
        <v>13.2449</v>
      </c>
      <c r="D266" s="7">
        <f>日前电价!D266-实时电价!D266</f>
        <v>9.88740000000001</v>
      </c>
      <c r="E266" s="7">
        <f>日前电价!E266-实时电价!E266</f>
        <v>2.58840000000004</v>
      </c>
      <c r="F266" s="7">
        <f>日前电价!F266-实时电价!F266</f>
        <v>-0.385099999999966</v>
      </c>
      <c r="G266" s="7">
        <f>日前电价!G266-实时电价!G266</f>
        <v>-4.58069999999998</v>
      </c>
      <c r="H266" s="7">
        <f>日前电价!H266-实时电价!H266</f>
        <v>-3.2824</v>
      </c>
      <c r="I266" s="7">
        <f>日前电价!I266-实时电价!I266</f>
        <v>-8.1327</v>
      </c>
      <c r="J266" s="7">
        <f>日前电价!J266-实时电价!J266</f>
        <v>-30.7818</v>
      </c>
      <c r="K266" s="7">
        <f>日前电价!K266-实时电价!K266</f>
        <v>-160.9323</v>
      </c>
      <c r="L266" s="7">
        <f>日前电价!L266-实时电价!L266</f>
        <v>8.81630000000001</v>
      </c>
      <c r="M266" s="7">
        <f>日前电价!M266-实时电价!M266</f>
        <v>18.5846</v>
      </c>
      <c r="N266" s="7">
        <f>日前电价!N266-实时电价!N266</f>
        <v>6.86770000000001</v>
      </c>
      <c r="O266" s="7">
        <f>日前电价!O266-实时电价!O266</f>
        <v>-8.68560000000002</v>
      </c>
      <c r="P266" s="7">
        <f>日前电价!P266-实时电价!P266</f>
        <v>22.7146</v>
      </c>
      <c r="Q266" s="7">
        <f>日前电价!Q266-实时电价!Q266</f>
        <v>57.8719</v>
      </c>
      <c r="R266" s="7">
        <f>日前电价!R266-实时电价!R266</f>
        <v>25.6874</v>
      </c>
      <c r="S266" s="7">
        <f>日前电价!S266-实时电价!S266</f>
        <v>25.9817</v>
      </c>
      <c r="T266" s="7">
        <f>日前电价!T266-实时电价!T266</f>
        <v>16.2405</v>
      </c>
      <c r="U266" s="7">
        <f>日前电价!U266-实时电价!U266</f>
        <v>37.7733</v>
      </c>
      <c r="V266" s="7">
        <f>日前电价!V266-实时电价!V266</f>
        <v>31.8673</v>
      </c>
      <c r="W266" s="7">
        <f>日前电价!W266-实时电价!W266</f>
        <v>26.2831</v>
      </c>
      <c r="X266" s="7">
        <f>日前电价!X266-实时电价!X266</f>
        <v>15.5038</v>
      </c>
      <c r="Y266" s="7">
        <f>日前电价!Y266-实时电价!Y266</f>
        <v>8.92359999999996</v>
      </c>
      <c r="Z266" s="9">
        <f t="shared" si="12"/>
        <v>57.8719</v>
      </c>
      <c r="AA266" s="9">
        <f t="shared" si="13"/>
        <v>-160.9323</v>
      </c>
      <c r="AB266" s="9">
        <f t="shared" si="14"/>
        <v>3.91097500000001</v>
      </c>
    </row>
    <row r="267" spans="1:28">
      <c r="A267" s="8">
        <v>45557</v>
      </c>
      <c r="B267" s="7">
        <f>日前电价!B267-实时电价!B267</f>
        <v>-38.6543</v>
      </c>
      <c r="C267" s="7">
        <f>日前电价!C267-实时电价!C267</f>
        <v>-15.6155</v>
      </c>
      <c r="D267" s="7">
        <f>日前电价!D267-实时电价!D267</f>
        <v>-5.13890000000004</v>
      </c>
      <c r="E267" s="7">
        <f>日前电价!E267-实时电价!E267</f>
        <v>-1.95410000000004</v>
      </c>
      <c r="F267" s="7">
        <f>日前电价!F267-实时电价!F267</f>
        <v>-10.3449</v>
      </c>
      <c r="G267" s="7">
        <f>日前电价!G267-实时电价!G267</f>
        <v>-9.17779999999999</v>
      </c>
      <c r="H267" s="7">
        <f>日前电价!H267-实时电价!H267</f>
        <v>-10.7517</v>
      </c>
      <c r="I267" s="7">
        <f>日前电价!I267-实时电价!I267</f>
        <v>-31.2876</v>
      </c>
      <c r="J267" s="7">
        <f>日前电价!J267-实时电价!J267</f>
        <v>-62.1863</v>
      </c>
      <c r="K267" s="7">
        <f>日前电价!K267-实时电价!K267</f>
        <v>-62.684</v>
      </c>
      <c r="L267" s="7">
        <f>日前电价!L267-实时电价!L267</f>
        <v>-62.0247</v>
      </c>
      <c r="M267" s="7">
        <f>日前电价!M267-实时电价!M267</f>
        <v>30.2575</v>
      </c>
      <c r="N267" s="7">
        <f>日前电价!N267-实时电价!N267</f>
        <v>59.8773</v>
      </c>
      <c r="O267" s="7">
        <f>日前电价!O267-实时电价!O267</f>
        <v>-16.0596</v>
      </c>
      <c r="P267" s="7">
        <f>日前电价!P267-实时电价!P267</f>
        <v>-8.42759999999998</v>
      </c>
      <c r="Q267" s="7">
        <f>日前电价!Q267-实时电价!Q267</f>
        <v>23.4429</v>
      </c>
      <c r="R267" s="7">
        <f>日前电价!R267-实时电价!R267</f>
        <v>16.3293</v>
      </c>
      <c r="S267" s="7">
        <f>日前电价!S267-实时电价!S267</f>
        <v>100.5203</v>
      </c>
      <c r="T267" s="7">
        <f>日前电价!T267-实时电价!T267</f>
        <v>239.4179</v>
      </c>
      <c r="U267" s="7">
        <f>日前电价!U267-实时电价!U267</f>
        <v>219.0801</v>
      </c>
      <c r="V267" s="7">
        <f>日前电价!V267-实时电价!V267</f>
        <v>283.9084</v>
      </c>
      <c r="W267" s="7">
        <f>日前电价!W267-实时电价!W267</f>
        <v>272.9672</v>
      </c>
      <c r="X267" s="7">
        <f>日前电价!X267-实时电价!X267</f>
        <v>258.2014</v>
      </c>
      <c r="Y267" s="7">
        <f>日前电价!Y267-实时电价!Y267</f>
        <v>200.4876</v>
      </c>
      <c r="Z267" s="9">
        <f t="shared" si="12"/>
        <v>283.9084</v>
      </c>
      <c r="AA267" s="9">
        <f t="shared" si="13"/>
        <v>-62.684</v>
      </c>
      <c r="AB267" s="9">
        <f t="shared" si="14"/>
        <v>57.0909541666667</v>
      </c>
    </row>
    <row r="268" spans="1:28">
      <c r="A268" s="8">
        <v>45558</v>
      </c>
      <c r="B268" s="7">
        <f>日前电价!B268-实时电价!B268</f>
        <v>43.0263</v>
      </c>
      <c r="C268" s="7">
        <f>日前电价!C268-实时电价!C268</f>
        <v>184.9814</v>
      </c>
      <c r="D268" s="7">
        <f>日前电价!D268-实时电价!D268</f>
        <v>-101.3875</v>
      </c>
      <c r="E268" s="7">
        <f>日前电价!E268-实时电价!E268</f>
        <v>-347.9441</v>
      </c>
      <c r="F268" s="7">
        <f>日前电价!F268-实时电价!F268</f>
        <v>-254.5306</v>
      </c>
      <c r="G268" s="7">
        <f>日前电价!G268-实时电价!G268</f>
        <v>-223.9327</v>
      </c>
      <c r="H268" s="7">
        <f>日前电价!H268-实时电价!H268</f>
        <v>-310.5456</v>
      </c>
      <c r="I268" s="7">
        <f>日前电价!I268-实时电价!I268</f>
        <v>-0.6773</v>
      </c>
      <c r="J268" s="7">
        <f>日前电价!J268-实时电价!J268</f>
        <v>195.775</v>
      </c>
      <c r="K268" s="7">
        <f>日前电价!K268-实时电价!K268</f>
        <v>219.8123</v>
      </c>
      <c r="L268" s="7">
        <f>日前电价!L268-实时电价!L268</f>
        <v>232.5813</v>
      </c>
      <c r="M268" s="7">
        <f>日前电价!M268-实时电价!M268</f>
        <v>291.5798</v>
      </c>
      <c r="N268" s="7">
        <f>日前电价!N268-实时电价!N268</f>
        <v>303.0521</v>
      </c>
      <c r="O268" s="7">
        <f>日前电价!O268-实时电价!O268</f>
        <v>210.9505</v>
      </c>
      <c r="P268" s="7">
        <f>日前电价!P268-实时电价!P268</f>
        <v>163.2137</v>
      </c>
      <c r="Q268" s="7">
        <f>日前电价!Q268-实时电价!Q268</f>
        <v>266.6142</v>
      </c>
      <c r="R268" s="7">
        <f>日前电价!R268-实时电价!R268</f>
        <v>260.3776</v>
      </c>
      <c r="S268" s="7">
        <f>日前电价!S268-实时电价!S268</f>
        <v>252.8569</v>
      </c>
      <c r="T268" s="7">
        <f>日前电价!T268-实时电价!T268</f>
        <v>301.9618</v>
      </c>
      <c r="U268" s="7">
        <f>日前电价!U268-实时电价!U268</f>
        <v>161.4439</v>
      </c>
      <c r="V268" s="7">
        <f>日前电价!V268-实时电价!V268</f>
        <v>326.5652</v>
      </c>
      <c r="W268" s="7">
        <f>日前电价!W268-实时电价!W268</f>
        <v>308.3735</v>
      </c>
      <c r="X268" s="7">
        <f>日前电价!X268-实时电价!X268</f>
        <v>293.5518</v>
      </c>
      <c r="Y268" s="7">
        <f>日前电价!Y268-实时电价!Y268</f>
        <v>182.686</v>
      </c>
      <c r="Z268" s="9">
        <f t="shared" si="12"/>
        <v>326.5652</v>
      </c>
      <c r="AA268" s="9">
        <f t="shared" si="13"/>
        <v>-347.9441</v>
      </c>
      <c r="AB268" s="9">
        <f t="shared" si="14"/>
        <v>123.349395833333</v>
      </c>
    </row>
    <row r="269" spans="1:28">
      <c r="A269" s="8">
        <v>45559</v>
      </c>
      <c r="B269" s="7">
        <f>日前电价!B269-实时电价!B269</f>
        <v>31.7419</v>
      </c>
      <c r="C269" s="7">
        <f>日前电价!C269-实时电价!C269</f>
        <v>94.5805</v>
      </c>
      <c r="D269" s="7">
        <f>日前电价!D269-实时电价!D269</f>
        <v>-4.242</v>
      </c>
      <c r="E269" s="7">
        <f>日前电价!E269-实时电价!E269</f>
        <v>-255.663</v>
      </c>
      <c r="F269" s="7">
        <f>日前电价!F269-实时电价!F269</f>
        <v>-262.1832</v>
      </c>
      <c r="G269" s="7">
        <f>日前电价!G269-实时电价!G269</f>
        <v>-269.1209</v>
      </c>
      <c r="H269" s="7">
        <f>日前电价!H269-实时电价!H269</f>
        <v>-184.7969</v>
      </c>
      <c r="I269" s="7">
        <f>日前电价!I269-实时电价!I269</f>
        <v>-13.838</v>
      </c>
      <c r="J269" s="7">
        <f>日前电价!J269-实时电价!J269</f>
        <v>-9.95079999999996</v>
      </c>
      <c r="K269" s="7">
        <f>日前电价!K269-实时电价!K269</f>
        <v>21.5909</v>
      </c>
      <c r="L269" s="7">
        <f>日前电价!L269-实时电价!L269</f>
        <v>21.5022</v>
      </c>
      <c r="M269" s="7">
        <f>日前电价!M269-实时电价!M269</f>
        <v>102.2555</v>
      </c>
      <c r="N269" s="7">
        <f>日前电价!N269-实时电价!N269</f>
        <v>172.4672</v>
      </c>
      <c r="O269" s="7">
        <f>日前电价!O269-实时电价!O269</f>
        <v>45.0957</v>
      </c>
      <c r="P269" s="7">
        <f>日前电价!P269-实时电价!P269</f>
        <v>54.4795</v>
      </c>
      <c r="Q269" s="7">
        <f>日前电价!Q269-实时电价!Q269</f>
        <v>52.9608</v>
      </c>
      <c r="R269" s="7">
        <f>日前电价!R269-实时电价!R269</f>
        <v>36.0216</v>
      </c>
      <c r="S269" s="7">
        <f>日前电价!S269-实时电价!S269</f>
        <v>30.6744</v>
      </c>
      <c r="T269" s="7">
        <f>日前电价!T269-实时电价!T269</f>
        <v>8.39409999999998</v>
      </c>
      <c r="U269" s="7">
        <f>日前电价!U269-实时电价!U269</f>
        <v>17.7716</v>
      </c>
      <c r="V269" s="7">
        <f>日前电价!V269-实时电价!V269</f>
        <v>-14.6002</v>
      </c>
      <c r="W269" s="7">
        <f>日前电价!W269-实时电价!W269</f>
        <v>7.40299999999996</v>
      </c>
      <c r="X269" s="7">
        <f>日前电价!X269-实时电价!X269</f>
        <v>17.4102</v>
      </c>
      <c r="Y269" s="7">
        <f>日前电价!Y269-实时电价!Y269</f>
        <v>68.3428</v>
      </c>
      <c r="Z269" s="9">
        <f t="shared" si="12"/>
        <v>172.4672</v>
      </c>
      <c r="AA269" s="9">
        <f t="shared" si="13"/>
        <v>-269.1209</v>
      </c>
      <c r="AB269" s="9">
        <f t="shared" si="14"/>
        <v>-9.65429583333334</v>
      </c>
    </row>
    <row r="270" spans="1:28">
      <c r="A270" s="8">
        <v>45560</v>
      </c>
      <c r="B270" s="7">
        <f>日前电价!B270-实时电价!B270</f>
        <v>-0.115999999999985</v>
      </c>
      <c r="C270" s="7">
        <f>日前电价!C270-实时电价!C270</f>
        <v>-0.780100000000004</v>
      </c>
      <c r="D270" s="7">
        <f>日前电价!D270-实时电价!D270</f>
        <v>2.07850000000002</v>
      </c>
      <c r="E270" s="7">
        <f>日前电价!E270-实时电价!E270</f>
        <v>1.9796</v>
      </c>
      <c r="F270" s="7">
        <f>日前电价!F270-实时电价!F270</f>
        <v>-1.16739999999999</v>
      </c>
      <c r="G270" s="7">
        <f>日前电价!G270-实时电价!G270</f>
        <v>-1.44029999999998</v>
      </c>
      <c r="H270" s="7">
        <f>日前电价!H270-实时电价!H270</f>
        <v>-7.8417</v>
      </c>
      <c r="I270" s="7">
        <f>日前电价!I270-实时电价!I270</f>
        <v>-8.41180000000003</v>
      </c>
      <c r="J270" s="7">
        <f>日前电价!J270-实时电价!J270</f>
        <v>-15.0469</v>
      </c>
      <c r="K270" s="7">
        <f>日前电价!K270-实时电价!K270</f>
        <v>-19.7864</v>
      </c>
      <c r="L270" s="7">
        <f>日前电价!L270-实时电价!L270</f>
        <v>-49.3788</v>
      </c>
      <c r="M270" s="7">
        <f>日前电价!M270-实时电价!M270</f>
        <v>-12.457</v>
      </c>
      <c r="N270" s="7">
        <f>日前电价!N270-实时电价!N270</f>
        <v>22.2167</v>
      </c>
      <c r="O270" s="7">
        <f>日前电价!O270-实时电价!O270</f>
        <v>18.8545</v>
      </c>
      <c r="P270" s="7">
        <f>日前电价!P270-实时电价!P270</f>
        <v>47.2001</v>
      </c>
      <c r="Q270" s="7">
        <f>日前电价!Q270-实时电价!Q270</f>
        <v>32.0544</v>
      </c>
      <c r="R270" s="7">
        <f>日前电价!R270-实时电价!R270</f>
        <v>-8.4008</v>
      </c>
      <c r="S270" s="7">
        <f>日前电价!S270-实时电价!S270</f>
        <v>-10.5889</v>
      </c>
      <c r="T270" s="7">
        <f>日前电价!T270-实时电价!T270</f>
        <v>-24.565</v>
      </c>
      <c r="U270" s="7">
        <f>日前电价!U270-实时电价!U270</f>
        <v>-55.4483</v>
      </c>
      <c r="V270" s="7">
        <f>日前电价!V270-实时电价!V270</f>
        <v>-34.8217</v>
      </c>
      <c r="W270" s="7">
        <f>日前电价!W270-实时电价!W270</f>
        <v>-40.0094</v>
      </c>
      <c r="X270" s="7">
        <f>日前电价!X270-实时电价!X270</f>
        <v>-28.7845</v>
      </c>
      <c r="Y270" s="7">
        <f>日前电价!Y270-实时电价!Y270</f>
        <v>-16.8508</v>
      </c>
      <c r="Z270" s="9">
        <f t="shared" si="12"/>
        <v>47.2001</v>
      </c>
      <c r="AA270" s="9">
        <f t="shared" si="13"/>
        <v>-55.4483</v>
      </c>
      <c r="AB270" s="9">
        <f t="shared" si="14"/>
        <v>-8.813</v>
      </c>
    </row>
    <row r="271" spans="1:28">
      <c r="A271" s="8">
        <v>45561</v>
      </c>
      <c r="B271" s="7">
        <f>日前电价!B271-实时电价!B271</f>
        <v>-183.2281</v>
      </c>
      <c r="C271" s="7">
        <f>日前电价!C271-实时电价!C271</f>
        <v>-47.9516</v>
      </c>
      <c r="D271" s="7">
        <f>日前电价!D271-实时电价!D271</f>
        <v>-25.3527</v>
      </c>
      <c r="E271" s="7">
        <f>日前电价!E271-实时电价!E271</f>
        <v>-17.5897</v>
      </c>
      <c r="F271" s="7">
        <f>日前电价!F271-实时电价!F271</f>
        <v>-9.08890000000002</v>
      </c>
      <c r="G271" s="7">
        <f>日前电价!G271-实时电价!G271</f>
        <v>-12.5903</v>
      </c>
      <c r="H271" s="7">
        <f>日前电价!H271-实时电价!H271</f>
        <v>-19.9264</v>
      </c>
      <c r="I271" s="7">
        <f>日前电价!I271-实时电价!I271</f>
        <v>-24.3037</v>
      </c>
      <c r="J271" s="7">
        <f>日前电价!J271-实时电价!J271</f>
        <v>-66.8573</v>
      </c>
      <c r="K271" s="7">
        <f>日前电价!K271-实时电价!K271</f>
        <v>-104.914</v>
      </c>
      <c r="L271" s="7">
        <f>日前电价!L271-实时电价!L271</f>
        <v>-34.5851</v>
      </c>
      <c r="M271" s="7">
        <f>日前电价!M271-实时电价!M271</f>
        <v>-6.26839999999999</v>
      </c>
      <c r="N271" s="7">
        <f>日前电价!N271-实时电价!N271</f>
        <v>46.1568</v>
      </c>
      <c r="O271" s="7">
        <f>日前电价!O271-实时电价!O271</f>
        <v>8.19279999999998</v>
      </c>
      <c r="P271" s="7">
        <f>日前电价!P271-实时电价!P271</f>
        <v>32.2519</v>
      </c>
      <c r="Q271" s="7">
        <f>日前电价!Q271-实时电价!Q271</f>
        <v>29.3436</v>
      </c>
      <c r="R271" s="7">
        <f>日前电价!R271-实时电价!R271</f>
        <v>11.7746</v>
      </c>
      <c r="S271" s="7">
        <f>日前电价!S271-实时电价!S271</f>
        <v>2.2946</v>
      </c>
      <c r="T271" s="7">
        <f>日前电价!T271-实时电价!T271</f>
        <v>-22.511</v>
      </c>
      <c r="U271" s="7">
        <f>日前电价!U271-实时电价!U271</f>
        <v>-53.9418</v>
      </c>
      <c r="V271" s="7">
        <f>日前电价!V271-实时电价!V271</f>
        <v>-31.7745</v>
      </c>
      <c r="W271" s="7">
        <f>日前电价!W271-实时电价!W271</f>
        <v>-30.3754</v>
      </c>
      <c r="X271" s="7">
        <f>日前电价!X271-实时电价!X271</f>
        <v>-38.0827</v>
      </c>
      <c r="Y271" s="7">
        <f>日前电价!Y271-实时电价!Y271</f>
        <v>-33.9428</v>
      </c>
      <c r="Z271" s="9">
        <f t="shared" si="12"/>
        <v>46.1568</v>
      </c>
      <c r="AA271" s="9">
        <f t="shared" si="13"/>
        <v>-183.2281</v>
      </c>
      <c r="AB271" s="9">
        <f t="shared" si="14"/>
        <v>-26.3862541666667</v>
      </c>
    </row>
    <row r="272" spans="1:28">
      <c r="A272" s="8">
        <v>45562</v>
      </c>
      <c r="B272" s="7">
        <f>日前电价!B272-实时电价!B272</f>
        <v>-164.7589</v>
      </c>
      <c r="C272" s="7">
        <f>日前电价!C272-实时电价!C272</f>
        <v>-25.7743</v>
      </c>
      <c r="D272" s="7">
        <f>日前电价!D272-实时电价!D272</f>
        <v>-11.3108</v>
      </c>
      <c r="E272" s="7">
        <f>日前电价!E272-实时电价!E272</f>
        <v>-8.78660000000002</v>
      </c>
      <c r="F272" s="7">
        <f>日前电价!F272-实时电价!F272</f>
        <v>-6.76769999999999</v>
      </c>
      <c r="G272" s="7">
        <f>日前电价!G272-实时电价!G272</f>
        <v>-7.84550000000002</v>
      </c>
      <c r="H272" s="7">
        <f>日前电价!H272-实时电价!H272</f>
        <v>-6.75799999999998</v>
      </c>
      <c r="I272" s="7">
        <f>日前电价!I272-实时电价!I272</f>
        <v>-1.98779999999999</v>
      </c>
      <c r="J272" s="7">
        <f>日前电价!J272-实时电价!J272</f>
        <v>-14.4322</v>
      </c>
      <c r="K272" s="7">
        <f>日前电价!K272-实时电价!K272</f>
        <v>-0.530100000000004</v>
      </c>
      <c r="L272" s="7">
        <f>日前电价!L272-实时电价!L272</f>
        <v>-0.44399999999996</v>
      </c>
      <c r="M272" s="7">
        <f>日前电价!M272-实时电价!M272</f>
        <v>8.79509999999999</v>
      </c>
      <c r="N272" s="7">
        <f>日前电价!N272-实时电价!N272</f>
        <v>-0.995400000000018</v>
      </c>
      <c r="O272" s="7">
        <f>日前电价!O272-实时电价!O272</f>
        <v>-61.1329</v>
      </c>
      <c r="P272" s="7">
        <f>日前电价!P272-实时电价!P272</f>
        <v>-77.4257</v>
      </c>
      <c r="Q272" s="7">
        <f>日前电价!Q272-实时电价!Q272</f>
        <v>-43.3034</v>
      </c>
      <c r="R272" s="7">
        <f>日前电价!R272-实时电价!R272</f>
        <v>3.0514</v>
      </c>
      <c r="S272" s="7">
        <f>日前电价!S272-实时电价!S272</f>
        <v>-19.8722</v>
      </c>
      <c r="T272" s="7">
        <f>日前电价!T272-实时电价!T272</f>
        <v>-38.892</v>
      </c>
      <c r="U272" s="7">
        <f>日前电价!U272-实时电价!U272</f>
        <v>-101.6239</v>
      </c>
      <c r="V272" s="7">
        <f>日前电价!V272-实时电价!V272</f>
        <v>-200.9345</v>
      </c>
      <c r="W272" s="7">
        <f>日前电价!W272-实时电价!W272</f>
        <v>-123.2639</v>
      </c>
      <c r="X272" s="7">
        <f>日前电价!X272-实时电价!X272</f>
        <v>-196.4188</v>
      </c>
      <c r="Y272" s="7">
        <f>日前电价!Y272-实时电价!Y272</f>
        <v>-25.7625</v>
      </c>
      <c r="Z272" s="9">
        <f t="shared" si="12"/>
        <v>8.79509999999999</v>
      </c>
      <c r="AA272" s="9">
        <f t="shared" si="13"/>
        <v>-200.9345</v>
      </c>
      <c r="AB272" s="9">
        <f t="shared" si="14"/>
        <v>-46.9656083333333</v>
      </c>
    </row>
    <row r="273" spans="1:28">
      <c r="A273" s="8">
        <v>45563</v>
      </c>
      <c r="B273" s="7">
        <f>日前电价!B273-实时电价!B273</f>
        <v>-148.3157</v>
      </c>
      <c r="C273" s="7">
        <f>日前电价!C273-实时电价!C273</f>
        <v>-352.5622</v>
      </c>
      <c r="D273" s="7">
        <f>日前电价!D273-实时电价!D273</f>
        <v>-208.7842</v>
      </c>
      <c r="E273" s="7">
        <f>日前电价!E273-实时电价!E273</f>
        <v>-31.0706</v>
      </c>
      <c r="F273" s="7">
        <f>日前电价!F273-实时电价!F273</f>
        <v>-16.3321</v>
      </c>
      <c r="G273" s="7">
        <f>日前电价!G273-实时电价!G273</f>
        <v>-9.20999999999998</v>
      </c>
      <c r="H273" s="7">
        <f>日前电价!H273-实时电价!H273</f>
        <v>-33.2017</v>
      </c>
      <c r="I273" s="7">
        <f>日前电价!I273-实时电价!I273</f>
        <v>-15.5127</v>
      </c>
      <c r="J273" s="7">
        <f>日前电价!J273-实时电价!J273</f>
        <v>-35.1935</v>
      </c>
      <c r="K273" s="7">
        <f>日前电价!K273-实时电价!K273</f>
        <v>-22.5345</v>
      </c>
      <c r="L273" s="7">
        <f>日前电价!L273-实时电价!L273</f>
        <v>-17.9644</v>
      </c>
      <c r="M273" s="7">
        <f>日前电价!M273-实时电价!M273</f>
        <v>-3.83080000000001</v>
      </c>
      <c r="N273" s="7">
        <f>日前电价!N273-实时电价!N273</f>
        <v>4.69890000000004</v>
      </c>
      <c r="O273" s="7">
        <f>日前电价!O273-实时电价!O273</f>
        <v>-147.402</v>
      </c>
      <c r="P273" s="7">
        <f>日前电价!P273-实时电价!P273</f>
        <v>-240.2208</v>
      </c>
      <c r="Q273" s="7">
        <f>日前电价!Q273-实时电价!Q273</f>
        <v>-49.6921</v>
      </c>
      <c r="R273" s="7">
        <f>日前电价!R273-实时电价!R273</f>
        <v>-66.452</v>
      </c>
      <c r="S273" s="7">
        <f>日前电价!S273-实时电价!S273</f>
        <v>-35.4715</v>
      </c>
      <c r="T273" s="7">
        <f>日前电价!T273-实时电价!T273</f>
        <v>-17.2411</v>
      </c>
      <c r="U273" s="7">
        <f>日前电价!U273-实时电价!U273</f>
        <v>-19.813</v>
      </c>
      <c r="V273" s="7">
        <f>日前电价!V273-实时电价!V273</f>
        <v>-18.8935</v>
      </c>
      <c r="W273" s="7">
        <f>日前电价!W273-实时电价!W273</f>
        <v>-19.1263</v>
      </c>
      <c r="X273" s="7">
        <f>日前电价!X273-实时电价!X273</f>
        <v>-43.6775</v>
      </c>
      <c r="Y273" s="7">
        <f>日前电价!Y273-实时电价!Y273</f>
        <v>6.36950000000002</v>
      </c>
      <c r="Z273" s="9">
        <f t="shared" si="12"/>
        <v>6.36950000000002</v>
      </c>
      <c r="AA273" s="9">
        <f t="shared" si="13"/>
        <v>-352.5622</v>
      </c>
      <c r="AB273" s="9">
        <f t="shared" si="14"/>
        <v>-64.2264083333333</v>
      </c>
    </row>
    <row r="274" spans="1:28">
      <c r="A274" s="8">
        <v>45564</v>
      </c>
      <c r="B274" s="7">
        <f>日前电价!B274-实时电价!B274</f>
        <v>-12.7276000000001</v>
      </c>
      <c r="C274" s="7">
        <f>日前电价!C274-实时电价!C274</f>
        <v>-62.9775</v>
      </c>
      <c r="D274" s="7">
        <f>日前电价!D274-实时电价!D274</f>
        <v>-358.71</v>
      </c>
      <c r="E274" s="7">
        <f>日前电价!E274-实时电价!E274</f>
        <v>-135.6196</v>
      </c>
      <c r="F274" s="7">
        <f>日前电价!F274-实时电价!F274</f>
        <v>-15.2924</v>
      </c>
      <c r="G274" s="7">
        <f>日前电价!G274-实时电价!G274</f>
        <v>-20.0762</v>
      </c>
      <c r="H274" s="7">
        <f>日前电价!H274-实时电价!H274</f>
        <v>-179.8586</v>
      </c>
      <c r="I274" s="7">
        <f>日前电价!I274-实时电价!I274</f>
        <v>-40.6884</v>
      </c>
      <c r="J274" s="7">
        <f>日前电价!J274-实时电价!J274</f>
        <v>-16.5487</v>
      </c>
      <c r="K274" s="7">
        <f>日前电价!K274-实时电价!K274</f>
        <v>11.666</v>
      </c>
      <c r="L274" s="7">
        <f>日前电价!L274-实时电价!L274</f>
        <v>3.88159999999999</v>
      </c>
      <c r="M274" s="7">
        <f>日前电价!M274-实时电价!M274</f>
        <v>30.3645</v>
      </c>
      <c r="N274" s="7">
        <f>日前电价!N274-实时电价!N274</f>
        <v>31.3227</v>
      </c>
      <c r="O274" s="7">
        <f>日前电价!O274-实时电价!O274</f>
        <v>50.903</v>
      </c>
      <c r="P274" s="7">
        <f>日前电价!P274-实时电价!P274</f>
        <v>139.5345</v>
      </c>
      <c r="Q274" s="7">
        <f>日前电价!Q274-实时电价!Q274</f>
        <v>84.0608</v>
      </c>
      <c r="R274" s="7">
        <f>日前电价!R274-实时电价!R274</f>
        <v>-97.3475</v>
      </c>
      <c r="S274" s="7">
        <f>日前电价!S274-实时电价!S274</f>
        <v>-165.7333</v>
      </c>
      <c r="T274" s="7">
        <f>日前电价!T274-实时电价!T274</f>
        <v>-89.2913</v>
      </c>
      <c r="U274" s="7">
        <f>日前电价!U274-实时电价!U274</f>
        <v>-50.6726</v>
      </c>
      <c r="V274" s="7">
        <f>日前电价!V274-实时电价!V274</f>
        <v>-116.58</v>
      </c>
      <c r="W274" s="7">
        <f>日前电价!W274-实时电价!W274</f>
        <v>-281.4246</v>
      </c>
      <c r="X274" s="7">
        <f>日前电价!X274-实时电价!X274</f>
        <v>-374.7582</v>
      </c>
      <c r="Y274" s="7">
        <f>日前电价!Y274-实时电价!Y274</f>
        <v>-122.2369</v>
      </c>
      <c r="Z274" s="9">
        <f t="shared" si="12"/>
        <v>139.5345</v>
      </c>
      <c r="AA274" s="9">
        <f t="shared" si="13"/>
        <v>-374.7582</v>
      </c>
      <c r="AB274" s="9">
        <f t="shared" si="14"/>
        <v>-74.5337625</v>
      </c>
    </row>
    <row r="275" spans="1:28">
      <c r="A275" s="8">
        <v>45565</v>
      </c>
      <c r="B275" s="7">
        <f>日前电价!B275-实时电价!B275</f>
        <v>-149.1131</v>
      </c>
      <c r="C275" s="7">
        <f>日前电价!C275-实时电价!C275</f>
        <v>-251.6597</v>
      </c>
      <c r="D275" s="7">
        <f>日前电价!D275-实时电价!D275</f>
        <v>-275.0781</v>
      </c>
      <c r="E275" s="7">
        <f>日前电价!E275-实时电价!E275</f>
        <v>-170.8516</v>
      </c>
      <c r="F275" s="7">
        <f>日前电价!F275-实时电价!F275</f>
        <v>-24.5021</v>
      </c>
      <c r="G275" s="7">
        <f>日前电价!G275-实时电价!G275</f>
        <v>-20.551</v>
      </c>
      <c r="H275" s="7">
        <f>日前电价!H275-实时电价!H275</f>
        <v>-21.7087</v>
      </c>
      <c r="I275" s="7">
        <f>日前电价!I275-实时电价!I275</f>
        <v>-9.2056</v>
      </c>
      <c r="J275" s="7">
        <f>日前电价!J275-实时电价!J275</f>
        <v>5.47640000000001</v>
      </c>
      <c r="K275" s="7">
        <f>日前电价!K275-实时电价!K275</f>
        <v>28.7218</v>
      </c>
      <c r="L275" s="7">
        <f>日前电价!L275-实时电价!L275</f>
        <v>44.1849</v>
      </c>
      <c r="M275" s="7">
        <f>日前电价!M275-实时电价!M275</f>
        <v>49.6496</v>
      </c>
      <c r="N275" s="7">
        <f>日前电价!N275-实时电价!N275</f>
        <v>87.4756</v>
      </c>
      <c r="O275" s="7">
        <f>日前电价!O275-实时电价!O275</f>
        <v>28.9375</v>
      </c>
      <c r="P275" s="7">
        <f>日前电价!P275-实时电价!P275</f>
        <v>40.9237</v>
      </c>
      <c r="Q275" s="7">
        <f>日前电价!Q275-实时电价!Q275</f>
        <v>23.7252</v>
      </c>
      <c r="R275" s="7">
        <f>日前电价!R275-实时电价!R275</f>
        <v>4.73020000000002</v>
      </c>
      <c r="S275" s="7">
        <f>日前电价!S275-实时电价!S275</f>
        <v>-44.8004</v>
      </c>
      <c r="T275" s="7">
        <f>日前电价!T275-实时电价!T275</f>
        <v>-40.1793</v>
      </c>
      <c r="U275" s="7">
        <f>日前电价!U275-实时电价!U275</f>
        <v>-112.7918</v>
      </c>
      <c r="V275" s="7">
        <f>日前电价!V275-实时电价!V275</f>
        <v>-118.3726</v>
      </c>
      <c r="W275" s="7">
        <f>日前电价!W275-实时电价!W275</f>
        <v>-132.2611</v>
      </c>
      <c r="X275" s="7">
        <f>日前电价!X275-实时电价!X275</f>
        <v>-171.3547</v>
      </c>
      <c r="Y275" s="7">
        <f>日前电价!Y275-实时电价!Y275</f>
        <v>-46.6409</v>
      </c>
      <c r="Z275" s="9">
        <f t="shared" si="12"/>
        <v>87.4756</v>
      </c>
      <c r="AA275" s="9">
        <f t="shared" si="13"/>
        <v>-275.0781</v>
      </c>
      <c r="AB275" s="9">
        <f t="shared" si="14"/>
        <v>-53.1352416666667</v>
      </c>
    </row>
    <row r="276" spans="1:28">
      <c r="A276" s="8">
        <v>45566</v>
      </c>
      <c r="B276" s="7">
        <f>日前电价!B276-实时电价!B276</f>
        <v>73.6161999999999</v>
      </c>
      <c r="C276" s="7">
        <f>日前电价!C276-实时电价!C276</f>
        <v>268.7086</v>
      </c>
      <c r="D276" s="7">
        <f>日前电价!D276-实时电价!D276</f>
        <v>163.0725</v>
      </c>
      <c r="E276" s="7">
        <f>日前电价!E276-实时电价!E276</f>
        <v>22.7292</v>
      </c>
      <c r="F276" s="7">
        <f>日前电价!F276-实时电价!F276</f>
        <v>4.16829999999999</v>
      </c>
      <c r="G276" s="7">
        <f>日前电价!G276-实时电价!G276</f>
        <v>-16.4244</v>
      </c>
      <c r="H276" s="7">
        <f>日前电价!H276-实时电价!H276</f>
        <v>-28.35</v>
      </c>
      <c r="I276" s="7">
        <f>日前电价!I276-实时电价!I276</f>
        <v>-7.42529999999999</v>
      </c>
      <c r="J276" s="7">
        <f>日前电价!J276-实时电价!J276</f>
        <v>239.565</v>
      </c>
      <c r="K276" s="7">
        <f>日前电价!K276-实时电价!K276</f>
        <v>287.1463</v>
      </c>
      <c r="L276" s="7">
        <f>日前电价!L276-实时电价!L276</f>
        <v>269.6753</v>
      </c>
      <c r="M276" s="7">
        <f>日前电价!M276-实时电价!M276</f>
        <v>263.8436</v>
      </c>
      <c r="N276" s="7">
        <f>日前电价!N276-实时电价!N276</f>
        <v>81.2723</v>
      </c>
      <c r="O276" s="7">
        <f>日前电价!O276-实时电价!O276</f>
        <v>-150.3539</v>
      </c>
      <c r="P276" s="7">
        <f>日前电价!P276-实时电价!P276</f>
        <v>-116.4774</v>
      </c>
      <c r="Q276" s="7">
        <f>日前电价!Q276-实时电价!Q276</f>
        <v>-15.5833</v>
      </c>
      <c r="R276" s="7">
        <f>日前电价!R276-实时电价!R276</f>
        <v>34.9549</v>
      </c>
      <c r="S276" s="7">
        <f>日前电价!S276-实时电价!S276</f>
        <v>80.5909</v>
      </c>
      <c r="T276" s="7">
        <f>日前电价!T276-实时电价!T276</f>
        <v>198.3443</v>
      </c>
      <c r="U276" s="7">
        <f>日前电价!U276-实时电价!U276</f>
        <v>207.4583</v>
      </c>
      <c r="V276" s="7">
        <f>日前电价!V276-实时电价!V276</f>
        <v>303.6851</v>
      </c>
      <c r="W276" s="7">
        <f>日前电价!W276-实时电价!W276</f>
        <v>313.9804</v>
      </c>
      <c r="X276" s="7">
        <f>日前电价!X276-实时电价!X276</f>
        <v>309.558</v>
      </c>
      <c r="Y276" s="7">
        <f>日前电价!Y276-实时电价!Y276</f>
        <v>290.8429</v>
      </c>
      <c r="Z276" s="9">
        <f t="shared" si="12"/>
        <v>313.9804</v>
      </c>
      <c r="AA276" s="9">
        <f t="shared" si="13"/>
        <v>-150.3539</v>
      </c>
      <c r="AB276" s="9">
        <f t="shared" si="14"/>
        <v>128.274908333333</v>
      </c>
    </row>
    <row r="277" spans="1:28">
      <c r="A277" s="8">
        <v>45567</v>
      </c>
      <c r="B277" s="7">
        <f>日前电价!B277-实时电价!B277</f>
        <v>-85.114</v>
      </c>
      <c r="C277" s="7">
        <f>日前电价!C277-实时电价!C277</f>
        <v>124.4648</v>
      </c>
      <c r="D277" s="7">
        <f>日前电价!D277-实时电价!D277</f>
        <v>31.3642</v>
      </c>
      <c r="E277" s="7">
        <f>日前电价!E277-实时电价!E277</f>
        <v>-5.2568</v>
      </c>
      <c r="F277" s="7">
        <f>日前电价!F277-实时电价!F277</f>
        <v>-230.9467</v>
      </c>
      <c r="G277" s="7">
        <f>日前电价!G277-实时电价!G277</f>
        <v>-192.0628</v>
      </c>
      <c r="H277" s="7">
        <f>日前电价!H277-实时电价!H277</f>
        <v>-135.6795</v>
      </c>
      <c r="I277" s="7">
        <f>日前电价!I277-实时电价!I277</f>
        <v>-5.2035</v>
      </c>
      <c r="J277" s="7">
        <f>日前电价!J277-实时电价!J277</f>
        <v>0</v>
      </c>
      <c r="K277" s="7">
        <f>日前电价!K277-实时电价!K277</f>
        <v>0</v>
      </c>
      <c r="L277" s="7">
        <f>日前电价!L277-实时电价!L277</f>
        <v>0.1537</v>
      </c>
      <c r="M277" s="7">
        <f>日前电价!M277-实时电价!M277</f>
        <v>-192.1959</v>
      </c>
      <c r="N277" s="7">
        <f>日前电价!N277-实时电价!N277</f>
        <v>-91.8556</v>
      </c>
      <c r="O277" s="7">
        <f>日前电价!O277-实时电价!O277</f>
        <v>-296.9314</v>
      </c>
      <c r="P277" s="7">
        <f>日前电价!P277-实时电价!P277</f>
        <v>-186.9621</v>
      </c>
      <c r="Q277" s="7">
        <f>日前电价!Q277-实时电价!Q277</f>
        <v>-3.9747</v>
      </c>
      <c r="R277" s="7">
        <f>日前电价!R277-实时电价!R277</f>
        <v>-56.3114</v>
      </c>
      <c r="S277" s="7">
        <f>日前电价!S277-实时电价!S277</f>
        <v>277.1116</v>
      </c>
      <c r="T277" s="7">
        <f>日前电价!T277-实时电价!T277</f>
        <v>208.6461</v>
      </c>
      <c r="U277" s="7">
        <f>日前电价!U277-实时电价!U277</f>
        <v>243.2568</v>
      </c>
      <c r="V277" s="7">
        <f>日前电价!V277-实时电价!V277</f>
        <v>272.1531</v>
      </c>
      <c r="W277" s="7">
        <f>日前电价!W277-实时电价!W277</f>
        <v>288.9719</v>
      </c>
      <c r="X277" s="7">
        <f>日前电价!X277-实时电价!X277</f>
        <v>276.6751</v>
      </c>
      <c r="Y277" s="7">
        <f>日前电价!Y277-实时电价!Y277</f>
        <v>194.4859</v>
      </c>
      <c r="Z277" s="9">
        <f t="shared" si="12"/>
        <v>288.9719</v>
      </c>
      <c r="AA277" s="9">
        <f t="shared" si="13"/>
        <v>-296.9314</v>
      </c>
      <c r="AB277" s="9">
        <f t="shared" si="14"/>
        <v>18.1162</v>
      </c>
    </row>
    <row r="278" spans="1:28">
      <c r="A278" s="8">
        <v>45568</v>
      </c>
      <c r="B278" s="7">
        <f>日前电价!B278-实时电价!B278</f>
        <v>17.4338</v>
      </c>
      <c r="C278" s="7">
        <f>日前电价!C278-实时电价!C278</f>
        <v>0</v>
      </c>
      <c r="D278" s="7">
        <f>日前电价!D278-实时电价!D278</f>
        <v>7.4322</v>
      </c>
      <c r="E278" s="7">
        <f>日前电价!E278-实时电价!E278</f>
        <v>0</v>
      </c>
      <c r="F278" s="7">
        <f>日前电价!F278-实时电价!F278</f>
        <v>12.1981</v>
      </c>
      <c r="G278" s="7">
        <f>日前电价!G278-实时电价!G278</f>
        <v>17.9697</v>
      </c>
      <c r="H278" s="7">
        <f>日前电价!H278-实时电价!H278</f>
        <v>102.1376</v>
      </c>
      <c r="I278" s="7">
        <f>日前电价!I278-实时电价!I278</f>
        <v>153.7534</v>
      </c>
      <c r="J278" s="7">
        <f>日前电价!J278-实时电价!J278</f>
        <v>35.31</v>
      </c>
      <c r="K278" s="7">
        <f>日前电价!K278-实时电价!K278</f>
        <v>26.6299</v>
      </c>
      <c r="L278" s="7">
        <f>日前电价!L278-实时电价!L278</f>
        <v>-7.9658</v>
      </c>
      <c r="M278" s="7">
        <f>日前电价!M278-实时电价!M278</f>
        <v>-6.8139</v>
      </c>
      <c r="N278" s="7">
        <f>日前电价!N278-实时电价!N278</f>
        <v>12.9361</v>
      </c>
      <c r="O278" s="7">
        <f>日前电价!O278-实时电价!O278</f>
        <v>-189.7788</v>
      </c>
      <c r="P278" s="7">
        <f>日前电价!P278-实时电价!P278</f>
        <v>37.0549</v>
      </c>
      <c r="Q278" s="7">
        <f>日前电价!Q278-实时电价!Q278</f>
        <v>50.3212</v>
      </c>
      <c r="R278" s="7">
        <f>日前电价!R278-实时电价!R278</f>
        <v>-13.6199</v>
      </c>
      <c r="S278" s="7">
        <f>日前电价!S278-实时电价!S278</f>
        <v>-531.9419</v>
      </c>
      <c r="T278" s="7">
        <f>日前电价!T278-实时电价!T278</f>
        <v>-224.6075</v>
      </c>
      <c r="U278" s="7">
        <f>日前电价!U278-实时电价!U278</f>
        <v>-130.966</v>
      </c>
      <c r="V278" s="7">
        <f>日前电价!V278-实时电价!V278</f>
        <v>-104.942</v>
      </c>
      <c r="W278" s="7">
        <f>日前电价!W278-实时电价!W278</f>
        <v>-109.7678</v>
      </c>
      <c r="X278" s="7">
        <f>日前电价!X278-实时电价!X278</f>
        <v>-247.9971</v>
      </c>
      <c r="Y278" s="7">
        <f>日前电价!Y278-实时电价!Y278</f>
        <v>-167.53</v>
      </c>
      <c r="Z278" s="9">
        <f t="shared" si="12"/>
        <v>153.7534</v>
      </c>
      <c r="AA278" s="9">
        <f t="shared" si="13"/>
        <v>-531.9419</v>
      </c>
      <c r="AB278" s="9">
        <f t="shared" si="14"/>
        <v>-52.6147416666667</v>
      </c>
    </row>
    <row r="279" spans="1:28">
      <c r="A279" s="8">
        <v>45569</v>
      </c>
      <c r="B279" s="7">
        <f>日前电价!B279-实时电价!B279</f>
        <v>-36.18</v>
      </c>
      <c r="C279" s="7">
        <f>日前电价!C279-实时电价!C279</f>
        <v>-24.25</v>
      </c>
      <c r="D279" s="7">
        <f>日前电价!D279-实时电价!D279</f>
        <v>-24.4409</v>
      </c>
      <c r="E279" s="7">
        <f>日前电价!E279-实时电价!E279</f>
        <v>94.28</v>
      </c>
      <c r="F279" s="7">
        <f>日前电价!F279-实时电价!F279</f>
        <v>158.4029</v>
      </c>
      <c r="G279" s="7">
        <f>日前电价!G279-实时电价!G279</f>
        <v>121.9424</v>
      </c>
      <c r="H279" s="7">
        <f>日前电价!H279-实时电价!H279</f>
        <v>141.0082</v>
      </c>
      <c r="I279" s="7">
        <f>日前电价!I279-实时电价!I279</f>
        <v>-37.3397</v>
      </c>
      <c r="J279" s="7">
        <f>日前电价!J279-实时电价!J279</f>
        <v>-317.3124</v>
      </c>
      <c r="K279" s="7">
        <f>日前电价!K279-实时电价!K279</f>
        <v>-281.5705</v>
      </c>
      <c r="L279" s="7">
        <f>日前电价!L279-实时电价!L279</f>
        <v>-171.0111</v>
      </c>
      <c r="M279" s="7">
        <f>日前电价!M279-实时电价!M279</f>
        <v>-90.4406</v>
      </c>
      <c r="N279" s="7">
        <f>日前电价!N279-实时电价!N279</f>
        <v>-136.9444</v>
      </c>
      <c r="O279" s="7">
        <f>日前电价!O279-实时电价!O279</f>
        <v>-54.6083</v>
      </c>
      <c r="P279" s="7">
        <f>日前电价!P279-实时电价!P279</f>
        <v>-13.5552</v>
      </c>
      <c r="Q279" s="7">
        <f>日前电价!Q279-实时电价!Q279</f>
        <v>-73.6824</v>
      </c>
      <c r="R279" s="7">
        <f>日前电价!R279-实时电价!R279</f>
        <v>-399.2347</v>
      </c>
      <c r="S279" s="7">
        <f>日前电价!S279-实时电价!S279</f>
        <v>-205.7731</v>
      </c>
      <c r="T279" s="7">
        <f>日前电价!T279-实时电价!T279</f>
        <v>-91.2485</v>
      </c>
      <c r="U279" s="7">
        <f>日前电价!U279-实时电价!U279</f>
        <v>-75.3767</v>
      </c>
      <c r="V279" s="7">
        <f>日前电价!V279-实时电价!V279</f>
        <v>-41.9499</v>
      </c>
      <c r="W279" s="7">
        <f>日前电价!W279-实时电价!W279</f>
        <v>-53.2503</v>
      </c>
      <c r="X279" s="7">
        <f>日前电价!X279-实时电价!X279</f>
        <v>-57.3857</v>
      </c>
      <c r="Y279" s="7">
        <f>日前电价!Y279-实时电价!Y279</f>
        <v>-11.38</v>
      </c>
      <c r="Z279" s="9">
        <f t="shared" si="12"/>
        <v>158.4029</v>
      </c>
      <c r="AA279" s="9">
        <f t="shared" si="13"/>
        <v>-399.2347</v>
      </c>
      <c r="AB279" s="9">
        <f t="shared" si="14"/>
        <v>-70.0542041666667</v>
      </c>
    </row>
    <row r="280" spans="1:28">
      <c r="A280" s="8">
        <v>45570</v>
      </c>
      <c r="B280" s="7">
        <f>日前电价!B280-实时电价!B280</f>
        <v>-58.198</v>
      </c>
      <c r="C280" s="7">
        <f>日前电价!C280-实时电价!C280</f>
        <v>-26.8533</v>
      </c>
      <c r="D280" s="7">
        <f>日前电价!D280-实时电价!D280</f>
        <v>-22.1798</v>
      </c>
      <c r="E280" s="7">
        <f>日前电价!E280-实时电价!E280</f>
        <v>-15.3532</v>
      </c>
      <c r="F280" s="7">
        <f>日前电价!F280-实时电价!F280</f>
        <v>-4.97640000000001</v>
      </c>
      <c r="G280" s="7">
        <f>日前电价!G280-实时电价!G280</f>
        <v>-4.84879999999998</v>
      </c>
      <c r="H280" s="7">
        <f>日前电价!H280-实时电价!H280</f>
        <v>-20.1068</v>
      </c>
      <c r="I280" s="7">
        <f>日前电价!I280-实时电价!I280</f>
        <v>-22.2777</v>
      </c>
      <c r="J280" s="7">
        <f>日前电价!J280-实时电价!J280</f>
        <v>-29.7117</v>
      </c>
      <c r="K280" s="7">
        <f>日前电价!K280-实时电价!K280</f>
        <v>16.1165</v>
      </c>
      <c r="L280" s="7">
        <f>日前电价!L280-实时电价!L280</f>
        <v>84.9835</v>
      </c>
      <c r="M280" s="7">
        <f>日前电价!M280-实时电价!M280</f>
        <v>209.598</v>
      </c>
      <c r="N280" s="7">
        <f>日前电价!N280-实时电价!N280</f>
        <v>125.3218</v>
      </c>
      <c r="O280" s="7">
        <f>日前电价!O280-实时电价!O280</f>
        <v>156.712</v>
      </c>
      <c r="P280" s="7">
        <f>日前电价!P280-实时电价!P280</f>
        <v>115.2792</v>
      </c>
      <c r="Q280" s="7">
        <f>日前电价!Q280-实时电价!Q280</f>
        <v>-38.3162</v>
      </c>
      <c r="R280" s="7">
        <f>日前电价!R280-实时电价!R280</f>
        <v>-36.3329000000001</v>
      </c>
      <c r="S280" s="7">
        <f>日前电价!S280-实时电价!S280</f>
        <v>-49.8653</v>
      </c>
      <c r="T280" s="7">
        <f>日前电价!T280-实时电价!T280</f>
        <v>-66.8624</v>
      </c>
      <c r="U280" s="7">
        <f>日前电价!U280-实时电价!U280</f>
        <v>-80.0226</v>
      </c>
      <c r="V280" s="7">
        <f>日前电价!V280-实时电价!V280</f>
        <v>-29.9215</v>
      </c>
      <c r="W280" s="7">
        <f>日前电价!W280-实时电价!W280</f>
        <v>-38.2962</v>
      </c>
      <c r="X280" s="7">
        <f>日前电价!X280-实时电价!X280</f>
        <v>-49.8602</v>
      </c>
      <c r="Y280" s="7">
        <f>日前电价!Y280-实时电价!Y280</f>
        <v>-9.74709999999999</v>
      </c>
      <c r="Z280" s="9">
        <f t="shared" si="12"/>
        <v>209.598</v>
      </c>
      <c r="AA280" s="9">
        <f t="shared" si="13"/>
        <v>-80.0226</v>
      </c>
      <c r="AB280" s="9">
        <f t="shared" si="14"/>
        <v>4.34503749999999</v>
      </c>
    </row>
    <row r="281" spans="1:28">
      <c r="A281" s="8">
        <v>45571</v>
      </c>
      <c r="B281" s="7">
        <f>日前电价!B281-实时电价!B281</f>
        <v>-29.2406</v>
      </c>
      <c r="C281" s="7">
        <f>日前电价!C281-实时电价!C281</f>
        <v>-52.698</v>
      </c>
      <c r="D281" s="7">
        <f>日前电价!D281-实时电价!D281</f>
        <v>-34.1613</v>
      </c>
      <c r="E281" s="7">
        <f>日前电价!E281-实时电价!E281</f>
        <v>-17.7307</v>
      </c>
      <c r="F281" s="7">
        <f>日前电价!F281-实时电价!F281</f>
        <v>-11.6862</v>
      </c>
      <c r="G281" s="7">
        <f>日前电价!G281-实时电价!G281</f>
        <v>-13</v>
      </c>
      <c r="H281" s="7">
        <f>日前电价!H281-实时电价!H281</f>
        <v>-31.8553</v>
      </c>
      <c r="I281" s="7">
        <f>日前电价!I281-实时电价!I281</f>
        <v>-28.7709</v>
      </c>
      <c r="J281" s="7">
        <f>日前电价!J281-实时电价!J281</f>
        <v>-22.8216</v>
      </c>
      <c r="K281" s="7">
        <f>日前电价!K281-实时电价!K281</f>
        <v>-9.1823</v>
      </c>
      <c r="L281" s="7">
        <f>日前电价!L281-实时电价!L281</f>
        <v>3.17470000000003</v>
      </c>
      <c r="M281" s="7">
        <f>日前电价!M281-实时电价!M281</f>
        <v>23.7911</v>
      </c>
      <c r="N281" s="7">
        <f>日前电价!N281-实时电价!N281</f>
        <v>42.8208</v>
      </c>
      <c r="O281" s="7">
        <f>日前电价!O281-实时电价!O281</f>
        <v>5.23169999999999</v>
      </c>
      <c r="P281" s="7">
        <f>日前电价!P281-实时电价!P281</f>
        <v>3.17929999999995</v>
      </c>
      <c r="Q281" s="7">
        <f>日前电价!Q281-实时电价!Q281</f>
        <v>-2.10149999999999</v>
      </c>
      <c r="R281" s="7">
        <f>日前电价!R281-实时电价!R281</f>
        <v>-184.6386</v>
      </c>
      <c r="S281" s="7">
        <f>日前电价!S281-实时电价!S281</f>
        <v>-31.4198</v>
      </c>
      <c r="T281" s="7">
        <f>日前电价!T281-实时电价!T281</f>
        <v>-3.03370000000001</v>
      </c>
      <c r="U281" s="7">
        <f>日前电价!U281-实时电价!U281</f>
        <v>6.80239999999998</v>
      </c>
      <c r="V281" s="7">
        <f>日前电价!V281-实时电价!V281</f>
        <v>7.09000000000003</v>
      </c>
      <c r="W281" s="7">
        <f>日前电价!W281-实时电价!W281</f>
        <v>-29.5777</v>
      </c>
      <c r="X281" s="7">
        <f>日前电价!X281-实时电价!X281</f>
        <v>-53.8504</v>
      </c>
      <c r="Y281" s="7">
        <f>日前电价!Y281-实时电价!Y281</f>
        <v>-35.7754</v>
      </c>
      <c r="Z281" s="9">
        <f t="shared" si="12"/>
        <v>42.8208</v>
      </c>
      <c r="AA281" s="9">
        <f t="shared" si="13"/>
        <v>-184.6386</v>
      </c>
      <c r="AB281" s="9">
        <f t="shared" si="14"/>
        <v>-20.8105833333333</v>
      </c>
    </row>
    <row r="282" spans="1:28">
      <c r="A282" s="8">
        <v>45572</v>
      </c>
      <c r="B282" s="7">
        <f>日前电价!B282-实时电价!B282</f>
        <v>-337.9405</v>
      </c>
      <c r="C282" s="7">
        <f>日前电价!C282-实时电价!C282</f>
        <v>-181.4885</v>
      </c>
      <c r="D282" s="7">
        <f>日前电价!D282-实时电价!D282</f>
        <v>-35.4585</v>
      </c>
      <c r="E282" s="7">
        <f>日前电价!E282-实时电价!E282</f>
        <v>-7.15260000000001</v>
      </c>
      <c r="F282" s="7">
        <f>日前电价!F282-实时电价!F282</f>
        <v>0.920000000000016</v>
      </c>
      <c r="G282" s="7">
        <f>日前电价!G282-实时电价!G282</f>
        <v>1.27749999999997</v>
      </c>
      <c r="H282" s="7">
        <f>日前电价!H282-实时电价!H282</f>
        <v>5.75</v>
      </c>
      <c r="I282" s="7">
        <f>日前电价!I282-实时电价!I282</f>
        <v>1.351</v>
      </c>
      <c r="J282" s="7">
        <f>日前电价!J282-实时电价!J282</f>
        <v>-6.31920000000002</v>
      </c>
      <c r="K282" s="7">
        <f>日前电价!K282-实时电价!K282</f>
        <v>10.6273</v>
      </c>
      <c r="L282" s="7">
        <f>日前电价!L282-实时电价!L282</f>
        <v>30.6455</v>
      </c>
      <c r="M282" s="7">
        <f>日前电价!M282-实时电价!M282</f>
        <v>42.5733</v>
      </c>
      <c r="N282" s="7">
        <f>日前电价!N282-实时电价!N282</f>
        <v>50.716</v>
      </c>
      <c r="O282" s="7">
        <f>日前电价!O282-实时电价!O282</f>
        <v>29.0137</v>
      </c>
      <c r="P282" s="7">
        <f>日前电价!P282-实时电价!P282</f>
        <v>22.451</v>
      </c>
      <c r="Q282" s="7">
        <f>日前电价!Q282-实时电价!Q282</f>
        <v>3.51609999999999</v>
      </c>
      <c r="R282" s="7">
        <f>日前电价!R282-实时电价!R282</f>
        <v>-69.0032</v>
      </c>
      <c r="S282" s="7">
        <f>日前电价!S282-实时电价!S282</f>
        <v>-85.3679</v>
      </c>
      <c r="T282" s="7">
        <f>日前电价!T282-实时电价!T282</f>
        <v>-26.957</v>
      </c>
      <c r="U282" s="7">
        <f>日前电价!U282-实时电价!U282</f>
        <v>-29.1161</v>
      </c>
      <c r="V282" s="7">
        <f>日前电价!V282-实时电价!V282</f>
        <v>-34.0178</v>
      </c>
      <c r="W282" s="7">
        <f>日前电价!W282-实时电价!W282</f>
        <v>-21.5051</v>
      </c>
      <c r="X282" s="7">
        <f>日前电价!X282-实时电价!X282</f>
        <v>-12.4891</v>
      </c>
      <c r="Y282" s="7">
        <f>日前电价!Y282-实时电价!Y282</f>
        <v>-1.52980000000002</v>
      </c>
      <c r="Z282" s="9">
        <f t="shared" si="12"/>
        <v>50.716</v>
      </c>
      <c r="AA282" s="9">
        <f t="shared" si="13"/>
        <v>-337.9405</v>
      </c>
      <c r="AB282" s="9">
        <f t="shared" si="14"/>
        <v>-27.0626625</v>
      </c>
    </row>
    <row r="283" spans="1:28">
      <c r="A283" s="8">
        <v>45573</v>
      </c>
      <c r="B283" s="7">
        <f>日前电价!B283-实时电价!B283</f>
        <v>-17.6272</v>
      </c>
      <c r="C283" s="7">
        <f>日前电价!C283-实时电价!C283</f>
        <v>-4.44909999999999</v>
      </c>
      <c r="D283" s="7">
        <f>日前电价!D283-实时电价!D283</f>
        <v>7.78230000000002</v>
      </c>
      <c r="E283" s="7">
        <f>日前电价!E283-实时电价!E283</f>
        <v>7.93739999999997</v>
      </c>
      <c r="F283" s="7">
        <f>日前电价!F283-实时电价!F283</f>
        <v>11.4196</v>
      </c>
      <c r="G283" s="7">
        <f>日前电价!G283-实时电价!G283</f>
        <v>4.84230000000002</v>
      </c>
      <c r="H283" s="7">
        <f>日前电价!H283-实时电价!H283</f>
        <v>7.2371</v>
      </c>
      <c r="I283" s="7">
        <f>日前电价!I283-实时电价!I283</f>
        <v>-11.9865</v>
      </c>
      <c r="J283" s="7">
        <f>日前电价!J283-实时电价!J283</f>
        <v>33.7263</v>
      </c>
      <c r="K283" s="7">
        <f>日前电价!K283-实时电价!K283</f>
        <v>48.1719</v>
      </c>
      <c r="L283" s="7">
        <f>日前电价!L283-实时电价!L283</f>
        <v>63.165</v>
      </c>
      <c r="M283" s="7">
        <f>日前电价!M283-实时电价!M283</f>
        <v>88.1875</v>
      </c>
      <c r="N283" s="7">
        <f>日前电价!N283-实时电价!N283</f>
        <v>116.2507</v>
      </c>
      <c r="O283" s="7">
        <f>日前电价!O283-实时电价!O283</f>
        <v>46.8285</v>
      </c>
      <c r="P283" s="7">
        <f>日前电价!P283-实时电价!P283</f>
        <v>70.9338</v>
      </c>
      <c r="Q283" s="7">
        <f>日前电价!Q283-实时电价!Q283</f>
        <v>68.2389</v>
      </c>
      <c r="R283" s="7">
        <f>日前电价!R283-实时电价!R283</f>
        <v>35.1152</v>
      </c>
      <c r="S283" s="7">
        <f>日前电价!S283-实时电价!S283</f>
        <v>45.4931</v>
      </c>
      <c r="T283" s="7">
        <f>日前电价!T283-实时电价!T283</f>
        <v>40.5239</v>
      </c>
      <c r="U283" s="7">
        <f>日前电价!U283-实时电价!U283</f>
        <v>43.0451</v>
      </c>
      <c r="V283" s="7">
        <f>日前电价!V283-实时电价!V283</f>
        <v>46.8993</v>
      </c>
      <c r="W283" s="7">
        <f>日前电价!W283-实时电价!W283</f>
        <v>46.7062</v>
      </c>
      <c r="X283" s="7">
        <f>日前电价!X283-实时电价!X283</f>
        <v>33.3958</v>
      </c>
      <c r="Y283" s="7">
        <f>日前电价!Y283-实时电价!Y283</f>
        <v>2.52809999999999</v>
      </c>
      <c r="Z283" s="9">
        <f t="shared" si="12"/>
        <v>116.2507</v>
      </c>
      <c r="AA283" s="9">
        <f t="shared" si="13"/>
        <v>-17.6272</v>
      </c>
      <c r="AB283" s="9">
        <f t="shared" si="14"/>
        <v>34.7652166666667</v>
      </c>
    </row>
    <row r="284" spans="1:28">
      <c r="A284" s="8">
        <v>45574</v>
      </c>
      <c r="B284" s="7">
        <f>日前电价!B284-实时电价!B284</f>
        <v>-40.6282</v>
      </c>
      <c r="C284" s="7">
        <f>日前电价!C284-实时电价!C284</f>
        <v>15.4878</v>
      </c>
      <c r="D284" s="7">
        <f>日前电价!D284-实时电价!D284</f>
        <v>18.3437</v>
      </c>
      <c r="E284" s="7">
        <f>日前电价!E284-实时电价!E284</f>
        <v>33.2413</v>
      </c>
      <c r="F284" s="7">
        <f>日前电价!F284-实时电价!F284</f>
        <v>47.0342</v>
      </c>
      <c r="G284" s="7">
        <f>日前电价!G284-实时电价!G284</f>
        <v>41.0957</v>
      </c>
      <c r="H284" s="7">
        <f>日前电价!H284-实时电价!H284</f>
        <v>26.5698</v>
      </c>
      <c r="I284" s="7">
        <f>日前电价!I284-实时电价!I284</f>
        <v>11.2623</v>
      </c>
      <c r="J284" s="7">
        <f>日前电价!J284-实时电价!J284</f>
        <v>30.0852</v>
      </c>
      <c r="K284" s="7">
        <f>日前电价!K284-实时电价!K284</f>
        <v>70.8426</v>
      </c>
      <c r="L284" s="7">
        <f>日前电价!L284-实时电价!L284</f>
        <v>39.3119</v>
      </c>
      <c r="M284" s="7">
        <f>日前电价!M284-实时电价!M284</f>
        <v>78.8739</v>
      </c>
      <c r="N284" s="7">
        <f>日前电价!N284-实时电价!N284</f>
        <v>96.8767</v>
      </c>
      <c r="O284" s="7">
        <f>日前电价!O284-实时电价!O284</f>
        <v>33.112</v>
      </c>
      <c r="P284" s="7">
        <f>日前电价!P284-实时电价!P284</f>
        <v>53.2957</v>
      </c>
      <c r="Q284" s="7">
        <f>日前电价!Q284-实时电价!Q284</f>
        <v>37.538</v>
      </c>
      <c r="R284" s="7">
        <f>日前电价!R284-实时电价!R284</f>
        <v>27.1921</v>
      </c>
      <c r="S284" s="7">
        <f>日前电价!S284-实时电价!S284</f>
        <v>24.12</v>
      </c>
      <c r="T284" s="7">
        <f>日前电价!T284-实时电价!T284</f>
        <v>21.6605</v>
      </c>
      <c r="U284" s="7">
        <f>日前电价!U284-实时电价!U284</f>
        <v>23.8253</v>
      </c>
      <c r="V284" s="7">
        <f>日前电价!V284-实时电价!V284</f>
        <v>28.6397</v>
      </c>
      <c r="W284" s="7">
        <f>日前电价!W284-实时电价!W284</f>
        <v>25.4092</v>
      </c>
      <c r="X284" s="7">
        <f>日前电价!X284-实时电价!X284</f>
        <v>37.3737</v>
      </c>
      <c r="Y284" s="7">
        <f>日前电价!Y284-实时电价!Y284</f>
        <v>18.8993</v>
      </c>
      <c r="Z284" s="9">
        <f t="shared" si="12"/>
        <v>96.8767</v>
      </c>
      <c r="AA284" s="9">
        <f t="shared" si="13"/>
        <v>-40.6282</v>
      </c>
      <c r="AB284" s="9">
        <f t="shared" si="14"/>
        <v>33.3109333333333</v>
      </c>
    </row>
    <row r="285" spans="1:28">
      <c r="A285" s="8">
        <v>45575</v>
      </c>
      <c r="B285" s="7">
        <f>日前电价!B285-实时电价!B285</f>
        <v>-146.975</v>
      </c>
      <c r="C285" s="7">
        <f>日前电价!C285-实时电价!C285</f>
        <v>-46.7187</v>
      </c>
      <c r="D285" s="7">
        <f>日前电价!D285-实时电价!D285</f>
        <v>0.492599999999982</v>
      </c>
      <c r="E285" s="7">
        <f>日前电价!E285-实时电价!E285</f>
        <v>5.25179999999995</v>
      </c>
      <c r="F285" s="7">
        <f>日前电价!F285-实时电价!F285</f>
        <v>0.0484000000000151</v>
      </c>
      <c r="G285" s="7">
        <f>日前电价!G285-实时电价!G285</f>
        <v>5.28360000000004</v>
      </c>
      <c r="H285" s="7">
        <f>日前电价!H285-实时电价!H285</f>
        <v>-2.25310000000002</v>
      </c>
      <c r="I285" s="7">
        <f>日前电价!I285-实时电价!I285</f>
        <v>17.1625</v>
      </c>
      <c r="J285" s="7">
        <f>日前电价!J285-实时电价!J285</f>
        <v>4.61670000000004</v>
      </c>
      <c r="K285" s="7">
        <f>日前电价!K285-实时电价!K285</f>
        <v>15.454</v>
      </c>
      <c r="L285" s="7">
        <f>日前电价!L285-实时电价!L285</f>
        <v>26.6245</v>
      </c>
      <c r="M285" s="7">
        <f>日前电价!M285-实时电价!M285</f>
        <v>25.2282</v>
      </c>
      <c r="N285" s="7">
        <f>日前电价!N285-实时电价!N285</f>
        <v>76.4375</v>
      </c>
      <c r="O285" s="7">
        <f>日前电价!O285-实时电价!O285</f>
        <v>1.8331</v>
      </c>
      <c r="P285" s="7">
        <f>日前电价!P285-实时电价!P285</f>
        <v>7.83440000000002</v>
      </c>
      <c r="Q285" s="7">
        <f>日前电价!Q285-实时电价!Q285</f>
        <v>24.8785</v>
      </c>
      <c r="R285" s="7">
        <f>日前电价!R285-实时电价!R285</f>
        <v>21.6048</v>
      </c>
      <c r="S285" s="7">
        <f>日前电价!S285-实时电价!S285</f>
        <v>23.1711</v>
      </c>
      <c r="T285" s="7">
        <f>日前电价!T285-实时电价!T285</f>
        <v>24.6106</v>
      </c>
      <c r="U285" s="7">
        <f>日前电价!U285-实时电价!U285</f>
        <v>24.3643</v>
      </c>
      <c r="V285" s="7">
        <f>日前电价!V285-实时电价!V285</f>
        <v>25.0351</v>
      </c>
      <c r="W285" s="7">
        <f>日前电价!W285-实时电价!W285</f>
        <v>27.4621</v>
      </c>
      <c r="X285" s="7">
        <f>日前电价!X285-实时电价!X285</f>
        <v>21.1715</v>
      </c>
      <c r="Y285" s="7">
        <f>日前电价!Y285-实时电价!Y285</f>
        <v>14.3783</v>
      </c>
      <c r="Z285" s="9">
        <f t="shared" si="12"/>
        <v>76.4375</v>
      </c>
      <c r="AA285" s="9">
        <f t="shared" si="13"/>
        <v>-146.975</v>
      </c>
      <c r="AB285" s="9">
        <f t="shared" si="14"/>
        <v>8.2082</v>
      </c>
    </row>
    <row r="286" spans="1:28">
      <c r="A286" s="8">
        <v>45576</v>
      </c>
      <c r="B286" s="7">
        <f>日前电价!B286-实时电价!B286</f>
        <v>-21.2819</v>
      </c>
      <c r="C286" s="7">
        <f>日前电价!C286-实时电价!C286</f>
        <v>-0.114399999999989</v>
      </c>
      <c r="D286" s="7">
        <f>日前电价!D286-实时电价!D286</f>
        <v>3.62389999999999</v>
      </c>
      <c r="E286" s="7">
        <f>日前电价!E286-实时电价!E286</f>
        <v>5.92650000000003</v>
      </c>
      <c r="F286" s="7">
        <f>日前电价!F286-实时电价!F286</f>
        <v>5.57729999999998</v>
      </c>
      <c r="G286" s="7">
        <f>日前电价!G286-实时电价!G286</f>
        <v>1.8578</v>
      </c>
      <c r="H286" s="7">
        <f>日前电价!H286-实时电价!H286</f>
        <v>7.69389999999999</v>
      </c>
      <c r="I286" s="7">
        <f>日前电价!I286-实时电价!I286</f>
        <v>7.59049999999996</v>
      </c>
      <c r="J286" s="7">
        <f>日前电价!J286-实时电价!J286</f>
        <v>14.6153</v>
      </c>
      <c r="K286" s="7">
        <f>日前电价!K286-实时电价!K286</f>
        <v>8.14820000000003</v>
      </c>
      <c r="L286" s="7">
        <f>日前电价!L286-实时电价!L286</f>
        <v>1.66989999999998</v>
      </c>
      <c r="M286" s="7">
        <f>日前电价!M286-实时电价!M286</f>
        <v>179.8134</v>
      </c>
      <c r="N286" s="7">
        <f>日前电价!N286-实时电价!N286</f>
        <v>170.8137</v>
      </c>
      <c r="O286" s="7">
        <f>日前电价!O286-实时电价!O286</f>
        <v>-10.7632</v>
      </c>
      <c r="P286" s="7">
        <f>日前电价!P286-实时电价!P286</f>
        <v>-4.11000000000001</v>
      </c>
      <c r="Q286" s="7">
        <f>日前电价!Q286-实时电价!Q286</f>
        <v>6.93180000000001</v>
      </c>
      <c r="R286" s="7">
        <f>日前电价!R286-实时电价!R286</f>
        <v>-10.9541</v>
      </c>
      <c r="S286" s="7">
        <f>日前电价!S286-实时电价!S286</f>
        <v>-2.68889999999999</v>
      </c>
      <c r="T286" s="7">
        <f>日前电价!T286-实时电价!T286</f>
        <v>-127.6674</v>
      </c>
      <c r="U286" s="7">
        <f>日前电价!U286-实时电价!U286</f>
        <v>-0.483899999999949</v>
      </c>
      <c r="V286" s="7">
        <f>日前电价!V286-实时电价!V286</f>
        <v>-15.0667</v>
      </c>
      <c r="W286" s="7">
        <f>日前电价!W286-实时电价!W286</f>
        <v>-2.9744</v>
      </c>
      <c r="X286" s="7">
        <f>日前电价!X286-实时电价!X286</f>
        <v>-1.80379999999997</v>
      </c>
      <c r="Y286" s="7">
        <f>日前电价!Y286-实时电价!Y286</f>
        <v>-3.89670000000001</v>
      </c>
      <c r="Z286" s="9">
        <f t="shared" si="12"/>
        <v>179.8134</v>
      </c>
      <c r="AA286" s="9">
        <f t="shared" si="13"/>
        <v>-127.6674</v>
      </c>
      <c r="AB286" s="9">
        <f t="shared" si="14"/>
        <v>8.85236666666667</v>
      </c>
    </row>
    <row r="287" spans="1:28">
      <c r="A287" s="8">
        <v>45577</v>
      </c>
      <c r="B287" s="7">
        <f>日前电价!B287-实时电价!B287</f>
        <v>-17.0873</v>
      </c>
      <c r="C287" s="7">
        <f>日前电价!C287-实时电价!C287</f>
        <v>-5.94989999999996</v>
      </c>
      <c r="D287" s="7">
        <f>日前电价!D287-实时电价!D287</f>
        <v>3.57710000000003</v>
      </c>
      <c r="E287" s="7">
        <f>日前电价!E287-实时电价!E287</f>
        <v>-6.83330000000001</v>
      </c>
      <c r="F287" s="7">
        <f>日前电价!F287-实时电价!F287</f>
        <v>3.95490000000001</v>
      </c>
      <c r="G287" s="7">
        <f>日前电价!G287-实时电价!G287</f>
        <v>7.3184</v>
      </c>
      <c r="H287" s="7">
        <f>日前电价!H287-实时电价!H287</f>
        <v>-0.616600000000005</v>
      </c>
      <c r="I287" s="7">
        <f>日前电价!I287-实时电价!I287</f>
        <v>-4.50330000000002</v>
      </c>
      <c r="J287" s="7">
        <f>日前电价!J287-实时电价!J287</f>
        <v>-12.0559</v>
      </c>
      <c r="K287" s="7">
        <f>日前电价!K287-实时电价!K287</f>
        <v>-13.0543</v>
      </c>
      <c r="L287" s="7">
        <f>日前电价!L287-实时电价!L287</f>
        <v>-34.5181</v>
      </c>
      <c r="M287" s="7">
        <f>日前电价!M287-实时电价!M287</f>
        <v>-17.0621</v>
      </c>
      <c r="N287" s="7">
        <f>日前电价!N287-实时电价!N287</f>
        <v>-56.7086</v>
      </c>
      <c r="O287" s="7">
        <f>日前电价!O287-实时电价!O287</f>
        <v>13.1643</v>
      </c>
      <c r="P287" s="7">
        <f>日前电价!P287-实时电价!P287</f>
        <v>13.3092</v>
      </c>
      <c r="Q287" s="7">
        <f>日前电价!Q287-实时电价!Q287</f>
        <v>7.65039999999999</v>
      </c>
      <c r="R287" s="7">
        <f>日前电价!R287-实时电价!R287</f>
        <v>-3.70740000000001</v>
      </c>
      <c r="S287" s="7">
        <f>日前电价!S287-实时电价!S287</f>
        <v>9.5616</v>
      </c>
      <c r="T287" s="7">
        <f>日前电价!T287-实时电价!T287</f>
        <v>-1.41900000000004</v>
      </c>
      <c r="U287" s="7">
        <f>日前电价!U287-实时电价!U287</f>
        <v>3.88819999999998</v>
      </c>
      <c r="V287" s="7">
        <f>日前电价!V287-实时电价!V287</f>
        <v>-4.411</v>
      </c>
      <c r="W287" s="7">
        <f>日前电价!W287-实时电价!W287</f>
        <v>4.66129999999998</v>
      </c>
      <c r="X287" s="7">
        <f>日前电价!X287-实时电价!X287</f>
        <v>7.32910000000004</v>
      </c>
      <c r="Y287" s="7">
        <f>日前电价!Y287-实时电价!Y287</f>
        <v>-7.35669999999999</v>
      </c>
      <c r="Z287" s="9">
        <f t="shared" si="12"/>
        <v>13.3092</v>
      </c>
      <c r="AA287" s="9">
        <f t="shared" si="13"/>
        <v>-56.7086</v>
      </c>
      <c r="AB287" s="9">
        <f t="shared" si="14"/>
        <v>-4.61954166666667</v>
      </c>
    </row>
    <row r="288" spans="1:28">
      <c r="A288" s="8">
        <v>45578</v>
      </c>
      <c r="B288" s="7">
        <f>日前电价!B288-实时电价!B288</f>
        <v>-93.5032</v>
      </c>
      <c r="C288" s="7">
        <f>日前电价!C288-实时电价!C288</f>
        <v>-44.3056</v>
      </c>
      <c r="D288" s="7">
        <f>日前电价!D288-实时电价!D288</f>
        <v>-31.4541</v>
      </c>
      <c r="E288" s="7">
        <f>日前电价!E288-实时电价!E288</f>
        <v>-32.5968</v>
      </c>
      <c r="F288" s="7">
        <f>日前电价!F288-实时电价!F288</f>
        <v>-10.8955</v>
      </c>
      <c r="G288" s="7">
        <f>日前电价!G288-实时电价!G288</f>
        <v>-13.1746</v>
      </c>
      <c r="H288" s="7">
        <f>日前电价!H288-实时电价!H288</f>
        <v>-1.05840000000001</v>
      </c>
      <c r="I288" s="7">
        <f>日前电价!I288-实时电价!I288</f>
        <v>9.75630000000001</v>
      </c>
      <c r="J288" s="7">
        <f>日前电价!J288-实时电价!J288</f>
        <v>77.9133</v>
      </c>
      <c r="K288" s="7">
        <f>日前电价!K288-实时电价!K288</f>
        <v>219.2007</v>
      </c>
      <c r="L288" s="7">
        <f>日前电价!L288-实时电价!L288</f>
        <v>118.061</v>
      </c>
      <c r="M288" s="7">
        <f>日前电价!M288-实时电价!M288</f>
        <v>191.5252</v>
      </c>
      <c r="N288" s="7">
        <f>日前电价!N288-实时电价!N288</f>
        <v>91.6391</v>
      </c>
      <c r="O288" s="7">
        <f>日前电价!O288-实时电价!O288</f>
        <v>95.8045</v>
      </c>
      <c r="P288" s="7">
        <f>日前电价!P288-实时电价!P288</f>
        <v>-0.0123999999999569</v>
      </c>
      <c r="Q288" s="7">
        <f>日前电价!Q288-实时电价!Q288</f>
        <v>-0.689599999999984</v>
      </c>
      <c r="R288" s="7">
        <f>日前电价!R288-实时电价!R288</f>
        <v>-4.75990000000002</v>
      </c>
      <c r="S288" s="7">
        <f>日前电价!S288-实时电价!S288</f>
        <v>-1.94319999999999</v>
      </c>
      <c r="T288" s="7">
        <f>日前电价!T288-实时电价!T288</f>
        <v>-26.6628</v>
      </c>
      <c r="U288" s="7">
        <f>日前电价!U288-实时电价!U288</f>
        <v>18.122</v>
      </c>
      <c r="V288" s="7">
        <f>日前电价!V288-实时电价!V288</f>
        <v>-19.5675</v>
      </c>
      <c r="W288" s="7">
        <f>日前电价!W288-实时电价!W288</f>
        <v>-48.5012</v>
      </c>
      <c r="X288" s="7">
        <f>日前电价!X288-实时电价!X288</f>
        <v>-20.3846</v>
      </c>
      <c r="Y288" s="7">
        <f>日前电价!Y288-实时电价!Y288</f>
        <v>-25.3927</v>
      </c>
      <c r="Z288" s="9">
        <f t="shared" si="12"/>
        <v>219.2007</v>
      </c>
      <c r="AA288" s="9">
        <f t="shared" si="13"/>
        <v>-93.5032</v>
      </c>
      <c r="AB288" s="9">
        <f t="shared" si="14"/>
        <v>18.63</v>
      </c>
    </row>
    <row r="289" spans="1:28">
      <c r="A289" s="8">
        <v>45579</v>
      </c>
      <c r="B289" s="7">
        <f>日前电价!B289-实时电价!B289</f>
        <v>-26.8947</v>
      </c>
      <c r="C289" s="7">
        <f>日前电价!C289-实时电价!C289</f>
        <v>-12.1336</v>
      </c>
      <c r="D289" s="7">
        <f>日前电价!D289-实时电价!D289</f>
        <v>-12.238</v>
      </c>
      <c r="E289" s="7">
        <f>日前电价!E289-实时电价!E289</f>
        <v>-8.89109999999999</v>
      </c>
      <c r="F289" s="7">
        <f>日前电价!F289-实时电价!F289</f>
        <v>-11.6089</v>
      </c>
      <c r="G289" s="7">
        <f>日前电价!G289-实时电价!G289</f>
        <v>-17.5289</v>
      </c>
      <c r="H289" s="7">
        <f>日前电价!H289-实时电价!H289</f>
        <v>-17.0247</v>
      </c>
      <c r="I289" s="7">
        <f>日前电价!I289-实时电价!I289</f>
        <v>-13.9882</v>
      </c>
      <c r="J289" s="7">
        <f>日前电价!J289-实时电价!J289</f>
        <v>-62.6578</v>
      </c>
      <c r="K289" s="7">
        <f>日前电价!K289-实时电价!K289</f>
        <v>-171.092</v>
      </c>
      <c r="L289" s="7">
        <f>日前电价!L289-实时电价!L289</f>
        <v>-47.9424</v>
      </c>
      <c r="M289" s="7">
        <f>日前电价!M289-实时电价!M289</f>
        <v>7.04070000000002</v>
      </c>
      <c r="N289" s="7">
        <f>日前电价!N289-实时电价!N289</f>
        <v>-22.4678</v>
      </c>
      <c r="O289" s="7">
        <f>日前电价!O289-实时电价!O289</f>
        <v>-168.4746</v>
      </c>
      <c r="P289" s="7">
        <f>日前电价!P289-实时电价!P289</f>
        <v>-266.2185</v>
      </c>
      <c r="Q289" s="7">
        <f>日前电价!Q289-实时电价!Q289</f>
        <v>-272.0866</v>
      </c>
      <c r="R289" s="7">
        <f>日前电价!R289-实时电价!R289</f>
        <v>-76.5711</v>
      </c>
      <c r="S289" s="7">
        <f>日前电价!S289-实时电价!S289</f>
        <v>-18.6981</v>
      </c>
      <c r="T289" s="7">
        <f>日前电价!T289-实时电价!T289</f>
        <v>-25.7058</v>
      </c>
      <c r="U289" s="7">
        <f>日前电价!U289-实时电价!U289</f>
        <v>-51.4275</v>
      </c>
      <c r="V289" s="7">
        <f>日前电价!V289-实时电价!V289</f>
        <v>-7.15409999999997</v>
      </c>
      <c r="W289" s="7">
        <f>日前电价!W289-实时电价!W289</f>
        <v>14.4993</v>
      </c>
      <c r="X289" s="7">
        <f>日前电价!X289-实时电价!X289</f>
        <v>1.8417</v>
      </c>
      <c r="Y289" s="7">
        <f>日前电价!Y289-实时电价!Y289</f>
        <v>0.331699999999955</v>
      </c>
      <c r="Z289" s="9">
        <f t="shared" si="12"/>
        <v>14.4993</v>
      </c>
      <c r="AA289" s="9">
        <f t="shared" si="13"/>
        <v>-272.0866</v>
      </c>
      <c r="AB289" s="9">
        <f t="shared" si="14"/>
        <v>-53.6287916666667</v>
      </c>
    </row>
    <row r="290" spans="1:28">
      <c r="A290" s="8">
        <v>45580</v>
      </c>
      <c r="B290" s="7">
        <f>日前电价!B290-实时电价!B290</f>
        <v>16.2575</v>
      </c>
      <c r="C290" s="7">
        <f>日前电价!C290-实时电价!C290</f>
        <v>14.5898</v>
      </c>
      <c r="D290" s="7">
        <f>日前电价!D290-实时电价!D290</f>
        <v>44.7014</v>
      </c>
      <c r="E290" s="7">
        <f>日前电价!E290-实时电价!E290</f>
        <v>8.27949999999998</v>
      </c>
      <c r="F290" s="7">
        <f>日前电价!F290-实时电价!F290</f>
        <v>3.20209999999997</v>
      </c>
      <c r="G290" s="7">
        <f>日前电价!G290-实时电价!G290</f>
        <v>-6.12560000000002</v>
      </c>
      <c r="H290" s="7">
        <f>日前电价!H290-实时电价!H290</f>
        <v>5.46020000000004</v>
      </c>
      <c r="I290" s="7">
        <f>日前电价!I290-实时电价!I290</f>
        <v>-0.564300000000003</v>
      </c>
      <c r="J290" s="7">
        <f>日前电价!J290-实时电价!J290</f>
        <v>9.50619999999998</v>
      </c>
      <c r="K290" s="7">
        <f>日前电价!K290-实时电价!K290</f>
        <v>-96.6599</v>
      </c>
      <c r="L290" s="7">
        <f>日前电价!L290-实时电价!L290</f>
        <v>-6.89789999999999</v>
      </c>
      <c r="M290" s="7">
        <f>日前电价!M290-实时电价!M290</f>
        <v>2.47979999999995</v>
      </c>
      <c r="N290" s="7">
        <f>日前电价!N290-实时电价!N290</f>
        <v>11.3977</v>
      </c>
      <c r="O290" s="7">
        <f>日前电价!O290-实时电价!O290</f>
        <v>-75.1676</v>
      </c>
      <c r="P290" s="7">
        <f>日前电价!P290-实时电价!P290</f>
        <v>-3.42169999999999</v>
      </c>
      <c r="Q290" s="7">
        <f>日前电价!Q290-实时电价!Q290</f>
        <v>-7.91730000000001</v>
      </c>
      <c r="R290" s="7">
        <f>日前电价!R290-实时电价!R290</f>
        <v>-8.43760000000003</v>
      </c>
      <c r="S290" s="7">
        <f>日前电价!S290-实时电价!S290</f>
        <v>11.7719</v>
      </c>
      <c r="T290" s="7">
        <f>日前电价!T290-实时电价!T290</f>
        <v>5.27029999999996</v>
      </c>
      <c r="U290" s="7">
        <f>日前电价!U290-实时电价!U290</f>
        <v>-4.53489999999999</v>
      </c>
      <c r="V290" s="7">
        <f>日前电价!V290-实时电价!V290</f>
        <v>-2.3503</v>
      </c>
      <c r="W290" s="7">
        <f>日前电价!W290-实时电价!W290</f>
        <v>3.77749999999997</v>
      </c>
      <c r="X290" s="7">
        <f>日前电价!X290-实时电价!X290</f>
        <v>-0.463099999999997</v>
      </c>
      <c r="Y290" s="7">
        <f>日前电价!Y290-实时电价!Y290</f>
        <v>-4.30469999999997</v>
      </c>
      <c r="Z290" s="9">
        <f t="shared" si="12"/>
        <v>44.7014</v>
      </c>
      <c r="AA290" s="9">
        <f t="shared" si="13"/>
        <v>-96.6599</v>
      </c>
      <c r="AB290" s="9">
        <f t="shared" si="14"/>
        <v>-3.339625</v>
      </c>
    </row>
    <row r="291" spans="1:28">
      <c r="A291" s="8">
        <v>45581</v>
      </c>
      <c r="B291" s="7">
        <f>日前电价!B291-实时电价!B291</f>
        <v>68.5557</v>
      </c>
      <c r="C291" s="7">
        <f>日前电价!C291-实时电价!C291</f>
        <v>24.4119</v>
      </c>
      <c r="D291" s="7">
        <f>日前电价!D291-实时电价!D291</f>
        <v>-1.05090000000001</v>
      </c>
      <c r="E291" s="7">
        <f>日前电价!E291-实时电价!E291</f>
        <v>-4.67479999999995</v>
      </c>
      <c r="F291" s="7">
        <f>日前电价!F291-实时电价!F291</f>
        <v>-10.6414</v>
      </c>
      <c r="G291" s="7">
        <f>日前电价!G291-实时电价!G291</f>
        <v>-12.1427</v>
      </c>
      <c r="H291" s="7">
        <f>日前电价!H291-实时电价!H291</f>
        <v>-6.0548</v>
      </c>
      <c r="I291" s="7">
        <f>日前电价!I291-实时电价!I291</f>
        <v>-5.3014</v>
      </c>
      <c r="J291" s="7">
        <f>日前电价!J291-实时电价!J291</f>
        <v>-28.2926</v>
      </c>
      <c r="K291" s="7">
        <f>日前电价!K291-实时电价!K291</f>
        <v>-57.9214</v>
      </c>
      <c r="L291" s="7">
        <f>日前电价!L291-实时电价!L291</f>
        <v>0.508399999999995</v>
      </c>
      <c r="M291" s="7">
        <f>日前电价!M291-实时电价!M291</f>
        <v>1.81909999999999</v>
      </c>
      <c r="N291" s="7">
        <f>日前电价!N291-实时电价!N291</f>
        <v>-2.31299999999999</v>
      </c>
      <c r="O291" s="7">
        <f>日前电价!O291-实时电价!O291</f>
        <v>-14.894</v>
      </c>
      <c r="P291" s="7">
        <f>日前电价!P291-实时电价!P291</f>
        <v>-1.34399999999999</v>
      </c>
      <c r="Q291" s="7">
        <f>日前电价!Q291-实时电价!Q291</f>
        <v>-15.8183</v>
      </c>
      <c r="R291" s="7">
        <f>日前电价!R291-实时电价!R291</f>
        <v>-23.1584</v>
      </c>
      <c r="S291" s="7">
        <f>日前电价!S291-实时电价!S291</f>
        <v>4.68529999999998</v>
      </c>
      <c r="T291" s="7">
        <f>日前电价!T291-实时电价!T291</f>
        <v>-3.0797</v>
      </c>
      <c r="U291" s="7">
        <f>日前电价!U291-实时电价!U291</f>
        <v>-7.19540000000001</v>
      </c>
      <c r="V291" s="7">
        <f>日前电价!V291-实时电价!V291</f>
        <v>-2.68709999999999</v>
      </c>
      <c r="W291" s="7">
        <f>日前电价!W291-实时电价!W291</f>
        <v>2.22579999999999</v>
      </c>
      <c r="X291" s="7">
        <f>日前电价!X291-实时电价!X291</f>
        <v>2.69940000000003</v>
      </c>
      <c r="Y291" s="7">
        <f>日前电价!Y291-实时电价!Y291</f>
        <v>-13.7374</v>
      </c>
      <c r="Z291" s="9">
        <f t="shared" si="12"/>
        <v>68.5557</v>
      </c>
      <c r="AA291" s="9">
        <f t="shared" si="13"/>
        <v>-57.9214</v>
      </c>
      <c r="AB291" s="9">
        <f t="shared" si="14"/>
        <v>-4.3917375</v>
      </c>
    </row>
    <row r="292" spans="1:28">
      <c r="A292" s="8">
        <v>45582</v>
      </c>
      <c r="B292" s="7">
        <f>日前电价!B292-实时电价!B292</f>
        <v>-177.3293</v>
      </c>
      <c r="C292" s="7">
        <f>日前电价!C292-实时电价!C292</f>
        <v>4.09409999999997</v>
      </c>
      <c r="D292" s="7">
        <f>日前电价!D292-实时电价!D292</f>
        <v>-4.10789999999997</v>
      </c>
      <c r="E292" s="7">
        <f>日前电价!E292-实时电价!E292</f>
        <v>5.3098</v>
      </c>
      <c r="F292" s="7">
        <f>日前电价!F292-实时电价!F292</f>
        <v>10.2185</v>
      </c>
      <c r="G292" s="7">
        <f>日前电价!G292-实时电价!G292</f>
        <v>19.3293</v>
      </c>
      <c r="H292" s="7">
        <f>日前电价!H292-实时电价!H292</f>
        <v>17.1322</v>
      </c>
      <c r="I292" s="7">
        <f>日前电价!I292-实时电价!I292</f>
        <v>14.0044</v>
      </c>
      <c r="J292" s="7">
        <f>日前电价!J292-实时电价!J292</f>
        <v>-27.9531</v>
      </c>
      <c r="K292" s="7">
        <f>日前电价!K292-实时电价!K292</f>
        <v>-23.3345</v>
      </c>
      <c r="L292" s="7">
        <f>日前电价!L292-实时电价!L292</f>
        <v>16.1989</v>
      </c>
      <c r="M292" s="7">
        <f>日前电价!M292-实时电价!M292</f>
        <v>42.9618</v>
      </c>
      <c r="N292" s="7">
        <f>日前电价!N292-实时电价!N292</f>
        <v>99.0968</v>
      </c>
      <c r="O292" s="7">
        <f>日前电价!O292-实时电价!O292</f>
        <v>38.5824</v>
      </c>
      <c r="P292" s="7">
        <f>日前电价!P292-实时电价!P292</f>
        <v>16.0377</v>
      </c>
      <c r="Q292" s="7">
        <f>日前电价!Q292-实时电价!Q292</f>
        <v>-18.3714</v>
      </c>
      <c r="R292" s="7">
        <f>日前电价!R292-实时电价!R292</f>
        <v>-16.0017</v>
      </c>
      <c r="S292" s="7">
        <f>日前电价!S292-实时电价!S292</f>
        <v>-19.8272</v>
      </c>
      <c r="T292" s="7">
        <f>日前电价!T292-实时电价!T292</f>
        <v>-4.20329999999996</v>
      </c>
      <c r="U292" s="7">
        <f>日前电价!U292-实时电价!U292</f>
        <v>-0.195299999999975</v>
      </c>
      <c r="V292" s="7">
        <f>日前电价!V292-实时电价!V292</f>
        <v>-3.21589999999998</v>
      </c>
      <c r="W292" s="7">
        <f>日前电价!W292-实时电价!W292</f>
        <v>1.00910000000005</v>
      </c>
      <c r="X292" s="7">
        <f>日前电价!X292-实时电价!X292</f>
        <v>12.1394</v>
      </c>
      <c r="Y292" s="7">
        <f>日前电价!Y292-实时电价!Y292</f>
        <v>13.9177</v>
      </c>
      <c r="Z292" s="9">
        <f t="shared" si="12"/>
        <v>99.0968</v>
      </c>
      <c r="AA292" s="9">
        <f t="shared" si="13"/>
        <v>-177.3293</v>
      </c>
      <c r="AB292" s="9">
        <f t="shared" si="14"/>
        <v>0.645520833333335</v>
      </c>
    </row>
    <row r="293" spans="1:28">
      <c r="A293" s="8">
        <v>45583</v>
      </c>
      <c r="B293" s="7">
        <f>日前电价!B293-实时电价!B293</f>
        <v>-31.4431</v>
      </c>
      <c r="C293" s="7">
        <f>日前电价!C293-实时电价!C293</f>
        <v>-3.18559999999997</v>
      </c>
      <c r="D293" s="7">
        <f>日前电价!D293-实时电价!D293</f>
        <v>7.33320000000003</v>
      </c>
      <c r="E293" s="7">
        <f>日前电价!E293-实时电价!E293</f>
        <v>-4.90340000000003</v>
      </c>
      <c r="F293" s="7">
        <f>日前电价!F293-实时电价!F293</f>
        <v>0.224800000000016</v>
      </c>
      <c r="G293" s="7">
        <f>日前电价!G293-实时电价!G293</f>
        <v>5.85989999999998</v>
      </c>
      <c r="H293" s="7">
        <f>日前电价!H293-实时电价!H293</f>
        <v>7.04319999999996</v>
      </c>
      <c r="I293" s="7">
        <f>日前电价!I293-实时电价!I293</f>
        <v>4.72000000000003</v>
      </c>
      <c r="J293" s="7">
        <f>日前电价!J293-实时电价!J293</f>
        <v>12.4814</v>
      </c>
      <c r="K293" s="7">
        <f>日前电价!K293-实时电价!K293</f>
        <v>3.25890000000004</v>
      </c>
      <c r="L293" s="7">
        <f>日前电价!L293-实时电价!L293</f>
        <v>-39.5297</v>
      </c>
      <c r="M293" s="7">
        <f>日前电价!M293-实时电价!M293</f>
        <v>4.38079999999997</v>
      </c>
      <c r="N293" s="7">
        <f>日前电价!N293-实时电价!N293</f>
        <v>-4.52080000000001</v>
      </c>
      <c r="O293" s="7">
        <f>日前电价!O293-实时电价!O293</f>
        <v>-19.7088000000001</v>
      </c>
      <c r="P293" s="7">
        <f>日前电价!P293-实时电价!P293</f>
        <v>-30.429</v>
      </c>
      <c r="Q293" s="7">
        <f>日前电价!Q293-实时电价!Q293</f>
        <v>-29.762</v>
      </c>
      <c r="R293" s="7">
        <f>日前电价!R293-实时电价!R293</f>
        <v>-17.4844</v>
      </c>
      <c r="S293" s="7">
        <f>日前电价!S293-实时电价!S293</f>
        <v>-0.289600000000007</v>
      </c>
      <c r="T293" s="7">
        <f>日前电价!T293-实时电价!T293</f>
        <v>-20.4233</v>
      </c>
      <c r="U293" s="7">
        <f>日前电价!U293-实时电价!U293</f>
        <v>-3.70919999999995</v>
      </c>
      <c r="V293" s="7">
        <f>日前电价!V293-实时电价!V293</f>
        <v>2.20830000000001</v>
      </c>
      <c r="W293" s="7">
        <f>日前电价!W293-实时电价!W293</f>
        <v>4.64429999999999</v>
      </c>
      <c r="X293" s="7">
        <f>日前电价!X293-实时电价!X293</f>
        <v>21.1742</v>
      </c>
      <c r="Y293" s="7">
        <f>日前电价!Y293-实时电价!Y293</f>
        <v>-0.674500000000023</v>
      </c>
      <c r="Z293" s="9">
        <f t="shared" si="12"/>
        <v>21.1742</v>
      </c>
      <c r="AA293" s="9">
        <f t="shared" si="13"/>
        <v>-39.5297</v>
      </c>
      <c r="AB293" s="9">
        <f t="shared" si="14"/>
        <v>-5.5306</v>
      </c>
    </row>
    <row r="294" spans="1:28">
      <c r="A294" s="8">
        <v>45584</v>
      </c>
      <c r="B294" s="7">
        <f>日前电价!B294-实时电价!B294</f>
        <v>-145.924</v>
      </c>
      <c r="C294" s="7">
        <f>日前电价!C294-实时电价!C294</f>
        <v>-5.09780000000001</v>
      </c>
      <c r="D294" s="7">
        <f>日前电价!D294-实时电价!D294</f>
        <v>7.16390000000001</v>
      </c>
      <c r="E294" s="7">
        <f>日前电价!E294-实时电价!E294</f>
        <v>8.24650000000003</v>
      </c>
      <c r="F294" s="7">
        <f>日前电价!F294-实时电价!F294</f>
        <v>2.85540000000003</v>
      </c>
      <c r="G294" s="7">
        <f>日前电价!G294-实时电价!G294</f>
        <v>3.19069999999999</v>
      </c>
      <c r="H294" s="7">
        <f>日前电价!H294-实时电价!H294</f>
        <v>4.94820000000004</v>
      </c>
      <c r="I294" s="7">
        <f>日前电价!I294-实时电价!I294</f>
        <v>6.45650000000001</v>
      </c>
      <c r="J294" s="7">
        <f>日前电价!J294-实时电价!J294</f>
        <v>11.4806</v>
      </c>
      <c r="K294" s="7">
        <f>日前电价!K294-实时电价!K294</f>
        <v>39.6398</v>
      </c>
      <c r="L294" s="7">
        <f>日前电价!L294-实时电价!L294</f>
        <v>41.1278</v>
      </c>
      <c r="M294" s="7">
        <f>日前电价!M294-实时电价!M294</f>
        <v>36.5325</v>
      </c>
      <c r="N294" s="7">
        <f>日前电价!N294-实时电价!N294</f>
        <v>36.5742</v>
      </c>
      <c r="O294" s="7">
        <f>日前电价!O294-实时电价!O294</f>
        <v>24.5495</v>
      </c>
      <c r="P294" s="7">
        <f>日前电价!P294-实时电价!P294</f>
        <v>5.81810000000002</v>
      </c>
      <c r="Q294" s="7">
        <f>日前电价!Q294-实时电价!Q294</f>
        <v>1.10290000000003</v>
      </c>
      <c r="R294" s="7">
        <f>日前电价!R294-实时电价!R294</f>
        <v>-19.9673</v>
      </c>
      <c r="S294" s="7">
        <f>日前电价!S294-实时电价!S294</f>
        <v>12.2027</v>
      </c>
      <c r="T294" s="7">
        <f>日前电价!T294-实时电价!T294</f>
        <v>4.1497</v>
      </c>
      <c r="U294" s="7">
        <f>日前电价!U294-实时电价!U294</f>
        <v>-7.54179999999997</v>
      </c>
      <c r="V294" s="7">
        <f>日前电价!V294-实时电价!V294</f>
        <v>5.5745</v>
      </c>
      <c r="W294" s="7">
        <f>日前电价!W294-实时电价!W294</f>
        <v>6.69999999999999</v>
      </c>
      <c r="X294" s="7">
        <f>日前电价!X294-实时电价!X294</f>
        <v>-1.48400000000004</v>
      </c>
      <c r="Y294" s="7">
        <f>日前电价!Y294-实时电价!Y294</f>
        <v>-51.4996</v>
      </c>
      <c r="Z294" s="9">
        <f t="shared" si="12"/>
        <v>41.1278</v>
      </c>
      <c r="AA294" s="9">
        <f t="shared" si="13"/>
        <v>-145.924</v>
      </c>
      <c r="AB294" s="9">
        <f t="shared" si="14"/>
        <v>1.116625</v>
      </c>
    </row>
    <row r="295" spans="1:28">
      <c r="A295" s="8">
        <v>45585</v>
      </c>
      <c r="B295" s="7">
        <f>日前电价!B295-实时电价!B295</f>
        <v>-430.9881</v>
      </c>
      <c r="C295" s="7">
        <f>日前电价!C295-实时电价!C295</f>
        <v>-175.7813</v>
      </c>
      <c r="D295" s="7">
        <f>日前电价!D295-实时电价!D295</f>
        <v>-128.1062</v>
      </c>
      <c r="E295" s="7">
        <f>日前电价!E295-实时电价!E295</f>
        <v>-81.1129</v>
      </c>
      <c r="F295" s="7">
        <f>日前电价!F295-实时电价!F295</f>
        <v>-8.34089999999998</v>
      </c>
      <c r="G295" s="7">
        <f>日前电价!G295-实时电价!G295</f>
        <v>12.3073</v>
      </c>
      <c r="H295" s="7">
        <f>日前电价!H295-实时电价!H295</f>
        <v>17.4564</v>
      </c>
      <c r="I295" s="7">
        <f>日前电价!I295-实时电价!I295</f>
        <v>21.1259</v>
      </c>
      <c r="J295" s="7">
        <f>日前电价!J295-实时电价!J295</f>
        <v>120.4907</v>
      </c>
      <c r="K295" s="7">
        <f>日前电价!K295-实时电价!K295</f>
        <v>237.1814</v>
      </c>
      <c r="L295" s="7">
        <f>日前电价!L295-实时电价!L295</f>
        <v>280.7168</v>
      </c>
      <c r="M295" s="7">
        <f>日前电价!M295-实时电价!M295</f>
        <v>278.7259</v>
      </c>
      <c r="N295" s="7">
        <f>日前电价!N295-实时电价!N295</f>
        <v>260.8121</v>
      </c>
      <c r="O295" s="7">
        <f>日前电价!O295-实时电价!O295</f>
        <v>207.1554</v>
      </c>
      <c r="P295" s="7">
        <f>日前电价!P295-实时电价!P295</f>
        <v>93.0492</v>
      </c>
      <c r="Q295" s="7">
        <f>日前电价!Q295-实时电价!Q295</f>
        <v>119.5322</v>
      </c>
      <c r="R295" s="7">
        <f>日前电价!R295-实时电价!R295</f>
        <v>78.7479</v>
      </c>
      <c r="S295" s="7">
        <f>日前电价!S295-实时电价!S295</f>
        <v>84.1483</v>
      </c>
      <c r="T295" s="7">
        <f>日前电价!T295-实时电价!T295</f>
        <v>47.4278</v>
      </c>
      <c r="U295" s="7">
        <f>日前电价!U295-实时电价!U295</f>
        <v>47.2167</v>
      </c>
      <c r="V295" s="7">
        <f>日前电价!V295-实时电价!V295</f>
        <v>36.4905</v>
      </c>
      <c r="W295" s="7">
        <f>日前电价!W295-实时电价!W295</f>
        <v>44.5375</v>
      </c>
      <c r="X295" s="7">
        <f>日前电价!X295-实时电价!X295</f>
        <v>44.1191</v>
      </c>
      <c r="Y295" s="7">
        <f>日前电价!Y295-实时电价!Y295</f>
        <v>74.8897</v>
      </c>
      <c r="Z295" s="9">
        <f t="shared" si="12"/>
        <v>280.7168</v>
      </c>
      <c r="AA295" s="9">
        <f t="shared" si="13"/>
        <v>-430.9881</v>
      </c>
      <c r="AB295" s="9">
        <f t="shared" si="14"/>
        <v>53.4083916666667</v>
      </c>
    </row>
    <row r="296" spans="1:28">
      <c r="A296" s="8">
        <v>45586</v>
      </c>
      <c r="B296" s="7">
        <f>日前电价!B296-实时电价!B296</f>
        <v>26.0382</v>
      </c>
      <c r="C296" s="7">
        <f>日前电价!C296-实时电价!C296</f>
        <v>30.9711</v>
      </c>
      <c r="D296" s="7">
        <f>日前电价!D296-实时电价!D296</f>
        <v>38.9714</v>
      </c>
      <c r="E296" s="7">
        <f>日前电价!E296-实时电价!E296</f>
        <v>143.5</v>
      </c>
      <c r="F296" s="7">
        <f>日前电价!F296-实时电价!F296</f>
        <v>5.44380000000001</v>
      </c>
      <c r="G296" s="7">
        <f>日前电价!G296-实时电价!G296</f>
        <v>-10.388</v>
      </c>
      <c r="H296" s="7">
        <f>日前电价!H296-实时电价!H296</f>
        <v>-19.2892</v>
      </c>
      <c r="I296" s="7">
        <f>日前电价!I296-实时电价!I296</f>
        <v>59.9727</v>
      </c>
      <c r="J296" s="7">
        <f>日前电价!J296-实时电价!J296</f>
        <v>29.3189</v>
      </c>
      <c r="K296" s="7">
        <f>日前电价!K296-实时电价!K296</f>
        <v>89.5563</v>
      </c>
      <c r="L296" s="7">
        <f>日前电价!L296-实时电价!L296</f>
        <v>134.6934</v>
      </c>
      <c r="M296" s="7">
        <f>日前电价!M296-实时电价!M296</f>
        <v>134.5079</v>
      </c>
      <c r="N296" s="7">
        <f>日前电价!N296-实时电价!N296</f>
        <v>243.408</v>
      </c>
      <c r="O296" s="7">
        <f>日前电价!O296-实时电价!O296</f>
        <v>114.3373</v>
      </c>
      <c r="P296" s="7">
        <f>日前电价!P296-实时电价!P296</f>
        <v>91.4768</v>
      </c>
      <c r="Q296" s="7">
        <f>日前电价!Q296-实时电价!Q296</f>
        <v>54.1813</v>
      </c>
      <c r="R296" s="7">
        <f>日前电价!R296-实时电价!R296</f>
        <v>40.9444</v>
      </c>
      <c r="S296" s="7">
        <f>日前电价!S296-实时电价!S296</f>
        <v>30.3585</v>
      </c>
      <c r="T296" s="7">
        <f>日前电价!T296-实时电价!T296</f>
        <v>24.4027</v>
      </c>
      <c r="U296" s="7">
        <f>日前电价!U296-实时电价!U296</f>
        <v>24.3139</v>
      </c>
      <c r="V296" s="7">
        <f>日前电价!V296-实时电价!V296</f>
        <v>49.077</v>
      </c>
      <c r="W296" s="7">
        <f>日前电价!W296-实时电价!W296</f>
        <v>39.9262</v>
      </c>
      <c r="X296" s="7">
        <f>日前电价!X296-实时电价!X296</f>
        <v>20.9296</v>
      </c>
      <c r="Y296" s="7">
        <f>日前电价!Y296-实时电价!Y296</f>
        <v>9.27870000000001</v>
      </c>
      <c r="Z296" s="9">
        <f t="shared" si="12"/>
        <v>243.408</v>
      </c>
      <c r="AA296" s="9">
        <f t="shared" si="13"/>
        <v>-19.2892</v>
      </c>
      <c r="AB296" s="9">
        <f t="shared" si="14"/>
        <v>58.5804541666667</v>
      </c>
    </row>
    <row r="297" spans="1:28">
      <c r="A297" s="8">
        <v>45587</v>
      </c>
      <c r="B297" s="7">
        <f>日前电价!B297-实时电价!B297</f>
        <v>14.1218</v>
      </c>
      <c r="C297" s="7">
        <f>日前电价!C297-实时电价!C297</f>
        <v>-7.8356</v>
      </c>
      <c r="D297" s="7">
        <f>日前电价!D297-实时电价!D297</f>
        <v>-1.30619999999999</v>
      </c>
      <c r="E297" s="7">
        <f>日前电价!E297-实时电价!E297</f>
        <v>-6.93729999999999</v>
      </c>
      <c r="F297" s="7">
        <f>日前电价!F297-实时电价!F297</f>
        <v>-7.08629999999999</v>
      </c>
      <c r="G297" s="7">
        <f>日前电价!G297-实时电价!G297</f>
        <v>-6.50110000000001</v>
      </c>
      <c r="H297" s="7">
        <f>日前电价!H297-实时电价!H297</f>
        <v>-5.33980000000003</v>
      </c>
      <c r="I297" s="7">
        <f>日前电价!I297-实时电价!I297</f>
        <v>-14.5604</v>
      </c>
      <c r="J297" s="7">
        <f>日前电价!J297-实时电价!J297</f>
        <v>-6.10509999999999</v>
      </c>
      <c r="K297" s="7">
        <f>日前电价!K297-实时电价!K297</f>
        <v>37.9089</v>
      </c>
      <c r="L297" s="7">
        <f>日前电价!L297-实时电价!L297</f>
        <v>61.7967</v>
      </c>
      <c r="M297" s="7">
        <f>日前电价!M297-实时电价!M297</f>
        <v>49.6623</v>
      </c>
      <c r="N297" s="7">
        <f>日前电价!N297-实时电价!N297</f>
        <v>64.6635</v>
      </c>
      <c r="O297" s="7">
        <f>日前电价!O297-实时电价!O297</f>
        <v>3.02100000000001</v>
      </c>
      <c r="P297" s="7">
        <f>日前电价!P297-实时电价!P297</f>
        <v>14.419</v>
      </c>
      <c r="Q297" s="7">
        <f>日前电价!Q297-实时电价!Q297</f>
        <v>-20.5116</v>
      </c>
      <c r="R297" s="7">
        <f>日前电价!R297-实时电价!R297</f>
        <v>-104.826</v>
      </c>
      <c r="S297" s="7">
        <f>日前电价!S297-实时电价!S297</f>
        <v>-119.4071</v>
      </c>
      <c r="T297" s="7">
        <f>日前电价!T297-实时电价!T297</f>
        <v>-15.1816</v>
      </c>
      <c r="U297" s="7">
        <f>日前电价!U297-实时电价!U297</f>
        <v>0.703599999999994</v>
      </c>
      <c r="V297" s="7">
        <f>日前电价!V297-实时电价!V297</f>
        <v>18.9104</v>
      </c>
      <c r="W297" s="7">
        <f>日前电价!W297-实时电价!W297</f>
        <v>29.3278</v>
      </c>
      <c r="X297" s="7">
        <f>日前电价!X297-实时电价!X297</f>
        <v>37.2487</v>
      </c>
      <c r="Y297" s="7">
        <f>日前电价!Y297-实时电价!Y297</f>
        <v>73.9598</v>
      </c>
      <c r="Z297" s="9">
        <f t="shared" si="12"/>
        <v>73.9598</v>
      </c>
      <c r="AA297" s="9">
        <f t="shared" si="13"/>
        <v>-119.4071</v>
      </c>
      <c r="AB297" s="9">
        <f t="shared" si="14"/>
        <v>3.75605833333333</v>
      </c>
    </row>
    <row r="298" spans="1:28">
      <c r="A298" s="8">
        <v>45588</v>
      </c>
      <c r="B298" s="7">
        <f>日前电价!B298-实时电价!B298</f>
        <v>90.8072</v>
      </c>
      <c r="C298" s="7">
        <f>日前电价!C298-实时电价!C298</f>
        <v>161.257</v>
      </c>
      <c r="D298" s="7">
        <f>日前电价!D298-实时电价!D298</f>
        <v>150.8057</v>
      </c>
      <c r="E298" s="7">
        <f>日前电价!E298-实时电价!E298</f>
        <v>261.7056</v>
      </c>
      <c r="F298" s="7">
        <f>日前电价!F298-实时电价!F298</f>
        <v>233.5037</v>
      </c>
      <c r="G298" s="7">
        <f>日前电价!G298-实时电价!G298</f>
        <v>217.8265</v>
      </c>
      <c r="H298" s="7">
        <f>日前电价!H298-实时电价!H298</f>
        <v>200.9754</v>
      </c>
      <c r="I298" s="7">
        <f>日前电价!I298-实时电价!I298</f>
        <v>91.5853</v>
      </c>
      <c r="J298" s="7">
        <f>日前电价!J298-实时电价!J298</f>
        <v>159.1225</v>
      </c>
      <c r="K298" s="7">
        <f>日前电价!K298-实时电价!K298</f>
        <v>273.4464</v>
      </c>
      <c r="L298" s="7">
        <f>日前电价!L298-实时电价!L298</f>
        <v>209.1226</v>
      </c>
      <c r="M298" s="7">
        <f>日前电价!M298-实时电价!M298</f>
        <v>235.9456</v>
      </c>
      <c r="N298" s="7">
        <f>日前电价!N298-实时电价!N298</f>
        <v>177.5578</v>
      </c>
      <c r="O298" s="7">
        <f>日前电价!O298-实时电价!O298</f>
        <v>106.9022</v>
      </c>
      <c r="P298" s="7">
        <f>日前电价!P298-实时电价!P298</f>
        <v>243.9768</v>
      </c>
      <c r="Q298" s="7">
        <f>日前电价!Q298-实时电价!Q298</f>
        <v>281.7544</v>
      </c>
      <c r="R298" s="7">
        <f>日前电价!R298-实时电价!R298</f>
        <v>193.7584</v>
      </c>
      <c r="S298" s="7">
        <f>日前电价!S298-实时电价!S298</f>
        <v>78.9673</v>
      </c>
      <c r="T298" s="7">
        <f>日前电价!T298-实时电价!T298</f>
        <v>58.7395</v>
      </c>
      <c r="U298" s="7">
        <f>日前电价!U298-实时电价!U298</f>
        <v>58.3828</v>
      </c>
      <c r="V298" s="7">
        <f>日前电价!V298-实时电价!V298</f>
        <v>59.7994</v>
      </c>
      <c r="W298" s="7">
        <f>日前电价!W298-实时电价!W298</f>
        <v>142.5903</v>
      </c>
      <c r="X298" s="7">
        <f>日前电价!X298-实时电价!X298</f>
        <v>187.7553</v>
      </c>
      <c r="Y298" s="7">
        <f>日前电价!Y298-实时电价!Y298</f>
        <v>156.6113</v>
      </c>
      <c r="Z298" s="9">
        <f t="shared" si="12"/>
        <v>281.7544</v>
      </c>
      <c r="AA298" s="9">
        <f t="shared" si="13"/>
        <v>58.3828</v>
      </c>
      <c r="AB298" s="9">
        <f t="shared" si="14"/>
        <v>168.037458333333</v>
      </c>
    </row>
    <row r="299" spans="1:28">
      <c r="A299" s="8">
        <v>45589</v>
      </c>
      <c r="B299" s="7">
        <f>日前电价!B299-实时电价!B299</f>
        <v>33.7451</v>
      </c>
      <c r="C299" s="7">
        <f>日前电价!C299-实时电价!C299</f>
        <v>9.4221</v>
      </c>
      <c r="D299" s="7">
        <f>日前电价!D299-实时电价!D299</f>
        <v>118.3404</v>
      </c>
      <c r="E299" s="7">
        <f>日前电价!E299-实时电价!E299</f>
        <v>71.7642</v>
      </c>
      <c r="F299" s="7">
        <f>日前电价!F299-实时电价!F299</f>
        <v>0</v>
      </c>
      <c r="G299" s="7">
        <f>日前电价!G299-实时电价!G299</f>
        <v>0</v>
      </c>
      <c r="H299" s="7">
        <f>日前电价!H299-实时电价!H299</f>
        <v>70.4642</v>
      </c>
      <c r="I299" s="7">
        <f>日前电价!I299-实时电价!I299</f>
        <v>14.8103</v>
      </c>
      <c r="J299" s="7">
        <f>日前电价!J299-实时电价!J299</f>
        <v>-0.778700000000015</v>
      </c>
      <c r="K299" s="7">
        <f>日前电价!K299-实时电价!K299</f>
        <v>105.9874</v>
      </c>
      <c r="L299" s="7">
        <f>日前电价!L299-实时电价!L299</f>
        <v>120.6369</v>
      </c>
      <c r="M299" s="7">
        <f>日前电价!M299-实时电价!M299</f>
        <v>98.3877</v>
      </c>
      <c r="N299" s="7">
        <f>日前电价!N299-实时电价!N299</f>
        <v>20.6659</v>
      </c>
      <c r="O299" s="7">
        <f>日前电价!O299-实时电价!O299</f>
        <v>37.3886</v>
      </c>
      <c r="P299" s="7">
        <f>日前电价!P299-实时电价!P299</f>
        <v>147.4371</v>
      </c>
      <c r="Q299" s="7">
        <f>日前电价!Q299-实时电价!Q299</f>
        <v>63.7128</v>
      </c>
      <c r="R299" s="7">
        <f>日前电价!R299-实时电价!R299</f>
        <v>20.0286</v>
      </c>
      <c r="S299" s="7">
        <f>日前电价!S299-实时电价!S299</f>
        <v>13.2288</v>
      </c>
      <c r="T299" s="7">
        <f>日前电价!T299-实时电价!T299</f>
        <v>18.3197</v>
      </c>
      <c r="U299" s="7">
        <f>日前电价!U299-实时电价!U299</f>
        <v>18.1254</v>
      </c>
      <c r="V299" s="7">
        <f>日前电价!V299-实时电价!V299</f>
        <v>8.85809999999998</v>
      </c>
      <c r="W299" s="7">
        <f>日前电价!W299-实时电价!W299</f>
        <v>29.6261</v>
      </c>
      <c r="X299" s="7">
        <f>日前电价!X299-实时电价!X299</f>
        <v>82.6449</v>
      </c>
      <c r="Y299" s="7">
        <f>日前电价!Y299-实时电价!Y299</f>
        <v>105.7684</v>
      </c>
      <c r="Z299" s="9">
        <f t="shared" si="12"/>
        <v>147.4371</v>
      </c>
      <c r="AA299" s="9">
        <f t="shared" si="13"/>
        <v>-0.778700000000015</v>
      </c>
      <c r="AB299" s="9">
        <f t="shared" si="14"/>
        <v>50.3576666666667</v>
      </c>
    </row>
    <row r="300" spans="1:28">
      <c r="A300" s="8">
        <v>45590</v>
      </c>
      <c r="B300" s="7">
        <f>日前电价!B300-实时电价!B300</f>
        <v>-227.2896</v>
      </c>
      <c r="C300" s="7">
        <f>日前电价!C300-实时电价!C300</f>
        <v>-144.8435</v>
      </c>
      <c r="D300" s="7">
        <f>日前电价!D300-实时电价!D300</f>
        <v>70.6288</v>
      </c>
      <c r="E300" s="7">
        <f>日前电价!E300-实时电价!E300</f>
        <v>-5.618</v>
      </c>
      <c r="F300" s="7">
        <f>日前电价!F300-实时电价!F300</f>
        <v>-0.2066</v>
      </c>
      <c r="G300" s="7">
        <f>日前电价!G300-实时电价!G300</f>
        <v>-0.2439</v>
      </c>
      <c r="H300" s="7">
        <f>日前电价!H300-实时电价!H300</f>
        <v>-125.6969</v>
      </c>
      <c r="I300" s="7">
        <f>日前电价!I300-实时电价!I300</f>
        <v>-47.9282</v>
      </c>
      <c r="J300" s="7">
        <f>日前电价!J300-实时电价!J300</f>
        <v>-29.6409</v>
      </c>
      <c r="K300" s="7">
        <f>日前电价!K300-实时电价!K300</f>
        <v>5.58939999999998</v>
      </c>
      <c r="L300" s="7">
        <f>日前电价!L300-实时电价!L300</f>
        <v>68.346</v>
      </c>
      <c r="M300" s="7">
        <f>日前电价!M300-实时电价!M300</f>
        <v>60.4127</v>
      </c>
      <c r="N300" s="7">
        <f>日前电价!N300-实时电价!N300</f>
        <v>-10.6196</v>
      </c>
      <c r="O300" s="7">
        <f>日前电价!O300-实时电价!O300</f>
        <v>110.4343</v>
      </c>
      <c r="P300" s="7">
        <f>日前电价!P300-实时电价!P300</f>
        <v>158.6559</v>
      </c>
      <c r="Q300" s="7">
        <f>日前电价!Q300-实时电价!Q300</f>
        <v>111.6627</v>
      </c>
      <c r="R300" s="7">
        <f>日前电价!R300-实时电价!R300</f>
        <v>71.3693</v>
      </c>
      <c r="S300" s="7">
        <f>日前电价!S300-实时电价!S300</f>
        <v>55.5779</v>
      </c>
      <c r="T300" s="7">
        <f>日前电价!T300-实时电价!T300</f>
        <v>4.54349999999999</v>
      </c>
      <c r="U300" s="7">
        <f>日前电价!U300-实时电价!U300</f>
        <v>-13.5043</v>
      </c>
      <c r="V300" s="7">
        <f>日前电价!V300-实时电价!V300</f>
        <v>-14.1479</v>
      </c>
      <c r="W300" s="7">
        <f>日前电价!W300-实时电价!W300</f>
        <v>10.8337</v>
      </c>
      <c r="X300" s="7">
        <f>日前电价!X300-实时电价!X300</f>
        <v>89.9681</v>
      </c>
      <c r="Y300" s="7">
        <f>日前电价!Y300-实时电价!Y300</f>
        <v>-2.9125</v>
      </c>
      <c r="Z300" s="9">
        <f t="shared" si="12"/>
        <v>158.6559</v>
      </c>
      <c r="AA300" s="9">
        <f t="shared" si="13"/>
        <v>-227.2896</v>
      </c>
      <c r="AB300" s="9">
        <f t="shared" si="14"/>
        <v>8.14043333333334</v>
      </c>
    </row>
    <row r="301" spans="1:28">
      <c r="A301" s="8">
        <v>45591</v>
      </c>
      <c r="B301" s="7">
        <f>日前电价!B301-实时电价!B301</f>
        <v>-115.8403</v>
      </c>
      <c r="C301" s="7">
        <f>日前电价!C301-实时电价!C301</f>
        <v>-12.93</v>
      </c>
      <c r="D301" s="7">
        <f>日前电价!D301-实时电价!D301</f>
        <v>9.55309999999997</v>
      </c>
      <c r="E301" s="7">
        <f>日前电价!E301-实时电价!E301</f>
        <v>84.7272</v>
      </c>
      <c r="F301" s="7">
        <f>日前电价!F301-实时电价!F301</f>
        <v>249.7809</v>
      </c>
      <c r="G301" s="7">
        <f>日前电价!G301-实时电价!G301</f>
        <v>207.7706</v>
      </c>
      <c r="H301" s="7">
        <f>日前电价!H301-实时电价!H301</f>
        <v>152.3523</v>
      </c>
      <c r="I301" s="7">
        <f>日前电价!I301-实时电价!I301</f>
        <v>-18.7671</v>
      </c>
      <c r="J301" s="7">
        <f>日前电价!J301-实时电价!J301</f>
        <v>-230.4208</v>
      </c>
      <c r="K301" s="7">
        <f>日前电价!K301-实时电价!K301</f>
        <v>-277.5303</v>
      </c>
      <c r="L301" s="7">
        <f>日前电价!L301-实时电价!L301</f>
        <v>-122.924</v>
      </c>
      <c r="M301" s="7">
        <f>日前电价!M301-实时电价!M301</f>
        <v>62.6408</v>
      </c>
      <c r="N301" s="7">
        <f>日前电价!N301-实时电价!N301</f>
        <v>-11.2043</v>
      </c>
      <c r="O301" s="7">
        <f>日前电价!O301-实时电价!O301</f>
        <v>-107.6243</v>
      </c>
      <c r="P301" s="7">
        <f>日前电价!P301-实时电价!P301</f>
        <v>-183.3917</v>
      </c>
      <c r="Q301" s="7">
        <f>日前电价!Q301-实时电价!Q301</f>
        <v>-15.7056</v>
      </c>
      <c r="R301" s="7">
        <f>日前电价!R301-实时电价!R301</f>
        <v>-87.044</v>
      </c>
      <c r="S301" s="7">
        <f>日前电价!S301-实时电价!S301</f>
        <v>-132.7115</v>
      </c>
      <c r="T301" s="7">
        <f>日前电价!T301-实时电价!T301</f>
        <v>-141.485</v>
      </c>
      <c r="U301" s="7">
        <f>日前电价!U301-实时电价!U301</f>
        <v>-31.8676</v>
      </c>
      <c r="V301" s="7">
        <f>日前电价!V301-实时电价!V301</f>
        <v>-14.3146</v>
      </c>
      <c r="W301" s="7">
        <f>日前电价!W301-实时电价!W301</f>
        <v>-23.1669</v>
      </c>
      <c r="X301" s="7">
        <f>日前电价!X301-实时电价!X301</f>
        <v>-11.2325</v>
      </c>
      <c r="Y301" s="7">
        <f>日前电价!Y301-实时电价!Y301</f>
        <v>9.95499999999998</v>
      </c>
      <c r="Z301" s="9">
        <f t="shared" si="12"/>
        <v>249.7809</v>
      </c>
      <c r="AA301" s="9">
        <f t="shared" si="13"/>
        <v>-277.5303</v>
      </c>
      <c r="AB301" s="9">
        <f t="shared" si="14"/>
        <v>-31.7241916666667</v>
      </c>
    </row>
    <row r="302" spans="1:28">
      <c r="A302" s="8">
        <v>45592</v>
      </c>
      <c r="B302" s="7">
        <f>日前电价!B302-实时电价!B302</f>
        <v>-170.3918</v>
      </c>
      <c r="C302" s="7">
        <f>日前电价!C302-实时电价!C302</f>
        <v>-6.02279999999996</v>
      </c>
      <c r="D302" s="7">
        <f>日前电价!D302-实时电价!D302</f>
        <v>24.2079</v>
      </c>
      <c r="E302" s="7">
        <f>日前电价!E302-实时电价!E302</f>
        <v>23.3642</v>
      </c>
      <c r="F302" s="7">
        <f>日前电价!F302-实时电价!F302</f>
        <v>27.1144</v>
      </c>
      <c r="G302" s="7">
        <f>日前电价!G302-实时电价!G302</f>
        <v>23.5242</v>
      </c>
      <c r="H302" s="7">
        <f>日前电价!H302-实时电价!H302</f>
        <v>20.1539</v>
      </c>
      <c r="I302" s="7">
        <f>日前电价!I302-实时电价!I302</f>
        <v>3.6191</v>
      </c>
      <c r="J302" s="7">
        <f>日前电价!J302-实时电价!J302</f>
        <v>33.9271</v>
      </c>
      <c r="K302" s="7">
        <f>日前电价!K302-实时电价!K302</f>
        <v>28.034</v>
      </c>
      <c r="L302" s="7">
        <f>日前电价!L302-实时电价!L302</f>
        <v>81.2714</v>
      </c>
      <c r="M302" s="7">
        <f>日前电价!M302-实时电价!M302</f>
        <v>28.4781</v>
      </c>
      <c r="N302" s="7">
        <f>日前电价!N302-实时电价!N302</f>
        <v>72.6023</v>
      </c>
      <c r="O302" s="7">
        <f>日前电价!O302-实时电价!O302</f>
        <v>-5.81509999999997</v>
      </c>
      <c r="P302" s="7">
        <f>日前电价!P302-实时电价!P302</f>
        <v>-4.41919999999999</v>
      </c>
      <c r="Q302" s="7">
        <f>日前电价!Q302-实时电价!Q302</f>
        <v>-5.44290000000001</v>
      </c>
      <c r="R302" s="7">
        <f>日前电价!R302-实时电价!R302</f>
        <v>-5.40039999999999</v>
      </c>
      <c r="S302" s="7">
        <f>日前电价!S302-实时电价!S302</f>
        <v>10.8477</v>
      </c>
      <c r="T302" s="7">
        <f>日前电价!T302-实时电价!T302</f>
        <v>16.0128</v>
      </c>
      <c r="U302" s="7">
        <f>日前电价!U302-实时电价!U302</f>
        <v>12.9399</v>
      </c>
      <c r="V302" s="7">
        <f>日前电价!V302-实时电价!V302</f>
        <v>11.9172</v>
      </c>
      <c r="W302" s="7">
        <f>日前电价!W302-实时电价!W302</f>
        <v>16.8679</v>
      </c>
      <c r="X302" s="7">
        <f>日前电价!X302-实时电价!X302</f>
        <v>26.0881</v>
      </c>
      <c r="Y302" s="7">
        <f>日前电价!Y302-实时电价!Y302</f>
        <v>8.9572</v>
      </c>
      <c r="Z302" s="9">
        <f t="shared" si="12"/>
        <v>81.2714</v>
      </c>
      <c r="AA302" s="9">
        <f t="shared" si="13"/>
        <v>-170.3918</v>
      </c>
      <c r="AB302" s="9">
        <f t="shared" si="14"/>
        <v>11.3514666666667</v>
      </c>
    </row>
    <row r="303" spans="1:28">
      <c r="A303" s="8">
        <v>45593</v>
      </c>
      <c r="B303" s="7">
        <f>日前电价!B303-实时电价!B303</f>
        <v>-29.0524</v>
      </c>
      <c r="C303" s="7">
        <f>日前电价!C303-实时电价!C303</f>
        <v>18.5125</v>
      </c>
      <c r="D303" s="7">
        <f>日前电价!D303-实时电价!D303</f>
        <v>27.647</v>
      </c>
      <c r="E303" s="7">
        <f>日前电价!E303-实时电价!E303</f>
        <v>57.332</v>
      </c>
      <c r="F303" s="7">
        <f>日前电价!F303-实时电价!F303</f>
        <v>64.4007</v>
      </c>
      <c r="G303" s="7">
        <f>日前电价!G303-实时电价!G303</f>
        <v>81.27</v>
      </c>
      <c r="H303" s="7">
        <f>日前电价!H303-实时电价!H303</f>
        <v>17.879</v>
      </c>
      <c r="I303" s="7">
        <f>日前电价!I303-实时电价!I303</f>
        <v>7.8227</v>
      </c>
      <c r="J303" s="7">
        <f>日前电价!J303-实时电价!J303</f>
        <v>9.52109999999999</v>
      </c>
      <c r="K303" s="7">
        <f>日前电价!K303-实时电价!K303</f>
        <v>37.5828</v>
      </c>
      <c r="L303" s="7">
        <f>日前电价!L303-实时电价!L303</f>
        <v>290.0087</v>
      </c>
      <c r="M303" s="7">
        <f>日前电价!M303-实时电价!M303</f>
        <v>224.4487</v>
      </c>
      <c r="N303" s="7">
        <f>日前电价!N303-实时电价!N303</f>
        <v>256.6099</v>
      </c>
      <c r="O303" s="7">
        <f>日前电价!O303-实时电价!O303</f>
        <v>145.512</v>
      </c>
      <c r="P303" s="7">
        <f>日前电价!P303-实时电价!P303</f>
        <v>25.6515</v>
      </c>
      <c r="Q303" s="7">
        <f>日前电价!Q303-实时电价!Q303</f>
        <v>25.8736</v>
      </c>
      <c r="R303" s="7">
        <f>日前电价!R303-实时电价!R303</f>
        <v>22.9842</v>
      </c>
      <c r="S303" s="7">
        <f>日前电价!S303-实时电价!S303</f>
        <v>19.5873</v>
      </c>
      <c r="T303" s="7">
        <f>日前电价!T303-实时电价!T303</f>
        <v>13.8254</v>
      </c>
      <c r="U303" s="7">
        <f>日前电价!U303-实时电价!U303</f>
        <v>9.2176</v>
      </c>
      <c r="V303" s="7">
        <f>日前电价!V303-实时电价!V303</f>
        <v>1.411</v>
      </c>
      <c r="W303" s="7">
        <f>日前电价!W303-实时电价!W303</f>
        <v>0.201099999999997</v>
      </c>
      <c r="X303" s="7">
        <f>日前电价!X303-实时电价!X303</f>
        <v>17.2769</v>
      </c>
      <c r="Y303" s="7">
        <f>日前电价!Y303-实时电价!Y303</f>
        <v>224.0201</v>
      </c>
      <c r="Z303" s="9">
        <f t="shared" si="12"/>
        <v>290.0087</v>
      </c>
      <c r="AA303" s="9">
        <f t="shared" si="13"/>
        <v>-29.0524</v>
      </c>
      <c r="AB303" s="9">
        <f t="shared" si="14"/>
        <v>65.3976416666667</v>
      </c>
    </row>
    <row r="304" spans="1:28">
      <c r="A304" s="8">
        <v>45594</v>
      </c>
      <c r="B304" s="7">
        <f>日前电价!B304-实时电价!B304</f>
        <v>42.5002</v>
      </c>
      <c r="C304" s="7">
        <f>日前电价!C304-实时电价!C304</f>
        <v>48.5242</v>
      </c>
      <c r="D304" s="7">
        <f>日前电价!D304-实时电价!D304</f>
        <v>3.17959999999999</v>
      </c>
      <c r="E304" s="7">
        <f>日前电价!E304-实时电价!E304</f>
        <v>16.3006</v>
      </c>
      <c r="F304" s="7">
        <f>日前电价!F304-实时电价!F304</f>
        <v>176.6746</v>
      </c>
      <c r="G304" s="7">
        <f>日前电价!G304-实时电价!G304</f>
        <v>52.2535</v>
      </c>
      <c r="H304" s="7">
        <f>日前电价!H304-实时电价!H304</f>
        <v>-2.13</v>
      </c>
      <c r="I304" s="7">
        <f>日前电价!I304-实时电价!I304</f>
        <v>63.2762</v>
      </c>
      <c r="J304" s="7">
        <f>日前电价!J304-实时电价!J304</f>
        <v>-3.01060000000001</v>
      </c>
      <c r="K304" s="7">
        <f>日前电价!K304-实时电价!K304</f>
        <v>-0.780500000000018</v>
      </c>
      <c r="L304" s="7">
        <f>日前电价!L304-实时电价!L304</f>
        <v>84.2834</v>
      </c>
      <c r="M304" s="7">
        <f>日前电价!M304-实时电价!M304</f>
        <v>184.5525</v>
      </c>
      <c r="N304" s="7">
        <f>日前电价!N304-实时电价!N304</f>
        <v>35.6827</v>
      </c>
      <c r="O304" s="7">
        <f>日前电价!O304-实时电价!O304</f>
        <v>53.1448</v>
      </c>
      <c r="P304" s="7">
        <f>日前电价!P304-实时电价!P304</f>
        <v>4.36759999999998</v>
      </c>
      <c r="Q304" s="7">
        <f>日前电价!Q304-实时电价!Q304</f>
        <v>0.390800000000013</v>
      </c>
      <c r="R304" s="7">
        <f>日前电价!R304-实时电价!R304</f>
        <v>-16.4772</v>
      </c>
      <c r="S304" s="7">
        <f>日前电价!S304-实时电价!S304</f>
        <v>-6.47970000000004</v>
      </c>
      <c r="T304" s="7">
        <f>日前电价!T304-实时电价!T304</f>
        <v>-8.66669999999999</v>
      </c>
      <c r="U304" s="7">
        <f>日前电价!U304-实时电价!U304</f>
        <v>-12.7426</v>
      </c>
      <c r="V304" s="7">
        <f>日前电价!V304-实时电价!V304</f>
        <v>1.68690000000004</v>
      </c>
      <c r="W304" s="7">
        <f>日前电价!W304-实时电价!W304</f>
        <v>-5.92900000000003</v>
      </c>
      <c r="X304" s="7">
        <f>日前电价!X304-实时电价!X304</f>
        <v>6.74889999999999</v>
      </c>
      <c r="Y304" s="7">
        <f>日前电价!Y304-实时电价!Y304</f>
        <v>21.3067</v>
      </c>
      <c r="Z304" s="9">
        <f t="shared" si="12"/>
        <v>184.5525</v>
      </c>
      <c r="AA304" s="9">
        <f t="shared" si="13"/>
        <v>-16.4772</v>
      </c>
      <c r="AB304" s="9">
        <f t="shared" si="14"/>
        <v>30.7773708333333</v>
      </c>
    </row>
    <row r="305" spans="1:28">
      <c r="A305" s="8">
        <v>45595</v>
      </c>
      <c r="B305" s="7">
        <f>日前电价!B305-实时电价!B305</f>
        <v>27.1098</v>
      </c>
      <c r="C305" s="7">
        <f>日前电价!C305-实时电价!C305</f>
        <v>15.8697</v>
      </c>
      <c r="D305" s="7">
        <f>日前电价!D305-实时电价!D305</f>
        <v>46.7396</v>
      </c>
      <c r="E305" s="7">
        <f>日前电价!E305-实时电价!E305</f>
        <v>20.0652</v>
      </c>
      <c r="F305" s="7">
        <f>日前电价!F305-实时电价!F305</f>
        <v>10.9787</v>
      </c>
      <c r="G305" s="7">
        <f>日前电价!G305-实时电价!G305</f>
        <v>9.77670000000001</v>
      </c>
      <c r="H305" s="7">
        <f>日前电价!H305-实时电价!H305</f>
        <v>8.56479999999999</v>
      </c>
      <c r="I305" s="7">
        <f>日前电价!I305-实时电价!I305</f>
        <v>15.4668</v>
      </c>
      <c r="J305" s="7">
        <f>日前电价!J305-实时电价!J305</f>
        <v>17.4315</v>
      </c>
      <c r="K305" s="7">
        <f>日前电价!K305-实时电价!K305</f>
        <v>94.1616</v>
      </c>
      <c r="L305" s="7">
        <f>日前电价!L305-实时电价!L305</f>
        <v>301.3406</v>
      </c>
      <c r="M305" s="7">
        <f>日前电价!M305-实时电价!M305</f>
        <v>118.7793</v>
      </c>
      <c r="N305" s="7">
        <f>日前电价!N305-实时电价!N305</f>
        <v>44.6428</v>
      </c>
      <c r="O305" s="7">
        <f>日前电价!O305-实时电价!O305</f>
        <v>40.1282</v>
      </c>
      <c r="P305" s="7">
        <f>日前电价!P305-实时电价!P305</f>
        <v>29.9512</v>
      </c>
      <c r="Q305" s="7">
        <f>日前电价!Q305-实时电价!Q305</f>
        <v>11.677</v>
      </c>
      <c r="R305" s="7">
        <f>日前电价!R305-实时电价!R305</f>
        <v>17.916</v>
      </c>
      <c r="S305" s="7">
        <f>日前电价!S305-实时电价!S305</f>
        <v>16.4797</v>
      </c>
      <c r="T305" s="7">
        <f>日前电价!T305-实时电价!T305</f>
        <v>4.49919999999997</v>
      </c>
      <c r="U305" s="7">
        <f>日前电价!U305-实时电价!U305</f>
        <v>-4.20650000000001</v>
      </c>
      <c r="V305" s="7">
        <f>日前电价!V305-实时电价!V305</f>
        <v>5.08320000000003</v>
      </c>
      <c r="W305" s="7">
        <f>日前电价!W305-实时电价!W305</f>
        <v>7.90019999999998</v>
      </c>
      <c r="X305" s="7">
        <f>日前电价!X305-实时电价!X305</f>
        <v>9.80439999999999</v>
      </c>
      <c r="Y305" s="7">
        <f>日前电价!Y305-实时电价!Y305</f>
        <v>2.72309999999999</v>
      </c>
      <c r="Z305" s="9">
        <f t="shared" si="12"/>
        <v>301.3406</v>
      </c>
      <c r="AA305" s="9">
        <f t="shared" si="13"/>
        <v>-4.20650000000001</v>
      </c>
      <c r="AB305" s="9">
        <f t="shared" si="14"/>
        <v>36.3701166666667</v>
      </c>
    </row>
    <row r="306" spans="1:28">
      <c r="A306" s="8">
        <v>45596</v>
      </c>
      <c r="B306" s="7">
        <f>日前电价!B306-实时电价!B306</f>
        <v>-7.80369999999999</v>
      </c>
      <c r="C306" s="7">
        <f>日前电价!C306-实时电价!C306</f>
        <v>2.6884</v>
      </c>
      <c r="D306" s="7">
        <f>日前电价!D306-实时电价!D306</f>
        <v>10.7616</v>
      </c>
      <c r="E306" s="7">
        <f>日前电价!E306-实时电价!E306</f>
        <v>10.2013</v>
      </c>
      <c r="F306" s="7">
        <f>日前电价!F306-实时电价!F306</f>
        <v>9.85910000000001</v>
      </c>
      <c r="G306" s="7">
        <f>日前电价!G306-实时电价!G306</f>
        <v>10.9817</v>
      </c>
      <c r="H306" s="7">
        <f>日前电价!H306-实时电价!H306</f>
        <v>1.82669999999996</v>
      </c>
      <c r="I306" s="7">
        <f>日前电价!I306-实时电价!I306</f>
        <v>-10.5294</v>
      </c>
      <c r="J306" s="7">
        <f>日前电价!J306-实时电价!J306</f>
        <v>-3.69630000000001</v>
      </c>
      <c r="K306" s="7">
        <f>日前电价!K306-实时电价!K306</f>
        <v>91.5854</v>
      </c>
      <c r="L306" s="7">
        <f>日前电价!L306-实时电价!L306</f>
        <v>265.2198</v>
      </c>
      <c r="M306" s="7">
        <f>日前电价!M306-实时电价!M306</f>
        <v>103.7441</v>
      </c>
      <c r="N306" s="7">
        <f>日前电价!N306-实时电价!N306</f>
        <v>45.915</v>
      </c>
      <c r="O306" s="7">
        <f>日前电价!O306-实时电价!O306</f>
        <v>145.7202</v>
      </c>
      <c r="P306" s="7">
        <f>日前电价!P306-实时电价!P306</f>
        <v>149.8918</v>
      </c>
      <c r="Q306" s="7">
        <f>日前电价!Q306-实时电价!Q306</f>
        <v>18.172</v>
      </c>
      <c r="R306" s="7">
        <f>日前电价!R306-实时电价!R306</f>
        <v>-10.5967</v>
      </c>
      <c r="S306" s="7">
        <f>日前电价!S306-实时电价!S306</f>
        <v>-2.66769999999997</v>
      </c>
      <c r="T306" s="7">
        <f>日前电价!T306-实时电价!T306</f>
        <v>-5.84839999999997</v>
      </c>
      <c r="U306" s="7">
        <f>日前电价!U306-实时电价!U306</f>
        <v>-33.0287</v>
      </c>
      <c r="V306" s="7">
        <f>日前电价!V306-实时电价!V306</f>
        <v>-2.47290000000004</v>
      </c>
      <c r="W306" s="7">
        <f>日前电价!W306-实时电价!W306</f>
        <v>-16.0139</v>
      </c>
      <c r="X306" s="7">
        <f>日前电价!X306-实时电价!X306</f>
        <v>-1.66360000000003</v>
      </c>
      <c r="Y306" s="7">
        <f>日前电价!Y306-实时电价!Y306</f>
        <v>-16.7101</v>
      </c>
      <c r="Z306" s="9">
        <f t="shared" si="12"/>
        <v>265.2198</v>
      </c>
      <c r="AA306" s="9">
        <f t="shared" si="13"/>
        <v>-33.0287</v>
      </c>
      <c r="AB306" s="9">
        <f t="shared" si="14"/>
        <v>31.4806541666667</v>
      </c>
    </row>
    <row r="307" spans="1:28">
      <c r="A307" s="8">
        <v>45597</v>
      </c>
      <c r="B307" s="7">
        <f>日前电价!B307-实时电价!B307</f>
        <v>-16.5528</v>
      </c>
      <c r="C307" s="7">
        <f>日前电价!C307-实时电价!C307</f>
        <v>-1.2756</v>
      </c>
      <c r="D307" s="7">
        <f>日前电价!D307-实时电价!D307</f>
        <v>3.02289999999999</v>
      </c>
      <c r="E307" s="7">
        <f>日前电价!E307-实时电价!E307</f>
        <v>4.25</v>
      </c>
      <c r="F307" s="7">
        <f>日前电价!F307-实时电价!F307</f>
        <v>8.43000000000001</v>
      </c>
      <c r="G307" s="7">
        <f>日前电价!G307-实时电价!G307</f>
        <v>0.5</v>
      </c>
      <c r="H307" s="7">
        <f>日前电价!H307-实时电价!H307</f>
        <v>0.399699999999996</v>
      </c>
      <c r="I307" s="7">
        <f>日前电价!I307-实时电价!I307</f>
        <v>-1.43789999999996</v>
      </c>
      <c r="J307" s="7">
        <f>日前电价!J307-实时电价!J307</f>
        <v>-3.20359999999999</v>
      </c>
      <c r="K307" s="7">
        <f>日前电价!K307-实时电价!K307</f>
        <v>23.6453</v>
      </c>
      <c r="L307" s="7">
        <f>日前电价!L307-实时电价!L307</f>
        <v>2.85849999999999</v>
      </c>
      <c r="M307" s="7">
        <f>日前电价!M307-实时电价!M307</f>
        <v>27.1892</v>
      </c>
      <c r="N307" s="7">
        <f>日前电价!N307-实时电价!N307</f>
        <v>72.4573</v>
      </c>
      <c r="O307" s="7">
        <f>日前电价!O307-实时电价!O307</f>
        <v>4.82900000000001</v>
      </c>
      <c r="P307" s="7">
        <f>日前电价!P307-实时电价!P307</f>
        <v>-5.05000000000001</v>
      </c>
      <c r="Q307" s="7">
        <f>日前电价!Q307-实时电价!Q307</f>
        <v>-28.0003</v>
      </c>
      <c r="R307" s="7">
        <f>日前电价!R307-实时电价!R307</f>
        <v>-34.389</v>
      </c>
      <c r="S307" s="7">
        <f>日前电价!S307-实时电价!S307</f>
        <v>106.6002</v>
      </c>
      <c r="T307" s="7">
        <f>日前电价!T307-实时电价!T307</f>
        <v>50.7345</v>
      </c>
      <c r="U307" s="7">
        <f>日前电价!U307-实时电价!U307</f>
        <v>94.9955</v>
      </c>
      <c r="V307" s="7">
        <f>日前电价!V307-实时电价!V307</f>
        <v>52.9385</v>
      </c>
      <c r="W307" s="7">
        <f>日前电价!W307-实时电价!W307</f>
        <v>27.3348</v>
      </c>
      <c r="X307" s="7">
        <f>日前电价!X307-实时电价!X307</f>
        <v>5.38139999999999</v>
      </c>
      <c r="Y307" s="7">
        <f>日前电价!Y307-实时电价!Y307</f>
        <v>-1.32749999999999</v>
      </c>
      <c r="Z307" s="9">
        <f t="shared" si="12"/>
        <v>106.6002</v>
      </c>
      <c r="AA307" s="9">
        <f t="shared" si="13"/>
        <v>-34.389</v>
      </c>
      <c r="AB307" s="9">
        <f t="shared" si="14"/>
        <v>16.4304208333333</v>
      </c>
    </row>
    <row r="308" spans="1:28">
      <c r="A308" s="8">
        <v>45598</v>
      </c>
      <c r="B308" s="7">
        <f>日前电价!B308-实时电价!B308</f>
        <v>-32.6282</v>
      </c>
      <c r="C308" s="7">
        <f>日前电价!C308-实时电价!C308</f>
        <v>4.03950000000003</v>
      </c>
      <c r="D308" s="7">
        <f>日前电价!D308-实时电价!D308</f>
        <v>8.15619999999996</v>
      </c>
      <c r="E308" s="7">
        <f>日前电价!E308-实时电价!E308</f>
        <v>11.9603</v>
      </c>
      <c r="F308" s="7">
        <f>日前电价!F308-实时电价!F308</f>
        <v>16.039</v>
      </c>
      <c r="G308" s="7">
        <f>日前电价!G308-实时电价!G308</f>
        <v>19.8796</v>
      </c>
      <c r="H308" s="7">
        <f>日前电价!H308-实时电价!H308</f>
        <v>21.3976</v>
      </c>
      <c r="I308" s="7">
        <f>日前电价!I308-实时电价!I308</f>
        <v>3.05470000000003</v>
      </c>
      <c r="J308" s="7">
        <f>日前电价!J308-实时电价!J308</f>
        <v>-3.81559999999996</v>
      </c>
      <c r="K308" s="7">
        <f>日前电价!K308-实时电价!K308</f>
        <v>-4.56639999999999</v>
      </c>
      <c r="L308" s="7">
        <f>日前电价!L308-实时电价!L308</f>
        <v>-2.70519999999999</v>
      </c>
      <c r="M308" s="7">
        <f>日前电价!M308-实时电价!M308</f>
        <v>15.4481</v>
      </c>
      <c r="N308" s="7">
        <f>日前电价!N308-实时电价!N308</f>
        <v>129.7064</v>
      </c>
      <c r="O308" s="7">
        <f>日前电价!O308-实时电价!O308</f>
        <v>2.6617</v>
      </c>
      <c r="P308" s="7">
        <f>日前电价!P308-实时电价!P308</f>
        <v>-5.81369999999998</v>
      </c>
      <c r="Q308" s="7">
        <f>日前电价!Q308-实时电价!Q308</f>
        <v>-7.37540000000001</v>
      </c>
      <c r="R308" s="7">
        <f>日前电价!R308-实时电价!R308</f>
        <v>12.3013</v>
      </c>
      <c r="S308" s="7">
        <f>日前电价!S308-实时电价!S308</f>
        <v>190.7052</v>
      </c>
      <c r="T308" s="7">
        <f>日前电价!T308-实时电价!T308</f>
        <v>120.9118</v>
      </c>
      <c r="U308" s="7">
        <f>日前电价!U308-实时电价!U308</f>
        <v>132.5891</v>
      </c>
      <c r="V308" s="7">
        <f>日前电价!V308-实时电价!V308</f>
        <v>106.7943</v>
      </c>
      <c r="W308" s="7">
        <f>日前电价!W308-实时电价!W308</f>
        <v>52.1629</v>
      </c>
      <c r="X308" s="7">
        <f>日前电价!X308-实时电价!X308</f>
        <v>41.3647</v>
      </c>
      <c r="Y308" s="7">
        <f>日前电价!Y308-实时电价!Y308</f>
        <v>21.8293</v>
      </c>
      <c r="Z308" s="9">
        <f t="shared" si="12"/>
        <v>190.7052</v>
      </c>
      <c r="AA308" s="9">
        <f t="shared" si="13"/>
        <v>-32.6282</v>
      </c>
      <c r="AB308" s="9">
        <f t="shared" si="14"/>
        <v>35.5873833333333</v>
      </c>
    </row>
    <row r="309" spans="1:28">
      <c r="A309" s="8">
        <v>45599</v>
      </c>
      <c r="B309" s="7">
        <f>日前电价!B309-实时电价!B309</f>
        <v>-25.4173</v>
      </c>
      <c r="C309" s="7">
        <f>日前电价!C309-实时电价!C309</f>
        <v>-10.1219</v>
      </c>
      <c r="D309" s="7">
        <f>日前电价!D309-实时电价!D309</f>
        <v>4.87759999999997</v>
      </c>
      <c r="E309" s="7">
        <f>日前电价!E309-实时电价!E309</f>
        <v>7.26249999999999</v>
      </c>
      <c r="F309" s="7">
        <f>日前电价!F309-实时电价!F309</f>
        <v>0.513700000000028</v>
      </c>
      <c r="G309" s="7">
        <f>日前电价!G309-实时电价!G309</f>
        <v>6.15199999999999</v>
      </c>
      <c r="H309" s="7">
        <f>日前电价!H309-实时电价!H309</f>
        <v>5.04579999999999</v>
      </c>
      <c r="I309" s="7">
        <f>日前电价!I309-实时电价!I309</f>
        <v>7.4658</v>
      </c>
      <c r="J309" s="7">
        <f>日前电价!J309-实时电价!J309</f>
        <v>12.845</v>
      </c>
      <c r="K309" s="7">
        <f>日前电价!K309-实时电价!K309</f>
        <v>28.0098</v>
      </c>
      <c r="L309" s="7">
        <f>日前电价!L309-实时电价!L309</f>
        <v>175.2835</v>
      </c>
      <c r="M309" s="7">
        <f>日前电价!M309-实时电价!M309</f>
        <v>283.4284</v>
      </c>
      <c r="N309" s="7">
        <f>日前电价!N309-实时电价!N309</f>
        <v>197.7765</v>
      </c>
      <c r="O309" s="7">
        <f>日前电价!O309-实时电价!O309</f>
        <v>197.8296</v>
      </c>
      <c r="P309" s="7">
        <f>日前电价!P309-实时电价!P309</f>
        <v>119.0773</v>
      </c>
      <c r="Q309" s="7">
        <f>日前电价!Q309-实时电价!Q309</f>
        <v>24.3486</v>
      </c>
      <c r="R309" s="7">
        <f>日前电价!R309-实时电价!R309</f>
        <v>17.4801</v>
      </c>
      <c r="S309" s="7">
        <f>日前电价!S309-实时电价!S309</f>
        <v>25.5307</v>
      </c>
      <c r="T309" s="7">
        <f>日前电价!T309-实时电价!T309</f>
        <v>46.7817</v>
      </c>
      <c r="U309" s="7">
        <f>日前电价!U309-实时电价!U309</f>
        <v>55.1518</v>
      </c>
      <c r="V309" s="7">
        <f>日前电价!V309-实时电价!V309</f>
        <v>-3.65600000000001</v>
      </c>
      <c r="W309" s="7">
        <f>日前电价!W309-实时电价!W309</f>
        <v>2.44659999999999</v>
      </c>
      <c r="X309" s="7">
        <f>日前电价!X309-实时电价!X309</f>
        <v>3.57689999999997</v>
      </c>
      <c r="Y309" s="7">
        <f>日前电价!Y309-实时电价!Y309</f>
        <v>13.6409</v>
      </c>
      <c r="Z309" s="9">
        <f t="shared" si="12"/>
        <v>283.4284</v>
      </c>
      <c r="AA309" s="9">
        <f t="shared" si="13"/>
        <v>-25.4173</v>
      </c>
      <c r="AB309" s="9">
        <f t="shared" si="14"/>
        <v>49.8054</v>
      </c>
    </row>
    <row r="310" spans="1:28">
      <c r="A310" s="8">
        <v>45600</v>
      </c>
      <c r="B310" s="7">
        <f>日前电价!B310-实时电价!B310</f>
        <v>12.619</v>
      </c>
      <c r="C310" s="7">
        <f>日前电价!C310-实时电价!C310</f>
        <v>10.2037</v>
      </c>
      <c r="D310" s="7">
        <f>日前电价!D310-实时电价!D310</f>
        <v>12.0976</v>
      </c>
      <c r="E310" s="7">
        <f>日前电价!E310-实时电价!E310</f>
        <v>19.4459</v>
      </c>
      <c r="F310" s="7">
        <f>日前电价!F310-实时电价!F310</f>
        <v>17.7555</v>
      </c>
      <c r="G310" s="7">
        <f>日前电价!G310-实时电价!G310</f>
        <v>14.6815</v>
      </c>
      <c r="H310" s="7">
        <f>日前电价!H310-实时电价!H310</f>
        <v>10.8384</v>
      </c>
      <c r="I310" s="7">
        <f>日前电价!I310-实时电价!I310</f>
        <v>35.8446</v>
      </c>
      <c r="J310" s="7">
        <f>日前电价!J310-实时电价!J310</f>
        <v>31.3992</v>
      </c>
      <c r="K310" s="7">
        <f>日前电价!K310-实时电价!K310</f>
        <v>5.35300000000001</v>
      </c>
      <c r="L310" s="7">
        <f>日前电价!L310-实时电价!L310</f>
        <v>66.0924000000001</v>
      </c>
      <c r="M310" s="7">
        <f>日前电价!M310-实时电价!M310</f>
        <v>31.4077</v>
      </c>
      <c r="N310" s="7">
        <f>日前电价!N310-实时电价!N310</f>
        <v>-5.21370000000002</v>
      </c>
      <c r="O310" s="7">
        <f>日前电价!O310-实时电价!O310</f>
        <v>-21.4262</v>
      </c>
      <c r="P310" s="7">
        <f>日前电价!P310-实时电价!P310</f>
        <v>-20.1185</v>
      </c>
      <c r="Q310" s="7">
        <f>日前电价!Q310-实时电价!Q310</f>
        <v>-33.0952</v>
      </c>
      <c r="R310" s="7">
        <f>日前电价!R310-实时电价!R310</f>
        <v>57.6834</v>
      </c>
      <c r="S310" s="7">
        <f>日前电价!S310-实时电价!S310</f>
        <v>4.66340000000002</v>
      </c>
      <c r="T310" s="7">
        <f>日前电价!T310-实时电价!T310</f>
        <v>112.6769</v>
      </c>
      <c r="U310" s="7">
        <f>日前电价!U310-实时电价!U310</f>
        <v>96.7975</v>
      </c>
      <c r="V310" s="7">
        <f>日前电价!V310-实时电价!V310</f>
        <v>100.0072</v>
      </c>
      <c r="W310" s="7">
        <f>日前电价!W310-实时电价!W310</f>
        <v>10.0205</v>
      </c>
      <c r="X310" s="7">
        <f>日前电价!X310-实时电价!X310</f>
        <v>-7.48750000000001</v>
      </c>
      <c r="Y310" s="7">
        <f>日前电价!Y310-实时电价!Y310</f>
        <v>-17.8976</v>
      </c>
      <c r="Z310" s="9">
        <f t="shared" si="12"/>
        <v>112.6769</v>
      </c>
      <c r="AA310" s="9">
        <f t="shared" si="13"/>
        <v>-33.0952</v>
      </c>
      <c r="AB310" s="9">
        <f t="shared" si="14"/>
        <v>22.6811958333333</v>
      </c>
    </row>
    <row r="311" spans="1:28">
      <c r="A311" s="8">
        <v>45601</v>
      </c>
      <c r="B311" s="7">
        <f>日前电价!B311-实时电价!B311</f>
        <v>-19.0995</v>
      </c>
      <c r="C311" s="7">
        <f>日前电价!C311-实时电价!C311</f>
        <v>2.93610000000001</v>
      </c>
      <c r="D311" s="7">
        <f>日前电价!D311-实时电价!D311</f>
        <v>5.97140000000002</v>
      </c>
      <c r="E311" s="7">
        <f>日前电价!E311-实时电价!E311</f>
        <v>11.5397</v>
      </c>
      <c r="F311" s="7">
        <f>日前电价!F311-实时电价!F311</f>
        <v>6.65229999999997</v>
      </c>
      <c r="G311" s="7">
        <f>日前电价!G311-实时电价!G311</f>
        <v>6.42660000000001</v>
      </c>
      <c r="H311" s="7">
        <f>日前电价!H311-实时电价!H311</f>
        <v>8.50359999999995</v>
      </c>
      <c r="I311" s="7">
        <f>日前电价!I311-实时电价!I311</f>
        <v>2.0376</v>
      </c>
      <c r="J311" s="7">
        <f>日前电价!J311-实时电价!J311</f>
        <v>-25.2688</v>
      </c>
      <c r="K311" s="7">
        <f>日前电价!K311-实时电价!K311</f>
        <v>-13.0998</v>
      </c>
      <c r="L311" s="7">
        <f>日前电价!L311-实时电价!L311</f>
        <v>7.5924</v>
      </c>
      <c r="M311" s="7">
        <f>日前电价!M311-实时电价!M311</f>
        <v>8.00019999999995</v>
      </c>
      <c r="N311" s="7">
        <f>日前电价!N311-实时电价!N311</f>
        <v>2.65789999999998</v>
      </c>
      <c r="O311" s="7">
        <f>日前电价!O311-实时电价!O311</f>
        <v>-19.6329</v>
      </c>
      <c r="P311" s="7">
        <f>日前电价!P311-实时电价!P311</f>
        <v>-11.4381</v>
      </c>
      <c r="Q311" s="7">
        <f>日前电价!Q311-实时电价!Q311</f>
        <v>-9.9092</v>
      </c>
      <c r="R311" s="7">
        <f>日前电价!R311-实时电价!R311</f>
        <v>-23.228</v>
      </c>
      <c r="S311" s="7">
        <f>日前电价!S311-实时电价!S311</f>
        <v>-3.71100000000001</v>
      </c>
      <c r="T311" s="7">
        <f>日前电价!T311-实时电价!T311</f>
        <v>17.3046</v>
      </c>
      <c r="U311" s="7">
        <f>日前电价!U311-实时电价!U311</f>
        <v>26.3064000000001</v>
      </c>
      <c r="V311" s="7">
        <f>日前电价!V311-实时电价!V311</f>
        <v>-12.5234</v>
      </c>
      <c r="W311" s="7">
        <f>日前电价!W311-实时电价!W311</f>
        <v>15.8134</v>
      </c>
      <c r="X311" s="7">
        <f>日前电价!X311-实时电价!X311</f>
        <v>8.25369999999998</v>
      </c>
      <c r="Y311" s="7">
        <f>日前电价!Y311-实时电价!Y311</f>
        <v>-0.593000000000018</v>
      </c>
      <c r="Z311" s="9">
        <f t="shared" si="12"/>
        <v>26.3064000000001</v>
      </c>
      <c r="AA311" s="9">
        <f t="shared" si="13"/>
        <v>-25.2688</v>
      </c>
      <c r="AB311" s="9">
        <f t="shared" si="14"/>
        <v>-0.354491666666668</v>
      </c>
    </row>
    <row r="312" spans="1:28">
      <c r="A312" s="8">
        <v>45602</v>
      </c>
      <c r="B312" s="7">
        <f>日前电价!B312-实时电价!B312</f>
        <v>8.81550000000004</v>
      </c>
      <c r="C312" s="7">
        <f>日前电价!C312-实时电价!C312</f>
        <v>5.8526</v>
      </c>
      <c r="D312" s="7">
        <f>日前电价!D312-实时电价!D312</f>
        <v>6.85179999999997</v>
      </c>
      <c r="E312" s="7">
        <f>日前电价!E312-实时电价!E312</f>
        <v>4.79520000000002</v>
      </c>
      <c r="F312" s="7">
        <f>日前电价!F312-实时电价!F312</f>
        <v>6.74209999999999</v>
      </c>
      <c r="G312" s="7">
        <f>日前电价!G312-实时电价!G312</f>
        <v>3.69829999999996</v>
      </c>
      <c r="H312" s="7">
        <f>日前电价!H312-实时电价!H312</f>
        <v>8.23939999999999</v>
      </c>
      <c r="I312" s="7">
        <f>日前电价!I312-实时电价!I312</f>
        <v>8.91340000000002</v>
      </c>
      <c r="J312" s="7">
        <f>日前电价!J312-实时电价!J312</f>
        <v>2.9941</v>
      </c>
      <c r="K312" s="7">
        <f>日前电价!K312-实时电价!K312</f>
        <v>34.1427</v>
      </c>
      <c r="L312" s="7">
        <f>日前电价!L312-实时电价!L312</f>
        <v>57.7025</v>
      </c>
      <c r="M312" s="7">
        <f>日前电价!M312-实时电价!M312</f>
        <v>48.3255</v>
      </c>
      <c r="N312" s="7">
        <f>日前电价!N312-实时电价!N312</f>
        <v>193.4344</v>
      </c>
      <c r="O312" s="7">
        <f>日前电价!O312-实时电价!O312</f>
        <v>73.2131</v>
      </c>
      <c r="P312" s="7">
        <f>日前电价!P312-实时电价!P312</f>
        <v>21.528</v>
      </c>
      <c r="Q312" s="7">
        <f>日前电价!Q312-实时电价!Q312</f>
        <v>7.74299999999999</v>
      </c>
      <c r="R312" s="7">
        <f>日前电价!R312-实时电价!R312</f>
        <v>-5.26930000000004</v>
      </c>
      <c r="S312" s="7">
        <f>日前电价!S312-实时电价!S312</f>
        <v>7.0718</v>
      </c>
      <c r="T312" s="7">
        <f>日前电价!T312-实时电价!T312</f>
        <v>11.8895</v>
      </c>
      <c r="U312" s="7">
        <f>日前电价!U312-实时电价!U312</f>
        <v>39.067</v>
      </c>
      <c r="V312" s="7">
        <f>日前电价!V312-实时电价!V312</f>
        <v>18.2467</v>
      </c>
      <c r="W312" s="7">
        <f>日前电价!W312-实时电价!W312</f>
        <v>15.6531</v>
      </c>
      <c r="X312" s="7">
        <f>日前电价!X312-实时电价!X312</f>
        <v>9.39880000000005</v>
      </c>
      <c r="Y312" s="7">
        <f>日前电价!Y312-实时电价!Y312</f>
        <v>1.13579999999996</v>
      </c>
      <c r="Z312" s="9">
        <f t="shared" si="12"/>
        <v>193.4344</v>
      </c>
      <c r="AA312" s="9">
        <f t="shared" si="13"/>
        <v>-5.26930000000004</v>
      </c>
      <c r="AB312" s="9">
        <f t="shared" si="14"/>
        <v>24.5910416666667</v>
      </c>
    </row>
    <row r="313" spans="1:28">
      <c r="A313" s="8">
        <v>45603</v>
      </c>
      <c r="B313" s="7">
        <f>日前电价!B313-实时电价!B313</f>
        <v>9.64920000000001</v>
      </c>
      <c r="C313" s="7">
        <f>日前电价!C313-实时电价!C313</f>
        <v>7.57659999999998</v>
      </c>
      <c r="D313" s="7">
        <f>日前电价!D313-实时电价!D313</f>
        <v>11.3032</v>
      </c>
      <c r="E313" s="7">
        <f>日前电价!E313-实时电价!E313</f>
        <v>9.28500000000002</v>
      </c>
      <c r="F313" s="7">
        <f>日前电价!F313-实时电价!F313</f>
        <v>11.341</v>
      </c>
      <c r="G313" s="7">
        <f>日前电价!G313-实时电价!G313</f>
        <v>17.6896</v>
      </c>
      <c r="H313" s="7">
        <f>日前电价!H313-实时电价!H313</f>
        <v>9.03299999999996</v>
      </c>
      <c r="I313" s="7">
        <f>日前电价!I313-实时电价!I313</f>
        <v>3.8184</v>
      </c>
      <c r="J313" s="7">
        <f>日前电价!J313-实时电价!J313</f>
        <v>4.58639999999997</v>
      </c>
      <c r="K313" s="7">
        <f>日前电价!K313-实时电价!K313</f>
        <v>17.2626</v>
      </c>
      <c r="L313" s="7">
        <f>日前电价!L313-实时电价!L313</f>
        <v>18.3845</v>
      </c>
      <c r="M313" s="7">
        <f>日前电价!M313-实时电价!M313</f>
        <v>26.8373</v>
      </c>
      <c r="N313" s="7">
        <f>日前电价!N313-实时电价!N313</f>
        <v>191.3118</v>
      </c>
      <c r="O313" s="7">
        <f>日前电价!O313-实时电价!O313</f>
        <v>130.6973</v>
      </c>
      <c r="P313" s="7">
        <f>日前电价!P313-实时电价!P313</f>
        <v>17.023</v>
      </c>
      <c r="Q313" s="7">
        <f>日前电价!Q313-实时电价!Q313</f>
        <v>18.3183</v>
      </c>
      <c r="R313" s="7">
        <f>日前电价!R313-实时电价!R313</f>
        <v>25.7193</v>
      </c>
      <c r="S313" s="7">
        <f>日前电价!S313-实时电价!S313</f>
        <v>35.6042</v>
      </c>
      <c r="T313" s="7">
        <f>日前电价!T313-实时电价!T313</f>
        <v>110.5607</v>
      </c>
      <c r="U313" s="7">
        <f>日前电价!U313-实时电价!U313</f>
        <v>90.4916</v>
      </c>
      <c r="V313" s="7">
        <f>日前电价!V313-实时电价!V313</f>
        <v>14.6078</v>
      </c>
      <c r="W313" s="7">
        <f>日前电价!W313-实时电价!W313</f>
        <v>-4.46389999999997</v>
      </c>
      <c r="X313" s="7">
        <f>日前电价!X313-实时电价!X313</f>
        <v>7.48839999999996</v>
      </c>
      <c r="Y313" s="7">
        <f>日前电价!Y313-实时电价!Y313</f>
        <v>-8.31459999999998</v>
      </c>
      <c r="Z313" s="9">
        <f t="shared" si="12"/>
        <v>191.3118</v>
      </c>
      <c r="AA313" s="9">
        <f t="shared" si="13"/>
        <v>-8.31459999999998</v>
      </c>
      <c r="AB313" s="9">
        <f t="shared" si="14"/>
        <v>32.3254458333333</v>
      </c>
    </row>
    <row r="314" spans="1:28">
      <c r="A314" s="8">
        <v>45604</v>
      </c>
      <c r="B314" s="7">
        <f>日前电价!B314-实时电价!B314</f>
        <v>-33.2672</v>
      </c>
      <c r="C314" s="7">
        <f>日前电价!C314-实时电价!C314</f>
        <v>-1.35429999999997</v>
      </c>
      <c r="D314" s="7">
        <f>日前电价!D314-实时电价!D314</f>
        <v>4.96199999999999</v>
      </c>
      <c r="E314" s="7">
        <f>日前电价!E314-实时电价!E314</f>
        <v>5.31360000000001</v>
      </c>
      <c r="F314" s="7">
        <f>日前电价!F314-实时电价!F314</f>
        <v>2.68900000000002</v>
      </c>
      <c r="G314" s="7">
        <f>日前电价!G314-实时电价!G314</f>
        <v>7.13380000000001</v>
      </c>
      <c r="H314" s="7">
        <f>日前电价!H314-实时电价!H314</f>
        <v>6.4205</v>
      </c>
      <c r="I314" s="7">
        <f>日前电价!I314-实时电价!I314</f>
        <v>2.68540000000002</v>
      </c>
      <c r="J314" s="7">
        <f>日前电价!J314-实时电价!J314</f>
        <v>10.8023</v>
      </c>
      <c r="K314" s="7">
        <f>日前电价!K314-实时电价!K314</f>
        <v>22.4083</v>
      </c>
      <c r="L314" s="7">
        <f>日前电价!L314-实时电价!L314</f>
        <v>21.2545</v>
      </c>
      <c r="M314" s="7">
        <f>日前电价!M314-实时电价!M314</f>
        <v>34.2889</v>
      </c>
      <c r="N314" s="7">
        <f>日前电价!N314-实时电价!N314</f>
        <v>89.5905</v>
      </c>
      <c r="O314" s="7">
        <f>日前电价!O314-实时电价!O314</f>
        <v>83.1982</v>
      </c>
      <c r="P314" s="7">
        <f>日前电价!P314-实时电价!P314</f>
        <v>11.1442</v>
      </c>
      <c r="Q314" s="7">
        <f>日前电价!Q314-实时电价!Q314</f>
        <v>1.05669999999998</v>
      </c>
      <c r="R314" s="7">
        <f>日前电价!R314-实时电价!R314</f>
        <v>-6.27620000000002</v>
      </c>
      <c r="S314" s="7">
        <f>日前电价!S314-实时电价!S314</f>
        <v>11.1647</v>
      </c>
      <c r="T314" s="7">
        <f>日前电价!T314-实时电价!T314</f>
        <v>83.4867</v>
      </c>
      <c r="U314" s="7">
        <f>日前电价!U314-实时电价!U314</f>
        <v>284.8476</v>
      </c>
      <c r="V314" s="7">
        <f>日前电价!V314-实时电价!V314</f>
        <v>20.8473</v>
      </c>
      <c r="W314" s="7">
        <f>日前电价!W314-实时电价!W314</f>
        <v>24.4872</v>
      </c>
      <c r="X314" s="7">
        <f>日前电价!X314-实时电价!X314</f>
        <v>11.8066</v>
      </c>
      <c r="Y314" s="7">
        <f>日前电价!Y314-实时电价!Y314</f>
        <v>-15.9952</v>
      </c>
      <c r="Z314" s="9">
        <f t="shared" si="12"/>
        <v>284.8476</v>
      </c>
      <c r="AA314" s="9">
        <f t="shared" si="13"/>
        <v>-33.2672</v>
      </c>
      <c r="AB314" s="9">
        <f t="shared" si="14"/>
        <v>28.4456291666667</v>
      </c>
    </row>
    <row r="315" spans="1:28">
      <c r="A315" s="8">
        <v>45605</v>
      </c>
      <c r="B315" s="7">
        <f>日前电价!B315-实时电价!B315</f>
        <v>-31.9553</v>
      </c>
      <c r="C315" s="7">
        <f>日前电价!C315-实时电价!C315</f>
        <v>-16.6685000000001</v>
      </c>
      <c r="D315" s="7">
        <f>日前电价!D315-实时电价!D315</f>
        <v>-7.31320000000005</v>
      </c>
      <c r="E315" s="7">
        <f>日前电价!E315-实时电价!E315</f>
        <v>-2.2894</v>
      </c>
      <c r="F315" s="7">
        <f>日前电价!F315-实时电价!F315</f>
        <v>-7.91270000000003</v>
      </c>
      <c r="G315" s="7">
        <f>日前电价!G315-实时电价!G315</f>
        <v>-3.83479999999997</v>
      </c>
      <c r="H315" s="7">
        <f>日前电价!H315-实时电价!H315</f>
        <v>0.00520000000000209</v>
      </c>
      <c r="I315" s="7">
        <f>日前电价!I315-实时电价!I315</f>
        <v>-4.10130000000004</v>
      </c>
      <c r="J315" s="7">
        <f>日前电价!J315-实时电价!J315</f>
        <v>-33.9302</v>
      </c>
      <c r="K315" s="7">
        <f>日前电价!K315-实时电价!K315</f>
        <v>3.39869999999996</v>
      </c>
      <c r="L315" s="7">
        <f>日前电价!L315-实时电价!L315</f>
        <v>21.1882</v>
      </c>
      <c r="M315" s="7">
        <f>日前电价!M315-实时电价!M315</f>
        <v>52.0748</v>
      </c>
      <c r="N315" s="7">
        <f>日前电价!N315-实时电价!N315</f>
        <v>101.2201</v>
      </c>
      <c r="O315" s="7">
        <f>日前电价!O315-实时电价!O315</f>
        <v>88.426</v>
      </c>
      <c r="P315" s="7">
        <f>日前电价!P315-实时电价!P315</f>
        <v>-4.14400000000001</v>
      </c>
      <c r="Q315" s="7">
        <f>日前电价!Q315-实时电价!Q315</f>
        <v>-17.6074</v>
      </c>
      <c r="R315" s="7">
        <f>日前电价!R315-实时电价!R315</f>
        <v>-15.2372</v>
      </c>
      <c r="S315" s="7">
        <f>日前电价!S315-实时电价!S315</f>
        <v>55.2624</v>
      </c>
      <c r="T315" s="7">
        <f>日前电价!T315-实时电价!T315</f>
        <v>239.6811</v>
      </c>
      <c r="U315" s="7">
        <f>日前电价!U315-实时电价!U315</f>
        <v>102.4124</v>
      </c>
      <c r="V315" s="7">
        <f>日前电价!V315-实时电价!V315</f>
        <v>33.8402</v>
      </c>
      <c r="W315" s="7">
        <f>日前电价!W315-实时电价!W315</f>
        <v>-6.91570000000002</v>
      </c>
      <c r="X315" s="7">
        <f>日前电价!X315-实时电价!X315</f>
        <v>-9.74830000000003</v>
      </c>
      <c r="Y315" s="7">
        <f>日前电价!Y315-实时电价!Y315</f>
        <v>-39.3726</v>
      </c>
      <c r="Z315" s="9">
        <f t="shared" si="12"/>
        <v>239.6811</v>
      </c>
      <c r="AA315" s="9">
        <f t="shared" si="13"/>
        <v>-39.3726</v>
      </c>
      <c r="AB315" s="9">
        <f t="shared" si="14"/>
        <v>20.6866041666667</v>
      </c>
    </row>
    <row r="316" spans="1:28">
      <c r="A316" s="8">
        <v>45606</v>
      </c>
      <c r="B316" s="7">
        <f>日前电价!B316-实时电价!B316</f>
        <v>-22.6251</v>
      </c>
      <c r="C316" s="7">
        <f>日前电价!C316-实时电价!C316</f>
        <v>-10.1659</v>
      </c>
      <c r="D316" s="7">
        <f>日前电价!D316-实时电价!D316</f>
        <v>-8.18829999999997</v>
      </c>
      <c r="E316" s="7">
        <f>日前电价!E316-实时电价!E316</f>
        <v>-9.2987</v>
      </c>
      <c r="F316" s="7">
        <f>日前电价!F316-实时电价!F316</f>
        <v>-6.50200000000001</v>
      </c>
      <c r="G316" s="7">
        <f>日前电价!G316-实时电价!G316</f>
        <v>-2.92990000000003</v>
      </c>
      <c r="H316" s="7">
        <f>日前电价!H316-实时电价!H316</f>
        <v>-1.35289999999998</v>
      </c>
      <c r="I316" s="7">
        <f>日前电价!I316-实时电价!I316</f>
        <v>-6.72370000000001</v>
      </c>
      <c r="J316" s="7">
        <f>日前电价!J316-实时电价!J316</f>
        <v>-15.1853</v>
      </c>
      <c r="K316" s="7">
        <f>日前电价!K316-实时电价!K316</f>
        <v>-15.7504</v>
      </c>
      <c r="L316" s="7">
        <f>日前电价!L316-实时电价!L316</f>
        <v>-12.8325</v>
      </c>
      <c r="M316" s="7">
        <f>日前电价!M316-实时电价!M316</f>
        <v>12.1462</v>
      </c>
      <c r="N316" s="7">
        <f>日前电价!N316-实时电价!N316</f>
        <v>-5.8772</v>
      </c>
      <c r="O316" s="7">
        <f>日前电价!O316-实时电价!O316</f>
        <v>47.8613</v>
      </c>
      <c r="P316" s="7">
        <f>日前电价!P316-实时电价!P316</f>
        <v>135.097</v>
      </c>
      <c r="Q316" s="7">
        <f>日前电价!Q316-实时电价!Q316</f>
        <v>137.6645</v>
      </c>
      <c r="R316" s="7">
        <f>日前电价!R316-实时电价!R316</f>
        <v>4.63249999999999</v>
      </c>
      <c r="S316" s="7">
        <f>日前电价!S316-实时电价!S316</f>
        <v>-3.54489999999998</v>
      </c>
      <c r="T316" s="7">
        <f>日前电价!T316-实时电价!T316</f>
        <v>-12.189</v>
      </c>
      <c r="U316" s="7">
        <f>日前电价!U316-实时电价!U316</f>
        <v>-7.38650000000001</v>
      </c>
      <c r="V316" s="7">
        <f>日前电价!V316-实时电价!V316</f>
        <v>-12.5394</v>
      </c>
      <c r="W316" s="7">
        <f>日前电价!W316-实时电价!W316</f>
        <v>-7.82150000000001</v>
      </c>
      <c r="X316" s="7">
        <f>日前电价!X316-实时电价!X316</f>
        <v>-5.87369999999999</v>
      </c>
      <c r="Y316" s="7">
        <f>日前电价!Y316-实时电价!Y316</f>
        <v>-2.06479999999999</v>
      </c>
      <c r="Z316" s="9">
        <f t="shared" si="12"/>
        <v>137.6645</v>
      </c>
      <c r="AA316" s="9">
        <f t="shared" si="13"/>
        <v>-22.6251</v>
      </c>
      <c r="AB316" s="9">
        <f t="shared" si="14"/>
        <v>7.02290833333334</v>
      </c>
    </row>
    <row r="317" spans="1:28">
      <c r="A317" s="8">
        <v>45607</v>
      </c>
      <c r="B317" s="7">
        <f>日前电价!B317-实时电价!B317</f>
        <v>-16.7447</v>
      </c>
      <c r="C317" s="7">
        <f>日前电价!C317-实时电价!C317</f>
        <v>-0.610599999999977</v>
      </c>
      <c r="D317" s="7">
        <f>日前电价!D317-实时电价!D317</f>
        <v>1.41980000000001</v>
      </c>
      <c r="E317" s="7">
        <f>日前电价!E317-实时电价!E317</f>
        <v>10.5483</v>
      </c>
      <c r="F317" s="7">
        <f>日前电价!F317-实时电价!F317</f>
        <v>6.37140000000005</v>
      </c>
      <c r="G317" s="7">
        <f>日前电价!G317-实时电价!G317</f>
        <v>-1.61420000000004</v>
      </c>
      <c r="H317" s="7">
        <f>日前电价!H317-实时电价!H317</f>
        <v>5.95830000000001</v>
      </c>
      <c r="I317" s="7">
        <f>日前电价!I317-实时电价!I317</f>
        <v>-4.12420000000003</v>
      </c>
      <c r="J317" s="7">
        <f>日前电价!J317-实时电价!J317</f>
        <v>28.4173</v>
      </c>
      <c r="K317" s="7">
        <f>日前电价!K317-实时电价!K317</f>
        <v>41.6214</v>
      </c>
      <c r="L317" s="7">
        <f>日前电价!L317-实时电价!L317</f>
        <v>57.337</v>
      </c>
      <c r="M317" s="7">
        <f>日前电价!M317-实时电价!M317</f>
        <v>57.1978</v>
      </c>
      <c r="N317" s="7">
        <f>日前电价!N317-实时电价!N317</f>
        <v>162.4904</v>
      </c>
      <c r="O317" s="7">
        <f>日前电价!O317-实时电价!O317</f>
        <v>38.9563</v>
      </c>
      <c r="P317" s="7">
        <f>日前电价!P317-实时电价!P317</f>
        <v>22.4508</v>
      </c>
      <c r="Q317" s="7">
        <f>日前电价!Q317-实时电价!Q317</f>
        <v>35.2482</v>
      </c>
      <c r="R317" s="7">
        <f>日前电价!R317-实时电价!R317</f>
        <v>91.0862</v>
      </c>
      <c r="S317" s="7">
        <f>日前电价!S317-实时电价!S317</f>
        <v>78.4349</v>
      </c>
      <c r="T317" s="7">
        <f>日前电价!T317-实时电价!T317</f>
        <v>248.2382</v>
      </c>
      <c r="U317" s="7">
        <f>日前电价!U317-实时电价!U317</f>
        <v>367.3557</v>
      </c>
      <c r="V317" s="7">
        <f>日前电价!V317-实时电价!V317</f>
        <v>41.0724</v>
      </c>
      <c r="W317" s="7">
        <f>日前电价!W317-实时电价!W317</f>
        <v>21.4455</v>
      </c>
      <c r="X317" s="7">
        <f>日前电价!X317-实时电价!X317</f>
        <v>16.7367</v>
      </c>
      <c r="Y317" s="7">
        <f>日前电价!Y317-实时电价!Y317</f>
        <v>-1.27809999999999</v>
      </c>
      <c r="Z317" s="9">
        <f t="shared" si="12"/>
        <v>367.3557</v>
      </c>
      <c r="AA317" s="9">
        <f t="shared" si="13"/>
        <v>-16.7447</v>
      </c>
      <c r="AB317" s="9">
        <f t="shared" si="14"/>
        <v>54.5006166666667</v>
      </c>
    </row>
    <row r="318" spans="1:28">
      <c r="A318" s="8">
        <v>45608</v>
      </c>
      <c r="B318" s="7">
        <f>日前电价!B318-实时电价!B318</f>
        <v>-13.6593</v>
      </c>
      <c r="C318" s="7">
        <f>日前电价!C318-实时电价!C318</f>
        <v>-21.0609</v>
      </c>
      <c r="D318" s="7">
        <f>日前电价!D318-实时电价!D318</f>
        <v>-22.0857999999999</v>
      </c>
      <c r="E318" s="7">
        <f>日前电价!E318-实时电价!E318</f>
        <v>-13.9432</v>
      </c>
      <c r="F318" s="7">
        <f>日前电价!F318-实时电价!F318</f>
        <v>-1.17160000000001</v>
      </c>
      <c r="G318" s="7">
        <f>日前电价!G318-实时电价!G318</f>
        <v>-3.25240000000002</v>
      </c>
      <c r="H318" s="7">
        <f>日前电价!H318-实时电价!H318</f>
        <v>-16.9952</v>
      </c>
      <c r="I318" s="7">
        <f>日前电价!I318-实时电价!I318</f>
        <v>-8.4975</v>
      </c>
      <c r="J318" s="7">
        <f>日前电价!J318-实时电价!J318</f>
        <v>-23.2996</v>
      </c>
      <c r="K318" s="7">
        <f>日前电价!K318-实时电价!K318</f>
        <v>13.959</v>
      </c>
      <c r="L318" s="7">
        <f>日前电价!L318-实时电价!L318</f>
        <v>35.2892</v>
      </c>
      <c r="M318" s="7">
        <f>日前电价!M318-实时电价!M318</f>
        <v>88.7441</v>
      </c>
      <c r="N318" s="7">
        <f>日前电价!N318-实时电价!N318</f>
        <v>126.7154</v>
      </c>
      <c r="O318" s="7">
        <f>日前电价!O318-实时电价!O318</f>
        <v>46.3204</v>
      </c>
      <c r="P318" s="7">
        <f>日前电价!P318-实时电价!P318</f>
        <v>5.41410000000002</v>
      </c>
      <c r="Q318" s="7">
        <f>日前电价!Q318-实时电价!Q318</f>
        <v>-17.5985</v>
      </c>
      <c r="R318" s="7">
        <f>日前电价!R318-实时电价!R318</f>
        <v>-42.2565</v>
      </c>
      <c r="S318" s="7">
        <f>日前电价!S318-实时电价!S318</f>
        <v>44.9965</v>
      </c>
      <c r="T318" s="7">
        <f>日前电价!T318-实时电价!T318</f>
        <v>75.5634</v>
      </c>
      <c r="U318" s="7">
        <f>日前电价!U318-实时电价!U318</f>
        <v>77.3276</v>
      </c>
      <c r="V318" s="7">
        <f>日前电价!V318-实时电价!V318</f>
        <v>8.26049999999998</v>
      </c>
      <c r="W318" s="7">
        <f>日前电价!W318-实时电价!W318</f>
        <v>-24.3082</v>
      </c>
      <c r="X318" s="7">
        <f>日前电价!X318-实时电价!X318</f>
        <v>-6.62920000000003</v>
      </c>
      <c r="Y318" s="7">
        <f>日前电价!Y318-实时电价!Y318</f>
        <v>-33.787</v>
      </c>
      <c r="Z318" s="9">
        <f t="shared" si="12"/>
        <v>126.7154</v>
      </c>
      <c r="AA318" s="9">
        <f t="shared" si="13"/>
        <v>-42.2565</v>
      </c>
      <c r="AB318" s="9">
        <f t="shared" si="14"/>
        <v>11.4185541666667</v>
      </c>
    </row>
    <row r="319" spans="1:28">
      <c r="A319" s="8">
        <v>45609</v>
      </c>
      <c r="B319" s="7">
        <f>日前电价!B319-实时电价!B319</f>
        <v>-49.3303</v>
      </c>
      <c r="C319" s="7">
        <f>日前电价!C319-实时电价!C319</f>
        <v>-28.7131</v>
      </c>
      <c r="D319" s="7">
        <f>日前电价!D319-实时电价!D319</f>
        <v>-26.5867</v>
      </c>
      <c r="E319" s="7">
        <f>日前电价!E319-实时电价!E319</f>
        <v>-30.3624</v>
      </c>
      <c r="F319" s="7">
        <f>日前电价!F319-实时电价!F319</f>
        <v>-15.3674</v>
      </c>
      <c r="G319" s="7">
        <f>日前电价!G319-实时电价!G319</f>
        <v>-22.8027</v>
      </c>
      <c r="H319" s="7">
        <f>日前电价!H319-实时电价!H319</f>
        <v>-35.642</v>
      </c>
      <c r="I319" s="7">
        <f>日前电价!I319-实时电价!I319</f>
        <v>-41.2824</v>
      </c>
      <c r="J319" s="7">
        <f>日前电价!J319-实时电价!J319</f>
        <v>-69.6324</v>
      </c>
      <c r="K319" s="7">
        <f>日前电价!K319-实时电价!K319</f>
        <v>-27.4044</v>
      </c>
      <c r="L319" s="7">
        <f>日前电价!L319-实时电价!L319</f>
        <v>4.2602</v>
      </c>
      <c r="M319" s="7">
        <f>日前电价!M319-实时电价!M319</f>
        <v>-9.82859999999999</v>
      </c>
      <c r="N319" s="7">
        <f>日前电价!N319-实时电价!N319</f>
        <v>43.0605</v>
      </c>
      <c r="O319" s="7">
        <f>日前电价!O319-实时电价!O319</f>
        <v>-22.1673</v>
      </c>
      <c r="P319" s="7">
        <f>日前电价!P319-实时电价!P319</f>
        <v>-16.1433</v>
      </c>
      <c r="Q319" s="7">
        <f>日前电价!Q319-实时电价!Q319</f>
        <v>-15.2091</v>
      </c>
      <c r="R319" s="7">
        <f>日前电价!R319-实时电价!R319</f>
        <v>48.2219</v>
      </c>
      <c r="S319" s="7">
        <f>日前电价!S319-实时电价!S319</f>
        <v>153.9119</v>
      </c>
      <c r="T319" s="7">
        <f>日前电价!T319-实时电价!T319</f>
        <v>396.2644</v>
      </c>
      <c r="U319" s="7">
        <f>日前电价!U319-实时电价!U319</f>
        <v>568.0028</v>
      </c>
      <c r="V319" s="7">
        <f>日前电价!V319-实时电价!V319</f>
        <v>125.2089</v>
      </c>
      <c r="W319" s="7">
        <f>日前电价!W319-实时电价!W319</f>
        <v>66.1213</v>
      </c>
      <c r="X319" s="7">
        <f>日前电价!X319-实时电价!X319</f>
        <v>22.9817</v>
      </c>
      <c r="Y319" s="7">
        <f>日前电价!Y319-实时电价!Y319</f>
        <v>17.8995</v>
      </c>
      <c r="Z319" s="9">
        <f t="shared" si="12"/>
        <v>568.0028</v>
      </c>
      <c r="AA319" s="9">
        <f t="shared" si="13"/>
        <v>-69.6324</v>
      </c>
      <c r="AB319" s="9">
        <f t="shared" si="14"/>
        <v>43.1442083333333</v>
      </c>
    </row>
    <row r="320" spans="1:28">
      <c r="A320" s="8">
        <v>45610</v>
      </c>
      <c r="B320" s="7">
        <f>日前电价!B320-实时电价!B320</f>
        <v>10.4487</v>
      </c>
      <c r="C320" s="7">
        <f>日前电价!C320-实时电价!C320</f>
        <v>9.33350000000001</v>
      </c>
      <c r="D320" s="7">
        <f>日前电价!D320-实时电价!D320</f>
        <v>10.9583</v>
      </c>
      <c r="E320" s="7">
        <f>日前电价!E320-实时电价!E320</f>
        <v>7.71100000000001</v>
      </c>
      <c r="F320" s="7">
        <f>日前电价!F320-实时电价!F320</f>
        <v>1.8578</v>
      </c>
      <c r="G320" s="7">
        <f>日前电价!G320-实时电价!G320</f>
        <v>-2.6343</v>
      </c>
      <c r="H320" s="7">
        <f>日前电价!H320-实时电价!H320</f>
        <v>-9.85899999999998</v>
      </c>
      <c r="I320" s="7">
        <f>日前电价!I320-实时电价!I320</f>
        <v>-7.1721</v>
      </c>
      <c r="J320" s="7">
        <f>日前电价!J320-实时电价!J320</f>
        <v>-11.1003</v>
      </c>
      <c r="K320" s="7">
        <f>日前电价!K320-实时电价!K320</f>
        <v>-60.0311</v>
      </c>
      <c r="L320" s="7">
        <f>日前电价!L320-实时电价!L320</f>
        <v>18.0037</v>
      </c>
      <c r="M320" s="7">
        <f>日前电价!M320-实时电价!M320</f>
        <v>30.7283</v>
      </c>
      <c r="N320" s="7">
        <f>日前电价!N320-实时电价!N320</f>
        <v>35.5016</v>
      </c>
      <c r="O320" s="7">
        <f>日前电价!O320-实时电价!O320</f>
        <v>-12.1695</v>
      </c>
      <c r="P320" s="7">
        <f>日前电价!P320-实时电价!P320</f>
        <v>2.0847</v>
      </c>
      <c r="Q320" s="7">
        <f>日前电价!Q320-实时电价!Q320</f>
        <v>-9.46840000000003</v>
      </c>
      <c r="R320" s="7">
        <f>日前电价!R320-实时电价!R320</f>
        <v>58.9192</v>
      </c>
      <c r="S320" s="7">
        <f>日前电价!S320-实时电价!S320</f>
        <v>87.8458</v>
      </c>
      <c r="T320" s="7">
        <f>日前电价!T320-实时电价!T320</f>
        <v>76.6491</v>
      </c>
      <c r="U320" s="7">
        <f>日前电价!U320-实时电价!U320</f>
        <v>381.4766</v>
      </c>
      <c r="V320" s="7">
        <f>日前电价!V320-实时电价!V320</f>
        <v>13.7224</v>
      </c>
      <c r="W320" s="7">
        <f>日前电价!W320-实时电价!W320</f>
        <v>5.97120000000001</v>
      </c>
      <c r="X320" s="7">
        <f>日前电价!X320-实时电价!X320</f>
        <v>6.47539999999998</v>
      </c>
      <c r="Y320" s="7">
        <f>日前电价!Y320-实时电价!Y320</f>
        <v>3.74630000000002</v>
      </c>
      <c r="Z320" s="9">
        <f t="shared" si="12"/>
        <v>381.4766</v>
      </c>
      <c r="AA320" s="9">
        <f t="shared" si="13"/>
        <v>-60.0311</v>
      </c>
      <c r="AB320" s="9">
        <f t="shared" si="14"/>
        <v>27.0416208333333</v>
      </c>
    </row>
    <row r="321" spans="1:28">
      <c r="A321" s="8">
        <v>45611</v>
      </c>
      <c r="B321" s="7">
        <f>日前电价!B321-实时电价!B321</f>
        <v>-11.8473</v>
      </c>
      <c r="C321" s="7">
        <f>日前电价!C321-实时电价!C321</f>
        <v>-2.26650000000001</v>
      </c>
      <c r="D321" s="7">
        <f>日前电价!D321-实时电价!D321</f>
        <v>0.818299999999965</v>
      </c>
      <c r="E321" s="7">
        <f>日前电价!E321-实时电价!E321</f>
        <v>-0.419899999999984</v>
      </c>
      <c r="F321" s="7">
        <f>日前电价!F321-实时电价!F321</f>
        <v>0.293100000000038</v>
      </c>
      <c r="G321" s="7">
        <f>日前电价!G321-实时电价!G321</f>
        <v>-1.39889999999997</v>
      </c>
      <c r="H321" s="7">
        <f>日前电价!H321-实时电价!H321</f>
        <v>2.75189999999998</v>
      </c>
      <c r="I321" s="7">
        <f>日前电价!I321-实时电价!I321</f>
        <v>-4.3306</v>
      </c>
      <c r="J321" s="7">
        <f>日前电价!J321-实时电价!J321</f>
        <v>3.23160000000001</v>
      </c>
      <c r="K321" s="7">
        <f>日前电价!K321-实时电价!K321</f>
        <v>16.7838</v>
      </c>
      <c r="L321" s="7">
        <f>日前电价!L321-实时电价!L321</f>
        <v>29.6857</v>
      </c>
      <c r="M321" s="7">
        <f>日前电价!M321-实时电价!M321</f>
        <v>54.3156</v>
      </c>
      <c r="N321" s="7">
        <f>日前电价!N321-实时电价!N321</f>
        <v>23.1798</v>
      </c>
      <c r="O321" s="7">
        <f>日前电价!O321-实时电价!O321</f>
        <v>16.6081</v>
      </c>
      <c r="P321" s="7">
        <f>日前电价!P321-实时电价!P321</f>
        <v>29.6162</v>
      </c>
      <c r="Q321" s="7">
        <f>日前电价!Q321-实时电价!Q321</f>
        <v>38.522</v>
      </c>
      <c r="R321" s="7">
        <f>日前电价!R321-实时电价!R321</f>
        <v>127.8224</v>
      </c>
      <c r="S321" s="7">
        <f>日前电价!S321-实时电价!S321</f>
        <v>155.3318</v>
      </c>
      <c r="T321" s="7">
        <f>日前电价!T321-实时电价!T321</f>
        <v>123.7095</v>
      </c>
      <c r="U321" s="7">
        <f>日前电价!U321-实时电价!U321</f>
        <v>161.9348</v>
      </c>
      <c r="V321" s="7">
        <f>日前电价!V321-实时电价!V321</f>
        <v>34.011</v>
      </c>
      <c r="W321" s="7">
        <f>日前电价!W321-实时电价!W321</f>
        <v>8.59590000000003</v>
      </c>
      <c r="X321" s="7">
        <f>日前电价!X321-实时电价!X321</f>
        <v>11.4611</v>
      </c>
      <c r="Y321" s="7">
        <f>日前电价!Y321-实时电价!Y321</f>
        <v>3.6653</v>
      </c>
      <c r="Z321" s="9">
        <f t="shared" si="12"/>
        <v>161.9348</v>
      </c>
      <c r="AA321" s="9">
        <f t="shared" si="13"/>
        <v>-11.8473</v>
      </c>
      <c r="AB321" s="9">
        <f t="shared" si="14"/>
        <v>34.2531125</v>
      </c>
    </row>
    <row r="322" spans="1:28">
      <c r="A322" s="8">
        <v>45612</v>
      </c>
      <c r="B322" s="7">
        <f>日前电价!B322-实时电价!B322</f>
        <v>-3.8186</v>
      </c>
      <c r="C322" s="7">
        <f>日前电价!C322-实时电价!C322</f>
        <v>-2.56259999999997</v>
      </c>
      <c r="D322" s="7">
        <f>日前电价!D322-实时电价!D322</f>
        <v>1.06990000000002</v>
      </c>
      <c r="E322" s="7">
        <f>日前电价!E322-实时电价!E322</f>
        <v>0.595100000000002</v>
      </c>
      <c r="F322" s="7">
        <f>日前电价!F322-实时电价!F322</f>
        <v>-6.33929999999998</v>
      </c>
      <c r="G322" s="7">
        <f>日前电价!G322-实时电价!G322</f>
        <v>-2.1789</v>
      </c>
      <c r="H322" s="7">
        <f>日前电价!H322-实时电价!H322</f>
        <v>0.741800000000012</v>
      </c>
      <c r="I322" s="7">
        <f>日前电价!I322-实时电价!I322</f>
        <v>-16.5727</v>
      </c>
      <c r="J322" s="7">
        <f>日前电价!J322-实时电价!J322</f>
        <v>36.6334</v>
      </c>
      <c r="K322" s="7">
        <f>日前电价!K322-实时电价!K322</f>
        <v>92.5155</v>
      </c>
      <c r="L322" s="7">
        <f>日前电价!L322-实时电价!L322</f>
        <v>71.0847</v>
      </c>
      <c r="M322" s="7">
        <f>日前电价!M322-实时电价!M322</f>
        <v>77.5373</v>
      </c>
      <c r="N322" s="7">
        <f>日前电价!N322-实时电价!N322</f>
        <v>34.1844</v>
      </c>
      <c r="O322" s="7">
        <f>日前电价!O322-实时电价!O322</f>
        <v>19.8939</v>
      </c>
      <c r="P322" s="7">
        <f>日前电价!P322-实时电价!P322</f>
        <v>47.647</v>
      </c>
      <c r="Q322" s="7">
        <f>日前电价!Q322-实时电价!Q322</f>
        <v>54.8073</v>
      </c>
      <c r="R322" s="7">
        <f>日前电价!R322-实时电价!R322</f>
        <v>104.6338</v>
      </c>
      <c r="S322" s="7">
        <f>日前电价!S322-实时电价!S322</f>
        <v>204.4803</v>
      </c>
      <c r="T322" s="7">
        <f>日前电价!T322-实时电价!T322</f>
        <v>214.1264</v>
      </c>
      <c r="U322" s="7">
        <f>日前电价!U322-实时电价!U322</f>
        <v>242.4754</v>
      </c>
      <c r="V322" s="7">
        <f>日前电价!V322-实时电价!V322</f>
        <v>127.6476</v>
      </c>
      <c r="W322" s="7">
        <f>日前电价!W322-实时电价!W322</f>
        <v>81.1701</v>
      </c>
      <c r="X322" s="7">
        <f>日前电价!X322-实时电价!X322</f>
        <v>68.0277</v>
      </c>
      <c r="Y322" s="7">
        <f>日前电价!Y322-实时电价!Y322</f>
        <v>55.0372</v>
      </c>
      <c r="Z322" s="9">
        <f t="shared" ref="Z322:Z368" si="15">MAX($B322:$Y322)</f>
        <v>242.4754</v>
      </c>
      <c r="AA322" s="9">
        <f t="shared" ref="AA322:AA368" si="16">MIN($B322:$Y322)</f>
        <v>-16.5727</v>
      </c>
      <c r="AB322" s="9">
        <f t="shared" ref="AB322:AB368" si="17">AVERAGE($B322:$Y322)</f>
        <v>62.6181958333333</v>
      </c>
    </row>
    <row r="323" spans="1:28">
      <c r="A323" s="8">
        <v>45613</v>
      </c>
      <c r="B323" s="7">
        <f>日前电价!B323-实时电价!B323</f>
        <v>9.15629999999999</v>
      </c>
      <c r="C323" s="7">
        <f>日前电价!C323-实时电价!C323</f>
        <v>11.0258</v>
      </c>
      <c r="D323" s="7">
        <f>日前电价!D323-实时电价!D323</f>
        <v>8.7321</v>
      </c>
      <c r="E323" s="7">
        <f>日前电价!E323-实时电价!E323</f>
        <v>13.1914</v>
      </c>
      <c r="F323" s="7">
        <f>日前电价!F323-实时电价!F323</f>
        <v>11.4024</v>
      </c>
      <c r="G323" s="7">
        <f>日前电价!G323-实时电价!G323</f>
        <v>7.25479999999999</v>
      </c>
      <c r="H323" s="7">
        <f>日前电价!H323-实时电价!H323</f>
        <v>12.2911</v>
      </c>
      <c r="I323" s="7">
        <f>日前电价!I323-实时电价!I323</f>
        <v>6.4187</v>
      </c>
      <c r="J323" s="7">
        <f>日前电价!J323-实时电价!J323</f>
        <v>2.82030000000003</v>
      </c>
      <c r="K323" s="7">
        <f>日前电价!K323-实时电价!K323</f>
        <v>23.8975</v>
      </c>
      <c r="L323" s="7">
        <f>日前电价!L323-实时电价!L323</f>
        <v>88.156</v>
      </c>
      <c r="M323" s="7">
        <f>日前电价!M323-实时电价!M323</f>
        <v>72.8934</v>
      </c>
      <c r="N323" s="7">
        <f>日前电价!N323-实时电价!N323</f>
        <v>218.5798</v>
      </c>
      <c r="O323" s="7">
        <f>日前电价!O323-实时电价!O323</f>
        <v>137.4171</v>
      </c>
      <c r="P323" s="7">
        <f>日前电价!P323-实时电价!P323</f>
        <v>70.871</v>
      </c>
      <c r="Q323" s="7">
        <f>日前电价!Q323-实时电价!Q323</f>
        <v>37.4643</v>
      </c>
      <c r="R323" s="7">
        <f>日前电价!R323-实时电价!R323</f>
        <v>33.92</v>
      </c>
      <c r="S323" s="7">
        <f>日前电价!S323-实时电价!S323</f>
        <v>66.3825</v>
      </c>
      <c r="T323" s="7">
        <f>日前电价!T323-实时电价!T323</f>
        <v>69.8242</v>
      </c>
      <c r="U323" s="7">
        <f>日前电价!U323-实时电价!U323</f>
        <v>69.3142</v>
      </c>
      <c r="V323" s="7">
        <f>日前电价!V323-实时电价!V323</f>
        <v>55.2166</v>
      </c>
      <c r="W323" s="7">
        <f>日前电价!W323-实时电价!W323</f>
        <v>39.3453</v>
      </c>
      <c r="X323" s="7">
        <f>日前电价!X323-实时电价!X323</f>
        <v>27.6212</v>
      </c>
      <c r="Y323" s="7">
        <f>日前电价!Y323-实时电价!Y323</f>
        <v>22.257</v>
      </c>
      <c r="Z323" s="9">
        <f t="shared" si="15"/>
        <v>218.5798</v>
      </c>
      <c r="AA323" s="9">
        <f t="shared" si="16"/>
        <v>2.82030000000003</v>
      </c>
      <c r="AB323" s="9">
        <f t="shared" si="17"/>
        <v>46.4772083333333</v>
      </c>
    </row>
    <row r="324" spans="1:28">
      <c r="A324" s="8">
        <v>45614</v>
      </c>
      <c r="B324" s="7">
        <f>日前电价!B324-实时电价!B324</f>
        <v>7.76819999999998</v>
      </c>
      <c r="C324" s="7">
        <f>日前电价!C324-实时电价!C324</f>
        <v>5.88209999999998</v>
      </c>
      <c r="D324" s="7">
        <f>日前电价!D324-实时电价!D324</f>
        <v>31.1059</v>
      </c>
      <c r="E324" s="7">
        <f>日前电价!E324-实时电价!E324</f>
        <v>40.3742</v>
      </c>
      <c r="F324" s="7">
        <f>日前电价!F324-实时电价!F324</f>
        <v>22.8285</v>
      </c>
      <c r="G324" s="7">
        <f>日前电价!G324-实时电价!G324</f>
        <v>96.7502</v>
      </c>
      <c r="H324" s="7">
        <f>日前电价!H324-实时电价!H324</f>
        <v>30.1997</v>
      </c>
      <c r="I324" s="7">
        <f>日前电价!I324-实时电价!I324</f>
        <v>3.63620000000003</v>
      </c>
      <c r="J324" s="7">
        <f>日前电价!J324-实时电价!J324</f>
        <v>-2.56569999999999</v>
      </c>
      <c r="K324" s="7">
        <f>日前电价!K324-实时电价!K324</f>
        <v>12.7707</v>
      </c>
      <c r="L324" s="7">
        <f>日前电价!L324-实时电价!L324</f>
        <v>21.9688</v>
      </c>
      <c r="M324" s="7">
        <f>日前电价!M324-实时电价!M324</f>
        <v>24.0429</v>
      </c>
      <c r="N324" s="7">
        <f>日前电价!N324-实时电价!N324</f>
        <v>52.3908</v>
      </c>
      <c r="O324" s="7">
        <f>日前电价!O324-实时电价!O324</f>
        <v>21.8757</v>
      </c>
      <c r="P324" s="7">
        <f>日前电价!P324-实时电价!P324</f>
        <v>48.4513</v>
      </c>
      <c r="Q324" s="7">
        <f>日前电价!Q324-实时电价!Q324</f>
        <v>12.0487000000001</v>
      </c>
      <c r="R324" s="7">
        <f>日前电价!R324-实时电价!R324</f>
        <v>22.8568</v>
      </c>
      <c r="S324" s="7">
        <f>日前电价!S324-实时电价!S324</f>
        <v>48.4843</v>
      </c>
      <c r="T324" s="7">
        <f>日前电价!T324-实时电价!T324</f>
        <v>56.5763</v>
      </c>
      <c r="U324" s="7">
        <f>日前电价!U324-实时电价!U324</f>
        <v>88.7366</v>
      </c>
      <c r="V324" s="7">
        <f>日前电价!V324-实时电价!V324</f>
        <v>27.6017</v>
      </c>
      <c r="W324" s="7">
        <f>日前电价!W324-实时电价!W324</f>
        <v>22.7773</v>
      </c>
      <c r="X324" s="7">
        <f>日前电价!X324-实时电价!X324</f>
        <v>22.9078</v>
      </c>
      <c r="Y324" s="7">
        <f>日前电价!Y324-实时电价!Y324</f>
        <v>17.2553</v>
      </c>
      <c r="Z324" s="9">
        <f t="shared" si="15"/>
        <v>96.7502</v>
      </c>
      <c r="AA324" s="9">
        <f t="shared" si="16"/>
        <v>-2.56569999999999</v>
      </c>
      <c r="AB324" s="9">
        <f t="shared" si="17"/>
        <v>30.6968458333333</v>
      </c>
    </row>
    <row r="325" spans="1:28">
      <c r="A325" s="8">
        <v>45615</v>
      </c>
      <c r="B325" s="7">
        <f>日前电价!B325-实时电价!B325</f>
        <v>5.40539999999999</v>
      </c>
      <c r="C325" s="7">
        <f>日前电价!C325-实时电价!C325</f>
        <v>2.37990000000002</v>
      </c>
      <c r="D325" s="7">
        <f>日前电价!D325-实时电价!D325</f>
        <v>20.4375</v>
      </c>
      <c r="E325" s="7">
        <f>日前电价!E325-实时电价!E325</f>
        <v>180.869</v>
      </c>
      <c r="F325" s="7">
        <f>日前电价!F325-实时电价!F325</f>
        <v>225.2753</v>
      </c>
      <c r="G325" s="7">
        <f>日前电价!G325-实时电价!G325</f>
        <v>251.5276</v>
      </c>
      <c r="H325" s="7">
        <f>日前电价!H325-实时电价!H325</f>
        <v>20.2134</v>
      </c>
      <c r="I325" s="7">
        <f>日前电价!I325-实时电价!I325</f>
        <v>-2.5548</v>
      </c>
      <c r="J325" s="7">
        <f>日前电价!J325-实时电价!J325</f>
        <v>-8.24259999999998</v>
      </c>
      <c r="K325" s="7">
        <f>日前电价!K325-实时电价!K325</f>
        <v>-6.8254</v>
      </c>
      <c r="L325" s="7">
        <f>日前电价!L325-实时电价!L325</f>
        <v>-4.78540000000004</v>
      </c>
      <c r="M325" s="7">
        <f>日前电价!M325-实时电价!M325</f>
        <v>1.85500000000002</v>
      </c>
      <c r="N325" s="7">
        <f>日前电价!N325-实时电价!N325</f>
        <v>-150.0307</v>
      </c>
      <c r="O325" s="7">
        <f>日前电价!O325-实时电价!O325</f>
        <v>-103.7392</v>
      </c>
      <c r="P325" s="7">
        <f>日前电价!P325-实时电价!P325</f>
        <v>4.16980000000001</v>
      </c>
      <c r="Q325" s="7">
        <f>日前电价!Q325-实时电价!Q325</f>
        <v>15.1105</v>
      </c>
      <c r="R325" s="7">
        <f>日前电价!R325-实时电价!R325</f>
        <v>11.192</v>
      </c>
      <c r="S325" s="7">
        <f>日前电价!S325-实时电价!S325</f>
        <v>16.6156</v>
      </c>
      <c r="T325" s="7">
        <f>日前电价!T325-实时电价!T325</f>
        <v>13.9425</v>
      </c>
      <c r="U325" s="7">
        <f>日前电价!U325-实时电价!U325</f>
        <v>27.8721</v>
      </c>
      <c r="V325" s="7">
        <f>日前电价!V325-实时电价!V325</f>
        <v>12.0671</v>
      </c>
      <c r="W325" s="7">
        <f>日前电价!W325-实时电价!W325</f>
        <v>17.6464</v>
      </c>
      <c r="X325" s="7">
        <f>日前电价!X325-实时电价!X325</f>
        <v>14.6097</v>
      </c>
      <c r="Y325" s="7">
        <f>日前电价!Y325-实时电价!Y325</f>
        <v>19.9306</v>
      </c>
      <c r="Z325" s="9">
        <f t="shared" si="15"/>
        <v>251.5276</v>
      </c>
      <c r="AA325" s="9">
        <f t="shared" si="16"/>
        <v>-150.0307</v>
      </c>
      <c r="AB325" s="9">
        <f t="shared" si="17"/>
        <v>24.3725541666667</v>
      </c>
    </row>
    <row r="326" spans="1:28">
      <c r="A326" s="8">
        <v>45616</v>
      </c>
      <c r="B326" s="7">
        <f>日前电价!B326-实时电价!B326</f>
        <v>62.1377</v>
      </c>
      <c r="C326" s="7">
        <f>日前电价!C326-实时电价!C326</f>
        <v>2.0643</v>
      </c>
      <c r="D326" s="7">
        <f>日前电价!D326-实时电价!D326</f>
        <v>-2.3177</v>
      </c>
      <c r="E326" s="7">
        <f>日前电价!E326-实时电价!E326</f>
        <v>7.37710000000001</v>
      </c>
      <c r="F326" s="7">
        <f>日前电价!F326-实时电价!F326</f>
        <v>8.73269999999999</v>
      </c>
      <c r="G326" s="7">
        <f>日前电价!G326-实时电价!G326</f>
        <v>20.1362</v>
      </c>
      <c r="H326" s="7">
        <f>日前电价!H326-实时电价!H326</f>
        <v>10.5923</v>
      </c>
      <c r="I326" s="7">
        <f>日前电价!I326-实时电价!I326</f>
        <v>-3.96350000000001</v>
      </c>
      <c r="J326" s="7">
        <f>日前电价!J326-实时电价!J326</f>
        <v>-19.5441</v>
      </c>
      <c r="K326" s="7">
        <f>日前电价!K326-实时电价!K326</f>
        <v>10.6358</v>
      </c>
      <c r="L326" s="7">
        <f>日前电价!L326-实时电价!L326</f>
        <v>26.4221</v>
      </c>
      <c r="M326" s="7">
        <f>日前电价!M326-实时电价!M326</f>
        <v>28.6925</v>
      </c>
      <c r="N326" s="7">
        <f>日前电价!N326-实时电价!N326</f>
        <v>28.7518</v>
      </c>
      <c r="O326" s="7">
        <f>日前电价!O326-实时电价!O326</f>
        <v>3.096</v>
      </c>
      <c r="P326" s="7">
        <f>日前电价!P326-实时电价!P326</f>
        <v>37.3521</v>
      </c>
      <c r="Q326" s="7">
        <f>日前电价!Q326-实时电价!Q326</f>
        <v>24.3239</v>
      </c>
      <c r="R326" s="7">
        <f>日前电价!R326-实时电价!R326</f>
        <v>14.829</v>
      </c>
      <c r="S326" s="7">
        <f>日前电价!S326-实时电价!S326</f>
        <v>14.9269</v>
      </c>
      <c r="T326" s="7">
        <f>日前电价!T326-实时电价!T326</f>
        <v>29.4935</v>
      </c>
      <c r="U326" s="7">
        <f>日前电价!U326-实时电价!U326</f>
        <v>23.5715</v>
      </c>
      <c r="V326" s="7">
        <f>日前电价!V326-实时电价!V326</f>
        <v>11.406</v>
      </c>
      <c r="W326" s="7">
        <f>日前电价!W326-实时电价!W326</f>
        <v>12.4154</v>
      </c>
      <c r="X326" s="7">
        <f>日前电价!X326-实时电价!X326</f>
        <v>8.07299999999998</v>
      </c>
      <c r="Y326" s="7">
        <f>日前电价!Y326-实时电价!Y326</f>
        <v>11.0631</v>
      </c>
      <c r="Z326" s="9">
        <f t="shared" si="15"/>
        <v>62.1377</v>
      </c>
      <c r="AA326" s="9">
        <f t="shared" si="16"/>
        <v>-19.5441</v>
      </c>
      <c r="AB326" s="9">
        <f t="shared" si="17"/>
        <v>15.4278166666667</v>
      </c>
    </row>
    <row r="327" spans="1:28">
      <c r="A327" s="8">
        <v>45617</v>
      </c>
      <c r="B327" s="7">
        <f>日前电价!B327-实时电价!B327</f>
        <v>4.0034</v>
      </c>
      <c r="C327" s="7">
        <f>日前电价!C327-实时电价!C327</f>
        <v>33.7404</v>
      </c>
      <c r="D327" s="7">
        <f>日前电价!D327-实时电价!D327</f>
        <v>24.0987</v>
      </c>
      <c r="E327" s="7">
        <f>日前电价!E327-实时电价!E327</f>
        <v>28.3876</v>
      </c>
      <c r="F327" s="7">
        <f>日前电价!F327-实时电价!F327</f>
        <v>106.7279</v>
      </c>
      <c r="G327" s="7">
        <f>日前电价!G327-实时电价!G327</f>
        <v>108.2558</v>
      </c>
      <c r="H327" s="7">
        <f>日前电价!H327-实时电价!H327</f>
        <v>40.1845</v>
      </c>
      <c r="I327" s="7">
        <f>日前电价!I327-实时电价!I327</f>
        <v>-24.111</v>
      </c>
      <c r="J327" s="7">
        <f>日前电价!J327-实时电价!J327</f>
        <v>4.09820000000002</v>
      </c>
      <c r="K327" s="7">
        <f>日前电价!K327-实时电价!K327</f>
        <v>33.4226</v>
      </c>
      <c r="L327" s="7">
        <f>日前电价!L327-实时电价!L327</f>
        <v>53.8818</v>
      </c>
      <c r="M327" s="7">
        <f>日前电价!M327-实时电价!M327</f>
        <v>75.3668</v>
      </c>
      <c r="N327" s="7">
        <f>日前电价!N327-实时电价!N327</f>
        <v>188.4396</v>
      </c>
      <c r="O327" s="7">
        <f>日前电价!O327-实时电价!O327</f>
        <v>74.3456</v>
      </c>
      <c r="P327" s="7">
        <f>日前电价!P327-实时电价!P327</f>
        <v>17.7597</v>
      </c>
      <c r="Q327" s="7">
        <f>日前电价!Q327-实时电价!Q327</f>
        <v>-0.49169999999998</v>
      </c>
      <c r="R327" s="7">
        <f>日前电价!R327-实时电价!R327</f>
        <v>16.7464</v>
      </c>
      <c r="S327" s="7">
        <f>日前电价!S327-实时电价!S327</f>
        <v>20.6582</v>
      </c>
      <c r="T327" s="7">
        <f>日前电价!T327-实时电价!T327</f>
        <v>36.4721</v>
      </c>
      <c r="U327" s="7">
        <f>日前电价!U327-实时电价!U327</f>
        <v>39.1739</v>
      </c>
      <c r="V327" s="7">
        <f>日前电价!V327-实时电价!V327</f>
        <v>26.0164</v>
      </c>
      <c r="W327" s="7">
        <f>日前电价!W327-实时电价!W327</f>
        <v>1.19719999999995</v>
      </c>
      <c r="X327" s="7">
        <f>日前电价!X327-实时电价!X327</f>
        <v>13.1787</v>
      </c>
      <c r="Y327" s="7">
        <f>日前电价!Y327-实时电价!Y327</f>
        <v>19.2255</v>
      </c>
      <c r="Z327" s="9">
        <f t="shared" si="15"/>
        <v>188.4396</v>
      </c>
      <c r="AA327" s="9">
        <f t="shared" si="16"/>
        <v>-24.111</v>
      </c>
      <c r="AB327" s="9">
        <f t="shared" si="17"/>
        <v>39.1990958333333</v>
      </c>
    </row>
    <row r="328" spans="1:28">
      <c r="A328" s="8">
        <v>45618</v>
      </c>
      <c r="B328" s="7">
        <f>日前电价!B328-实时电价!B328</f>
        <v>-14.3308</v>
      </c>
      <c r="C328" s="7">
        <f>日前电价!C328-实时电价!C328</f>
        <v>-9.14830000000001</v>
      </c>
      <c r="D328" s="7">
        <f>日前电价!D328-实时电价!D328</f>
        <v>-8.4699</v>
      </c>
      <c r="E328" s="7">
        <f>日前电价!E328-实时电价!E328</f>
        <v>25.2368</v>
      </c>
      <c r="F328" s="7">
        <f>日前电价!F328-实时电价!F328</f>
        <v>5.72350000000003</v>
      </c>
      <c r="G328" s="7">
        <f>日前电价!G328-实时电价!G328</f>
        <v>19.043</v>
      </c>
      <c r="H328" s="7">
        <f>日前电价!H328-实时电价!H328</f>
        <v>0.418799999999976</v>
      </c>
      <c r="I328" s="7">
        <f>日前电价!I328-实时电价!I328</f>
        <v>-12.7425</v>
      </c>
      <c r="J328" s="7">
        <f>日前电价!J328-实时电价!J328</f>
        <v>-10.1661</v>
      </c>
      <c r="K328" s="7">
        <f>日前电价!K328-实时电价!K328</f>
        <v>-14.9387</v>
      </c>
      <c r="L328" s="7">
        <f>日前电价!L328-实时电价!L328</f>
        <v>-91.8415</v>
      </c>
      <c r="M328" s="7">
        <f>日前电价!M328-实时电价!M328</f>
        <v>-28.0757</v>
      </c>
      <c r="N328" s="7">
        <f>日前电价!N328-实时电价!N328</f>
        <v>24.1911</v>
      </c>
      <c r="O328" s="7">
        <f>日前电价!O328-实时电价!O328</f>
        <v>-20.8717</v>
      </c>
      <c r="P328" s="7">
        <f>日前电价!P328-实时电价!P328</f>
        <v>-10.991</v>
      </c>
      <c r="Q328" s="7">
        <f>日前电价!Q328-实时电价!Q328</f>
        <v>-21.9837</v>
      </c>
      <c r="R328" s="7">
        <f>日前电价!R328-实时电价!R328</f>
        <v>-1.53809999999999</v>
      </c>
      <c r="S328" s="7">
        <f>日前电价!S328-实时电价!S328</f>
        <v>10.3009</v>
      </c>
      <c r="T328" s="7">
        <f>日前电价!T328-实时电价!T328</f>
        <v>19.5995</v>
      </c>
      <c r="U328" s="7">
        <f>日前电价!U328-实时电价!U328</f>
        <v>16.3548</v>
      </c>
      <c r="V328" s="7">
        <f>日前电价!V328-实时电价!V328</f>
        <v>-2.75169999999997</v>
      </c>
      <c r="W328" s="7">
        <f>日前电价!W328-实时电价!W328</f>
        <v>12.1005</v>
      </c>
      <c r="X328" s="7">
        <f>日前电价!X328-实时电价!X328</f>
        <v>5.01760000000002</v>
      </c>
      <c r="Y328" s="7">
        <f>日前电价!Y328-实时电价!Y328</f>
        <v>-3.0471</v>
      </c>
      <c r="Z328" s="9">
        <f t="shared" si="15"/>
        <v>25.2368</v>
      </c>
      <c r="AA328" s="9">
        <f t="shared" si="16"/>
        <v>-91.8415</v>
      </c>
      <c r="AB328" s="9">
        <f t="shared" si="17"/>
        <v>-4.70459583333334</v>
      </c>
    </row>
    <row r="329" spans="1:28">
      <c r="A329" s="8">
        <v>45619</v>
      </c>
      <c r="B329" s="7">
        <f>日前电价!B329-实时电价!B329</f>
        <v>-21.1054</v>
      </c>
      <c r="C329" s="7">
        <f>日前电价!C329-实时电价!C329</f>
        <v>4.17250000000001</v>
      </c>
      <c r="D329" s="7">
        <f>日前电价!D329-实时电价!D329</f>
        <v>-5.7482</v>
      </c>
      <c r="E329" s="7">
        <f>日前电价!E329-实时电价!E329</f>
        <v>46.9417</v>
      </c>
      <c r="F329" s="7">
        <f>日前电价!F329-实时电价!F329</f>
        <v>16.6831</v>
      </c>
      <c r="G329" s="7">
        <f>日前电价!G329-实时电价!G329</f>
        <v>38.8553</v>
      </c>
      <c r="H329" s="7">
        <f>日前电价!H329-实时电价!H329</f>
        <v>37.4235</v>
      </c>
      <c r="I329" s="7">
        <f>日前电价!I329-实时电价!I329</f>
        <v>-19.2481</v>
      </c>
      <c r="J329" s="7">
        <f>日前电价!J329-实时电价!J329</f>
        <v>-13.478</v>
      </c>
      <c r="K329" s="7">
        <f>日前电价!K329-实时电价!K329</f>
        <v>1.43989999999997</v>
      </c>
      <c r="L329" s="7">
        <f>日前电价!L329-实时电价!L329</f>
        <v>4.41539999999998</v>
      </c>
      <c r="M329" s="7">
        <f>日前电价!M329-实时电价!M329</f>
        <v>56.0576</v>
      </c>
      <c r="N329" s="7">
        <f>日前电价!N329-实时电价!N329</f>
        <v>27.3575</v>
      </c>
      <c r="O329" s="7">
        <f>日前电价!O329-实时电价!O329</f>
        <v>-27.3212</v>
      </c>
      <c r="P329" s="7">
        <f>日前电价!P329-实时电价!P329</f>
        <v>-37.7502</v>
      </c>
      <c r="Q329" s="7">
        <f>日前电价!Q329-实时电价!Q329</f>
        <v>-18.5251</v>
      </c>
      <c r="R329" s="7">
        <f>日前电价!R329-实时电价!R329</f>
        <v>-30.1535</v>
      </c>
      <c r="S329" s="7">
        <f>日前电价!S329-实时电价!S329</f>
        <v>-5.85200000000003</v>
      </c>
      <c r="T329" s="7">
        <f>日前电价!T329-实时电价!T329</f>
        <v>11.415</v>
      </c>
      <c r="U329" s="7">
        <f>日前电价!U329-实时电价!U329</f>
        <v>106.2788</v>
      </c>
      <c r="V329" s="7">
        <f>日前电价!V329-实时电价!V329</f>
        <v>-38.4511000000001</v>
      </c>
      <c r="W329" s="7">
        <f>日前电价!W329-实时电价!W329</f>
        <v>-19.3689</v>
      </c>
      <c r="X329" s="7">
        <f>日前电价!X329-实时电价!X329</f>
        <v>-13.708</v>
      </c>
      <c r="Y329" s="7">
        <f>日前电价!Y329-实时电价!Y329</f>
        <v>-26.6947</v>
      </c>
      <c r="Z329" s="9">
        <f t="shared" si="15"/>
        <v>106.2788</v>
      </c>
      <c r="AA329" s="9">
        <f t="shared" si="16"/>
        <v>-38.4511000000001</v>
      </c>
      <c r="AB329" s="9">
        <f t="shared" si="17"/>
        <v>3.0681625</v>
      </c>
    </row>
    <row r="330" spans="1:28">
      <c r="A330" s="8">
        <v>45620</v>
      </c>
      <c r="B330" s="7">
        <f>日前电价!B330-实时电价!B330</f>
        <v>-20.6975</v>
      </c>
      <c r="C330" s="7">
        <f>日前电价!C330-实时电价!C330</f>
        <v>-20.6102</v>
      </c>
      <c r="D330" s="7">
        <f>日前电价!D330-实时电价!D330</f>
        <v>-5.84949999999998</v>
      </c>
      <c r="E330" s="7">
        <f>日前电价!E330-实时电价!E330</f>
        <v>5.84029999999998</v>
      </c>
      <c r="F330" s="7">
        <f>日前电价!F330-实时电价!F330</f>
        <v>38.03</v>
      </c>
      <c r="G330" s="7">
        <f>日前电价!G330-实时电价!G330</f>
        <v>-19.1101</v>
      </c>
      <c r="H330" s="7">
        <f>日前电价!H330-实时电价!H330</f>
        <v>-4.1919</v>
      </c>
      <c r="I330" s="7">
        <f>日前电价!I330-实时电价!I330</f>
        <v>-21.2254</v>
      </c>
      <c r="J330" s="7">
        <f>日前电价!J330-实时电价!J330</f>
        <v>1.55340000000001</v>
      </c>
      <c r="K330" s="7">
        <f>日前电价!K330-实时电价!K330</f>
        <v>96.39</v>
      </c>
      <c r="L330" s="7">
        <f>日前电价!L330-实时电价!L330</f>
        <v>163.078</v>
      </c>
      <c r="M330" s="7">
        <f>日前电价!M330-实时电价!M330</f>
        <v>-124.8236</v>
      </c>
      <c r="N330" s="7">
        <f>日前电价!N330-实时电价!N330</f>
        <v>-4.3786</v>
      </c>
      <c r="O330" s="7">
        <f>日前电价!O330-实时电价!O330</f>
        <v>-44.9164</v>
      </c>
      <c r="P330" s="7">
        <f>日前电价!P330-实时电价!P330</f>
        <v>-163.5785</v>
      </c>
      <c r="Q330" s="7">
        <f>日前电价!Q330-实时电价!Q330</f>
        <v>-55.2223</v>
      </c>
      <c r="R330" s="7">
        <f>日前电价!R330-实时电价!R330</f>
        <v>-20.8366</v>
      </c>
      <c r="S330" s="7">
        <f>日前电价!S330-实时电价!S330</f>
        <v>-24.757</v>
      </c>
      <c r="T330" s="7">
        <f>日前电价!T330-实时电价!T330</f>
        <v>-26.1657</v>
      </c>
      <c r="U330" s="7">
        <f>日前电价!U330-实时电价!U330</f>
        <v>-20.9268</v>
      </c>
      <c r="V330" s="7">
        <f>日前电价!V330-实时电价!V330</f>
        <v>-12.6838</v>
      </c>
      <c r="W330" s="7">
        <f>日前电价!W330-实时电价!W330</f>
        <v>-18.2542</v>
      </c>
      <c r="X330" s="7">
        <f>日前电价!X330-实时电价!X330</f>
        <v>-12.9552</v>
      </c>
      <c r="Y330" s="7">
        <f>日前电价!Y330-实时电价!Y330</f>
        <v>-39.0084</v>
      </c>
      <c r="Z330" s="9">
        <f t="shared" si="15"/>
        <v>163.078</v>
      </c>
      <c r="AA330" s="9">
        <f t="shared" si="16"/>
        <v>-163.5785</v>
      </c>
      <c r="AB330" s="9">
        <f t="shared" si="17"/>
        <v>-14.8041666666667</v>
      </c>
    </row>
    <row r="331" spans="1:28">
      <c r="A331" s="8">
        <v>45621</v>
      </c>
      <c r="B331" s="7">
        <f>日前电价!B331-实时电价!B331</f>
        <v>-16.9039</v>
      </c>
      <c r="C331" s="7">
        <f>日前电价!C331-实时电价!C331</f>
        <v>-6.5515</v>
      </c>
      <c r="D331" s="7">
        <f>日前电价!D331-实时电价!D331</f>
        <v>11.1788</v>
      </c>
      <c r="E331" s="7">
        <f>日前电价!E331-实时电价!E331</f>
        <v>4.37260000000001</v>
      </c>
      <c r="F331" s="7">
        <f>日前电价!F331-实时电价!F331</f>
        <v>58.2779</v>
      </c>
      <c r="G331" s="7">
        <f>日前电价!G331-实时电价!G331</f>
        <v>-4.45259999999999</v>
      </c>
      <c r="H331" s="7">
        <f>日前电价!H331-实时电价!H331</f>
        <v>-17.4552</v>
      </c>
      <c r="I331" s="7">
        <f>日前电价!I331-实时电价!I331</f>
        <v>-8.90019999999998</v>
      </c>
      <c r="J331" s="7">
        <f>日前电价!J331-实时电价!J331</f>
        <v>-13.8054</v>
      </c>
      <c r="K331" s="7">
        <f>日前电价!K331-实时电价!K331</f>
        <v>-46.2851</v>
      </c>
      <c r="L331" s="7">
        <f>日前电价!L331-实时电价!L331</f>
        <v>-72.586</v>
      </c>
      <c r="M331" s="7">
        <f>日前电价!M331-实时电价!M331</f>
        <v>-40.1871</v>
      </c>
      <c r="N331" s="7">
        <f>日前电价!N331-实时电价!N331</f>
        <v>-50.7782</v>
      </c>
      <c r="O331" s="7">
        <f>日前电价!O331-实时电价!O331</f>
        <v>-61.0275</v>
      </c>
      <c r="P331" s="7">
        <f>日前电价!P331-实时电价!P331</f>
        <v>-26.6609</v>
      </c>
      <c r="Q331" s="7">
        <f>日前电价!Q331-实时电价!Q331</f>
        <v>-23.8977</v>
      </c>
      <c r="R331" s="7">
        <f>日前电价!R331-实时电价!R331</f>
        <v>-39.5264</v>
      </c>
      <c r="S331" s="7">
        <f>日前电价!S331-实时电价!S331</f>
        <v>-88.9714</v>
      </c>
      <c r="T331" s="7">
        <f>日前电价!T331-实时电价!T331</f>
        <v>-51.9428</v>
      </c>
      <c r="U331" s="7">
        <f>日前电价!U331-实时电价!U331</f>
        <v>-57.3425</v>
      </c>
      <c r="V331" s="7">
        <f>日前电价!V331-实时电价!V331</f>
        <v>-50.407</v>
      </c>
      <c r="W331" s="7">
        <f>日前电价!W331-实时电价!W331</f>
        <v>-10.4147</v>
      </c>
      <c r="X331" s="7">
        <f>日前电价!X331-实时电价!X331</f>
        <v>0.0291000000000281</v>
      </c>
      <c r="Y331" s="7">
        <f>日前电价!Y331-实时电价!Y331</f>
        <v>-15.9167</v>
      </c>
      <c r="Z331" s="9">
        <f t="shared" si="15"/>
        <v>58.2779</v>
      </c>
      <c r="AA331" s="9">
        <f t="shared" si="16"/>
        <v>-88.9714</v>
      </c>
      <c r="AB331" s="9">
        <f t="shared" si="17"/>
        <v>-26.2564333333333</v>
      </c>
    </row>
    <row r="332" spans="1:28">
      <c r="A332" s="8">
        <v>45622</v>
      </c>
      <c r="B332" s="7">
        <f>日前电价!B332-实时电价!B332</f>
        <v>-10.185</v>
      </c>
      <c r="C332" s="7">
        <f>日前电价!C332-实时电价!C332</f>
        <v>4.21250000000003</v>
      </c>
      <c r="D332" s="7">
        <f>日前电价!D332-实时电价!D332</f>
        <v>20.1077</v>
      </c>
      <c r="E332" s="7">
        <f>日前电价!E332-实时电价!E332</f>
        <v>92.1321</v>
      </c>
      <c r="F332" s="7">
        <f>日前电价!F332-实时电价!F332</f>
        <v>102.0237</v>
      </c>
      <c r="G332" s="7">
        <f>日前电价!G332-实时电价!G332</f>
        <v>220.1904</v>
      </c>
      <c r="H332" s="7">
        <f>日前电价!H332-实时电价!H332</f>
        <v>95.6689</v>
      </c>
      <c r="I332" s="7">
        <f>日前电价!I332-实时电价!I332</f>
        <v>-1.3784</v>
      </c>
      <c r="J332" s="7">
        <f>日前电价!J332-实时电价!J332</f>
        <v>21.8953</v>
      </c>
      <c r="K332" s="7">
        <f>日前电价!K332-实时电价!K332</f>
        <v>148.4046</v>
      </c>
      <c r="L332" s="7">
        <f>日前电价!L332-实时电价!L332</f>
        <v>81.4684</v>
      </c>
      <c r="M332" s="7">
        <f>日前电价!M332-实时电价!M332</f>
        <v>15.5472</v>
      </c>
      <c r="N332" s="7">
        <f>日前电价!N332-实时电价!N332</f>
        <v>101.7156</v>
      </c>
      <c r="O332" s="7">
        <f>日前电价!O332-实时电价!O332</f>
        <v>89.8157</v>
      </c>
      <c r="P332" s="7">
        <f>日前电价!P332-实时电价!P332</f>
        <v>253.1155</v>
      </c>
      <c r="Q332" s="7">
        <f>日前电价!Q332-实时电价!Q332</f>
        <v>108.8402</v>
      </c>
      <c r="R332" s="7">
        <f>日前电价!R332-实时电价!R332</f>
        <v>35.0105</v>
      </c>
      <c r="S332" s="7">
        <f>日前电价!S332-实时电价!S332</f>
        <v>64.5936</v>
      </c>
      <c r="T332" s="7">
        <f>日前电价!T332-实时电价!T332</f>
        <v>35.8278</v>
      </c>
      <c r="U332" s="7">
        <f>日前电价!U332-实时电价!U332</f>
        <v>49.5691</v>
      </c>
      <c r="V332" s="7">
        <f>日前电价!V332-实时电价!V332</f>
        <v>29.3068</v>
      </c>
      <c r="W332" s="7">
        <f>日前电价!W332-实时电价!W332</f>
        <v>12.2109</v>
      </c>
      <c r="X332" s="7">
        <f>日前电价!X332-实时电价!X332</f>
        <v>1.46929999999998</v>
      </c>
      <c r="Y332" s="7">
        <f>日前电价!Y332-实时电价!Y332</f>
        <v>-8.86959999999999</v>
      </c>
      <c r="Z332" s="9">
        <f t="shared" si="15"/>
        <v>253.1155</v>
      </c>
      <c r="AA332" s="9">
        <f t="shared" si="16"/>
        <v>-10.185</v>
      </c>
      <c r="AB332" s="9">
        <f t="shared" si="17"/>
        <v>65.1122</v>
      </c>
    </row>
    <row r="333" spans="1:28">
      <c r="A333" s="8">
        <v>45623</v>
      </c>
      <c r="B333" s="7">
        <f>日前电价!B333-实时电价!B333</f>
        <v>-26.62</v>
      </c>
      <c r="C333" s="7">
        <f>日前电价!C333-实时电价!C333</f>
        <v>-26.1859</v>
      </c>
      <c r="D333" s="7">
        <f>日前电价!D333-实时电价!D333</f>
        <v>79.8037</v>
      </c>
      <c r="E333" s="7">
        <f>日前电价!E333-实时电价!E333</f>
        <v>134.6387</v>
      </c>
      <c r="F333" s="7">
        <f>日前电价!F333-实时电价!F333</f>
        <v>38.5758</v>
      </c>
      <c r="G333" s="7">
        <f>日前电价!G333-实时电价!G333</f>
        <v>-95.4339</v>
      </c>
      <c r="H333" s="7">
        <f>日前电价!H333-实时电价!H333</f>
        <v>-10.5786</v>
      </c>
      <c r="I333" s="7">
        <f>日前电价!I333-实时电价!I333</f>
        <v>-12.5374</v>
      </c>
      <c r="J333" s="7">
        <f>日前电价!J333-实时电价!J333</f>
        <v>-29.822</v>
      </c>
      <c r="K333" s="7">
        <f>日前电价!K333-实时电价!K333</f>
        <v>-23.4955</v>
      </c>
      <c r="L333" s="7">
        <f>日前电价!L333-实时电价!L333</f>
        <v>-23.3682</v>
      </c>
      <c r="M333" s="7">
        <f>日前电价!M333-实时电价!M333</f>
        <v>-103.8203</v>
      </c>
      <c r="N333" s="7">
        <f>日前电价!N333-实时电价!N333</f>
        <v>-90.3951</v>
      </c>
      <c r="O333" s="7">
        <f>日前电价!O333-实时电价!O333</f>
        <v>-199.9424</v>
      </c>
      <c r="P333" s="7">
        <f>日前电价!P333-实时电价!P333</f>
        <v>-66.2512</v>
      </c>
      <c r="Q333" s="7">
        <f>日前电价!Q333-实时电价!Q333</f>
        <v>-51.177</v>
      </c>
      <c r="R333" s="7">
        <f>日前电价!R333-实时电价!R333</f>
        <v>-36.6008</v>
      </c>
      <c r="S333" s="7">
        <f>日前电价!S333-实时电价!S333</f>
        <v>-21.6244</v>
      </c>
      <c r="T333" s="7">
        <f>日前电价!T333-实时电价!T333</f>
        <v>-86.6907</v>
      </c>
      <c r="U333" s="7">
        <f>日前电价!U333-实时电价!U333</f>
        <v>-84.1259</v>
      </c>
      <c r="V333" s="7">
        <f>日前电价!V333-实时电价!V333</f>
        <v>-55.3046</v>
      </c>
      <c r="W333" s="7">
        <f>日前电价!W333-实时电价!W333</f>
        <v>-37.8145</v>
      </c>
      <c r="X333" s="7">
        <f>日前电价!X333-实时电价!X333</f>
        <v>-42.0554</v>
      </c>
      <c r="Y333" s="7">
        <f>日前电价!Y333-实时电价!Y333</f>
        <v>-58.3032</v>
      </c>
      <c r="Z333" s="9">
        <f t="shared" si="15"/>
        <v>134.6387</v>
      </c>
      <c r="AA333" s="9">
        <f t="shared" si="16"/>
        <v>-199.9424</v>
      </c>
      <c r="AB333" s="9">
        <f t="shared" si="17"/>
        <v>-38.7137</v>
      </c>
    </row>
    <row r="334" spans="1:28">
      <c r="A334" s="8">
        <v>45624</v>
      </c>
      <c r="B334" s="7">
        <f>日前电价!B334-实时电价!B334</f>
        <v>-32.0744</v>
      </c>
      <c r="C334" s="7">
        <f>日前电价!C334-实时电价!C334</f>
        <v>-13.52</v>
      </c>
      <c r="D334" s="7">
        <f>日前电价!D334-实时电价!D334</f>
        <v>-9.54709999999997</v>
      </c>
      <c r="E334" s="7">
        <f>日前电价!E334-实时电价!E334</f>
        <v>-7.7159</v>
      </c>
      <c r="F334" s="7">
        <f>日前电价!F334-实时电价!F334</f>
        <v>-7.15109999999999</v>
      </c>
      <c r="G334" s="7">
        <f>日前电价!G334-实时电价!G334</f>
        <v>-1.92340000000002</v>
      </c>
      <c r="H334" s="7">
        <f>日前电价!H334-实时电价!H334</f>
        <v>-0.268500000000017</v>
      </c>
      <c r="I334" s="7">
        <f>日前电价!I334-实时电价!I334</f>
        <v>-15.2469</v>
      </c>
      <c r="J334" s="7">
        <f>日前电价!J334-实时电价!J334</f>
        <v>-1.63900000000001</v>
      </c>
      <c r="K334" s="7">
        <f>日前电价!K334-实时电价!K334</f>
        <v>-0.0131000000000085</v>
      </c>
      <c r="L334" s="7">
        <f>日前电价!L334-实时电价!L334</f>
        <v>-63.0759</v>
      </c>
      <c r="M334" s="7">
        <f>日前电价!M334-实时电价!M334</f>
        <v>-182.3227</v>
      </c>
      <c r="N334" s="7">
        <f>日前电价!N334-实时电价!N334</f>
        <v>-204.5418</v>
      </c>
      <c r="O334" s="7">
        <f>日前电价!O334-实时电价!O334</f>
        <v>-172.5506</v>
      </c>
      <c r="P334" s="7">
        <f>日前电价!P334-实时电价!P334</f>
        <v>-9.749</v>
      </c>
      <c r="Q334" s="7">
        <f>日前电价!Q334-实时电价!Q334</f>
        <v>-4.0335</v>
      </c>
      <c r="R334" s="7">
        <f>日前电价!R334-实时电价!R334</f>
        <v>-8.65740000000005</v>
      </c>
      <c r="S334" s="7">
        <f>日前电价!S334-实时电价!S334</f>
        <v>-12.4498</v>
      </c>
      <c r="T334" s="7">
        <f>日前电价!T334-实时电价!T334</f>
        <v>23.5429</v>
      </c>
      <c r="U334" s="7">
        <f>日前电价!U334-实时电价!U334</f>
        <v>50.0153</v>
      </c>
      <c r="V334" s="7">
        <f>日前电价!V334-实时电价!V334</f>
        <v>53.1984</v>
      </c>
      <c r="W334" s="7">
        <f>日前电价!W334-实时电价!W334</f>
        <v>-5.755</v>
      </c>
      <c r="X334" s="7">
        <f>日前电价!X334-实时电价!X334</f>
        <v>-3.82260000000002</v>
      </c>
      <c r="Y334" s="7">
        <f>日前电价!Y334-实时电价!Y334</f>
        <v>-32.8882</v>
      </c>
      <c r="Z334" s="9">
        <f t="shared" si="15"/>
        <v>53.1984</v>
      </c>
      <c r="AA334" s="9">
        <f t="shared" si="16"/>
        <v>-204.5418</v>
      </c>
      <c r="AB334" s="9">
        <f t="shared" si="17"/>
        <v>-27.5912208333333</v>
      </c>
    </row>
    <row r="335" spans="1:28">
      <c r="A335" s="8">
        <v>45625</v>
      </c>
      <c r="B335" s="7">
        <f>日前电价!B335-实时电价!B335</f>
        <v>-31.0879</v>
      </c>
      <c r="C335" s="7">
        <f>日前电价!C335-实时电价!C335</f>
        <v>-88.1243</v>
      </c>
      <c r="D335" s="7">
        <f>日前电价!D335-实时电价!D335</f>
        <v>0.567799999999977</v>
      </c>
      <c r="E335" s="7">
        <f>日前电价!E335-实时电价!E335</f>
        <v>22.3503</v>
      </c>
      <c r="F335" s="7">
        <f>日前电价!F335-实时电价!F335</f>
        <v>18.9</v>
      </c>
      <c r="G335" s="7">
        <f>日前电价!G335-实时电价!G335</f>
        <v>12.3135</v>
      </c>
      <c r="H335" s="7">
        <f>日前电价!H335-实时电价!H335</f>
        <v>7.33730000000003</v>
      </c>
      <c r="I335" s="7">
        <f>日前电价!I335-实时电价!I335</f>
        <v>-6.34289999999999</v>
      </c>
      <c r="J335" s="7">
        <f>日前电价!J335-实时电价!J335</f>
        <v>-69.184</v>
      </c>
      <c r="K335" s="7">
        <f>日前电价!K335-实时电价!K335</f>
        <v>6.65769999999998</v>
      </c>
      <c r="L335" s="7">
        <f>日前电价!L335-实时电价!L335</f>
        <v>-299.5216</v>
      </c>
      <c r="M335" s="7">
        <f>日前电价!M335-实时电价!M335</f>
        <v>-37.3101</v>
      </c>
      <c r="N335" s="7">
        <f>日前电价!N335-实时电价!N335</f>
        <v>-3.3576</v>
      </c>
      <c r="O335" s="7">
        <f>日前电价!O335-实时电价!O335</f>
        <v>-39.2501</v>
      </c>
      <c r="P335" s="7">
        <f>日前电价!P335-实时电价!P335</f>
        <v>152.2818</v>
      </c>
      <c r="Q335" s="7">
        <f>日前电价!Q335-实时电价!Q335</f>
        <v>29.8717</v>
      </c>
      <c r="R335" s="7">
        <f>日前电价!R335-实时电价!R335</f>
        <v>28.1647</v>
      </c>
      <c r="S335" s="7">
        <f>日前电价!S335-实时电价!S335</f>
        <v>67.9036</v>
      </c>
      <c r="T335" s="7">
        <f>日前电价!T335-实时电价!T335</f>
        <v>113.0987</v>
      </c>
      <c r="U335" s="7">
        <f>日前电价!U335-实时电价!U335</f>
        <v>84.3816</v>
      </c>
      <c r="V335" s="7">
        <f>日前电价!V335-实时电价!V335</f>
        <v>48.4157</v>
      </c>
      <c r="W335" s="7">
        <f>日前电价!W335-实时电价!W335</f>
        <v>-5.77789999999999</v>
      </c>
      <c r="X335" s="7">
        <f>日前电价!X335-实时电价!X335</f>
        <v>-27.2656</v>
      </c>
      <c r="Y335" s="7">
        <f>日前电价!Y335-实时电价!Y335</f>
        <v>-43.3309</v>
      </c>
      <c r="Z335" s="9">
        <f t="shared" si="15"/>
        <v>152.2818</v>
      </c>
      <c r="AA335" s="9">
        <f t="shared" si="16"/>
        <v>-299.5216</v>
      </c>
      <c r="AB335" s="9">
        <f t="shared" si="17"/>
        <v>-2.42952083333333</v>
      </c>
    </row>
    <row r="336" spans="1:28">
      <c r="A336" s="8">
        <v>45626</v>
      </c>
      <c r="B336" s="7">
        <f>日前电价!B336-实时电价!B336</f>
        <v>-95.31</v>
      </c>
      <c r="C336" s="7">
        <f>日前电价!C336-实时电价!C336</f>
        <v>-73.1944</v>
      </c>
      <c r="D336" s="7">
        <f>日前电价!D336-实时电价!D336</f>
        <v>-67.9363</v>
      </c>
      <c r="E336" s="7">
        <f>日前电价!E336-实时电价!E336</f>
        <v>-64.4928</v>
      </c>
      <c r="F336" s="7">
        <f>日前电价!F336-实时电价!F336</f>
        <v>-47.2163</v>
      </c>
      <c r="G336" s="7">
        <f>日前电价!G336-实时电价!G336</f>
        <v>-57.7752</v>
      </c>
      <c r="H336" s="7">
        <f>日前电价!H336-实时电价!H336</f>
        <v>-33.6952</v>
      </c>
      <c r="I336" s="7">
        <f>日前电价!I336-实时电价!I336</f>
        <v>-84.9977</v>
      </c>
      <c r="J336" s="7">
        <f>日前电价!J336-实时电价!J336</f>
        <v>-70.2054</v>
      </c>
      <c r="K336" s="7">
        <f>日前电价!K336-实时电价!K336</f>
        <v>-16.9459</v>
      </c>
      <c r="L336" s="7">
        <f>日前电价!L336-实时电价!L336</f>
        <v>18.612</v>
      </c>
      <c r="M336" s="7">
        <f>日前电价!M336-实时电价!M336</f>
        <v>-25.8846</v>
      </c>
      <c r="N336" s="7">
        <f>日前电价!N336-实时电价!N336</f>
        <v>33.1928</v>
      </c>
      <c r="O336" s="7">
        <f>日前电价!O336-实时电价!O336</f>
        <v>5.024</v>
      </c>
      <c r="P336" s="7">
        <f>日前电价!P336-实时电价!P336</f>
        <v>161.7237</v>
      </c>
      <c r="Q336" s="7">
        <f>日前电价!Q336-实时电价!Q336</f>
        <v>123.4048</v>
      </c>
      <c r="R336" s="7">
        <f>日前电价!R336-实时电价!R336</f>
        <v>37.2789</v>
      </c>
      <c r="S336" s="7">
        <f>日前电价!S336-实时电价!S336</f>
        <v>110.2799</v>
      </c>
      <c r="T336" s="7">
        <f>日前电价!T336-实时电价!T336</f>
        <v>163.681</v>
      </c>
      <c r="U336" s="7">
        <f>日前电价!U336-实时电价!U336</f>
        <v>343.0101</v>
      </c>
      <c r="V336" s="7">
        <f>日前电价!V336-实时电价!V336</f>
        <v>142.4052</v>
      </c>
      <c r="W336" s="7">
        <f>日前电价!W336-实时电价!W336</f>
        <v>98.3702</v>
      </c>
      <c r="X336" s="7">
        <f>日前电价!X336-实时电价!X336</f>
        <v>29.1684</v>
      </c>
      <c r="Y336" s="7">
        <f>日前电价!Y336-实时电价!Y336</f>
        <v>-37.3959</v>
      </c>
      <c r="Z336" s="9">
        <f t="shared" si="15"/>
        <v>343.0101</v>
      </c>
      <c r="AA336" s="9">
        <f t="shared" si="16"/>
        <v>-95.31</v>
      </c>
      <c r="AB336" s="9">
        <f t="shared" si="17"/>
        <v>24.6292208333333</v>
      </c>
    </row>
    <row r="337" spans="1:28">
      <c r="A337" s="8">
        <v>45627</v>
      </c>
      <c r="B337" s="7">
        <f>日前电价!B337-实时电价!B337</f>
        <v>-191.3134</v>
      </c>
      <c r="C337" s="7">
        <f>日前电价!C337-实时电价!C337</f>
        <v>61.7129</v>
      </c>
      <c r="D337" s="7">
        <f>日前电价!D337-实时电价!D337</f>
        <v>103.9322</v>
      </c>
      <c r="E337" s="7">
        <f>日前电价!E337-实时电价!E337</f>
        <v>43.6591</v>
      </c>
      <c r="F337" s="7">
        <f>日前电价!F337-实时电价!F337</f>
        <v>39.2614</v>
      </c>
      <c r="G337" s="7">
        <f>日前电价!G337-实时电价!G337</f>
        <v>45.7686</v>
      </c>
      <c r="H337" s="7">
        <f>日前电价!H337-实时电价!H337</f>
        <v>52.7937</v>
      </c>
      <c r="I337" s="7">
        <f>日前电价!I337-实时电价!I337</f>
        <v>35.6937</v>
      </c>
      <c r="J337" s="7">
        <f>日前电价!J337-实时电价!J337</f>
        <v>230.0043</v>
      </c>
      <c r="K337" s="7">
        <f>日前电价!K337-实时电价!K337</f>
        <v>285.57</v>
      </c>
      <c r="L337" s="7">
        <f>日前电价!L337-实时电价!L337</f>
        <v>3.175</v>
      </c>
      <c r="M337" s="7">
        <f>日前电价!M337-实时电价!M337</f>
        <v>-116.0189</v>
      </c>
      <c r="N337" s="7">
        <f>日前电价!N337-实时电价!N337</f>
        <v>-4.821</v>
      </c>
      <c r="O337" s="7">
        <f>日前电价!O337-实时电价!O337</f>
        <v>0.8916</v>
      </c>
      <c r="P337" s="7">
        <f>日前电价!P337-实时电价!P337</f>
        <v>0</v>
      </c>
      <c r="Q337" s="7">
        <f>日前电价!Q337-实时电价!Q337</f>
        <v>136.03</v>
      </c>
      <c r="R337" s="7">
        <f>日前电价!R337-实时电价!R337</f>
        <v>50.5012</v>
      </c>
      <c r="S337" s="7">
        <f>日前电价!S337-实时电价!S337</f>
        <v>34.7799</v>
      </c>
      <c r="T337" s="7">
        <f>日前电价!T337-实时电价!T337</f>
        <v>71.8742</v>
      </c>
      <c r="U337" s="7">
        <f>日前电价!U337-实时电价!U337</f>
        <v>54.904</v>
      </c>
      <c r="V337" s="7">
        <f>日前电价!V337-实时电价!V337</f>
        <v>10.0056</v>
      </c>
      <c r="W337" s="7">
        <f>日前电价!W337-实时电价!W337</f>
        <v>4.12299999999999</v>
      </c>
      <c r="X337" s="7">
        <f>日前电价!X337-实时电价!X337</f>
        <v>31.2486</v>
      </c>
      <c r="Y337" s="7">
        <f>日前电价!Y337-实时电价!Y337</f>
        <v>14.3212</v>
      </c>
      <c r="Z337" s="9">
        <f t="shared" si="15"/>
        <v>285.57</v>
      </c>
      <c r="AA337" s="9">
        <f t="shared" si="16"/>
        <v>-191.3134</v>
      </c>
      <c r="AB337" s="9">
        <f t="shared" si="17"/>
        <v>41.5873708333333</v>
      </c>
    </row>
    <row r="338" spans="1:28">
      <c r="A338" s="8">
        <v>45628</v>
      </c>
      <c r="B338" s="7">
        <f>日前电价!B338-实时电价!B338</f>
        <v>-8.01490000000001</v>
      </c>
      <c r="C338" s="7">
        <f>日前电价!C338-实时电价!C338</f>
        <v>10.2145</v>
      </c>
      <c r="D338" s="7">
        <f>日前电价!D338-实时电价!D338</f>
        <v>12.3666</v>
      </c>
      <c r="E338" s="7">
        <f>日前电价!E338-实时电价!E338</f>
        <v>33.2389</v>
      </c>
      <c r="F338" s="7">
        <f>日前电价!F338-实时电价!F338</f>
        <v>46.4247</v>
      </c>
      <c r="G338" s="7">
        <f>日前电价!G338-实时电价!G338</f>
        <v>38.2226</v>
      </c>
      <c r="H338" s="7">
        <f>日前电价!H338-实时电价!H338</f>
        <v>38.0608</v>
      </c>
      <c r="I338" s="7">
        <f>日前电价!I338-实时电价!I338</f>
        <v>-297.8374</v>
      </c>
      <c r="J338" s="7">
        <f>日前电价!J338-实时电价!J338</f>
        <v>-207.883</v>
      </c>
      <c r="K338" s="7">
        <f>日前电价!K338-实时电价!K338</f>
        <v>-55.6858999999999</v>
      </c>
      <c r="L338" s="7">
        <f>日前电价!L338-实时电价!L338</f>
        <v>-23.1894</v>
      </c>
      <c r="M338" s="7">
        <f>日前电价!M338-实时电价!M338</f>
        <v>28.2362</v>
      </c>
      <c r="N338" s="7">
        <f>日前电价!N338-实时电价!N338</f>
        <v>-41.7677</v>
      </c>
      <c r="O338" s="7">
        <f>日前电价!O338-实时电价!O338</f>
        <v>-122.9594</v>
      </c>
      <c r="P338" s="7">
        <f>日前电价!P338-实时电价!P338</f>
        <v>-17.8241</v>
      </c>
      <c r="Q338" s="7">
        <f>日前电价!Q338-实时电价!Q338</f>
        <v>-79.8117</v>
      </c>
      <c r="R338" s="7">
        <f>日前电价!R338-实时电价!R338</f>
        <v>-308.7462</v>
      </c>
      <c r="S338" s="7">
        <f>日前电价!S338-实时电价!S338</f>
        <v>-242.4893</v>
      </c>
      <c r="T338" s="7">
        <f>日前电价!T338-实时电价!T338</f>
        <v>-122.7151</v>
      </c>
      <c r="U338" s="7">
        <f>日前电价!U338-实时电价!U338</f>
        <v>-176.8074</v>
      </c>
      <c r="V338" s="7">
        <f>日前电价!V338-实时电价!V338</f>
        <v>-217.2988</v>
      </c>
      <c r="W338" s="7">
        <f>日前电价!W338-实时电价!W338</f>
        <v>-258.5408</v>
      </c>
      <c r="X338" s="7">
        <f>日前电价!X338-实时电价!X338</f>
        <v>-124.2882</v>
      </c>
      <c r="Y338" s="7">
        <f>日前电价!Y338-实时电价!Y338</f>
        <v>-20.1556</v>
      </c>
      <c r="Z338" s="9">
        <f t="shared" si="15"/>
        <v>46.4247</v>
      </c>
      <c r="AA338" s="9">
        <f t="shared" si="16"/>
        <v>-308.7462</v>
      </c>
      <c r="AB338" s="9">
        <f t="shared" si="17"/>
        <v>-88.3021083333334</v>
      </c>
    </row>
    <row r="339" spans="1:28">
      <c r="A339" s="8">
        <v>45629</v>
      </c>
      <c r="B339" s="7">
        <f>日前电价!B339-实时电价!B339</f>
        <v>-156.6365</v>
      </c>
      <c r="C339" s="7">
        <f>日前电价!C339-实时电价!C339</f>
        <v>-182.5884</v>
      </c>
      <c r="D339" s="7">
        <f>日前电价!D339-实时电价!D339</f>
        <v>-44.005</v>
      </c>
      <c r="E339" s="7">
        <f>日前电价!E339-实时电价!E339</f>
        <v>-18.7195</v>
      </c>
      <c r="F339" s="7">
        <f>日前电价!F339-实时电价!F339</f>
        <v>-18.2121</v>
      </c>
      <c r="G339" s="7">
        <f>日前电价!G339-实时电价!G339</f>
        <v>-39.5745</v>
      </c>
      <c r="H339" s="7">
        <f>日前电价!H339-实时电价!H339</f>
        <v>-441.4269</v>
      </c>
      <c r="I339" s="7">
        <f>日前电价!I339-实时电价!I339</f>
        <v>-352.7887</v>
      </c>
      <c r="J339" s="7">
        <f>日前电价!J339-实时电价!J339</f>
        <v>-440.3495</v>
      </c>
      <c r="K339" s="7">
        <f>日前电价!K339-实时电价!K339</f>
        <v>-130.9901</v>
      </c>
      <c r="L339" s="7">
        <f>日前电价!L339-实时电价!L339</f>
        <v>-23.2856</v>
      </c>
      <c r="M339" s="7">
        <f>日前电价!M339-实时电价!M339</f>
        <v>-52.9206</v>
      </c>
      <c r="N339" s="7">
        <f>日前电价!N339-实时电价!N339</f>
        <v>0</v>
      </c>
      <c r="O339" s="7">
        <f>日前电价!O339-实时电价!O339</f>
        <v>-66.4533</v>
      </c>
      <c r="P339" s="7">
        <f>日前电价!P339-实时电价!P339</f>
        <v>-30.7613</v>
      </c>
      <c r="Q339" s="7">
        <f>日前电价!Q339-实时电价!Q339</f>
        <v>-34.2113000000001</v>
      </c>
      <c r="R339" s="7">
        <f>日前电价!R339-实时电价!R339</f>
        <v>-156.2791</v>
      </c>
      <c r="S339" s="7">
        <f>日前电价!S339-实时电价!S339</f>
        <v>-187.7289</v>
      </c>
      <c r="T339" s="7">
        <f>日前电价!T339-实时电价!T339</f>
        <v>-299.9223</v>
      </c>
      <c r="U339" s="7">
        <f>日前电价!U339-实时电价!U339</f>
        <v>-156.2808</v>
      </c>
      <c r="V339" s="7">
        <f>日前电价!V339-实时电价!V339</f>
        <v>-235.5286</v>
      </c>
      <c r="W339" s="7">
        <f>日前电价!W339-实时电价!W339</f>
        <v>-58.938</v>
      </c>
      <c r="X339" s="7">
        <f>日前电价!X339-实时电价!X339</f>
        <v>-170.1081</v>
      </c>
      <c r="Y339" s="7">
        <f>日前电价!Y339-实时电价!Y339</f>
        <v>-5.97179999999997</v>
      </c>
      <c r="Z339" s="9">
        <f t="shared" si="15"/>
        <v>0</v>
      </c>
      <c r="AA339" s="9">
        <f t="shared" si="16"/>
        <v>-441.4269</v>
      </c>
      <c r="AB339" s="9">
        <f t="shared" si="17"/>
        <v>-137.653370833333</v>
      </c>
    </row>
    <row r="340" spans="1:28">
      <c r="A340" s="8">
        <v>45630</v>
      </c>
      <c r="B340" s="7">
        <f>日前电价!B340-实时电价!B340</f>
        <v>-124.2196</v>
      </c>
      <c r="C340" s="7">
        <f>日前电价!C340-实时电价!C340</f>
        <v>-124.6078</v>
      </c>
      <c r="D340" s="7">
        <f>日前电价!D340-实时电价!D340</f>
        <v>-193.4068</v>
      </c>
      <c r="E340" s="7">
        <f>日前电价!E340-实时电价!E340</f>
        <v>-44.5076</v>
      </c>
      <c r="F340" s="7">
        <f>日前电价!F340-实时电价!F340</f>
        <v>-56.8961</v>
      </c>
      <c r="G340" s="7">
        <f>日前电价!G340-实时电价!G340</f>
        <v>-10.6444</v>
      </c>
      <c r="H340" s="7">
        <f>日前电价!H340-实时电价!H340</f>
        <v>-104.0116</v>
      </c>
      <c r="I340" s="7">
        <f>日前电价!I340-实时电价!I340</f>
        <v>-190.8306</v>
      </c>
      <c r="J340" s="7">
        <f>日前电价!J340-实时电价!J340</f>
        <v>-297.5748</v>
      </c>
      <c r="K340" s="7">
        <f>日前电价!K340-实时电价!K340</f>
        <v>-181.1848</v>
      </c>
      <c r="L340" s="7">
        <f>日前电价!L340-实时电价!L340</f>
        <v>-48.3381</v>
      </c>
      <c r="M340" s="7">
        <f>日前电价!M340-实时电价!M340</f>
        <v>-9.33550000000002</v>
      </c>
      <c r="N340" s="7">
        <f>日前电价!N340-实时电价!N340</f>
        <v>-22.079</v>
      </c>
      <c r="O340" s="7">
        <f>日前电价!O340-实时电价!O340</f>
        <v>-41.7124</v>
      </c>
      <c r="P340" s="7">
        <f>日前电价!P340-实时电价!P340</f>
        <v>-48.1645</v>
      </c>
      <c r="Q340" s="7">
        <f>日前电价!Q340-实时电价!Q340</f>
        <v>-230.1467</v>
      </c>
      <c r="R340" s="7">
        <f>日前电价!R340-实时电价!R340</f>
        <v>-303.0923</v>
      </c>
      <c r="S340" s="7">
        <f>日前电价!S340-实时电价!S340</f>
        <v>-280.8726</v>
      </c>
      <c r="T340" s="7">
        <f>日前电价!T340-实时电价!T340</f>
        <v>-559.5163</v>
      </c>
      <c r="U340" s="7">
        <f>日前电价!U340-实时电价!U340</f>
        <v>-273.4184</v>
      </c>
      <c r="V340" s="7">
        <f>日前电价!V340-实时电价!V340</f>
        <v>-238.8332</v>
      </c>
      <c r="W340" s="7">
        <f>日前电价!W340-实时电价!W340</f>
        <v>-270.724</v>
      </c>
      <c r="X340" s="7">
        <f>日前电价!X340-实时电价!X340</f>
        <v>-68.8464</v>
      </c>
      <c r="Y340" s="7">
        <f>日前电价!Y340-实时电价!Y340</f>
        <v>-23.8522</v>
      </c>
      <c r="Z340" s="9">
        <f t="shared" si="15"/>
        <v>-9.33550000000002</v>
      </c>
      <c r="AA340" s="9">
        <f t="shared" si="16"/>
        <v>-559.5163</v>
      </c>
      <c r="AB340" s="9">
        <f t="shared" si="17"/>
        <v>-156.117320833333</v>
      </c>
    </row>
    <row r="341" spans="1:28">
      <c r="A341" s="8">
        <v>45631</v>
      </c>
      <c r="B341" s="7">
        <f>日前电价!B341-实时电价!B341</f>
        <v>-36.648</v>
      </c>
      <c r="C341" s="7">
        <f>日前电价!C341-实时电价!C341</f>
        <v>-12.9108</v>
      </c>
      <c r="D341" s="7">
        <f>日前电价!D341-实时电价!D341</f>
        <v>-15.6497</v>
      </c>
      <c r="E341" s="7">
        <f>日前电价!E341-实时电价!E341</f>
        <v>-4.87009999999998</v>
      </c>
      <c r="F341" s="7">
        <f>日前电价!F341-实时电价!F341</f>
        <v>0.621300000000019</v>
      </c>
      <c r="G341" s="7">
        <f>日前电价!G341-实时电价!G341</f>
        <v>-41.5996</v>
      </c>
      <c r="H341" s="7">
        <f>日前电价!H341-实时电价!H341</f>
        <v>23.6813</v>
      </c>
      <c r="I341" s="7">
        <f>日前电价!I341-实时电价!I341</f>
        <v>10.5007</v>
      </c>
      <c r="J341" s="7">
        <f>日前电价!J341-实时电价!J341</f>
        <v>-44.2655</v>
      </c>
      <c r="K341" s="7">
        <f>日前电价!K341-实时电价!K341</f>
        <v>-53.1243</v>
      </c>
      <c r="L341" s="7">
        <f>日前电价!L341-实时电价!L341</f>
        <v>-30.7185</v>
      </c>
      <c r="M341" s="7">
        <f>日前电价!M341-实时电价!M341</f>
        <v>-5.91409999999999</v>
      </c>
      <c r="N341" s="7">
        <f>日前电价!N341-实时电价!N341</f>
        <v>-9.0971</v>
      </c>
      <c r="O341" s="7">
        <f>日前电价!O341-实时电价!O341</f>
        <v>-54.6148</v>
      </c>
      <c r="P341" s="7">
        <f>日前电价!P341-实时电价!P341</f>
        <v>-28.366</v>
      </c>
      <c r="Q341" s="7">
        <f>日前电价!Q341-实时电价!Q341</f>
        <v>-36.7738</v>
      </c>
      <c r="R341" s="7">
        <f>日前电价!R341-实时电价!R341</f>
        <v>-79.9949</v>
      </c>
      <c r="S341" s="7">
        <f>日前电价!S341-实时电价!S341</f>
        <v>-27.6678</v>
      </c>
      <c r="T341" s="7">
        <f>日前电价!T341-实时电价!T341</f>
        <v>-27.9077</v>
      </c>
      <c r="U341" s="7">
        <f>日前电价!U341-实时电价!U341</f>
        <v>-30.4735</v>
      </c>
      <c r="V341" s="7">
        <f>日前电价!V341-实时电价!V341</f>
        <v>-26.6375</v>
      </c>
      <c r="W341" s="7">
        <f>日前电价!W341-实时电价!W341</f>
        <v>-25.0596</v>
      </c>
      <c r="X341" s="7">
        <f>日前电价!X341-实时电价!X341</f>
        <v>-12.7664</v>
      </c>
      <c r="Y341" s="7">
        <f>日前电价!Y341-实时电价!Y341</f>
        <v>-11.6584</v>
      </c>
      <c r="Z341" s="9">
        <f t="shared" si="15"/>
        <v>23.6813</v>
      </c>
      <c r="AA341" s="9">
        <f t="shared" si="16"/>
        <v>-79.9949</v>
      </c>
      <c r="AB341" s="9">
        <f t="shared" si="17"/>
        <v>-24.24645</v>
      </c>
    </row>
    <row r="342" spans="1:28">
      <c r="A342" s="8">
        <v>45632</v>
      </c>
      <c r="B342" s="7">
        <f>日前电价!B342-实时电价!B342</f>
        <v>-38.0426</v>
      </c>
      <c r="C342" s="7">
        <f>日前电价!C342-实时电价!C342</f>
        <v>-26.5612</v>
      </c>
      <c r="D342" s="7">
        <f>日前电价!D342-实时电价!D342</f>
        <v>-10.8836</v>
      </c>
      <c r="E342" s="7">
        <f>日前电价!E342-实时电价!E342</f>
        <v>-22.2489</v>
      </c>
      <c r="F342" s="7">
        <f>日前电价!F342-实时电价!F342</f>
        <v>-22.2766</v>
      </c>
      <c r="G342" s="7">
        <f>日前电价!G342-实时电价!G342</f>
        <v>-4.83979999999997</v>
      </c>
      <c r="H342" s="7">
        <f>日前电价!H342-实时电价!H342</f>
        <v>-5.85070000000002</v>
      </c>
      <c r="I342" s="7">
        <f>日前电价!I342-实时电价!I342</f>
        <v>-24.5557</v>
      </c>
      <c r="J342" s="7">
        <f>日前电价!J342-实时电价!J342</f>
        <v>-315.1728</v>
      </c>
      <c r="K342" s="7">
        <f>日前电价!K342-实时电价!K342</f>
        <v>-230.1991</v>
      </c>
      <c r="L342" s="7">
        <f>日前电价!L342-实时电价!L342</f>
        <v>-83.4576</v>
      </c>
      <c r="M342" s="7">
        <f>日前电价!M342-实时电价!M342</f>
        <v>-63.7663</v>
      </c>
      <c r="N342" s="7">
        <f>日前电价!N342-实时电价!N342</f>
        <v>-10.7001</v>
      </c>
      <c r="O342" s="7">
        <f>日前电价!O342-实时电价!O342</f>
        <v>-42.9392</v>
      </c>
      <c r="P342" s="7">
        <f>日前电价!P342-实时电价!P342</f>
        <v>-36.7005</v>
      </c>
      <c r="Q342" s="7">
        <f>日前电价!Q342-实时电价!Q342</f>
        <v>-37.6513</v>
      </c>
      <c r="R342" s="7">
        <f>日前电价!R342-实时电价!R342</f>
        <v>-215.2852</v>
      </c>
      <c r="S342" s="7">
        <f>日前电价!S342-实时电价!S342</f>
        <v>-123.1569</v>
      </c>
      <c r="T342" s="7">
        <f>日前电价!T342-实时电价!T342</f>
        <v>-247.1522</v>
      </c>
      <c r="U342" s="7">
        <f>日前电价!U342-实时电价!U342</f>
        <v>-219.6214</v>
      </c>
      <c r="V342" s="7">
        <f>日前电价!V342-实时电价!V342</f>
        <v>-172.3566</v>
      </c>
      <c r="W342" s="7">
        <f>日前电价!W342-实时电价!W342</f>
        <v>-120.5849</v>
      </c>
      <c r="X342" s="7">
        <f>日前电价!X342-实时电价!X342</f>
        <v>-99.8278</v>
      </c>
      <c r="Y342" s="7">
        <f>日前电价!Y342-实时电价!Y342</f>
        <v>-42.5994</v>
      </c>
      <c r="Z342" s="9">
        <f t="shared" si="15"/>
        <v>-4.83979999999997</v>
      </c>
      <c r="AA342" s="9">
        <f t="shared" si="16"/>
        <v>-315.1728</v>
      </c>
      <c r="AB342" s="9">
        <f t="shared" si="17"/>
        <v>-92.3512666666667</v>
      </c>
    </row>
    <row r="343" spans="1:28">
      <c r="A343" s="8">
        <v>45633</v>
      </c>
      <c r="B343" s="7">
        <f>日前电价!B343-实时电价!B343</f>
        <v>-154.251</v>
      </c>
      <c r="C343" s="7">
        <f>日前电价!C343-实时电价!C343</f>
        <v>-75.5429</v>
      </c>
      <c r="D343" s="7">
        <f>日前电价!D343-实时电价!D343</f>
        <v>-38.6262</v>
      </c>
      <c r="E343" s="7">
        <f>日前电价!E343-实时电价!E343</f>
        <v>-10.8301</v>
      </c>
      <c r="F343" s="7">
        <f>日前电价!F343-实时电价!F343</f>
        <v>20.7881</v>
      </c>
      <c r="G343" s="7">
        <f>日前电价!G343-实时电价!G343</f>
        <v>56.012</v>
      </c>
      <c r="H343" s="7">
        <f>日前电价!H343-实时电价!H343</f>
        <v>1.19479999999999</v>
      </c>
      <c r="I343" s="7">
        <f>日前电价!I343-实时电价!I343</f>
        <v>-42.9053</v>
      </c>
      <c r="J343" s="7">
        <f>日前电价!J343-实时电价!J343</f>
        <v>-148.2813</v>
      </c>
      <c r="K343" s="7">
        <f>日前电价!K343-实时电价!K343</f>
        <v>42.4321</v>
      </c>
      <c r="L343" s="7">
        <f>日前电价!L343-实时电价!L343</f>
        <v>26.1239</v>
      </c>
      <c r="M343" s="7">
        <f>日前电价!M343-实时电价!M343</f>
        <v>64.9568</v>
      </c>
      <c r="N343" s="7">
        <f>日前电价!N343-实时电价!N343</f>
        <v>97.8577</v>
      </c>
      <c r="O343" s="7">
        <f>日前电价!O343-实时电价!O343</f>
        <v>-13.8842</v>
      </c>
      <c r="P343" s="7">
        <f>日前电价!P343-实时电价!P343</f>
        <v>-43.2492</v>
      </c>
      <c r="Q343" s="7">
        <f>日前电价!Q343-实时电价!Q343</f>
        <v>-41.1714</v>
      </c>
      <c r="R343" s="7">
        <f>日前电价!R343-实时电价!R343</f>
        <v>-156.5528</v>
      </c>
      <c r="S343" s="7">
        <f>日前电价!S343-实时电价!S343</f>
        <v>-86.8636</v>
      </c>
      <c r="T343" s="7">
        <f>日前电价!T343-实时电价!T343</f>
        <v>-48.821</v>
      </c>
      <c r="U343" s="7">
        <f>日前电价!U343-实时电价!U343</f>
        <v>-43.2979</v>
      </c>
      <c r="V343" s="7">
        <f>日前电价!V343-实时电价!V343</f>
        <v>-39.2128</v>
      </c>
      <c r="W343" s="7">
        <f>日前电价!W343-实时电价!W343</f>
        <v>1.75729999999999</v>
      </c>
      <c r="X343" s="7">
        <f>日前电价!X343-实时电价!X343</f>
        <v>16.3967</v>
      </c>
      <c r="Y343" s="7">
        <f>日前电价!Y343-实时电价!Y343</f>
        <v>20.2756</v>
      </c>
      <c r="Z343" s="9">
        <f t="shared" si="15"/>
        <v>97.8577</v>
      </c>
      <c r="AA343" s="9">
        <f t="shared" si="16"/>
        <v>-156.5528</v>
      </c>
      <c r="AB343" s="9">
        <f t="shared" si="17"/>
        <v>-24.8206125</v>
      </c>
    </row>
    <row r="344" spans="1:28">
      <c r="A344" s="8">
        <v>45634</v>
      </c>
      <c r="B344" s="7">
        <f>日前电价!B344-实时电价!B344</f>
        <v>-304.9727</v>
      </c>
      <c r="C344" s="7">
        <f>日前电价!C344-实时电价!C344</f>
        <v>-228.7126</v>
      </c>
      <c r="D344" s="7">
        <f>日前电价!D344-实时电价!D344</f>
        <v>-106.8944</v>
      </c>
      <c r="E344" s="7">
        <f>日前电价!E344-实时电价!E344</f>
        <v>-21.0587</v>
      </c>
      <c r="F344" s="7">
        <f>日前电价!F344-实时电价!F344</f>
        <v>-135.707</v>
      </c>
      <c r="G344" s="7">
        <f>日前电价!G344-实时电价!G344</f>
        <v>-104.4649</v>
      </c>
      <c r="H344" s="7">
        <f>日前电价!H344-实时电价!H344</f>
        <v>-77.5053</v>
      </c>
      <c r="I344" s="7">
        <f>日前电价!I344-实时电价!I344</f>
        <v>-127.7235</v>
      </c>
      <c r="J344" s="7">
        <f>日前电价!J344-实时电价!J344</f>
        <v>-160.4623</v>
      </c>
      <c r="K344" s="7">
        <f>日前电价!K344-实时电价!K344</f>
        <v>-101.6892</v>
      </c>
      <c r="L344" s="7">
        <f>日前电价!L344-实时电价!L344</f>
        <v>-89.4337</v>
      </c>
      <c r="M344" s="7">
        <f>日前电价!M344-实时电价!M344</f>
        <v>-101.3628</v>
      </c>
      <c r="N344" s="7">
        <f>日前电价!N344-实时电价!N344</f>
        <v>-45.9287</v>
      </c>
      <c r="O344" s="7">
        <f>日前电价!O344-实时电价!O344</f>
        <v>-97.419</v>
      </c>
      <c r="P344" s="7">
        <f>日前电价!P344-实时电价!P344</f>
        <v>-167.6748</v>
      </c>
      <c r="Q344" s="7">
        <f>日前电价!Q344-实时电价!Q344</f>
        <v>-34.7722</v>
      </c>
      <c r="R344" s="7">
        <f>日前电价!R344-实时电价!R344</f>
        <v>-65.5733</v>
      </c>
      <c r="S344" s="7">
        <f>日前电价!S344-实时电价!S344</f>
        <v>-61.7288</v>
      </c>
      <c r="T344" s="7">
        <f>日前电价!T344-实时电价!T344</f>
        <v>-41.1107</v>
      </c>
      <c r="U344" s="7">
        <f>日前电价!U344-实时电价!U344</f>
        <v>-41.337</v>
      </c>
      <c r="V344" s="7">
        <f>日前电价!V344-实时电价!V344</f>
        <v>-47.0294</v>
      </c>
      <c r="W344" s="7">
        <f>日前电价!W344-实时电价!W344</f>
        <v>-31.0186</v>
      </c>
      <c r="X344" s="7">
        <f>日前电价!X344-实时电价!X344</f>
        <v>-28.0983</v>
      </c>
      <c r="Y344" s="7">
        <f>日前电价!Y344-实时电价!Y344</f>
        <v>-48.9924</v>
      </c>
      <c r="Z344" s="9">
        <f t="shared" si="15"/>
        <v>-21.0587</v>
      </c>
      <c r="AA344" s="9">
        <f t="shared" si="16"/>
        <v>-304.9727</v>
      </c>
      <c r="AB344" s="9">
        <f t="shared" si="17"/>
        <v>-94.6112625</v>
      </c>
    </row>
    <row r="345" spans="1:28">
      <c r="A345" s="8">
        <v>45635</v>
      </c>
      <c r="B345" s="7">
        <f>日前电价!B345-实时电价!B345</f>
        <v>-137.9007</v>
      </c>
      <c r="C345" s="7">
        <f>日前电价!C345-实时电价!C345</f>
        <v>-9.01890000000003</v>
      </c>
      <c r="D345" s="7">
        <f>日前电价!D345-实时电价!D345</f>
        <v>1.20549999999997</v>
      </c>
      <c r="E345" s="7">
        <f>日前电价!E345-实时电价!E345</f>
        <v>-0.734199999999987</v>
      </c>
      <c r="F345" s="7">
        <f>日前电价!F345-实时电价!F345</f>
        <v>-27.5232</v>
      </c>
      <c r="G345" s="7">
        <f>日前电价!G345-实时电价!G345</f>
        <v>-31.046</v>
      </c>
      <c r="H345" s="7">
        <f>日前电价!H345-实时电价!H345</f>
        <v>-39.6182</v>
      </c>
      <c r="I345" s="7">
        <f>日前电价!I345-实时电价!I345</f>
        <v>-68.7147</v>
      </c>
      <c r="J345" s="7">
        <f>日前电价!J345-实时电价!J345</f>
        <v>-478.2104</v>
      </c>
      <c r="K345" s="7">
        <f>日前电价!K345-实时电价!K345</f>
        <v>-345.766</v>
      </c>
      <c r="L345" s="7">
        <f>日前电价!L345-实时电价!L345</f>
        <v>-349.8469</v>
      </c>
      <c r="M345" s="7">
        <f>日前电价!M345-实时电价!M345</f>
        <v>-27.19</v>
      </c>
      <c r="N345" s="7">
        <f>日前电价!N345-实时电价!N345</f>
        <v>-42.2195</v>
      </c>
      <c r="O345" s="7">
        <f>日前电价!O345-实时电价!O345</f>
        <v>-68.6545</v>
      </c>
      <c r="P345" s="7">
        <f>日前电价!P345-实时电价!P345</f>
        <v>-38.1081</v>
      </c>
      <c r="Q345" s="7">
        <f>日前电价!Q345-实时电价!Q345</f>
        <v>-46.7169</v>
      </c>
      <c r="R345" s="7">
        <f>日前电价!R345-实时电价!R345</f>
        <v>-59.7662</v>
      </c>
      <c r="S345" s="7">
        <f>日前电价!S345-实时电价!S345</f>
        <v>-144.2653</v>
      </c>
      <c r="T345" s="7">
        <f>日前电价!T345-实时电价!T345</f>
        <v>-181.5381</v>
      </c>
      <c r="U345" s="7">
        <f>日前电价!U345-实时电价!U345</f>
        <v>-127.0091</v>
      </c>
      <c r="V345" s="7">
        <f>日前电价!V345-实时电价!V345</f>
        <v>-206.2764</v>
      </c>
      <c r="W345" s="7">
        <f>日前电价!W345-实时电价!W345</f>
        <v>-110.2977</v>
      </c>
      <c r="X345" s="7">
        <f>日前电价!X345-实时电价!X345</f>
        <v>-33.5879</v>
      </c>
      <c r="Y345" s="7">
        <f>日前电价!Y345-实时电价!Y345</f>
        <v>-13.6853</v>
      </c>
      <c r="Z345" s="9">
        <f t="shared" si="15"/>
        <v>1.20549999999997</v>
      </c>
      <c r="AA345" s="9">
        <f t="shared" si="16"/>
        <v>-478.2104</v>
      </c>
      <c r="AB345" s="9">
        <f t="shared" si="17"/>
        <v>-107.7703625</v>
      </c>
    </row>
    <row r="346" spans="1:28">
      <c r="A346" s="8">
        <v>45636</v>
      </c>
      <c r="B346" s="7">
        <f>日前电价!B346-实时电价!B346</f>
        <v>93.6906</v>
      </c>
      <c r="C346" s="7">
        <f>日前电价!C346-实时电价!C346</f>
        <v>38.2064</v>
      </c>
      <c r="D346" s="7">
        <f>日前电价!D346-实时电价!D346</f>
        <v>79.3441</v>
      </c>
      <c r="E346" s="7">
        <f>日前电价!E346-实时电价!E346</f>
        <v>63.3611</v>
      </c>
      <c r="F346" s="7">
        <f>日前电价!F346-实时电价!F346</f>
        <v>27.5095</v>
      </c>
      <c r="G346" s="7">
        <f>日前电价!G346-实时电价!G346</f>
        <v>5.8503</v>
      </c>
      <c r="H346" s="7">
        <f>日前电价!H346-实时电价!H346</f>
        <v>-111.6804</v>
      </c>
      <c r="I346" s="7">
        <f>日前电价!I346-实时电价!I346</f>
        <v>-9.56400000000002</v>
      </c>
      <c r="J346" s="7">
        <f>日前电价!J346-实时电价!J346</f>
        <v>-95.9666</v>
      </c>
      <c r="K346" s="7">
        <f>日前电价!K346-实时电价!K346</f>
        <v>16.2162</v>
      </c>
      <c r="L346" s="7">
        <f>日前电价!L346-实时电价!L346</f>
        <v>46.3473</v>
      </c>
      <c r="M346" s="7">
        <f>日前电价!M346-实时电价!M346</f>
        <v>47.3831</v>
      </c>
      <c r="N346" s="7">
        <f>日前电价!N346-实时电价!N346</f>
        <v>209.2324</v>
      </c>
      <c r="O346" s="7">
        <f>日前电价!O346-实时电价!O346</f>
        <v>82.2742</v>
      </c>
      <c r="P346" s="7">
        <f>日前电价!P346-实时电价!P346</f>
        <v>8.83260000000001</v>
      </c>
      <c r="Q346" s="7">
        <f>日前电价!Q346-实时电价!Q346</f>
        <v>28.4829</v>
      </c>
      <c r="R346" s="7">
        <f>日前电价!R346-实时电价!R346</f>
        <v>33.7791</v>
      </c>
      <c r="S346" s="7">
        <f>日前电价!S346-实时电价!S346</f>
        <v>44.453</v>
      </c>
      <c r="T346" s="7">
        <f>日前电价!T346-实时电价!T346</f>
        <v>30.5193</v>
      </c>
      <c r="U346" s="7">
        <f>日前电价!U346-实时电价!U346</f>
        <v>48.6339</v>
      </c>
      <c r="V346" s="7">
        <f>日前电价!V346-实时电价!V346</f>
        <v>-5.49779999999998</v>
      </c>
      <c r="W346" s="7">
        <f>日前电价!W346-实时电价!W346</f>
        <v>-19.6351</v>
      </c>
      <c r="X346" s="7">
        <f>日前电价!X346-实时电价!X346</f>
        <v>10.7016</v>
      </c>
      <c r="Y346" s="7">
        <f>日前电价!Y346-实时电价!Y346</f>
        <v>8.53530000000001</v>
      </c>
      <c r="Z346" s="9">
        <f t="shared" si="15"/>
        <v>209.2324</v>
      </c>
      <c r="AA346" s="9">
        <f t="shared" si="16"/>
        <v>-111.6804</v>
      </c>
      <c r="AB346" s="9">
        <f t="shared" si="17"/>
        <v>28.375375</v>
      </c>
    </row>
    <row r="347" spans="1:28">
      <c r="A347" s="8">
        <v>45637</v>
      </c>
      <c r="B347" s="7">
        <f>日前电价!B347-实时电价!B347</f>
        <v>-20.533</v>
      </c>
      <c r="C347" s="7">
        <f>日前电价!C347-实时电价!C347</f>
        <v>10.6618</v>
      </c>
      <c r="D347" s="7">
        <f>日前电价!D347-实时电价!D347</f>
        <v>34.1019</v>
      </c>
      <c r="E347" s="7">
        <f>日前电价!E347-实时电价!E347</f>
        <v>2.74110000000002</v>
      </c>
      <c r="F347" s="7">
        <f>日前电价!F347-实时电价!F347</f>
        <v>0.412000000000035</v>
      </c>
      <c r="G347" s="7">
        <f>日前电价!G347-实时电价!G347</f>
        <v>-5.46460000000002</v>
      </c>
      <c r="H347" s="7">
        <f>日前电价!H347-实时电价!H347</f>
        <v>-104.8952</v>
      </c>
      <c r="I347" s="7">
        <f>日前电价!I347-实时电价!I347</f>
        <v>-107.0552</v>
      </c>
      <c r="J347" s="7">
        <f>日前电价!J347-实时电价!J347</f>
        <v>-111.6474</v>
      </c>
      <c r="K347" s="7">
        <f>日前电价!K347-实时电价!K347</f>
        <v>-239.8835</v>
      </c>
      <c r="L347" s="7">
        <f>日前电价!L347-实时电价!L347</f>
        <v>-201.3791</v>
      </c>
      <c r="M347" s="7">
        <f>日前电价!M347-实时电价!M347</f>
        <v>-124.692</v>
      </c>
      <c r="N347" s="7">
        <f>日前电价!N347-实时电价!N347</f>
        <v>32.7462</v>
      </c>
      <c r="O347" s="7">
        <f>日前电价!O347-实时电价!O347</f>
        <v>-88.9934</v>
      </c>
      <c r="P347" s="7">
        <f>日前电价!P347-实时电价!P347</f>
        <v>-100.6286</v>
      </c>
      <c r="Q347" s="7">
        <f>日前电价!Q347-实时电价!Q347</f>
        <v>-98.2368</v>
      </c>
      <c r="R347" s="7">
        <f>日前电价!R347-实时电价!R347</f>
        <v>-104.9451</v>
      </c>
      <c r="S347" s="7">
        <f>日前电价!S347-实时电价!S347</f>
        <v>0.233299999999986</v>
      </c>
      <c r="T347" s="7">
        <f>日前电价!T347-实时电价!T347</f>
        <v>-12.8492</v>
      </c>
      <c r="U347" s="7">
        <f>日前电价!U347-实时电价!U347</f>
        <v>-11.1186</v>
      </c>
      <c r="V347" s="7">
        <f>日前电价!V347-实时电价!V347</f>
        <v>1.90289999999999</v>
      </c>
      <c r="W347" s="7">
        <f>日前电价!W347-实时电价!W347</f>
        <v>-16.6486</v>
      </c>
      <c r="X347" s="7">
        <f>日前电价!X347-实时电价!X347</f>
        <v>56.5608</v>
      </c>
      <c r="Y347" s="7">
        <f>日前电价!Y347-实时电价!Y347</f>
        <v>13.33</v>
      </c>
      <c r="Z347" s="9">
        <f t="shared" si="15"/>
        <v>56.5608</v>
      </c>
      <c r="AA347" s="9">
        <f t="shared" si="16"/>
        <v>-239.8835</v>
      </c>
      <c r="AB347" s="9">
        <f t="shared" si="17"/>
        <v>-49.8450125</v>
      </c>
    </row>
    <row r="348" spans="1:28">
      <c r="A348" s="8">
        <v>45638</v>
      </c>
      <c r="B348" s="7">
        <f>日前电价!B348-实时电价!B348</f>
        <v>-149.0065</v>
      </c>
      <c r="C348" s="7">
        <f>日前电价!C348-实时电价!C348</f>
        <v>11.2473</v>
      </c>
      <c r="D348" s="7">
        <f>日前电价!D348-实时电价!D348</f>
        <v>18.2701</v>
      </c>
      <c r="E348" s="7">
        <f>日前电价!E348-实时电价!E348</f>
        <v>21.1587</v>
      </c>
      <c r="F348" s="7">
        <f>日前电价!F348-实时电价!F348</f>
        <v>32.1385</v>
      </c>
      <c r="G348" s="7">
        <f>日前电价!G348-实时电价!G348</f>
        <v>27.3795</v>
      </c>
      <c r="H348" s="7">
        <f>日前电价!H348-实时电价!H348</f>
        <v>36.1048</v>
      </c>
      <c r="I348" s="7">
        <f>日前电价!I348-实时电价!I348</f>
        <v>2.66089999999997</v>
      </c>
      <c r="J348" s="7">
        <f>日前电价!J348-实时电价!J348</f>
        <v>-53.1275</v>
      </c>
      <c r="K348" s="7">
        <f>日前电价!K348-实时电价!K348</f>
        <v>-40.9344</v>
      </c>
      <c r="L348" s="7">
        <f>日前电价!L348-实时电价!L348</f>
        <v>-38.4071</v>
      </c>
      <c r="M348" s="7">
        <f>日前电价!M348-实时电价!M348</f>
        <v>1.72229999999996</v>
      </c>
      <c r="N348" s="7">
        <f>日前电价!N348-实时电价!N348</f>
        <v>-24.4091</v>
      </c>
      <c r="O348" s="7">
        <f>日前电价!O348-实时电价!O348</f>
        <v>-103.236</v>
      </c>
      <c r="P348" s="7">
        <f>日前电价!P348-实时电价!P348</f>
        <v>-65.5343</v>
      </c>
      <c r="Q348" s="7">
        <f>日前电价!Q348-实时电价!Q348</f>
        <v>-74.6669</v>
      </c>
      <c r="R348" s="7">
        <f>日前电价!R348-实时电价!R348</f>
        <v>-96.9582</v>
      </c>
      <c r="S348" s="7">
        <f>日前电价!S348-实时电价!S348</f>
        <v>-33.5062</v>
      </c>
      <c r="T348" s="7">
        <f>日前电价!T348-实时电价!T348</f>
        <v>0.539199999999994</v>
      </c>
      <c r="U348" s="7">
        <f>日前电价!U348-实时电价!U348</f>
        <v>19.6169</v>
      </c>
      <c r="V348" s="7">
        <f>日前电价!V348-实时电价!V348</f>
        <v>-17.5765</v>
      </c>
      <c r="W348" s="7">
        <f>日前电价!W348-实时电价!W348</f>
        <v>-56.9483</v>
      </c>
      <c r="X348" s="7">
        <f>日前电价!X348-实时电价!X348</f>
        <v>-8.74459999999999</v>
      </c>
      <c r="Y348" s="7">
        <f>日前电价!Y348-实时电价!Y348</f>
        <v>-6.18380000000002</v>
      </c>
      <c r="Z348" s="9">
        <f t="shared" si="15"/>
        <v>36.1048</v>
      </c>
      <c r="AA348" s="9">
        <f t="shared" si="16"/>
        <v>-149.0065</v>
      </c>
      <c r="AB348" s="9">
        <f t="shared" si="17"/>
        <v>-24.9333833333333</v>
      </c>
    </row>
    <row r="349" spans="1:28">
      <c r="A349" s="8">
        <v>45639</v>
      </c>
      <c r="B349" s="7">
        <f>日前电价!B349-实时电价!B349</f>
        <v>-150.2247</v>
      </c>
      <c r="C349" s="7">
        <f>日前电价!C349-实时电价!C349</f>
        <v>-16.6292</v>
      </c>
      <c r="D349" s="7">
        <f>日前电价!D349-实时电价!D349</f>
        <v>-6.20460000000003</v>
      </c>
      <c r="E349" s="7">
        <f>日前电价!E349-实时电价!E349</f>
        <v>-6.88530000000003</v>
      </c>
      <c r="F349" s="7">
        <f>日前电价!F349-实时电价!F349</f>
        <v>-7.30010000000004</v>
      </c>
      <c r="G349" s="7">
        <f>日前电价!G349-实时电价!G349</f>
        <v>-16.8993</v>
      </c>
      <c r="H349" s="7">
        <f>日前电价!H349-实时电价!H349</f>
        <v>-29.825</v>
      </c>
      <c r="I349" s="7">
        <f>日前电价!I349-实时电价!I349</f>
        <v>-27.0317</v>
      </c>
      <c r="J349" s="7">
        <f>日前电价!J349-实时电价!J349</f>
        <v>-190.1147</v>
      </c>
      <c r="K349" s="7">
        <f>日前电价!K349-实时电价!K349</f>
        <v>20.0198</v>
      </c>
      <c r="L349" s="7">
        <f>日前电价!L349-实时电价!L349</f>
        <v>56.2991</v>
      </c>
      <c r="M349" s="7">
        <f>日前电价!M349-实时电价!M349</f>
        <v>83.2264</v>
      </c>
      <c r="N349" s="7">
        <f>日前电价!N349-实时电价!N349</f>
        <v>96.6117</v>
      </c>
      <c r="O349" s="7">
        <f>日前电价!O349-实时电价!O349</f>
        <v>89.9519</v>
      </c>
      <c r="P349" s="7">
        <f>日前电价!P349-实时电价!P349</f>
        <v>25.8003</v>
      </c>
      <c r="Q349" s="7">
        <f>日前电价!Q349-实时电价!Q349</f>
        <v>-6.7944</v>
      </c>
      <c r="R349" s="7">
        <f>日前电价!R349-实时电价!R349</f>
        <v>-9.29379999999998</v>
      </c>
      <c r="S349" s="7">
        <f>日前电价!S349-实时电价!S349</f>
        <v>-5.23289999999997</v>
      </c>
      <c r="T349" s="7">
        <f>日前电价!T349-实时电价!T349</f>
        <v>-17.747</v>
      </c>
      <c r="U349" s="7">
        <f>日前电价!U349-实时电价!U349</f>
        <v>-7.24020000000002</v>
      </c>
      <c r="V349" s="7">
        <f>日前电价!V349-实时电价!V349</f>
        <v>-25.4001</v>
      </c>
      <c r="W349" s="7">
        <f>日前电价!W349-实时电价!W349</f>
        <v>-52.0348</v>
      </c>
      <c r="X349" s="7">
        <f>日前电价!X349-实时电价!X349</f>
        <v>-85.8595</v>
      </c>
      <c r="Y349" s="7">
        <f>日前电价!Y349-实时电价!Y349</f>
        <v>-23.6093</v>
      </c>
      <c r="Z349" s="9">
        <f t="shared" si="15"/>
        <v>96.6117</v>
      </c>
      <c r="AA349" s="9">
        <f t="shared" si="16"/>
        <v>-190.1147</v>
      </c>
      <c r="AB349" s="9">
        <f t="shared" si="17"/>
        <v>-13.0173916666667</v>
      </c>
    </row>
    <row r="350" spans="1:28">
      <c r="A350" s="8">
        <v>45640</v>
      </c>
      <c r="B350" s="7">
        <f>日前电价!B350-实时电价!B350</f>
        <v>-13.6071</v>
      </c>
      <c r="C350" s="7">
        <f>日前电价!C350-实时电价!C350</f>
        <v>-0.677599999999984</v>
      </c>
      <c r="D350" s="7">
        <f>日前电价!D350-实时电价!D350</f>
        <v>-21.3798</v>
      </c>
      <c r="E350" s="7">
        <f>日前电价!E350-实时电价!E350</f>
        <v>-10.1089</v>
      </c>
      <c r="F350" s="7">
        <f>日前电价!F350-实时电价!F350</f>
        <v>7.20009999999999</v>
      </c>
      <c r="G350" s="7">
        <f>日前电价!G350-实时电价!G350</f>
        <v>29.6864</v>
      </c>
      <c r="H350" s="7">
        <f>日前电价!H350-实时电价!H350</f>
        <v>-19.4901</v>
      </c>
      <c r="I350" s="7">
        <f>日前电价!I350-实时电价!I350</f>
        <v>-37.949</v>
      </c>
      <c r="J350" s="7">
        <f>日前电价!J350-实时电价!J350</f>
        <v>-41.3824</v>
      </c>
      <c r="K350" s="7">
        <f>日前电价!K350-实时电价!K350</f>
        <v>-10.8858</v>
      </c>
      <c r="L350" s="7">
        <f>日前电价!L350-实时电价!L350</f>
        <v>-21.6646</v>
      </c>
      <c r="M350" s="7">
        <f>日前电价!M350-实时电价!M350</f>
        <v>1.7654</v>
      </c>
      <c r="N350" s="7">
        <f>日前电价!N350-实时电价!N350</f>
        <v>65.5099</v>
      </c>
      <c r="O350" s="7">
        <f>日前电价!O350-实时电价!O350</f>
        <v>-58.5589</v>
      </c>
      <c r="P350" s="7">
        <f>日前电价!P350-实时电价!P350</f>
        <v>-38.8106</v>
      </c>
      <c r="Q350" s="7">
        <f>日前电价!Q350-实时电价!Q350</f>
        <v>-32.966</v>
      </c>
      <c r="R350" s="7">
        <f>日前电价!R350-实时电价!R350</f>
        <v>-33.2883</v>
      </c>
      <c r="S350" s="7">
        <f>日前电价!S350-实时电价!S350</f>
        <v>-20.6281</v>
      </c>
      <c r="T350" s="7">
        <f>日前电价!T350-实时电价!T350</f>
        <v>-15.8111</v>
      </c>
      <c r="U350" s="7">
        <f>日前电价!U350-实时电价!U350</f>
        <v>-17.0252</v>
      </c>
      <c r="V350" s="7">
        <f>日前电价!V350-实时电价!V350</f>
        <v>-11.3812</v>
      </c>
      <c r="W350" s="7">
        <f>日前电价!W350-实时电价!W350</f>
        <v>-25.4901</v>
      </c>
      <c r="X350" s="7">
        <f>日前电价!X350-实时电价!X350</f>
        <v>-30.6267</v>
      </c>
      <c r="Y350" s="7">
        <f>日前电价!Y350-实时电价!Y350</f>
        <v>-19.3039</v>
      </c>
      <c r="Z350" s="9">
        <f t="shared" si="15"/>
        <v>65.5099</v>
      </c>
      <c r="AA350" s="9">
        <f t="shared" si="16"/>
        <v>-58.5589</v>
      </c>
      <c r="AB350" s="9">
        <f t="shared" si="17"/>
        <v>-15.7030666666667</v>
      </c>
    </row>
    <row r="351" spans="1:28">
      <c r="A351" s="8">
        <v>45641</v>
      </c>
      <c r="B351" s="7">
        <f>日前电价!B351-实时电价!B351</f>
        <v>-15.6707</v>
      </c>
      <c r="C351" s="7">
        <f>日前电价!C351-实时电价!C351</f>
        <v>7.99499999999995</v>
      </c>
      <c r="D351" s="7">
        <f>日前电价!D351-实时电价!D351</f>
        <v>-7.48689999999999</v>
      </c>
      <c r="E351" s="7">
        <f>日前电价!E351-实时电价!E351</f>
        <v>-15.882</v>
      </c>
      <c r="F351" s="7">
        <f>日前电价!F351-实时电价!F351</f>
        <v>3.94819999999999</v>
      </c>
      <c r="G351" s="7">
        <f>日前电价!G351-实时电价!G351</f>
        <v>6.48070000000001</v>
      </c>
      <c r="H351" s="7">
        <f>日前电价!H351-实时电价!H351</f>
        <v>11.0556</v>
      </c>
      <c r="I351" s="7">
        <f>日前电价!I351-实时电价!I351</f>
        <v>2.37569999999999</v>
      </c>
      <c r="J351" s="7">
        <f>日前电价!J351-实时电价!J351</f>
        <v>7.59620000000001</v>
      </c>
      <c r="K351" s="7">
        <f>日前电价!K351-实时电价!K351</f>
        <v>-10.5205</v>
      </c>
      <c r="L351" s="7">
        <f>日前电价!L351-实时电价!L351</f>
        <v>-30.4409</v>
      </c>
      <c r="M351" s="7">
        <f>日前电价!M351-实时电价!M351</f>
        <v>-46.6407</v>
      </c>
      <c r="N351" s="7">
        <f>日前电价!N351-实时电价!N351</f>
        <v>-226.3432</v>
      </c>
      <c r="O351" s="7">
        <f>日前电价!O351-实时电价!O351</f>
        <v>-155.4976</v>
      </c>
      <c r="P351" s="7">
        <f>日前电价!P351-实时电价!P351</f>
        <v>-43.4876</v>
      </c>
      <c r="Q351" s="7">
        <f>日前电价!Q351-实时电价!Q351</f>
        <v>-31.8116</v>
      </c>
      <c r="R351" s="7">
        <f>日前电价!R351-实时电价!R351</f>
        <v>10.6157</v>
      </c>
      <c r="S351" s="7">
        <f>日前电价!S351-实时电价!S351</f>
        <v>-4.22890000000001</v>
      </c>
      <c r="T351" s="7">
        <f>日前电价!T351-实时电价!T351</f>
        <v>-24.9971</v>
      </c>
      <c r="U351" s="7">
        <f>日前电价!U351-实时电价!U351</f>
        <v>-14.3444</v>
      </c>
      <c r="V351" s="7">
        <f>日前电价!V351-实时电价!V351</f>
        <v>-26.9367</v>
      </c>
      <c r="W351" s="7">
        <f>日前电价!W351-实时电价!W351</f>
        <v>3.65929999999997</v>
      </c>
      <c r="X351" s="7">
        <f>日前电价!X351-实时电价!X351</f>
        <v>47.2538</v>
      </c>
      <c r="Y351" s="7">
        <f>日前电价!Y351-实时电价!Y351</f>
        <v>97.5136</v>
      </c>
      <c r="Z351" s="9">
        <f t="shared" si="15"/>
        <v>97.5136</v>
      </c>
      <c r="AA351" s="9">
        <f t="shared" si="16"/>
        <v>-226.3432</v>
      </c>
      <c r="AB351" s="9">
        <f t="shared" si="17"/>
        <v>-18.9914583333333</v>
      </c>
    </row>
    <row r="352" spans="1:28">
      <c r="A352" s="8">
        <v>45642</v>
      </c>
      <c r="B352" s="7">
        <f>日前电价!B352-实时电价!B352</f>
        <v>73.9925</v>
      </c>
      <c r="C352" s="7">
        <f>日前电价!C352-实时电价!C352</f>
        <v>36.6021</v>
      </c>
      <c r="D352" s="7">
        <f>日前电价!D352-实时电价!D352</f>
        <v>111.483</v>
      </c>
      <c r="E352" s="7">
        <f>日前电价!E352-实时电价!E352</f>
        <v>113.6727</v>
      </c>
      <c r="F352" s="7">
        <f>日前电价!F352-实时电价!F352</f>
        <v>203.2897</v>
      </c>
      <c r="G352" s="7">
        <f>日前电价!G352-实时电价!G352</f>
        <v>39.4467</v>
      </c>
      <c r="H352" s="7">
        <f>日前电价!H352-实时电价!H352</f>
        <v>3.01460000000003</v>
      </c>
      <c r="I352" s="7">
        <f>日前电价!I352-实时电价!I352</f>
        <v>17.5044</v>
      </c>
      <c r="J352" s="7">
        <f>日前电价!J352-实时电价!J352</f>
        <v>108.7195</v>
      </c>
      <c r="K352" s="7">
        <f>日前电价!K352-实时电价!K352</f>
        <v>131.0409</v>
      </c>
      <c r="L352" s="7">
        <f>日前电价!L352-实时电价!L352</f>
        <v>76.7679</v>
      </c>
      <c r="M352" s="7">
        <f>日前电价!M352-实时电价!M352</f>
        <v>117.7934</v>
      </c>
      <c r="N352" s="7">
        <f>日前电价!N352-实时电价!N352</f>
        <v>80.3571</v>
      </c>
      <c r="O352" s="7">
        <f>日前电价!O352-实时电价!O352</f>
        <v>104.7223</v>
      </c>
      <c r="P352" s="7">
        <f>日前电价!P352-实时电价!P352</f>
        <v>104.5147</v>
      </c>
      <c r="Q352" s="7">
        <f>日前电价!Q352-实时电价!Q352</f>
        <v>48.3168</v>
      </c>
      <c r="R352" s="7">
        <f>日前电价!R352-实时电价!R352</f>
        <v>64.5228</v>
      </c>
      <c r="S352" s="7">
        <f>日前电价!S352-实时电价!S352</f>
        <v>84.7562</v>
      </c>
      <c r="T352" s="7">
        <f>日前电价!T352-实时电价!T352</f>
        <v>45.3713</v>
      </c>
      <c r="U352" s="7">
        <f>日前电价!U352-实时电价!U352</f>
        <v>54.9038</v>
      </c>
      <c r="V352" s="7">
        <f>日前电价!V352-实时电价!V352</f>
        <v>47.8762</v>
      </c>
      <c r="W352" s="7">
        <f>日前电价!W352-实时电价!W352</f>
        <v>-2.90980000000002</v>
      </c>
      <c r="X352" s="7">
        <f>日前电价!X352-实时电价!X352</f>
        <v>-10.7968</v>
      </c>
      <c r="Y352" s="7">
        <f>日前电价!Y352-实时电价!Y352</f>
        <v>10.2772</v>
      </c>
      <c r="Z352" s="9">
        <f t="shared" si="15"/>
        <v>203.2897</v>
      </c>
      <c r="AA352" s="9">
        <f t="shared" si="16"/>
        <v>-10.7968</v>
      </c>
      <c r="AB352" s="9">
        <f t="shared" si="17"/>
        <v>69.3849666666667</v>
      </c>
    </row>
    <row r="353" spans="1:28">
      <c r="A353" s="8">
        <v>45643</v>
      </c>
      <c r="B353" s="7">
        <f>日前电价!B353-实时电价!B353</f>
        <v>-10.3084</v>
      </c>
      <c r="C353" s="7">
        <f>日前电价!C353-实时电价!C353</f>
        <v>23.0781</v>
      </c>
      <c r="D353" s="7">
        <f>日前电价!D353-实时电价!D353</f>
        <v>14.2903</v>
      </c>
      <c r="E353" s="7">
        <f>日前电价!E353-实时电价!E353</f>
        <v>12.7604</v>
      </c>
      <c r="F353" s="7">
        <f>日前电价!F353-实时电价!F353</f>
        <v>29.3893</v>
      </c>
      <c r="G353" s="7">
        <f>日前电价!G353-实时电价!G353</f>
        <v>26.5486</v>
      </c>
      <c r="H353" s="7">
        <f>日前电价!H353-实时电价!H353</f>
        <v>16.9474</v>
      </c>
      <c r="I353" s="7">
        <f>日前电价!I353-实时电价!I353</f>
        <v>-7.54179999999997</v>
      </c>
      <c r="J353" s="7">
        <f>日前电价!J353-实时电价!J353</f>
        <v>-3.09680000000003</v>
      </c>
      <c r="K353" s="7">
        <f>日前电价!K353-实时电价!K353</f>
        <v>37.7712</v>
      </c>
      <c r="L353" s="7">
        <f>日前电价!L353-实时电价!L353</f>
        <v>3.60180000000003</v>
      </c>
      <c r="M353" s="7">
        <f>日前电价!M353-实时电价!M353</f>
        <v>0.541200000000003</v>
      </c>
      <c r="N353" s="7">
        <f>日前电价!N353-实时电价!N353</f>
        <v>3.4845</v>
      </c>
      <c r="O353" s="7">
        <f>日前电价!O353-实时电价!O353</f>
        <v>-79.4546</v>
      </c>
      <c r="P353" s="7">
        <f>日前电价!P353-实时电价!P353</f>
        <v>-33.3862</v>
      </c>
      <c r="Q353" s="7">
        <f>日前电价!Q353-实时电价!Q353</f>
        <v>-31.7907</v>
      </c>
      <c r="R353" s="7">
        <f>日前电价!R353-实时电价!R353</f>
        <v>-7.88780000000003</v>
      </c>
      <c r="S353" s="7">
        <f>日前电价!S353-实时电价!S353</f>
        <v>-35.3811</v>
      </c>
      <c r="T353" s="7">
        <f>日前电价!T353-实时电价!T353</f>
        <v>-41.5331</v>
      </c>
      <c r="U353" s="7">
        <f>日前电价!U353-实时电价!U353</f>
        <v>-42.5584</v>
      </c>
      <c r="V353" s="7">
        <f>日前电价!V353-实时电价!V353</f>
        <v>-89.3286</v>
      </c>
      <c r="W353" s="7">
        <f>日前电价!W353-实时电价!W353</f>
        <v>-73.8778</v>
      </c>
      <c r="X353" s="7">
        <f>日前电价!X353-实时电价!X353</f>
        <v>-52.7944</v>
      </c>
      <c r="Y353" s="7">
        <f>日前电价!Y353-实时电价!Y353</f>
        <v>-6.88499999999999</v>
      </c>
      <c r="Z353" s="9">
        <f t="shared" si="15"/>
        <v>37.7712</v>
      </c>
      <c r="AA353" s="9">
        <f t="shared" si="16"/>
        <v>-89.3286</v>
      </c>
      <c r="AB353" s="9">
        <f t="shared" si="17"/>
        <v>-14.4754958333333</v>
      </c>
    </row>
    <row r="354" spans="1:28">
      <c r="A354" s="8">
        <v>45644</v>
      </c>
      <c r="B354" s="7">
        <f>日前电价!B354-实时电价!B354</f>
        <v>-15.2267000000001</v>
      </c>
      <c r="C354" s="7">
        <f>日前电价!C354-实时电价!C354</f>
        <v>-5.65899999999999</v>
      </c>
      <c r="D354" s="7">
        <f>日前电价!D354-实时电价!D354</f>
        <v>-1.08449999999999</v>
      </c>
      <c r="E354" s="7">
        <f>日前电价!E354-实时电价!E354</f>
        <v>12.2498</v>
      </c>
      <c r="F354" s="7">
        <f>日前电价!F354-实时电价!F354</f>
        <v>37.3029</v>
      </c>
      <c r="G354" s="7">
        <f>日前电价!G354-实时电价!G354</f>
        <v>117.3479</v>
      </c>
      <c r="H354" s="7">
        <f>日前电价!H354-实时电价!H354</f>
        <v>23.9324</v>
      </c>
      <c r="I354" s="7">
        <f>日前电价!I354-实时电价!I354</f>
        <v>13.4242</v>
      </c>
      <c r="J354" s="7">
        <f>日前电价!J354-实时电价!J354</f>
        <v>43.4848</v>
      </c>
      <c r="K354" s="7">
        <f>日前电价!K354-实时电价!K354</f>
        <v>47.6448</v>
      </c>
      <c r="L354" s="7">
        <f>日前电价!L354-实时电价!L354</f>
        <v>2.762</v>
      </c>
      <c r="M354" s="7">
        <f>日前电价!M354-实时电价!M354</f>
        <v>41.0093</v>
      </c>
      <c r="N354" s="7">
        <f>日前电价!N354-实时电价!N354</f>
        <v>42.1318</v>
      </c>
      <c r="O354" s="7">
        <f>日前电价!O354-实时电价!O354</f>
        <v>22.9247</v>
      </c>
      <c r="P354" s="7">
        <f>日前电价!P354-实时电价!P354</f>
        <v>51.7959</v>
      </c>
      <c r="Q354" s="7">
        <f>日前电价!Q354-实时电价!Q354</f>
        <v>14.1887</v>
      </c>
      <c r="R354" s="7">
        <f>日前电价!R354-实时电价!R354</f>
        <v>5.5326</v>
      </c>
      <c r="S354" s="7">
        <f>日前电价!S354-实时电价!S354</f>
        <v>5.30369999999999</v>
      </c>
      <c r="T354" s="7">
        <f>日前电价!T354-实时电价!T354</f>
        <v>-15.3277</v>
      </c>
      <c r="U354" s="7">
        <f>日前电价!U354-实时电价!U354</f>
        <v>-30.4443</v>
      </c>
      <c r="V354" s="7">
        <f>日前电价!V354-实时电价!V354</f>
        <v>1.41410000000002</v>
      </c>
      <c r="W354" s="7">
        <f>日前电价!W354-实时电价!W354</f>
        <v>-19.7714</v>
      </c>
      <c r="X354" s="7">
        <f>日前电价!X354-实时电价!X354</f>
        <v>10.2956</v>
      </c>
      <c r="Y354" s="7">
        <f>日前电价!Y354-实时电价!Y354</f>
        <v>112.845</v>
      </c>
      <c r="Z354" s="9">
        <f t="shared" si="15"/>
        <v>117.3479</v>
      </c>
      <c r="AA354" s="9">
        <f t="shared" si="16"/>
        <v>-30.4443</v>
      </c>
      <c r="AB354" s="9">
        <f t="shared" si="17"/>
        <v>21.586525</v>
      </c>
    </row>
    <row r="355" spans="1:28">
      <c r="A355" s="8">
        <v>45645</v>
      </c>
      <c r="B355" s="7">
        <f>日前电价!B355-实时电价!B355</f>
        <v>-29.8017</v>
      </c>
      <c r="C355" s="7">
        <f>日前电价!C355-实时电价!C355</f>
        <v>25.7366</v>
      </c>
      <c r="D355" s="7">
        <f>日前电价!D355-实时电价!D355</f>
        <v>79.5681</v>
      </c>
      <c r="E355" s="7">
        <f>日前电价!E355-实时电价!E355</f>
        <v>141.0688</v>
      </c>
      <c r="F355" s="7">
        <f>日前电价!F355-实时电价!F355</f>
        <v>51.7476</v>
      </c>
      <c r="G355" s="7">
        <f>日前电价!G355-实时电价!G355</f>
        <v>66.3176</v>
      </c>
      <c r="H355" s="7">
        <f>日前电价!H355-实时电价!H355</f>
        <v>28.8045</v>
      </c>
      <c r="I355" s="7">
        <f>日前电价!I355-实时电价!I355</f>
        <v>9.15589999999997</v>
      </c>
      <c r="J355" s="7">
        <f>日前电价!J355-实时电价!J355</f>
        <v>-24.9597</v>
      </c>
      <c r="K355" s="7">
        <f>日前电价!K355-实时电价!K355</f>
        <v>73.0988</v>
      </c>
      <c r="L355" s="7">
        <f>日前电价!L355-实时电价!L355</f>
        <v>123.5542</v>
      </c>
      <c r="M355" s="7">
        <f>日前电价!M355-实时电价!M355</f>
        <v>20.2948</v>
      </c>
      <c r="N355" s="7">
        <f>日前电价!N355-实时电价!N355</f>
        <v>-67.9712</v>
      </c>
      <c r="O355" s="7">
        <f>日前电价!O355-实时电价!O355</f>
        <v>-106.7106</v>
      </c>
      <c r="P355" s="7">
        <f>日前电价!P355-实时电价!P355</f>
        <v>-9.76870000000002</v>
      </c>
      <c r="Q355" s="7">
        <f>日前电价!Q355-实时电价!Q355</f>
        <v>-20.0105</v>
      </c>
      <c r="R355" s="7">
        <f>日前电价!R355-实时电价!R355</f>
        <v>-57.4153</v>
      </c>
      <c r="S355" s="7">
        <f>日前电价!S355-实时电价!S355</f>
        <v>-28.7677</v>
      </c>
      <c r="T355" s="7">
        <f>日前电价!T355-实时电价!T355</f>
        <v>-16.4877</v>
      </c>
      <c r="U355" s="7">
        <f>日前电价!U355-实时电价!U355</f>
        <v>-43.4303</v>
      </c>
      <c r="V355" s="7">
        <f>日前电价!V355-实时电价!V355</f>
        <v>-31.888</v>
      </c>
      <c r="W355" s="7">
        <f>日前电价!W355-实时电价!W355</f>
        <v>-26.7181</v>
      </c>
      <c r="X355" s="7">
        <f>日前电价!X355-实时电价!X355</f>
        <v>-25.1904</v>
      </c>
      <c r="Y355" s="7">
        <f>日前电价!Y355-实时电价!Y355</f>
        <v>-18.0493</v>
      </c>
      <c r="Z355" s="9">
        <f t="shared" si="15"/>
        <v>141.0688</v>
      </c>
      <c r="AA355" s="9">
        <f t="shared" si="16"/>
        <v>-106.7106</v>
      </c>
      <c r="AB355" s="9">
        <f t="shared" si="17"/>
        <v>4.67407083333333</v>
      </c>
    </row>
    <row r="356" spans="1:28">
      <c r="A356" s="8">
        <v>45646</v>
      </c>
      <c r="B356" s="7">
        <f>日前电价!B356-实时电价!B356</f>
        <v>-35.0637</v>
      </c>
      <c r="C356" s="7">
        <f>日前电价!C356-实时电价!C356</f>
        <v>20.9146</v>
      </c>
      <c r="D356" s="7">
        <f>日前电价!D356-实时电价!D356</f>
        <v>18.8675</v>
      </c>
      <c r="E356" s="7">
        <f>日前电价!E356-实时电价!E356</f>
        <v>34.8669</v>
      </c>
      <c r="F356" s="7">
        <f>日前电价!F356-实时电价!F356</f>
        <v>62.4231</v>
      </c>
      <c r="G356" s="7">
        <f>日前电价!G356-实时电价!G356</f>
        <v>15.7474</v>
      </c>
      <c r="H356" s="7">
        <f>日前电价!H356-实时电价!H356</f>
        <v>-9.54719999999998</v>
      </c>
      <c r="I356" s="7">
        <f>日前电价!I356-实时电价!I356</f>
        <v>-50.7046</v>
      </c>
      <c r="J356" s="7">
        <f>日前电价!J356-实时电价!J356</f>
        <v>-82.558</v>
      </c>
      <c r="K356" s="7">
        <f>日前电价!K356-实时电价!K356</f>
        <v>53.5066</v>
      </c>
      <c r="L356" s="7">
        <f>日前电价!L356-实时电价!L356</f>
        <v>74.7631</v>
      </c>
      <c r="M356" s="7">
        <f>日前电价!M356-实时电价!M356</f>
        <v>26.0019</v>
      </c>
      <c r="N356" s="7">
        <f>日前电价!N356-实时电价!N356</f>
        <v>4.71530000000001</v>
      </c>
      <c r="O356" s="7">
        <f>日前电价!O356-实时电价!O356</f>
        <v>-85.0784</v>
      </c>
      <c r="P356" s="7">
        <f>日前电价!P356-实时电价!P356</f>
        <v>-2.02049999999997</v>
      </c>
      <c r="Q356" s="7">
        <f>日前电价!Q356-实时电价!Q356</f>
        <v>-13.2999</v>
      </c>
      <c r="R356" s="7">
        <f>日前电价!R356-实时电价!R356</f>
        <v>-12.4755</v>
      </c>
      <c r="S356" s="7">
        <f>日前电价!S356-实时电价!S356</f>
        <v>-11.4349</v>
      </c>
      <c r="T356" s="7">
        <f>日前电价!T356-实时电价!T356</f>
        <v>-18.0116</v>
      </c>
      <c r="U356" s="7">
        <f>日前电价!U356-实时电价!U356</f>
        <v>-44.0173</v>
      </c>
      <c r="V356" s="7">
        <f>日前电价!V356-实时电价!V356</f>
        <v>-61.4052</v>
      </c>
      <c r="W356" s="7">
        <f>日前电价!W356-实时电价!W356</f>
        <v>-69.6669</v>
      </c>
      <c r="X356" s="7">
        <f>日前电价!X356-实时电价!X356</f>
        <v>-125.7069</v>
      </c>
      <c r="Y356" s="7">
        <f>日前电价!Y356-实时电价!Y356</f>
        <v>-48.4308</v>
      </c>
      <c r="Z356" s="9">
        <f t="shared" si="15"/>
        <v>74.7631</v>
      </c>
      <c r="AA356" s="9">
        <f t="shared" si="16"/>
        <v>-125.7069</v>
      </c>
      <c r="AB356" s="9">
        <f t="shared" si="17"/>
        <v>-14.900625</v>
      </c>
    </row>
    <row r="357" spans="1:28">
      <c r="A357" s="8">
        <v>45647</v>
      </c>
      <c r="B357" s="7">
        <f>日前电价!B357-实时电价!B357</f>
        <v>-155.8654</v>
      </c>
      <c r="C357" s="7">
        <f>日前电价!C357-实时电价!C357</f>
        <v>-78.7568</v>
      </c>
      <c r="D357" s="7">
        <f>日前电价!D357-实时电价!D357</f>
        <v>8.73649999999998</v>
      </c>
      <c r="E357" s="7">
        <f>日前电价!E357-实时电价!E357</f>
        <v>15.2286</v>
      </c>
      <c r="F357" s="7">
        <f>日前电价!F357-实时电价!F357</f>
        <v>16.1654</v>
      </c>
      <c r="G357" s="7">
        <f>日前电价!G357-实时电价!G357</f>
        <v>12.2505</v>
      </c>
      <c r="H357" s="7">
        <f>日前电价!H357-实时电价!H357</f>
        <v>-6.14330000000001</v>
      </c>
      <c r="I357" s="7">
        <f>日前电价!I357-实时电价!I357</f>
        <v>-28.8222</v>
      </c>
      <c r="J357" s="7">
        <f>日前电价!J357-实时电价!J357</f>
        <v>-12.1654</v>
      </c>
      <c r="K357" s="7">
        <f>日前电价!K357-实时电价!K357</f>
        <v>-19.059</v>
      </c>
      <c r="L357" s="7">
        <f>日前电价!L357-实时电价!L357</f>
        <v>94.2718</v>
      </c>
      <c r="M357" s="7">
        <f>日前电价!M357-实时电价!M357</f>
        <v>97.5573</v>
      </c>
      <c r="N357" s="7">
        <f>日前电价!N357-实时电价!N357</f>
        <v>79.0254</v>
      </c>
      <c r="O357" s="7">
        <f>日前电价!O357-实时电价!O357</f>
        <v>-53.5376</v>
      </c>
      <c r="P357" s="7">
        <f>日前电价!P357-实时电价!P357</f>
        <v>78.6597</v>
      </c>
      <c r="Q357" s="7">
        <f>日前电价!Q357-实时电价!Q357</f>
        <v>37.7999</v>
      </c>
      <c r="R357" s="7">
        <f>日前电价!R357-实时电价!R357</f>
        <v>40.7856</v>
      </c>
      <c r="S357" s="7">
        <f>日前电价!S357-实时电价!S357</f>
        <v>35.1068</v>
      </c>
      <c r="T357" s="7">
        <f>日前电价!T357-实时电价!T357</f>
        <v>56.9509</v>
      </c>
      <c r="U357" s="7">
        <f>日前电价!U357-实时电价!U357</f>
        <v>73.1834</v>
      </c>
      <c r="V357" s="7">
        <f>日前电价!V357-实时电价!V357</f>
        <v>66.447</v>
      </c>
      <c r="W357" s="7">
        <f>日前电价!W357-实时电价!W357</f>
        <v>43.5176</v>
      </c>
      <c r="X357" s="7">
        <f>日前电价!X357-实时电价!X357</f>
        <v>23.7947</v>
      </c>
      <c r="Y357" s="7">
        <f>日前电价!Y357-实时电价!Y357</f>
        <v>-10.2325</v>
      </c>
      <c r="Z357" s="9">
        <f t="shared" si="15"/>
        <v>97.5573</v>
      </c>
      <c r="AA357" s="9">
        <f t="shared" si="16"/>
        <v>-155.8654</v>
      </c>
      <c r="AB357" s="9">
        <f t="shared" si="17"/>
        <v>17.2874541666667</v>
      </c>
    </row>
    <row r="358" spans="1:28">
      <c r="A358" s="8">
        <v>45648</v>
      </c>
      <c r="B358" s="7">
        <f>日前电价!B358-实时电价!B358</f>
        <v>2.41000000000002</v>
      </c>
      <c r="C358" s="7">
        <f>日前电价!C358-实时电价!C358</f>
        <v>33.2355</v>
      </c>
      <c r="D358" s="7">
        <f>日前电价!D358-实时电价!D358</f>
        <v>48.8956</v>
      </c>
      <c r="E358" s="7">
        <f>日前电价!E358-实时电价!E358</f>
        <v>152.1979</v>
      </c>
      <c r="F358" s="7">
        <f>日前电价!F358-实时电价!F358</f>
        <v>173.7577</v>
      </c>
      <c r="G358" s="7">
        <f>日前电价!G358-实时电价!G358</f>
        <v>160.2919</v>
      </c>
      <c r="H358" s="7">
        <f>日前电价!H358-实时电价!H358</f>
        <v>40.9752</v>
      </c>
      <c r="I358" s="7">
        <f>日前电价!I358-实时电价!I358</f>
        <v>-3.92130000000003</v>
      </c>
      <c r="J358" s="7">
        <f>日前电价!J358-实时电价!J358</f>
        <v>15.1445</v>
      </c>
      <c r="K358" s="7">
        <f>日前电价!K358-实时电价!K358</f>
        <v>-9.13199999999998</v>
      </c>
      <c r="L358" s="7">
        <f>日前电价!L358-实时电价!L358</f>
        <v>-68.719</v>
      </c>
      <c r="M358" s="7">
        <f>日前电价!M358-实时电价!M358</f>
        <v>-140.7314</v>
      </c>
      <c r="N358" s="7">
        <f>日前电价!N358-实时电价!N358</f>
        <v>-39.8675</v>
      </c>
      <c r="O358" s="7">
        <f>日前电价!O358-实时电价!O358</f>
        <v>-174.8553</v>
      </c>
      <c r="P358" s="7">
        <f>日前电价!P358-实时电价!P358</f>
        <v>-100.2137</v>
      </c>
      <c r="Q358" s="7">
        <f>日前电价!Q358-实时电价!Q358</f>
        <v>-45.4459</v>
      </c>
      <c r="R358" s="7">
        <f>日前电价!R358-实时电价!R358</f>
        <v>-30.794</v>
      </c>
      <c r="S358" s="7">
        <f>日前电价!S358-实时电价!S358</f>
        <v>-2.11720000000003</v>
      </c>
      <c r="T358" s="7">
        <f>日前电价!T358-实时电价!T358</f>
        <v>-15.6865</v>
      </c>
      <c r="U358" s="7">
        <f>日前电价!U358-实时电价!U358</f>
        <v>-19.82</v>
      </c>
      <c r="V358" s="7">
        <f>日前电价!V358-实时电价!V358</f>
        <v>-27.469</v>
      </c>
      <c r="W358" s="7">
        <f>日前电价!W358-实时电价!W358</f>
        <v>-70.5817</v>
      </c>
      <c r="X358" s="7">
        <f>日前电价!X358-实时电价!X358</f>
        <v>-32.3863</v>
      </c>
      <c r="Y358" s="7">
        <f>日前电价!Y358-实时电价!Y358</f>
        <v>11.769</v>
      </c>
      <c r="Z358" s="9">
        <f t="shared" si="15"/>
        <v>173.7577</v>
      </c>
      <c r="AA358" s="9">
        <f t="shared" si="16"/>
        <v>-174.8553</v>
      </c>
      <c r="AB358" s="9">
        <f t="shared" si="17"/>
        <v>-5.96097916666667</v>
      </c>
    </row>
    <row r="359" spans="1:28">
      <c r="A359" s="8">
        <v>45649</v>
      </c>
      <c r="B359" s="7">
        <f>日前电价!B359-实时电价!B359</f>
        <v>13.57</v>
      </c>
      <c r="C359" s="7">
        <f>日前电价!C359-实时电价!C359</f>
        <v>14.87</v>
      </c>
      <c r="D359" s="7">
        <f>日前电价!D359-实时电价!D359</f>
        <v>41.93</v>
      </c>
      <c r="E359" s="7">
        <f>日前电价!E359-实时电价!E359</f>
        <v>135.75</v>
      </c>
      <c r="F359" s="7">
        <f>日前电价!F359-实时电价!F359</f>
        <v>164.96</v>
      </c>
      <c r="G359" s="7">
        <f>日前电价!G359-实时电价!G359</f>
        <v>152.89</v>
      </c>
      <c r="H359" s="7">
        <f>日前电价!H359-实时电价!H359</f>
        <v>-1.96000000000001</v>
      </c>
      <c r="I359" s="7">
        <f>日前电价!I359-实时电价!I359</f>
        <v>-12.69</v>
      </c>
      <c r="J359" s="7">
        <f>日前电价!J359-实时电价!J359</f>
        <v>-28.17</v>
      </c>
      <c r="K359" s="7">
        <f>日前电价!K359-实时电价!K359</f>
        <v>-9.75</v>
      </c>
      <c r="L359" s="7">
        <f>日前电价!L359-实时电价!L359</f>
        <v>22.51</v>
      </c>
      <c r="M359" s="7">
        <f>日前电价!M359-实时电价!M359</f>
        <v>54.37</v>
      </c>
      <c r="N359" s="7">
        <f>日前电价!N359-实时电价!N359</f>
        <v>83.5</v>
      </c>
      <c r="O359" s="7">
        <f>日前电价!O359-实时电价!O359</f>
        <v>28.59</v>
      </c>
      <c r="P359" s="7">
        <f>日前电价!P359-实时电价!P359</f>
        <v>26.4</v>
      </c>
      <c r="Q359" s="7">
        <f>日前电价!Q359-实时电价!Q359</f>
        <v>7.10000000000002</v>
      </c>
      <c r="R359" s="7">
        <f>日前电价!R359-实时电价!R359</f>
        <v>-6.45999999999998</v>
      </c>
      <c r="S359" s="7">
        <f>日前电价!S359-实时电价!S359</f>
        <v>-2</v>
      </c>
      <c r="T359" s="7">
        <f>日前电价!T359-实时电价!T359</f>
        <v>-25</v>
      </c>
      <c r="U359" s="7">
        <f>日前电价!U359-实时电价!U359</f>
        <v>-28.43</v>
      </c>
      <c r="V359" s="7">
        <f>日前电价!V359-实时电价!V359</f>
        <v>-27.51</v>
      </c>
      <c r="W359" s="7">
        <f>日前电价!W359-实时电价!W359</f>
        <v>-19.9</v>
      </c>
      <c r="X359" s="7">
        <f>日前电价!X359-实时电价!X359</f>
        <v>-14.61</v>
      </c>
      <c r="Y359" s="7">
        <f>日前电价!Y359-实时电价!Y359</f>
        <v>35.87</v>
      </c>
      <c r="Z359" s="9">
        <f t="shared" si="15"/>
        <v>164.96</v>
      </c>
      <c r="AA359" s="9">
        <f t="shared" si="16"/>
        <v>-28.43</v>
      </c>
      <c r="AB359" s="9">
        <f t="shared" si="17"/>
        <v>25.2429166666667</v>
      </c>
    </row>
    <row r="360" spans="1:28">
      <c r="A360" s="8">
        <v>45650</v>
      </c>
      <c r="B360" s="7">
        <f>日前电价!B360-实时电价!B360</f>
        <v>26.88</v>
      </c>
      <c r="C360" s="7">
        <f>日前电价!C360-实时电价!C360</f>
        <v>16.8</v>
      </c>
      <c r="D360" s="7">
        <f>日前电价!D360-实时电价!D360</f>
        <v>29.26</v>
      </c>
      <c r="E360" s="7">
        <f>日前电价!E360-实时电价!E360</f>
        <v>21.59</v>
      </c>
      <c r="F360" s="7">
        <f>日前电价!F360-实时电价!F360</f>
        <v>44.44</v>
      </c>
      <c r="G360" s="7">
        <f>日前电价!G360-实时电价!G360</f>
        <v>78.65</v>
      </c>
      <c r="H360" s="7">
        <f>日前电价!H360-实时电价!H360</f>
        <v>9.73000000000002</v>
      </c>
      <c r="I360" s="7">
        <f>日前电价!I360-实时电价!I360</f>
        <v>-4.84999999999997</v>
      </c>
      <c r="J360" s="7">
        <f>日前电价!J360-实时电价!J360</f>
        <v>-18.31</v>
      </c>
      <c r="K360" s="7">
        <f>日前电价!K360-实时电价!K360</f>
        <v>24.18</v>
      </c>
      <c r="L360" s="7">
        <f>日前电价!L360-实时电价!L360</f>
        <v>94.89</v>
      </c>
      <c r="M360" s="7">
        <f>日前电价!M360-实时电价!M360</f>
        <v>153.11</v>
      </c>
      <c r="N360" s="7">
        <f>日前电价!N360-实时电价!N360</f>
        <v>149.84</v>
      </c>
      <c r="O360" s="7">
        <f>日前电价!O360-实时电价!O360</f>
        <v>113.02</v>
      </c>
      <c r="P360" s="7">
        <f>日前电价!P360-实时电价!P360</f>
        <v>81.85</v>
      </c>
      <c r="Q360" s="7">
        <f>日前电价!Q360-实时电价!Q360</f>
        <v>24.1</v>
      </c>
      <c r="R360" s="7">
        <f>日前电价!R360-实时电价!R360</f>
        <v>18.22</v>
      </c>
      <c r="S360" s="7">
        <f>日前电价!S360-实时电价!S360</f>
        <v>3.19</v>
      </c>
      <c r="T360" s="7">
        <f>日前电价!T360-实时电价!T360</f>
        <v>-2.56</v>
      </c>
      <c r="U360" s="7">
        <f>日前电价!U360-实时电价!U360</f>
        <v>-8.98000000000002</v>
      </c>
      <c r="V360" s="7">
        <f>日前电价!V360-实时电价!V360</f>
        <v>-15.09</v>
      </c>
      <c r="W360" s="7">
        <f>日前电价!W360-实时电价!W360</f>
        <v>-0.980000000000018</v>
      </c>
      <c r="X360" s="7">
        <f>日前电价!X360-实时电价!X360</f>
        <v>3.92000000000002</v>
      </c>
      <c r="Y360" s="7">
        <f>日前电价!Y360-实时电价!Y360</f>
        <v>28.56</v>
      </c>
      <c r="Z360" s="9">
        <f t="shared" si="15"/>
        <v>153.11</v>
      </c>
      <c r="AA360" s="9">
        <f t="shared" si="16"/>
        <v>-18.31</v>
      </c>
      <c r="AB360" s="9">
        <f t="shared" si="17"/>
        <v>36.3108333333333</v>
      </c>
    </row>
    <row r="361" spans="1:28">
      <c r="A361" s="8">
        <v>45651</v>
      </c>
      <c r="B361" s="7">
        <f>日前电价!B361-实时电价!B361</f>
        <v>25.58</v>
      </c>
      <c r="C361" s="7">
        <f>日前电价!C361-实时电价!C361</f>
        <v>23.2</v>
      </c>
      <c r="D361" s="7">
        <f>日前电价!D361-实时电价!D361</f>
        <v>24.06</v>
      </c>
      <c r="E361" s="7">
        <f>日前电价!E361-实时电价!E361</f>
        <v>4.03</v>
      </c>
      <c r="F361" s="7">
        <f>日前电价!F361-实时电价!F361</f>
        <v>63.38</v>
      </c>
      <c r="G361" s="7">
        <f>日前电价!G361-实时电价!G361</f>
        <v>77.82</v>
      </c>
      <c r="H361" s="7">
        <f>日前电价!H361-实时电价!H361</f>
        <v>18.97</v>
      </c>
      <c r="I361" s="7">
        <f>日前电价!I361-实时电价!I361</f>
        <v>11.3</v>
      </c>
      <c r="J361" s="7">
        <f>日前电价!J361-实时电价!J361</f>
        <v>-49.69</v>
      </c>
      <c r="K361" s="7">
        <f>日前电价!K361-实时电价!K361</f>
        <v>-59.9</v>
      </c>
      <c r="L361" s="7">
        <f>日前电价!L361-实时电价!L361</f>
        <v>-43.77</v>
      </c>
      <c r="M361" s="7">
        <f>日前电价!M361-实时电价!M361</f>
        <v>-134.61</v>
      </c>
      <c r="N361" s="7">
        <f>日前电价!N361-实时电价!N361</f>
        <v>-190.59</v>
      </c>
      <c r="O361" s="7">
        <f>日前电价!O361-实时电价!O361</f>
        <v>-268.12</v>
      </c>
      <c r="P361" s="7">
        <f>日前电价!P361-实时电价!P361</f>
        <v>-227.12</v>
      </c>
      <c r="Q361" s="7">
        <f>日前电价!Q361-实时电价!Q361</f>
        <v>-151.92</v>
      </c>
      <c r="R361" s="7">
        <f>日前电价!R361-实时电价!R361</f>
        <v>-49.09</v>
      </c>
      <c r="S361" s="7">
        <f>日前电价!S361-实时电价!S361</f>
        <v>-35.41</v>
      </c>
      <c r="T361" s="7">
        <f>日前电价!T361-实时电价!T361</f>
        <v>-26.59</v>
      </c>
      <c r="U361" s="7">
        <f>日前电价!U361-实时电价!U361</f>
        <v>-40.73</v>
      </c>
      <c r="V361" s="7">
        <f>日前电价!V361-实时电价!V361</f>
        <v>-34.32</v>
      </c>
      <c r="W361" s="7">
        <f>日前电价!W361-实时电价!W361</f>
        <v>-55.43</v>
      </c>
      <c r="X361" s="7">
        <f>日前电价!X361-实时电价!X361</f>
        <v>6.24000000000001</v>
      </c>
      <c r="Y361" s="7">
        <f>日前电价!Y361-实时电价!Y361</f>
        <v>-2.48000000000002</v>
      </c>
      <c r="Z361" s="9">
        <f t="shared" si="15"/>
        <v>77.82</v>
      </c>
      <c r="AA361" s="9">
        <f t="shared" si="16"/>
        <v>-268.12</v>
      </c>
      <c r="AB361" s="9">
        <f t="shared" si="17"/>
        <v>-46.46625</v>
      </c>
    </row>
    <row r="362" spans="1:28">
      <c r="A362" s="8">
        <v>45652</v>
      </c>
      <c r="B362" s="7">
        <f>日前电价!B362-实时电价!B362</f>
        <v>1.10000000000002</v>
      </c>
      <c r="C362" s="7">
        <f>日前电价!C362-实时电价!C362</f>
        <v>-2.36000000000001</v>
      </c>
      <c r="D362" s="7">
        <f>日前电价!D362-实时电价!D362</f>
        <v>-2.75999999999999</v>
      </c>
      <c r="E362" s="7">
        <f>日前电价!E362-实时电价!E362</f>
        <v>2.07999999999998</v>
      </c>
      <c r="F362" s="7">
        <f>日前电价!F362-实时电价!F362</f>
        <v>1.33999999999997</v>
      </c>
      <c r="G362" s="7">
        <f>日前电价!G362-实时电价!G362</f>
        <v>1.52000000000004</v>
      </c>
      <c r="H362" s="7">
        <f>日前电价!H362-实时电价!H362</f>
        <v>16.17</v>
      </c>
      <c r="I362" s="7">
        <f>日前电价!I362-实时电价!I362</f>
        <v>-7.13</v>
      </c>
      <c r="J362" s="7">
        <f>日前电价!J362-实时电价!J362</f>
        <v>-40.77</v>
      </c>
      <c r="K362" s="7">
        <f>日前电价!K362-实时电价!K362</f>
        <v>-121.76</v>
      </c>
      <c r="L362" s="7">
        <f>日前电价!L362-实时电价!L362</f>
        <v>-69.88</v>
      </c>
      <c r="M362" s="7">
        <f>日前电价!M362-实时电价!M362</f>
        <v>-45.77</v>
      </c>
      <c r="N362" s="7">
        <f>日前电价!N362-实时电价!N362</f>
        <v>-20.14</v>
      </c>
      <c r="O362" s="7">
        <f>日前电价!O362-实时电价!O362</f>
        <v>-175.16</v>
      </c>
      <c r="P362" s="7">
        <f>日前电价!P362-实时电价!P362</f>
        <v>-48.63</v>
      </c>
      <c r="Q362" s="7">
        <f>日前电价!Q362-实时电价!Q362</f>
        <v>-35.92</v>
      </c>
      <c r="R362" s="7">
        <f>日前电价!R362-实时电价!R362</f>
        <v>-24.34</v>
      </c>
      <c r="S362" s="7">
        <f>日前电价!S362-实时电价!S362</f>
        <v>-27.82</v>
      </c>
      <c r="T362" s="7">
        <f>日前电价!T362-实时电价!T362</f>
        <v>-45.61</v>
      </c>
      <c r="U362" s="7">
        <f>日前电价!U362-实时电价!U362</f>
        <v>-17.5</v>
      </c>
      <c r="V362" s="7">
        <f>日前电价!V362-实时电价!V362</f>
        <v>-13.69</v>
      </c>
      <c r="W362" s="7">
        <f>日前电价!W362-实时电价!W362</f>
        <v>-42.88</v>
      </c>
      <c r="X362" s="7">
        <f>日前电价!X362-实时电价!X362</f>
        <v>-0.529999999999973</v>
      </c>
      <c r="Y362" s="7">
        <f>日前电价!Y362-实时电价!Y362</f>
        <v>11.72</v>
      </c>
      <c r="Z362" s="9">
        <f t="shared" si="15"/>
        <v>16.17</v>
      </c>
      <c r="AA362" s="9">
        <f t="shared" si="16"/>
        <v>-175.16</v>
      </c>
      <c r="AB362" s="9">
        <f t="shared" si="17"/>
        <v>-29.53</v>
      </c>
    </row>
    <row r="363" spans="1:28">
      <c r="A363" s="8">
        <v>45653</v>
      </c>
      <c r="B363" s="7">
        <f>日前电价!B363-实时电价!B363</f>
        <v>-0.900000000000034</v>
      </c>
      <c r="C363" s="7">
        <f>日前电价!C363-实时电价!C363</f>
        <v>5.81999999999999</v>
      </c>
      <c r="D363" s="7">
        <f>日前电价!D363-实时电价!D363</f>
        <v>-16.29</v>
      </c>
      <c r="E363" s="7">
        <f>日前电价!E363-实时电价!E363</f>
        <v>-4.56</v>
      </c>
      <c r="F363" s="7">
        <f>日前电价!F363-实时电价!F363</f>
        <v>-20.21</v>
      </c>
      <c r="G363" s="7">
        <f>日前电价!G363-实时电价!G363</f>
        <v>-10.22</v>
      </c>
      <c r="H363" s="7">
        <f>日前电价!H363-实时电价!H363</f>
        <v>-25.37</v>
      </c>
      <c r="I363" s="7">
        <f>日前电价!I363-实时电价!I363</f>
        <v>-15.3</v>
      </c>
      <c r="J363" s="7">
        <f>日前电价!J363-实时电价!J363</f>
        <v>-10.79</v>
      </c>
      <c r="K363" s="7">
        <f>日前电价!K363-实时电价!K363</f>
        <v>64.55</v>
      </c>
      <c r="L363" s="7">
        <f>日前电价!L363-实时电价!L363</f>
        <v>36.52</v>
      </c>
      <c r="M363" s="7">
        <f>日前电价!M363-实时电价!M363</f>
        <v>14.59</v>
      </c>
      <c r="N363" s="7">
        <f>日前电价!N363-实时电价!N363</f>
        <v>231.19</v>
      </c>
      <c r="O363" s="7">
        <f>日前电价!O363-实时电价!O363</f>
        <v>186.73</v>
      </c>
      <c r="P363" s="7">
        <f>日前电价!P363-实时电价!P363</f>
        <v>3.72999999999996</v>
      </c>
      <c r="Q363" s="7">
        <f>日前电价!Q363-实时电价!Q363</f>
        <v>-4.28000000000003</v>
      </c>
      <c r="R363" s="7">
        <f>日前电价!R363-实时电价!R363</f>
        <v>-2.48999999999995</v>
      </c>
      <c r="S363" s="7">
        <f>日前电价!S363-实时电价!S363</f>
        <v>-0.28000000000003</v>
      </c>
      <c r="T363" s="7">
        <f>日前电价!T363-实时电价!T363</f>
        <v>25.33</v>
      </c>
      <c r="U363" s="7">
        <f>日前电价!U363-实时电价!U363</f>
        <v>44.29</v>
      </c>
      <c r="V363" s="7">
        <f>日前电价!V363-实时电价!V363</f>
        <v>50.2</v>
      </c>
      <c r="W363" s="7">
        <f>日前电价!W363-实时电价!W363</f>
        <v>46.96</v>
      </c>
      <c r="X363" s="7">
        <f>日前电价!X363-实时电价!X363</f>
        <v>53.44</v>
      </c>
      <c r="Y363" s="7">
        <f>日前电价!Y363-实时电价!Y363</f>
        <v>23.15</v>
      </c>
      <c r="Z363" s="9">
        <f t="shared" si="15"/>
        <v>231.19</v>
      </c>
      <c r="AA363" s="9">
        <f t="shared" si="16"/>
        <v>-25.37</v>
      </c>
      <c r="AB363" s="9">
        <f t="shared" si="17"/>
        <v>28.15875</v>
      </c>
    </row>
    <row r="364" spans="1:28">
      <c r="A364" s="8">
        <v>45654</v>
      </c>
      <c r="B364" s="7">
        <f>日前电价!B364-实时电价!B364</f>
        <v>16.6</v>
      </c>
      <c r="C364" s="7">
        <f>日前电价!C364-实时电价!C364</f>
        <v>-4.34000000000003</v>
      </c>
      <c r="D364" s="7">
        <f>日前电价!D364-实时电价!D364</f>
        <v>27.09</v>
      </c>
      <c r="E364" s="7">
        <f>日前电价!E364-实时电价!E364</f>
        <v>128.68</v>
      </c>
      <c r="F364" s="7">
        <f>日前电价!F364-实时电价!F364</f>
        <v>201.03</v>
      </c>
      <c r="G364" s="7">
        <f>日前电价!G364-实时电价!G364</f>
        <v>134.75</v>
      </c>
      <c r="H364" s="7">
        <f>日前电价!H364-实时电价!H364</f>
        <v>7.16999999999996</v>
      </c>
      <c r="I364" s="7">
        <f>日前电价!I364-实时电价!I364</f>
        <v>-18.58</v>
      </c>
      <c r="J364" s="7">
        <f>日前电价!J364-实时电价!J364</f>
        <v>-33.5700000000001</v>
      </c>
      <c r="K364" s="7">
        <f>日前电价!K364-实时电价!K364</f>
        <v>57.08</v>
      </c>
      <c r="L364" s="7">
        <f>日前电价!L364-实时电价!L364</f>
        <v>60.48</v>
      </c>
      <c r="M364" s="7">
        <f>日前电价!M364-实时电价!M364</f>
        <v>-1.83000000000001</v>
      </c>
      <c r="N364" s="7">
        <f>日前电价!N364-实时电价!N364</f>
        <v>16.85</v>
      </c>
      <c r="O364" s="7">
        <f>日前电价!O364-实时电价!O364</f>
        <v>-19.7</v>
      </c>
      <c r="P364" s="7">
        <f>日前电价!P364-实时电价!P364</f>
        <v>37.14</v>
      </c>
      <c r="Q364" s="7">
        <f>日前电价!Q364-实时电价!Q364</f>
        <v>7.56999999999999</v>
      </c>
      <c r="R364" s="7">
        <f>日前电价!R364-实时电价!R364</f>
        <v>-3.46999999999997</v>
      </c>
      <c r="S364" s="7">
        <f>日前电价!S364-实时电价!S364</f>
        <v>20.27</v>
      </c>
      <c r="T364" s="7">
        <f>日前电价!T364-实时电价!T364</f>
        <v>3.5</v>
      </c>
      <c r="U364" s="7">
        <f>日前电价!U364-实时电价!U364</f>
        <v>18.22</v>
      </c>
      <c r="V364" s="7">
        <f>日前电价!V364-实时电价!V364</f>
        <v>29.76</v>
      </c>
      <c r="W364" s="7">
        <f>日前电价!W364-实时电价!W364</f>
        <v>-8.33000000000004</v>
      </c>
      <c r="X364" s="7">
        <f>日前电价!X364-实时电价!X364</f>
        <v>10.61</v>
      </c>
      <c r="Y364" s="7">
        <f>日前电价!Y364-实时电价!Y364</f>
        <v>10.37</v>
      </c>
      <c r="Z364" s="9">
        <f t="shared" si="15"/>
        <v>201.03</v>
      </c>
      <c r="AA364" s="9">
        <f t="shared" si="16"/>
        <v>-33.5700000000001</v>
      </c>
      <c r="AB364" s="9">
        <f t="shared" si="17"/>
        <v>29.05625</v>
      </c>
    </row>
    <row r="365" spans="1:28">
      <c r="A365" s="8">
        <v>45655</v>
      </c>
      <c r="B365" s="7">
        <f>日前电价!B365-实时电价!B365</f>
        <v>-23.87</v>
      </c>
      <c r="C365" s="7">
        <f>日前电价!C365-实时电价!C365</f>
        <v>-5.18000000000001</v>
      </c>
      <c r="D365" s="7">
        <f>日前电价!D365-实时电价!D365</f>
        <v>-20.6</v>
      </c>
      <c r="E365" s="7">
        <f>日前电价!E365-实时电价!E365</f>
        <v>0.610000000000014</v>
      </c>
      <c r="F365" s="7">
        <f>日前电价!F365-实时电价!F365</f>
        <v>-10.03</v>
      </c>
      <c r="G365" s="7">
        <f>日前电价!G365-实时电价!G365</f>
        <v>-21.57</v>
      </c>
      <c r="H365" s="7">
        <f>日前电价!H365-实时电价!H365</f>
        <v>-24.1</v>
      </c>
      <c r="I365" s="7">
        <f>日前电价!I365-实时电价!I365</f>
        <v>-25.24</v>
      </c>
      <c r="J365" s="7">
        <f>日前电价!J365-实时电价!J365</f>
        <v>38.2</v>
      </c>
      <c r="K365" s="7">
        <f>日前电价!K365-实时电价!K365</f>
        <v>27.04</v>
      </c>
      <c r="L365" s="7">
        <f>日前电价!L365-实时电价!L365</f>
        <v>1.03</v>
      </c>
      <c r="M365" s="7">
        <f>日前电价!M365-实时电价!M365</f>
        <v>-36.3</v>
      </c>
      <c r="N365" s="7">
        <f>日前电价!N365-实时电价!N365</f>
        <v>-8.47</v>
      </c>
      <c r="O365" s="7">
        <f>日前电价!O365-实时电价!O365</f>
        <v>-1.39</v>
      </c>
      <c r="P365" s="7">
        <f>日前电价!P365-实时电价!P365</f>
        <v>-12.88</v>
      </c>
      <c r="Q365" s="7">
        <f>日前电价!Q365-实时电价!Q365</f>
        <v>-17.02</v>
      </c>
      <c r="R365" s="7">
        <f>日前电价!R365-实时电价!R365</f>
        <v>-15.94</v>
      </c>
      <c r="S365" s="7">
        <f>日前电价!S365-实时电价!S365</f>
        <v>-52.6199999999999</v>
      </c>
      <c r="T365" s="7">
        <f>日前电价!T365-实时电价!T365</f>
        <v>-28.93</v>
      </c>
      <c r="U365" s="7">
        <f>日前电价!U365-实时电价!U365</f>
        <v>-70.31</v>
      </c>
      <c r="V365" s="7">
        <f>日前电价!V365-实时电价!V365</f>
        <v>-69.91</v>
      </c>
      <c r="W365" s="7">
        <f>日前电价!W365-实时电价!W365</f>
        <v>-113.25</v>
      </c>
      <c r="X365" s="7">
        <f>日前电价!X365-实时电价!X365</f>
        <v>-35.84</v>
      </c>
      <c r="Y365" s="7">
        <f>日前电价!Y365-实时电价!Y365</f>
        <v>-25.22</v>
      </c>
      <c r="Z365" s="9">
        <f t="shared" si="15"/>
        <v>38.2</v>
      </c>
      <c r="AA365" s="9">
        <f t="shared" si="16"/>
        <v>-113.25</v>
      </c>
      <c r="AB365" s="9">
        <f t="shared" si="17"/>
        <v>-22.99125</v>
      </c>
    </row>
    <row r="366" spans="1:28">
      <c r="A366" s="8">
        <v>45656</v>
      </c>
      <c r="B366" s="7">
        <f>日前电价!B366-实时电价!B366</f>
        <v>-2.44999999999999</v>
      </c>
      <c r="C366" s="7">
        <f>日前电价!C366-实时电价!C366</f>
        <v>-11.31</v>
      </c>
      <c r="D366" s="7">
        <f>日前电价!D366-实时电价!D366</f>
        <v>6.29000000000002</v>
      </c>
      <c r="E366" s="7">
        <f>日前电价!E366-实时电价!E366</f>
        <v>5.10000000000002</v>
      </c>
      <c r="F366" s="7">
        <f>日前电价!F366-实时电价!F366</f>
        <v>-14.16</v>
      </c>
      <c r="G366" s="7">
        <f>日前电价!G366-实时电价!G366</f>
        <v>-27.62</v>
      </c>
      <c r="H366" s="7">
        <f>日前电价!H366-实时电价!H366</f>
        <v>-58.33</v>
      </c>
      <c r="I366" s="7">
        <f>日前电价!I366-实时电价!I366</f>
        <v>-166.47</v>
      </c>
      <c r="J366" s="7">
        <f>日前电价!J366-实时电价!J366</f>
        <v>-351.31</v>
      </c>
      <c r="K366" s="7">
        <f>日前电价!K366-实时电价!K366</f>
        <v>11.92</v>
      </c>
      <c r="L366" s="7">
        <f>日前电价!L366-实时电价!L366</f>
        <v>65.09</v>
      </c>
      <c r="M366" s="7">
        <f>日前电价!M366-实时电价!M366</f>
        <v>36.07</v>
      </c>
      <c r="N366" s="7">
        <f>日前电价!N366-实时电价!N366</f>
        <v>66.48</v>
      </c>
      <c r="O366" s="7">
        <f>日前电价!O366-实时电价!O366</f>
        <v>18.76</v>
      </c>
      <c r="P366" s="7">
        <f>日前电价!P366-实时电价!P366</f>
        <v>-2.14999999999998</v>
      </c>
      <c r="Q366" s="7">
        <f>日前电价!Q366-实时电价!Q366</f>
        <v>-13.26</v>
      </c>
      <c r="R366" s="7">
        <f>日前电价!R366-实时电价!R366</f>
        <v>41.06</v>
      </c>
      <c r="S366" s="7">
        <f>日前电价!S366-实时电价!S366</f>
        <v>54.26</v>
      </c>
      <c r="T366" s="7">
        <f>日前电价!T366-实时电价!T366</f>
        <v>5.27000000000004</v>
      </c>
      <c r="U366" s="7">
        <f>日前电价!U366-实时电价!U366</f>
        <v>25.43</v>
      </c>
      <c r="V366" s="7">
        <f>日前电价!V366-实时电价!V366</f>
        <v>34.77</v>
      </c>
      <c r="W366" s="7">
        <f>日前电价!W366-实时电价!W366</f>
        <v>54.31</v>
      </c>
      <c r="X366" s="7">
        <f>日前电价!X366-实时电价!X366</f>
        <v>109.12</v>
      </c>
      <c r="Y366" s="7">
        <f>日前电价!Y366-实时电价!Y366</f>
        <v>71.33</v>
      </c>
      <c r="Z366" s="9">
        <f t="shared" si="15"/>
        <v>109.12</v>
      </c>
      <c r="AA366" s="9">
        <f t="shared" si="16"/>
        <v>-351.31</v>
      </c>
      <c r="AB366" s="9">
        <f t="shared" si="17"/>
        <v>-1.74166666666666</v>
      </c>
    </row>
    <row r="367" spans="1:28">
      <c r="A367" s="8">
        <v>45657</v>
      </c>
      <c r="B367" s="7">
        <f>日前电价!B367-实时电价!B367</f>
        <v>76.72</v>
      </c>
      <c r="C367" s="7">
        <f>日前电价!C367-实时电价!C367</f>
        <v>107.26</v>
      </c>
      <c r="D367" s="7">
        <f>日前电价!D367-实时电价!D367</f>
        <v>69.04</v>
      </c>
      <c r="E367" s="7">
        <f>日前电价!E367-实时电价!E367</f>
        <v>37.42</v>
      </c>
      <c r="F367" s="7">
        <f>日前电价!F367-实时电价!F367</f>
        <v>24.74</v>
      </c>
      <c r="G367" s="7">
        <f>日前电价!G367-实时电价!G367</f>
        <v>29.92</v>
      </c>
      <c r="H367" s="7">
        <f>日前电价!H367-实时电价!H367</f>
        <v>38.34</v>
      </c>
      <c r="I367" s="7">
        <f>日前电价!I367-实时电价!I367</f>
        <v>-6.04000000000002</v>
      </c>
      <c r="J367" s="7">
        <f>日前电价!J367-实时电价!J367</f>
        <v>-21.78</v>
      </c>
      <c r="K367" s="7">
        <f>日前电价!K367-实时电价!K367</f>
        <v>37.29</v>
      </c>
      <c r="L367" s="7">
        <f>日前电价!L367-实时电价!L367</f>
        <v>31.91</v>
      </c>
      <c r="M367" s="7">
        <f>日前电价!M367-实时电价!M367</f>
        <v>45.83</v>
      </c>
      <c r="N367" s="7">
        <f>日前电价!N367-实时电价!N367</f>
        <v>128.8</v>
      </c>
      <c r="O367" s="7">
        <f>日前电价!O367-实时电价!O367</f>
        <v>70.34</v>
      </c>
      <c r="P367" s="7">
        <f>日前电价!P367-实时电价!P367</f>
        <v>181.21</v>
      </c>
      <c r="Q367" s="7">
        <f>日前电价!Q367-实时电价!Q367</f>
        <v>38.93</v>
      </c>
      <c r="R367" s="7">
        <f>日前电价!R367-实时电价!R367</f>
        <v>56.12</v>
      </c>
      <c r="S367" s="7">
        <f>日前电价!S367-实时电价!S367</f>
        <v>108.04</v>
      </c>
      <c r="T367" s="7">
        <f>日前电价!T367-实时电价!T367</f>
        <v>113.81</v>
      </c>
      <c r="U367" s="7">
        <f>日前电价!U367-实时电价!U367</f>
        <v>115.62</v>
      </c>
      <c r="V367" s="7">
        <f>日前电价!V367-实时电价!V367</f>
        <v>94.42</v>
      </c>
      <c r="W367" s="7">
        <f>日前电价!W367-实时电价!W367</f>
        <v>62.96</v>
      </c>
      <c r="X367" s="7">
        <f>日前电价!X367-实时电价!X367</f>
        <v>39.85</v>
      </c>
      <c r="Y367" s="7">
        <f>日前电价!Y367-实时电价!Y367</f>
        <v>37.95</v>
      </c>
      <c r="Z367" s="9">
        <f t="shared" si="15"/>
        <v>181.21</v>
      </c>
      <c r="AA367" s="9">
        <f t="shared" si="16"/>
        <v>-21.78</v>
      </c>
      <c r="AB367" s="9">
        <f t="shared" si="17"/>
        <v>63.2791666666667</v>
      </c>
    </row>
    <row r="368" spans="1:28">
      <c r="A368" s="10">
        <v>45658</v>
      </c>
      <c r="B368" s="7">
        <v>-105.45</v>
      </c>
      <c r="C368" s="7">
        <v>-25.4</v>
      </c>
      <c r="D368" s="7">
        <v>-19.33</v>
      </c>
      <c r="E368" s="7">
        <v>-11.58</v>
      </c>
      <c r="F368" s="7">
        <v>-57.27</v>
      </c>
      <c r="G368" s="7">
        <v>-80.47</v>
      </c>
      <c r="H368" s="7">
        <v>-24.13</v>
      </c>
      <c r="I368" s="7">
        <v>-53.58</v>
      </c>
      <c r="J368" s="7">
        <v>-96.99</v>
      </c>
      <c r="K368" s="7">
        <v>-5.75</v>
      </c>
      <c r="L368" s="7">
        <v>7.15</v>
      </c>
      <c r="M368" s="7">
        <v>-72.24</v>
      </c>
      <c r="N368" s="7">
        <v>-150.09</v>
      </c>
      <c r="O368" s="7">
        <v>-138.85</v>
      </c>
      <c r="P368" s="7">
        <v>-254.43</v>
      </c>
      <c r="Q368" s="7">
        <v>-155.62</v>
      </c>
      <c r="R368" s="7">
        <v>-116.69</v>
      </c>
      <c r="S368" s="7">
        <v>-108.08</v>
      </c>
      <c r="T368" s="7">
        <v>-26.42</v>
      </c>
      <c r="U368" s="7">
        <v>-14.54</v>
      </c>
      <c r="V368" s="7">
        <v>-40.95</v>
      </c>
      <c r="W368" s="7">
        <v>-52.73</v>
      </c>
      <c r="X368" s="7">
        <v>-34.2</v>
      </c>
      <c r="Y368" s="7">
        <v>-27.69</v>
      </c>
      <c r="Z368" s="9">
        <f t="shared" si="15"/>
        <v>7.15</v>
      </c>
      <c r="AA368" s="9">
        <f t="shared" si="16"/>
        <v>-254.43</v>
      </c>
      <c r="AB368" s="9">
        <f t="shared" si="17"/>
        <v>-69.38875</v>
      </c>
    </row>
    <row r="369" spans="1:28">
      <c r="A369" s="10">
        <v>45659</v>
      </c>
      <c r="B369" s="7">
        <v>-19.17</v>
      </c>
      <c r="C369" s="7">
        <v>12.34</v>
      </c>
      <c r="D369" s="7">
        <v>9.16000000000002</v>
      </c>
      <c r="E369" s="7">
        <v>9.07999999999998</v>
      </c>
      <c r="F369" s="7">
        <v>1.41000000000003</v>
      </c>
      <c r="G369" s="7">
        <v>2.75</v>
      </c>
      <c r="H369" s="7">
        <v>-2.30000000000001</v>
      </c>
      <c r="I369" s="7">
        <v>-11.14</v>
      </c>
      <c r="J369" s="7">
        <v>1.58999999999997</v>
      </c>
      <c r="K369" s="7">
        <v>7.19</v>
      </c>
      <c r="L369" s="7">
        <v>-13.52</v>
      </c>
      <c r="M369" s="7">
        <v>28.35</v>
      </c>
      <c r="N369" s="7">
        <v>67.56</v>
      </c>
      <c r="O369" s="7">
        <v>20.13</v>
      </c>
      <c r="P369" s="7">
        <v>7.95999999999998</v>
      </c>
      <c r="Q369" s="7">
        <v>-7.00999999999999</v>
      </c>
      <c r="R369" s="7">
        <v>-19.38</v>
      </c>
      <c r="S369" s="7">
        <v>-2.57999999999998</v>
      </c>
      <c r="T369" s="7">
        <v>-52.71</v>
      </c>
      <c r="U369" s="7">
        <v>-143.9</v>
      </c>
      <c r="V369" s="7">
        <v>-193.09</v>
      </c>
      <c r="W369" s="7">
        <v>-78.7</v>
      </c>
      <c r="X369" s="7">
        <v>-50.61</v>
      </c>
      <c r="Y369" s="7">
        <v>-19.68</v>
      </c>
      <c r="Z369" s="9">
        <f>MAX($B$369:$Y$369)</f>
        <v>67.56</v>
      </c>
      <c r="AA369" s="9">
        <f>MIN($B$369:$Y$369)</f>
        <v>-193.09</v>
      </c>
      <c r="AB369" s="9">
        <f>AVERAGE($B$369:$Y$369)</f>
        <v>-18.5945833333333</v>
      </c>
    </row>
    <row r="370" spans="1:28">
      <c r="A370" s="10">
        <v>45660</v>
      </c>
      <c r="B370" s="7">
        <v>-55.55</v>
      </c>
      <c r="C370" s="7">
        <v>26.11</v>
      </c>
      <c r="D370" s="7">
        <v>31.91</v>
      </c>
      <c r="E370" s="7">
        <v>28.94</v>
      </c>
      <c r="F370" s="7">
        <v>34.21</v>
      </c>
      <c r="G370" s="7">
        <v>23.59</v>
      </c>
      <c r="H370" s="7">
        <v>27.42</v>
      </c>
      <c r="I370" s="7">
        <v>59.86</v>
      </c>
      <c r="J370" s="7">
        <v>24.44</v>
      </c>
      <c r="K370" s="7">
        <v>41.53</v>
      </c>
      <c r="L370" s="7">
        <v>110.55</v>
      </c>
      <c r="M370" s="7">
        <v>85.95</v>
      </c>
      <c r="N370" s="7">
        <v>44.63</v>
      </c>
      <c r="O370" s="7">
        <v>-43.6</v>
      </c>
      <c r="P370" s="7">
        <v>10.66</v>
      </c>
      <c r="Q370" s="7">
        <v>4.63</v>
      </c>
      <c r="R370" s="7">
        <v>3.67000000000002</v>
      </c>
      <c r="S370" s="7">
        <v>16.48</v>
      </c>
      <c r="T370" s="7">
        <v>23.68</v>
      </c>
      <c r="U370" s="7">
        <v>14.45</v>
      </c>
      <c r="V370" s="7">
        <v>21.5599999999999</v>
      </c>
      <c r="W370" s="7">
        <v>29.3800000000001</v>
      </c>
      <c r="X370" s="7">
        <v>3.61000000000001</v>
      </c>
      <c r="Y370" s="7">
        <v>18.02</v>
      </c>
      <c r="Z370" s="9">
        <f>MAX($B$370:$Y$370)</f>
        <v>110.55</v>
      </c>
      <c r="AA370" s="9">
        <f>MIN($B$370:$Y$370)</f>
        <v>-55.55</v>
      </c>
      <c r="AB370" s="9">
        <f>AVERAGE($B$370:$Y$370)</f>
        <v>24.4220833333333</v>
      </c>
    </row>
    <row r="371" spans="1:28">
      <c r="A371" s="10">
        <v>45661</v>
      </c>
      <c r="B371" s="7">
        <v>-33.64</v>
      </c>
      <c r="C371" s="7">
        <v>-9.44999999999999</v>
      </c>
      <c r="D371" s="7">
        <v>-2.40999999999997</v>
      </c>
      <c r="E371" s="7">
        <v>-4.94</v>
      </c>
      <c r="F371" s="7">
        <v>-0.78000000000003</v>
      </c>
      <c r="G371" s="7">
        <v>-0.850000000000023</v>
      </c>
      <c r="H371" s="7">
        <v>5.12</v>
      </c>
      <c r="I371" s="7">
        <v>5.72000000000003</v>
      </c>
      <c r="J371" s="7">
        <v>-20.23</v>
      </c>
      <c r="K371" s="7">
        <v>4.94999999999999</v>
      </c>
      <c r="L371" s="7">
        <v>17.15</v>
      </c>
      <c r="M371" s="7">
        <v>68.73</v>
      </c>
      <c r="N371" s="7">
        <v>109.71</v>
      </c>
      <c r="O371" s="7">
        <v>-5.37</v>
      </c>
      <c r="P371" s="7">
        <v>-4.16999999999996</v>
      </c>
      <c r="Q371" s="7">
        <v>-5.77999999999997</v>
      </c>
      <c r="R371" s="7">
        <v>-3.80000000000001</v>
      </c>
      <c r="S371" s="7">
        <v>5.25999999999999</v>
      </c>
      <c r="T371" s="7">
        <v>-8.05000000000001</v>
      </c>
      <c r="U371" s="7">
        <v>-14.76</v>
      </c>
      <c r="V371" s="7">
        <v>-20.19</v>
      </c>
      <c r="W371" s="7">
        <v>-13.03</v>
      </c>
      <c r="X371" s="7">
        <v>-14.76</v>
      </c>
      <c r="Y371" s="7">
        <v>-8.50999999999999</v>
      </c>
      <c r="Z371" s="9">
        <f>MAX($B$371:$Y$371)</f>
        <v>109.71</v>
      </c>
      <c r="AA371" s="9">
        <f>MIN($B$371:$Y$371)</f>
        <v>-33.64</v>
      </c>
      <c r="AB371" s="9">
        <f>AVERAGE($B$371:$Y$371)</f>
        <v>1.91333333333334</v>
      </c>
    </row>
    <row r="372" spans="1:28">
      <c r="A372" s="10">
        <v>45662</v>
      </c>
      <c r="B372" s="7">
        <v>-72.57</v>
      </c>
      <c r="C372" s="7">
        <v>-8.03999999999996</v>
      </c>
      <c r="D372" s="7">
        <v>-2.92000000000002</v>
      </c>
      <c r="E372" s="7">
        <v>5.43000000000001</v>
      </c>
      <c r="F372" s="7">
        <v>-5.19</v>
      </c>
      <c r="G372" s="7">
        <v>-8.29999999999995</v>
      </c>
      <c r="H372" s="7">
        <v>-16.99</v>
      </c>
      <c r="I372" s="7">
        <v>-11.74</v>
      </c>
      <c r="J372" s="7">
        <v>-38.51</v>
      </c>
      <c r="K372" s="7">
        <v>-73.05</v>
      </c>
      <c r="L372" s="7">
        <v>-93.97</v>
      </c>
      <c r="M372" s="7">
        <v>-8.75999999999999</v>
      </c>
      <c r="N372" s="7">
        <v>-19.82</v>
      </c>
      <c r="O372" s="7">
        <v>-137.36</v>
      </c>
      <c r="P372" s="7">
        <v>-82.32</v>
      </c>
      <c r="Q372" s="7">
        <v>-92.41</v>
      </c>
      <c r="R372" s="7">
        <v>-87.7</v>
      </c>
      <c r="S372" s="7">
        <v>-55.51</v>
      </c>
      <c r="T372" s="7">
        <v>-15.09</v>
      </c>
      <c r="U372" s="7">
        <v>-26.19</v>
      </c>
      <c r="V372" s="7">
        <v>6.60999999999996</v>
      </c>
      <c r="W372" s="7">
        <v>16.28</v>
      </c>
      <c r="X372" s="7">
        <v>9.44</v>
      </c>
      <c r="Y372" s="7">
        <v>-0.20999999999998</v>
      </c>
      <c r="Z372" s="9">
        <f>MAX($B$372:$Y$372)</f>
        <v>16.28</v>
      </c>
      <c r="AA372" s="9">
        <f>MIN($B$372:$Y$372)</f>
        <v>-137.36</v>
      </c>
      <c r="AB372" s="9">
        <f>AVERAGE($B$372:$Y$372)</f>
        <v>-34.1204166666667</v>
      </c>
    </row>
    <row r="373" spans="1:28">
      <c r="A373" s="10">
        <v>45663</v>
      </c>
      <c r="B373" s="7">
        <v>-166.14</v>
      </c>
      <c r="C373" s="7">
        <v>-14.65</v>
      </c>
      <c r="D373" s="7">
        <v>-17.59</v>
      </c>
      <c r="E373" s="7">
        <v>4.17000000000002</v>
      </c>
      <c r="F373" s="7">
        <v>-7.00999999999999</v>
      </c>
      <c r="G373" s="7">
        <v>-14.44</v>
      </c>
      <c r="H373" s="7">
        <v>-32.08</v>
      </c>
      <c r="I373" s="7">
        <v>-37.94</v>
      </c>
      <c r="J373" s="7">
        <v>-10.05</v>
      </c>
      <c r="K373" s="7">
        <v>1.34999999999997</v>
      </c>
      <c r="L373" s="7">
        <v>86.16</v>
      </c>
      <c r="M373" s="7">
        <v>-21.05</v>
      </c>
      <c r="N373" s="7">
        <v>13.65</v>
      </c>
      <c r="O373" s="7">
        <v>-12.35</v>
      </c>
      <c r="P373" s="7">
        <v>-1.74000000000001</v>
      </c>
      <c r="Q373" s="7">
        <v>-2.45999999999998</v>
      </c>
      <c r="R373" s="7">
        <v>0.659999999999968</v>
      </c>
      <c r="S373" s="7">
        <v>-9.30000000000001</v>
      </c>
      <c r="T373" s="7">
        <v>6.57999999999998</v>
      </c>
      <c r="U373" s="7">
        <v>37.79</v>
      </c>
      <c r="V373" s="7">
        <v>53.35</v>
      </c>
      <c r="W373" s="7">
        <v>56.82</v>
      </c>
      <c r="X373" s="7">
        <v>56.98</v>
      </c>
      <c r="Y373" s="7">
        <v>31.15</v>
      </c>
      <c r="Z373" s="9">
        <f>MAX($B$373:$Y$373)</f>
        <v>86.16</v>
      </c>
      <c r="AA373" s="9">
        <f>MIN($B$373:$Y$373)</f>
        <v>-166.14</v>
      </c>
      <c r="AB373" s="9">
        <f>AVERAGE($B$373:$Y$373)</f>
        <v>0.077499999999997</v>
      </c>
    </row>
    <row r="374" spans="1:28">
      <c r="A374" s="10">
        <v>45664</v>
      </c>
      <c r="B374" s="7">
        <v>-2.86000000000001</v>
      </c>
      <c r="C374" s="7">
        <v>35.31</v>
      </c>
      <c r="D374" s="7">
        <v>39.51</v>
      </c>
      <c r="E374" s="7">
        <v>42.26</v>
      </c>
      <c r="F374" s="7">
        <v>29.1900000000001</v>
      </c>
      <c r="G374" s="7">
        <v>19.7</v>
      </c>
      <c r="H374" s="7">
        <v>24.8699999999999</v>
      </c>
      <c r="I374" s="7">
        <v>3.64999999999998</v>
      </c>
      <c r="J374" s="7">
        <v>-13.67</v>
      </c>
      <c r="K374" s="7">
        <v>41.82</v>
      </c>
      <c r="L374" s="7">
        <v>54.48</v>
      </c>
      <c r="M374" s="7">
        <v>82.64</v>
      </c>
      <c r="N374" s="7">
        <v>42.07</v>
      </c>
      <c r="O374" s="7">
        <v>-8.94</v>
      </c>
      <c r="P374" s="7">
        <v>34.19</v>
      </c>
      <c r="Q374" s="7">
        <v>32.73</v>
      </c>
      <c r="R374" s="7">
        <v>10.89</v>
      </c>
      <c r="S374" s="7">
        <v>24.88</v>
      </c>
      <c r="T374" s="7">
        <v>56.35</v>
      </c>
      <c r="U374" s="7">
        <v>59.69</v>
      </c>
      <c r="V374" s="7">
        <v>33.45</v>
      </c>
      <c r="W374" s="7">
        <v>50</v>
      </c>
      <c r="X374" s="7">
        <v>1.65000000000003</v>
      </c>
      <c r="Y374" s="7">
        <v>-2.91999999999996</v>
      </c>
      <c r="Z374" s="9">
        <f>MAX($B$374:$Y$374)</f>
        <v>82.64</v>
      </c>
      <c r="AA374" s="9">
        <f>MIN($B$374:$Y$374)</f>
        <v>-13.67</v>
      </c>
      <c r="AB374" s="9">
        <f>AVERAGE($B$374:$Y$374)</f>
        <v>28.7891666666667</v>
      </c>
    </row>
    <row r="375" spans="1:28">
      <c r="A375" s="10">
        <v>45665</v>
      </c>
      <c r="B375" s="7">
        <v>6.73000000000002</v>
      </c>
      <c r="C375" s="7">
        <v>17.28</v>
      </c>
      <c r="D375" s="7">
        <v>16.54</v>
      </c>
      <c r="E375" s="7">
        <v>12.32</v>
      </c>
      <c r="F375" s="7">
        <v>26.33</v>
      </c>
      <c r="G375" s="7">
        <v>6.44</v>
      </c>
      <c r="H375" s="7">
        <v>21.35</v>
      </c>
      <c r="I375" s="7">
        <v>19.1</v>
      </c>
      <c r="J375" s="7">
        <v>-11.88</v>
      </c>
      <c r="K375" s="7">
        <v>46.62</v>
      </c>
      <c r="L375" s="7">
        <v>10.99</v>
      </c>
      <c r="M375" s="7">
        <v>8.88</v>
      </c>
      <c r="N375" s="7">
        <v>-12.31</v>
      </c>
      <c r="O375" s="7">
        <v>-3.56</v>
      </c>
      <c r="P375" s="7">
        <v>21.04</v>
      </c>
      <c r="Q375" s="7">
        <v>31.3200000000001</v>
      </c>
      <c r="R375" s="7">
        <v>30.8200000000001</v>
      </c>
      <c r="S375" s="7">
        <v>14.87</v>
      </c>
      <c r="T375" s="7">
        <v>28.56</v>
      </c>
      <c r="U375" s="7">
        <v>7.65000000000003</v>
      </c>
      <c r="V375" s="7">
        <v>30.3</v>
      </c>
      <c r="W375" s="7">
        <v>47.49</v>
      </c>
      <c r="X375" s="7">
        <v>28.42</v>
      </c>
      <c r="Y375" s="7">
        <v>11.3</v>
      </c>
      <c r="Z375" s="9">
        <f>MAX($B$375:$Y$375)</f>
        <v>47.49</v>
      </c>
      <c r="AA375" s="9">
        <f>MIN($B$375:$Y$375)</f>
        <v>-12.31</v>
      </c>
      <c r="AB375" s="9">
        <f>AVERAGE($B$375:$Y$375)</f>
        <v>17.3583333333333</v>
      </c>
    </row>
    <row r="376" spans="1:28">
      <c r="A376" s="10">
        <v>45666</v>
      </c>
      <c r="B376" s="7">
        <v>-67.85</v>
      </c>
      <c r="C376" s="7">
        <v>-13.05</v>
      </c>
      <c r="D376" s="7">
        <v>-3.39999999999998</v>
      </c>
      <c r="E376" s="7">
        <v>-73.16</v>
      </c>
      <c r="F376" s="7">
        <v>-46.28</v>
      </c>
      <c r="G376" s="7">
        <v>-8.31999999999999</v>
      </c>
      <c r="H376" s="7">
        <v>-29.09</v>
      </c>
      <c r="I376" s="7">
        <v>-48.57</v>
      </c>
      <c r="J376" s="7">
        <v>-234.28</v>
      </c>
      <c r="K376" s="7">
        <v>-97.85</v>
      </c>
      <c r="L376" s="7">
        <v>33.47</v>
      </c>
      <c r="M376" s="7">
        <v>69.85</v>
      </c>
      <c r="N376" s="7">
        <v>69.87</v>
      </c>
      <c r="O376" s="7">
        <v>6.31999999999999</v>
      </c>
      <c r="P376" s="7">
        <v>32.68</v>
      </c>
      <c r="Q376" s="7">
        <v>44.41</v>
      </c>
      <c r="R376" s="7">
        <v>67.3699999999999</v>
      </c>
      <c r="S376" s="7">
        <v>47.94</v>
      </c>
      <c r="T376" s="7">
        <v>20.22</v>
      </c>
      <c r="U376" s="7">
        <v>35.6</v>
      </c>
      <c r="V376" s="7">
        <v>38</v>
      </c>
      <c r="W376" s="7">
        <v>6.97999999999996</v>
      </c>
      <c r="X376" s="7">
        <v>-9.45999999999998</v>
      </c>
      <c r="Y376" s="7">
        <v>-12.27</v>
      </c>
      <c r="Z376" s="9">
        <f>MAX($B$376:$Y$376)</f>
        <v>69.87</v>
      </c>
      <c r="AA376" s="9">
        <f>MIN($B$376:$Y$376)</f>
        <v>-234.28</v>
      </c>
      <c r="AB376" s="9">
        <f>AVERAGE($B$376:$Y$376)</f>
        <v>-7.11958333333334</v>
      </c>
    </row>
    <row r="377" spans="1:28">
      <c r="A377" s="10">
        <v>45667</v>
      </c>
      <c r="B377" s="7">
        <v>-94.92</v>
      </c>
      <c r="C377" s="7">
        <v>10.6799999999999</v>
      </c>
      <c r="D377" s="7">
        <v>5.69</v>
      </c>
      <c r="E377" s="7">
        <v>-37.94</v>
      </c>
      <c r="F377" s="7">
        <v>-47.14</v>
      </c>
      <c r="G377" s="7">
        <v>-28.28</v>
      </c>
      <c r="H377" s="7">
        <v>19.64</v>
      </c>
      <c r="I377" s="7">
        <v>28.87</v>
      </c>
      <c r="J377" s="7">
        <v>-72.57</v>
      </c>
      <c r="K377" s="7">
        <v>-48.48</v>
      </c>
      <c r="L377" s="7">
        <v>-73.4</v>
      </c>
      <c r="M377" s="7">
        <v>4.06999999999999</v>
      </c>
      <c r="N377" s="7">
        <v>3.42000000000002</v>
      </c>
      <c r="O377" s="7">
        <v>-178.28</v>
      </c>
      <c r="P377" s="7">
        <v>-1.70999999999998</v>
      </c>
      <c r="Q377" s="7">
        <v>48.26</v>
      </c>
      <c r="R377" s="7">
        <v>35.8</v>
      </c>
      <c r="S377" s="7">
        <v>29.81</v>
      </c>
      <c r="T377" s="7">
        <v>39.35</v>
      </c>
      <c r="U377" s="7">
        <v>-18.56</v>
      </c>
      <c r="V377" s="7">
        <v>-18.58</v>
      </c>
      <c r="W377" s="7">
        <v>7.28000000000003</v>
      </c>
      <c r="X377" s="7">
        <v>51.23</v>
      </c>
      <c r="Y377" s="7">
        <v>-0.259999999999991</v>
      </c>
      <c r="Z377" s="9">
        <f>MAX($B$377:$Y$377)</f>
        <v>51.23</v>
      </c>
      <c r="AA377" s="9">
        <f>MIN($B$377:$Y$377)</f>
        <v>-178.28</v>
      </c>
      <c r="AB377" s="9">
        <f>AVERAGE($B$377:$Y$377)</f>
        <v>-14.0008333333333</v>
      </c>
    </row>
    <row r="378" spans="1:28">
      <c r="A378" s="10">
        <v>45668</v>
      </c>
      <c r="B378" s="7">
        <v>-2.92000000000002</v>
      </c>
      <c r="C378" s="7">
        <v>20.16</v>
      </c>
      <c r="D378" s="7">
        <v>35.01</v>
      </c>
      <c r="E378" s="7">
        <v>24.64</v>
      </c>
      <c r="F378" s="7">
        <v>26.02</v>
      </c>
      <c r="G378" s="7">
        <v>52.75</v>
      </c>
      <c r="H378" s="7">
        <v>27.02</v>
      </c>
      <c r="I378" s="7">
        <v>-44.79</v>
      </c>
      <c r="J378" s="7">
        <v>-174.64</v>
      </c>
      <c r="K378" s="7">
        <v>-85.04</v>
      </c>
      <c r="L378" s="7">
        <v>-118.1</v>
      </c>
      <c r="M378" s="7">
        <v>-119.19</v>
      </c>
      <c r="N378" s="7">
        <v>-66.63</v>
      </c>
      <c r="O378" s="7">
        <v>-55.57</v>
      </c>
      <c r="P378" s="7">
        <v>-58.59</v>
      </c>
      <c r="Q378" s="7">
        <v>-204.51</v>
      </c>
      <c r="R378" s="7">
        <v>-177.03</v>
      </c>
      <c r="S378" s="7">
        <v>-227.54</v>
      </c>
      <c r="T378" s="7">
        <v>-96.8</v>
      </c>
      <c r="U378" s="7">
        <v>-108.84</v>
      </c>
      <c r="V378" s="7">
        <v>-263.92</v>
      </c>
      <c r="W378" s="7">
        <v>-303.24</v>
      </c>
      <c r="X378" s="7">
        <v>-118.8</v>
      </c>
      <c r="Y378" s="7">
        <v>13.26</v>
      </c>
      <c r="Z378" s="9">
        <f>MAX($B$378:$Y$378)</f>
        <v>52.75</v>
      </c>
      <c r="AA378" s="9">
        <f>MIN($B$378:$Y$378)</f>
        <v>-303.24</v>
      </c>
      <c r="AB378" s="9">
        <f>AVERAGE($B$378:$Y$378)</f>
        <v>-84.4704166666667</v>
      </c>
    </row>
    <row r="379" spans="1:28">
      <c r="A379" s="10">
        <v>45669</v>
      </c>
      <c r="B379" s="7">
        <v>-143.61</v>
      </c>
      <c r="C379" s="7">
        <v>13.28</v>
      </c>
      <c r="D379" s="7">
        <v>22.66</v>
      </c>
      <c r="E379" s="7">
        <v>9.15000000000003</v>
      </c>
      <c r="F379" s="7">
        <v>20.47</v>
      </c>
      <c r="G379" s="7">
        <v>21.76</v>
      </c>
      <c r="H379" s="7">
        <v>19.1</v>
      </c>
      <c r="I379" s="7">
        <v>20.17</v>
      </c>
      <c r="J379" s="7">
        <v>17.81</v>
      </c>
      <c r="K379" s="7">
        <v>31.54</v>
      </c>
      <c r="L379" s="7">
        <v>27.79</v>
      </c>
      <c r="M379" s="7">
        <v>58.55</v>
      </c>
      <c r="N379" s="7">
        <v>148.91</v>
      </c>
      <c r="O379" s="7">
        <v>63.76</v>
      </c>
      <c r="P379" s="7">
        <v>251.81</v>
      </c>
      <c r="Q379" s="7">
        <v>57.46</v>
      </c>
      <c r="R379" s="7">
        <v>37.91</v>
      </c>
      <c r="S379" s="7">
        <v>37.91</v>
      </c>
      <c r="T379" s="7">
        <v>1.94</v>
      </c>
      <c r="U379" s="7">
        <v>-7.91999999999996</v>
      </c>
      <c r="V379" s="7">
        <v>-143.23</v>
      </c>
      <c r="W379" s="7">
        <v>-265.25</v>
      </c>
      <c r="X379" s="7">
        <v>-80.85</v>
      </c>
      <c r="Y379" s="7">
        <v>-5.51999999999998</v>
      </c>
      <c r="Z379" s="9">
        <f>MAX($B$379:$Y$379)</f>
        <v>251.81</v>
      </c>
      <c r="AA379" s="9">
        <f>MIN($B$379:$Y$379)</f>
        <v>-265.25</v>
      </c>
      <c r="AB379" s="9">
        <f>AVERAGE($B$379:$Y$379)</f>
        <v>8.98333333333334</v>
      </c>
    </row>
    <row r="380" spans="1:28">
      <c r="A380" s="10">
        <v>45670</v>
      </c>
      <c r="B380" s="7">
        <v>-168.31</v>
      </c>
      <c r="C380" s="7">
        <v>-32.72</v>
      </c>
      <c r="D380" s="7">
        <v>13.88</v>
      </c>
      <c r="E380" s="7">
        <v>50.08</v>
      </c>
      <c r="F380" s="7">
        <v>27.23</v>
      </c>
      <c r="G380" s="7">
        <v>13.43</v>
      </c>
      <c r="H380" s="7">
        <v>19.53</v>
      </c>
      <c r="I380" s="7">
        <v>193.84</v>
      </c>
      <c r="J380" s="7">
        <v>32.3800000000001</v>
      </c>
      <c r="K380" s="7">
        <v>168.1</v>
      </c>
      <c r="L380" s="7">
        <v>274.44</v>
      </c>
      <c r="M380" s="7">
        <v>54.51</v>
      </c>
      <c r="N380" s="7">
        <v>147.78</v>
      </c>
      <c r="O380" s="7">
        <v>12.46</v>
      </c>
      <c r="P380" s="7">
        <v>91.02</v>
      </c>
      <c r="Q380" s="7">
        <v>49.03</v>
      </c>
      <c r="R380" s="7">
        <v>58.65</v>
      </c>
      <c r="S380" s="7">
        <v>80.1300000000001</v>
      </c>
      <c r="T380" s="7">
        <v>61.1300000000001</v>
      </c>
      <c r="U380" s="7">
        <v>72.08</v>
      </c>
      <c r="V380" s="7">
        <v>-15.66</v>
      </c>
      <c r="W380" s="7">
        <v>-2.04000000000002</v>
      </c>
      <c r="X380" s="7">
        <v>-12.3899999999999</v>
      </c>
      <c r="Y380" s="7">
        <v>34.93</v>
      </c>
      <c r="Z380" s="9">
        <f>MAX($B$380:$Y$380)</f>
        <v>274.44</v>
      </c>
      <c r="AA380" s="9">
        <f>MIN($B$380:$Y$380)</f>
        <v>-168.31</v>
      </c>
      <c r="AB380" s="9">
        <f>AVERAGE($B$380:$Y$380)</f>
        <v>50.9795833333333</v>
      </c>
    </row>
    <row r="381" spans="1:28">
      <c r="A381" s="10">
        <v>45671</v>
      </c>
      <c r="B381" s="7">
        <v>-15.71</v>
      </c>
      <c r="C381" s="7">
        <v>5.28000000000003</v>
      </c>
      <c r="D381" s="7">
        <v>20.24</v>
      </c>
      <c r="E381" s="7">
        <v>15.94</v>
      </c>
      <c r="F381" s="7">
        <v>12.85</v>
      </c>
      <c r="G381" s="7">
        <v>9.28000000000003</v>
      </c>
      <c r="H381" s="7">
        <v>11.03</v>
      </c>
      <c r="I381" s="7">
        <v>11.12</v>
      </c>
      <c r="J381" s="7">
        <v>-159.38</v>
      </c>
      <c r="K381" s="7">
        <v>-269.37</v>
      </c>
      <c r="L381" s="7">
        <v>-64.32</v>
      </c>
      <c r="M381" s="7">
        <v>-45.94</v>
      </c>
      <c r="N381" s="7">
        <v>-20.39</v>
      </c>
      <c r="O381" s="7">
        <v>-65.66</v>
      </c>
      <c r="P381" s="7">
        <v>-46.64</v>
      </c>
      <c r="Q381" s="7">
        <v>-109.81</v>
      </c>
      <c r="R381" s="7">
        <v>-14.25</v>
      </c>
      <c r="S381" s="7">
        <v>44.34</v>
      </c>
      <c r="T381" s="7">
        <v>-161.12</v>
      </c>
      <c r="U381" s="7">
        <v>-106.27</v>
      </c>
      <c r="V381" s="7">
        <v>-59.75</v>
      </c>
      <c r="W381" s="7">
        <v>-77.98</v>
      </c>
      <c r="X381" s="7">
        <v>-20.99</v>
      </c>
      <c r="Y381" s="7">
        <v>-5.47000000000003</v>
      </c>
      <c r="Z381" s="9">
        <f>MAX($B$381:$Y$381)</f>
        <v>44.34</v>
      </c>
      <c r="AA381" s="9">
        <f>MIN($B$381:$Y$381)</f>
        <v>-269.37</v>
      </c>
      <c r="AB381" s="9">
        <f>AVERAGE($B$381:$Y$381)</f>
        <v>-46.37375</v>
      </c>
    </row>
    <row r="382" spans="1:28">
      <c r="A382" s="10">
        <v>45672</v>
      </c>
      <c r="B382" s="7">
        <v>-16.34</v>
      </c>
      <c r="C382" s="7">
        <v>1.11000000000001</v>
      </c>
      <c r="D382" s="7">
        <v>10.15</v>
      </c>
      <c r="E382" s="7">
        <v>6.25</v>
      </c>
      <c r="F382" s="7">
        <v>20.6</v>
      </c>
      <c r="G382" s="7">
        <v>22.29</v>
      </c>
      <c r="H382" s="7">
        <v>15.34</v>
      </c>
      <c r="I382" s="7">
        <v>34.87</v>
      </c>
      <c r="J382" s="7">
        <v>10.34</v>
      </c>
      <c r="K382" s="7">
        <v>140.55</v>
      </c>
      <c r="L382" s="7">
        <v>84.75</v>
      </c>
      <c r="M382" s="7">
        <v>80.87</v>
      </c>
      <c r="N382" s="7">
        <v>97.23</v>
      </c>
      <c r="O382" s="7">
        <v>52.36</v>
      </c>
      <c r="P382" s="7">
        <v>107.23</v>
      </c>
      <c r="Q382" s="7">
        <v>18.13</v>
      </c>
      <c r="R382" s="7">
        <v>17.36</v>
      </c>
      <c r="S382" s="7">
        <v>23.58</v>
      </c>
      <c r="T382" s="7">
        <v>61.12</v>
      </c>
      <c r="U382" s="7">
        <v>88.77</v>
      </c>
      <c r="V382" s="7">
        <v>59.05</v>
      </c>
      <c r="W382" s="7">
        <v>29.08</v>
      </c>
      <c r="X382" s="7">
        <v>21.48</v>
      </c>
      <c r="Y382" s="7">
        <v>76.86</v>
      </c>
      <c r="Z382" s="9">
        <f>MAX($B$382:$Y$382)</f>
        <v>140.55</v>
      </c>
      <c r="AA382" s="9">
        <f>MIN($B$382:$Y$382)</f>
        <v>-16.34</v>
      </c>
      <c r="AB382" s="9">
        <f>AVERAGE($B$382:$Y$382)</f>
        <v>44.2929166666667</v>
      </c>
    </row>
    <row r="383" spans="1:28">
      <c r="A383" s="10">
        <v>45673</v>
      </c>
      <c r="B383" s="7">
        <v>-4.25999999999999</v>
      </c>
      <c r="C383" s="7">
        <v>1.90999999999997</v>
      </c>
      <c r="D383" s="7">
        <v>9.67000000000002</v>
      </c>
      <c r="E383" s="7">
        <v>147.75</v>
      </c>
      <c r="F383" s="7">
        <v>271.81</v>
      </c>
      <c r="G383" s="7">
        <v>225.72</v>
      </c>
      <c r="H383" s="7">
        <v>80.1</v>
      </c>
      <c r="I383" s="7">
        <v>9.40000000000003</v>
      </c>
      <c r="J383" s="7">
        <v>-2.18000000000001</v>
      </c>
      <c r="K383" s="7">
        <v>31.17</v>
      </c>
      <c r="L383" s="7">
        <v>29.34</v>
      </c>
      <c r="M383" s="7">
        <v>2.96999999999997</v>
      </c>
      <c r="N383" s="7">
        <v>-17.96</v>
      </c>
      <c r="O383" s="7">
        <v>-20.83</v>
      </c>
      <c r="P383" s="7">
        <v>-12.09</v>
      </c>
      <c r="Q383" s="7">
        <v>-28.49</v>
      </c>
      <c r="R383" s="7">
        <v>-63.32</v>
      </c>
      <c r="S383" s="7">
        <v>-99.66</v>
      </c>
      <c r="T383" s="7">
        <v>-44.19</v>
      </c>
      <c r="U383" s="7">
        <v>10.15</v>
      </c>
      <c r="V383" s="7">
        <v>8.55000000000001</v>
      </c>
      <c r="W383" s="7">
        <v>-10.39</v>
      </c>
      <c r="X383" s="7">
        <v>-22.77</v>
      </c>
      <c r="Y383" s="7">
        <v>-16.83</v>
      </c>
      <c r="Z383" s="9">
        <f>MAX($B$383:$Y$383)</f>
        <v>271.81</v>
      </c>
      <c r="AA383" s="9">
        <f>MIN($B$383:$Y$383)</f>
        <v>-99.66</v>
      </c>
      <c r="AB383" s="9">
        <f>AVERAGE($B$383:$Y$383)</f>
        <v>20.2320833333333</v>
      </c>
    </row>
    <row r="384" spans="1:28">
      <c r="A384" s="10">
        <v>45674</v>
      </c>
      <c r="B384" s="7">
        <v>-33.04</v>
      </c>
      <c r="C384" s="7">
        <v>-5.64999999999998</v>
      </c>
      <c r="D384" s="7">
        <v>3.26999999999998</v>
      </c>
      <c r="E384" s="7">
        <v>2.51999999999998</v>
      </c>
      <c r="F384" s="7">
        <v>2.65999999999997</v>
      </c>
      <c r="G384" s="7">
        <v>10.16</v>
      </c>
      <c r="H384" s="7">
        <v>8.61000000000001</v>
      </c>
      <c r="I384" s="7">
        <v>5.05000000000001</v>
      </c>
      <c r="J384" s="7">
        <v>-1.23000000000002</v>
      </c>
      <c r="K384" s="7">
        <v>34.58</v>
      </c>
      <c r="L384" s="7">
        <v>128.51</v>
      </c>
      <c r="M384" s="7">
        <v>54.3</v>
      </c>
      <c r="N384" s="7">
        <v>22.02</v>
      </c>
      <c r="O384" s="7">
        <v>19.61</v>
      </c>
      <c r="P384" s="7">
        <v>164.27</v>
      </c>
      <c r="Q384" s="7">
        <v>133.65</v>
      </c>
      <c r="R384" s="7">
        <v>19.41</v>
      </c>
      <c r="S384" s="7">
        <v>25.67</v>
      </c>
      <c r="T384" s="7">
        <v>-23.54</v>
      </c>
      <c r="U384" s="7">
        <v>-9</v>
      </c>
      <c r="V384" s="7">
        <v>1.04000000000002</v>
      </c>
      <c r="W384" s="7">
        <v>2.16000000000002</v>
      </c>
      <c r="X384" s="7">
        <v>4.06</v>
      </c>
      <c r="Y384" s="7">
        <v>4.94</v>
      </c>
      <c r="Z384" s="9">
        <f>MAX($B$384:$Y$384)</f>
        <v>164.27</v>
      </c>
      <c r="AA384" s="9">
        <f>MIN($B$384:$Y$384)</f>
        <v>-33.04</v>
      </c>
      <c r="AB384" s="9">
        <f>AVERAGE($B$384:$Y$384)</f>
        <v>23.9179166666667</v>
      </c>
    </row>
    <row r="385" spans="1:28">
      <c r="A385" s="10">
        <v>45675</v>
      </c>
      <c r="B385" s="7">
        <v>6.24000000000001</v>
      </c>
      <c r="C385" s="7">
        <v>7.57999999999998</v>
      </c>
      <c r="D385" s="7">
        <v>10.49</v>
      </c>
      <c r="E385" s="7">
        <v>10.99</v>
      </c>
      <c r="F385" s="7">
        <v>13.58</v>
      </c>
      <c r="G385" s="7">
        <v>10.83</v>
      </c>
      <c r="H385" s="7">
        <v>11.18</v>
      </c>
      <c r="I385" s="7">
        <v>-0.379999999999995</v>
      </c>
      <c r="J385" s="7">
        <v>-17.94</v>
      </c>
      <c r="K385" s="7">
        <v>8.42999999999995</v>
      </c>
      <c r="L385" s="7">
        <v>79.81</v>
      </c>
      <c r="M385" s="7">
        <v>54.65</v>
      </c>
      <c r="N385" s="7">
        <v>61.23</v>
      </c>
      <c r="O385" s="7">
        <v>0.599999999999966</v>
      </c>
      <c r="P385" s="7">
        <v>9.92000000000002</v>
      </c>
      <c r="Q385" s="7">
        <v>13.14</v>
      </c>
      <c r="R385" s="7">
        <v>8.69</v>
      </c>
      <c r="S385" s="7">
        <v>6.81999999999999</v>
      </c>
      <c r="T385" s="7">
        <v>-5.36000000000001</v>
      </c>
      <c r="U385" s="7">
        <v>-3.13</v>
      </c>
      <c r="V385" s="7">
        <v>-8.35999999999996</v>
      </c>
      <c r="W385" s="7">
        <v>-11.2</v>
      </c>
      <c r="X385" s="7">
        <v>-64.2</v>
      </c>
      <c r="Y385" s="7">
        <v>-4.46000000000004</v>
      </c>
      <c r="Z385" s="9">
        <f>MAX($B$385:$Y$385)</f>
        <v>79.81</v>
      </c>
      <c r="AA385" s="9">
        <f>MIN($B$385:$Y$385)</f>
        <v>-64.2</v>
      </c>
      <c r="AB385" s="9">
        <f>AVERAGE($B$385:$Y$385)</f>
        <v>8.29791666666666</v>
      </c>
    </row>
    <row r="386" spans="1:28">
      <c r="A386" s="10">
        <v>45676</v>
      </c>
      <c r="B386" s="7">
        <v>-103.47</v>
      </c>
      <c r="C386" s="7">
        <v>6.54999999999995</v>
      </c>
      <c r="D386" s="7">
        <v>2.96999999999997</v>
      </c>
      <c r="E386" s="7">
        <v>10.02</v>
      </c>
      <c r="F386" s="7">
        <v>6.61000000000001</v>
      </c>
      <c r="G386" s="7">
        <v>7.65000000000003</v>
      </c>
      <c r="H386" s="7">
        <v>9.97000000000003</v>
      </c>
      <c r="I386" s="7">
        <v>4.46999999999997</v>
      </c>
      <c r="J386" s="7">
        <v>-6.22000000000003</v>
      </c>
      <c r="K386" s="7">
        <v>5</v>
      </c>
      <c r="L386" s="7">
        <v>76.46</v>
      </c>
      <c r="M386" s="7">
        <v>-19.5</v>
      </c>
      <c r="N386" s="7">
        <v>-78.68</v>
      </c>
      <c r="O386" s="7">
        <v>-63.77</v>
      </c>
      <c r="P386" s="7">
        <v>36.03</v>
      </c>
      <c r="Q386" s="7">
        <v>118.2</v>
      </c>
      <c r="R386" s="7">
        <v>13.91</v>
      </c>
      <c r="S386" s="7">
        <v>2.57999999999998</v>
      </c>
      <c r="T386" s="7">
        <v>-111.85</v>
      </c>
      <c r="U386" s="7">
        <v>13.7</v>
      </c>
      <c r="V386" s="7">
        <v>3.94</v>
      </c>
      <c r="W386" s="7">
        <v>-58.42</v>
      </c>
      <c r="X386" s="7">
        <v>-199.43</v>
      </c>
      <c r="Y386" s="7">
        <v>-3.90999999999997</v>
      </c>
      <c r="Z386" s="9">
        <f>MAX($B$386:$Y$386)</f>
        <v>118.2</v>
      </c>
      <c r="AA386" s="9">
        <f>MIN($B$386:$Y$386)</f>
        <v>-199.43</v>
      </c>
      <c r="AB386" s="9">
        <f>AVERAGE($B$386:$Y$386)</f>
        <v>-13.6329166666667</v>
      </c>
    </row>
    <row r="387" spans="1:28">
      <c r="A387" s="10">
        <v>45677</v>
      </c>
      <c r="B387" s="7">
        <v>-183.41</v>
      </c>
      <c r="C387" s="7">
        <v>11.84</v>
      </c>
      <c r="D387" s="7">
        <v>12.6</v>
      </c>
      <c r="E387" s="7">
        <v>10.17</v>
      </c>
      <c r="F387" s="7">
        <v>13.52</v>
      </c>
      <c r="G387" s="7">
        <v>11.35</v>
      </c>
      <c r="H387" s="7">
        <v>8.47000000000003</v>
      </c>
      <c r="I387" s="7">
        <v>18.33</v>
      </c>
      <c r="J387" s="7">
        <v>27.82</v>
      </c>
      <c r="K387" s="7">
        <v>58.84</v>
      </c>
      <c r="L387" s="7">
        <v>39.13</v>
      </c>
      <c r="M387" s="7">
        <v>152.51</v>
      </c>
      <c r="N387" s="7">
        <v>142.45</v>
      </c>
      <c r="O387" s="7">
        <v>236.56</v>
      </c>
      <c r="P387" s="7">
        <v>229.55</v>
      </c>
      <c r="Q387" s="7">
        <v>236.96</v>
      </c>
      <c r="R387" s="7">
        <v>33.67</v>
      </c>
      <c r="S387" s="7">
        <v>58.83</v>
      </c>
      <c r="T387" s="7">
        <v>104.24</v>
      </c>
      <c r="U387" s="7">
        <v>116.51</v>
      </c>
      <c r="V387" s="7">
        <v>94.31</v>
      </c>
      <c r="W387" s="7">
        <v>94.22</v>
      </c>
      <c r="X387" s="7">
        <v>92.43</v>
      </c>
      <c r="Y387" s="7">
        <v>28.09</v>
      </c>
      <c r="Z387" s="9">
        <f>MAX($B$387:$Y$387)</f>
        <v>236.96</v>
      </c>
      <c r="AA387" s="9">
        <f>MIN($B$387:$Y$387)</f>
        <v>-183.41</v>
      </c>
      <c r="AB387" s="9">
        <f>AVERAGE($B$387:$Y$387)</f>
        <v>68.7079166666667</v>
      </c>
    </row>
    <row r="388" spans="1:28">
      <c r="A388" s="10">
        <v>45678</v>
      </c>
      <c r="B388" s="7">
        <v>-170.65</v>
      </c>
      <c r="C388" s="7">
        <v>4.69</v>
      </c>
      <c r="D388" s="7">
        <v>22.56</v>
      </c>
      <c r="E388" s="7">
        <v>21.33</v>
      </c>
      <c r="F388" s="7">
        <v>36.92</v>
      </c>
      <c r="G388" s="7">
        <v>17.35</v>
      </c>
      <c r="H388" s="7">
        <v>25.77</v>
      </c>
      <c r="I388" s="7">
        <v>29.13</v>
      </c>
      <c r="J388" s="7">
        <v>34.5</v>
      </c>
      <c r="K388" s="7">
        <v>208.6</v>
      </c>
      <c r="L388" s="7">
        <v>191.19</v>
      </c>
      <c r="M388" s="7">
        <v>-52.54</v>
      </c>
      <c r="N388" s="7">
        <v>-90.42</v>
      </c>
      <c r="O388" s="7">
        <v>-122.53</v>
      </c>
      <c r="P388" s="7">
        <v>0</v>
      </c>
      <c r="Q388" s="7">
        <v>-73.75</v>
      </c>
      <c r="R388" s="7">
        <v>-23.74</v>
      </c>
      <c r="S388" s="7">
        <v>83.13</v>
      </c>
      <c r="T388" s="7">
        <v>5.73999999999995</v>
      </c>
      <c r="U388" s="7">
        <v>24.37</v>
      </c>
      <c r="V388" s="7">
        <v>27.46</v>
      </c>
      <c r="W388" s="7">
        <v>42.28</v>
      </c>
      <c r="X388" s="7">
        <v>27.48</v>
      </c>
      <c r="Y388" s="7">
        <v>8.22999999999996</v>
      </c>
      <c r="Z388" s="9">
        <f>MAX($B$388:$Y$388)</f>
        <v>208.6</v>
      </c>
      <c r="AA388" s="9">
        <f>MIN($B$388:$Y$388)</f>
        <v>-170.65</v>
      </c>
      <c r="AB388" s="9">
        <f>AVERAGE($B$388:$Y$388)</f>
        <v>11.5458333333333</v>
      </c>
    </row>
    <row r="389" spans="1:28">
      <c r="A389" s="10">
        <v>45679</v>
      </c>
      <c r="B389" s="7">
        <v>-26.25</v>
      </c>
      <c r="C389" s="7">
        <v>3.77999999999997</v>
      </c>
      <c r="D389" s="7">
        <v>11.76</v>
      </c>
      <c r="E389" s="7">
        <v>25.03</v>
      </c>
      <c r="F389" s="7">
        <v>29.25</v>
      </c>
      <c r="G389" s="7">
        <v>77.75</v>
      </c>
      <c r="H389" s="7">
        <v>-17.25</v>
      </c>
      <c r="I389" s="7">
        <v>-23.12</v>
      </c>
      <c r="J389" s="7">
        <v>-4.92000000000002</v>
      </c>
      <c r="K389" s="7">
        <v>-32.77</v>
      </c>
      <c r="L389" s="7">
        <v>-157.71</v>
      </c>
      <c r="M389" s="7">
        <v>-213.45</v>
      </c>
      <c r="N389" s="7">
        <v>-241.16</v>
      </c>
      <c r="O389" s="7">
        <v>-215.64</v>
      </c>
      <c r="P389" s="7">
        <v>61.28</v>
      </c>
      <c r="Q389" s="7">
        <v>164.35</v>
      </c>
      <c r="R389" s="7">
        <v>131.07</v>
      </c>
      <c r="S389" s="7">
        <v>-12.23</v>
      </c>
      <c r="T389" s="7">
        <v>-38.1</v>
      </c>
      <c r="U389" s="7">
        <v>-46.56</v>
      </c>
      <c r="V389" s="7">
        <v>-29.75</v>
      </c>
      <c r="W389" s="7">
        <v>-22.36</v>
      </c>
      <c r="X389" s="7">
        <v>4.5</v>
      </c>
      <c r="Y389" s="7">
        <v>30.69</v>
      </c>
      <c r="Z389" s="9">
        <f>MAX($B$389:$Y$389)</f>
        <v>164.35</v>
      </c>
      <c r="AA389" s="9">
        <f>MIN($B$389:$Y$389)</f>
        <v>-241.16</v>
      </c>
      <c r="AB389" s="9">
        <f>AVERAGE($B$389:$Y$389)</f>
        <v>-22.5754166666667</v>
      </c>
    </row>
    <row r="390" spans="1:28">
      <c r="A390" s="10">
        <v>45680</v>
      </c>
      <c r="B390" s="7">
        <v>-124.83</v>
      </c>
      <c r="C390" s="7">
        <v>73.64</v>
      </c>
      <c r="D390" s="7">
        <v>73.77</v>
      </c>
      <c r="E390" s="7">
        <v>185.44</v>
      </c>
      <c r="F390" s="7">
        <v>215.5</v>
      </c>
      <c r="G390" s="7">
        <v>61.62</v>
      </c>
      <c r="H390" s="7">
        <v>-6.95999999999998</v>
      </c>
      <c r="I390" s="7">
        <v>-10.6</v>
      </c>
      <c r="J390" s="7">
        <v>54.73</v>
      </c>
      <c r="K390" s="7">
        <v>16.03</v>
      </c>
      <c r="L390" s="7">
        <v>-153.13</v>
      </c>
      <c r="M390" s="7">
        <v>-332.84</v>
      </c>
      <c r="N390" s="7">
        <v>-313.78</v>
      </c>
      <c r="O390" s="7">
        <v>-304.23</v>
      </c>
      <c r="P390" s="7">
        <v>-275.03</v>
      </c>
      <c r="Q390" s="7">
        <v>-242.3</v>
      </c>
      <c r="R390" s="7">
        <v>-81.17</v>
      </c>
      <c r="S390" s="7">
        <v>-41.92</v>
      </c>
      <c r="T390" s="7">
        <v>-25.8</v>
      </c>
      <c r="U390" s="7">
        <v>-14.19</v>
      </c>
      <c r="V390" s="7">
        <v>-5.29000000000002</v>
      </c>
      <c r="W390" s="7">
        <v>-9.66000000000002</v>
      </c>
      <c r="X390" s="7">
        <v>12.69</v>
      </c>
      <c r="Y390" s="7">
        <v>92.03</v>
      </c>
      <c r="Z390" s="9">
        <f>MAX($B$390:$Y$390)</f>
        <v>215.5</v>
      </c>
      <c r="AA390" s="9">
        <f>MIN($B$390:$Y$390)</f>
        <v>-332.84</v>
      </c>
      <c r="AB390" s="9">
        <f>AVERAGE($B$390:$Y$390)</f>
        <v>-48.1783333333333</v>
      </c>
    </row>
    <row r="391" spans="1:28">
      <c r="A391" s="10">
        <v>45681</v>
      </c>
      <c r="B391" s="7">
        <v>-326.41</v>
      </c>
      <c r="C391" s="7">
        <v>78.75</v>
      </c>
      <c r="D391" s="7">
        <v>26.25</v>
      </c>
      <c r="E391" s="7">
        <v>34.5</v>
      </c>
      <c r="F391" s="7">
        <v>1.25</v>
      </c>
      <c r="G391" s="7">
        <v>31.25</v>
      </c>
      <c r="H391" s="7">
        <v>188.75</v>
      </c>
      <c r="I391" s="7">
        <v>121.23</v>
      </c>
      <c r="J391" s="7">
        <v>-1.64</v>
      </c>
      <c r="K391" s="7">
        <v>-158.34</v>
      </c>
      <c r="L391" s="7">
        <v>-73.25</v>
      </c>
      <c r="M391" s="7">
        <v>-385.49</v>
      </c>
      <c r="N391" s="7">
        <v>-251.83</v>
      </c>
      <c r="O391" s="7">
        <v>-285.97</v>
      </c>
      <c r="P391" s="7">
        <v>-456.78</v>
      </c>
      <c r="Q391" s="7">
        <v>-920.48</v>
      </c>
      <c r="R391" s="7">
        <v>-568.75</v>
      </c>
      <c r="S391" s="7">
        <v>-145.07</v>
      </c>
      <c r="T391" s="7">
        <v>244.27</v>
      </c>
      <c r="U391" s="7">
        <v>231.07</v>
      </c>
      <c r="V391" s="7">
        <v>119.04</v>
      </c>
      <c r="W391" s="7">
        <v>204.98</v>
      </c>
      <c r="X391" s="7">
        <v>150.35</v>
      </c>
      <c r="Y391" s="7">
        <v>286.25</v>
      </c>
      <c r="Z391" s="9">
        <f>MAX($B$391:$Y$391)</f>
        <v>286.25</v>
      </c>
      <c r="AA391" s="9">
        <f>MIN($B$391:$Y$391)</f>
        <v>-920.48</v>
      </c>
      <c r="AB391" s="9">
        <f>AVERAGE($B$391:$Y$391)</f>
        <v>-77.33625</v>
      </c>
    </row>
    <row r="392" spans="1:28">
      <c r="A392" s="10">
        <v>45682</v>
      </c>
      <c r="B392" s="7">
        <v>128.78</v>
      </c>
      <c r="C392" s="7">
        <v>-48.72</v>
      </c>
      <c r="D392" s="7">
        <v>-233.94</v>
      </c>
      <c r="E392" s="7">
        <v>-50.33</v>
      </c>
      <c r="F392" s="7">
        <v>0</v>
      </c>
      <c r="G392" s="7">
        <v>15.23</v>
      </c>
      <c r="H392" s="7">
        <v>-18.68</v>
      </c>
      <c r="I392" s="7">
        <v>99.04</v>
      </c>
      <c r="J392" s="7">
        <v>-46.47</v>
      </c>
      <c r="K392" s="7">
        <v>-134.03</v>
      </c>
      <c r="L392" s="7">
        <v>-152.42</v>
      </c>
      <c r="M392" s="7">
        <v>-81.84</v>
      </c>
      <c r="N392" s="7">
        <v>-43.75</v>
      </c>
      <c r="O392" s="7">
        <v>0</v>
      </c>
      <c r="P392" s="7">
        <v>0</v>
      </c>
      <c r="Q392" s="7">
        <v>143.98</v>
      </c>
      <c r="R392" s="7">
        <v>0</v>
      </c>
      <c r="S392" s="7">
        <v>-177.75</v>
      </c>
      <c r="T392" s="7">
        <v>-306.78</v>
      </c>
      <c r="U392" s="7">
        <v>-94.83</v>
      </c>
      <c r="V392" s="7">
        <v>-120.75</v>
      </c>
      <c r="W392" s="7">
        <v>-47.53</v>
      </c>
      <c r="X392" s="7">
        <v>-39.74</v>
      </c>
      <c r="Y392" s="7">
        <v>38.53</v>
      </c>
      <c r="Z392" s="9">
        <f>MAX($B$392:$Y$392)</f>
        <v>143.98</v>
      </c>
      <c r="AA392" s="9">
        <f>MIN($B$392:$Y$392)</f>
        <v>-306.78</v>
      </c>
      <c r="AB392" s="9">
        <f>AVERAGE($B$392:$Y$392)</f>
        <v>-48.8333333333333</v>
      </c>
    </row>
    <row r="393" spans="1:28">
      <c r="A393" s="10">
        <v>45683</v>
      </c>
      <c r="B393" s="7">
        <v>0.680000000000007</v>
      </c>
      <c r="C393" s="7">
        <v>35.94</v>
      </c>
      <c r="D393" s="7">
        <v>36.15</v>
      </c>
      <c r="E393" s="7">
        <v>17.3200000000001</v>
      </c>
      <c r="F393" s="7">
        <v>195.89</v>
      </c>
      <c r="G393" s="7">
        <v>265.57</v>
      </c>
      <c r="H393" s="7">
        <v>165</v>
      </c>
      <c r="I393" s="7">
        <v>138.5</v>
      </c>
      <c r="J393" s="7">
        <v>43.75</v>
      </c>
      <c r="K393" s="7">
        <v>-131.48</v>
      </c>
      <c r="L393" s="7">
        <v>-257.33</v>
      </c>
      <c r="M393" s="7">
        <v>-224.9</v>
      </c>
      <c r="N393" s="7">
        <v>-83.58</v>
      </c>
      <c r="O393" s="7">
        <v>-108.87</v>
      </c>
      <c r="P393" s="7">
        <v>33.16</v>
      </c>
      <c r="Q393" s="7">
        <v>73.49</v>
      </c>
      <c r="R393" s="7">
        <v>-69.33</v>
      </c>
      <c r="S393" s="7">
        <v>-207.04</v>
      </c>
      <c r="T393" s="7">
        <v>-2.71000000000001</v>
      </c>
      <c r="U393" s="7">
        <v>29.56</v>
      </c>
      <c r="V393" s="7">
        <v>36.26</v>
      </c>
      <c r="W393" s="7">
        <v>44.68</v>
      </c>
      <c r="X393" s="7">
        <v>-43.61</v>
      </c>
      <c r="Y393" s="7">
        <v>14.48</v>
      </c>
      <c r="Z393" s="9">
        <f>MAX($B$393:$Y$393)</f>
        <v>265.57</v>
      </c>
      <c r="AA393" s="9">
        <f>MIN($B$393:$Y$393)</f>
        <v>-257.33</v>
      </c>
      <c r="AB393" s="9">
        <f>AVERAGE($B$393:$Y$393)</f>
        <v>0.0658333333333396</v>
      </c>
    </row>
    <row r="394" spans="1:28">
      <c r="A394" s="10">
        <v>45684</v>
      </c>
      <c r="B394" s="7">
        <v>-8.50999999999999</v>
      </c>
      <c r="C394" s="7">
        <v>30.34</v>
      </c>
      <c r="D394" s="7">
        <v>226.47</v>
      </c>
      <c r="E394" s="7">
        <v>110.79</v>
      </c>
      <c r="F394" s="7">
        <v>108.79</v>
      </c>
      <c r="G394" s="7">
        <v>106.08</v>
      </c>
      <c r="H394" s="7">
        <v>213.1</v>
      </c>
      <c r="I394" s="7">
        <v>148.71</v>
      </c>
      <c r="J394" s="7">
        <v>228.94</v>
      </c>
      <c r="K394" s="7">
        <v>127.86</v>
      </c>
      <c r="L394" s="7">
        <v>269.77</v>
      </c>
      <c r="M394" s="7">
        <v>92.23</v>
      </c>
      <c r="N394" s="7">
        <v>51.91</v>
      </c>
      <c r="O394" s="7">
        <v>72.06</v>
      </c>
      <c r="P394" s="7">
        <v>-42.24</v>
      </c>
      <c r="Q394" s="7">
        <v>-110.16</v>
      </c>
      <c r="R394" s="7">
        <v>-137.14</v>
      </c>
      <c r="S394" s="7">
        <v>-180.94</v>
      </c>
      <c r="T394" s="7">
        <v>-312.78</v>
      </c>
      <c r="U394" s="7">
        <v>-162.48</v>
      </c>
      <c r="V394" s="7">
        <v>-44.98</v>
      </c>
      <c r="W394" s="7">
        <v>-0.360000000000014</v>
      </c>
      <c r="X394" s="7">
        <v>-23.34</v>
      </c>
      <c r="Y394" s="7">
        <v>-26.22</v>
      </c>
      <c r="Z394" s="9">
        <f>MAX($B$394:$Y$394)</f>
        <v>269.77</v>
      </c>
      <c r="AA394" s="9">
        <f>MIN($B$394:$Y$394)</f>
        <v>-312.78</v>
      </c>
      <c r="AB394" s="9">
        <f>AVERAGE($B$394:$Y$394)</f>
        <v>30.7458333333333</v>
      </c>
    </row>
    <row r="395" spans="1:28">
      <c r="A395" s="10">
        <v>45685</v>
      </c>
      <c r="B395" s="7">
        <v>-68.4</v>
      </c>
      <c r="C395" s="7">
        <v>18.24</v>
      </c>
      <c r="D395" s="7">
        <v>26.19</v>
      </c>
      <c r="E395" s="7">
        <v>22.95</v>
      </c>
      <c r="F395" s="7">
        <v>193.2</v>
      </c>
      <c r="G395" s="7">
        <v>300.4</v>
      </c>
      <c r="H395" s="7">
        <v>119.83</v>
      </c>
      <c r="I395" s="7">
        <v>8</v>
      </c>
      <c r="J395" s="7">
        <v>55.77</v>
      </c>
      <c r="K395" s="7">
        <v>4.58999999999997</v>
      </c>
      <c r="L395" s="7">
        <v>-29.03</v>
      </c>
      <c r="M395" s="7">
        <v>108.07</v>
      </c>
      <c r="N395" s="7">
        <v>-121.32</v>
      </c>
      <c r="O395" s="7">
        <v>-285.79</v>
      </c>
      <c r="P395" s="7">
        <v>-207.98</v>
      </c>
      <c r="Q395" s="7">
        <v>-232.08</v>
      </c>
      <c r="R395" s="7">
        <v>-112.5</v>
      </c>
      <c r="S395" s="7">
        <v>-56.4</v>
      </c>
      <c r="T395" s="7">
        <v>-0.649999999999977</v>
      </c>
      <c r="U395" s="7">
        <v>11.58</v>
      </c>
      <c r="V395" s="7">
        <v>-90.64</v>
      </c>
      <c r="W395" s="7">
        <v>-89.34</v>
      </c>
      <c r="X395" s="7">
        <v>-414.4</v>
      </c>
      <c r="Y395" s="7">
        <v>-154.5</v>
      </c>
      <c r="Z395" s="9">
        <f>MAX($B$395:$Y$395)</f>
        <v>300.4</v>
      </c>
      <c r="AA395" s="9">
        <f>MIN($B$395:$Y$395)</f>
        <v>-414.4</v>
      </c>
      <c r="AB395" s="9">
        <f>AVERAGE($B$395:$Y$395)</f>
        <v>-41.4254166666667</v>
      </c>
    </row>
    <row r="396" spans="1:28">
      <c r="A396" s="10">
        <v>45686</v>
      </c>
      <c r="B396" s="7">
        <v>-20.04</v>
      </c>
      <c r="C396" s="7">
        <v>-78.59</v>
      </c>
      <c r="D396" s="7">
        <v>21</v>
      </c>
      <c r="E396" s="7">
        <v>-15.26</v>
      </c>
      <c r="F396" s="7">
        <v>-39.09</v>
      </c>
      <c r="G396" s="7">
        <v>-48.36</v>
      </c>
      <c r="H396" s="7">
        <v>-59.82</v>
      </c>
      <c r="I396" s="7">
        <v>-51.04</v>
      </c>
      <c r="J396" s="7">
        <v>-146.36</v>
      </c>
      <c r="K396" s="7">
        <v>-307.11</v>
      </c>
      <c r="L396" s="7">
        <v>-158.31</v>
      </c>
      <c r="M396" s="7">
        <v>-288.42</v>
      </c>
      <c r="N396" s="7">
        <v>-242.75</v>
      </c>
      <c r="O396" s="7">
        <v>-276.34</v>
      </c>
      <c r="P396" s="7">
        <v>-308.29</v>
      </c>
      <c r="Q396" s="7">
        <v>-62.5</v>
      </c>
      <c r="R396" s="7">
        <v>-96.24</v>
      </c>
      <c r="S396" s="7">
        <v>-110.31</v>
      </c>
      <c r="T396" s="7">
        <v>-33.31</v>
      </c>
      <c r="U396" s="7">
        <v>-19.54</v>
      </c>
      <c r="V396" s="7">
        <v>-3.61000000000001</v>
      </c>
      <c r="W396" s="7">
        <v>1.06999999999999</v>
      </c>
      <c r="X396" s="7">
        <v>2.98000000000002</v>
      </c>
      <c r="Y396" s="7">
        <v>4.75</v>
      </c>
      <c r="Z396" s="9">
        <f>MAX($B$396:$Y$396)</f>
        <v>21</v>
      </c>
      <c r="AA396" s="9">
        <f>MIN($B$396:$Y$396)</f>
        <v>-308.29</v>
      </c>
      <c r="AB396" s="9">
        <f>AVERAGE($B$396:$Y$396)</f>
        <v>-97.3120833333333</v>
      </c>
    </row>
    <row r="397" spans="1:28">
      <c r="A397" s="10">
        <v>45687</v>
      </c>
      <c r="B397" s="7">
        <v>37.24</v>
      </c>
      <c r="C397" s="7">
        <v>45.71</v>
      </c>
      <c r="D397" s="7">
        <v>28.79</v>
      </c>
      <c r="E397" s="7">
        <v>-33.55</v>
      </c>
      <c r="F397" s="7">
        <v>51.53</v>
      </c>
      <c r="G397" s="7">
        <v>5.41</v>
      </c>
      <c r="H397" s="7">
        <v>-33.28</v>
      </c>
      <c r="I397" s="7">
        <v>-187.8</v>
      </c>
      <c r="J397" s="7">
        <v>-251.31</v>
      </c>
      <c r="K397" s="7">
        <v>-134.93</v>
      </c>
      <c r="L397" s="7">
        <v>-190.52</v>
      </c>
      <c r="M397" s="7">
        <v>-84.61</v>
      </c>
      <c r="N397" s="7">
        <v>-0.01</v>
      </c>
      <c r="O397" s="7">
        <v>-57.75</v>
      </c>
      <c r="P397" s="7">
        <v>0</v>
      </c>
      <c r="Q397" s="7">
        <v>-152.53</v>
      </c>
      <c r="R397" s="7">
        <v>-131.32</v>
      </c>
      <c r="S397" s="7">
        <v>-22.47</v>
      </c>
      <c r="T397" s="7">
        <v>-10.8</v>
      </c>
      <c r="U397" s="7">
        <v>68.41</v>
      </c>
      <c r="V397" s="7">
        <v>-16.7</v>
      </c>
      <c r="W397" s="7">
        <v>-44.21</v>
      </c>
      <c r="X397" s="7">
        <v>-75.91</v>
      </c>
      <c r="Y397" s="7">
        <v>-130.7</v>
      </c>
      <c r="Z397" s="9">
        <f>MAX($B$397:$Y$397)</f>
        <v>68.41</v>
      </c>
      <c r="AA397" s="9">
        <f>MIN($B$397:$Y$397)</f>
        <v>-251.31</v>
      </c>
      <c r="AB397" s="9">
        <f>AVERAGE($B$397:$Y$397)</f>
        <v>-55.0545833333333</v>
      </c>
    </row>
    <row r="398" spans="1:28">
      <c r="A398" s="10">
        <v>45688</v>
      </c>
      <c r="B398" s="7">
        <v>17.91</v>
      </c>
      <c r="C398" s="7">
        <v>88.01</v>
      </c>
      <c r="D398" s="7">
        <v>259.02</v>
      </c>
      <c r="E398" s="7">
        <v>171.08</v>
      </c>
      <c r="F398" s="7">
        <v>283.07</v>
      </c>
      <c r="G398" s="7">
        <v>280.58</v>
      </c>
      <c r="H398" s="7">
        <v>107.57</v>
      </c>
      <c r="I398" s="7">
        <v>33.89</v>
      </c>
      <c r="J398" s="7">
        <v>96.71</v>
      </c>
      <c r="K398" s="7">
        <v>105.5</v>
      </c>
      <c r="L398" s="7">
        <v>188.78</v>
      </c>
      <c r="M398" s="7">
        <v>-16.19</v>
      </c>
      <c r="N398" s="7">
        <v>-26.25</v>
      </c>
      <c r="O398" s="7">
        <v>-172.89</v>
      </c>
      <c r="P398" s="7">
        <v>-228.78</v>
      </c>
      <c r="Q398" s="7">
        <v>51.22</v>
      </c>
      <c r="R398" s="7">
        <v>-15.73</v>
      </c>
      <c r="S398" s="7">
        <v>-6.38999999999999</v>
      </c>
      <c r="T398" s="7">
        <v>7.42000000000002</v>
      </c>
      <c r="U398" s="7">
        <v>31.5</v>
      </c>
      <c r="V398" s="7">
        <v>1</v>
      </c>
      <c r="W398" s="7">
        <v>20</v>
      </c>
      <c r="X398" s="7">
        <v>-16.25</v>
      </c>
      <c r="Y398" s="7">
        <v>5</v>
      </c>
      <c r="Z398" s="9">
        <f>MAX($B$398:$Y$398)</f>
        <v>283.07</v>
      </c>
      <c r="AA398" s="9">
        <f>MIN($B$398:$Y$398)</f>
        <v>-228.78</v>
      </c>
      <c r="AB398" s="9">
        <f>AVERAGE($B$398:$Y$398)</f>
        <v>52.7408333333333</v>
      </c>
    </row>
    <row r="399" spans="1:28">
      <c r="A399" s="10">
        <v>45689</v>
      </c>
      <c r="B399" s="7">
        <v>-165.75</v>
      </c>
      <c r="C399" s="7">
        <v>16.5</v>
      </c>
      <c r="D399" s="7">
        <v>6.25</v>
      </c>
      <c r="E399" s="7">
        <v>21.33</v>
      </c>
      <c r="F399" s="7">
        <v>11.29</v>
      </c>
      <c r="G399" s="7">
        <v>7.91000000000003</v>
      </c>
      <c r="H399" s="7">
        <v>13.55</v>
      </c>
      <c r="I399" s="7">
        <v>-16.36</v>
      </c>
      <c r="J399" s="7">
        <v>-191.31</v>
      </c>
      <c r="K399" s="7">
        <v>-92.25</v>
      </c>
      <c r="L399" s="7">
        <v>-17.5</v>
      </c>
      <c r="M399" s="7">
        <v>-40.71</v>
      </c>
      <c r="N399" s="7">
        <v>-141</v>
      </c>
      <c r="O399" s="7">
        <v>-355.25</v>
      </c>
      <c r="P399" s="7">
        <v>-76.8</v>
      </c>
      <c r="Q399" s="7">
        <v>-41.42</v>
      </c>
      <c r="R399" s="7">
        <v>7.56999999999999</v>
      </c>
      <c r="S399" s="7">
        <v>-40.57</v>
      </c>
      <c r="T399" s="7">
        <v>-92.04</v>
      </c>
      <c r="U399" s="7">
        <v>-4.54000000000002</v>
      </c>
      <c r="V399" s="7">
        <v>10.06</v>
      </c>
      <c r="W399" s="7">
        <v>24.87</v>
      </c>
      <c r="X399" s="7">
        <v>26.27</v>
      </c>
      <c r="Y399" s="7">
        <v>56.39</v>
      </c>
      <c r="Z399" s="9">
        <f>MAX($B$399:$Y$399)</f>
        <v>56.39</v>
      </c>
      <c r="AA399" s="9">
        <f>MIN($B$399:$Y$399)</f>
        <v>-355.25</v>
      </c>
      <c r="AB399" s="9">
        <f>AVERAGE($B$399:$Y$399)</f>
        <v>-44.7295833333333</v>
      </c>
    </row>
    <row r="400" spans="1:28">
      <c r="A400" s="10">
        <v>45690</v>
      </c>
      <c r="B400" s="7">
        <v>-171.2</v>
      </c>
      <c r="C400" s="7">
        <v>5.86000000000001</v>
      </c>
      <c r="D400" s="7">
        <v>20.64</v>
      </c>
      <c r="E400" s="7">
        <v>30.22</v>
      </c>
      <c r="F400" s="7">
        <v>113.18</v>
      </c>
      <c r="G400" s="7">
        <v>15.22</v>
      </c>
      <c r="H400" s="7">
        <v>25.21</v>
      </c>
      <c r="I400" s="7">
        <v>17.71</v>
      </c>
      <c r="J400" s="7">
        <v>21.39</v>
      </c>
      <c r="K400" s="7">
        <v>-33.75</v>
      </c>
      <c r="L400" s="7">
        <v>-40.14</v>
      </c>
      <c r="M400" s="7">
        <v>-95.5</v>
      </c>
      <c r="N400" s="7">
        <v>-252.83</v>
      </c>
      <c r="O400" s="7">
        <v>-59.97</v>
      </c>
      <c r="P400" s="7">
        <v>0.75</v>
      </c>
      <c r="Q400" s="7">
        <v>118.5</v>
      </c>
      <c r="R400" s="7">
        <v>59.99</v>
      </c>
      <c r="S400" s="7">
        <v>-103.5</v>
      </c>
      <c r="T400" s="7">
        <v>-26.11</v>
      </c>
      <c r="U400" s="7">
        <v>-5.63999999999999</v>
      </c>
      <c r="V400" s="7">
        <v>-22.39</v>
      </c>
      <c r="W400" s="7">
        <v>-18</v>
      </c>
      <c r="X400" s="7">
        <v>-19.9</v>
      </c>
      <c r="Y400" s="7">
        <v>52.05</v>
      </c>
      <c r="Z400" s="9">
        <f>MAX($B$400:$Y$400)</f>
        <v>118.5</v>
      </c>
      <c r="AA400" s="9">
        <f>MIN($B$400:$Y$400)</f>
        <v>-252.83</v>
      </c>
      <c r="AB400" s="9">
        <f>AVERAGE($B$400:$Y$400)</f>
        <v>-15.3420833333333</v>
      </c>
    </row>
    <row r="401" spans="1:28">
      <c r="A401" s="10">
        <v>45691</v>
      </c>
      <c r="B401" s="7">
        <v>31.72</v>
      </c>
      <c r="C401" s="7">
        <v>2.00999999999999</v>
      </c>
      <c r="D401" s="7">
        <v>8.71999999999997</v>
      </c>
      <c r="E401" s="7">
        <v>124.03</v>
      </c>
      <c r="F401" s="7">
        <v>155</v>
      </c>
      <c r="G401" s="7">
        <v>160.8</v>
      </c>
      <c r="H401" s="7">
        <v>10.01</v>
      </c>
      <c r="I401" s="7">
        <v>-3.50999999999999</v>
      </c>
      <c r="J401" s="7">
        <v>-0.200000000000045</v>
      </c>
      <c r="K401" s="7">
        <v>-1.16000000000003</v>
      </c>
      <c r="L401" s="7">
        <v>-1.85000000000002</v>
      </c>
      <c r="M401" s="7">
        <v>12.36</v>
      </c>
      <c r="N401" s="7">
        <v>13.25</v>
      </c>
      <c r="O401" s="7">
        <v>3.03000000000003</v>
      </c>
      <c r="P401" s="7">
        <v>-5.42000000000002</v>
      </c>
      <c r="Q401" s="7">
        <v>-9.95999999999998</v>
      </c>
      <c r="R401" s="7">
        <v>2.26000000000005</v>
      </c>
      <c r="S401" s="7">
        <v>5.13</v>
      </c>
      <c r="T401" s="7">
        <v>13.09</v>
      </c>
      <c r="U401" s="7">
        <v>7.75999999999999</v>
      </c>
      <c r="V401" s="7">
        <v>7.96000000000004</v>
      </c>
      <c r="W401" s="7">
        <v>10.52</v>
      </c>
      <c r="X401" s="7">
        <v>16.76</v>
      </c>
      <c r="Y401" s="7">
        <v>38.17</v>
      </c>
      <c r="Z401" s="9">
        <f>MAX($B$401:$Y$401)</f>
        <v>160.8</v>
      </c>
      <c r="AA401" s="9">
        <f>MIN($B$401:$Y$401)</f>
        <v>-9.95999999999998</v>
      </c>
      <c r="AB401" s="9">
        <f>AVERAGE($B$401:$Y$401)</f>
        <v>25.02</v>
      </c>
    </row>
    <row r="402" spans="1:28">
      <c r="A402" s="10">
        <v>45692</v>
      </c>
      <c r="B402" s="7">
        <v>-84.98</v>
      </c>
      <c r="C402" s="7">
        <v>29.34</v>
      </c>
      <c r="D402" s="7">
        <v>31.12</v>
      </c>
      <c r="E402" s="7">
        <v>25.79</v>
      </c>
      <c r="F402" s="7">
        <v>-15.38</v>
      </c>
      <c r="G402" s="7">
        <v>-41.76</v>
      </c>
      <c r="H402" s="7">
        <v>-31.2</v>
      </c>
      <c r="I402" s="7">
        <v>-39.96</v>
      </c>
      <c r="J402" s="7">
        <v>-23.36</v>
      </c>
      <c r="K402" s="7">
        <v>-14.27</v>
      </c>
      <c r="L402" s="7">
        <v>166.74</v>
      </c>
      <c r="M402" s="7">
        <v>17.07</v>
      </c>
      <c r="N402" s="7">
        <v>-140.2</v>
      </c>
      <c r="O402" s="7">
        <v>-95.38</v>
      </c>
      <c r="P402" s="7">
        <v>-251.41</v>
      </c>
      <c r="Q402" s="7">
        <v>-166.37</v>
      </c>
      <c r="R402" s="7">
        <v>1.73999999999995</v>
      </c>
      <c r="S402" s="7">
        <v>21.71</v>
      </c>
      <c r="T402" s="7">
        <v>-27.58</v>
      </c>
      <c r="U402" s="7">
        <v>-40.84</v>
      </c>
      <c r="V402" s="7">
        <v>19.12</v>
      </c>
      <c r="W402" s="7">
        <v>4.60000000000002</v>
      </c>
      <c r="X402" s="7">
        <v>2.64999999999998</v>
      </c>
      <c r="Y402" s="7">
        <v>-4.61000000000001</v>
      </c>
      <c r="Z402" s="9">
        <f>MAX($B$402:$Y$402)</f>
        <v>166.74</v>
      </c>
      <c r="AA402" s="9">
        <f>MIN($B$402:$Y$402)</f>
        <v>-251.41</v>
      </c>
      <c r="AB402" s="9">
        <f>AVERAGE($B$402:$Y$402)</f>
        <v>-27.3925</v>
      </c>
    </row>
    <row r="403" spans="1:28">
      <c r="A403" s="10">
        <v>45693</v>
      </c>
      <c r="B403" s="7">
        <v>-94.28</v>
      </c>
      <c r="C403" s="7">
        <v>11.08</v>
      </c>
      <c r="D403" s="7">
        <v>7.38</v>
      </c>
      <c r="E403" s="7">
        <v>6.79000000000002</v>
      </c>
      <c r="F403" s="7">
        <v>64.26</v>
      </c>
      <c r="G403" s="7">
        <v>148.75</v>
      </c>
      <c r="H403" s="7">
        <v>59.5</v>
      </c>
      <c r="I403" s="7">
        <v>-3.52999999999997</v>
      </c>
      <c r="J403" s="7">
        <v>70.4</v>
      </c>
      <c r="K403" s="7">
        <v>6.57999999999998</v>
      </c>
      <c r="L403" s="7">
        <v>76.67</v>
      </c>
      <c r="M403" s="7">
        <v>4.23000000000002</v>
      </c>
      <c r="N403" s="7">
        <v>1.52999999999997</v>
      </c>
      <c r="O403" s="7">
        <v>221.46</v>
      </c>
      <c r="P403" s="7">
        <v>-5.56</v>
      </c>
      <c r="Q403" s="7">
        <v>-15.03</v>
      </c>
      <c r="R403" s="7">
        <v>-23.22</v>
      </c>
      <c r="S403" s="7">
        <v>-19.39</v>
      </c>
      <c r="T403" s="7">
        <v>-14.02</v>
      </c>
      <c r="U403" s="7">
        <v>7.50999999999999</v>
      </c>
      <c r="V403" s="7">
        <v>20.79</v>
      </c>
      <c r="W403" s="7">
        <v>2.72000000000003</v>
      </c>
      <c r="X403" s="7">
        <v>13.57</v>
      </c>
      <c r="Y403" s="7">
        <v>25.43</v>
      </c>
      <c r="Z403" s="9">
        <f>MAX($B$403:$Y$403)</f>
        <v>221.46</v>
      </c>
      <c r="AA403" s="9">
        <f>MIN($B$403:$Y$403)</f>
        <v>-94.28</v>
      </c>
      <c r="AB403" s="9">
        <f>AVERAGE($B$403:$Y$403)</f>
        <v>23.9008333333333</v>
      </c>
    </row>
    <row r="404" spans="1:28">
      <c r="A404" s="10">
        <v>45694</v>
      </c>
      <c r="B404" s="7">
        <v>0.180000000000007</v>
      </c>
      <c r="C404" s="7">
        <v>2.07000000000005</v>
      </c>
      <c r="D404" s="7">
        <v>1.10000000000002</v>
      </c>
      <c r="E404" s="7">
        <v>-4.14999999999998</v>
      </c>
      <c r="F404" s="7">
        <v>4.25</v>
      </c>
      <c r="G404" s="7">
        <v>12.67</v>
      </c>
      <c r="H404" s="7">
        <v>6.69</v>
      </c>
      <c r="I404" s="7">
        <v>50.56</v>
      </c>
      <c r="J404" s="7">
        <v>-109.6</v>
      </c>
      <c r="K404" s="7">
        <v>-117.96</v>
      </c>
      <c r="L404" s="7">
        <v>-36.61</v>
      </c>
      <c r="M404" s="7">
        <v>-14.78</v>
      </c>
      <c r="N404" s="7">
        <v>159.64</v>
      </c>
      <c r="O404" s="7">
        <v>59.57</v>
      </c>
      <c r="P404" s="7">
        <v>-11.4</v>
      </c>
      <c r="Q404" s="7">
        <v>-12.42</v>
      </c>
      <c r="R404" s="7">
        <v>-22.65</v>
      </c>
      <c r="S404" s="7">
        <v>-9.26999999999998</v>
      </c>
      <c r="T404" s="7">
        <v>6.68000000000001</v>
      </c>
      <c r="U404" s="7">
        <v>26.16</v>
      </c>
      <c r="V404" s="7">
        <v>23.05</v>
      </c>
      <c r="W404" s="7">
        <v>19.31</v>
      </c>
      <c r="X404" s="7">
        <v>7.42000000000002</v>
      </c>
      <c r="Y404" s="7">
        <v>123.56</v>
      </c>
      <c r="Z404" s="9">
        <f>MAX($B$404:$Y$404)</f>
        <v>159.64</v>
      </c>
      <c r="AA404" s="9">
        <f>MIN($B$404:$Y$404)</f>
        <v>-117.96</v>
      </c>
      <c r="AB404" s="9">
        <f>AVERAGE($B$404:$Y$404)</f>
        <v>6.83625000000001</v>
      </c>
    </row>
    <row r="405" spans="1:28">
      <c r="A405" s="10">
        <v>45695</v>
      </c>
      <c r="B405" s="7">
        <v>-0.0300000000000296</v>
      </c>
      <c r="C405" s="7">
        <v>9.81999999999999</v>
      </c>
      <c r="D405" s="7">
        <v>1.38999999999999</v>
      </c>
      <c r="E405" s="7">
        <v>47.69</v>
      </c>
      <c r="F405" s="7">
        <v>-10.44</v>
      </c>
      <c r="G405" s="7">
        <v>-14.41</v>
      </c>
      <c r="H405" s="7">
        <v>-22.31</v>
      </c>
      <c r="I405" s="7">
        <v>-23.65</v>
      </c>
      <c r="J405" s="7">
        <v>-43.81</v>
      </c>
      <c r="K405" s="7">
        <v>-48.09</v>
      </c>
      <c r="L405" s="7">
        <v>-58.05</v>
      </c>
      <c r="M405" s="7">
        <v>-70.34</v>
      </c>
      <c r="N405" s="7">
        <v>-67.68</v>
      </c>
      <c r="O405" s="7">
        <v>-391.39</v>
      </c>
      <c r="P405" s="7">
        <v>-266.01</v>
      </c>
      <c r="Q405" s="7">
        <v>-28.98</v>
      </c>
      <c r="R405" s="7">
        <v>-28.48</v>
      </c>
      <c r="S405" s="7">
        <v>5.08000000000004</v>
      </c>
      <c r="T405" s="7">
        <v>13.58</v>
      </c>
      <c r="U405" s="7">
        <v>11.52</v>
      </c>
      <c r="V405" s="7">
        <v>-0.379999999999995</v>
      </c>
      <c r="W405" s="7">
        <v>-4.15999999999997</v>
      </c>
      <c r="X405" s="7">
        <v>-2.26999999999998</v>
      </c>
      <c r="Y405" s="7">
        <v>5.20999999999998</v>
      </c>
      <c r="Z405" s="9">
        <f>MAX($B$405:$Y$405)</f>
        <v>47.69</v>
      </c>
      <c r="AA405" s="9">
        <f>MIN($B$405:$Y$405)</f>
        <v>-391.39</v>
      </c>
      <c r="AB405" s="9">
        <f>AVERAGE($B$405:$Y$405)</f>
        <v>-41.09125</v>
      </c>
    </row>
    <row r="406" spans="1:28">
      <c r="A406" s="10">
        <v>45696</v>
      </c>
      <c r="B406" s="7">
        <v>1.96000000000004</v>
      </c>
      <c r="C406" s="7">
        <v>23.02</v>
      </c>
      <c r="D406" s="7">
        <v>8.75</v>
      </c>
      <c r="E406" s="7">
        <v>90.54</v>
      </c>
      <c r="F406" s="7">
        <v>12.28</v>
      </c>
      <c r="G406" s="7">
        <v>-18.58</v>
      </c>
      <c r="H406" s="7">
        <v>-6.42000000000002</v>
      </c>
      <c r="I406" s="7">
        <v>-8.17000000000002</v>
      </c>
      <c r="J406" s="7">
        <v>-7.75999999999999</v>
      </c>
      <c r="K406" s="7">
        <v>70.96</v>
      </c>
      <c r="L406" s="7">
        <v>92.22</v>
      </c>
      <c r="M406" s="7">
        <v>140.84</v>
      </c>
      <c r="N406" s="7">
        <v>149.28</v>
      </c>
      <c r="O406" s="7">
        <v>31.15</v>
      </c>
      <c r="P406" s="7">
        <v>56.07</v>
      </c>
      <c r="Q406" s="7">
        <v>0.379999999999995</v>
      </c>
      <c r="R406" s="7">
        <v>-13.1799999999999</v>
      </c>
      <c r="S406" s="7">
        <v>21.41</v>
      </c>
      <c r="T406" s="7">
        <v>50.01</v>
      </c>
      <c r="U406" s="7">
        <v>32.97</v>
      </c>
      <c r="V406" s="7">
        <v>27.75</v>
      </c>
      <c r="W406" s="7">
        <v>29.48</v>
      </c>
      <c r="X406" s="7">
        <v>20.75</v>
      </c>
      <c r="Y406" s="7">
        <v>13.01</v>
      </c>
      <c r="Z406" s="9">
        <f>MAX($B$406:$Y$406)</f>
        <v>149.28</v>
      </c>
      <c r="AA406" s="9">
        <f>MIN($B$406:$Y$406)</f>
        <v>-18.58</v>
      </c>
      <c r="AB406" s="9">
        <f>AVERAGE($B$406:$Y$406)</f>
        <v>34.1133333333333</v>
      </c>
    </row>
    <row r="407" spans="1:28">
      <c r="A407" s="10">
        <v>45697</v>
      </c>
      <c r="B407" s="7">
        <v>1.08999999999997</v>
      </c>
      <c r="C407" s="7">
        <v>-4.90999999999997</v>
      </c>
      <c r="D407" s="7">
        <v>5.35999999999996</v>
      </c>
      <c r="E407" s="7">
        <v>15.67</v>
      </c>
      <c r="F407" s="7">
        <v>112.36</v>
      </c>
      <c r="G407" s="7">
        <v>77.22</v>
      </c>
      <c r="H407" s="7">
        <v>5.48000000000002</v>
      </c>
      <c r="I407" s="7">
        <v>-2.02000000000004</v>
      </c>
      <c r="J407" s="7">
        <v>104.37</v>
      </c>
      <c r="K407" s="7">
        <v>90.48</v>
      </c>
      <c r="L407" s="7">
        <v>234.17</v>
      </c>
      <c r="M407" s="7">
        <v>179.05</v>
      </c>
      <c r="N407" s="7">
        <v>149.86</v>
      </c>
      <c r="O407" s="7">
        <v>151.52</v>
      </c>
      <c r="P407" s="7">
        <v>296.97</v>
      </c>
      <c r="Q407" s="7">
        <v>229.28</v>
      </c>
      <c r="R407" s="7">
        <v>97.64</v>
      </c>
      <c r="S407" s="7">
        <v>46.96</v>
      </c>
      <c r="T407" s="7">
        <v>13.94</v>
      </c>
      <c r="U407" s="7">
        <v>47.85</v>
      </c>
      <c r="V407" s="7">
        <v>41.15</v>
      </c>
      <c r="W407" s="7">
        <v>41.61</v>
      </c>
      <c r="X407" s="7">
        <v>-30.82</v>
      </c>
      <c r="Y407" s="7">
        <v>-1.06999999999999</v>
      </c>
      <c r="Z407" s="9">
        <f>MAX($B$407:$Y$407)</f>
        <v>296.97</v>
      </c>
      <c r="AA407" s="9">
        <f>MIN($B$407:$Y$407)</f>
        <v>-30.82</v>
      </c>
      <c r="AB407" s="9">
        <f>AVERAGE($B$407:$Y$407)</f>
        <v>79.3004166666667</v>
      </c>
    </row>
    <row r="408" spans="1:28">
      <c r="A408" s="10">
        <v>45698</v>
      </c>
      <c r="B408" s="7">
        <v>-1.18000000000001</v>
      </c>
      <c r="C408" s="7">
        <v>4.47000000000003</v>
      </c>
      <c r="D408" s="7">
        <v>12.42</v>
      </c>
      <c r="E408" s="7">
        <v>6.62</v>
      </c>
      <c r="F408" s="7">
        <v>4.79000000000002</v>
      </c>
      <c r="G408" s="7">
        <v>-2.16000000000002</v>
      </c>
      <c r="H408" s="7">
        <v>0.45999999999998</v>
      </c>
      <c r="I408" s="7">
        <v>8.73000000000002</v>
      </c>
      <c r="J408" s="7">
        <v>-197.85</v>
      </c>
      <c r="K408" s="7">
        <v>-7.57999999999998</v>
      </c>
      <c r="L408" s="7">
        <v>-17.02</v>
      </c>
      <c r="M408" s="7">
        <v>-10.97</v>
      </c>
      <c r="N408" s="7">
        <v>54.93</v>
      </c>
      <c r="O408" s="7">
        <v>71.83</v>
      </c>
      <c r="P408" s="7">
        <v>98.3</v>
      </c>
      <c r="Q408" s="7">
        <v>-21.05</v>
      </c>
      <c r="R408" s="7">
        <v>-20.31</v>
      </c>
      <c r="S408" s="7">
        <v>-2.29000000000002</v>
      </c>
      <c r="T408" s="7">
        <v>-64.75</v>
      </c>
      <c r="U408" s="7">
        <v>-249.45</v>
      </c>
      <c r="V408" s="7">
        <v>-316.07</v>
      </c>
      <c r="W408" s="7">
        <v>-457.92</v>
      </c>
      <c r="X408" s="7">
        <v>-269.61</v>
      </c>
      <c r="Y408" s="7">
        <v>-29.99</v>
      </c>
      <c r="Z408" s="9">
        <f>MAX($B$408:$Y$408)</f>
        <v>98.3</v>
      </c>
      <c r="AA408" s="9">
        <f>MIN($B$408:$Y$408)</f>
        <v>-457.92</v>
      </c>
      <c r="AB408" s="9">
        <f>AVERAGE($B$408:$Y$408)</f>
        <v>-58.56875</v>
      </c>
    </row>
    <row r="409" spans="1:28">
      <c r="A409" s="10">
        <v>45699</v>
      </c>
      <c r="B409" s="7">
        <v>-0.829999999999984</v>
      </c>
      <c r="C409" s="7">
        <v>-9.90000000000003</v>
      </c>
      <c r="D409" s="7">
        <v>-10.33</v>
      </c>
      <c r="E409" s="7">
        <v>-2.24000000000001</v>
      </c>
      <c r="F409" s="7">
        <v>-5.01999999999998</v>
      </c>
      <c r="G409" s="7">
        <v>-10.25</v>
      </c>
      <c r="H409" s="7">
        <v>-5.42000000000002</v>
      </c>
      <c r="I409" s="7">
        <v>3.37</v>
      </c>
      <c r="J409" s="7">
        <v>-12.54</v>
      </c>
      <c r="K409" s="7">
        <v>-18.07</v>
      </c>
      <c r="L409" s="7">
        <v>16.35</v>
      </c>
      <c r="M409" s="7">
        <v>5.38</v>
      </c>
      <c r="N409" s="7">
        <v>6.91000000000003</v>
      </c>
      <c r="O409" s="7">
        <v>-4.13</v>
      </c>
      <c r="P409" s="7">
        <v>-4.11000000000001</v>
      </c>
      <c r="Q409" s="7">
        <v>-8.25</v>
      </c>
      <c r="R409" s="7">
        <v>3.72000000000003</v>
      </c>
      <c r="S409" s="7">
        <v>9.91000000000002</v>
      </c>
      <c r="T409" s="7">
        <v>3.54000000000002</v>
      </c>
      <c r="U409" s="7">
        <v>18.1</v>
      </c>
      <c r="V409" s="7">
        <v>25.37</v>
      </c>
      <c r="W409" s="7">
        <v>38.67</v>
      </c>
      <c r="X409" s="7">
        <v>29.9</v>
      </c>
      <c r="Y409" s="7">
        <v>18.45</v>
      </c>
      <c r="Z409" s="9">
        <f>MAX($B$409:$Y$409)</f>
        <v>38.67</v>
      </c>
      <c r="AA409" s="9">
        <f>MIN($B$409:$Y$409)</f>
        <v>-18.07</v>
      </c>
      <c r="AB409" s="9">
        <f>AVERAGE($B$409:$Y$409)</f>
        <v>3.69083333333334</v>
      </c>
    </row>
    <row r="410" spans="1:28">
      <c r="A410" s="10">
        <v>45700</v>
      </c>
      <c r="B410" s="7">
        <v>-19.21</v>
      </c>
      <c r="C410" s="7">
        <v>-5.61000000000001</v>
      </c>
      <c r="D410" s="7">
        <v>-2.75</v>
      </c>
      <c r="E410" s="7">
        <v>-0.270000000000039</v>
      </c>
      <c r="F410" s="7">
        <v>-2.90000000000003</v>
      </c>
      <c r="G410" s="7">
        <v>0.490000000000009</v>
      </c>
      <c r="H410" s="7">
        <v>-7.19999999999999</v>
      </c>
      <c r="I410" s="7">
        <v>-9.82999999999998</v>
      </c>
      <c r="J410" s="7">
        <v>-33.92</v>
      </c>
      <c r="K410" s="7">
        <v>3.99000000000001</v>
      </c>
      <c r="L410" s="7">
        <v>9.79000000000002</v>
      </c>
      <c r="M410" s="7">
        <v>-2.04000000000002</v>
      </c>
      <c r="N410" s="7">
        <v>3.68000000000001</v>
      </c>
      <c r="O410" s="7">
        <v>5.91000000000003</v>
      </c>
      <c r="P410" s="7">
        <v>12.43</v>
      </c>
      <c r="Q410" s="7">
        <v>5.06999999999999</v>
      </c>
      <c r="R410" s="7">
        <v>1.73000000000002</v>
      </c>
      <c r="S410" s="7">
        <v>0.0600000000000023</v>
      </c>
      <c r="T410" s="7">
        <v>-0.949999999999989</v>
      </c>
      <c r="U410" s="7">
        <v>6.93000000000001</v>
      </c>
      <c r="V410" s="7">
        <v>15.74</v>
      </c>
      <c r="W410" s="7">
        <v>-11.28</v>
      </c>
      <c r="X410" s="7">
        <v>19.59</v>
      </c>
      <c r="Y410" s="7">
        <v>9.47999999999996</v>
      </c>
      <c r="Z410" s="9">
        <f>MAX($B$410:$Y$410)</f>
        <v>19.59</v>
      </c>
      <c r="AA410" s="9">
        <f>MIN($B$410:$Y$410)</f>
        <v>-33.92</v>
      </c>
      <c r="AB410" s="9">
        <f>AVERAGE($B$410:$Y$410)</f>
        <v>-0.0445833333333336</v>
      </c>
    </row>
    <row r="411" spans="1:28">
      <c r="A411" s="10">
        <v>45701</v>
      </c>
      <c r="B411" s="7">
        <v>1.13</v>
      </c>
      <c r="C411" s="7">
        <v>7.70000000000005</v>
      </c>
      <c r="D411" s="7">
        <v>5.36000000000001</v>
      </c>
      <c r="E411" s="7">
        <v>2.26999999999998</v>
      </c>
      <c r="F411" s="7">
        <v>1.63000000000005</v>
      </c>
      <c r="G411" s="7">
        <v>-0.199999999999989</v>
      </c>
      <c r="H411" s="7">
        <v>5.75</v>
      </c>
      <c r="I411" s="7">
        <v>4.21000000000004</v>
      </c>
      <c r="J411" s="7">
        <v>29.02</v>
      </c>
      <c r="K411" s="7">
        <v>32.72</v>
      </c>
      <c r="L411" s="7">
        <v>45.85</v>
      </c>
      <c r="M411" s="7">
        <v>40.36</v>
      </c>
      <c r="N411" s="7">
        <v>110.31</v>
      </c>
      <c r="O411" s="7">
        <v>88.45</v>
      </c>
      <c r="P411" s="7">
        <v>23.22</v>
      </c>
      <c r="Q411" s="7">
        <v>14.77</v>
      </c>
      <c r="R411" s="7">
        <v>23.84</v>
      </c>
      <c r="S411" s="7">
        <v>22.93</v>
      </c>
      <c r="T411" s="7">
        <v>18.5</v>
      </c>
      <c r="U411" s="7">
        <v>18.3</v>
      </c>
      <c r="V411" s="7">
        <v>2.82999999999998</v>
      </c>
      <c r="W411" s="7">
        <v>22.35</v>
      </c>
      <c r="X411" s="7">
        <v>33.71</v>
      </c>
      <c r="Y411" s="7">
        <v>25.9</v>
      </c>
      <c r="Z411" s="9">
        <f>MAX($B$411:$Y$411)</f>
        <v>110.31</v>
      </c>
      <c r="AA411" s="9">
        <f>MIN($B$411:$Y$411)</f>
        <v>-0.199999999999989</v>
      </c>
      <c r="AB411" s="9">
        <f>AVERAGE($B$411:$Y$411)</f>
        <v>24.2045833333333</v>
      </c>
    </row>
    <row r="412" spans="1:28">
      <c r="A412" s="10">
        <v>45702</v>
      </c>
      <c r="B412" s="7">
        <v>-14.72</v>
      </c>
      <c r="C412" s="7">
        <v>3.94</v>
      </c>
      <c r="D412" s="7">
        <v>5.30000000000001</v>
      </c>
      <c r="E412" s="7">
        <v>1.93000000000001</v>
      </c>
      <c r="F412" s="7">
        <v>-1.25999999999999</v>
      </c>
      <c r="G412" s="7">
        <v>-1.81999999999999</v>
      </c>
      <c r="H412" s="7">
        <v>-6.49000000000001</v>
      </c>
      <c r="I412" s="7">
        <v>-19.43</v>
      </c>
      <c r="J412" s="7">
        <v>-229.33</v>
      </c>
      <c r="K412" s="7">
        <v>4.38</v>
      </c>
      <c r="L412" s="7">
        <v>22.55</v>
      </c>
      <c r="M412" s="7">
        <v>27.75</v>
      </c>
      <c r="N412" s="7">
        <v>17.36</v>
      </c>
      <c r="O412" s="7">
        <v>16.39</v>
      </c>
      <c r="P412" s="7">
        <v>19.38</v>
      </c>
      <c r="Q412" s="7">
        <v>18.61</v>
      </c>
      <c r="R412" s="7">
        <v>36.9</v>
      </c>
      <c r="S412" s="7">
        <v>43.05</v>
      </c>
      <c r="T412" s="7">
        <v>21.85</v>
      </c>
      <c r="U412" s="7">
        <v>-29.95</v>
      </c>
      <c r="V412" s="7">
        <v>3.94999999999999</v>
      </c>
      <c r="W412" s="7">
        <v>3.29000000000002</v>
      </c>
      <c r="X412" s="7">
        <v>22.62</v>
      </c>
      <c r="Y412" s="7">
        <v>9.67000000000002</v>
      </c>
      <c r="Z412" s="9">
        <f>MAX($B$412:$Y$412)</f>
        <v>43.05</v>
      </c>
      <c r="AA412" s="9">
        <f>MIN($B$412:$Y$412)</f>
        <v>-229.33</v>
      </c>
      <c r="AB412" s="9">
        <f>AVERAGE($B$412:$Y$412)</f>
        <v>-1.00333333333333</v>
      </c>
    </row>
    <row r="413" spans="1:28">
      <c r="A413" s="10">
        <v>45703</v>
      </c>
      <c r="B413" s="7">
        <v>-19.34</v>
      </c>
      <c r="C413" s="7">
        <v>-16.07</v>
      </c>
      <c r="D413" s="7">
        <v>-10.6300000000001</v>
      </c>
      <c r="E413" s="7">
        <v>-10.9</v>
      </c>
      <c r="F413" s="7">
        <v>-12.89</v>
      </c>
      <c r="G413" s="7">
        <v>-5.10000000000002</v>
      </c>
      <c r="H413" s="7">
        <v>-0.810000000000002</v>
      </c>
      <c r="I413" s="7">
        <v>-0.710000000000036</v>
      </c>
      <c r="J413" s="7">
        <v>-16.29</v>
      </c>
      <c r="K413" s="7">
        <v>-321.02</v>
      </c>
      <c r="L413" s="7">
        <v>-45.98</v>
      </c>
      <c r="M413" s="7">
        <v>-71.46</v>
      </c>
      <c r="N413" s="7">
        <v>-14.34</v>
      </c>
      <c r="O413" s="7">
        <v>-20.06</v>
      </c>
      <c r="P413" s="7">
        <v>-9.22999999999996</v>
      </c>
      <c r="Q413" s="7">
        <v>-6.15999999999997</v>
      </c>
      <c r="R413" s="7">
        <v>-20.36</v>
      </c>
      <c r="S413" s="7">
        <v>-36.75</v>
      </c>
      <c r="T413" s="7">
        <v>-125.47</v>
      </c>
      <c r="U413" s="7">
        <v>-288.83</v>
      </c>
      <c r="V413" s="7">
        <v>-210.16</v>
      </c>
      <c r="W413" s="7">
        <v>-126.2</v>
      </c>
      <c r="X413" s="7">
        <v>-25.39</v>
      </c>
      <c r="Y413" s="7">
        <v>-11.17</v>
      </c>
      <c r="Z413" s="9">
        <f>MAX($B$413:$Y$413)</f>
        <v>-0.710000000000036</v>
      </c>
      <c r="AA413" s="9">
        <f>MIN($B$413:$Y$413)</f>
        <v>-321.02</v>
      </c>
      <c r="AB413" s="9">
        <f>AVERAGE($B$413:$Y$413)</f>
        <v>-59.3883333333333</v>
      </c>
    </row>
    <row r="414" spans="1:28">
      <c r="A414" s="10">
        <v>45704</v>
      </c>
      <c r="B414" s="7">
        <v>2.98999999999995</v>
      </c>
      <c r="C414" s="7">
        <v>-1.64999999999998</v>
      </c>
      <c r="D414" s="7">
        <v>-4.66000000000003</v>
      </c>
      <c r="E414" s="7">
        <v>0.870000000000005</v>
      </c>
      <c r="F414" s="7">
        <v>8.73000000000002</v>
      </c>
      <c r="G414" s="7">
        <v>11.65</v>
      </c>
      <c r="H414" s="7">
        <v>9.34999999999997</v>
      </c>
      <c r="I414" s="7">
        <v>6.78000000000003</v>
      </c>
      <c r="J414" s="7">
        <v>14.67</v>
      </c>
      <c r="K414" s="7">
        <v>3.81999999999999</v>
      </c>
      <c r="L414" s="7">
        <v>-10.71</v>
      </c>
      <c r="M414" s="7">
        <v>-10.67</v>
      </c>
      <c r="N414" s="7">
        <v>-11.35</v>
      </c>
      <c r="O414" s="7">
        <v>-7.38999999999999</v>
      </c>
      <c r="P414" s="7">
        <v>-13.01</v>
      </c>
      <c r="Q414" s="7">
        <v>3.27999999999997</v>
      </c>
      <c r="R414" s="7">
        <v>2.81999999999999</v>
      </c>
      <c r="S414" s="7">
        <v>-0.25</v>
      </c>
      <c r="T414" s="7">
        <v>-16.6799999999999</v>
      </c>
      <c r="U414" s="7">
        <v>-16.38</v>
      </c>
      <c r="V414" s="7">
        <v>-22.2</v>
      </c>
      <c r="W414" s="7">
        <v>-29.81</v>
      </c>
      <c r="X414" s="7">
        <v>-9.33000000000004</v>
      </c>
      <c r="Y414" s="7">
        <v>7.38</v>
      </c>
      <c r="Z414" s="9">
        <f>MAX($B$414:$Y$414)</f>
        <v>14.67</v>
      </c>
      <c r="AA414" s="9">
        <f>MIN($B$414:$Y$414)</f>
        <v>-29.81</v>
      </c>
      <c r="AB414" s="9">
        <f>AVERAGE($B$414:$Y$414)</f>
        <v>-3.40625</v>
      </c>
    </row>
    <row r="415" spans="1:28">
      <c r="A415" s="10">
        <v>45705</v>
      </c>
      <c r="B415" s="7">
        <v>3.87</v>
      </c>
      <c r="C415" s="7">
        <v>-7.01000000000005</v>
      </c>
      <c r="D415" s="7">
        <v>-3.15000000000003</v>
      </c>
      <c r="E415" s="7">
        <v>2.12</v>
      </c>
      <c r="F415" s="7">
        <v>1.08999999999997</v>
      </c>
      <c r="G415" s="7">
        <v>-1.18000000000001</v>
      </c>
      <c r="H415" s="7">
        <v>-4.18000000000001</v>
      </c>
      <c r="I415" s="7">
        <v>-5.28999999999996</v>
      </c>
      <c r="J415" s="7">
        <v>-92.96</v>
      </c>
      <c r="K415" s="7">
        <v>-153.22</v>
      </c>
      <c r="L415" s="7">
        <v>12.65</v>
      </c>
      <c r="M415" s="7">
        <v>-9.91000000000002</v>
      </c>
      <c r="N415" s="7">
        <v>10.48</v>
      </c>
      <c r="O415" s="7">
        <v>-15.07</v>
      </c>
      <c r="P415" s="7">
        <v>-1</v>
      </c>
      <c r="Q415" s="7">
        <v>-19.49</v>
      </c>
      <c r="R415" s="7">
        <v>-44.02</v>
      </c>
      <c r="S415" s="7">
        <v>18.23</v>
      </c>
      <c r="T415" s="7">
        <v>42.61</v>
      </c>
      <c r="U415" s="7">
        <v>28.06</v>
      </c>
      <c r="V415" s="7">
        <v>-3.36000000000001</v>
      </c>
      <c r="W415" s="7">
        <v>3.84999999999997</v>
      </c>
      <c r="X415" s="7">
        <v>19.97</v>
      </c>
      <c r="Y415" s="7">
        <v>12.05</v>
      </c>
      <c r="Z415" s="9">
        <f>MAX($B$415:$Y$415)</f>
        <v>42.61</v>
      </c>
      <c r="AA415" s="9">
        <f>MIN($B$415:$Y$415)</f>
        <v>-153.22</v>
      </c>
      <c r="AB415" s="9">
        <f>AVERAGE($B$415:$Y$415)</f>
        <v>-8.53583333333334</v>
      </c>
    </row>
    <row r="416" spans="1:28">
      <c r="A416" s="10">
        <v>45706</v>
      </c>
      <c r="B416" s="7">
        <v>5.44</v>
      </c>
      <c r="C416" s="7">
        <v>9.80000000000001</v>
      </c>
      <c r="D416" s="7">
        <v>8.25999999999999</v>
      </c>
      <c r="E416" s="7">
        <v>8.13</v>
      </c>
      <c r="F416" s="7">
        <v>4.24000000000001</v>
      </c>
      <c r="G416" s="7">
        <v>1.48999999999995</v>
      </c>
      <c r="H416" s="7">
        <v>-3.58999999999997</v>
      </c>
      <c r="I416" s="7">
        <v>-35.28</v>
      </c>
      <c r="J416" s="7">
        <v>-159.01</v>
      </c>
      <c r="K416" s="7">
        <v>-291.2</v>
      </c>
      <c r="L416" s="7">
        <v>6.70999999999998</v>
      </c>
      <c r="M416" s="7">
        <v>2.47000000000003</v>
      </c>
      <c r="N416" s="7">
        <v>80.67</v>
      </c>
      <c r="O416" s="7">
        <v>36.47</v>
      </c>
      <c r="P416" s="7">
        <v>14.56</v>
      </c>
      <c r="Q416" s="7">
        <v>11.85</v>
      </c>
      <c r="R416" s="7">
        <v>11.15</v>
      </c>
      <c r="S416" s="7">
        <v>8.61000000000001</v>
      </c>
      <c r="T416" s="7">
        <v>54.73</v>
      </c>
      <c r="U416" s="7">
        <v>116.9</v>
      </c>
      <c r="V416" s="7">
        <v>56.62</v>
      </c>
      <c r="W416" s="7">
        <v>28.95</v>
      </c>
      <c r="X416" s="7">
        <v>17.65</v>
      </c>
      <c r="Y416" s="7">
        <v>9.10999999999996</v>
      </c>
      <c r="Z416" s="9">
        <f>MAX($B$416:$Y$416)</f>
        <v>116.9</v>
      </c>
      <c r="AA416" s="9">
        <f>MIN($B$416:$Y$416)</f>
        <v>-291.2</v>
      </c>
      <c r="AB416" s="9">
        <f>AVERAGE($B$416:$Y$416)</f>
        <v>0.197083333333333</v>
      </c>
    </row>
    <row r="417" spans="1:28">
      <c r="A417" s="10">
        <v>45707</v>
      </c>
      <c r="B417" s="7">
        <v>-13.75</v>
      </c>
      <c r="C417" s="7">
        <v>5.13</v>
      </c>
      <c r="D417" s="7">
        <v>1.76999999999998</v>
      </c>
      <c r="E417" s="7">
        <v>-2.13</v>
      </c>
      <c r="F417" s="7">
        <v>2.90000000000003</v>
      </c>
      <c r="G417" s="7">
        <v>1.24000000000001</v>
      </c>
      <c r="H417" s="7">
        <v>6.25999999999999</v>
      </c>
      <c r="I417" s="7">
        <v>-0.409999999999968</v>
      </c>
      <c r="J417" s="7">
        <v>-31.69</v>
      </c>
      <c r="K417" s="7">
        <v>17.33</v>
      </c>
      <c r="L417" s="7">
        <v>30.59</v>
      </c>
      <c r="M417" s="7">
        <v>26.47</v>
      </c>
      <c r="N417" s="7">
        <v>117.52</v>
      </c>
      <c r="O417" s="7">
        <v>141.92</v>
      </c>
      <c r="P417" s="7">
        <v>74.56</v>
      </c>
      <c r="Q417" s="7">
        <v>52.45</v>
      </c>
      <c r="R417" s="7">
        <v>35.01</v>
      </c>
      <c r="S417" s="7">
        <v>39.98</v>
      </c>
      <c r="T417" s="7">
        <v>68.73</v>
      </c>
      <c r="U417" s="7">
        <v>104.41</v>
      </c>
      <c r="V417" s="7">
        <v>44.65</v>
      </c>
      <c r="W417" s="7">
        <v>21.0700000000001</v>
      </c>
      <c r="X417" s="7">
        <v>-5.78999999999996</v>
      </c>
      <c r="Y417" s="7">
        <v>0.439999999999998</v>
      </c>
      <c r="Z417" s="9">
        <f>MAX($B$417:$Y$417)</f>
        <v>141.92</v>
      </c>
      <c r="AA417" s="9">
        <f>MIN($B$417:$Y$417)</f>
        <v>-31.69</v>
      </c>
      <c r="AB417" s="9">
        <f>AVERAGE($B$417:$Y$417)</f>
        <v>30.7775</v>
      </c>
    </row>
    <row r="418" spans="1:28">
      <c r="A418" s="10">
        <v>45708</v>
      </c>
      <c r="B418" s="7">
        <v>2.61000000000001</v>
      </c>
      <c r="C418" s="7">
        <v>-7.27999999999997</v>
      </c>
      <c r="D418" s="7">
        <v>0.07000000000005</v>
      </c>
      <c r="E418" s="7">
        <v>4.93000000000001</v>
      </c>
      <c r="F418" s="7">
        <v>4.76000000000005</v>
      </c>
      <c r="G418" s="7">
        <v>-0.240000000000009</v>
      </c>
      <c r="H418" s="7">
        <v>-76.45</v>
      </c>
      <c r="I418" s="7">
        <v>-82.14</v>
      </c>
      <c r="J418" s="7">
        <v>-238.56</v>
      </c>
      <c r="K418" s="7">
        <v>-59.3799999999999</v>
      </c>
      <c r="L418" s="7">
        <v>28.86</v>
      </c>
      <c r="M418" s="7">
        <v>45.8800000000001</v>
      </c>
      <c r="N418" s="7">
        <v>181.67</v>
      </c>
      <c r="O418" s="7">
        <v>100.41</v>
      </c>
      <c r="P418" s="7">
        <v>9.53999999999996</v>
      </c>
      <c r="Q418" s="7">
        <v>-11.73</v>
      </c>
      <c r="R418" s="7">
        <v>-57.22</v>
      </c>
      <c r="S418" s="7">
        <v>-27.02</v>
      </c>
      <c r="T418" s="7">
        <v>-79.49</v>
      </c>
      <c r="U418" s="7">
        <v>-27.18</v>
      </c>
      <c r="V418" s="7">
        <v>12.77</v>
      </c>
      <c r="W418" s="7">
        <v>22.5700000000001</v>
      </c>
      <c r="X418" s="7">
        <v>10.8</v>
      </c>
      <c r="Y418" s="7">
        <v>4.42000000000002</v>
      </c>
      <c r="Z418" s="9">
        <f>MAX($B$418:$Y$418)</f>
        <v>181.67</v>
      </c>
      <c r="AA418" s="9">
        <f>MIN($B$418:$Y$418)</f>
        <v>-238.56</v>
      </c>
      <c r="AB418" s="9">
        <f>AVERAGE($B$418:$Y$418)</f>
        <v>-9.89166666666665</v>
      </c>
    </row>
    <row r="419" spans="1:28">
      <c r="A419" s="10">
        <v>45709</v>
      </c>
      <c r="B419" s="7">
        <v>-5.18000000000001</v>
      </c>
      <c r="C419" s="7">
        <v>4.94</v>
      </c>
      <c r="D419" s="7">
        <v>3.91000000000002</v>
      </c>
      <c r="E419" s="7">
        <v>6.33999999999997</v>
      </c>
      <c r="F419" s="7">
        <v>3.00999999999999</v>
      </c>
      <c r="G419" s="7">
        <v>5.20999999999998</v>
      </c>
      <c r="H419" s="7">
        <v>1.54000000000002</v>
      </c>
      <c r="I419" s="7">
        <v>-62.17</v>
      </c>
      <c r="J419" s="7">
        <v>-8.82999999999993</v>
      </c>
      <c r="K419" s="7">
        <v>-332.69</v>
      </c>
      <c r="L419" s="7">
        <v>-152</v>
      </c>
      <c r="M419" s="7">
        <v>-56.14</v>
      </c>
      <c r="N419" s="7">
        <v>-23.23</v>
      </c>
      <c r="O419" s="7">
        <v>-27.52</v>
      </c>
      <c r="P419" s="7">
        <v>-23.64</v>
      </c>
      <c r="Q419" s="7">
        <v>-21.96</v>
      </c>
      <c r="R419" s="7">
        <v>-165.03</v>
      </c>
      <c r="S419" s="7">
        <v>-43.89</v>
      </c>
      <c r="T419" s="7">
        <v>-47.26</v>
      </c>
      <c r="U419" s="7">
        <v>-152.26</v>
      </c>
      <c r="V419" s="7">
        <v>-52.18</v>
      </c>
      <c r="W419" s="7">
        <v>-35.45</v>
      </c>
      <c r="X419" s="7">
        <v>-24.21</v>
      </c>
      <c r="Y419" s="7">
        <v>-8.10999999999996</v>
      </c>
      <c r="Z419" s="9">
        <f>MAX($B$419:$Y$419)</f>
        <v>6.33999999999997</v>
      </c>
      <c r="AA419" s="9">
        <f>MIN($B$419:$Y$419)</f>
        <v>-332.69</v>
      </c>
      <c r="AB419" s="9">
        <f>AVERAGE($B$419:$Y$419)</f>
        <v>-50.7</v>
      </c>
    </row>
    <row r="420" spans="1:28">
      <c r="A420" s="10">
        <v>45710</v>
      </c>
      <c r="B420" s="7">
        <v>-13.53</v>
      </c>
      <c r="C420" s="7">
        <v>0.189999999999998</v>
      </c>
      <c r="D420" s="7">
        <v>-13.31</v>
      </c>
      <c r="E420" s="7">
        <v>-9.5</v>
      </c>
      <c r="F420" s="7">
        <v>-7.06999999999999</v>
      </c>
      <c r="G420" s="7">
        <v>-9.17000000000002</v>
      </c>
      <c r="H420" s="7">
        <v>9.73999999999995</v>
      </c>
      <c r="I420" s="7">
        <v>13.21</v>
      </c>
      <c r="J420" s="7">
        <v>-197.56</v>
      </c>
      <c r="K420" s="7">
        <v>-316.17</v>
      </c>
      <c r="L420" s="7">
        <v>-81.28</v>
      </c>
      <c r="M420" s="7">
        <v>-153.21</v>
      </c>
      <c r="N420" s="7">
        <v>-21.94</v>
      </c>
      <c r="O420" s="7">
        <v>-29.99</v>
      </c>
      <c r="P420" s="7">
        <v>-22.92</v>
      </c>
      <c r="Q420" s="7">
        <v>-12.36</v>
      </c>
      <c r="R420" s="7">
        <v>-127.83</v>
      </c>
      <c r="S420" s="7">
        <v>-2.75999999999999</v>
      </c>
      <c r="T420" s="7">
        <v>9.13999999999999</v>
      </c>
      <c r="U420" s="7">
        <v>5.37</v>
      </c>
      <c r="V420" s="7">
        <v>-4</v>
      </c>
      <c r="W420" s="7">
        <v>1.23000000000002</v>
      </c>
      <c r="X420" s="7">
        <v>-40.66</v>
      </c>
      <c r="Y420" s="7">
        <v>1.83000000000004</v>
      </c>
      <c r="Z420" s="9">
        <f>MAX($B$420:$Y$420)</f>
        <v>13.21</v>
      </c>
      <c r="AA420" s="9">
        <f>MIN($B$420:$Y$420)</f>
        <v>-316.17</v>
      </c>
      <c r="AB420" s="9">
        <f>AVERAGE($B$420:$Y$420)</f>
        <v>-42.60625</v>
      </c>
    </row>
    <row r="421" spans="1:28">
      <c r="A421" s="10">
        <v>45711</v>
      </c>
      <c r="B421" s="7">
        <v>-49.08</v>
      </c>
      <c r="C421" s="7">
        <v>40.57</v>
      </c>
      <c r="D421" s="7">
        <v>20.2</v>
      </c>
      <c r="E421" s="7">
        <v>17.87</v>
      </c>
      <c r="F421" s="7">
        <v>14.87</v>
      </c>
      <c r="G421" s="7">
        <v>14.07</v>
      </c>
      <c r="H421" s="7">
        <v>14</v>
      </c>
      <c r="I421" s="7">
        <v>5.59000000000003</v>
      </c>
      <c r="J421" s="7">
        <v>2.26999999999998</v>
      </c>
      <c r="K421" s="7">
        <v>31.71</v>
      </c>
      <c r="L421" s="7">
        <v>38.71</v>
      </c>
      <c r="M421" s="7">
        <v>108.55</v>
      </c>
      <c r="N421" s="7">
        <v>14.3</v>
      </c>
      <c r="O421" s="7">
        <v>0.399999999999977</v>
      </c>
      <c r="P421" s="7">
        <v>16.81</v>
      </c>
      <c r="Q421" s="7">
        <v>29.66</v>
      </c>
      <c r="R421" s="7">
        <v>52.7</v>
      </c>
      <c r="S421" s="7">
        <v>36.37</v>
      </c>
      <c r="T421" s="7">
        <v>41.55</v>
      </c>
      <c r="U421" s="7">
        <v>160.25</v>
      </c>
      <c r="V421" s="7">
        <v>77.41</v>
      </c>
      <c r="W421" s="7">
        <v>-72.2</v>
      </c>
      <c r="X421" s="7">
        <v>-92.98</v>
      </c>
      <c r="Y421" s="7">
        <v>-3.33999999999997</v>
      </c>
      <c r="Z421" s="9">
        <f>MAX($B$421:$Y$421)</f>
        <v>160.25</v>
      </c>
      <c r="AA421" s="9">
        <f>MIN($B$421:$Y$421)</f>
        <v>-92.98</v>
      </c>
      <c r="AB421" s="9">
        <f>AVERAGE($B$421:$Y$421)</f>
        <v>21.6775</v>
      </c>
    </row>
    <row r="422" spans="1:28">
      <c r="A422" s="10">
        <v>45712</v>
      </c>
      <c r="B422" s="7">
        <v>-42.3800000000001</v>
      </c>
      <c r="C422" s="7">
        <v>23.16</v>
      </c>
      <c r="D422" s="7">
        <v>15.91</v>
      </c>
      <c r="E422" s="7">
        <v>16.44</v>
      </c>
      <c r="F422" s="7">
        <v>9.5</v>
      </c>
      <c r="G422" s="7">
        <v>9</v>
      </c>
      <c r="H422" s="7">
        <v>0.340000000000032</v>
      </c>
      <c r="I422" s="7">
        <v>-28.34</v>
      </c>
      <c r="J422" s="7">
        <v>-80.75</v>
      </c>
      <c r="K422" s="7">
        <v>165.5</v>
      </c>
      <c r="L422" s="7">
        <v>-8.44</v>
      </c>
      <c r="M422" s="7">
        <v>-36.95</v>
      </c>
      <c r="N422" s="7">
        <v>58.47</v>
      </c>
      <c r="O422" s="7">
        <v>64.88</v>
      </c>
      <c r="P422" s="7">
        <v>28.75</v>
      </c>
      <c r="Q422" s="7">
        <v>46.05</v>
      </c>
      <c r="R422" s="7">
        <v>53.73</v>
      </c>
      <c r="S422" s="7">
        <v>46.33</v>
      </c>
      <c r="T422" s="7">
        <v>1.30000000000001</v>
      </c>
      <c r="U422" s="7">
        <v>-117.8</v>
      </c>
      <c r="V422" s="7">
        <v>-22.3</v>
      </c>
      <c r="W422" s="7">
        <v>-104</v>
      </c>
      <c r="X422" s="7">
        <v>-99.77</v>
      </c>
      <c r="Y422" s="7">
        <v>5.67000000000002</v>
      </c>
      <c r="Z422" s="9">
        <f>MAX($B$422:$Y$422)</f>
        <v>165.5</v>
      </c>
      <c r="AA422" s="9">
        <f>MIN($B$422:$Y$422)</f>
        <v>-117.8</v>
      </c>
      <c r="AB422" s="9">
        <f>AVERAGE($B$422:$Y$422)</f>
        <v>0.179166666666664</v>
      </c>
    </row>
    <row r="423" spans="1:28">
      <c r="A423" s="10">
        <v>45713</v>
      </c>
      <c r="B423" s="7">
        <v>-78.07</v>
      </c>
      <c r="C423" s="7">
        <v>-5.98999999999995</v>
      </c>
      <c r="D423" s="7">
        <v>7.73000000000002</v>
      </c>
      <c r="E423" s="7">
        <v>-25.65</v>
      </c>
      <c r="F423" s="7">
        <v>-22.64</v>
      </c>
      <c r="G423" s="7">
        <v>-25.77</v>
      </c>
      <c r="H423" s="7">
        <v>-20.55</v>
      </c>
      <c r="I423" s="7">
        <v>-80.8</v>
      </c>
      <c r="J423" s="7">
        <v>17.83</v>
      </c>
      <c r="K423" s="7">
        <v>-70.0500000000001</v>
      </c>
      <c r="L423" s="7">
        <v>-31.5</v>
      </c>
      <c r="M423" s="7">
        <v>-120.49</v>
      </c>
      <c r="N423" s="7">
        <v>-21.31</v>
      </c>
      <c r="O423" s="7">
        <v>-81.6</v>
      </c>
      <c r="P423" s="7">
        <v>-63.15</v>
      </c>
      <c r="Q423" s="7">
        <v>-21.44</v>
      </c>
      <c r="R423" s="7">
        <v>-250.19</v>
      </c>
      <c r="S423" s="7">
        <v>-143.54</v>
      </c>
      <c r="T423" s="7">
        <v>-110.4</v>
      </c>
      <c r="U423" s="7">
        <v>-88.4200000000001</v>
      </c>
      <c r="V423" s="7">
        <v>-112.78</v>
      </c>
      <c r="W423" s="7">
        <v>-119.42</v>
      </c>
      <c r="X423" s="7">
        <v>-237.04</v>
      </c>
      <c r="Y423" s="7">
        <v>-56.52</v>
      </c>
      <c r="Z423" s="9">
        <f>MAX($B$423:$Y$423)</f>
        <v>17.83</v>
      </c>
      <c r="AA423" s="9">
        <f>MIN($B$423:$Y$423)</f>
        <v>-250.19</v>
      </c>
      <c r="AB423" s="9">
        <f>AVERAGE($B$423:$Y$423)</f>
        <v>-73.4066666666667</v>
      </c>
    </row>
    <row r="424" spans="1:28">
      <c r="A424" s="10">
        <v>45714</v>
      </c>
      <c r="B424" s="7">
        <v>-120.32</v>
      </c>
      <c r="C424" s="7">
        <v>-188.18</v>
      </c>
      <c r="D424" s="7">
        <v>-148.16</v>
      </c>
      <c r="E424" s="7">
        <v>-58.86</v>
      </c>
      <c r="F424" s="7">
        <v>-12.52</v>
      </c>
      <c r="G424" s="7">
        <v>-5.13</v>
      </c>
      <c r="H424" s="7">
        <v>-43.21</v>
      </c>
      <c r="I424" s="7">
        <v>-53.83</v>
      </c>
      <c r="J424" s="7">
        <v>-167.93</v>
      </c>
      <c r="K424" s="7">
        <v>-21.39</v>
      </c>
      <c r="L424" s="7">
        <v>-99.56</v>
      </c>
      <c r="M424" s="7">
        <v>-122.25</v>
      </c>
      <c r="N424" s="7">
        <v>-15.71</v>
      </c>
      <c r="O424" s="7">
        <v>-107.81</v>
      </c>
      <c r="P424" s="7">
        <v>-99.81</v>
      </c>
      <c r="Q424" s="7">
        <v>-21.96</v>
      </c>
      <c r="R424" s="7">
        <v>-82.04</v>
      </c>
      <c r="S424" s="7">
        <v>-153.33</v>
      </c>
      <c r="T424" s="7">
        <v>-112.54</v>
      </c>
      <c r="U424" s="7">
        <v>-133.55</v>
      </c>
      <c r="V424" s="7">
        <v>-141.06</v>
      </c>
      <c r="W424" s="7">
        <v>-124</v>
      </c>
      <c r="X424" s="7">
        <v>-146.83</v>
      </c>
      <c r="Y424" s="7">
        <v>-6.26999999999998</v>
      </c>
      <c r="Z424" s="9">
        <f>MAX($B$424:$Y$424)</f>
        <v>-5.13</v>
      </c>
      <c r="AA424" s="9">
        <f>MIN($B$424:$Y$424)</f>
        <v>-188.18</v>
      </c>
      <c r="AB424" s="9">
        <f>AVERAGE($B$424:$Y$424)</f>
        <v>-91.09375</v>
      </c>
    </row>
    <row r="425" spans="1:28">
      <c r="A425" s="10">
        <v>45715</v>
      </c>
      <c r="B425" s="7">
        <v>54.77</v>
      </c>
      <c r="C425" s="7">
        <v>132.62</v>
      </c>
      <c r="D425" s="7">
        <v>57.3</v>
      </c>
      <c r="E425" s="7">
        <v>21.8699999999999</v>
      </c>
      <c r="F425" s="7">
        <v>11.18</v>
      </c>
      <c r="G425" s="7">
        <v>21.94</v>
      </c>
      <c r="H425" s="7">
        <v>83.93</v>
      </c>
      <c r="I425" s="7">
        <v>93.47</v>
      </c>
      <c r="J425" s="7">
        <v>-40.2099999999999</v>
      </c>
      <c r="K425" s="7">
        <v>120.02</v>
      </c>
      <c r="L425" s="7">
        <v>198.8</v>
      </c>
      <c r="M425" s="7">
        <v>221.72</v>
      </c>
      <c r="N425" s="7">
        <v>103.45</v>
      </c>
      <c r="O425" s="7">
        <v>60.63</v>
      </c>
      <c r="P425" s="7">
        <v>54.65</v>
      </c>
      <c r="Q425" s="7">
        <v>102.96</v>
      </c>
      <c r="R425" s="7">
        <v>209.35</v>
      </c>
      <c r="S425" s="7">
        <v>204.21</v>
      </c>
      <c r="T425" s="7">
        <v>149.99</v>
      </c>
      <c r="U425" s="7">
        <v>142.98</v>
      </c>
      <c r="V425" s="7">
        <v>155.37</v>
      </c>
      <c r="W425" s="7">
        <v>156.38</v>
      </c>
      <c r="X425" s="7">
        <v>184.94</v>
      </c>
      <c r="Y425" s="7">
        <v>56.3200000000001</v>
      </c>
      <c r="Z425" s="9">
        <f>MAX($B$425:$Y$425)</f>
        <v>221.72</v>
      </c>
      <c r="AA425" s="9">
        <f>MIN($B$425:$Y$425)</f>
        <v>-40.2099999999999</v>
      </c>
      <c r="AB425" s="9">
        <f>AVERAGE($B$425:$Y$425)</f>
        <v>106.61</v>
      </c>
    </row>
    <row r="426" spans="1:28">
      <c r="A426" s="10">
        <v>45716</v>
      </c>
      <c r="B426" s="7">
        <v>21.57</v>
      </c>
      <c r="C426" s="7">
        <v>19.73</v>
      </c>
      <c r="D426" s="7">
        <v>10.58</v>
      </c>
      <c r="E426" s="7">
        <v>5.88</v>
      </c>
      <c r="F426" s="7">
        <v>3.45999999999998</v>
      </c>
      <c r="G426" s="7">
        <v>4.97999999999996</v>
      </c>
      <c r="H426" s="7">
        <v>12.08</v>
      </c>
      <c r="I426" s="7">
        <v>12.31</v>
      </c>
      <c r="J426" s="7">
        <v>80.53</v>
      </c>
      <c r="K426" s="7">
        <v>163.98</v>
      </c>
      <c r="L426" s="7">
        <v>135.78</v>
      </c>
      <c r="M426" s="7">
        <v>95.56</v>
      </c>
      <c r="N426" s="7">
        <v>142.41</v>
      </c>
      <c r="O426" s="7">
        <v>55.58</v>
      </c>
      <c r="P426" s="7">
        <v>112.57</v>
      </c>
      <c r="Q426" s="7">
        <v>166.58</v>
      </c>
      <c r="R426" s="7">
        <v>61.84</v>
      </c>
      <c r="S426" s="7">
        <v>59.13</v>
      </c>
      <c r="T426" s="7">
        <v>37.63</v>
      </c>
      <c r="U426" s="7">
        <v>42.85</v>
      </c>
      <c r="V426" s="7">
        <v>67.27</v>
      </c>
      <c r="W426" s="7">
        <v>42.86</v>
      </c>
      <c r="X426" s="7">
        <v>11.82</v>
      </c>
      <c r="Y426" s="7">
        <v>-0.899999999999977</v>
      </c>
      <c r="Z426" s="9">
        <f>MAX($B$426:$Y$426)</f>
        <v>166.58</v>
      </c>
      <c r="AA426" s="9">
        <f>MIN($B$426:$Y$426)</f>
        <v>-0.899999999999977</v>
      </c>
      <c r="AB426" s="9">
        <f>AVERAGE($B$426:$Y$426)</f>
        <v>56.92</v>
      </c>
    </row>
    <row r="427" spans="1:28">
      <c r="A427" s="10">
        <v>45717</v>
      </c>
      <c r="B427" s="7">
        <v>-27.21</v>
      </c>
      <c r="C427" s="7">
        <v>-12.32</v>
      </c>
      <c r="D427" s="7">
        <v>-12.54</v>
      </c>
      <c r="E427" s="7">
        <v>-11.2</v>
      </c>
      <c r="F427" s="7">
        <v>-12.15</v>
      </c>
      <c r="G427" s="7">
        <v>-9.67000000000002</v>
      </c>
      <c r="H427" s="7">
        <v>-6.38</v>
      </c>
      <c r="I427" s="7">
        <v>-16.72</v>
      </c>
      <c r="J427" s="7">
        <v>-12.57</v>
      </c>
      <c r="K427" s="7">
        <v>17.16</v>
      </c>
      <c r="L427" s="7">
        <v>19.39</v>
      </c>
      <c r="M427" s="7">
        <v>18.27</v>
      </c>
      <c r="N427" s="7">
        <v>4.42000000000002</v>
      </c>
      <c r="O427" s="7">
        <v>2.75</v>
      </c>
      <c r="P427" s="7">
        <v>54.01</v>
      </c>
      <c r="Q427" s="7">
        <v>151.67</v>
      </c>
      <c r="R427" s="7">
        <v>150.43</v>
      </c>
      <c r="S427" s="7">
        <v>14.36</v>
      </c>
      <c r="T427" s="7">
        <v>9.28999999999996</v>
      </c>
      <c r="U427" s="7">
        <v>-263.68</v>
      </c>
      <c r="V427" s="7">
        <v>-99.81</v>
      </c>
      <c r="W427" s="7">
        <v>-76.2</v>
      </c>
      <c r="X427" s="7">
        <v>-1.60999999999996</v>
      </c>
      <c r="Y427" s="7">
        <v>28.42</v>
      </c>
      <c r="Z427" s="9">
        <f>MAX($B$427:$Y$427)</f>
        <v>151.67</v>
      </c>
      <c r="AA427" s="9">
        <f>MIN($B$427:$Y$427)</f>
        <v>-263.68</v>
      </c>
      <c r="AB427" s="9">
        <f>AVERAGE($B$427:$Y$427)</f>
        <v>-3.82875</v>
      </c>
    </row>
    <row r="428" spans="1:28">
      <c r="A428" s="10">
        <v>45718</v>
      </c>
      <c r="B428" s="7">
        <v>-6.90999999999997</v>
      </c>
      <c r="C428" s="7">
        <v>5.11000000000001</v>
      </c>
      <c r="D428" s="7">
        <v>4.23000000000002</v>
      </c>
      <c r="E428" s="7">
        <v>-0.0499999999999545</v>
      </c>
      <c r="F428" s="7">
        <v>89.89</v>
      </c>
      <c r="G428" s="7">
        <v>19.3</v>
      </c>
      <c r="H428" s="7">
        <v>12.01</v>
      </c>
      <c r="I428" s="7">
        <v>5.61000000000001</v>
      </c>
      <c r="J428" s="7">
        <v>5.20999999999998</v>
      </c>
      <c r="K428" s="7">
        <v>26.35</v>
      </c>
      <c r="L428" s="7">
        <v>16.4</v>
      </c>
      <c r="M428" s="7">
        <v>25.43</v>
      </c>
      <c r="N428" s="7">
        <v>104.93</v>
      </c>
      <c r="O428" s="7">
        <v>-5.46999999999997</v>
      </c>
      <c r="P428" s="7">
        <v>234.23</v>
      </c>
      <c r="Q428" s="7">
        <v>82.06</v>
      </c>
      <c r="R428" s="7">
        <v>12.47</v>
      </c>
      <c r="S428" s="7">
        <v>21.15</v>
      </c>
      <c r="T428" s="7">
        <v>-11.05</v>
      </c>
      <c r="U428" s="7">
        <v>-49.12</v>
      </c>
      <c r="V428" s="7">
        <v>-72.27</v>
      </c>
      <c r="W428" s="7">
        <v>-46.38</v>
      </c>
      <c r="X428" s="7">
        <v>-15.14</v>
      </c>
      <c r="Y428" s="7">
        <v>4.47999999999996</v>
      </c>
      <c r="Z428" s="9">
        <f>MAX($B$428:$Y$428)</f>
        <v>234.23</v>
      </c>
      <c r="AA428" s="9">
        <f>MIN($B$428:$Y$428)</f>
        <v>-72.27</v>
      </c>
      <c r="AB428" s="9">
        <f>AVERAGE($B$428:$Y$428)</f>
        <v>19.2695833333333</v>
      </c>
    </row>
    <row r="429" spans="1:28">
      <c r="A429" s="10">
        <v>45719</v>
      </c>
      <c r="B429" s="7">
        <v>27.35</v>
      </c>
      <c r="C429" s="7">
        <v>2.55000000000001</v>
      </c>
      <c r="D429" s="7">
        <v>-2.87</v>
      </c>
      <c r="E429" s="7">
        <v>0.5</v>
      </c>
      <c r="F429" s="7">
        <v>-1.51999999999998</v>
      </c>
      <c r="G429" s="7">
        <v>-8.14999999999998</v>
      </c>
      <c r="H429" s="7">
        <v>-24.4</v>
      </c>
      <c r="I429" s="7">
        <v>-25.57</v>
      </c>
      <c r="J429" s="7">
        <v>-218.59</v>
      </c>
      <c r="K429" s="7">
        <v>-47.63</v>
      </c>
      <c r="L429" s="7">
        <v>-45.63</v>
      </c>
      <c r="M429" s="7">
        <v>-7.92999999999995</v>
      </c>
      <c r="N429" s="7">
        <v>-15.1</v>
      </c>
      <c r="O429" s="7">
        <v>-35.43</v>
      </c>
      <c r="P429" s="7">
        <v>-53.66</v>
      </c>
      <c r="Q429" s="7">
        <v>-115.37</v>
      </c>
      <c r="R429" s="7">
        <v>-155.85</v>
      </c>
      <c r="S429" s="7">
        <v>-187.42</v>
      </c>
      <c r="T429" s="7">
        <v>-133.42</v>
      </c>
      <c r="U429" s="7">
        <v>-213.14</v>
      </c>
      <c r="V429" s="7">
        <v>-240.37</v>
      </c>
      <c r="W429" s="7">
        <v>-106.51</v>
      </c>
      <c r="X429" s="7">
        <v>-23.12</v>
      </c>
      <c r="Y429" s="7">
        <v>-3.69999999999999</v>
      </c>
      <c r="Z429" s="9">
        <f>MAX($B$429:$Y$429)</f>
        <v>27.35</v>
      </c>
      <c r="AA429" s="9">
        <f>MIN($B$429:$Y$429)</f>
        <v>-240.37</v>
      </c>
      <c r="AB429" s="9">
        <f>AVERAGE($B$429:$Y$429)</f>
        <v>-68.1241666666667</v>
      </c>
    </row>
    <row r="430" spans="1:28">
      <c r="A430" s="10">
        <v>45720</v>
      </c>
      <c r="B430" s="7">
        <v>-159.79</v>
      </c>
      <c r="C430" s="7">
        <v>-78.38</v>
      </c>
      <c r="D430" s="7">
        <v>-19.83</v>
      </c>
      <c r="E430" s="7">
        <v>-20</v>
      </c>
      <c r="F430" s="7">
        <v>-16.68</v>
      </c>
      <c r="G430" s="7">
        <v>-17.49</v>
      </c>
      <c r="H430" s="7">
        <v>-59.56</v>
      </c>
      <c r="I430" s="7">
        <v>-75.73</v>
      </c>
      <c r="J430" s="7">
        <v>-203.32</v>
      </c>
      <c r="K430" s="7">
        <v>-231.33</v>
      </c>
      <c r="L430" s="7">
        <v>-393.25</v>
      </c>
      <c r="M430" s="7">
        <v>-462.87</v>
      </c>
      <c r="N430" s="7">
        <v>-156.64</v>
      </c>
      <c r="O430" s="7">
        <v>-329.4</v>
      </c>
      <c r="P430" s="7">
        <v>-189.79</v>
      </c>
      <c r="Q430" s="7">
        <v>-172.38</v>
      </c>
      <c r="R430" s="7">
        <v>-143.57</v>
      </c>
      <c r="S430" s="7">
        <v>-97.61</v>
      </c>
      <c r="T430" s="7">
        <v>-104.98</v>
      </c>
      <c r="U430" s="7">
        <v>-92.85</v>
      </c>
      <c r="V430" s="7">
        <v>-105.65</v>
      </c>
      <c r="W430" s="7">
        <v>-109.34</v>
      </c>
      <c r="X430" s="7">
        <v>-102.23</v>
      </c>
      <c r="Y430" s="7">
        <v>-12.65</v>
      </c>
      <c r="Z430" s="9">
        <f>MAX($B$430:$Y$430)</f>
        <v>-12.65</v>
      </c>
      <c r="AA430" s="9">
        <f>MIN($B$430:$Y$430)</f>
        <v>-462.87</v>
      </c>
      <c r="AB430" s="9">
        <f>AVERAGE($B$430:$Y$430)</f>
        <v>-139.805</v>
      </c>
    </row>
    <row r="431" spans="1:28">
      <c r="A431" s="10">
        <v>45721</v>
      </c>
      <c r="B431" s="7">
        <v>-66.75</v>
      </c>
      <c r="C431" s="7">
        <v>-20.85</v>
      </c>
      <c r="D431" s="7">
        <v>-15.16</v>
      </c>
      <c r="E431" s="7">
        <v>-6.84000000000003</v>
      </c>
      <c r="F431" s="7">
        <v>-2.48000000000002</v>
      </c>
      <c r="G431" s="7">
        <v>4.68000000000001</v>
      </c>
      <c r="H431" s="7">
        <v>-0.590000000000032</v>
      </c>
      <c r="I431" s="7">
        <v>-7.80000000000001</v>
      </c>
      <c r="J431" s="7">
        <v>-118.54</v>
      </c>
      <c r="K431" s="7">
        <v>0.650000000000034</v>
      </c>
      <c r="L431" s="7">
        <v>25.99</v>
      </c>
      <c r="M431" s="7">
        <v>-80.82</v>
      </c>
      <c r="N431" s="7">
        <v>-41.84</v>
      </c>
      <c r="O431" s="7">
        <v>-114.66</v>
      </c>
      <c r="P431" s="7">
        <v>-42.58</v>
      </c>
      <c r="Q431" s="7">
        <v>-28.38</v>
      </c>
      <c r="R431" s="7">
        <v>-44.07</v>
      </c>
      <c r="S431" s="7">
        <v>-22.7</v>
      </c>
      <c r="T431" s="7">
        <v>3.79000000000002</v>
      </c>
      <c r="U431" s="7">
        <v>20.73</v>
      </c>
      <c r="V431" s="7">
        <v>30.28</v>
      </c>
      <c r="W431" s="7">
        <v>16.25</v>
      </c>
      <c r="X431" s="7">
        <v>-6.68000000000001</v>
      </c>
      <c r="Y431" s="7">
        <v>-0.199999999999989</v>
      </c>
      <c r="Z431" s="9">
        <f>MAX($B$431:$Y$431)</f>
        <v>30.28</v>
      </c>
      <c r="AA431" s="9">
        <f>MIN($B$431:$Y$431)</f>
        <v>-118.54</v>
      </c>
      <c r="AB431" s="9">
        <f>AVERAGE($B$431:$Y$431)</f>
        <v>-21.6070833333333</v>
      </c>
    </row>
    <row r="432" spans="1:28">
      <c r="A432" s="10">
        <v>45722</v>
      </c>
      <c r="B432" s="7">
        <v>-160.01</v>
      </c>
      <c r="C432" s="7">
        <v>33.96</v>
      </c>
      <c r="D432" s="7">
        <v>50.72</v>
      </c>
      <c r="E432" s="7">
        <v>60.4</v>
      </c>
      <c r="F432" s="7">
        <v>55.27</v>
      </c>
      <c r="G432" s="7">
        <v>43.64</v>
      </c>
      <c r="H432" s="7">
        <v>15.96</v>
      </c>
      <c r="I432" s="7">
        <v>-0.740000000000009</v>
      </c>
      <c r="J432" s="7">
        <v>-56.65</v>
      </c>
      <c r="K432" s="7">
        <v>46.12</v>
      </c>
      <c r="L432" s="7">
        <v>17.09</v>
      </c>
      <c r="M432" s="7">
        <v>16.11</v>
      </c>
      <c r="N432" s="7">
        <v>0.879999999999995</v>
      </c>
      <c r="O432" s="7">
        <v>-40.6</v>
      </c>
      <c r="P432" s="7">
        <v>6.75999999999999</v>
      </c>
      <c r="Q432" s="7">
        <v>-13.31</v>
      </c>
      <c r="R432" s="7">
        <v>-94.86</v>
      </c>
      <c r="S432" s="7">
        <v>-110.42</v>
      </c>
      <c r="T432" s="7">
        <v>-86.9</v>
      </c>
      <c r="U432" s="7">
        <v>-114.71</v>
      </c>
      <c r="V432" s="7">
        <v>-222.87</v>
      </c>
      <c r="W432" s="7">
        <v>-147.31</v>
      </c>
      <c r="X432" s="7">
        <v>-103.51</v>
      </c>
      <c r="Y432" s="7">
        <v>24.94</v>
      </c>
      <c r="Z432" s="9">
        <f>MAX($B$432:$Y$432)</f>
        <v>60.4</v>
      </c>
      <c r="AA432" s="9">
        <f>MIN($B$432:$Y$432)</f>
        <v>-222.87</v>
      </c>
      <c r="AB432" s="9">
        <f>AVERAGE($B$432:$Y$432)</f>
        <v>-32.5016666666667</v>
      </c>
    </row>
    <row r="433" spans="1:28">
      <c r="A433" s="10">
        <v>45723</v>
      </c>
      <c r="B433" s="7">
        <v>-6.17000000000002</v>
      </c>
      <c r="C433" s="7">
        <v>43.65</v>
      </c>
      <c r="D433" s="7">
        <v>-2.81</v>
      </c>
      <c r="E433" s="7">
        <v>2.39999999999998</v>
      </c>
      <c r="F433" s="7">
        <v>24.64</v>
      </c>
      <c r="G433" s="7">
        <v>22.59</v>
      </c>
      <c r="H433" s="7">
        <v>-11.93</v>
      </c>
      <c r="I433" s="7">
        <v>-44.13</v>
      </c>
      <c r="J433" s="7">
        <v>-18.87</v>
      </c>
      <c r="K433" s="7">
        <v>-123.7</v>
      </c>
      <c r="L433" s="7">
        <v>-101.88</v>
      </c>
      <c r="M433" s="7">
        <v>-209.23</v>
      </c>
      <c r="N433" s="7">
        <v>-61.21</v>
      </c>
      <c r="O433" s="7">
        <v>-167.34</v>
      </c>
      <c r="P433" s="7">
        <v>-113.45</v>
      </c>
      <c r="Q433" s="7">
        <v>-91.33</v>
      </c>
      <c r="R433" s="7">
        <v>-148.14</v>
      </c>
      <c r="S433" s="7">
        <v>-154.71</v>
      </c>
      <c r="T433" s="7">
        <v>-152.76</v>
      </c>
      <c r="U433" s="7">
        <v>-229.96</v>
      </c>
      <c r="V433" s="7">
        <v>-114.37</v>
      </c>
      <c r="W433" s="7">
        <v>-144.96</v>
      </c>
      <c r="X433" s="7">
        <v>-57.07</v>
      </c>
      <c r="Y433" s="7">
        <v>-65.94</v>
      </c>
      <c r="Z433" s="9">
        <f>MAX($B$433:$Y$433)</f>
        <v>43.65</v>
      </c>
      <c r="AA433" s="9">
        <f>MIN($B$433:$Y$433)</f>
        <v>-229.96</v>
      </c>
      <c r="AB433" s="9">
        <f>AVERAGE($B$433:$Y$433)</f>
        <v>-80.2783333333333</v>
      </c>
    </row>
    <row r="434" spans="1:28">
      <c r="A434" s="10">
        <v>45724</v>
      </c>
      <c r="B434" s="7">
        <v>-95.94</v>
      </c>
      <c r="C434" s="7">
        <v>-120.78</v>
      </c>
      <c r="D434" s="7">
        <v>-68.48</v>
      </c>
      <c r="E434" s="7">
        <v>-31.87</v>
      </c>
      <c r="F434" s="7">
        <v>-34.68</v>
      </c>
      <c r="G434" s="7">
        <v>-33.19</v>
      </c>
      <c r="H434" s="7">
        <v>-21.59</v>
      </c>
      <c r="I434" s="7">
        <v>-128.26</v>
      </c>
      <c r="J434" s="7">
        <v>-115.75</v>
      </c>
      <c r="K434" s="7">
        <v>-116.94</v>
      </c>
      <c r="L434" s="7">
        <v>-7.89999999999998</v>
      </c>
      <c r="M434" s="7">
        <v>39.63</v>
      </c>
      <c r="N434" s="7">
        <v>16.41</v>
      </c>
      <c r="O434" s="7">
        <v>-0.970000000000027</v>
      </c>
      <c r="P434" s="7">
        <v>44.89</v>
      </c>
      <c r="Q434" s="7">
        <v>66</v>
      </c>
      <c r="R434" s="7">
        <v>87.19</v>
      </c>
      <c r="S434" s="7">
        <v>88.23</v>
      </c>
      <c r="T434" s="7">
        <v>64.53</v>
      </c>
      <c r="U434" s="7">
        <v>62.86</v>
      </c>
      <c r="V434" s="7">
        <v>48.88</v>
      </c>
      <c r="W434" s="7">
        <v>24.18</v>
      </c>
      <c r="X434" s="7">
        <v>-7.44</v>
      </c>
      <c r="Y434" s="7">
        <v>-24.86</v>
      </c>
      <c r="Z434" s="9">
        <f>MAX($B$434:$Y$434)</f>
        <v>88.23</v>
      </c>
      <c r="AA434" s="9">
        <f>MIN($B$434:$Y$434)</f>
        <v>-128.26</v>
      </c>
      <c r="AB434" s="9">
        <f>AVERAGE($B$434:$Y$434)</f>
        <v>-11.0770833333333</v>
      </c>
    </row>
    <row r="435" spans="1:28">
      <c r="A435" s="10">
        <v>45725</v>
      </c>
      <c r="B435" s="7">
        <v>-80.36</v>
      </c>
      <c r="C435" s="7">
        <v>-13.6300000000001</v>
      </c>
      <c r="D435" s="7">
        <v>-21.08</v>
      </c>
      <c r="E435" s="7">
        <v>-10.69</v>
      </c>
      <c r="F435" s="7">
        <v>-4.52000000000004</v>
      </c>
      <c r="G435" s="7">
        <v>-8.78000000000003</v>
      </c>
      <c r="H435" s="7">
        <v>-1.04999999999995</v>
      </c>
      <c r="I435" s="7">
        <v>74.83</v>
      </c>
      <c r="J435" s="7">
        <v>107.32</v>
      </c>
      <c r="K435" s="7">
        <v>112.63</v>
      </c>
      <c r="L435" s="7">
        <v>96.88</v>
      </c>
      <c r="M435" s="7">
        <v>200.7</v>
      </c>
      <c r="N435" s="7">
        <v>247.57</v>
      </c>
      <c r="O435" s="7">
        <v>255.1</v>
      </c>
      <c r="P435" s="7">
        <v>237.47</v>
      </c>
      <c r="Q435" s="7">
        <v>197.23</v>
      </c>
      <c r="R435" s="7">
        <v>14.84</v>
      </c>
      <c r="S435" s="7">
        <v>-4.68000000000001</v>
      </c>
      <c r="T435" s="7">
        <v>-26.47</v>
      </c>
      <c r="U435" s="7">
        <v>-145.12</v>
      </c>
      <c r="V435" s="7">
        <v>-96.6199999999999</v>
      </c>
      <c r="W435" s="7">
        <v>-101.07</v>
      </c>
      <c r="X435" s="7">
        <v>-76.56</v>
      </c>
      <c r="Y435" s="7">
        <v>7.82999999999998</v>
      </c>
      <c r="Z435" s="9">
        <f>MAX($B$435:$Y$435)</f>
        <v>255.1</v>
      </c>
      <c r="AA435" s="9">
        <f>MIN($B$435:$Y$435)</f>
        <v>-145.12</v>
      </c>
      <c r="AB435" s="9">
        <f>AVERAGE($B$435:$Y$435)</f>
        <v>40.07375</v>
      </c>
    </row>
    <row r="436" spans="1:28">
      <c r="A436" s="10">
        <v>45726</v>
      </c>
      <c r="B436" s="7">
        <v>7.44</v>
      </c>
      <c r="C436" s="7">
        <v>18.14</v>
      </c>
      <c r="D436" s="7">
        <v>26.06</v>
      </c>
      <c r="E436" s="7">
        <v>8.97999999999996</v>
      </c>
      <c r="F436" s="7">
        <v>-8.79999999999995</v>
      </c>
      <c r="G436" s="7">
        <v>-4.11000000000001</v>
      </c>
      <c r="H436" s="7">
        <v>-15.54</v>
      </c>
      <c r="I436" s="7">
        <v>-36.1300000000001</v>
      </c>
      <c r="J436" s="7">
        <v>-66.39</v>
      </c>
      <c r="K436" s="7">
        <v>87.48</v>
      </c>
      <c r="L436" s="7">
        <v>146.74</v>
      </c>
      <c r="M436" s="7">
        <v>138.07</v>
      </c>
      <c r="N436" s="7">
        <v>239.53</v>
      </c>
      <c r="O436" s="7">
        <v>166.04</v>
      </c>
      <c r="P436" s="7">
        <v>124.65</v>
      </c>
      <c r="Q436" s="7">
        <v>79.78</v>
      </c>
      <c r="R436" s="7">
        <v>109.28</v>
      </c>
      <c r="S436" s="7">
        <v>111.24</v>
      </c>
      <c r="T436" s="7">
        <v>89.68</v>
      </c>
      <c r="U436" s="7">
        <v>103.55</v>
      </c>
      <c r="V436" s="7">
        <v>83.71</v>
      </c>
      <c r="W436" s="7">
        <v>69.85</v>
      </c>
      <c r="X436" s="7">
        <v>55.8</v>
      </c>
      <c r="Y436" s="7">
        <v>36.01</v>
      </c>
      <c r="Z436" s="9">
        <f>MAX($B$436:$Y$436)</f>
        <v>239.53</v>
      </c>
      <c r="AA436" s="9">
        <f>MIN($B$436:$Y$436)</f>
        <v>-66.39</v>
      </c>
      <c r="AB436" s="9">
        <f>AVERAGE($B$436:$Y$436)</f>
        <v>65.4608333333333</v>
      </c>
    </row>
    <row r="437" spans="1:28">
      <c r="A437" s="10">
        <v>45727</v>
      </c>
      <c r="B437" s="7">
        <v>-24.89</v>
      </c>
      <c r="C437" s="7">
        <v>32.63</v>
      </c>
      <c r="D437" s="7">
        <v>32.65</v>
      </c>
      <c r="E437" s="7">
        <v>29.21</v>
      </c>
      <c r="F437" s="7">
        <v>31.56</v>
      </c>
      <c r="G437" s="7">
        <v>21.46</v>
      </c>
      <c r="H437" s="7">
        <v>8.66000000000002</v>
      </c>
      <c r="I437" s="7">
        <v>7.76999999999998</v>
      </c>
      <c r="J437" s="7">
        <v>-3.69999999999999</v>
      </c>
      <c r="K437" s="7">
        <v>70.3</v>
      </c>
      <c r="L437" s="7">
        <v>130.6</v>
      </c>
      <c r="M437" s="7">
        <v>84.49</v>
      </c>
      <c r="N437" s="7">
        <v>173.04</v>
      </c>
      <c r="O437" s="7">
        <v>18.8200000000001</v>
      </c>
      <c r="P437" s="7">
        <v>-8.99000000000001</v>
      </c>
      <c r="Q437" s="7">
        <v>4</v>
      </c>
      <c r="R437" s="7">
        <v>-17.19</v>
      </c>
      <c r="S437" s="7">
        <v>-3.88999999999999</v>
      </c>
      <c r="T437" s="7">
        <v>-2.14000000000004</v>
      </c>
      <c r="U437" s="7">
        <v>-43.48</v>
      </c>
      <c r="V437" s="7">
        <v>-23.65</v>
      </c>
      <c r="W437" s="7">
        <v>13.2</v>
      </c>
      <c r="X437" s="7">
        <v>25.72</v>
      </c>
      <c r="Y437" s="7">
        <v>14.92</v>
      </c>
      <c r="Z437" s="9">
        <f>MAX($B$437:$Y$437)</f>
        <v>173.04</v>
      </c>
      <c r="AA437" s="9">
        <f>MIN($B$437:$Y$437)</f>
        <v>-43.48</v>
      </c>
      <c r="AB437" s="9">
        <f>AVERAGE($B$437:$Y$437)</f>
        <v>23.7958333333333</v>
      </c>
    </row>
    <row r="438" spans="1:28">
      <c r="A438" s="10">
        <v>45728</v>
      </c>
      <c r="B438" s="7">
        <v>18.1300000000001</v>
      </c>
      <c r="C438" s="7">
        <v>40.09</v>
      </c>
      <c r="D438" s="7">
        <v>31.41</v>
      </c>
      <c r="E438" s="7">
        <v>23.62</v>
      </c>
      <c r="F438" s="7">
        <v>28.55</v>
      </c>
      <c r="G438" s="7">
        <v>7.30000000000001</v>
      </c>
      <c r="H438" s="7">
        <v>-0.310000000000002</v>
      </c>
      <c r="I438" s="7">
        <v>12.51</v>
      </c>
      <c r="J438" s="7">
        <v>47.96</v>
      </c>
      <c r="K438" s="7">
        <v>88.38</v>
      </c>
      <c r="L438" s="7">
        <v>53.01</v>
      </c>
      <c r="M438" s="7">
        <v>26.08</v>
      </c>
      <c r="N438" s="7">
        <v>68.31</v>
      </c>
      <c r="O438" s="7">
        <v>-9.55000000000001</v>
      </c>
      <c r="P438" s="7">
        <v>19.63</v>
      </c>
      <c r="Q438" s="7">
        <v>5.38</v>
      </c>
      <c r="R438" s="7">
        <v>-27.66</v>
      </c>
      <c r="S438" s="7">
        <v>-132.66</v>
      </c>
      <c r="T438" s="7">
        <v>-41.02</v>
      </c>
      <c r="U438" s="7">
        <v>-39.66</v>
      </c>
      <c r="V438" s="7">
        <v>10.35</v>
      </c>
      <c r="W438" s="7">
        <v>32.44</v>
      </c>
      <c r="X438" s="7">
        <v>3.06</v>
      </c>
      <c r="Y438" s="7">
        <v>-1.05000000000001</v>
      </c>
      <c r="Z438" s="9">
        <f>MAX($B$438:$Y$438)</f>
        <v>88.38</v>
      </c>
      <c r="AA438" s="9">
        <f>MIN($B$438:$Y$438)</f>
        <v>-132.66</v>
      </c>
      <c r="AB438" s="9">
        <f>AVERAGE($B$438:$Y$438)</f>
        <v>11.0125</v>
      </c>
    </row>
    <row r="439" spans="1:28">
      <c r="A439" s="10">
        <v>45729</v>
      </c>
      <c r="B439" s="7">
        <v>-81.65</v>
      </c>
      <c r="C439" s="7">
        <v>-81.96</v>
      </c>
      <c r="D439" s="7">
        <v>-2.91000000000002</v>
      </c>
      <c r="E439" s="7">
        <v>-3.36000000000001</v>
      </c>
      <c r="F439" s="7">
        <v>0.300000000000011</v>
      </c>
      <c r="G439" s="7">
        <v>3.20999999999998</v>
      </c>
      <c r="H439" s="7">
        <v>-50.93</v>
      </c>
      <c r="I439" s="7">
        <v>-63.58</v>
      </c>
      <c r="J439" s="7">
        <v>5.28000000000003</v>
      </c>
      <c r="K439" s="7">
        <v>27.98</v>
      </c>
      <c r="L439" s="7">
        <v>16.02</v>
      </c>
      <c r="M439" s="7">
        <v>20.75</v>
      </c>
      <c r="N439" s="7">
        <v>10.84</v>
      </c>
      <c r="O439" s="7">
        <v>-1.72000000000003</v>
      </c>
      <c r="P439" s="7">
        <v>18.37</v>
      </c>
      <c r="Q439" s="7">
        <v>-1.97000000000003</v>
      </c>
      <c r="R439" s="7">
        <v>-31.56</v>
      </c>
      <c r="S439" s="7">
        <v>-28.74</v>
      </c>
      <c r="T439" s="7">
        <v>-109.18</v>
      </c>
      <c r="U439" s="7">
        <v>-109.97</v>
      </c>
      <c r="V439" s="7">
        <v>-138.4</v>
      </c>
      <c r="W439" s="7">
        <v>-142.41</v>
      </c>
      <c r="X439" s="7">
        <v>-115.93</v>
      </c>
      <c r="Y439" s="7">
        <v>-17.75</v>
      </c>
      <c r="Z439" s="9">
        <f>MAX($B$439:$Y$439)</f>
        <v>27.98</v>
      </c>
      <c r="AA439" s="9">
        <f>MIN($B$439:$Y$439)</f>
        <v>-142.41</v>
      </c>
      <c r="AB439" s="9">
        <f>AVERAGE($B$439:$Y$439)</f>
        <v>-36.63625</v>
      </c>
    </row>
    <row r="440" spans="1:28">
      <c r="A440" s="10">
        <v>45730</v>
      </c>
      <c r="B440" s="7">
        <v>-70.37</v>
      </c>
      <c r="C440" s="7">
        <v>-76.56</v>
      </c>
      <c r="D440" s="7">
        <v>-41.65</v>
      </c>
      <c r="E440" s="7">
        <v>21.18</v>
      </c>
      <c r="F440" s="7">
        <v>21.78</v>
      </c>
      <c r="G440" s="7">
        <v>18.39</v>
      </c>
      <c r="H440" s="7">
        <v>5.37</v>
      </c>
      <c r="I440" s="7">
        <v>-32.98</v>
      </c>
      <c r="J440" s="7">
        <v>-23.64</v>
      </c>
      <c r="K440" s="7">
        <v>-101.29</v>
      </c>
      <c r="L440" s="7">
        <v>-61.8</v>
      </c>
      <c r="M440" s="7">
        <v>-35.27</v>
      </c>
      <c r="N440" s="7">
        <v>38.55</v>
      </c>
      <c r="O440" s="7">
        <v>-4.25</v>
      </c>
      <c r="P440" s="7">
        <v>-4.25999999999999</v>
      </c>
      <c r="Q440" s="7">
        <v>5.19</v>
      </c>
      <c r="R440" s="7">
        <v>-3.95999999999998</v>
      </c>
      <c r="S440" s="7">
        <v>-9.27999999999997</v>
      </c>
      <c r="T440" s="7">
        <v>-12.66</v>
      </c>
      <c r="U440" s="7">
        <v>2.81999999999999</v>
      </c>
      <c r="V440" s="7">
        <v>-26.04</v>
      </c>
      <c r="W440" s="7">
        <v>1.27999999999997</v>
      </c>
      <c r="X440" s="7">
        <v>13.75</v>
      </c>
      <c r="Y440" s="7">
        <v>12.84</v>
      </c>
      <c r="Z440" s="9">
        <f>MAX($B$440:$Y$440)</f>
        <v>38.55</v>
      </c>
      <c r="AA440" s="9">
        <f>MIN($B$440:$Y$440)</f>
        <v>-101.29</v>
      </c>
      <c r="AB440" s="9">
        <f>AVERAGE($B$440:$Y$440)</f>
        <v>-15.1191666666667</v>
      </c>
    </row>
    <row r="441" spans="1:28">
      <c r="A441" s="10">
        <v>45731</v>
      </c>
      <c r="B441" s="7">
        <v>-4.57999999999998</v>
      </c>
      <c r="C441" s="7">
        <v>-7.82999999999998</v>
      </c>
      <c r="D441" s="7">
        <v>-169.49</v>
      </c>
      <c r="E441" s="7">
        <v>-189.9</v>
      </c>
      <c r="F441" s="7">
        <v>-77.23</v>
      </c>
      <c r="G441" s="7">
        <v>-50</v>
      </c>
      <c r="H441" s="7">
        <v>-157.46</v>
      </c>
      <c r="I441" s="7">
        <v>-45.75</v>
      </c>
      <c r="J441" s="7">
        <v>-138.65</v>
      </c>
      <c r="K441" s="7">
        <v>18.77</v>
      </c>
      <c r="L441" s="7">
        <v>117.34</v>
      </c>
      <c r="M441" s="7">
        <v>116.73</v>
      </c>
      <c r="N441" s="7">
        <v>14.03</v>
      </c>
      <c r="O441" s="7">
        <v>-16.61</v>
      </c>
      <c r="P441" s="7">
        <v>6.44999999999999</v>
      </c>
      <c r="Q441" s="7">
        <v>36.09</v>
      </c>
      <c r="R441" s="7">
        <v>42.09</v>
      </c>
      <c r="S441" s="7">
        <v>47.61</v>
      </c>
      <c r="T441" s="7">
        <v>-42.74</v>
      </c>
      <c r="U441" s="7">
        <v>-15.1</v>
      </c>
      <c r="V441" s="7">
        <v>-107.79</v>
      </c>
      <c r="W441" s="7">
        <v>33.73</v>
      </c>
      <c r="X441" s="7">
        <v>11.47</v>
      </c>
      <c r="Y441" s="7">
        <v>-3.12</v>
      </c>
      <c r="Z441" s="9">
        <f>MAX($B$441:$Y$441)</f>
        <v>117.34</v>
      </c>
      <c r="AA441" s="9">
        <f>MIN($B$441:$Y$441)</f>
        <v>-189.9</v>
      </c>
      <c r="AB441" s="9">
        <f>AVERAGE($B$441:$Y$441)</f>
        <v>-24.2475</v>
      </c>
    </row>
    <row r="442" spans="1:28">
      <c r="A442" s="10">
        <v>45732</v>
      </c>
      <c r="B442" s="7">
        <v>-24.26</v>
      </c>
      <c r="C442" s="7">
        <v>-48.19</v>
      </c>
      <c r="D442" s="7">
        <v>16.3</v>
      </c>
      <c r="E442" s="7">
        <v>122.93</v>
      </c>
      <c r="F442" s="7">
        <v>152.44</v>
      </c>
      <c r="G442" s="7">
        <v>102.47</v>
      </c>
      <c r="H442" s="7">
        <v>91.36</v>
      </c>
      <c r="I442" s="7">
        <v>88.07</v>
      </c>
      <c r="J442" s="7">
        <v>-26.48</v>
      </c>
      <c r="K442" s="7">
        <v>-45.54</v>
      </c>
      <c r="L442" s="7">
        <v>-160.93</v>
      </c>
      <c r="M442" s="7">
        <v>117.27</v>
      </c>
      <c r="N442" s="7">
        <v>12.5</v>
      </c>
      <c r="O442" s="7">
        <v>68.55</v>
      </c>
      <c r="P442" s="7">
        <v>82.29</v>
      </c>
      <c r="Q442" s="7">
        <v>215.97</v>
      </c>
      <c r="R442" s="7">
        <v>4.64999999999998</v>
      </c>
      <c r="S442" s="7">
        <v>51.25</v>
      </c>
      <c r="T442" s="7">
        <v>-5.69</v>
      </c>
      <c r="U442" s="7">
        <v>11.99</v>
      </c>
      <c r="V442" s="7">
        <v>-86.28</v>
      </c>
      <c r="W442" s="7">
        <v>-33.05</v>
      </c>
      <c r="X442" s="7">
        <v>14.56</v>
      </c>
      <c r="Y442" s="7">
        <v>70.55</v>
      </c>
      <c r="Z442" s="9">
        <f>MAX($B$442:$Y$442)</f>
        <v>215.97</v>
      </c>
      <c r="AA442" s="9">
        <f>MIN($B$442:$Y$442)</f>
        <v>-160.93</v>
      </c>
      <c r="AB442" s="9">
        <f>AVERAGE($B$442:$Y$442)</f>
        <v>33.0304166666667</v>
      </c>
    </row>
    <row r="443" spans="1:28">
      <c r="A443" s="10">
        <v>45733</v>
      </c>
      <c r="B443" s="7">
        <v>-85.57</v>
      </c>
      <c r="C443" s="7">
        <v>-30.77</v>
      </c>
      <c r="D443" s="7">
        <v>21.28</v>
      </c>
      <c r="E443" s="7">
        <v>24.4</v>
      </c>
      <c r="F443" s="7">
        <v>52.08</v>
      </c>
      <c r="G443" s="7">
        <v>56.01</v>
      </c>
      <c r="H443" s="7">
        <v>0.350000000000023</v>
      </c>
      <c r="I443" s="7">
        <v>-23.09</v>
      </c>
      <c r="J443" s="7">
        <v>-207.59</v>
      </c>
      <c r="K443" s="7">
        <v>-404.4</v>
      </c>
      <c r="L443" s="7">
        <v>-362.02</v>
      </c>
      <c r="M443" s="7">
        <v>-341.56</v>
      </c>
      <c r="N443" s="7">
        <v>-86.62</v>
      </c>
      <c r="O443" s="7">
        <v>-63.49</v>
      </c>
      <c r="P443" s="7">
        <v>11.15</v>
      </c>
      <c r="Q443" s="7">
        <v>43.76</v>
      </c>
      <c r="R443" s="7">
        <v>51.44</v>
      </c>
      <c r="S443" s="7">
        <v>5.71000000000004</v>
      </c>
      <c r="T443" s="7">
        <v>-4.85000000000002</v>
      </c>
      <c r="U443" s="7">
        <v>15.54</v>
      </c>
      <c r="V443" s="7">
        <v>-20.75</v>
      </c>
      <c r="W443" s="7">
        <v>-66.22</v>
      </c>
      <c r="X443" s="7">
        <v>-36.72</v>
      </c>
      <c r="Y443" s="7">
        <v>-36.78</v>
      </c>
      <c r="Z443" s="9">
        <f>MAX($B$443:$Y$443)</f>
        <v>56.01</v>
      </c>
      <c r="AA443" s="9">
        <f>MIN($B$443:$Y$443)</f>
        <v>-404.4</v>
      </c>
      <c r="AB443" s="9">
        <f>AVERAGE($B$443:$Y$443)</f>
        <v>-62.0295833333333</v>
      </c>
    </row>
    <row r="444" spans="1:28">
      <c r="A444" s="10">
        <v>45734</v>
      </c>
      <c r="B444" s="7">
        <v>5.31</v>
      </c>
      <c r="C444" s="7">
        <v>7.65999999999997</v>
      </c>
      <c r="D444" s="7">
        <v>2.83999999999997</v>
      </c>
      <c r="E444" s="7">
        <v>-2.77999999999997</v>
      </c>
      <c r="F444" s="7">
        <v>-6.88999999999999</v>
      </c>
      <c r="G444" s="7">
        <v>-7.76999999999998</v>
      </c>
      <c r="H444" s="7">
        <v>-52.65</v>
      </c>
      <c r="I444" s="7">
        <v>-264.76</v>
      </c>
      <c r="J444" s="7">
        <v>-251.75</v>
      </c>
      <c r="K444" s="7">
        <v>13.4</v>
      </c>
      <c r="L444" s="7">
        <v>25.27</v>
      </c>
      <c r="M444" s="7">
        <v>-23.24</v>
      </c>
      <c r="N444" s="7">
        <v>-69.69</v>
      </c>
      <c r="O444" s="7">
        <v>-122.18</v>
      </c>
      <c r="P444" s="7">
        <v>-61.77</v>
      </c>
      <c r="Q444" s="7">
        <v>-66.89</v>
      </c>
      <c r="R444" s="7">
        <v>23.47</v>
      </c>
      <c r="S444" s="7">
        <v>23.5</v>
      </c>
      <c r="T444" s="7">
        <v>-54.5</v>
      </c>
      <c r="U444" s="7">
        <v>-91.56</v>
      </c>
      <c r="V444" s="7">
        <v>-87.64</v>
      </c>
      <c r="W444" s="7">
        <v>-106.44</v>
      </c>
      <c r="X444" s="7">
        <v>-32.1</v>
      </c>
      <c r="Y444" s="7">
        <v>-1.71999999999997</v>
      </c>
      <c r="Z444" s="9">
        <f>MAX($B$444:$Y$444)</f>
        <v>25.27</v>
      </c>
      <c r="AA444" s="9">
        <f>MIN($B$444:$Y$444)</f>
        <v>-264.76</v>
      </c>
      <c r="AB444" s="9">
        <f>AVERAGE($B$444:$Y$444)</f>
        <v>-50.12</v>
      </c>
    </row>
    <row r="445" spans="1:28">
      <c r="A445" s="10">
        <v>45735</v>
      </c>
      <c r="B445" s="7">
        <v>-3.56999999999999</v>
      </c>
      <c r="C445" s="7">
        <v>-13.06</v>
      </c>
      <c r="D445" s="7">
        <v>-17.12</v>
      </c>
      <c r="E445" s="7">
        <v>-14.2</v>
      </c>
      <c r="F445" s="7">
        <v>0.939999999999998</v>
      </c>
      <c r="G445" s="7">
        <v>1.38</v>
      </c>
      <c r="H445" s="7">
        <v>-59.47</v>
      </c>
      <c r="I445" s="7">
        <v>-213.39</v>
      </c>
      <c r="J445" s="7">
        <v>9.63999999999999</v>
      </c>
      <c r="K445" s="7">
        <v>160.75</v>
      </c>
      <c r="L445" s="7">
        <v>58.0700000000001</v>
      </c>
      <c r="M445" s="7">
        <v>106.6</v>
      </c>
      <c r="N445" s="7">
        <v>202.02</v>
      </c>
      <c r="O445" s="7">
        <v>77.41</v>
      </c>
      <c r="P445" s="7">
        <v>30.35</v>
      </c>
      <c r="Q445" s="7">
        <v>36.01</v>
      </c>
      <c r="R445" s="7">
        <v>19.63</v>
      </c>
      <c r="S445" s="7">
        <v>1.41000000000003</v>
      </c>
      <c r="T445" s="7">
        <v>-11.03</v>
      </c>
      <c r="U445" s="7">
        <v>-36.51</v>
      </c>
      <c r="V445" s="7">
        <v>-68.06</v>
      </c>
      <c r="W445" s="7">
        <v>-39.64</v>
      </c>
      <c r="X445" s="7">
        <v>-17.03</v>
      </c>
      <c r="Y445" s="7">
        <v>-5.05000000000001</v>
      </c>
      <c r="Z445" s="9">
        <f>MAX($B$445:$Y$445)</f>
        <v>202.02</v>
      </c>
      <c r="AA445" s="9">
        <f>MIN($B$445:$Y$445)</f>
        <v>-213.39</v>
      </c>
      <c r="AB445" s="9">
        <f>AVERAGE($B$445:$Y$445)</f>
        <v>8.58666666666667</v>
      </c>
    </row>
    <row r="446" spans="1:28">
      <c r="A446" s="10">
        <v>45736</v>
      </c>
      <c r="B446" s="7">
        <v>-2.89000000000004</v>
      </c>
      <c r="C446" s="7">
        <v>25.31</v>
      </c>
      <c r="D446" s="7">
        <v>32.34</v>
      </c>
      <c r="E446" s="7">
        <v>28.23</v>
      </c>
      <c r="F446" s="7">
        <v>7.19999999999999</v>
      </c>
      <c r="G446" s="7">
        <v>8.69</v>
      </c>
      <c r="H446" s="7">
        <v>-24.24</v>
      </c>
      <c r="I446" s="7">
        <v>-16.38</v>
      </c>
      <c r="J446" s="7">
        <v>11.89</v>
      </c>
      <c r="K446" s="7">
        <v>34.6</v>
      </c>
      <c r="L446" s="7">
        <v>15.36</v>
      </c>
      <c r="M446" s="7">
        <v>14.65</v>
      </c>
      <c r="N446" s="7">
        <v>43.34</v>
      </c>
      <c r="O446" s="7">
        <v>-36.01</v>
      </c>
      <c r="P446" s="7">
        <v>14.62</v>
      </c>
      <c r="Q446" s="7">
        <v>-108.12</v>
      </c>
      <c r="R446" s="7">
        <v>-1.64999999999998</v>
      </c>
      <c r="S446" s="7">
        <v>-2</v>
      </c>
      <c r="T446" s="7">
        <v>-5.13999999999999</v>
      </c>
      <c r="U446" s="7">
        <v>-23.67</v>
      </c>
      <c r="V446" s="7">
        <v>-42.68</v>
      </c>
      <c r="W446" s="7">
        <v>-37.24</v>
      </c>
      <c r="X446" s="7">
        <v>11.62</v>
      </c>
      <c r="Y446" s="7">
        <v>-1.05000000000001</v>
      </c>
      <c r="Z446" s="9">
        <f>MAX($B$446:$Y$446)</f>
        <v>43.34</v>
      </c>
      <c r="AA446" s="9">
        <f>MIN($B$446:$Y$446)</f>
        <v>-108.12</v>
      </c>
      <c r="AB446" s="9">
        <f>AVERAGE($B$446:$Y$446)</f>
        <v>-2.2175</v>
      </c>
    </row>
    <row r="447" spans="1:28">
      <c r="A447" s="10">
        <v>45737</v>
      </c>
      <c r="B447" s="7">
        <v>-152.6</v>
      </c>
      <c r="C447" s="7">
        <v>-162.29</v>
      </c>
      <c r="D447" s="7">
        <v>-186.69</v>
      </c>
      <c r="E447" s="7">
        <v>-88.19</v>
      </c>
      <c r="F447" s="7">
        <v>-52.61</v>
      </c>
      <c r="G447" s="7">
        <v>-72.5</v>
      </c>
      <c r="H447" s="7">
        <v>-695.69</v>
      </c>
      <c r="I447" s="7">
        <v>-119.33</v>
      </c>
      <c r="J447" s="7">
        <v>-15.34</v>
      </c>
      <c r="K447" s="7">
        <v>29.96</v>
      </c>
      <c r="L447" s="7">
        <v>0.579999999999984</v>
      </c>
      <c r="M447" s="7">
        <v>87.65</v>
      </c>
      <c r="N447" s="7">
        <v>214.96</v>
      </c>
      <c r="O447" s="7">
        <v>169.88</v>
      </c>
      <c r="P447" s="7">
        <v>166.03</v>
      </c>
      <c r="Q447" s="7">
        <v>7.48000000000002</v>
      </c>
      <c r="R447" s="7">
        <v>19.11</v>
      </c>
      <c r="S447" s="7">
        <v>-10.4</v>
      </c>
      <c r="T447" s="7">
        <v>2.04000000000002</v>
      </c>
      <c r="U447" s="7">
        <v>21.62</v>
      </c>
      <c r="V447" s="7">
        <v>10.29</v>
      </c>
      <c r="W447" s="7">
        <v>8.61000000000001</v>
      </c>
      <c r="X447" s="7">
        <v>5.42000000000002</v>
      </c>
      <c r="Y447" s="7">
        <v>4.04999999999995</v>
      </c>
      <c r="Z447" s="9">
        <f>MAX($B$447:$Y$447)</f>
        <v>214.96</v>
      </c>
      <c r="AA447" s="9">
        <f>MIN($B$447:$Y$447)</f>
        <v>-695.69</v>
      </c>
      <c r="AB447" s="9">
        <f>AVERAGE($B$447:$Y$447)</f>
        <v>-33.665</v>
      </c>
    </row>
    <row r="448" spans="1:28">
      <c r="A448" s="10">
        <v>45738</v>
      </c>
      <c r="B448" s="7">
        <v>-110.8</v>
      </c>
      <c r="C448" s="7">
        <v>-59.52</v>
      </c>
      <c r="D448" s="7">
        <v>-13.28</v>
      </c>
      <c r="E448" s="7">
        <v>31.8</v>
      </c>
      <c r="F448" s="7">
        <v>30.04</v>
      </c>
      <c r="G448" s="7">
        <v>34.35</v>
      </c>
      <c r="H448" s="7">
        <v>-42.84</v>
      </c>
      <c r="I448" s="7">
        <v>-44.59</v>
      </c>
      <c r="J448" s="7">
        <v>-0.519999999999982</v>
      </c>
      <c r="K448" s="7">
        <v>13</v>
      </c>
      <c r="L448" s="7">
        <v>17.12</v>
      </c>
      <c r="M448" s="7">
        <v>21.58</v>
      </c>
      <c r="N448" s="7">
        <v>125.44</v>
      </c>
      <c r="O448" s="7">
        <v>-53.74</v>
      </c>
      <c r="P448" s="7">
        <v>-34.61</v>
      </c>
      <c r="Q448" s="7">
        <v>38.04</v>
      </c>
      <c r="R448" s="7">
        <v>36.02</v>
      </c>
      <c r="S448" s="7">
        <v>32.97</v>
      </c>
      <c r="T448" s="7">
        <v>-2.46000000000004</v>
      </c>
      <c r="U448" s="7">
        <v>-8.64999999999998</v>
      </c>
      <c r="V448" s="7">
        <v>2.51999999999998</v>
      </c>
      <c r="W448" s="7">
        <v>5.83999999999997</v>
      </c>
      <c r="X448" s="7">
        <v>-21.05</v>
      </c>
      <c r="Y448" s="7">
        <v>-29.37</v>
      </c>
      <c r="Z448" s="9">
        <f>MAX($B$448:$Y$448)</f>
        <v>125.44</v>
      </c>
      <c r="AA448" s="9">
        <f>MIN($B$448:$Y$448)</f>
        <v>-110.8</v>
      </c>
      <c r="AB448" s="9">
        <f>AVERAGE($B$448:$Y$448)</f>
        <v>-1.36291666666667</v>
      </c>
    </row>
    <row r="449" spans="1:28">
      <c r="A449" s="10">
        <v>45739</v>
      </c>
      <c r="B449" s="7">
        <v>20.71</v>
      </c>
      <c r="C449" s="7">
        <v>72.48</v>
      </c>
      <c r="D449" s="7">
        <v>15.2</v>
      </c>
      <c r="E449" s="7">
        <v>6.69</v>
      </c>
      <c r="F449" s="7">
        <v>6.31</v>
      </c>
      <c r="G449" s="7">
        <v>0.860000000000014</v>
      </c>
      <c r="H449" s="7">
        <v>-16.19</v>
      </c>
      <c r="I449" s="7">
        <v>0.120000000000005</v>
      </c>
      <c r="J449" s="7">
        <v>71.07</v>
      </c>
      <c r="K449" s="7">
        <v>1.43000000000001</v>
      </c>
      <c r="L449" s="7">
        <v>0.860000000000014</v>
      </c>
      <c r="M449" s="7">
        <v>47.02</v>
      </c>
      <c r="N449" s="7">
        <v>124.17</v>
      </c>
      <c r="O449" s="7">
        <v>73.97</v>
      </c>
      <c r="P449" s="7">
        <v>-12.32</v>
      </c>
      <c r="Q449" s="7">
        <v>116.03</v>
      </c>
      <c r="R449" s="7">
        <v>10.69</v>
      </c>
      <c r="S449" s="7">
        <v>21.41</v>
      </c>
      <c r="T449" s="7">
        <v>12.59</v>
      </c>
      <c r="U449" s="7">
        <v>12.1799999999999</v>
      </c>
      <c r="V449" s="7">
        <v>1.06</v>
      </c>
      <c r="W449" s="7">
        <v>-3.29999999999995</v>
      </c>
      <c r="X449" s="7">
        <v>-11.18</v>
      </c>
      <c r="Y449" s="7">
        <v>-3.25999999999999</v>
      </c>
      <c r="Z449" s="9">
        <f>MAX($B$449:$Y$449)</f>
        <v>124.17</v>
      </c>
      <c r="AA449" s="9">
        <f>MIN($B$449:$Y$449)</f>
        <v>-16.19</v>
      </c>
      <c r="AB449" s="9">
        <f>AVERAGE($B$449:$Y$449)</f>
        <v>23.6916666666667</v>
      </c>
    </row>
    <row r="450" spans="1:28">
      <c r="A450" s="10">
        <v>45740</v>
      </c>
      <c r="B450" s="7">
        <v>-19.23</v>
      </c>
      <c r="C450" s="7">
        <v>-15.78</v>
      </c>
      <c r="D450" s="7">
        <v>0.610000000000014</v>
      </c>
      <c r="E450" s="7">
        <v>3.51999999999998</v>
      </c>
      <c r="F450" s="7">
        <v>-15.34</v>
      </c>
      <c r="G450" s="7">
        <v>-82.66</v>
      </c>
      <c r="H450" s="7">
        <v>-269.47</v>
      </c>
      <c r="I450" s="7">
        <v>-10.99</v>
      </c>
      <c r="J450" s="7">
        <v>-33.54</v>
      </c>
      <c r="K450" s="7">
        <v>-9.69</v>
      </c>
      <c r="L450" s="7">
        <v>16.8</v>
      </c>
      <c r="M450" s="7">
        <v>66.34</v>
      </c>
      <c r="N450" s="7">
        <v>130.56</v>
      </c>
      <c r="O450" s="7">
        <v>132.68</v>
      </c>
      <c r="P450" s="7">
        <v>50.76</v>
      </c>
      <c r="Q450" s="7">
        <v>-3.48999999999995</v>
      </c>
      <c r="R450" s="7">
        <v>15.17</v>
      </c>
      <c r="S450" s="7">
        <v>-0.799999999999955</v>
      </c>
      <c r="T450" s="7">
        <v>-3.50999999999999</v>
      </c>
      <c r="U450" s="7">
        <v>-21.55</v>
      </c>
      <c r="V450" s="7">
        <v>-7.39999999999998</v>
      </c>
      <c r="W450" s="7">
        <v>-8.54000000000002</v>
      </c>
      <c r="X450" s="7">
        <v>21.88</v>
      </c>
      <c r="Y450" s="7">
        <v>17.6199999999999</v>
      </c>
      <c r="Z450" s="9">
        <f>MAX($B$450:$Y$450)</f>
        <v>132.68</v>
      </c>
      <c r="AA450" s="9">
        <f>MIN($B$450:$Y$450)</f>
        <v>-269.47</v>
      </c>
      <c r="AB450" s="9">
        <f>AVERAGE($B$450:$Y$450)</f>
        <v>-1.91875</v>
      </c>
    </row>
    <row r="451" spans="1:28">
      <c r="A451" s="10">
        <v>45741</v>
      </c>
      <c r="B451" s="7">
        <v>-11.08</v>
      </c>
      <c r="C451" s="7">
        <v>-3.74000000000001</v>
      </c>
      <c r="D451" s="7">
        <v>-3.32999999999998</v>
      </c>
      <c r="E451" s="7">
        <v>-4.14999999999998</v>
      </c>
      <c r="F451" s="7">
        <v>-2.98000000000002</v>
      </c>
      <c r="G451" s="7">
        <v>4.52000000000004</v>
      </c>
      <c r="H451" s="7">
        <v>-9.76999999999998</v>
      </c>
      <c r="I451" s="7">
        <v>-6.50999999999999</v>
      </c>
      <c r="J451" s="7">
        <v>10.81</v>
      </c>
      <c r="K451" s="7">
        <v>19.41</v>
      </c>
      <c r="L451" s="7">
        <v>84.93</v>
      </c>
      <c r="M451" s="7">
        <v>39.69</v>
      </c>
      <c r="N451" s="7">
        <v>230.29</v>
      </c>
      <c r="O451" s="7">
        <v>130.35</v>
      </c>
      <c r="P451" s="7">
        <v>153.65</v>
      </c>
      <c r="Q451" s="7">
        <v>61.77</v>
      </c>
      <c r="R451" s="7">
        <v>22.44</v>
      </c>
      <c r="S451" s="7">
        <v>23.29</v>
      </c>
      <c r="T451" s="7">
        <v>16.58</v>
      </c>
      <c r="U451" s="7">
        <v>9.21999999999997</v>
      </c>
      <c r="V451" s="7">
        <v>17.31</v>
      </c>
      <c r="W451" s="7">
        <v>2.16000000000002</v>
      </c>
      <c r="X451" s="7">
        <v>1.69</v>
      </c>
      <c r="Y451" s="7">
        <v>-8.71999999999997</v>
      </c>
      <c r="Z451" s="9">
        <f>MAX($B$451:$Y$451)</f>
        <v>230.29</v>
      </c>
      <c r="AA451" s="9">
        <f>MIN($B$451:$Y$451)</f>
        <v>-11.08</v>
      </c>
      <c r="AB451" s="9">
        <f>AVERAGE($B$451:$Y$451)</f>
        <v>32.4095833333333</v>
      </c>
    </row>
    <row r="452" spans="1:28">
      <c r="A452" s="10">
        <v>45742</v>
      </c>
      <c r="B452" s="7">
        <v>-71.61</v>
      </c>
      <c r="C452" s="7">
        <v>1.75</v>
      </c>
      <c r="D452" s="7">
        <v>10.65</v>
      </c>
      <c r="E452" s="7">
        <v>6.01999999999998</v>
      </c>
      <c r="F452" s="7">
        <v>3.05000000000001</v>
      </c>
      <c r="G452" s="7">
        <v>3.87</v>
      </c>
      <c r="H452" s="7">
        <v>2.10000000000002</v>
      </c>
      <c r="I452" s="7">
        <v>-1.42000000000002</v>
      </c>
      <c r="J452" s="7">
        <v>3.66999999999996</v>
      </c>
      <c r="K452" s="7">
        <v>73.49</v>
      </c>
      <c r="L452" s="7">
        <v>41.04</v>
      </c>
      <c r="M452" s="7">
        <v>92.6</v>
      </c>
      <c r="N452" s="7">
        <v>339.01</v>
      </c>
      <c r="O452" s="7">
        <v>180.43</v>
      </c>
      <c r="P452" s="7">
        <v>146.52</v>
      </c>
      <c r="Q452" s="7">
        <v>90.48</v>
      </c>
      <c r="R452" s="7">
        <v>40.36</v>
      </c>
      <c r="S452" s="7">
        <v>35.95</v>
      </c>
      <c r="T452" s="7">
        <v>18.5</v>
      </c>
      <c r="U452" s="7">
        <v>25.24</v>
      </c>
      <c r="V452" s="7">
        <v>16.94</v>
      </c>
      <c r="W452" s="7">
        <v>12.16</v>
      </c>
      <c r="X452" s="7">
        <v>12.46</v>
      </c>
      <c r="Y452" s="7">
        <v>17.16</v>
      </c>
      <c r="Z452" s="9">
        <f>MAX($B$452:$Y$452)</f>
        <v>339.01</v>
      </c>
      <c r="AA452" s="9">
        <f>MIN($B$452:$Y$452)</f>
        <v>-71.61</v>
      </c>
      <c r="AB452" s="9">
        <f>AVERAGE($B$452:$Y$452)</f>
        <v>45.8508333333333</v>
      </c>
    </row>
    <row r="453" spans="1:28">
      <c r="A453" s="10">
        <v>45743</v>
      </c>
      <c r="B453" s="7">
        <v>5.37</v>
      </c>
      <c r="C453" s="7">
        <v>15.11</v>
      </c>
      <c r="D453" s="7">
        <v>17.64</v>
      </c>
      <c r="E453" s="7">
        <v>15.52</v>
      </c>
      <c r="F453" s="7">
        <v>31.43</v>
      </c>
      <c r="G453" s="7">
        <v>14.5</v>
      </c>
      <c r="H453" s="7">
        <v>-2.92000000000002</v>
      </c>
      <c r="I453" s="7">
        <v>-8.30000000000001</v>
      </c>
      <c r="J453" s="7">
        <v>9.66999999999996</v>
      </c>
      <c r="K453" s="7">
        <v>8.40000000000003</v>
      </c>
      <c r="L453" s="7">
        <v>24.71</v>
      </c>
      <c r="M453" s="7">
        <v>19.6</v>
      </c>
      <c r="N453" s="7">
        <v>203.13</v>
      </c>
      <c r="O453" s="7">
        <v>125.55</v>
      </c>
      <c r="P453" s="7">
        <v>12.77</v>
      </c>
      <c r="Q453" s="7">
        <v>9.52999999999997</v>
      </c>
      <c r="R453" s="7">
        <v>-7.44999999999999</v>
      </c>
      <c r="S453" s="7">
        <v>-87.07</v>
      </c>
      <c r="T453" s="7">
        <v>-21.08</v>
      </c>
      <c r="U453" s="7">
        <v>-121.59</v>
      </c>
      <c r="V453" s="7">
        <v>-12</v>
      </c>
      <c r="W453" s="7">
        <v>-28.56</v>
      </c>
      <c r="X453" s="7">
        <v>-14.59</v>
      </c>
      <c r="Y453" s="7">
        <v>-6.71999999999997</v>
      </c>
      <c r="Z453" s="9">
        <f>MAX($B$453:$Y$453)</f>
        <v>203.13</v>
      </c>
      <c r="AA453" s="9">
        <f>MIN($B$453:$Y$453)</f>
        <v>-121.59</v>
      </c>
      <c r="AB453" s="9">
        <f>AVERAGE($B$453:$Y$453)</f>
        <v>8.44375</v>
      </c>
    </row>
    <row r="454" spans="1:28">
      <c r="A454" s="10">
        <v>45744</v>
      </c>
      <c r="B454" s="7">
        <v>33.41</v>
      </c>
      <c r="C454" s="7">
        <v>9.46000000000004</v>
      </c>
      <c r="D454" s="7">
        <v>9.76999999999998</v>
      </c>
      <c r="E454" s="7">
        <v>5.52999999999997</v>
      </c>
      <c r="F454" s="7">
        <v>7.37</v>
      </c>
      <c r="G454" s="7">
        <v>3.46000000000004</v>
      </c>
      <c r="H454" s="7">
        <v>-9.00999999999999</v>
      </c>
      <c r="I454" s="7">
        <v>-33.21</v>
      </c>
      <c r="J454" s="7">
        <v>-125.87</v>
      </c>
      <c r="K454" s="7">
        <v>-136.91</v>
      </c>
      <c r="L454" s="7">
        <v>-84.87</v>
      </c>
      <c r="M454" s="7">
        <v>-113.06</v>
      </c>
      <c r="N454" s="7">
        <v>-53.74</v>
      </c>
      <c r="O454" s="7">
        <v>-49.28</v>
      </c>
      <c r="P454" s="7">
        <v>7.68000000000001</v>
      </c>
      <c r="Q454" s="7">
        <v>6.94999999999999</v>
      </c>
      <c r="R454" s="7">
        <v>-86.23</v>
      </c>
      <c r="S454" s="7">
        <v>-87.88</v>
      </c>
      <c r="T454" s="7">
        <v>0.670000000000016</v>
      </c>
      <c r="U454" s="7">
        <v>39.22</v>
      </c>
      <c r="V454" s="7">
        <v>28.34</v>
      </c>
      <c r="W454" s="7">
        <v>43.19</v>
      </c>
      <c r="X454" s="7">
        <v>37.25</v>
      </c>
      <c r="Y454" s="7">
        <v>36.25</v>
      </c>
      <c r="Z454" s="9">
        <f>MAX($B$454:$Y$454)</f>
        <v>43.19</v>
      </c>
      <c r="AA454" s="9">
        <f>MIN($B$454:$Y$454)</f>
        <v>-136.91</v>
      </c>
      <c r="AB454" s="9">
        <f>AVERAGE($B$454:$Y$454)</f>
        <v>-21.3129166666667</v>
      </c>
    </row>
    <row r="455" spans="1:28">
      <c r="A455" s="10">
        <v>45745</v>
      </c>
      <c r="B455" s="7">
        <v>59.51</v>
      </c>
      <c r="C455" s="7">
        <v>35</v>
      </c>
      <c r="D455" s="7">
        <v>48.33</v>
      </c>
      <c r="E455" s="7">
        <v>49.79</v>
      </c>
      <c r="F455" s="7">
        <v>67.99</v>
      </c>
      <c r="G455" s="7">
        <v>40.29</v>
      </c>
      <c r="H455" s="7">
        <v>47.58</v>
      </c>
      <c r="I455" s="7">
        <v>23.94</v>
      </c>
      <c r="J455" s="7">
        <v>34.93</v>
      </c>
      <c r="K455" s="7">
        <v>40.21</v>
      </c>
      <c r="L455" s="7">
        <v>-17.4</v>
      </c>
      <c r="M455" s="7">
        <v>-163.66</v>
      </c>
      <c r="N455" s="7">
        <v>11.08</v>
      </c>
      <c r="O455" s="7">
        <v>-141.49</v>
      </c>
      <c r="P455" s="7">
        <v>-268.18</v>
      </c>
      <c r="Q455" s="7">
        <v>-185.22</v>
      </c>
      <c r="R455" s="7">
        <v>-96.45</v>
      </c>
      <c r="S455" s="7">
        <v>-7.18000000000001</v>
      </c>
      <c r="T455" s="7">
        <v>-17.95</v>
      </c>
      <c r="U455" s="7">
        <v>-5.51000000000005</v>
      </c>
      <c r="V455" s="7">
        <v>4.00999999999999</v>
      </c>
      <c r="W455" s="7">
        <v>-5.97000000000003</v>
      </c>
      <c r="X455" s="7">
        <v>12.67</v>
      </c>
      <c r="Y455" s="7">
        <v>9.81999999999999</v>
      </c>
      <c r="Z455" s="9">
        <f>MAX($B$455:$Y$455)</f>
        <v>67.99</v>
      </c>
      <c r="AA455" s="9">
        <f>MIN($B$455:$Y$455)</f>
        <v>-268.18</v>
      </c>
      <c r="AB455" s="9">
        <f>AVERAGE($B$455:$Y$455)</f>
        <v>-17.6608333333333</v>
      </c>
    </row>
    <row r="456" spans="1:28">
      <c r="A456" s="10">
        <v>45746</v>
      </c>
      <c r="B456" s="7">
        <v>-25.66</v>
      </c>
      <c r="C456" s="7">
        <v>4.42999999999995</v>
      </c>
      <c r="D456" s="7">
        <v>20.64</v>
      </c>
      <c r="E456" s="7">
        <v>16.62</v>
      </c>
      <c r="F456" s="7">
        <v>32.94</v>
      </c>
      <c r="G456" s="7">
        <v>114.64</v>
      </c>
      <c r="H456" s="7">
        <v>39.41</v>
      </c>
      <c r="I456" s="7">
        <v>4.67000000000002</v>
      </c>
      <c r="J456" s="7">
        <v>-14.65</v>
      </c>
      <c r="K456" s="7">
        <v>-26.47</v>
      </c>
      <c r="L456" s="7">
        <v>-77.86</v>
      </c>
      <c r="M456" s="7">
        <v>-286.26</v>
      </c>
      <c r="N456" s="7">
        <v>-31.26</v>
      </c>
      <c r="O456" s="7">
        <v>-157.01</v>
      </c>
      <c r="P456" s="7">
        <v>-60.4</v>
      </c>
      <c r="Q456" s="7">
        <v>-0.269999999999982</v>
      </c>
      <c r="R456" s="7">
        <v>-11.15</v>
      </c>
      <c r="S456" s="7">
        <v>-27.47</v>
      </c>
      <c r="T456" s="7">
        <v>-33.08</v>
      </c>
      <c r="U456" s="7">
        <v>-29.13</v>
      </c>
      <c r="V456" s="7">
        <v>-26.52</v>
      </c>
      <c r="W456" s="7">
        <v>-36.85</v>
      </c>
      <c r="X456" s="7">
        <v>-9.14999999999998</v>
      </c>
      <c r="Y456" s="7">
        <v>0.54000000000002</v>
      </c>
      <c r="Z456" s="9">
        <f>MAX($B$456:$Y$456)</f>
        <v>114.64</v>
      </c>
      <c r="AA456" s="9">
        <f>MIN($B$456:$Y$456)</f>
        <v>-286.26</v>
      </c>
      <c r="AB456" s="9">
        <f>AVERAGE($B$456:$Y$456)</f>
        <v>-25.8041666666667</v>
      </c>
    </row>
    <row r="457" spans="1:28">
      <c r="A457" s="10">
        <v>45747</v>
      </c>
      <c r="B457" s="7">
        <v>-47.45</v>
      </c>
      <c r="C457" s="7">
        <v>-14.11</v>
      </c>
      <c r="D457" s="7">
        <v>-8.66999999999996</v>
      </c>
      <c r="E457" s="7">
        <v>15.76</v>
      </c>
      <c r="F457" s="7">
        <v>6.58999999999997</v>
      </c>
      <c r="G457" s="7">
        <v>25.99</v>
      </c>
      <c r="H457" s="7">
        <v>0.870000000000005</v>
      </c>
      <c r="I457" s="7">
        <v>-28.25</v>
      </c>
      <c r="J457" s="7">
        <v>-103.91</v>
      </c>
      <c r="K457" s="7">
        <v>-5.45000000000005</v>
      </c>
      <c r="L457" s="7">
        <v>-14.34</v>
      </c>
      <c r="M457" s="7">
        <v>-31.69</v>
      </c>
      <c r="N457" s="7">
        <v>-30.15</v>
      </c>
      <c r="O457" s="7">
        <v>-61.77</v>
      </c>
      <c r="P457" s="7">
        <v>-8.50999999999999</v>
      </c>
      <c r="Q457" s="7">
        <v>4.21000000000004</v>
      </c>
      <c r="R457" s="7">
        <v>-19.03</v>
      </c>
      <c r="S457" s="7">
        <v>-40.79</v>
      </c>
      <c r="T457" s="7">
        <v>-14.19</v>
      </c>
      <c r="U457" s="7">
        <v>6.5</v>
      </c>
      <c r="V457" s="7">
        <v>-42.62</v>
      </c>
      <c r="W457" s="7">
        <v>-13.87</v>
      </c>
      <c r="X457" s="7">
        <v>0.810000000000002</v>
      </c>
      <c r="Y457" s="7">
        <v>2.88000000000005</v>
      </c>
      <c r="Z457" s="9">
        <f>MAX($B$457:$Y$457)</f>
        <v>25.99</v>
      </c>
      <c r="AA457" s="9">
        <f>MIN($B$457:$Y$457)</f>
        <v>-103.91</v>
      </c>
      <c r="AB457" s="9">
        <f>AVERAGE($B$457:$Y$457)</f>
        <v>-17.5495833333333</v>
      </c>
    </row>
    <row r="458" spans="1:28">
      <c r="A458" s="10">
        <v>45748</v>
      </c>
      <c r="B458" s="7">
        <v>-13.79</v>
      </c>
      <c r="C458" s="7">
        <v>5.58999999999997</v>
      </c>
      <c r="D458" s="7">
        <v>-2.50999999999999</v>
      </c>
      <c r="E458" s="7">
        <v>-0.310000000000002</v>
      </c>
      <c r="F458" s="7">
        <v>5.5</v>
      </c>
      <c r="G458" s="7">
        <v>15.69</v>
      </c>
      <c r="H458" s="7">
        <v>1.93000000000001</v>
      </c>
      <c r="I458" s="7">
        <v>-2.84999999999997</v>
      </c>
      <c r="J458" s="7">
        <v>16.26</v>
      </c>
      <c r="K458" s="7">
        <v>59.83</v>
      </c>
      <c r="L458" s="7">
        <v>64.74</v>
      </c>
      <c r="M458" s="7">
        <v>93.79</v>
      </c>
      <c r="N458" s="7">
        <v>108.78</v>
      </c>
      <c r="O458" s="7">
        <v>174.99</v>
      </c>
      <c r="P458" s="7">
        <v>122.01</v>
      </c>
      <c r="Q458" s="7">
        <v>150.65</v>
      </c>
      <c r="R458" s="7">
        <v>58.87</v>
      </c>
      <c r="S458" s="7">
        <v>68.84</v>
      </c>
      <c r="T458" s="7">
        <v>16.98</v>
      </c>
      <c r="U458" s="7">
        <v>-61.26</v>
      </c>
      <c r="V458" s="7">
        <v>-147.67</v>
      </c>
      <c r="W458" s="7">
        <v>-192.83</v>
      </c>
      <c r="X458" s="7">
        <v>-174.63</v>
      </c>
      <c r="Y458" s="7">
        <v>-62</v>
      </c>
      <c r="Z458" s="9">
        <f>MAX($B$458:$Y$458)</f>
        <v>174.99</v>
      </c>
      <c r="AA458" s="9">
        <f>MIN($B$458:$Y$458)</f>
        <v>-192.83</v>
      </c>
      <c r="AB458" s="9">
        <f>AVERAGE($B$458:$Y$458)</f>
        <v>12.775</v>
      </c>
    </row>
    <row r="459" spans="1:28">
      <c r="A459" s="10">
        <v>45749</v>
      </c>
      <c r="B459" s="7">
        <v>-132.05</v>
      </c>
      <c r="C459" s="7">
        <v>-117.69</v>
      </c>
      <c r="D459" s="7">
        <v>-150.67</v>
      </c>
      <c r="E459" s="7">
        <v>-21.06</v>
      </c>
      <c r="F459" s="7">
        <v>8.72999999999996</v>
      </c>
      <c r="G459" s="7">
        <v>3.38</v>
      </c>
      <c r="H459" s="7">
        <v>-136.97</v>
      </c>
      <c r="I459" s="7">
        <v>-71.11</v>
      </c>
      <c r="J459" s="7">
        <v>-3.31</v>
      </c>
      <c r="K459" s="7">
        <v>-4.97000000000003</v>
      </c>
      <c r="L459" s="7">
        <v>-9.88999999999999</v>
      </c>
      <c r="M459" s="7">
        <v>5.26999999999998</v>
      </c>
      <c r="N459" s="7">
        <v>188.07</v>
      </c>
      <c r="O459" s="7">
        <v>87.43</v>
      </c>
      <c r="P459" s="7">
        <v>215.6</v>
      </c>
      <c r="Q459" s="7">
        <v>128.88</v>
      </c>
      <c r="R459" s="7">
        <v>38.56</v>
      </c>
      <c r="S459" s="7">
        <v>28.36</v>
      </c>
      <c r="T459" s="7">
        <v>15.08</v>
      </c>
      <c r="U459" s="7">
        <v>-40.57</v>
      </c>
      <c r="V459" s="7">
        <v>2.87</v>
      </c>
      <c r="W459" s="7">
        <v>-1.49000000000001</v>
      </c>
      <c r="X459" s="7">
        <v>-35.6</v>
      </c>
      <c r="Y459" s="7">
        <v>-11.81</v>
      </c>
      <c r="Z459" s="9">
        <f>MAX($B$459:$Y$459)</f>
        <v>215.6</v>
      </c>
      <c r="AA459" s="9">
        <f>MIN($B$459:$Y$459)</f>
        <v>-150.67</v>
      </c>
      <c r="AB459" s="9">
        <f>AVERAGE($B$459:$Y$459)</f>
        <v>-0.623333333333336</v>
      </c>
    </row>
    <row r="460" spans="1:28">
      <c r="A460" s="10">
        <v>45750</v>
      </c>
      <c r="B460" s="7">
        <v>19.91</v>
      </c>
      <c r="C460" s="7">
        <v>-23.2</v>
      </c>
      <c r="D460" s="7">
        <v>-61.73</v>
      </c>
      <c r="E460" s="7">
        <v>-23.5</v>
      </c>
      <c r="F460" s="7">
        <v>-40.28</v>
      </c>
      <c r="G460" s="7">
        <v>10.61</v>
      </c>
      <c r="H460" s="7">
        <v>-23.95</v>
      </c>
      <c r="I460" s="7">
        <v>-60.24</v>
      </c>
      <c r="J460" s="7">
        <v>3.59999999999997</v>
      </c>
      <c r="K460" s="7">
        <v>32.22</v>
      </c>
      <c r="L460" s="7">
        <v>119.35</v>
      </c>
      <c r="M460" s="7">
        <v>89</v>
      </c>
      <c r="N460" s="7">
        <v>157.45</v>
      </c>
      <c r="O460" s="7">
        <v>115.83</v>
      </c>
      <c r="P460" s="7">
        <v>224.37</v>
      </c>
      <c r="Q460" s="7">
        <v>262.31</v>
      </c>
      <c r="R460" s="7">
        <v>53.85</v>
      </c>
      <c r="S460" s="7">
        <v>38.92</v>
      </c>
      <c r="T460" s="7">
        <v>-8.22999999999996</v>
      </c>
      <c r="U460" s="7">
        <v>-10.35</v>
      </c>
      <c r="V460" s="7">
        <v>3.78999999999996</v>
      </c>
      <c r="W460" s="7">
        <v>-40.89</v>
      </c>
      <c r="X460" s="7">
        <v>-98.13</v>
      </c>
      <c r="Y460" s="7">
        <v>6.14999999999998</v>
      </c>
      <c r="Z460" s="9">
        <f>MAX($B$460:$Y$460)</f>
        <v>262.31</v>
      </c>
      <c r="AA460" s="9">
        <f>MIN($B$460:$Y$460)</f>
        <v>-98.13</v>
      </c>
      <c r="AB460" s="9">
        <f>AVERAGE($B$460:$Y$460)</f>
        <v>31.1191666666667</v>
      </c>
    </row>
    <row r="461" spans="1:28">
      <c r="A461" s="10">
        <v>45751</v>
      </c>
      <c r="B461" s="7">
        <v>-134.11</v>
      </c>
      <c r="C461" s="7">
        <v>-5.56999999999999</v>
      </c>
      <c r="D461" s="7">
        <v>14.44</v>
      </c>
      <c r="E461" s="7">
        <v>49.31</v>
      </c>
      <c r="F461" s="7">
        <v>-6.76999999999998</v>
      </c>
      <c r="G461" s="7">
        <v>-27.34</v>
      </c>
      <c r="H461" s="7">
        <v>-184.21</v>
      </c>
      <c r="I461" s="7">
        <v>-66.44</v>
      </c>
      <c r="J461" s="7">
        <v>19.27</v>
      </c>
      <c r="K461" s="7">
        <v>14.55</v>
      </c>
      <c r="L461" s="7">
        <v>0</v>
      </c>
      <c r="M461" s="7">
        <v>0</v>
      </c>
      <c r="N461" s="7">
        <v>-8</v>
      </c>
      <c r="O461" s="7">
        <v>0.25</v>
      </c>
      <c r="P461" s="7">
        <v>-49.79</v>
      </c>
      <c r="Q461" s="7">
        <v>127.25</v>
      </c>
      <c r="R461" s="7">
        <v>49.73</v>
      </c>
      <c r="S461" s="7">
        <v>49.47</v>
      </c>
      <c r="T461" s="7">
        <v>88.7</v>
      </c>
      <c r="U461" s="7">
        <v>-35.64</v>
      </c>
      <c r="V461" s="7">
        <v>-17</v>
      </c>
      <c r="W461" s="7">
        <v>-27.53</v>
      </c>
      <c r="X461" s="7">
        <v>-24.14</v>
      </c>
      <c r="Y461" s="7">
        <v>-8.75999999999999</v>
      </c>
      <c r="Z461" s="9">
        <f>MAX($B$461:$Y$461)</f>
        <v>127.25</v>
      </c>
      <c r="AA461" s="9">
        <f>MIN($B$461:$Y$461)</f>
        <v>-184.21</v>
      </c>
      <c r="AB461" s="9">
        <f>AVERAGE($B$461:$Y$461)</f>
        <v>-7.59708333333333</v>
      </c>
    </row>
    <row r="462" spans="1:28">
      <c r="A462" s="10">
        <v>45752</v>
      </c>
      <c r="B462" s="7">
        <v>-301.11</v>
      </c>
      <c r="C462" s="7">
        <v>-107.06</v>
      </c>
      <c r="D462" s="7">
        <v>-18.94</v>
      </c>
      <c r="E462" s="7">
        <v>15.54</v>
      </c>
      <c r="F462" s="7">
        <v>5.46000000000004</v>
      </c>
      <c r="G462" s="7">
        <v>-81.98</v>
      </c>
      <c r="H462" s="7">
        <v>-109.17</v>
      </c>
      <c r="I462" s="7">
        <v>-122.78</v>
      </c>
      <c r="J462" s="7">
        <v>11.08</v>
      </c>
      <c r="K462" s="7">
        <v>-15.25</v>
      </c>
      <c r="L462" s="7">
        <v>-27.01</v>
      </c>
      <c r="M462" s="7">
        <v>-112.84</v>
      </c>
      <c r="N462" s="7">
        <v>-153.93</v>
      </c>
      <c r="O462" s="7">
        <v>-106.3</v>
      </c>
      <c r="P462" s="7">
        <v>2.5</v>
      </c>
      <c r="Q462" s="7">
        <v>20.52</v>
      </c>
      <c r="R462" s="7">
        <v>-3.38</v>
      </c>
      <c r="S462" s="7">
        <v>-8.34000000000003</v>
      </c>
      <c r="T462" s="7">
        <v>-12.02</v>
      </c>
      <c r="U462" s="7">
        <v>-11.93</v>
      </c>
      <c r="V462" s="7">
        <v>-43.87</v>
      </c>
      <c r="W462" s="7">
        <v>-27.11</v>
      </c>
      <c r="X462" s="7">
        <v>-17.91</v>
      </c>
      <c r="Y462" s="7">
        <v>-65.64</v>
      </c>
      <c r="Z462" s="9">
        <f>MAX($B$462:$Y$462)</f>
        <v>20.52</v>
      </c>
      <c r="AA462" s="9">
        <f>MIN($B$462:$Y$462)</f>
        <v>-301.11</v>
      </c>
      <c r="AB462" s="9">
        <f>AVERAGE($B$462:$Y$462)</f>
        <v>-53.81125</v>
      </c>
    </row>
    <row r="463" spans="1:28">
      <c r="A463" s="10">
        <v>45753</v>
      </c>
      <c r="B463" s="7">
        <v>-100.65</v>
      </c>
      <c r="C463" s="7">
        <v>-51.15</v>
      </c>
      <c r="D463" s="7">
        <v>59.77</v>
      </c>
      <c r="E463" s="7">
        <v>87.25</v>
      </c>
      <c r="F463" s="7">
        <v>21.94</v>
      </c>
      <c r="G463" s="7">
        <v>-0.279999999999973</v>
      </c>
      <c r="H463" s="7">
        <v>-78.89</v>
      </c>
      <c r="I463" s="7">
        <v>-92.87</v>
      </c>
      <c r="J463" s="7">
        <v>108.89</v>
      </c>
      <c r="K463" s="7">
        <v>17.88</v>
      </c>
      <c r="L463" s="7">
        <v>65.77</v>
      </c>
      <c r="M463" s="7">
        <v>61.07</v>
      </c>
      <c r="N463" s="7">
        <v>31.16</v>
      </c>
      <c r="O463" s="7">
        <v>13.81</v>
      </c>
      <c r="P463" s="7">
        <v>20.12</v>
      </c>
      <c r="Q463" s="7">
        <v>20.99</v>
      </c>
      <c r="R463" s="7">
        <v>17.13</v>
      </c>
      <c r="S463" s="7">
        <v>35.04</v>
      </c>
      <c r="T463" s="7">
        <v>27.94</v>
      </c>
      <c r="U463" s="7">
        <v>34.34</v>
      </c>
      <c r="V463" s="7">
        <v>3.5</v>
      </c>
      <c r="W463" s="7">
        <v>3.78999999999996</v>
      </c>
      <c r="X463" s="7">
        <v>-1.47000000000003</v>
      </c>
      <c r="Y463" s="7">
        <v>-44.72</v>
      </c>
      <c r="Z463" s="9">
        <f>MAX($B$463:$Y$463)</f>
        <v>108.89</v>
      </c>
      <c r="AA463" s="9">
        <f>MIN($B$463:$Y$463)</f>
        <v>-100.65</v>
      </c>
      <c r="AB463" s="9">
        <f>AVERAGE($B$463:$Y$463)</f>
        <v>10.8483333333333</v>
      </c>
    </row>
    <row r="464" spans="1:28">
      <c r="A464" s="10">
        <v>45754</v>
      </c>
      <c r="B464" s="7">
        <v>13.58</v>
      </c>
      <c r="C464" s="7">
        <v>67.87</v>
      </c>
      <c r="D464" s="7">
        <v>117.83</v>
      </c>
      <c r="E464" s="7">
        <v>79.18</v>
      </c>
      <c r="F464" s="7">
        <v>102.5</v>
      </c>
      <c r="G464" s="7">
        <v>104.58</v>
      </c>
      <c r="H464" s="7">
        <v>59.28</v>
      </c>
      <c r="I464" s="7">
        <v>84.3100000000001</v>
      </c>
      <c r="J464" s="7">
        <v>19.83</v>
      </c>
      <c r="K464" s="7">
        <v>38.07</v>
      </c>
      <c r="L464" s="7">
        <v>53.38</v>
      </c>
      <c r="M464" s="7">
        <v>95.79</v>
      </c>
      <c r="N464" s="7">
        <v>228.81</v>
      </c>
      <c r="O464" s="7">
        <v>93.85</v>
      </c>
      <c r="P464" s="7">
        <v>63.68</v>
      </c>
      <c r="Q464" s="7">
        <v>66.73</v>
      </c>
      <c r="R464" s="7">
        <v>73</v>
      </c>
      <c r="S464" s="7">
        <v>36.1199999999999</v>
      </c>
      <c r="T464" s="7">
        <v>24.58</v>
      </c>
      <c r="U464" s="7">
        <v>2.13000000000005</v>
      </c>
      <c r="V464" s="7">
        <v>16.86</v>
      </c>
      <c r="W464" s="7">
        <v>19.39</v>
      </c>
      <c r="X464" s="7">
        <v>9.54999999999995</v>
      </c>
      <c r="Y464" s="7">
        <v>18.47</v>
      </c>
      <c r="Z464" s="9">
        <f>MAX($B$464:$Y$464)</f>
        <v>228.81</v>
      </c>
      <c r="AA464" s="9">
        <f>MIN($B$464:$Y$464)</f>
        <v>2.13000000000005</v>
      </c>
      <c r="AB464" s="9">
        <f>AVERAGE($B$464:$Y$464)</f>
        <v>62.0570833333333</v>
      </c>
    </row>
    <row r="465" spans="1:28">
      <c r="A465" s="10">
        <v>45755</v>
      </c>
      <c r="B465" s="7">
        <v>-6.26000000000005</v>
      </c>
      <c r="C465" s="7">
        <v>6.23000000000002</v>
      </c>
      <c r="D465" s="7">
        <v>-24.97</v>
      </c>
      <c r="E465" s="7">
        <v>2.46999999999997</v>
      </c>
      <c r="F465" s="7">
        <v>14.19</v>
      </c>
      <c r="G465" s="7">
        <v>8.32999999999998</v>
      </c>
      <c r="H465" s="7">
        <v>-38.85</v>
      </c>
      <c r="I465" s="7">
        <v>-2.28000000000003</v>
      </c>
      <c r="J465" s="7">
        <v>-351.47</v>
      </c>
      <c r="K465" s="7">
        <v>-253.14</v>
      </c>
      <c r="L465" s="7">
        <v>-28.91</v>
      </c>
      <c r="M465" s="7">
        <v>-42.04</v>
      </c>
      <c r="N465" s="7">
        <v>23.86</v>
      </c>
      <c r="O465" s="7">
        <v>-4.37</v>
      </c>
      <c r="P465" s="7">
        <v>18.23</v>
      </c>
      <c r="Q465" s="7">
        <v>30.6</v>
      </c>
      <c r="R465" s="7">
        <v>12.88</v>
      </c>
      <c r="S465" s="7">
        <v>-21.54</v>
      </c>
      <c r="T465" s="7">
        <v>-13.41</v>
      </c>
      <c r="U465" s="7">
        <v>-28.79</v>
      </c>
      <c r="V465" s="7">
        <v>-42.36</v>
      </c>
      <c r="W465" s="7">
        <v>-9.52000000000004</v>
      </c>
      <c r="X465" s="7">
        <v>-2.69</v>
      </c>
      <c r="Y465" s="7">
        <v>-7.26999999999998</v>
      </c>
      <c r="Z465" s="9">
        <f>MAX($B$465:$Y$465)</f>
        <v>30.6</v>
      </c>
      <c r="AA465" s="9">
        <f>MIN($B$465:$Y$465)</f>
        <v>-351.47</v>
      </c>
      <c r="AB465" s="9">
        <f>AVERAGE($B$465:$Y$465)</f>
        <v>-31.7116666666667</v>
      </c>
    </row>
    <row r="466" spans="1:28">
      <c r="A466" s="10">
        <v>45756</v>
      </c>
      <c r="B466" s="7">
        <v>-30.84</v>
      </c>
      <c r="C466" s="7">
        <v>-33.12</v>
      </c>
      <c r="D466" s="7">
        <v>-7.96999999999997</v>
      </c>
      <c r="E466" s="7">
        <v>-2.62</v>
      </c>
      <c r="F466" s="7">
        <v>-3.80000000000001</v>
      </c>
      <c r="G466" s="7">
        <v>-4.89000000000004</v>
      </c>
      <c r="H466" s="7">
        <v>-25.01</v>
      </c>
      <c r="I466" s="7">
        <v>-24.05</v>
      </c>
      <c r="J466" s="7">
        <v>-4.40000000000003</v>
      </c>
      <c r="K466" s="7">
        <v>12.8</v>
      </c>
      <c r="L466" s="7">
        <v>17.18</v>
      </c>
      <c r="M466" s="7">
        <v>28.18</v>
      </c>
      <c r="N466" s="7">
        <v>106.9</v>
      </c>
      <c r="O466" s="7">
        <v>4.52999999999997</v>
      </c>
      <c r="P466" s="7">
        <v>33.52</v>
      </c>
      <c r="Q466" s="7">
        <v>18.32</v>
      </c>
      <c r="R466" s="7">
        <v>10.35</v>
      </c>
      <c r="S466" s="7">
        <v>9.98999999999995</v>
      </c>
      <c r="T466" s="7">
        <v>3.10000000000002</v>
      </c>
      <c r="U466" s="7">
        <v>-0.92999999999995</v>
      </c>
      <c r="V466" s="7">
        <v>-10.93</v>
      </c>
      <c r="W466" s="7">
        <v>-14.9</v>
      </c>
      <c r="X466" s="7">
        <v>-9.81</v>
      </c>
      <c r="Y466" s="7">
        <v>-7.34999999999997</v>
      </c>
      <c r="Z466" s="9">
        <f>MAX($B$466:$Y$466)</f>
        <v>106.9</v>
      </c>
      <c r="AA466" s="9">
        <f>MIN($B$466:$Y$466)</f>
        <v>-33.12</v>
      </c>
      <c r="AB466" s="9">
        <f>AVERAGE($B$466:$Y$466)</f>
        <v>2.67708333333333</v>
      </c>
    </row>
    <row r="467" spans="1:28">
      <c r="A467" s="10">
        <v>45757</v>
      </c>
      <c r="B467" s="7">
        <v>-1.11000000000001</v>
      </c>
      <c r="C467" s="7">
        <v>-60.98</v>
      </c>
      <c r="D467" s="7">
        <v>4.55000000000001</v>
      </c>
      <c r="E467" s="7">
        <v>9.63</v>
      </c>
      <c r="F467" s="7">
        <v>3.63</v>
      </c>
      <c r="G467" s="7">
        <v>2.96000000000004</v>
      </c>
      <c r="H467" s="7">
        <v>-22.05</v>
      </c>
      <c r="I467" s="7">
        <v>-6.73000000000002</v>
      </c>
      <c r="J467" s="7">
        <v>-7.67000000000002</v>
      </c>
      <c r="K467" s="7">
        <v>17.9</v>
      </c>
      <c r="L467" s="7">
        <v>18.38</v>
      </c>
      <c r="M467" s="7">
        <v>42.65</v>
      </c>
      <c r="N467" s="7">
        <v>119.59</v>
      </c>
      <c r="O467" s="7">
        <v>25.05</v>
      </c>
      <c r="P467" s="7">
        <v>31.74</v>
      </c>
      <c r="Q467" s="7">
        <v>6.61000000000001</v>
      </c>
      <c r="R467" s="7">
        <v>36.29</v>
      </c>
      <c r="S467" s="7">
        <v>21.96</v>
      </c>
      <c r="T467" s="7">
        <v>9.45000000000005</v>
      </c>
      <c r="U467" s="7">
        <v>-9.93000000000001</v>
      </c>
      <c r="V467" s="7">
        <v>10.14</v>
      </c>
      <c r="W467" s="7">
        <v>4.17000000000002</v>
      </c>
      <c r="X467" s="7">
        <v>18.93</v>
      </c>
      <c r="Y467" s="7">
        <v>6.94</v>
      </c>
      <c r="Z467" s="9">
        <f>MAX($B$467:$Y$467)</f>
        <v>119.59</v>
      </c>
      <c r="AA467" s="9">
        <f>MIN($B$467:$Y$467)</f>
        <v>-60.98</v>
      </c>
      <c r="AB467" s="9">
        <f>AVERAGE($B$467:$Y$467)</f>
        <v>11.7541666666667</v>
      </c>
    </row>
    <row r="468" spans="1:28">
      <c r="A468" s="10">
        <v>45758</v>
      </c>
      <c r="B468" s="7">
        <v>-22.07</v>
      </c>
      <c r="C468" s="7">
        <v>-101.84</v>
      </c>
      <c r="D468" s="7">
        <v>-27.04</v>
      </c>
      <c r="E468" s="7">
        <v>5.79999999999995</v>
      </c>
      <c r="F468" s="7">
        <v>6.06999999999999</v>
      </c>
      <c r="G468" s="7">
        <v>4.46999999999997</v>
      </c>
      <c r="H468" s="7">
        <v>6.52999999999997</v>
      </c>
      <c r="I468" s="7">
        <v>27.94</v>
      </c>
      <c r="J468" s="7">
        <v>27.45</v>
      </c>
      <c r="K468" s="7">
        <v>37.66</v>
      </c>
      <c r="L468" s="7">
        <v>33.28</v>
      </c>
      <c r="M468" s="7">
        <v>-34.45</v>
      </c>
      <c r="N468" s="7">
        <v>63.75</v>
      </c>
      <c r="O468" s="7">
        <v>-18.8</v>
      </c>
      <c r="P468" s="7">
        <v>15.3</v>
      </c>
      <c r="Q468" s="7">
        <v>14.82</v>
      </c>
      <c r="R468" s="7">
        <v>13.05</v>
      </c>
      <c r="S468" s="7">
        <v>-11.51</v>
      </c>
      <c r="T468" s="7">
        <v>14.4</v>
      </c>
      <c r="U468" s="7">
        <v>17.2</v>
      </c>
      <c r="V468" s="7">
        <v>18.94</v>
      </c>
      <c r="W468" s="7">
        <v>21.49</v>
      </c>
      <c r="X468" s="7">
        <v>17.62</v>
      </c>
      <c r="Y468" s="7">
        <v>6.60999999999996</v>
      </c>
      <c r="Z468" s="9">
        <f>MAX($B$468:$Y$468)</f>
        <v>63.75</v>
      </c>
      <c r="AA468" s="9">
        <f>MIN($B$468:$Y$468)</f>
        <v>-101.84</v>
      </c>
      <c r="AB468" s="9">
        <f>AVERAGE($B$468:$Y$468)</f>
        <v>5.69458333333333</v>
      </c>
    </row>
    <row r="469" spans="1:28">
      <c r="A469" s="10">
        <v>45759</v>
      </c>
      <c r="B469" s="7">
        <v>43.72</v>
      </c>
      <c r="C469" s="7">
        <v>-54.02</v>
      </c>
      <c r="D469" s="7">
        <v>1.58999999999997</v>
      </c>
      <c r="E469" s="7">
        <v>12.27</v>
      </c>
      <c r="F469" s="7">
        <v>20.33</v>
      </c>
      <c r="G469" s="7">
        <v>2.79999999999995</v>
      </c>
      <c r="H469" s="7">
        <v>10.63</v>
      </c>
      <c r="I469" s="7">
        <v>10.92</v>
      </c>
      <c r="J469" s="7">
        <v>-8.35000000000002</v>
      </c>
      <c r="K469" s="7">
        <v>6.28999999999996</v>
      </c>
      <c r="L469" s="7">
        <v>4.52999999999997</v>
      </c>
      <c r="M469" s="7">
        <v>-92.92</v>
      </c>
      <c r="N469" s="7">
        <v>-8.81</v>
      </c>
      <c r="O469" s="7">
        <v>-58.77</v>
      </c>
      <c r="P469" s="7">
        <v>-108.89</v>
      </c>
      <c r="Q469" s="7">
        <v>-57.94</v>
      </c>
      <c r="R469" s="7">
        <v>-13.36</v>
      </c>
      <c r="S469" s="7">
        <v>9.34999999999997</v>
      </c>
      <c r="T469" s="7">
        <v>4.74000000000001</v>
      </c>
      <c r="U469" s="7">
        <v>24.65</v>
      </c>
      <c r="V469" s="7">
        <v>26.4</v>
      </c>
      <c r="W469" s="7">
        <v>30.06</v>
      </c>
      <c r="X469" s="7">
        <v>42.67</v>
      </c>
      <c r="Y469" s="7">
        <v>110.52</v>
      </c>
      <c r="Z469" s="9">
        <f>MAX($B$469:$Y$469)</f>
        <v>110.52</v>
      </c>
      <c r="AA469" s="9">
        <f>MIN($B$469:$Y$469)</f>
        <v>-108.89</v>
      </c>
      <c r="AB469" s="9">
        <f>AVERAGE($B$469:$Y$469)</f>
        <v>-1.73291666666667</v>
      </c>
    </row>
    <row r="470" spans="1:28">
      <c r="A470" s="10">
        <v>45760</v>
      </c>
      <c r="B470" s="7">
        <v>-166.93</v>
      </c>
      <c r="C470" s="7">
        <v>19.09</v>
      </c>
      <c r="D470" s="7">
        <v>31.53</v>
      </c>
      <c r="E470" s="7">
        <v>39.23</v>
      </c>
      <c r="F470" s="7">
        <v>28.29</v>
      </c>
      <c r="G470" s="7">
        <v>20.45</v>
      </c>
      <c r="H470" s="7">
        <v>3.54000000000002</v>
      </c>
      <c r="I470" s="7">
        <v>36.28</v>
      </c>
      <c r="J470" s="7">
        <v>144.06</v>
      </c>
      <c r="K470" s="7">
        <v>24.91</v>
      </c>
      <c r="L470" s="7">
        <v>149.47</v>
      </c>
      <c r="M470" s="7">
        <v>144.45</v>
      </c>
      <c r="N470" s="7">
        <v>86.97</v>
      </c>
      <c r="O470" s="7">
        <v>3.91000000000002</v>
      </c>
      <c r="P470" s="7">
        <v>62.16</v>
      </c>
      <c r="Q470" s="7">
        <v>31.9</v>
      </c>
      <c r="R470" s="7">
        <v>17.05</v>
      </c>
      <c r="S470" s="7">
        <v>20.42</v>
      </c>
      <c r="T470" s="7">
        <v>13.04</v>
      </c>
      <c r="U470" s="7">
        <v>12.06</v>
      </c>
      <c r="V470" s="7">
        <v>-5.37</v>
      </c>
      <c r="W470" s="7">
        <v>2.19</v>
      </c>
      <c r="X470" s="7">
        <v>3.13</v>
      </c>
      <c r="Y470" s="7">
        <v>2.48999999999995</v>
      </c>
      <c r="Z470" s="9">
        <f>MAX($B$470:$Y$470)</f>
        <v>149.47</v>
      </c>
      <c r="AA470" s="9">
        <f>MIN($B$470:$Y$470)</f>
        <v>-166.93</v>
      </c>
      <c r="AB470" s="9">
        <f>AVERAGE($B$470:$Y$470)</f>
        <v>30.18</v>
      </c>
    </row>
    <row r="471" spans="1:28">
      <c r="A471" s="10">
        <v>45761</v>
      </c>
      <c r="B471" s="7">
        <v>-58.16</v>
      </c>
      <c r="C471" s="7">
        <v>-8.90999999999997</v>
      </c>
      <c r="D471" s="7">
        <v>-4.43000000000001</v>
      </c>
      <c r="E471" s="7">
        <v>-3.89999999999998</v>
      </c>
      <c r="F471" s="7">
        <v>-7</v>
      </c>
      <c r="G471" s="7">
        <v>-6.97000000000003</v>
      </c>
      <c r="H471" s="7">
        <v>-24.44</v>
      </c>
      <c r="I471" s="7">
        <v>73.32</v>
      </c>
      <c r="J471" s="7">
        <v>37.06</v>
      </c>
      <c r="K471" s="7">
        <v>107.62</v>
      </c>
      <c r="L471" s="7">
        <v>245.32</v>
      </c>
      <c r="M471" s="7">
        <v>63.06</v>
      </c>
      <c r="N471" s="7">
        <v>122.68</v>
      </c>
      <c r="O471" s="7">
        <v>89.98</v>
      </c>
      <c r="P471" s="7">
        <v>168.15</v>
      </c>
      <c r="Q471" s="7">
        <v>55.31</v>
      </c>
      <c r="R471" s="7">
        <v>31.57</v>
      </c>
      <c r="S471" s="7">
        <v>17.69</v>
      </c>
      <c r="T471" s="7">
        <v>8.27000000000004</v>
      </c>
      <c r="U471" s="7">
        <v>-0.730000000000018</v>
      </c>
      <c r="V471" s="7">
        <v>1.29000000000002</v>
      </c>
      <c r="W471" s="7">
        <v>10.78</v>
      </c>
      <c r="X471" s="7">
        <v>9.20999999999998</v>
      </c>
      <c r="Y471" s="7">
        <v>-5</v>
      </c>
      <c r="Z471" s="9">
        <f>MAX($B$471:$Y$471)</f>
        <v>245.32</v>
      </c>
      <c r="AA471" s="9">
        <f>MIN($B$471:$Y$471)</f>
        <v>-58.16</v>
      </c>
      <c r="AB471" s="9">
        <f>AVERAGE($B$471:$Y$471)</f>
        <v>38.4070833333333</v>
      </c>
    </row>
    <row r="472" spans="1:28">
      <c r="A472" s="10">
        <v>45762</v>
      </c>
      <c r="B472" s="7">
        <v>-1.97999999999996</v>
      </c>
      <c r="C472" s="7">
        <v>3.06999999999999</v>
      </c>
      <c r="D472" s="7">
        <v>9.75</v>
      </c>
      <c r="E472" s="7">
        <v>11.23</v>
      </c>
      <c r="F472" s="7">
        <v>3.91000000000002</v>
      </c>
      <c r="G472" s="7">
        <v>0.82000000000005</v>
      </c>
      <c r="H472" s="7">
        <v>-3.44</v>
      </c>
      <c r="I472" s="7">
        <v>1.09000000000003</v>
      </c>
      <c r="J472" s="7">
        <v>-7.81</v>
      </c>
      <c r="K472" s="7">
        <v>82.37</v>
      </c>
      <c r="L472" s="7">
        <v>250.93</v>
      </c>
      <c r="M472" s="7">
        <v>271.06</v>
      </c>
      <c r="N472" s="7">
        <v>178.8</v>
      </c>
      <c r="O472" s="7">
        <v>40.41</v>
      </c>
      <c r="P472" s="7">
        <v>196.32</v>
      </c>
      <c r="Q472" s="7">
        <v>22.67</v>
      </c>
      <c r="R472" s="7">
        <v>20.72</v>
      </c>
      <c r="S472" s="7">
        <v>5.38</v>
      </c>
      <c r="T472" s="7">
        <v>12.15</v>
      </c>
      <c r="U472" s="7">
        <v>3.37</v>
      </c>
      <c r="V472" s="7">
        <v>-3.52000000000004</v>
      </c>
      <c r="W472" s="7">
        <v>8.29000000000002</v>
      </c>
      <c r="X472" s="7">
        <v>7.74000000000001</v>
      </c>
      <c r="Y472" s="7">
        <v>-2.49000000000001</v>
      </c>
      <c r="Z472" s="9">
        <f>MAX($B$472:$Y$472)</f>
        <v>271.06</v>
      </c>
      <c r="AA472" s="9">
        <f>MIN($B$472:$Y$472)</f>
        <v>-7.81</v>
      </c>
      <c r="AB472" s="9">
        <f>AVERAGE($B$472:$Y$472)</f>
        <v>46.285</v>
      </c>
    </row>
    <row r="473" spans="1:28">
      <c r="A473" s="10">
        <v>45763</v>
      </c>
      <c r="B473" s="7">
        <v>5.95999999999998</v>
      </c>
      <c r="C473" s="7">
        <v>4.27999999999997</v>
      </c>
      <c r="D473" s="7">
        <v>5.25999999999999</v>
      </c>
      <c r="E473" s="7">
        <v>11.03</v>
      </c>
      <c r="F473" s="7">
        <v>17.5</v>
      </c>
      <c r="G473" s="7">
        <v>10.25</v>
      </c>
      <c r="H473" s="7">
        <v>-0.659999999999968</v>
      </c>
      <c r="I473" s="7">
        <v>8.56</v>
      </c>
      <c r="J473" s="7">
        <v>32.65</v>
      </c>
      <c r="K473" s="7">
        <v>141.78</v>
      </c>
      <c r="L473" s="7">
        <v>-17.78</v>
      </c>
      <c r="M473" s="7">
        <v>-5.35999999999999</v>
      </c>
      <c r="N473" s="7">
        <v>-5</v>
      </c>
      <c r="O473" s="7">
        <v>-111.8</v>
      </c>
      <c r="P473" s="7">
        <v>15.8</v>
      </c>
      <c r="Q473" s="7">
        <v>140.21</v>
      </c>
      <c r="R473" s="7">
        <v>40.9</v>
      </c>
      <c r="S473" s="7">
        <v>32.15</v>
      </c>
      <c r="T473" s="7">
        <v>19.13</v>
      </c>
      <c r="U473" s="7">
        <v>18.45</v>
      </c>
      <c r="V473" s="7">
        <v>8.59999999999997</v>
      </c>
      <c r="W473" s="7">
        <v>12.1900000000001</v>
      </c>
      <c r="X473" s="7">
        <v>10.82</v>
      </c>
      <c r="Y473" s="7">
        <v>13.21</v>
      </c>
      <c r="Z473" s="9">
        <f>MAX($B$473:$Y$473)</f>
        <v>141.78</v>
      </c>
      <c r="AA473" s="9">
        <f>MIN($B$473:$Y$473)</f>
        <v>-111.8</v>
      </c>
      <c r="AB473" s="9">
        <f>AVERAGE($B$473:$Y$473)</f>
        <v>17.0054166666667</v>
      </c>
    </row>
    <row r="474" spans="1:28">
      <c r="A474" s="10">
        <v>45764</v>
      </c>
      <c r="B474" s="7">
        <v>-25.3099999999999</v>
      </c>
      <c r="C474" s="7">
        <v>-14.33</v>
      </c>
      <c r="D474" s="7">
        <v>-15.87</v>
      </c>
      <c r="E474" s="7">
        <v>11.96</v>
      </c>
      <c r="F474" s="7">
        <v>7.42000000000002</v>
      </c>
      <c r="G474" s="7">
        <v>2.22999999999996</v>
      </c>
      <c r="H474" s="7">
        <v>-0.850000000000023</v>
      </c>
      <c r="I474" s="7">
        <v>-1.97000000000003</v>
      </c>
      <c r="J474" s="7">
        <v>-17.32</v>
      </c>
      <c r="K474" s="7">
        <v>0.089999999999975</v>
      </c>
      <c r="L474" s="7">
        <v>5.39999999999998</v>
      </c>
      <c r="M474" s="7">
        <v>-17.67</v>
      </c>
      <c r="N474" s="7">
        <v>69.29</v>
      </c>
      <c r="O474" s="7">
        <v>-16.92</v>
      </c>
      <c r="P474" s="7">
        <v>-5.19999999999999</v>
      </c>
      <c r="Q474" s="7">
        <v>5.95999999999998</v>
      </c>
      <c r="R474" s="7">
        <v>14.5</v>
      </c>
      <c r="S474" s="7">
        <v>2.77999999999997</v>
      </c>
      <c r="T474" s="7">
        <v>-31.24</v>
      </c>
      <c r="U474" s="7">
        <v>-216.93</v>
      </c>
      <c r="V474" s="7">
        <v>-400.3</v>
      </c>
      <c r="W474" s="7">
        <v>-295.63</v>
      </c>
      <c r="X474" s="7">
        <v>-99.53</v>
      </c>
      <c r="Y474" s="7">
        <v>-0.769999999999982</v>
      </c>
      <c r="Z474" s="9">
        <f>MAX($B$474:$Y$474)</f>
        <v>69.29</v>
      </c>
      <c r="AA474" s="9">
        <f>MIN($B$474:$Y$474)</f>
        <v>-400.3</v>
      </c>
      <c r="AB474" s="9">
        <f>AVERAGE($B$474:$Y$474)</f>
        <v>-43.3420833333333</v>
      </c>
    </row>
    <row r="475" spans="1:28">
      <c r="A475" s="10">
        <v>45765</v>
      </c>
      <c r="B475" s="7">
        <v>-59.98</v>
      </c>
      <c r="C475" s="7">
        <v>-92.92</v>
      </c>
      <c r="D475" s="7">
        <v>-39.52</v>
      </c>
      <c r="E475" s="7">
        <v>-0.53000000000003</v>
      </c>
      <c r="F475" s="7">
        <v>15.94</v>
      </c>
      <c r="G475" s="7">
        <v>1.5</v>
      </c>
      <c r="H475" s="7">
        <v>-32.2</v>
      </c>
      <c r="I475" s="7">
        <v>-29.39</v>
      </c>
      <c r="J475" s="7">
        <v>-352.67</v>
      </c>
      <c r="K475" s="7">
        <v>-123</v>
      </c>
      <c r="L475" s="7">
        <v>-14.04</v>
      </c>
      <c r="M475" s="7">
        <v>-22.23</v>
      </c>
      <c r="N475" s="7">
        <v>-13.7</v>
      </c>
      <c r="O475" s="7">
        <v>-156.72</v>
      </c>
      <c r="P475" s="7">
        <v>-122.06</v>
      </c>
      <c r="Q475" s="7">
        <v>-38.48</v>
      </c>
      <c r="R475" s="7">
        <v>0.310000000000002</v>
      </c>
      <c r="S475" s="7">
        <v>9.16999999999996</v>
      </c>
      <c r="T475" s="7">
        <v>11.18</v>
      </c>
      <c r="U475" s="7">
        <v>-15.76</v>
      </c>
      <c r="V475" s="7">
        <v>7.63</v>
      </c>
      <c r="W475" s="7">
        <v>11.8</v>
      </c>
      <c r="X475" s="7">
        <v>13.96</v>
      </c>
      <c r="Y475" s="7">
        <v>5.17000000000002</v>
      </c>
      <c r="Z475" s="9">
        <f>MAX($B$475:$Y$475)</f>
        <v>15.94</v>
      </c>
      <c r="AA475" s="9">
        <f>MIN($B$475:$Y$475)</f>
        <v>-352.67</v>
      </c>
      <c r="AB475" s="9">
        <f>AVERAGE($B$475:$Y$475)</f>
        <v>-43.1891666666667</v>
      </c>
    </row>
    <row r="476" spans="1:28">
      <c r="A476" s="10">
        <v>45766</v>
      </c>
      <c r="B476" s="7">
        <v>-69.37</v>
      </c>
      <c r="C476" s="7">
        <v>0.460000000000036</v>
      </c>
      <c r="D476" s="7">
        <v>7.23000000000002</v>
      </c>
      <c r="E476" s="7">
        <v>14.31</v>
      </c>
      <c r="F476" s="7">
        <v>12.23</v>
      </c>
      <c r="G476" s="7">
        <v>11.93</v>
      </c>
      <c r="H476" s="7">
        <v>11.47</v>
      </c>
      <c r="I476" s="7">
        <v>6.76999999999998</v>
      </c>
      <c r="J476" s="7">
        <v>-23.82</v>
      </c>
      <c r="K476" s="7">
        <v>16.43</v>
      </c>
      <c r="L476" s="7">
        <v>-0.25</v>
      </c>
      <c r="M476" s="7">
        <v>-2.70000000000005</v>
      </c>
      <c r="N476" s="7">
        <v>-8.98000000000002</v>
      </c>
      <c r="O476" s="7">
        <v>-83.95</v>
      </c>
      <c r="P476" s="7">
        <v>17.92</v>
      </c>
      <c r="Q476" s="7">
        <v>5.59000000000003</v>
      </c>
      <c r="R476" s="7">
        <v>-6.63999999999999</v>
      </c>
      <c r="S476" s="7">
        <v>-19.02</v>
      </c>
      <c r="T476" s="7">
        <v>-18.22</v>
      </c>
      <c r="U476" s="7">
        <v>-92.11</v>
      </c>
      <c r="V476" s="7">
        <v>-50.58</v>
      </c>
      <c r="W476" s="7">
        <v>-33.73</v>
      </c>
      <c r="X476" s="7">
        <v>1.02999999999997</v>
      </c>
      <c r="Y476" s="7">
        <v>-2.78000000000003</v>
      </c>
      <c r="Z476" s="9">
        <f>MAX($B$476:$Y$476)</f>
        <v>17.92</v>
      </c>
      <c r="AA476" s="9">
        <f>MIN($B$476:$Y$476)</f>
        <v>-92.11</v>
      </c>
      <c r="AB476" s="9">
        <f>AVERAGE($B$476:$Y$476)</f>
        <v>-12.7825</v>
      </c>
    </row>
    <row r="477" spans="1:28">
      <c r="A477" s="10">
        <v>45767</v>
      </c>
      <c r="B477" s="7">
        <v>-90.29</v>
      </c>
      <c r="C477" s="7">
        <v>18.04</v>
      </c>
      <c r="D477" s="7">
        <v>2.50999999999999</v>
      </c>
      <c r="E477" s="7">
        <v>3.00999999999999</v>
      </c>
      <c r="F477" s="7">
        <v>5.06</v>
      </c>
      <c r="G477" s="7">
        <v>4.10000000000002</v>
      </c>
      <c r="H477" s="7">
        <v>7.30000000000001</v>
      </c>
      <c r="I477" s="7">
        <v>8.20999999999998</v>
      </c>
      <c r="J477" s="7">
        <v>8.59999999999997</v>
      </c>
      <c r="K477" s="7">
        <v>30.13</v>
      </c>
      <c r="L477" s="7">
        <v>45.77</v>
      </c>
      <c r="M477" s="7">
        <v>77.12</v>
      </c>
      <c r="N477" s="7">
        <v>15.01</v>
      </c>
      <c r="O477" s="7">
        <v>39.86</v>
      </c>
      <c r="P477" s="7">
        <v>55.78</v>
      </c>
      <c r="Q477" s="7">
        <v>40.07</v>
      </c>
      <c r="R477" s="7">
        <v>32.5</v>
      </c>
      <c r="S477" s="7">
        <v>13.9</v>
      </c>
      <c r="T477" s="7">
        <v>18.82</v>
      </c>
      <c r="U477" s="7">
        <v>6.48000000000002</v>
      </c>
      <c r="V477" s="7">
        <v>-3.14999999999998</v>
      </c>
      <c r="W477" s="7">
        <v>-4.60000000000002</v>
      </c>
      <c r="X477" s="7">
        <v>7.32999999999998</v>
      </c>
      <c r="Y477" s="7">
        <v>6.05000000000001</v>
      </c>
      <c r="Z477" s="9">
        <f>MAX($B$477:$Y$477)</f>
        <v>77.12</v>
      </c>
      <c r="AA477" s="9">
        <f>MIN($B$477:$Y$477)</f>
        <v>-90.29</v>
      </c>
      <c r="AB477" s="9">
        <f>AVERAGE($B$477:$Y$477)</f>
        <v>14.48375</v>
      </c>
    </row>
    <row r="478" spans="1:28">
      <c r="A478" s="10">
        <v>45768</v>
      </c>
      <c r="B478" s="7">
        <v>-5.31</v>
      </c>
      <c r="C478" s="7">
        <v>1.44999999999999</v>
      </c>
      <c r="D478" s="7">
        <v>5.71999999999997</v>
      </c>
      <c r="E478" s="7">
        <v>11.03</v>
      </c>
      <c r="F478" s="7">
        <v>38.98</v>
      </c>
      <c r="G478" s="7">
        <v>13.9</v>
      </c>
      <c r="H478" s="7">
        <v>9.41999999999996</v>
      </c>
      <c r="I478" s="7">
        <v>3.63</v>
      </c>
      <c r="J478" s="7">
        <v>10.34</v>
      </c>
      <c r="K478" s="7">
        <v>28.71</v>
      </c>
      <c r="L478" s="7">
        <v>27.58</v>
      </c>
      <c r="M478" s="7">
        <v>33.56</v>
      </c>
      <c r="N478" s="7">
        <v>90.79</v>
      </c>
      <c r="O478" s="7">
        <v>4.18000000000001</v>
      </c>
      <c r="P478" s="7">
        <v>19.3</v>
      </c>
      <c r="Q478" s="7">
        <v>-3.69999999999999</v>
      </c>
      <c r="R478" s="7">
        <v>-4.34000000000003</v>
      </c>
      <c r="S478" s="7">
        <v>0.75</v>
      </c>
      <c r="T478" s="7">
        <v>-4.74000000000001</v>
      </c>
      <c r="U478" s="7">
        <v>-51.39</v>
      </c>
      <c r="V478" s="7">
        <v>-68.32</v>
      </c>
      <c r="W478" s="7">
        <v>-71.84</v>
      </c>
      <c r="X478" s="7">
        <v>-225.63</v>
      </c>
      <c r="Y478" s="7">
        <v>-52.05</v>
      </c>
      <c r="Z478" s="9">
        <f>MAX($B$478:$Y$478)</f>
        <v>90.79</v>
      </c>
      <c r="AA478" s="9">
        <f>MIN($B$478:$Y$478)</f>
        <v>-225.63</v>
      </c>
      <c r="AB478" s="9">
        <f>AVERAGE($B$478:$Y$478)</f>
        <v>-7.8325</v>
      </c>
    </row>
    <row r="479" spans="1:28">
      <c r="A479" s="10">
        <v>45769</v>
      </c>
      <c r="B479" s="7">
        <v>-82.35</v>
      </c>
      <c r="C479" s="7">
        <v>-136.88</v>
      </c>
      <c r="D479" s="7">
        <v>-294.13</v>
      </c>
      <c r="E479" s="7">
        <v>-40.26</v>
      </c>
      <c r="F479" s="7">
        <v>-49.76</v>
      </c>
      <c r="G479" s="7">
        <v>-45.71</v>
      </c>
      <c r="H479" s="7">
        <v>-166.01</v>
      </c>
      <c r="I479" s="7">
        <v>-20.94</v>
      </c>
      <c r="J479" s="7">
        <v>78.19</v>
      </c>
      <c r="K479" s="7">
        <v>182.95</v>
      </c>
      <c r="L479" s="7">
        <v>84.8</v>
      </c>
      <c r="M479" s="7">
        <v>310.69</v>
      </c>
      <c r="N479" s="7">
        <v>53.69</v>
      </c>
      <c r="O479" s="7">
        <v>264.39</v>
      </c>
      <c r="P479" s="7">
        <v>570.59</v>
      </c>
      <c r="Q479" s="7">
        <v>608.44</v>
      </c>
      <c r="R479" s="7">
        <v>544.07</v>
      </c>
      <c r="S479" s="7">
        <v>44.61</v>
      </c>
      <c r="T479" s="7">
        <v>-6.67999999999995</v>
      </c>
      <c r="U479" s="7">
        <v>-292.74</v>
      </c>
      <c r="V479" s="7">
        <v>-191.71</v>
      </c>
      <c r="W479" s="7">
        <v>-400</v>
      </c>
      <c r="X479" s="7">
        <v>-464.89</v>
      </c>
      <c r="Y479" s="7">
        <v>-64.45</v>
      </c>
      <c r="Z479" s="9">
        <f>MAX($B$479:$Y$479)</f>
        <v>608.44</v>
      </c>
      <c r="AA479" s="9">
        <f>MIN($B$479:$Y$479)</f>
        <v>-464.89</v>
      </c>
      <c r="AB479" s="9">
        <f>AVERAGE($B$479:$Y$479)</f>
        <v>20.24625</v>
      </c>
    </row>
    <row r="480" spans="1:28">
      <c r="A480" s="10">
        <v>45770</v>
      </c>
      <c r="B480" s="7">
        <v>73.75</v>
      </c>
      <c r="C480" s="7">
        <v>-152.06</v>
      </c>
      <c r="D480" s="7">
        <v>-116.21</v>
      </c>
      <c r="E480" s="7">
        <v>-42.39</v>
      </c>
      <c r="F480" s="7">
        <v>-4.81999999999999</v>
      </c>
      <c r="G480" s="7">
        <v>-9.72999999999996</v>
      </c>
      <c r="H480" s="7">
        <v>-175.16</v>
      </c>
      <c r="I480" s="7">
        <v>-37.53</v>
      </c>
      <c r="J480" s="7">
        <v>-57.92</v>
      </c>
      <c r="K480" s="7">
        <v>35.59</v>
      </c>
      <c r="L480" s="7">
        <v>218.64</v>
      </c>
      <c r="M480" s="7">
        <v>604.15</v>
      </c>
      <c r="N480" s="7">
        <v>268.43</v>
      </c>
      <c r="O480" s="7">
        <v>411.34</v>
      </c>
      <c r="P480" s="7">
        <v>461.07</v>
      </c>
      <c r="Q480" s="7">
        <v>234.74</v>
      </c>
      <c r="R480" s="7">
        <v>174.84</v>
      </c>
      <c r="S480" s="7">
        <v>176.78</v>
      </c>
      <c r="T480" s="7">
        <v>38.76</v>
      </c>
      <c r="U480" s="7">
        <v>25.26</v>
      </c>
      <c r="V480" s="7">
        <v>26.39</v>
      </c>
      <c r="W480" s="7">
        <v>72.61</v>
      </c>
      <c r="X480" s="7">
        <v>143.63</v>
      </c>
      <c r="Y480" s="7">
        <v>2.97000000000003</v>
      </c>
      <c r="Z480" s="9">
        <f>MAX($B$480:$Y$480)</f>
        <v>604.15</v>
      </c>
      <c r="AA480" s="9">
        <f>MIN($B$480:$Y$480)</f>
        <v>-175.16</v>
      </c>
      <c r="AB480" s="9">
        <f>AVERAGE($B$480:$Y$480)</f>
        <v>98.8804166666667</v>
      </c>
    </row>
    <row r="481" spans="1:28">
      <c r="A481" s="10">
        <v>45771</v>
      </c>
      <c r="B481" s="7">
        <v>87.26</v>
      </c>
      <c r="C481" s="7">
        <v>46.69</v>
      </c>
      <c r="D481" s="7">
        <v>70.7</v>
      </c>
      <c r="E481" s="7">
        <v>37.28</v>
      </c>
      <c r="F481" s="7">
        <v>31.08</v>
      </c>
      <c r="G481" s="7">
        <v>19.59</v>
      </c>
      <c r="H481" s="7">
        <v>20.5</v>
      </c>
      <c r="I481" s="7">
        <v>4.09999999999997</v>
      </c>
      <c r="J481" s="7">
        <v>156.14</v>
      </c>
      <c r="K481" s="7">
        <v>106.55</v>
      </c>
      <c r="L481" s="7">
        <v>86.87</v>
      </c>
      <c r="M481" s="7">
        <v>262.07</v>
      </c>
      <c r="N481" s="7">
        <v>76.24</v>
      </c>
      <c r="O481" s="7">
        <v>212.85</v>
      </c>
      <c r="P481" s="7">
        <v>256.62</v>
      </c>
      <c r="Q481" s="7">
        <v>154.79</v>
      </c>
      <c r="R481" s="7">
        <v>198.75</v>
      </c>
      <c r="S481" s="7">
        <v>76.43</v>
      </c>
      <c r="T481" s="7">
        <v>48.47</v>
      </c>
      <c r="U481" s="7">
        <v>92.74</v>
      </c>
      <c r="V481" s="7">
        <v>110.02</v>
      </c>
      <c r="W481" s="7">
        <v>103.51</v>
      </c>
      <c r="X481" s="7">
        <v>251.02</v>
      </c>
      <c r="Y481" s="7">
        <v>52.12</v>
      </c>
      <c r="Z481" s="9">
        <f>MAX($B$481:$Y$481)</f>
        <v>262.07</v>
      </c>
      <c r="AA481" s="9">
        <f>MIN($B$481:$Y$481)</f>
        <v>4.09999999999997</v>
      </c>
      <c r="AB481" s="9">
        <f>AVERAGE($B$481:$Y$481)</f>
        <v>106.76625</v>
      </c>
    </row>
    <row r="482" spans="1:28">
      <c r="A482" s="10">
        <v>45772</v>
      </c>
      <c r="B482" s="7">
        <v>-36.63</v>
      </c>
      <c r="C482" s="7">
        <v>38.96</v>
      </c>
      <c r="D482" s="7">
        <v>26.96</v>
      </c>
      <c r="E482" s="7">
        <v>19.34</v>
      </c>
      <c r="F482" s="7">
        <v>13.35</v>
      </c>
      <c r="G482" s="7">
        <v>8.61000000000001</v>
      </c>
      <c r="H482" s="7">
        <v>3.31</v>
      </c>
      <c r="I482" s="7">
        <v>3.81999999999999</v>
      </c>
      <c r="J482" s="7">
        <v>13.68</v>
      </c>
      <c r="K482" s="7">
        <v>35.26</v>
      </c>
      <c r="L482" s="7">
        <v>6.75999999999999</v>
      </c>
      <c r="M482" s="7">
        <v>18.95</v>
      </c>
      <c r="N482" s="7">
        <v>18.52</v>
      </c>
      <c r="O482" s="7">
        <v>21.88</v>
      </c>
      <c r="P482" s="7">
        <v>82.25</v>
      </c>
      <c r="Q482" s="7">
        <v>72.62</v>
      </c>
      <c r="R482" s="7">
        <v>65.71</v>
      </c>
      <c r="S482" s="7">
        <v>44.75</v>
      </c>
      <c r="T482" s="7">
        <v>40.67</v>
      </c>
      <c r="U482" s="7">
        <v>12.08</v>
      </c>
      <c r="V482" s="7">
        <v>25.45</v>
      </c>
      <c r="W482" s="7">
        <v>24.84</v>
      </c>
      <c r="X482" s="7">
        <v>39.55</v>
      </c>
      <c r="Y482" s="7">
        <v>15.16</v>
      </c>
      <c r="Z482" s="9">
        <f>MAX($B$482:$Y$482)</f>
        <v>82.25</v>
      </c>
      <c r="AA482" s="9">
        <f>MIN($B$482:$Y$482)</f>
        <v>-36.63</v>
      </c>
      <c r="AB482" s="9">
        <f>AVERAGE($B$482:$Y$482)</f>
        <v>25.6604166666667</v>
      </c>
    </row>
    <row r="483" spans="1:28">
      <c r="A483" s="10">
        <v>45773</v>
      </c>
      <c r="B483" s="7">
        <v>-37.6</v>
      </c>
      <c r="C483" s="7">
        <v>13.46</v>
      </c>
      <c r="D483" s="7">
        <v>14.41</v>
      </c>
      <c r="E483" s="7">
        <v>20.75</v>
      </c>
      <c r="F483" s="7">
        <v>45.43</v>
      </c>
      <c r="G483" s="7">
        <v>15.69</v>
      </c>
      <c r="H483" s="7">
        <v>12.48</v>
      </c>
      <c r="I483" s="7">
        <v>8.56999999999999</v>
      </c>
      <c r="J483" s="7">
        <v>7.16000000000003</v>
      </c>
      <c r="K483" s="7">
        <v>48.8</v>
      </c>
      <c r="L483" s="7">
        <v>73.72</v>
      </c>
      <c r="M483" s="7">
        <v>53.28</v>
      </c>
      <c r="N483" s="7">
        <v>130.76</v>
      </c>
      <c r="O483" s="7">
        <v>35.42</v>
      </c>
      <c r="P483" s="7">
        <v>4.20999999999998</v>
      </c>
      <c r="Q483" s="7">
        <v>68.11</v>
      </c>
      <c r="R483" s="7">
        <v>65.8</v>
      </c>
      <c r="S483" s="7">
        <v>36.32</v>
      </c>
      <c r="T483" s="7">
        <v>17.87</v>
      </c>
      <c r="U483" s="7">
        <v>18.26</v>
      </c>
      <c r="V483" s="7">
        <v>29.98</v>
      </c>
      <c r="W483" s="7">
        <v>21.96</v>
      </c>
      <c r="X483" s="7">
        <v>25.12</v>
      </c>
      <c r="Y483" s="7">
        <v>32.89</v>
      </c>
      <c r="Z483" s="9">
        <f>MAX($B$483:$Y$483)</f>
        <v>130.76</v>
      </c>
      <c r="AA483" s="9">
        <f>MIN($B$483:$Y$483)</f>
        <v>-37.6</v>
      </c>
      <c r="AB483" s="9">
        <f>AVERAGE($B$483:$Y$483)</f>
        <v>31.7854166666667</v>
      </c>
    </row>
    <row r="484" spans="1:28">
      <c r="A484" s="10">
        <v>45774</v>
      </c>
      <c r="B484" s="7">
        <v>-5.77999999999997</v>
      </c>
      <c r="C484" s="7">
        <v>-2.05000000000001</v>
      </c>
      <c r="D484" s="7">
        <v>3</v>
      </c>
      <c r="E484" s="7">
        <v>4.97000000000003</v>
      </c>
      <c r="F484" s="7">
        <v>9.13</v>
      </c>
      <c r="G484" s="7">
        <v>-1.19999999999999</v>
      </c>
      <c r="H484" s="7">
        <v>-23.29</v>
      </c>
      <c r="I484" s="7">
        <v>-12.65</v>
      </c>
      <c r="J484" s="7">
        <v>-9.79000000000002</v>
      </c>
      <c r="K484" s="7">
        <v>-18.83</v>
      </c>
      <c r="L484" s="7">
        <v>6.67000000000002</v>
      </c>
      <c r="M484" s="7">
        <v>37.4</v>
      </c>
      <c r="N484" s="7">
        <v>7.24000000000001</v>
      </c>
      <c r="O484" s="7">
        <v>14.33</v>
      </c>
      <c r="P484" s="7">
        <v>22.15</v>
      </c>
      <c r="Q484" s="7">
        <v>16.82</v>
      </c>
      <c r="R484" s="7">
        <v>8.22999999999996</v>
      </c>
      <c r="S484" s="7">
        <v>76.71</v>
      </c>
      <c r="T484" s="7">
        <v>10.69</v>
      </c>
      <c r="U484" s="7">
        <v>12.56</v>
      </c>
      <c r="V484" s="7">
        <v>-1.73000000000002</v>
      </c>
      <c r="W484" s="7">
        <v>12.03</v>
      </c>
      <c r="X484" s="7">
        <v>7.79000000000002</v>
      </c>
      <c r="Y484" s="7">
        <v>2.19999999999999</v>
      </c>
      <c r="Z484" s="9">
        <f>MAX($B$484:$Y$484)</f>
        <v>76.71</v>
      </c>
      <c r="AA484" s="9">
        <f>MIN($B$484:$Y$484)</f>
        <v>-23.29</v>
      </c>
      <c r="AB484" s="9">
        <f>AVERAGE($B$484:$Y$484)</f>
        <v>7.35833333333333</v>
      </c>
    </row>
    <row r="485" spans="1:28">
      <c r="A485" s="10">
        <v>45775</v>
      </c>
      <c r="B485" s="7">
        <v>-9.55000000000001</v>
      </c>
      <c r="C485" s="7">
        <v>2.78000000000003</v>
      </c>
      <c r="D485" s="7">
        <v>3.54000000000002</v>
      </c>
      <c r="E485" s="7">
        <v>7.38000000000005</v>
      </c>
      <c r="F485" s="7">
        <v>7.31</v>
      </c>
      <c r="G485" s="7">
        <v>5.48000000000002</v>
      </c>
      <c r="H485" s="7">
        <v>4.56999999999999</v>
      </c>
      <c r="I485" s="7">
        <v>3.04000000000002</v>
      </c>
      <c r="J485" s="7">
        <v>3.63999999999999</v>
      </c>
      <c r="K485" s="7">
        <v>72.53</v>
      </c>
      <c r="L485" s="7">
        <v>60.61</v>
      </c>
      <c r="M485" s="7">
        <v>56.79</v>
      </c>
      <c r="N485" s="7">
        <v>2.73000000000002</v>
      </c>
      <c r="O485" s="7">
        <v>48.04</v>
      </c>
      <c r="P485" s="7">
        <v>120.91</v>
      </c>
      <c r="Q485" s="7">
        <v>50.6</v>
      </c>
      <c r="R485" s="7">
        <v>33.15</v>
      </c>
      <c r="S485" s="7">
        <v>-9.75</v>
      </c>
      <c r="T485" s="7">
        <v>-3.66000000000002</v>
      </c>
      <c r="U485" s="7">
        <v>-23.43</v>
      </c>
      <c r="V485" s="7">
        <v>-34.46</v>
      </c>
      <c r="W485" s="7">
        <v>32.54</v>
      </c>
      <c r="X485" s="7">
        <v>43.9</v>
      </c>
      <c r="Y485" s="7">
        <v>21.94</v>
      </c>
      <c r="Z485" s="9">
        <f>MAX($B$485:$Y$485)</f>
        <v>120.91</v>
      </c>
      <c r="AA485" s="9">
        <f>MIN($B$485:$Y$485)</f>
        <v>-34.46</v>
      </c>
      <c r="AB485" s="9">
        <f>AVERAGE($B$485:$Y$485)</f>
        <v>20.8595833333333</v>
      </c>
    </row>
    <row r="486" spans="1:28">
      <c r="A486" s="10">
        <v>45776</v>
      </c>
      <c r="B486" s="7">
        <v>-9.77999999999997</v>
      </c>
      <c r="C486" s="7">
        <v>-19.76</v>
      </c>
      <c r="D486" s="7">
        <v>8.48000000000002</v>
      </c>
      <c r="E486" s="7">
        <v>5.40999999999997</v>
      </c>
      <c r="F486" s="7">
        <v>1.31999999999999</v>
      </c>
      <c r="G486" s="7">
        <v>-1.21000000000004</v>
      </c>
      <c r="H486" s="7">
        <v>-10.34</v>
      </c>
      <c r="I486" s="7">
        <v>10.33</v>
      </c>
      <c r="J486" s="7">
        <v>4.53000000000003</v>
      </c>
      <c r="K486" s="7">
        <v>62.77</v>
      </c>
      <c r="L486" s="7">
        <v>109.19</v>
      </c>
      <c r="M486" s="7">
        <v>154.7</v>
      </c>
      <c r="N486" s="7">
        <v>62.15</v>
      </c>
      <c r="O486" s="7">
        <v>-130.44</v>
      </c>
      <c r="P486" s="7">
        <v>-248.89</v>
      </c>
      <c r="Q486" s="7">
        <v>-468.52</v>
      </c>
      <c r="R486" s="7">
        <v>-105.24</v>
      </c>
      <c r="S486" s="7">
        <v>81.27</v>
      </c>
      <c r="T486" s="7">
        <v>39.36</v>
      </c>
      <c r="U486" s="7">
        <v>-10.31</v>
      </c>
      <c r="V486" s="7">
        <v>5.69999999999999</v>
      </c>
      <c r="W486" s="7">
        <v>39.25</v>
      </c>
      <c r="X486" s="7">
        <v>28.82</v>
      </c>
      <c r="Y486" s="7">
        <v>1.25</v>
      </c>
      <c r="Z486" s="9">
        <f>MAX($B$486:$Y$486)</f>
        <v>154.7</v>
      </c>
      <c r="AA486" s="9">
        <f>MIN($B$486:$Y$486)</f>
        <v>-468.52</v>
      </c>
      <c r="AB486" s="9">
        <f>AVERAGE($B$486:$Y$486)</f>
        <v>-16.2483333333333</v>
      </c>
    </row>
    <row r="487" spans="1:28">
      <c r="A487" s="10">
        <v>45777</v>
      </c>
      <c r="B487" s="7">
        <v>-124.3</v>
      </c>
      <c r="C487" s="7">
        <v>-81.78</v>
      </c>
      <c r="D487" s="7">
        <v>-43.38</v>
      </c>
      <c r="E487" s="7">
        <v>2.61000000000001</v>
      </c>
      <c r="F487" s="7">
        <v>-0.970000000000027</v>
      </c>
      <c r="G487" s="7">
        <v>4.20000000000005</v>
      </c>
      <c r="H487" s="7">
        <v>-61.85</v>
      </c>
      <c r="I487" s="7">
        <v>-27.8200000000001</v>
      </c>
      <c r="J487" s="7">
        <v>3.69999999999999</v>
      </c>
      <c r="K487" s="7">
        <v>14.02</v>
      </c>
      <c r="L487" s="7">
        <v>57.46</v>
      </c>
      <c r="M487" s="7">
        <v>196.05</v>
      </c>
      <c r="N487" s="7">
        <v>40.73</v>
      </c>
      <c r="O487" s="7">
        <v>-118.75</v>
      </c>
      <c r="P487" s="7">
        <v>-118.65</v>
      </c>
      <c r="Q487" s="7">
        <v>-98.07</v>
      </c>
      <c r="R487" s="7">
        <v>33.12</v>
      </c>
      <c r="S487" s="7">
        <v>11.71</v>
      </c>
      <c r="T487" s="7">
        <v>35.67</v>
      </c>
      <c r="U487" s="7">
        <v>19.9</v>
      </c>
      <c r="V487" s="7">
        <v>67.29</v>
      </c>
      <c r="W487" s="7">
        <v>165.52</v>
      </c>
      <c r="X487" s="7">
        <v>27.76</v>
      </c>
      <c r="Y487" s="7">
        <v>-80.94</v>
      </c>
      <c r="Z487" s="9">
        <f>MAX($B$487:$Y$487)</f>
        <v>196.05</v>
      </c>
      <c r="AA487" s="9">
        <f>MIN($B$487:$Y$487)</f>
        <v>-124.3</v>
      </c>
      <c r="AB487" s="9">
        <f>AVERAGE($B$487:$Y$487)</f>
        <v>-3.19875</v>
      </c>
    </row>
    <row r="488" spans="1:28">
      <c r="A488" s="10">
        <v>45778</v>
      </c>
      <c r="B488" s="7">
        <v>-309.51</v>
      </c>
      <c r="C488" s="7">
        <v>-629.83</v>
      </c>
      <c r="D488" s="7">
        <v>-301.72</v>
      </c>
      <c r="E488" s="7">
        <v>-21.43</v>
      </c>
      <c r="F488" s="7">
        <v>25.19</v>
      </c>
      <c r="G488" s="7">
        <v>11.67</v>
      </c>
      <c r="H488" s="7">
        <v>-12.51</v>
      </c>
      <c r="I488" s="7">
        <v>26.79</v>
      </c>
      <c r="J488" s="7">
        <v>-0.11</v>
      </c>
      <c r="K488" s="7">
        <v>-108.51</v>
      </c>
      <c r="L488" s="7">
        <v>-120.02</v>
      </c>
      <c r="M488" s="7">
        <v>-109.09</v>
      </c>
      <c r="N488" s="7">
        <v>-264.24</v>
      </c>
      <c r="O488" s="7">
        <v>-245.46</v>
      </c>
      <c r="P488" s="7">
        <v>-47.97</v>
      </c>
      <c r="Q488" s="7">
        <v>1.92</v>
      </c>
      <c r="R488" s="7">
        <v>-26.89</v>
      </c>
      <c r="S488" s="7">
        <v>12.97</v>
      </c>
      <c r="T488" s="7">
        <v>-16.27</v>
      </c>
      <c r="U488" s="7">
        <v>-221.95</v>
      </c>
      <c r="V488" s="7">
        <v>-147.09</v>
      </c>
      <c r="W488" s="7">
        <v>-184.41</v>
      </c>
      <c r="X488" s="7">
        <v>-400.91</v>
      </c>
      <c r="Y488" s="7">
        <v>-47.18</v>
      </c>
      <c r="Z488" s="9">
        <f>MAX($B$488:$Y$488)</f>
        <v>26.79</v>
      </c>
      <c r="AA488" s="9">
        <f>MIN($B$488:$Y$488)</f>
        <v>-629.83</v>
      </c>
      <c r="AB488" s="9">
        <f>AVERAGE($B$488:$Y$488)</f>
        <v>-130.69</v>
      </c>
    </row>
    <row r="489" spans="1:28">
      <c r="A489" s="10">
        <v>45779</v>
      </c>
      <c r="B489" s="7">
        <v>-184.66</v>
      </c>
      <c r="C489" s="7">
        <v>-54.56</v>
      </c>
      <c r="D489" s="7">
        <v>-84.85</v>
      </c>
      <c r="E489" s="7">
        <v>-19.84</v>
      </c>
      <c r="F489" s="7">
        <v>-24.22</v>
      </c>
      <c r="G489" s="7">
        <v>-34.28</v>
      </c>
      <c r="H489" s="7">
        <v>-64.01</v>
      </c>
      <c r="I489" s="7">
        <v>-23.69</v>
      </c>
      <c r="J489" s="7">
        <v>0.629999999999995</v>
      </c>
      <c r="K489" s="7">
        <v>-31.92</v>
      </c>
      <c r="L489" s="7">
        <v>-58.8</v>
      </c>
      <c r="M489" s="7">
        <v>-20.46</v>
      </c>
      <c r="N489" s="7">
        <v>-117.27</v>
      </c>
      <c r="O489" s="7">
        <v>-122.29</v>
      </c>
      <c r="P489" s="7">
        <v>75.29</v>
      </c>
      <c r="Q489" s="7">
        <v>1.56999999999999</v>
      </c>
      <c r="R489" s="7">
        <v>-14.93</v>
      </c>
      <c r="S489" s="7">
        <v>9.04000000000002</v>
      </c>
      <c r="T489" s="7">
        <v>-29.46</v>
      </c>
      <c r="U489" s="7">
        <v>-254.35</v>
      </c>
      <c r="V489" s="7">
        <v>-100.13</v>
      </c>
      <c r="W489" s="7">
        <v>-309.02</v>
      </c>
      <c r="X489" s="7">
        <v>-428.47</v>
      </c>
      <c r="Y489" s="7">
        <v>-191</v>
      </c>
      <c r="Z489" s="9">
        <f>MAX($B$489:$Y$489)</f>
        <v>75.29</v>
      </c>
      <c r="AA489" s="9">
        <f>MIN($B$489:$Y$489)</f>
        <v>-428.47</v>
      </c>
      <c r="AB489" s="9">
        <f>AVERAGE($B$489:$Y$489)</f>
        <v>-86.7366666666667</v>
      </c>
    </row>
    <row r="490" spans="1:28">
      <c r="A490" s="10">
        <v>45780</v>
      </c>
      <c r="B490" s="7">
        <v>18.87</v>
      </c>
      <c r="C490" s="7">
        <v>-474.33</v>
      </c>
      <c r="D490" s="7">
        <v>-452.36</v>
      </c>
      <c r="E490" s="7">
        <v>-339.09</v>
      </c>
      <c r="F490" s="7">
        <v>-263.11</v>
      </c>
      <c r="G490" s="7">
        <v>-104.98</v>
      </c>
      <c r="H490" s="7">
        <v>-619.93</v>
      </c>
      <c r="I490" s="7">
        <v>-216.54</v>
      </c>
      <c r="J490" s="7">
        <v>60.9</v>
      </c>
      <c r="K490" s="7">
        <v>39.17</v>
      </c>
      <c r="L490" s="7">
        <v>93.13</v>
      </c>
      <c r="M490" s="7">
        <v>107.83</v>
      </c>
      <c r="N490" s="7">
        <v>110.06</v>
      </c>
      <c r="O490" s="7">
        <v>61.23</v>
      </c>
      <c r="P490" s="7">
        <v>43.81</v>
      </c>
      <c r="Q490" s="7">
        <v>37.75</v>
      </c>
      <c r="R490" s="7">
        <v>27.17</v>
      </c>
      <c r="S490" s="7">
        <v>33.15</v>
      </c>
      <c r="T490" s="7">
        <v>12.71</v>
      </c>
      <c r="U490" s="7">
        <v>-18.28</v>
      </c>
      <c r="V490" s="7">
        <v>-40.37</v>
      </c>
      <c r="W490" s="7">
        <v>-46.01</v>
      </c>
      <c r="X490" s="7">
        <v>-35.77</v>
      </c>
      <c r="Y490" s="7">
        <v>30.35</v>
      </c>
      <c r="Z490" s="9">
        <f>MAX($B$490:$Y$490)</f>
        <v>110.06</v>
      </c>
      <c r="AA490" s="9">
        <f>MIN($B$490:$Y$490)</f>
        <v>-619.93</v>
      </c>
      <c r="AB490" s="9">
        <f>AVERAGE($B$490:$Y$490)</f>
        <v>-80.61</v>
      </c>
    </row>
    <row r="491" spans="1:28">
      <c r="A491" s="10">
        <v>45781</v>
      </c>
      <c r="B491" s="7">
        <v>-18.06</v>
      </c>
      <c r="C491" s="7">
        <v>-31.4</v>
      </c>
      <c r="D491" s="7">
        <v>-34.24</v>
      </c>
      <c r="E491" s="7">
        <v>-23.05</v>
      </c>
      <c r="F491" s="7">
        <v>-27.03</v>
      </c>
      <c r="G491" s="7">
        <v>-20.88</v>
      </c>
      <c r="H491" s="7">
        <v>-45.09</v>
      </c>
      <c r="I491" s="7">
        <v>-5.61000000000001</v>
      </c>
      <c r="J491" s="7">
        <v>-1.94</v>
      </c>
      <c r="K491" s="7">
        <v>21.52</v>
      </c>
      <c r="L491" s="7">
        <v>37.01</v>
      </c>
      <c r="M491" s="7">
        <v>19.73</v>
      </c>
      <c r="N491" s="7">
        <v>115.66</v>
      </c>
      <c r="O491" s="7">
        <v>-58.17</v>
      </c>
      <c r="P491" s="7">
        <v>12.91</v>
      </c>
      <c r="Q491" s="7">
        <v>-65.81</v>
      </c>
      <c r="R491" s="7">
        <v>24.04</v>
      </c>
      <c r="S491" s="7">
        <v>61.68</v>
      </c>
      <c r="T491" s="7">
        <v>34.89</v>
      </c>
      <c r="U491" s="7">
        <v>13.41</v>
      </c>
      <c r="V491" s="7">
        <v>-3.00999999999999</v>
      </c>
      <c r="W491" s="7">
        <v>-14.39</v>
      </c>
      <c r="X491" s="7">
        <v>-137.99</v>
      </c>
      <c r="Y491" s="7">
        <v>-27.52</v>
      </c>
      <c r="Z491" s="9">
        <f>MAX($B$491:$Y$491)</f>
        <v>115.66</v>
      </c>
      <c r="AA491" s="9">
        <f>MIN($B$491:$Y$491)</f>
        <v>-137.99</v>
      </c>
      <c r="AB491" s="9">
        <f>AVERAGE($B$491:$Y$491)</f>
        <v>-7.2225</v>
      </c>
    </row>
    <row r="492" spans="1:28">
      <c r="A492" s="10">
        <v>45782</v>
      </c>
      <c r="B492" s="7">
        <v>-85.77</v>
      </c>
      <c r="C492" s="7">
        <v>-46.55</v>
      </c>
      <c r="D492" s="7">
        <v>2.92000000000002</v>
      </c>
      <c r="E492" s="7">
        <v>24.69</v>
      </c>
      <c r="F492" s="7">
        <v>14.38</v>
      </c>
      <c r="G492" s="7">
        <v>13.27</v>
      </c>
      <c r="H492" s="7">
        <v>21.65</v>
      </c>
      <c r="I492" s="7">
        <v>20.98</v>
      </c>
      <c r="J492" s="7">
        <v>13.56</v>
      </c>
      <c r="K492" s="7">
        <v>-176.97</v>
      </c>
      <c r="L492" s="7">
        <v>-76.72</v>
      </c>
      <c r="M492" s="7">
        <v>-372.29</v>
      </c>
      <c r="N492" s="7">
        <v>20.28</v>
      </c>
      <c r="O492" s="7">
        <v>-121.64</v>
      </c>
      <c r="P492" s="7">
        <v>-68.74</v>
      </c>
      <c r="Q492" s="7">
        <v>-454.23</v>
      </c>
      <c r="R492" s="7">
        <v>-478.44</v>
      </c>
      <c r="S492" s="7">
        <v>-179.19</v>
      </c>
      <c r="T492" s="7">
        <v>-27.85</v>
      </c>
      <c r="U492" s="7">
        <v>-6.44999999999999</v>
      </c>
      <c r="V492" s="7">
        <v>-52.56</v>
      </c>
      <c r="W492" s="7">
        <v>-226.63</v>
      </c>
      <c r="X492" s="7">
        <v>24.98</v>
      </c>
      <c r="Y492" s="7">
        <v>-4.87</v>
      </c>
      <c r="Z492" s="9">
        <f>MAX($B$492:$Y$492)</f>
        <v>24.98</v>
      </c>
      <c r="AA492" s="9">
        <f>MIN($B$492:$Y$492)</f>
        <v>-478.44</v>
      </c>
      <c r="AB492" s="9">
        <f>AVERAGE($B$492:$Y$492)</f>
        <v>-92.59125</v>
      </c>
    </row>
    <row r="493" spans="1:28">
      <c r="A493" s="10">
        <v>45783</v>
      </c>
      <c r="B493" s="7">
        <v>-426.39</v>
      </c>
      <c r="C493" s="7">
        <v>-609.58</v>
      </c>
      <c r="D493" s="7">
        <v>-371.11</v>
      </c>
      <c r="E493" s="7">
        <v>-218.99</v>
      </c>
      <c r="F493" s="7">
        <v>-79.55</v>
      </c>
      <c r="G493" s="7">
        <v>-120.82</v>
      </c>
      <c r="H493" s="7">
        <v>-379.39</v>
      </c>
      <c r="I493" s="7">
        <v>-17.41</v>
      </c>
      <c r="J493" s="7">
        <v>-5.56999999999999</v>
      </c>
      <c r="K493" s="7">
        <v>62.75</v>
      </c>
      <c r="L493" s="7">
        <v>142.1</v>
      </c>
      <c r="M493" s="7">
        <v>241.87</v>
      </c>
      <c r="N493" s="7">
        <v>8.07999999999998</v>
      </c>
      <c r="O493" s="7">
        <v>-218.45</v>
      </c>
      <c r="P493" s="7">
        <v>109.77</v>
      </c>
      <c r="Q493" s="7">
        <v>-14.77</v>
      </c>
      <c r="R493" s="7">
        <v>117.1</v>
      </c>
      <c r="S493" s="7">
        <v>-12.08</v>
      </c>
      <c r="T493" s="7">
        <v>-0.670000000000016</v>
      </c>
      <c r="U493" s="7">
        <v>4.76000000000005</v>
      </c>
      <c r="V493" s="7">
        <v>-53.77</v>
      </c>
      <c r="W493" s="7">
        <v>-153.94</v>
      </c>
      <c r="X493" s="7">
        <v>-241.01</v>
      </c>
      <c r="Y493" s="7">
        <v>-23.04</v>
      </c>
      <c r="Z493" s="9">
        <f>MAX($B$493:$Y$493)</f>
        <v>241.87</v>
      </c>
      <c r="AA493" s="9">
        <f>MIN($B$493:$Y$493)</f>
        <v>-609.58</v>
      </c>
      <c r="AB493" s="9">
        <f>AVERAGE($B$493:$Y$493)</f>
        <v>-94.17125</v>
      </c>
    </row>
    <row r="494" spans="1:28">
      <c r="A494" s="10">
        <v>45784</v>
      </c>
      <c r="B494" s="7">
        <v>-108.1</v>
      </c>
      <c r="C494" s="7">
        <v>57.31</v>
      </c>
      <c r="D494" s="7">
        <v>148.51</v>
      </c>
      <c r="E494" s="7">
        <v>58</v>
      </c>
      <c r="F494" s="7">
        <v>28.1</v>
      </c>
      <c r="G494" s="7">
        <v>25.62</v>
      </c>
      <c r="H494" s="7">
        <v>61.2</v>
      </c>
      <c r="I494" s="7">
        <v>24.25</v>
      </c>
      <c r="J494" s="7">
        <v>32.06</v>
      </c>
      <c r="K494" s="7">
        <v>160.35</v>
      </c>
      <c r="L494" s="7">
        <v>147.71</v>
      </c>
      <c r="M494" s="7">
        <v>190.92</v>
      </c>
      <c r="N494" s="7">
        <v>43.97</v>
      </c>
      <c r="O494" s="7">
        <v>134.91</v>
      </c>
      <c r="P494" s="7">
        <v>244.06</v>
      </c>
      <c r="Q494" s="7">
        <v>117.13</v>
      </c>
      <c r="R494" s="7">
        <v>244.44</v>
      </c>
      <c r="S494" s="7">
        <v>163.72</v>
      </c>
      <c r="T494" s="7">
        <v>94.33</v>
      </c>
      <c r="U494" s="7">
        <v>133.74</v>
      </c>
      <c r="V494" s="7">
        <v>57.94</v>
      </c>
      <c r="W494" s="7">
        <v>65.36</v>
      </c>
      <c r="X494" s="7">
        <v>73</v>
      </c>
      <c r="Y494" s="7">
        <v>42.54</v>
      </c>
      <c r="Z494" s="9">
        <f>MAX($B$494:$Y$494)</f>
        <v>244.44</v>
      </c>
      <c r="AA494" s="9">
        <f>MIN($B$494:$Y$494)</f>
        <v>-108.1</v>
      </c>
      <c r="AB494" s="9">
        <f>AVERAGE($B$494:$Y$494)</f>
        <v>93.3779166666667</v>
      </c>
    </row>
    <row r="495" spans="1:28">
      <c r="A495" s="10">
        <v>45785</v>
      </c>
      <c r="B495" s="7">
        <v>5.84000000000003</v>
      </c>
      <c r="C495" s="7">
        <v>4.87</v>
      </c>
      <c r="D495" s="7">
        <v>18.1</v>
      </c>
      <c r="E495" s="7">
        <v>20.1</v>
      </c>
      <c r="F495" s="7">
        <v>18.65</v>
      </c>
      <c r="G495" s="7">
        <v>11.59</v>
      </c>
      <c r="H495" s="7">
        <v>0.379999999999995</v>
      </c>
      <c r="I495" s="7">
        <v>1.81999999999999</v>
      </c>
      <c r="J495" s="7">
        <v>-94.73</v>
      </c>
      <c r="K495" s="7">
        <v>-117.18</v>
      </c>
      <c r="L495" s="7">
        <v>-164.58</v>
      </c>
      <c r="M495" s="7">
        <v>-358.06</v>
      </c>
      <c r="N495" s="7">
        <v>-23.8</v>
      </c>
      <c r="O495" s="7">
        <v>228.38</v>
      </c>
      <c r="P495" s="7">
        <v>0.120000000000005</v>
      </c>
      <c r="Q495" s="7">
        <v>1.71999999999997</v>
      </c>
      <c r="R495" s="7">
        <v>-127.69</v>
      </c>
      <c r="S495" s="7">
        <v>-13.47</v>
      </c>
      <c r="T495" s="7">
        <v>-0.800000000000011</v>
      </c>
      <c r="U495" s="7">
        <v>-15.91</v>
      </c>
      <c r="V495" s="7">
        <v>-72.42</v>
      </c>
      <c r="W495" s="7">
        <v>-116.04</v>
      </c>
      <c r="X495" s="7">
        <v>-8.99000000000001</v>
      </c>
      <c r="Y495" s="7">
        <v>3.75999999999999</v>
      </c>
      <c r="Z495" s="9">
        <f>MAX($B$495:$Y$495)</f>
        <v>228.38</v>
      </c>
      <c r="AA495" s="9">
        <f>MIN($B$495:$Y$495)</f>
        <v>-358.06</v>
      </c>
      <c r="AB495" s="9">
        <f>AVERAGE($B$495:$Y$495)</f>
        <v>-33.2641666666667</v>
      </c>
    </row>
    <row r="496" spans="1:28">
      <c r="A496" s="10">
        <v>45786</v>
      </c>
      <c r="B496" s="7">
        <v>47.12</v>
      </c>
      <c r="C496" s="7">
        <v>-14.14</v>
      </c>
      <c r="D496" s="7">
        <v>-37.15</v>
      </c>
      <c r="E496" s="7">
        <v>-13.85</v>
      </c>
      <c r="F496" s="7">
        <v>5.17000000000002</v>
      </c>
      <c r="G496" s="7">
        <v>8.15000000000003</v>
      </c>
      <c r="H496" s="7">
        <v>-24.63</v>
      </c>
      <c r="I496" s="7">
        <v>20.72</v>
      </c>
      <c r="J496" s="7">
        <v>-120.79</v>
      </c>
      <c r="K496" s="7">
        <v>-399.64</v>
      </c>
      <c r="L496" s="7">
        <v>-116.44</v>
      </c>
      <c r="M496" s="7">
        <v>56.79</v>
      </c>
      <c r="N496" s="7">
        <v>95.77</v>
      </c>
      <c r="O496" s="7">
        <v>201.48</v>
      </c>
      <c r="P496" s="7">
        <v>147.94</v>
      </c>
      <c r="Q496" s="7">
        <v>144.39</v>
      </c>
      <c r="R496" s="7">
        <v>222.78</v>
      </c>
      <c r="S496" s="7">
        <v>184.24</v>
      </c>
      <c r="T496" s="7">
        <v>41.23</v>
      </c>
      <c r="U496" s="7">
        <v>21.95</v>
      </c>
      <c r="V496" s="7">
        <v>26.99</v>
      </c>
      <c r="W496" s="7">
        <v>35.17</v>
      </c>
      <c r="X496" s="7">
        <v>30.87</v>
      </c>
      <c r="Y496" s="7">
        <v>-154.7</v>
      </c>
      <c r="Z496" s="9">
        <f>MAX($B$496:$Y$496)</f>
        <v>222.78</v>
      </c>
      <c r="AA496" s="9">
        <f>MIN($B$496:$Y$496)</f>
        <v>-399.64</v>
      </c>
      <c r="AB496" s="9">
        <f>AVERAGE($B$496:$Y$496)</f>
        <v>17.0591666666667</v>
      </c>
    </row>
    <row r="497" spans="1:28">
      <c r="A497" s="10">
        <v>45787</v>
      </c>
      <c r="B497" s="7">
        <v>16.33</v>
      </c>
      <c r="C497" s="7">
        <v>21.27</v>
      </c>
      <c r="D497" s="7">
        <v>24.37</v>
      </c>
      <c r="E497" s="7">
        <v>15.53</v>
      </c>
      <c r="F497" s="7">
        <v>25.33</v>
      </c>
      <c r="G497" s="7">
        <v>19.76</v>
      </c>
      <c r="H497" s="7">
        <v>75.85</v>
      </c>
      <c r="I497" s="7">
        <v>41.59</v>
      </c>
      <c r="J497" s="7">
        <v>37.09</v>
      </c>
      <c r="K497" s="7">
        <v>42.27</v>
      </c>
      <c r="L497" s="7">
        <v>36.84</v>
      </c>
      <c r="M497" s="7">
        <v>27.29</v>
      </c>
      <c r="N497" s="7">
        <v>30.82</v>
      </c>
      <c r="O497" s="7">
        <v>6.39999999999998</v>
      </c>
      <c r="P497" s="7">
        <v>-0.419999999999959</v>
      </c>
      <c r="Q497" s="7">
        <v>-23.32</v>
      </c>
      <c r="R497" s="7">
        <v>-36.56</v>
      </c>
      <c r="S497" s="7">
        <v>-1.19999999999999</v>
      </c>
      <c r="T497" s="7">
        <v>9.70999999999998</v>
      </c>
      <c r="U497" s="7">
        <v>19.26</v>
      </c>
      <c r="V497" s="7">
        <v>20.59</v>
      </c>
      <c r="W497" s="7">
        <v>22.07</v>
      </c>
      <c r="X497" s="7">
        <v>31.15</v>
      </c>
      <c r="Y497" s="7">
        <v>36.72</v>
      </c>
      <c r="Z497" s="9">
        <f>MAX($B$497:$Y$497)</f>
        <v>75.85</v>
      </c>
      <c r="AA497" s="9">
        <f>MIN($B$497:$Y$497)</f>
        <v>-36.56</v>
      </c>
      <c r="AB497" s="9">
        <f>AVERAGE($B$497:$Y$497)</f>
        <v>20.7808333333333</v>
      </c>
    </row>
    <row r="498" spans="1:28">
      <c r="A498" s="10">
        <v>45788</v>
      </c>
      <c r="B498" s="7">
        <v>16.5</v>
      </c>
      <c r="C498" s="7">
        <v>87.98</v>
      </c>
      <c r="D498" s="7">
        <v>67.21</v>
      </c>
      <c r="E498" s="7">
        <v>148.36</v>
      </c>
      <c r="F498" s="7">
        <v>244.4</v>
      </c>
      <c r="G498" s="7">
        <v>194.66</v>
      </c>
      <c r="H498" s="7">
        <v>120.17</v>
      </c>
      <c r="I498" s="7">
        <v>35.85</v>
      </c>
      <c r="J498" s="7">
        <v>122.3</v>
      </c>
      <c r="K498" s="7">
        <v>159.56</v>
      </c>
      <c r="L498" s="7">
        <v>114.51</v>
      </c>
      <c r="M498" s="7">
        <v>135.21</v>
      </c>
      <c r="N498" s="7">
        <v>58.73</v>
      </c>
      <c r="O498" s="7">
        <v>119.62</v>
      </c>
      <c r="P498" s="7">
        <v>200.99</v>
      </c>
      <c r="Q498" s="7">
        <v>209.43</v>
      </c>
      <c r="R498" s="7">
        <v>215.51</v>
      </c>
      <c r="S498" s="7">
        <v>54.46</v>
      </c>
      <c r="T498" s="7">
        <v>0.370000000000005</v>
      </c>
      <c r="U498" s="7">
        <v>11.19</v>
      </c>
      <c r="V498" s="7">
        <v>11.17</v>
      </c>
      <c r="W498" s="7">
        <v>11.47</v>
      </c>
      <c r="X498" s="7">
        <v>9.18000000000001</v>
      </c>
      <c r="Y498" s="7">
        <v>11.52</v>
      </c>
      <c r="Z498" s="9">
        <f>MAX($B$498:$Y$498)</f>
        <v>244.4</v>
      </c>
      <c r="AA498" s="9">
        <f>MIN($B$498:$Y$498)</f>
        <v>0.370000000000005</v>
      </c>
      <c r="AB498" s="9">
        <f>AVERAGE($B$498:$Y$498)</f>
        <v>98.3479166666666</v>
      </c>
    </row>
    <row r="499" spans="1:28">
      <c r="A499" s="10">
        <v>45789</v>
      </c>
      <c r="B499" s="7">
        <v>-17.34</v>
      </c>
      <c r="C499" s="7">
        <v>-3.95000000000005</v>
      </c>
      <c r="D499" s="7">
        <v>4.79000000000002</v>
      </c>
      <c r="E499" s="7">
        <v>11.35</v>
      </c>
      <c r="F499" s="7">
        <v>48.82</v>
      </c>
      <c r="G499" s="7">
        <v>35.64</v>
      </c>
      <c r="H499" s="7">
        <v>-9.29000000000002</v>
      </c>
      <c r="I499" s="7">
        <v>90.52</v>
      </c>
      <c r="J499" s="7">
        <v>146.18</v>
      </c>
      <c r="K499" s="7">
        <v>136.6</v>
      </c>
      <c r="L499" s="7">
        <v>123.69</v>
      </c>
      <c r="M499" s="7">
        <v>-27.2</v>
      </c>
      <c r="N499" s="7">
        <v>-90.22</v>
      </c>
      <c r="O499" s="7">
        <v>-83.39</v>
      </c>
      <c r="P499" s="7">
        <v>-26.51</v>
      </c>
      <c r="Q499" s="7">
        <v>153.62</v>
      </c>
      <c r="R499" s="7">
        <v>27.81</v>
      </c>
      <c r="S499" s="7">
        <v>-1.44</v>
      </c>
      <c r="T499" s="7">
        <v>-9.62</v>
      </c>
      <c r="U499" s="7">
        <v>-8.63</v>
      </c>
      <c r="V499" s="7">
        <v>-15.33</v>
      </c>
      <c r="W499" s="7">
        <v>-20.31</v>
      </c>
      <c r="X499" s="7">
        <v>-9.13</v>
      </c>
      <c r="Y499" s="7">
        <v>-3.63</v>
      </c>
      <c r="Z499" s="9">
        <f>MAX($B$499:$Y$499)</f>
        <v>153.62</v>
      </c>
      <c r="AA499" s="9">
        <f>MIN($B$499:$Y$499)</f>
        <v>-90.22</v>
      </c>
      <c r="AB499" s="9">
        <f>AVERAGE($B$499:$Y$499)</f>
        <v>18.87625</v>
      </c>
    </row>
    <row r="500" spans="1:28">
      <c r="A500" s="10">
        <v>45790</v>
      </c>
      <c r="B500" s="7">
        <v>-4.47999999999996</v>
      </c>
      <c r="C500" s="7">
        <v>17.15</v>
      </c>
      <c r="D500" s="7">
        <v>31.54</v>
      </c>
      <c r="E500" s="7">
        <v>44.64</v>
      </c>
      <c r="F500" s="7">
        <v>34.13</v>
      </c>
      <c r="G500" s="7">
        <v>48.42</v>
      </c>
      <c r="H500" s="7">
        <v>36.19</v>
      </c>
      <c r="I500" s="7">
        <v>61.75</v>
      </c>
      <c r="J500" s="7">
        <v>125.18</v>
      </c>
      <c r="K500" s="7">
        <v>144.9</v>
      </c>
      <c r="L500" s="7">
        <v>82.51</v>
      </c>
      <c r="M500" s="7">
        <v>22.75</v>
      </c>
      <c r="N500" s="7">
        <v>-54.8</v>
      </c>
      <c r="O500" s="7">
        <v>-31.36</v>
      </c>
      <c r="P500" s="7">
        <v>31.48</v>
      </c>
      <c r="Q500" s="7">
        <v>24.76</v>
      </c>
      <c r="R500" s="7">
        <v>-46.21</v>
      </c>
      <c r="S500" s="7">
        <v>-120.05</v>
      </c>
      <c r="T500" s="7">
        <v>-162.41</v>
      </c>
      <c r="U500" s="7">
        <v>-132.14</v>
      </c>
      <c r="V500" s="7">
        <v>-177.96</v>
      </c>
      <c r="W500" s="7">
        <v>-106.78</v>
      </c>
      <c r="X500" s="7">
        <v>-50.6799999999999</v>
      </c>
      <c r="Y500" s="7">
        <v>-18.52</v>
      </c>
      <c r="Z500" s="9">
        <f>MAX($B$500:$Y$500)</f>
        <v>144.9</v>
      </c>
      <c r="AA500" s="9">
        <f>MIN($B$500:$Y$500)</f>
        <v>-177.96</v>
      </c>
      <c r="AB500" s="9">
        <f>AVERAGE($B$500:$Y$500)</f>
        <v>-8.33291666666666</v>
      </c>
    </row>
    <row r="501" spans="1:28">
      <c r="A501" s="10">
        <v>45791</v>
      </c>
      <c r="B501" s="7">
        <v>-78.82</v>
      </c>
      <c r="C501" s="7">
        <v>-23.24</v>
      </c>
      <c r="D501" s="7">
        <v>-15.6300000000001</v>
      </c>
      <c r="E501" s="7">
        <v>-12.14</v>
      </c>
      <c r="F501" s="7">
        <v>-20.41</v>
      </c>
      <c r="G501" s="7">
        <v>-19.17</v>
      </c>
      <c r="H501" s="7">
        <v>-35.41</v>
      </c>
      <c r="I501" s="7">
        <v>-12.97</v>
      </c>
      <c r="J501" s="7">
        <v>-31.31</v>
      </c>
      <c r="K501" s="7">
        <v>-53.86</v>
      </c>
      <c r="L501" s="7">
        <v>-11.35</v>
      </c>
      <c r="M501" s="7">
        <v>-8.94</v>
      </c>
      <c r="N501" s="7">
        <v>-26.73</v>
      </c>
      <c r="O501" s="7">
        <v>-40.23</v>
      </c>
      <c r="P501" s="7">
        <v>-14.43</v>
      </c>
      <c r="Q501" s="7">
        <v>-30.01</v>
      </c>
      <c r="R501" s="7">
        <v>-122.35</v>
      </c>
      <c r="S501" s="7">
        <v>-63.11</v>
      </c>
      <c r="T501" s="7">
        <v>-170.68</v>
      </c>
      <c r="U501" s="7">
        <v>-219.2</v>
      </c>
      <c r="V501" s="7">
        <v>-159</v>
      </c>
      <c r="W501" s="7">
        <v>-103.76</v>
      </c>
      <c r="X501" s="7">
        <v>-27.39</v>
      </c>
      <c r="Y501" s="7">
        <v>-27.27</v>
      </c>
      <c r="Z501" s="9">
        <f>MAX($B$501:$Y$501)</f>
        <v>-8.94</v>
      </c>
      <c r="AA501" s="9">
        <f>MIN($B$501:$Y$501)</f>
        <v>-219.2</v>
      </c>
      <c r="AB501" s="9">
        <f>AVERAGE($B$501:$Y$501)</f>
        <v>-55.30875</v>
      </c>
    </row>
    <row r="502" spans="1:28">
      <c r="A502" s="10">
        <v>45792</v>
      </c>
      <c r="B502" s="7">
        <v>12.94</v>
      </c>
      <c r="C502" s="7">
        <v>-30.47</v>
      </c>
      <c r="D502" s="7">
        <v>-24.32</v>
      </c>
      <c r="E502" s="7">
        <v>-31.84</v>
      </c>
      <c r="F502" s="7">
        <v>-18.59</v>
      </c>
      <c r="G502" s="7">
        <v>-25.2</v>
      </c>
      <c r="H502" s="7">
        <v>-37.53</v>
      </c>
      <c r="I502" s="7">
        <v>-9.39999999999998</v>
      </c>
      <c r="J502" s="7">
        <v>19.56</v>
      </c>
      <c r="K502" s="7">
        <v>22.57</v>
      </c>
      <c r="L502" s="7">
        <v>41.18</v>
      </c>
      <c r="M502" s="7">
        <v>22.9</v>
      </c>
      <c r="N502" s="7">
        <v>10.81</v>
      </c>
      <c r="O502" s="7">
        <v>13.29</v>
      </c>
      <c r="P502" s="7">
        <v>16.91</v>
      </c>
      <c r="Q502" s="7">
        <v>31.86</v>
      </c>
      <c r="R502" s="7">
        <v>64.58</v>
      </c>
      <c r="S502" s="7">
        <v>81.47</v>
      </c>
      <c r="T502" s="7">
        <v>9.74000000000001</v>
      </c>
      <c r="U502" s="7">
        <v>43.4299999999999</v>
      </c>
      <c r="V502" s="7">
        <v>-18.86</v>
      </c>
      <c r="W502" s="7">
        <v>-66.36</v>
      </c>
      <c r="X502" s="7">
        <v>-67.25</v>
      </c>
      <c r="Y502" s="7">
        <v>-14.99</v>
      </c>
      <c r="Z502" s="9">
        <f>MAX($B$502:$Y$502)</f>
        <v>81.47</v>
      </c>
      <c r="AA502" s="9">
        <f>MIN($B$502:$Y$502)</f>
        <v>-67.25</v>
      </c>
      <c r="AB502" s="9">
        <f>AVERAGE($B$502:$Y$502)</f>
        <v>1.93458333333333</v>
      </c>
    </row>
    <row r="503" spans="1:28">
      <c r="A503" s="10">
        <v>45793</v>
      </c>
      <c r="B503" s="7">
        <v>-38.98</v>
      </c>
      <c r="C503" s="7">
        <v>-48.33</v>
      </c>
      <c r="D503" s="7">
        <v>-48.95</v>
      </c>
      <c r="E503" s="7">
        <v>-34.28</v>
      </c>
      <c r="F503" s="7">
        <v>-36.28</v>
      </c>
      <c r="G503" s="7">
        <v>-23.87</v>
      </c>
      <c r="H503" s="7">
        <v>-25.76</v>
      </c>
      <c r="I503" s="7">
        <v>-27.68</v>
      </c>
      <c r="J503" s="7">
        <v>-25.12</v>
      </c>
      <c r="K503" s="7">
        <v>-33.98</v>
      </c>
      <c r="L503" s="7">
        <v>-132.34</v>
      </c>
      <c r="M503" s="7">
        <v>-75.98</v>
      </c>
      <c r="N503" s="7">
        <v>-38.82</v>
      </c>
      <c r="O503" s="7">
        <v>-86.39</v>
      </c>
      <c r="P503" s="7">
        <v>-78.32</v>
      </c>
      <c r="Q503" s="7">
        <v>-15.78</v>
      </c>
      <c r="R503" s="7">
        <v>38.99</v>
      </c>
      <c r="S503" s="7">
        <v>4.32999999999998</v>
      </c>
      <c r="T503" s="7">
        <v>18.32</v>
      </c>
      <c r="U503" s="7">
        <v>130.24</v>
      </c>
      <c r="V503" s="7">
        <v>23.54</v>
      </c>
      <c r="W503" s="7">
        <v>-10.36</v>
      </c>
      <c r="X503" s="7">
        <v>-6.5</v>
      </c>
      <c r="Y503" s="7">
        <v>-23.24</v>
      </c>
      <c r="Z503" s="9">
        <f>MAX($B$503:$Y$503)</f>
        <v>130.24</v>
      </c>
      <c r="AA503" s="9">
        <f>MIN($B$503:$Y$503)</f>
        <v>-132.34</v>
      </c>
      <c r="AB503" s="9">
        <f>AVERAGE($B$503:$Y$503)</f>
        <v>-24.8141666666667</v>
      </c>
    </row>
    <row r="504" spans="1:28">
      <c r="A504" s="10">
        <v>45794</v>
      </c>
      <c r="B504" s="7">
        <v>-10.59</v>
      </c>
      <c r="C504" s="7">
        <v>-6.07000000000005</v>
      </c>
      <c r="D504" s="7">
        <v>1.69999999999999</v>
      </c>
      <c r="E504" s="7">
        <v>5.21000000000004</v>
      </c>
      <c r="F504" s="7">
        <v>1.62</v>
      </c>
      <c r="G504" s="7">
        <v>14.45</v>
      </c>
      <c r="H504" s="7">
        <v>20.37</v>
      </c>
      <c r="I504" s="7">
        <v>4.10000000000002</v>
      </c>
      <c r="J504" s="7">
        <v>-32.8</v>
      </c>
      <c r="K504" s="7">
        <v>-0.75</v>
      </c>
      <c r="L504" s="7">
        <v>-7.69</v>
      </c>
      <c r="M504" s="7">
        <v>8.88</v>
      </c>
      <c r="N504" s="7">
        <v>10.12</v>
      </c>
      <c r="O504" s="7">
        <v>-15.53</v>
      </c>
      <c r="P504" s="7">
        <v>-67.31</v>
      </c>
      <c r="Q504" s="7">
        <v>-66.34</v>
      </c>
      <c r="R504" s="7">
        <v>-53.13</v>
      </c>
      <c r="S504" s="7">
        <v>5.88</v>
      </c>
      <c r="T504" s="7">
        <v>40.98</v>
      </c>
      <c r="U504" s="7">
        <v>114.57</v>
      </c>
      <c r="V504" s="7">
        <v>-10.24</v>
      </c>
      <c r="W504" s="7">
        <v>-0.32000000000005</v>
      </c>
      <c r="X504" s="7">
        <v>8.40000000000003</v>
      </c>
      <c r="Y504" s="7">
        <v>-27.07</v>
      </c>
      <c r="Z504" s="9">
        <f>MAX($B$504:$Y$504)</f>
        <v>114.57</v>
      </c>
      <c r="AA504" s="9">
        <f>MIN($B$504:$Y$504)</f>
        <v>-67.31</v>
      </c>
      <c r="AB504" s="9">
        <f>AVERAGE($B$504:$Y$504)</f>
        <v>-2.565</v>
      </c>
    </row>
    <row r="505" spans="1:28">
      <c r="A505" s="10">
        <v>45795</v>
      </c>
      <c r="B505" s="7">
        <v>-10.81</v>
      </c>
      <c r="C505" s="7">
        <v>-26.44</v>
      </c>
      <c r="D505" s="7">
        <v>-2.68000000000001</v>
      </c>
      <c r="E505" s="7">
        <v>-0.439999999999998</v>
      </c>
      <c r="F505" s="7">
        <v>9.06</v>
      </c>
      <c r="G505" s="7">
        <v>13.8</v>
      </c>
      <c r="H505" s="7">
        <v>8.62</v>
      </c>
      <c r="I505" s="7">
        <v>13.45</v>
      </c>
      <c r="J505" s="7">
        <v>15.53</v>
      </c>
      <c r="K505" s="7">
        <v>26.69</v>
      </c>
      <c r="L505" s="7">
        <v>26.8800000000001</v>
      </c>
      <c r="M505" s="7">
        <v>14.07</v>
      </c>
      <c r="N505" s="7">
        <v>15.51</v>
      </c>
      <c r="O505" s="7">
        <v>-6.08999999999997</v>
      </c>
      <c r="P505" s="7">
        <v>17</v>
      </c>
      <c r="Q505" s="7">
        <v>22.14</v>
      </c>
      <c r="R505" s="7">
        <v>14.88</v>
      </c>
      <c r="S505" s="7">
        <v>8.88</v>
      </c>
      <c r="T505" s="7">
        <v>15.04</v>
      </c>
      <c r="U505" s="7">
        <v>50.36</v>
      </c>
      <c r="V505" s="7">
        <v>-6.41000000000003</v>
      </c>
      <c r="W505" s="7">
        <v>-1.89000000000004</v>
      </c>
      <c r="X505" s="7">
        <v>7.44999999999999</v>
      </c>
      <c r="Y505" s="7">
        <v>4.23000000000002</v>
      </c>
      <c r="Z505" s="9">
        <f>MAX($B$505:$Y$505)</f>
        <v>50.36</v>
      </c>
      <c r="AA505" s="9">
        <f>MIN($B$505:$Y$505)</f>
        <v>-26.44</v>
      </c>
      <c r="AB505" s="9">
        <f>AVERAGE($B$505:$Y$505)</f>
        <v>9.53458333333334</v>
      </c>
    </row>
    <row r="506" spans="1:28">
      <c r="A506" s="10">
        <v>45796</v>
      </c>
      <c r="B506" s="7">
        <v>10.68</v>
      </c>
      <c r="C506" s="7">
        <v>6.88</v>
      </c>
      <c r="D506" s="7">
        <v>9.5</v>
      </c>
      <c r="E506" s="7">
        <v>11.09</v>
      </c>
      <c r="F506" s="7">
        <v>7.96999999999997</v>
      </c>
      <c r="G506" s="7">
        <v>5.94</v>
      </c>
      <c r="H506" s="7">
        <v>1.71000000000004</v>
      </c>
      <c r="I506" s="7">
        <v>-3.18000000000001</v>
      </c>
      <c r="J506" s="7">
        <v>-44.2</v>
      </c>
      <c r="K506" s="7">
        <v>-111.83</v>
      </c>
      <c r="L506" s="7">
        <v>-56.62</v>
      </c>
      <c r="M506" s="7">
        <v>-18.12</v>
      </c>
      <c r="N506" s="7">
        <v>15.42</v>
      </c>
      <c r="O506" s="7">
        <v>-83.54</v>
      </c>
      <c r="P506" s="7">
        <v>-70.99</v>
      </c>
      <c r="Q506" s="7">
        <v>-21.48</v>
      </c>
      <c r="R506" s="7">
        <v>25.56</v>
      </c>
      <c r="S506" s="7">
        <v>28.76</v>
      </c>
      <c r="T506" s="7">
        <v>19.31</v>
      </c>
      <c r="U506" s="7">
        <v>-179.27</v>
      </c>
      <c r="V506" s="7">
        <v>-58.82</v>
      </c>
      <c r="W506" s="7">
        <v>-1.19</v>
      </c>
      <c r="X506" s="7">
        <v>-3.44</v>
      </c>
      <c r="Y506" s="7">
        <v>14.23</v>
      </c>
      <c r="Z506" s="9">
        <f>MAX($B$506:$Y$506)</f>
        <v>28.76</v>
      </c>
      <c r="AA506" s="9">
        <f>MIN($B$506:$Y$506)</f>
        <v>-179.27</v>
      </c>
      <c r="AB506" s="9">
        <f>AVERAGE($B$506:$Y$506)</f>
        <v>-20.65125</v>
      </c>
    </row>
    <row r="507" spans="1:28">
      <c r="A507" s="10">
        <v>45797</v>
      </c>
      <c r="B507" s="7">
        <v>59.07</v>
      </c>
      <c r="C507" s="7">
        <v>30.72</v>
      </c>
      <c r="D507" s="7">
        <v>27.05</v>
      </c>
      <c r="E507" s="7">
        <v>13</v>
      </c>
      <c r="F507" s="7">
        <v>16.45</v>
      </c>
      <c r="G507" s="7">
        <v>14.53</v>
      </c>
      <c r="H507" s="7">
        <v>5.81</v>
      </c>
      <c r="I507" s="7">
        <v>6.18000000000001</v>
      </c>
      <c r="J507" s="7">
        <v>-44.39</v>
      </c>
      <c r="K507" s="7">
        <v>-9.99000000000001</v>
      </c>
      <c r="L507" s="7">
        <v>-10.43</v>
      </c>
      <c r="M507" s="7">
        <v>-46.79</v>
      </c>
      <c r="N507" s="7">
        <v>43.73</v>
      </c>
      <c r="O507" s="7">
        <v>139.39</v>
      </c>
      <c r="P507" s="7">
        <v>156.15</v>
      </c>
      <c r="Q507" s="7">
        <v>234.01</v>
      </c>
      <c r="R507" s="7">
        <v>79.35</v>
      </c>
      <c r="S507" s="7">
        <v>-62.92</v>
      </c>
      <c r="T507" s="7">
        <v>-72.42</v>
      </c>
      <c r="U507" s="7">
        <v>-79.6799999999999</v>
      </c>
      <c r="V507" s="7">
        <v>-79.58</v>
      </c>
      <c r="W507" s="7">
        <v>-72.81</v>
      </c>
      <c r="X507" s="7">
        <v>-65.54</v>
      </c>
      <c r="Y507" s="7">
        <v>-5.45999999999998</v>
      </c>
      <c r="Z507" s="9">
        <f>MAX($B$507:$Y$507)</f>
        <v>234.01</v>
      </c>
      <c r="AA507" s="9">
        <f>MIN($B$507:$Y$507)</f>
        <v>-79.6799999999999</v>
      </c>
      <c r="AB507" s="9">
        <f>AVERAGE($B$507:$Y$507)</f>
        <v>11.47625</v>
      </c>
    </row>
    <row r="508" spans="1:28">
      <c r="A508" s="10">
        <v>45798</v>
      </c>
      <c r="B508" s="7">
        <v>-30.11</v>
      </c>
      <c r="C508" s="7">
        <v>-6.94</v>
      </c>
      <c r="D508" s="7">
        <v>-3.54000000000002</v>
      </c>
      <c r="E508" s="7">
        <v>-1.48000000000002</v>
      </c>
      <c r="F508" s="7">
        <v>-2.73000000000002</v>
      </c>
      <c r="G508" s="7">
        <v>-2.91999999999996</v>
      </c>
      <c r="H508" s="7">
        <v>-7.54000000000002</v>
      </c>
      <c r="I508" s="7">
        <v>3.37</v>
      </c>
      <c r="J508" s="7">
        <v>27.92</v>
      </c>
      <c r="K508" s="7">
        <v>198.68</v>
      </c>
      <c r="L508" s="7">
        <v>216.52</v>
      </c>
      <c r="M508" s="7">
        <v>222.88</v>
      </c>
      <c r="N508" s="7">
        <v>136.86</v>
      </c>
      <c r="O508" s="7">
        <v>30.58</v>
      </c>
      <c r="P508" s="7">
        <v>-14.23</v>
      </c>
      <c r="Q508" s="7">
        <v>-280.33</v>
      </c>
      <c r="R508" s="7">
        <v>-35.78</v>
      </c>
      <c r="S508" s="7">
        <v>27.71</v>
      </c>
      <c r="T508" s="7">
        <v>21.08</v>
      </c>
      <c r="U508" s="7">
        <v>-41.77</v>
      </c>
      <c r="V508" s="7">
        <v>-125.86</v>
      </c>
      <c r="W508" s="7">
        <v>-402.54</v>
      </c>
      <c r="X508" s="7">
        <v>-286.34</v>
      </c>
      <c r="Y508" s="7">
        <v>-16.73</v>
      </c>
      <c r="Z508" s="9">
        <f>MAX($B$508:$Y$508)</f>
        <v>222.88</v>
      </c>
      <c r="AA508" s="9">
        <f>MIN($B$508:$Y$508)</f>
        <v>-402.54</v>
      </c>
      <c r="AB508" s="9">
        <f>AVERAGE($B$508:$Y$508)</f>
        <v>-15.5516666666667</v>
      </c>
    </row>
    <row r="509" spans="1:28">
      <c r="A509" s="10">
        <v>45799</v>
      </c>
      <c r="B509" s="7">
        <v>-405.55</v>
      </c>
      <c r="C509" s="7">
        <v>-157.99</v>
      </c>
      <c r="D509" s="7">
        <v>-59.66</v>
      </c>
      <c r="E509" s="7">
        <v>3.53999999999996</v>
      </c>
      <c r="F509" s="7">
        <v>13.79</v>
      </c>
      <c r="G509" s="7">
        <v>14.88</v>
      </c>
      <c r="H509" s="7">
        <v>6.38999999999999</v>
      </c>
      <c r="I509" s="7">
        <v>12.39</v>
      </c>
      <c r="J509" s="7">
        <v>29.4400000000001</v>
      </c>
      <c r="K509" s="7">
        <v>55.42</v>
      </c>
      <c r="L509" s="7">
        <v>60.26</v>
      </c>
      <c r="M509" s="7">
        <v>102.32</v>
      </c>
      <c r="N509" s="7">
        <v>190.34</v>
      </c>
      <c r="O509" s="7">
        <v>25.96</v>
      </c>
      <c r="P509" s="7">
        <v>405.87</v>
      </c>
      <c r="Q509" s="7">
        <v>-4.17000000000002</v>
      </c>
      <c r="R509" s="7">
        <v>-48.77</v>
      </c>
      <c r="S509" s="7">
        <v>-32.57</v>
      </c>
      <c r="T509" s="7">
        <v>33.01</v>
      </c>
      <c r="U509" s="7">
        <v>38.09</v>
      </c>
      <c r="V509" s="7">
        <v>-20.54</v>
      </c>
      <c r="W509" s="7">
        <v>8.85000000000002</v>
      </c>
      <c r="X509" s="7">
        <v>-4.73000000000002</v>
      </c>
      <c r="Y509" s="7">
        <v>10.37</v>
      </c>
      <c r="Z509" s="9">
        <f>MAX($B$509:$Y$509)</f>
        <v>405.87</v>
      </c>
      <c r="AA509" s="9">
        <f>MIN($B$509:$Y$509)</f>
        <v>-405.55</v>
      </c>
      <c r="AB509" s="9">
        <f>AVERAGE($B$509:$Y$509)</f>
        <v>11.5391666666667</v>
      </c>
    </row>
    <row r="510" spans="1:28">
      <c r="A510" s="10">
        <v>45800</v>
      </c>
      <c r="B510" s="7">
        <v>-95.55</v>
      </c>
      <c r="C510" s="7">
        <v>-64</v>
      </c>
      <c r="D510" s="7">
        <v>-113.69</v>
      </c>
      <c r="E510" s="7">
        <v>-25.09</v>
      </c>
      <c r="F510" s="7">
        <v>-10.24</v>
      </c>
      <c r="G510" s="7">
        <v>-15.15</v>
      </c>
      <c r="H510" s="7">
        <v>-14.14</v>
      </c>
      <c r="I510" s="7">
        <v>-1.76999999999998</v>
      </c>
      <c r="J510" s="7">
        <v>-8.79000000000002</v>
      </c>
      <c r="K510" s="7">
        <v>5.24000000000001</v>
      </c>
      <c r="L510" s="7">
        <v>12.3</v>
      </c>
      <c r="M510" s="7">
        <v>-58.8</v>
      </c>
      <c r="N510" s="7">
        <v>-6.94999999999999</v>
      </c>
      <c r="O510" s="7">
        <v>59.19</v>
      </c>
      <c r="P510" s="7">
        <v>135.1</v>
      </c>
      <c r="Q510" s="7">
        <v>63.47</v>
      </c>
      <c r="R510" s="7">
        <v>35.42</v>
      </c>
      <c r="S510" s="7">
        <v>35.24</v>
      </c>
      <c r="T510" s="7">
        <v>31.77</v>
      </c>
      <c r="U510" s="7">
        <v>94.12</v>
      </c>
      <c r="V510" s="7">
        <v>72.61</v>
      </c>
      <c r="W510" s="7">
        <v>73.84</v>
      </c>
      <c r="X510" s="7">
        <v>48.96</v>
      </c>
      <c r="Y510" s="7">
        <v>16.53</v>
      </c>
      <c r="Z510" s="9">
        <f>MAX($B$510:$Y$510)</f>
        <v>135.1</v>
      </c>
      <c r="AA510" s="9">
        <f>MIN($B$510:$Y$510)</f>
        <v>-113.69</v>
      </c>
      <c r="AB510" s="9">
        <f>AVERAGE($B$510:$Y$510)</f>
        <v>11.2341666666667</v>
      </c>
    </row>
    <row r="511" spans="1:28">
      <c r="A511" s="10">
        <v>45801</v>
      </c>
      <c r="B511" s="7">
        <v>83.48</v>
      </c>
      <c r="C511" s="7">
        <v>62.8</v>
      </c>
      <c r="D511" s="7">
        <v>92.99</v>
      </c>
      <c r="E511" s="7">
        <v>58.48</v>
      </c>
      <c r="F511" s="7">
        <v>44.88</v>
      </c>
      <c r="G511" s="7">
        <v>39.88</v>
      </c>
      <c r="H511" s="7">
        <v>29.54</v>
      </c>
      <c r="I511" s="7">
        <v>31.58</v>
      </c>
      <c r="J511" s="7">
        <v>27.31</v>
      </c>
      <c r="K511" s="7">
        <v>52.11</v>
      </c>
      <c r="L511" s="7">
        <v>56.3200000000001</v>
      </c>
      <c r="M511" s="7">
        <v>104.98</v>
      </c>
      <c r="N511" s="7">
        <v>37.07</v>
      </c>
      <c r="O511" s="7">
        <v>82.21</v>
      </c>
      <c r="P511" s="7">
        <v>70.48</v>
      </c>
      <c r="Q511" s="7">
        <v>83.12</v>
      </c>
      <c r="R511" s="7">
        <v>109.35</v>
      </c>
      <c r="S511" s="7">
        <v>104.27</v>
      </c>
      <c r="T511" s="7">
        <v>48.42</v>
      </c>
      <c r="U511" s="7">
        <v>112.7</v>
      </c>
      <c r="V511" s="7">
        <v>86.88</v>
      </c>
      <c r="W511" s="7">
        <v>92.19</v>
      </c>
      <c r="X511" s="7">
        <v>172.04</v>
      </c>
      <c r="Y511" s="7">
        <v>28.95</v>
      </c>
      <c r="Z511" s="9">
        <f>MAX($B$511:$Y$511)</f>
        <v>172.04</v>
      </c>
      <c r="AA511" s="9">
        <f>MIN($B$511:$Y$511)</f>
        <v>27.31</v>
      </c>
      <c r="AB511" s="9">
        <f>AVERAGE($B$511:$Y$511)</f>
        <v>71.3345833333334</v>
      </c>
    </row>
    <row r="512" spans="1:28">
      <c r="A512" s="10">
        <v>45802</v>
      </c>
      <c r="B512" s="7">
        <v>37.5</v>
      </c>
      <c r="C512" s="7">
        <v>25.36</v>
      </c>
      <c r="D512" s="7">
        <v>29.3</v>
      </c>
      <c r="E512" s="7">
        <v>35.13</v>
      </c>
      <c r="F512" s="7">
        <v>23.27</v>
      </c>
      <c r="G512" s="7">
        <v>10.36</v>
      </c>
      <c r="H512" s="7">
        <v>27.01</v>
      </c>
      <c r="I512" s="7">
        <v>134.86</v>
      </c>
      <c r="J512" s="7">
        <v>124.69</v>
      </c>
      <c r="K512" s="7">
        <v>85.05</v>
      </c>
      <c r="L512" s="7">
        <v>178.95</v>
      </c>
      <c r="M512" s="7">
        <v>138.28</v>
      </c>
      <c r="N512" s="7">
        <v>110.28</v>
      </c>
      <c r="O512" s="7">
        <v>39.72</v>
      </c>
      <c r="P512" s="7">
        <v>119.11</v>
      </c>
      <c r="Q512" s="7">
        <v>78.41</v>
      </c>
      <c r="R512" s="7">
        <v>136.02</v>
      </c>
      <c r="S512" s="7">
        <v>71.38</v>
      </c>
      <c r="T512" s="7">
        <v>88.94</v>
      </c>
      <c r="U512" s="7">
        <v>29.51</v>
      </c>
      <c r="V512" s="7">
        <v>25.74</v>
      </c>
      <c r="W512" s="7">
        <v>25.37</v>
      </c>
      <c r="X512" s="7">
        <v>31</v>
      </c>
      <c r="Y512" s="7">
        <v>40.76</v>
      </c>
      <c r="Z512" s="9">
        <f>MAX($B$512:$Y$512)</f>
        <v>178.95</v>
      </c>
      <c r="AA512" s="9">
        <f>MIN($B$512:$Y$512)</f>
        <v>10.36</v>
      </c>
      <c r="AB512" s="9">
        <f>AVERAGE($B$512:$Y$512)</f>
        <v>68.5833333333333</v>
      </c>
    </row>
    <row r="513" spans="1:28">
      <c r="A513" s="10">
        <v>45803</v>
      </c>
      <c r="B513" s="7">
        <v>-37.93</v>
      </c>
      <c r="C513" s="7">
        <v>101.39</v>
      </c>
      <c r="D513" s="7">
        <v>45.42</v>
      </c>
      <c r="E513" s="7">
        <v>19.28</v>
      </c>
      <c r="F513" s="7">
        <v>69.24</v>
      </c>
      <c r="G513" s="7">
        <v>9.84</v>
      </c>
      <c r="H513" s="7">
        <v>6.37</v>
      </c>
      <c r="I513" s="7">
        <v>8.79999999999998</v>
      </c>
      <c r="J513" s="7">
        <v>20.46</v>
      </c>
      <c r="K513" s="7">
        <v>43.88</v>
      </c>
      <c r="L513" s="7">
        <v>64.09</v>
      </c>
      <c r="M513" s="7">
        <v>14.46</v>
      </c>
      <c r="N513" s="7">
        <v>72.67</v>
      </c>
      <c r="O513" s="7">
        <v>19.43</v>
      </c>
      <c r="P513" s="7">
        <v>18.7</v>
      </c>
      <c r="Q513" s="7">
        <v>52.78</v>
      </c>
      <c r="R513" s="7">
        <v>23.92</v>
      </c>
      <c r="S513" s="7">
        <v>18.4299999999999</v>
      </c>
      <c r="T513" s="7">
        <v>22.05</v>
      </c>
      <c r="U513" s="7">
        <v>12.96</v>
      </c>
      <c r="V513" s="7">
        <v>16.41</v>
      </c>
      <c r="W513" s="7">
        <v>12.03</v>
      </c>
      <c r="X513" s="7">
        <v>6.59999999999997</v>
      </c>
      <c r="Y513" s="7">
        <v>11.32</v>
      </c>
      <c r="Z513" s="9">
        <f>MAX($B$513:$Y$513)</f>
        <v>101.39</v>
      </c>
      <c r="AA513" s="9">
        <f>MIN($B$513:$Y$513)</f>
        <v>-37.93</v>
      </c>
      <c r="AB513" s="9">
        <f>AVERAGE($B$513:$Y$513)</f>
        <v>27.1916666666667</v>
      </c>
    </row>
    <row r="514" spans="1:28">
      <c r="A514" s="10">
        <v>45804</v>
      </c>
      <c r="B514" s="7">
        <v>7.36000000000001</v>
      </c>
      <c r="C514" s="7">
        <v>13.64</v>
      </c>
      <c r="D514" s="7">
        <v>12.48</v>
      </c>
      <c r="E514" s="7">
        <v>18.16</v>
      </c>
      <c r="F514" s="7">
        <v>16.47</v>
      </c>
      <c r="G514" s="7">
        <v>54.75</v>
      </c>
      <c r="H514" s="7">
        <v>25.54</v>
      </c>
      <c r="I514" s="7">
        <v>89.34</v>
      </c>
      <c r="J514" s="7">
        <v>25.44</v>
      </c>
      <c r="K514" s="7">
        <v>72.45</v>
      </c>
      <c r="L514" s="7">
        <v>110.95</v>
      </c>
      <c r="M514" s="7">
        <v>-78.49</v>
      </c>
      <c r="N514" s="7">
        <v>72.92</v>
      </c>
      <c r="O514" s="7">
        <v>14.38</v>
      </c>
      <c r="P514" s="7">
        <v>22.26</v>
      </c>
      <c r="Q514" s="7">
        <v>12.64</v>
      </c>
      <c r="R514" s="7">
        <v>-2.00999999999999</v>
      </c>
      <c r="S514" s="7">
        <v>0.490000000000009</v>
      </c>
      <c r="T514" s="7">
        <v>-30.39</v>
      </c>
      <c r="U514" s="7">
        <v>-10</v>
      </c>
      <c r="V514" s="7">
        <v>-16.61</v>
      </c>
      <c r="W514" s="7">
        <v>2.94</v>
      </c>
      <c r="X514" s="7">
        <v>11.73</v>
      </c>
      <c r="Y514" s="7">
        <v>11.33</v>
      </c>
      <c r="Z514" s="9">
        <f>MAX($B$514:$Y$514)</f>
        <v>110.95</v>
      </c>
      <c r="AA514" s="9">
        <f>MIN($B$514:$Y$514)</f>
        <v>-78.49</v>
      </c>
      <c r="AB514" s="9">
        <f>AVERAGE($B$514:$Y$514)</f>
        <v>19.07375</v>
      </c>
    </row>
    <row r="515" spans="1:28">
      <c r="A515" s="10">
        <v>45805</v>
      </c>
      <c r="B515" s="7">
        <v>8.17000000000002</v>
      </c>
      <c r="C515" s="7">
        <v>-7.15999999999997</v>
      </c>
      <c r="D515" s="7">
        <v>-4.42000000000002</v>
      </c>
      <c r="E515" s="7">
        <v>3.75999999999999</v>
      </c>
      <c r="F515" s="7">
        <v>-1.66999999999996</v>
      </c>
      <c r="G515" s="7">
        <v>1.09999999999997</v>
      </c>
      <c r="H515" s="7">
        <v>-2.75999999999999</v>
      </c>
      <c r="I515" s="7">
        <v>-10.36</v>
      </c>
      <c r="J515" s="7">
        <v>-26.19</v>
      </c>
      <c r="K515" s="7">
        <v>-1.91000000000003</v>
      </c>
      <c r="L515" s="7">
        <v>-18.13</v>
      </c>
      <c r="M515" s="7">
        <v>-77.74</v>
      </c>
      <c r="N515" s="7">
        <v>-5.29000000000002</v>
      </c>
      <c r="O515" s="7">
        <v>-26.84</v>
      </c>
      <c r="P515" s="7">
        <v>-50.95</v>
      </c>
      <c r="Q515" s="7">
        <v>-32.07</v>
      </c>
      <c r="R515" s="7">
        <v>-14.8</v>
      </c>
      <c r="S515" s="7">
        <v>-147.23</v>
      </c>
      <c r="T515" s="7">
        <v>-16.84</v>
      </c>
      <c r="U515" s="7">
        <v>-58.15</v>
      </c>
      <c r="V515" s="7">
        <v>-47.02</v>
      </c>
      <c r="W515" s="7">
        <v>-9.38</v>
      </c>
      <c r="X515" s="7">
        <v>-2.53999999999996</v>
      </c>
      <c r="Y515" s="7">
        <v>-7.16999999999996</v>
      </c>
      <c r="Z515" s="9">
        <f>MAX($B$515:$Y$515)</f>
        <v>8.17000000000002</v>
      </c>
      <c r="AA515" s="9">
        <f>MIN($B$515:$Y$515)</f>
        <v>-147.23</v>
      </c>
      <c r="AB515" s="9">
        <f>AVERAGE($B$515:$Y$515)</f>
        <v>-23.1495833333333</v>
      </c>
    </row>
    <row r="516" spans="1:28">
      <c r="A516" s="10">
        <v>45806</v>
      </c>
      <c r="B516" s="7">
        <v>-27.25</v>
      </c>
      <c r="C516" s="7">
        <v>0.879999999999995</v>
      </c>
      <c r="D516" s="7">
        <v>0.169999999999959</v>
      </c>
      <c r="E516" s="7">
        <v>1.60999999999996</v>
      </c>
      <c r="F516" s="7">
        <v>-2.26999999999998</v>
      </c>
      <c r="G516" s="7">
        <v>3.66999999999996</v>
      </c>
      <c r="H516" s="7">
        <v>-12.31</v>
      </c>
      <c r="I516" s="7">
        <v>-22.2</v>
      </c>
      <c r="J516" s="7">
        <v>-100.64</v>
      </c>
      <c r="K516" s="7">
        <v>-202.16</v>
      </c>
      <c r="L516" s="7">
        <v>-66.03</v>
      </c>
      <c r="M516" s="7">
        <v>-362.94</v>
      </c>
      <c r="N516" s="7">
        <v>-11.47</v>
      </c>
      <c r="O516" s="7">
        <v>-51.24</v>
      </c>
      <c r="P516" s="7">
        <v>-16.53</v>
      </c>
      <c r="Q516" s="7">
        <v>29.11</v>
      </c>
      <c r="R516" s="7">
        <v>-73.26</v>
      </c>
      <c r="S516" s="7">
        <v>-46.58</v>
      </c>
      <c r="T516" s="7">
        <v>-44.31</v>
      </c>
      <c r="U516" s="7">
        <v>-60.32</v>
      </c>
      <c r="V516" s="7">
        <v>-51.73</v>
      </c>
      <c r="W516" s="7">
        <v>-9.19999999999999</v>
      </c>
      <c r="X516" s="7">
        <v>10.78</v>
      </c>
      <c r="Y516" s="7">
        <v>103.25</v>
      </c>
      <c r="Z516" s="9">
        <f>MAX($B$516:$Y$516)</f>
        <v>103.25</v>
      </c>
      <c r="AA516" s="9">
        <f>MIN($B$516:$Y$516)</f>
        <v>-362.94</v>
      </c>
      <c r="AB516" s="9">
        <f>AVERAGE($B$516:$Y$516)</f>
        <v>-42.12375</v>
      </c>
    </row>
    <row r="517" spans="1:28">
      <c r="A517" s="10">
        <v>45807</v>
      </c>
      <c r="B517" s="7">
        <v>37.97</v>
      </c>
      <c r="C517" s="7">
        <v>28.48</v>
      </c>
      <c r="D517" s="7">
        <v>35.45</v>
      </c>
      <c r="E517" s="7">
        <v>41.21</v>
      </c>
      <c r="F517" s="7">
        <v>91.99</v>
      </c>
      <c r="G517" s="7">
        <v>75.19</v>
      </c>
      <c r="H517" s="7">
        <v>43.85</v>
      </c>
      <c r="I517" s="7">
        <v>156.21</v>
      </c>
      <c r="J517" s="7">
        <v>61.86</v>
      </c>
      <c r="K517" s="7">
        <v>133.5</v>
      </c>
      <c r="L517" s="7">
        <v>177.26</v>
      </c>
      <c r="M517" s="7">
        <v>103.8</v>
      </c>
      <c r="N517" s="7">
        <v>185.45</v>
      </c>
      <c r="O517" s="7">
        <v>80.13</v>
      </c>
      <c r="P517" s="7">
        <v>122.25</v>
      </c>
      <c r="Q517" s="7">
        <v>133.59</v>
      </c>
      <c r="R517" s="7">
        <v>169.32</v>
      </c>
      <c r="S517" s="7">
        <v>222.08</v>
      </c>
      <c r="T517" s="7">
        <v>174.75</v>
      </c>
      <c r="U517" s="7">
        <v>217.53</v>
      </c>
      <c r="V517" s="7">
        <v>131.24</v>
      </c>
      <c r="W517" s="7">
        <v>151.3</v>
      </c>
      <c r="X517" s="7">
        <v>126.87</v>
      </c>
      <c r="Y517" s="7">
        <v>211.72</v>
      </c>
      <c r="Z517" s="9">
        <f>MAX($B$517:$Y$517)</f>
        <v>222.08</v>
      </c>
      <c r="AA517" s="9">
        <f>MIN($B$517:$Y$517)</f>
        <v>28.48</v>
      </c>
      <c r="AB517" s="9">
        <f>AVERAGE($B$517:$Y$517)</f>
        <v>121.375</v>
      </c>
    </row>
    <row r="518" spans="1:28">
      <c r="A518" s="10">
        <v>45808</v>
      </c>
      <c r="B518" s="7">
        <v>179.46</v>
      </c>
      <c r="C518" s="7">
        <v>54.6</v>
      </c>
      <c r="D518" s="7">
        <v>37.82</v>
      </c>
      <c r="E518" s="7">
        <v>14.06</v>
      </c>
      <c r="F518" s="7">
        <v>71.73</v>
      </c>
      <c r="G518" s="7">
        <v>172.45</v>
      </c>
      <c r="H518" s="7">
        <v>108.56</v>
      </c>
      <c r="I518" s="7">
        <v>-15.53</v>
      </c>
      <c r="J518" s="7">
        <v>0</v>
      </c>
      <c r="K518" s="7">
        <v>0</v>
      </c>
      <c r="L518" s="7">
        <v>-1.55</v>
      </c>
      <c r="M518" s="7">
        <v>-4.39</v>
      </c>
      <c r="N518" s="7">
        <v>-111.65</v>
      </c>
      <c r="O518" s="7">
        <v>-155.77</v>
      </c>
      <c r="P518" s="7">
        <v>-1.98</v>
      </c>
      <c r="Q518" s="7">
        <v>-54.98</v>
      </c>
      <c r="R518" s="7">
        <v>-2.93</v>
      </c>
      <c r="S518" s="7">
        <v>-22.3</v>
      </c>
      <c r="T518" s="7">
        <v>-8.17</v>
      </c>
      <c r="U518" s="7">
        <v>193.93</v>
      </c>
      <c r="V518" s="7">
        <v>188.85</v>
      </c>
      <c r="W518" s="7">
        <v>-61.02</v>
      </c>
      <c r="X518" s="7">
        <v>9.81999999999999</v>
      </c>
      <c r="Y518" s="7">
        <v>137.66</v>
      </c>
      <c r="Z518" s="9">
        <f>MAX($B$518:$Y$518)</f>
        <v>193.93</v>
      </c>
      <c r="AA518" s="9">
        <f>MIN($B$518:$Y$518)</f>
        <v>-155.77</v>
      </c>
      <c r="AB518" s="9">
        <f>AVERAGE($B$518:$Y$518)</f>
        <v>30.36125</v>
      </c>
    </row>
    <row r="519" spans="1:28">
      <c r="A519" s="10">
        <v>45809</v>
      </c>
      <c r="B519" s="7">
        <v>94.04</v>
      </c>
      <c r="C519" s="7">
        <v>104.98</v>
      </c>
      <c r="D519" s="7">
        <v>-17.5</v>
      </c>
      <c r="E519" s="7">
        <v>66.25</v>
      </c>
      <c r="F519" s="7">
        <v>63.75</v>
      </c>
      <c r="G519" s="7">
        <v>35</v>
      </c>
      <c r="H519" s="7">
        <v>56.3</v>
      </c>
      <c r="I519" s="7">
        <v>106.38</v>
      </c>
      <c r="J519" s="7">
        <v>76.25</v>
      </c>
      <c r="K519" s="7">
        <v>205.84</v>
      </c>
      <c r="L519" s="7">
        <v>72.5</v>
      </c>
      <c r="M519" s="7">
        <v>50.26</v>
      </c>
      <c r="N519" s="7">
        <v>-145.6</v>
      </c>
      <c r="O519" s="7">
        <v>-334.84</v>
      </c>
      <c r="P519" s="7">
        <v>96.68</v>
      </c>
      <c r="Q519" s="7">
        <v>-41.69</v>
      </c>
      <c r="R519" s="7">
        <v>-24</v>
      </c>
      <c r="S519" s="7">
        <v>-78.59</v>
      </c>
      <c r="T519" s="7">
        <v>3.28999999999999</v>
      </c>
      <c r="U519" s="7">
        <v>-69.33</v>
      </c>
      <c r="V519" s="7">
        <v>-93.13</v>
      </c>
      <c r="W519" s="7">
        <v>-118.52</v>
      </c>
      <c r="X519" s="7">
        <v>-87.34</v>
      </c>
      <c r="Y519" s="7">
        <v>-39.83</v>
      </c>
      <c r="Z519" s="9">
        <f>MAX($B$519:$Y$519)</f>
        <v>205.84</v>
      </c>
      <c r="AA519" s="9">
        <f>MIN($B$519:$Y$519)</f>
        <v>-334.84</v>
      </c>
      <c r="AB519" s="9">
        <f>AVERAGE($B$519:$Y$519)</f>
        <v>-0.785416666666663</v>
      </c>
    </row>
    <row r="520" spans="1:28">
      <c r="A520" s="10">
        <v>45810</v>
      </c>
      <c r="B520" s="7">
        <v>-206.95</v>
      </c>
      <c r="C520" s="7">
        <v>-68.89</v>
      </c>
      <c r="D520" s="7">
        <v>-70.06</v>
      </c>
      <c r="E520" s="7">
        <v>-62.87</v>
      </c>
      <c r="F520" s="7">
        <v>-62.27</v>
      </c>
      <c r="G520" s="7">
        <v>-62.54</v>
      </c>
      <c r="H520" s="7">
        <v>-81.38</v>
      </c>
      <c r="I520" s="7">
        <v>-71.16</v>
      </c>
      <c r="J520" s="7">
        <v>-91.72</v>
      </c>
      <c r="K520" s="7">
        <v>-617.54</v>
      </c>
      <c r="L520" s="7">
        <v>-174.37</v>
      </c>
      <c r="M520" s="7">
        <v>-333.11</v>
      </c>
      <c r="N520" s="7">
        <v>-49.17</v>
      </c>
      <c r="O520" s="7">
        <v>-293.43</v>
      </c>
      <c r="P520" s="7">
        <v>-405.57</v>
      </c>
      <c r="Q520" s="7">
        <v>-719.86</v>
      </c>
      <c r="R520" s="7">
        <v>-768.07</v>
      </c>
      <c r="S520" s="7">
        <v>-458.75</v>
      </c>
      <c r="T520" s="7">
        <v>-323.09</v>
      </c>
      <c r="U520" s="7">
        <v>-828.16</v>
      </c>
      <c r="V520" s="7">
        <v>-870.77</v>
      </c>
      <c r="W520" s="7">
        <v>-520.75</v>
      </c>
      <c r="X520" s="7">
        <v>-375.06</v>
      </c>
      <c r="Y520" s="7">
        <v>12.06</v>
      </c>
      <c r="Z520" s="9">
        <f>MAX($B$520:$Y$520)</f>
        <v>12.06</v>
      </c>
      <c r="AA520" s="9">
        <f>MIN($B$520:$Y$520)</f>
        <v>-870.77</v>
      </c>
      <c r="AB520" s="9">
        <f>AVERAGE($B$520:$Y$520)</f>
        <v>-312.645</v>
      </c>
    </row>
    <row r="521" spans="1:28">
      <c r="A521" s="10">
        <v>45811</v>
      </c>
      <c r="B521" s="7">
        <v>218.67</v>
      </c>
      <c r="C521" s="7">
        <v>142.89</v>
      </c>
      <c r="D521" s="7">
        <v>94.84</v>
      </c>
      <c r="E521" s="7">
        <v>-1.30000000000001</v>
      </c>
      <c r="F521" s="7">
        <v>10.54</v>
      </c>
      <c r="G521" s="7">
        <v>27.34</v>
      </c>
      <c r="H521" s="7">
        <v>30.2</v>
      </c>
      <c r="I521" s="7">
        <v>25.37</v>
      </c>
      <c r="J521" s="7">
        <v>-12.85</v>
      </c>
      <c r="K521" s="7">
        <v>66.9</v>
      </c>
      <c r="L521" s="7">
        <v>122.66</v>
      </c>
      <c r="M521" s="7">
        <v>172.63</v>
      </c>
      <c r="N521" s="7">
        <v>122.41</v>
      </c>
      <c r="O521" s="7">
        <v>136.88</v>
      </c>
      <c r="P521" s="7">
        <v>98.04</v>
      </c>
      <c r="Q521" s="7">
        <v>72.41</v>
      </c>
      <c r="R521" s="7">
        <v>73.7</v>
      </c>
      <c r="S521" s="7">
        <v>79.8</v>
      </c>
      <c r="T521" s="7">
        <v>35.79</v>
      </c>
      <c r="U521" s="7">
        <v>40.65</v>
      </c>
      <c r="V521" s="7">
        <v>30.01</v>
      </c>
      <c r="W521" s="7">
        <v>39.97</v>
      </c>
      <c r="X521" s="7">
        <v>85.58</v>
      </c>
      <c r="Y521" s="7">
        <v>47.37</v>
      </c>
      <c r="Z521" s="9">
        <f>MAX($B$521:$Y$521)</f>
        <v>218.67</v>
      </c>
      <c r="AA521" s="9">
        <f>MIN($B$521:$Y$521)</f>
        <v>-12.85</v>
      </c>
      <c r="AB521" s="9">
        <f>AVERAGE($B$521:$Y$521)</f>
        <v>73.3541666666667</v>
      </c>
    </row>
    <row r="522" spans="1:28">
      <c r="A522" s="10">
        <v>45812</v>
      </c>
      <c r="B522" s="7">
        <v>12.01</v>
      </c>
      <c r="C522" s="7">
        <v>29.28</v>
      </c>
      <c r="D522" s="7">
        <v>36.9</v>
      </c>
      <c r="E522" s="7">
        <v>27.64</v>
      </c>
      <c r="F522" s="7">
        <v>21.21</v>
      </c>
      <c r="G522" s="7">
        <v>20.3</v>
      </c>
      <c r="H522" s="7">
        <v>25.46</v>
      </c>
      <c r="I522" s="7">
        <v>15.45</v>
      </c>
      <c r="J522" s="7">
        <v>-0.00999999999999091</v>
      </c>
      <c r="K522" s="7">
        <v>107.87</v>
      </c>
      <c r="L522" s="7">
        <v>137.52</v>
      </c>
      <c r="M522" s="7">
        <v>124.3</v>
      </c>
      <c r="N522" s="7">
        <v>23.2</v>
      </c>
      <c r="O522" s="7">
        <v>37.53</v>
      </c>
      <c r="P522" s="7">
        <v>89.23</v>
      </c>
      <c r="Q522" s="7">
        <v>53.69</v>
      </c>
      <c r="R522" s="7">
        <v>63.67</v>
      </c>
      <c r="S522" s="7">
        <v>105.23</v>
      </c>
      <c r="T522" s="7">
        <v>65.54</v>
      </c>
      <c r="U522" s="7">
        <v>94.29</v>
      </c>
      <c r="V522" s="7">
        <v>67.46</v>
      </c>
      <c r="W522" s="7">
        <v>58.06</v>
      </c>
      <c r="X522" s="7">
        <v>35.92</v>
      </c>
      <c r="Y522" s="7">
        <v>31.86</v>
      </c>
      <c r="Z522" s="9">
        <f>MAX($B$522:$Y$522)</f>
        <v>137.52</v>
      </c>
      <c r="AA522" s="9">
        <f>MIN($B$522:$Y$522)</f>
        <v>-0.00999999999999091</v>
      </c>
      <c r="AB522" s="9">
        <f>AVERAGE($B$522:$Y$522)</f>
        <v>53.48375</v>
      </c>
    </row>
    <row r="523" spans="1:28">
      <c r="A523" s="10">
        <v>45813</v>
      </c>
      <c r="B523" s="7">
        <v>6.32999999999998</v>
      </c>
      <c r="C523" s="7">
        <v>6.44</v>
      </c>
      <c r="D523" s="7">
        <v>5.25999999999999</v>
      </c>
      <c r="E523" s="7">
        <v>9.49000000000001</v>
      </c>
      <c r="F523" s="7">
        <v>7.52000000000001</v>
      </c>
      <c r="G523" s="7">
        <v>11.95</v>
      </c>
      <c r="H523" s="7">
        <v>3.67999999999998</v>
      </c>
      <c r="I523" s="7">
        <v>-4.65000000000001</v>
      </c>
      <c r="J523" s="7">
        <v>-11.64</v>
      </c>
      <c r="K523" s="7">
        <v>26.9</v>
      </c>
      <c r="L523" s="7">
        <v>102.7</v>
      </c>
      <c r="M523" s="7">
        <v>41.17</v>
      </c>
      <c r="N523" s="7">
        <v>137.63</v>
      </c>
      <c r="O523" s="7">
        <v>23.75</v>
      </c>
      <c r="P523" s="7">
        <v>130.62</v>
      </c>
      <c r="Q523" s="7">
        <v>28.26</v>
      </c>
      <c r="R523" s="7">
        <v>22.28</v>
      </c>
      <c r="S523" s="7">
        <v>22.6799999999999</v>
      </c>
      <c r="T523" s="7">
        <v>32.38</v>
      </c>
      <c r="U523" s="7">
        <v>39.54</v>
      </c>
      <c r="V523" s="7">
        <v>23.71</v>
      </c>
      <c r="W523" s="7">
        <v>13.38</v>
      </c>
      <c r="X523" s="7">
        <v>4.72999999999996</v>
      </c>
      <c r="Y523" s="7">
        <v>3.88000000000005</v>
      </c>
      <c r="Z523" s="9">
        <f>MAX($B$523:$Y$523)</f>
        <v>137.63</v>
      </c>
      <c r="AA523" s="9">
        <f>MIN($B$523:$Y$523)</f>
        <v>-11.64</v>
      </c>
      <c r="AB523" s="9">
        <f>AVERAGE($B$523:$Y$523)</f>
        <v>28.66625</v>
      </c>
    </row>
    <row r="524" spans="1:28">
      <c r="A524" s="10">
        <v>45814</v>
      </c>
      <c r="B524" s="7">
        <v>-1.55000000000001</v>
      </c>
      <c r="C524" s="7">
        <v>1.94</v>
      </c>
      <c r="D524" s="7">
        <v>0.110000000000014</v>
      </c>
      <c r="E524" s="7">
        <v>3.13999999999999</v>
      </c>
      <c r="F524" s="7">
        <v>7.33000000000001</v>
      </c>
      <c r="G524" s="7">
        <v>0.990000000000009</v>
      </c>
      <c r="H524" s="7">
        <v>3.31</v>
      </c>
      <c r="I524" s="7">
        <v>-3.13</v>
      </c>
      <c r="J524" s="7">
        <v>6.83000000000004</v>
      </c>
      <c r="K524" s="7">
        <v>49.29</v>
      </c>
      <c r="L524" s="7">
        <v>36.27</v>
      </c>
      <c r="M524" s="7">
        <v>6.31</v>
      </c>
      <c r="N524" s="7">
        <v>47.41</v>
      </c>
      <c r="O524" s="7">
        <v>-0.230000000000018</v>
      </c>
      <c r="P524" s="7">
        <v>8</v>
      </c>
      <c r="Q524" s="7">
        <v>-9.02000000000004</v>
      </c>
      <c r="R524" s="7">
        <v>-14.37</v>
      </c>
      <c r="S524" s="7">
        <v>-38.26</v>
      </c>
      <c r="T524" s="7">
        <v>-6.46999999999997</v>
      </c>
      <c r="U524" s="7">
        <v>-144.16</v>
      </c>
      <c r="V524" s="7">
        <v>-194.84</v>
      </c>
      <c r="W524" s="7">
        <v>-50.62</v>
      </c>
      <c r="X524" s="7">
        <v>-18.55</v>
      </c>
      <c r="Y524" s="7">
        <v>-8.91000000000002</v>
      </c>
      <c r="Z524" s="9">
        <f>MAX($B$524:$Y$524)</f>
        <v>49.29</v>
      </c>
      <c r="AA524" s="9">
        <f>MIN($B$524:$Y$524)</f>
        <v>-194.84</v>
      </c>
      <c r="AB524" s="9">
        <f>AVERAGE($B$524:$Y$524)</f>
        <v>-13.2991666666667</v>
      </c>
    </row>
    <row r="525" spans="1:28">
      <c r="A525" s="10">
        <v>45815</v>
      </c>
      <c r="B525" s="7">
        <v>-104.61</v>
      </c>
      <c r="C525" s="7">
        <v>-19.31</v>
      </c>
      <c r="D525" s="7">
        <v>-11.69</v>
      </c>
      <c r="E525" s="7">
        <v>-12.61</v>
      </c>
      <c r="F525" s="7">
        <v>-6.78999999999996</v>
      </c>
      <c r="G525" s="7">
        <v>-4.11000000000001</v>
      </c>
      <c r="H525" s="7">
        <v>-8.71000000000004</v>
      </c>
      <c r="I525" s="7">
        <v>-2.51999999999998</v>
      </c>
      <c r="J525" s="7">
        <v>22.64</v>
      </c>
      <c r="K525" s="7">
        <v>34.83</v>
      </c>
      <c r="L525" s="7">
        <v>47.49</v>
      </c>
      <c r="M525" s="7">
        <v>25.78</v>
      </c>
      <c r="N525" s="7">
        <v>83.54</v>
      </c>
      <c r="O525" s="7">
        <v>-78.66</v>
      </c>
      <c r="P525" s="7">
        <v>-25.1</v>
      </c>
      <c r="Q525" s="7">
        <v>22.77</v>
      </c>
      <c r="R525" s="7">
        <v>-226.95</v>
      </c>
      <c r="S525" s="7">
        <v>-174.75</v>
      </c>
      <c r="T525" s="7">
        <v>-248.82</v>
      </c>
      <c r="U525" s="7">
        <v>-250.69</v>
      </c>
      <c r="V525" s="7">
        <v>-255.51</v>
      </c>
      <c r="W525" s="7">
        <v>-443.51</v>
      </c>
      <c r="X525" s="7">
        <v>-264.03</v>
      </c>
      <c r="Y525" s="7">
        <v>-34.71</v>
      </c>
      <c r="Z525" s="9">
        <f>MAX($B$525:$Y$525)</f>
        <v>83.54</v>
      </c>
      <c r="AA525" s="9">
        <f>MIN($B$525:$Y$525)</f>
        <v>-443.51</v>
      </c>
      <c r="AB525" s="9">
        <f>AVERAGE($B$525:$Y$525)</f>
        <v>-80.6679166666667</v>
      </c>
    </row>
    <row r="526" spans="1:28">
      <c r="A526" s="10">
        <v>45816</v>
      </c>
      <c r="B526" s="7">
        <v>-85.19</v>
      </c>
      <c r="C526" s="7">
        <v>-321.68</v>
      </c>
      <c r="D526" s="7">
        <v>-508.88</v>
      </c>
      <c r="E526" s="7">
        <v>-596.78</v>
      </c>
      <c r="F526" s="7">
        <v>-230.99</v>
      </c>
      <c r="G526" s="7">
        <v>-44.72</v>
      </c>
      <c r="H526" s="7">
        <v>-23.61</v>
      </c>
      <c r="I526" s="7">
        <v>-8.02000000000004</v>
      </c>
      <c r="J526" s="7">
        <v>7.78</v>
      </c>
      <c r="K526" s="7">
        <v>24.05</v>
      </c>
      <c r="L526" s="7">
        <v>79.56</v>
      </c>
      <c r="M526" s="7">
        <v>42.72</v>
      </c>
      <c r="N526" s="7">
        <v>71.29</v>
      </c>
      <c r="O526" s="7">
        <v>-2.20999999999998</v>
      </c>
      <c r="P526" s="7">
        <v>26.04</v>
      </c>
      <c r="Q526" s="7">
        <v>21.17</v>
      </c>
      <c r="R526" s="7">
        <v>-20.35</v>
      </c>
      <c r="S526" s="7">
        <v>-112.94</v>
      </c>
      <c r="T526" s="7">
        <v>-123.04</v>
      </c>
      <c r="U526" s="7">
        <v>-159.44</v>
      </c>
      <c r="V526" s="7">
        <v>-338.49</v>
      </c>
      <c r="W526" s="7">
        <v>-619.51</v>
      </c>
      <c r="X526" s="7">
        <v>-667.88</v>
      </c>
      <c r="Y526" s="7">
        <v>-114.65</v>
      </c>
      <c r="Z526" s="9">
        <f>MAX($B$526:$Y$526)</f>
        <v>79.56</v>
      </c>
      <c r="AA526" s="9">
        <f>MIN($B$526:$Y$526)</f>
        <v>-667.88</v>
      </c>
      <c r="AB526" s="9">
        <f>AVERAGE($B$526:$Y$526)</f>
        <v>-154.407083333333</v>
      </c>
    </row>
    <row r="527" spans="1:28">
      <c r="A527" s="10">
        <v>45817</v>
      </c>
      <c r="B527" s="7">
        <v>-52.36</v>
      </c>
      <c r="C527" s="7">
        <v>-169.35</v>
      </c>
      <c r="D527" s="7">
        <v>-284.54</v>
      </c>
      <c r="E527" s="7">
        <v>-96.15</v>
      </c>
      <c r="F527" s="7">
        <v>-35.58</v>
      </c>
      <c r="G527" s="7">
        <v>-26.38</v>
      </c>
      <c r="H527" s="7">
        <v>-31.08</v>
      </c>
      <c r="I527" s="7">
        <v>-8.42000000000002</v>
      </c>
      <c r="J527" s="7">
        <v>-20.88</v>
      </c>
      <c r="K527" s="7">
        <v>13.2</v>
      </c>
      <c r="L527" s="7">
        <v>80.8</v>
      </c>
      <c r="M527" s="7">
        <v>80.29</v>
      </c>
      <c r="N527" s="7">
        <v>45.4</v>
      </c>
      <c r="O527" s="7">
        <v>87.53</v>
      </c>
      <c r="P527" s="7">
        <v>157.51</v>
      </c>
      <c r="Q527" s="7">
        <v>116.92</v>
      </c>
      <c r="R527" s="7">
        <v>143.49</v>
      </c>
      <c r="S527" s="7">
        <v>181.2</v>
      </c>
      <c r="T527" s="7">
        <v>76.42</v>
      </c>
      <c r="U527" s="7">
        <v>49.35</v>
      </c>
      <c r="V527" s="7">
        <v>-41.14</v>
      </c>
      <c r="W527" s="7">
        <v>-135.16</v>
      </c>
      <c r="X527" s="7">
        <v>-109.85</v>
      </c>
      <c r="Y527" s="7">
        <v>15.55</v>
      </c>
      <c r="Z527" s="9">
        <f>MAX($B$527:$Y$527)</f>
        <v>181.2</v>
      </c>
      <c r="AA527" s="9">
        <f>MIN($B$527:$Y$527)</f>
        <v>-284.54</v>
      </c>
      <c r="AB527" s="9">
        <f>AVERAGE($B$527:$Y$527)</f>
        <v>1.53208333333333</v>
      </c>
    </row>
    <row r="528" spans="1:28">
      <c r="A528" s="10">
        <v>45818</v>
      </c>
      <c r="B528" s="7">
        <v>-112.21</v>
      </c>
      <c r="C528" s="7">
        <v>-140.34</v>
      </c>
      <c r="D528" s="7">
        <v>-536.99</v>
      </c>
      <c r="E528" s="7">
        <v>-296.85</v>
      </c>
      <c r="F528" s="7">
        <v>-173.15</v>
      </c>
      <c r="G528" s="7">
        <v>-107.82</v>
      </c>
      <c r="H528" s="7">
        <v>-52.64</v>
      </c>
      <c r="I528" s="7">
        <v>-0.259999999999991</v>
      </c>
      <c r="J528" s="7">
        <v>-59.38</v>
      </c>
      <c r="K528" s="7">
        <v>-26.72</v>
      </c>
      <c r="L528" s="7">
        <v>24.05</v>
      </c>
      <c r="M528" s="7">
        <v>59.68</v>
      </c>
      <c r="N528" s="7">
        <v>24.75</v>
      </c>
      <c r="O528" s="7">
        <v>52.84</v>
      </c>
      <c r="P528" s="7">
        <v>70.84</v>
      </c>
      <c r="Q528" s="7">
        <v>70.29</v>
      </c>
      <c r="R528" s="7">
        <v>94.9</v>
      </c>
      <c r="S528" s="7">
        <v>147.51</v>
      </c>
      <c r="T528" s="7">
        <v>-17.67</v>
      </c>
      <c r="U528" s="7">
        <v>4.70999999999998</v>
      </c>
      <c r="V528" s="7">
        <v>-43.4</v>
      </c>
      <c r="W528" s="7">
        <v>8.24000000000001</v>
      </c>
      <c r="X528" s="7">
        <v>-25.7</v>
      </c>
      <c r="Y528" s="7">
        <v>58.82</v>
      </c>
      <c r="Z528" s="9">
        <f>MAX($B$528:$Y$528)</f>
        <v>147.51</v>
      </c>
      <c r="AA528" s="9">
        <f>MIN($B$528:$Y$528)</f>
        <v>-536.99</v>
      </c>
      <c r="AB528" s="9">
        <f>AVERAGE($B$528:$Y$528)</f>
        <v>-40.6875</v>
      </c>
    </row>
    <row r="529" spans="1:28">
      <c r="A529" s="10">
        <v>45819</v>
      </c>
      <c r="B529" s="7">
        <v>123.14</v>
      </c>
      <c r="C529" s="7">
        <v>225.49</v>
      </c>
      <c r="D529" s="7">
        <v>297.59</v>
      </c>
      <c r="E529" s="7">
        <v>193.22</v>
      </c>
      <c r="F529" s="7">
        <v>64.21</v>
      </c>
      <c r="G529" s="7">
        <v>45.61</v>
      </c>
      <c r="H529" s="7">
        <v>38</v>
      </c>
      <c r="I529" s="7">
        <v>82.8</v>
      </c>
      <c r="J529" s="7">
        <v>-3.09000000000003</v>
      </c>
      <c r="K529" s="7">
        <v>-65.72</v>
      </c>
      <c r="L529" s="7">
        <v>-236.48</v>
      </c>
      <c r="M529" s="7">
        <v>-115.86</v>
      </c>
      <c r="N529" s="7">
        <v>-164.24</v>
      </c>
      <c r="O529" s="7">
        <v>-132.01</v>
      </c>
      <c r="P529" s="7">
        <v>-24.65</v>
      </c>
      <c r="Q529" s="7">
        <v>96.55</v>
      </c>
      <c r="R529" s="7">
        <v>217.64</v>
      </c>
      <c r="S529" s="7">
        <v>351.68</v>
      </c>
      <c r="T529" s="7">
        <v>45.11</v>
      </c>
      <c r="U529" s="7">
        <v>185.65</v>
      </c>
      <c r="V529" s="7">
        <v>120.58</v>
      </c>
      <c r="W529" s="7">
        <v>133.82</v>
      </c>
      <c r="X529" s="7">
        <v>88.91</v>
      </c>
      <c r="Y529" s="7">
        <v>80.44</v>
      </c>
      <c r="Z529" s="9">
        <f>MAX($B$529:$Y$529)</f>
        <v>351.68</v>
      </c>
      <c r="AA529" s="9">
        <f>MIN($B$529:$Y$529)</f>
        <v>-236.48</v>
      </c>
      <c r="AB529" s="9">
        <f>AVERAGE($B$529:$Y$529)</f>
        <v>68.6829166666667</v>
      </c>
    </row>
    <row r="530" spans="1:28">
      <c r="A530" s="10">
        <v>45820</v>
      </c>
      <c r="B530" s="7">
        <v>80.71</v>
      </c>
      <c r="C530" s="7">
        <v>81.59</v>
      </c>
      <c r="D530" s="7">
        <v>87</v>
      </c>
      <c r="E530" s="7">
        <v>62.93</v>
      </c>
      <c r="F530" s="7">
        <v>58.96</v>
      </c>
      <c r="G530" s="7">
        <v>54.68</v>
      </c>
      <c r="H530" s="7">
        <v>39.77</v>
      </c>
      <c r="I530" s="7">
        <v>150.4</v>
      </c>
      <c r="J530" s="7">
        <v>-77.37</v>
      </c>
      <c r="K530" s="7">
        <v>-83.27</v>
      </c>
      <c r="L530" s="7">
        <v>-4.46999999999997</v>
      </c>
      <c r="M530" s="7">
        <v>-84.92</v>
      </c>
      <c r="N530" s="7">
        <v>-7.87</v>
      </c>
      <c r="O530" s="7">
        <v>43.28</v>
      </c>
      <c r="P530" s="7">
        <v>26.62</v>
      </c>
      <c r="Q530" s="7">
        <v>-25.09</v>
      </c>
      <c r="R530" s="7">
        <v>99.66</v>
      </c>
      <c r="S530" s="7">
        <v>249.25</v>
      </c>
      <c r="T530" s="7">
        <v>-18.46</v>
      </c>
      <c r="U530" s="7">
        <v>9.60000000000002</v>
      </c>
      <c r="V530" s="7">
        <v>56.31</v>
      </c>
      <c r="W530" s="7">
        <v>27.89</v>
      </c>
      <c r="X530" s="7">
        <v>46.99</v>
      </c>
      <c r="Y530" s="7">
        <v>54.2</v>
      </c>
      <c r="Z530" s="9">
        <f>MAX($B$530:$Y$530)</f>
        <v>249.25</v>
      </c>
      <c r="AA530" s="9">
        <f>MIN($B$530:$Y$530)</f>
        <v>-84.92</v>
      </c>
      <c r="AB530" s="9">
        <f>AVERAGE($B$530:$Y$530)</f>
        <v>38.6829166666667</v>
      </c>
    </row>
    <row r="531" spans="1:28">
      <c r="A531" s="10">
        <v>45821</v>
      </c>
      <c r="B531" s="7">
        <v>-81.91</v>
      </c>
      <c r="C531" s="7">
        <v>14.95</v>
      </c>
      <c r="D531" s="7">
        <v>15.39</v>
      </c>
      <c r="E531" s="7">
        <v>10.85</v>
      </c>
      <c r="F531" s="7">
        <v>2.75999999999999</v>
      </c>
      <c r="G531" s="7">
        <v>-8.55000000000001</v>
      </c>
      <c r="H531" s="7">
        <v>-3.16000000000002</v>
      </c>
      <c r="I531" s="7">
        <v>-12.36</v>
      </c>
      <c r="J531" s="7">
        <v>8.74000000000001</v>
      </c>
      <c r="K531" s="7">
        <v>-71.03</v>
      </c>
      <c r="L531" s="7">
        <v>-91.95</v>
      </c>
      <c r="M531" s="7">
        <v>-63.44</v>
      </c>
      <c r="N531" s="7">
        <v>14.37</v>
      </c>
      <c r="O531" s="7">
        <v>56.42</v>
      </c>
      <c r="P531" s="7">
        <v>88.64</v>
      </c>
      <c r="Q531" s="7">
        <v>64.74</v>
      </c>
      <c r="R531" s="7">
        <v>78.7</v>
      </c>
      <c r="S531" s="7">
        <v>85.97</v>
      </c>
      <c r="T531" s="7">
        <v>52.01</v>
      </c>
      <c r="U531" s="7">
        <v>100.57</v>
      </c>
      <c r="V531" s="7">
        <v>65.45</v>
      </c>
      <c r="W531" s="7">
        <v>73.1</v>
      </c>
      <c r="X531" s="7">
        <v>46.87</v>
      </c>
      <c r="Y531" s="7">
        <v>16.34</v>
      </c>
      <c r="Z531" s="9">
        <f>MAX($B$531:$Y$531)</f>
        <v>100.57</v>
      </c>
      <c r="AA531" s="9">
        <f>MIN($B$531:$Y$531)</f>
        <v>-91.95</v>
      </c>
      <c r="AB531" s="9">
        <f>AVERAGE($B$531:$Y$531)</f>
        <v>19.31125</v>
      </c>
    </row>
    <row r="532" spans="1:28">
      <c r="A532" s="10">
        <v>45822</v>
      </c>
      <c r="B532" s="7">
        <v>-42.42</v>
      </c>
      <c r="C532" s="7">
        <v>1.63</v>
      </c>
      <c r="D532" s="7">
        <v>4.69999999999999</v>
      </c>
      <c r="E532" s="7">
        <v>6.50999999999999</v>
      </c>
      <c r="F532" s="7">
        <v>9.66000000000002</v>
      </c>
      <c r="G532" s="7">
        <v>4.14999999999998</v>
      </c>
      <c r="H532" s="7">
        <v>2.96000000000001</v>
      </c>
      <c r="I532" s="7">
        <v>50.1</v>
      </c>
      <c r="J532" s="7">
        <v>2.15999999999997</v>
      </c>
      <c r="K532" s="7">
        <v>83.05</v>
      </c>
      <c r="L532" s="7">
        <v>119.12</v>
      </c>
      <c r="M532" s="7">
        <v>12.72</v>
      </c>
      <c r="N532" s="7">
        <v>29.54</v>
      </c>
      <c r="O532" s="7">
        <v>-172.42</v>
      </c>
      <c r="P532" s="7">
        <v>-82.69</v>
      </c>
      <c r="Q532" s="7">
        <v>25.24</v>
      </c>
      <c r="R532" s="7">
        <v>-49.91</v>
      </c>
      <c r="S532" s="7">
        <v>87.4</v>
      </c>
      <c r="T532" s="7">
        <v>-76.93</v>
      </c>
      <c r="U532" s="7">
        <v>-136.38</v>
      </c>
      <c r="V532" s="7">
        <v>-67.54</v>
      </c>
      <c r="W532" s="7">
        <v>8.84999999999997</v>
      </c>
      <c r="X532" s="7">
        <v>12.55</v>
      </c>
      <c r="Y532" s="7">
        <v>12.51</v>
      </c>
      <c r="Z532" s="9">
        <f>MAX($B$532:$Y$532)</f>
        <v>119.12</v>
      </c>
      <c r="AA532" s="9">
        <f>MIN($B$532:$Y$532)</f>
        <v>-172.42</v>
      </c>
      <c r="AB532" s="9">
        <f>AVERAGE($B$532:$Y$532)</f>
        <v>-6.47666666666667</v>
      </c>
    </row>
    <row r="533" spans="1:28">
      <c r="A533" s="10">
        <v>45823</v>
      </c>
      <c r="B533" s="7">
        <v>-23.96</v>
      </c>
      <c r="C533" s="7">
        <v>-21.4</v>
      </c>
      <c r="D533" s="7">
        <v>-31.87</v>
      </c>
      <c r="E533" s="7">
        <v>-28.23</v>
      </c>
      <c r="F533" s="7">
        <v>-78.81</v>
      </c>
      <c r="G533" s="7">
        <v>-30.61</v>
      </c>
      <c r="H533" s="7">
        <v>-62.31</v>
      </c>
      <c r="I533" s="7">
        <v>-16.49</v>
      </c>
      <c r="J533" s="7">
        <v>-46.83</v>
      </c>
      <c r="K533" s="7">
        <v>18.85</v>
      </c>
      <c r="L533" s="7">
        <v>27.79</v>
      </c>
      <c r="M533" s="7">
        <v>82.24</v>
      </c>
      <c r="N533" s="7">
        <v>17.93</v>
      </c>
      <c r="O533" s="7">
        <v>38.62</v>
      </c>
      <c r="P533" s="7">
        <v>30.1</v>
      </c>
      <c r="Q533" s="7">
        <v>49.2</v>
      </c>
      <c r="R533" s="7">
        <v>109.75</v>
      </c>
      <c r="S533" s="7">
        <v>89.29</v>
      </c>
      <c r="T533" s="7">
        <v>-10.09</v>
      </c>
      <c r="U533" s="7">
        <v>0.17999999999995</v>
      </c>
      <c r="V533" s="7">
        <v>-22.45</v>
      </c>
      <c r="W533" s="7">
        <v>-98.13</v>
      </c>
      <c r="X533" s="7">
        <v>-35.28</v>
      </c>
      <c r="Y533" s="7">
        <v>-27.5599999999999</v>
      </c>
      <c r="Z533" s="9">
        <f>MAX($B$533:$Y$533)</f>
        <v>109.75</v>
      </c>
      <c r="AA533" s="9">
        <f>MIN($B$533:$Y$533)</f>
        <v>-98.13</v>
      </c>
      <c r="AB533" s="9">
        <f>AVERAGE($B$533:$Y$533)</f>
        <v>-2.91958333333333</v>
      </c>
    </row>
    <row r="534" spans="1:28">
      <c r="A534" s="10">
        <v>45829</v>
      </c>
      <c r="B534" s="7">
        <v>-184.25</v>
      </c>
      <c r="C534" s="7">
        <v>-0.930000000000007</v>
      </c>
      <c r="D534" s="7">
        <v>3.63999999999999</v>
      </c>
      <c r="E534" s="7">
        <v>7.69999999999999</v>
      </c>
      <c r="F534" s="7">
        <v>19.66</v>
      </c>
      <c r="G534" s="7">
        <v>16.02</v>
      </c>
      <c r="H534" s="7">
        <v>13.94</v>
      </c>
      <c r="I534" s="7">
        <v>47.3</v>
      </c>
      <c r="J534" s="7">
        <v>-12.97</v>
      </c>
      <c r="K534" s="7">
        <v>85.22</v>
      </c>
      <c r="L534" s="7">
        <v>139.83</v>
      </c>
      <c r="M534" s="7">
        <v>0.0800000000000409</v>
      </c>
      <c r="N534" s="7">
        <v>94.48</v>
      </c>
      <c r="O534" s="7">
        <v>-62.57</v>
      </c>
      <c r="P534" s="7">
        <v>4.46999999999997</v>
      </c>
      <c r="Q534" s="7">
        <v>26.09</v>
      </c>
      <c r="R534" s="7">
        <v>31.3699999999999</v>
      </c>
      <c r="S534" s="7">
        <v>38.78</v>
      </c>
      <c r="T534" s="7">
        <v>31.23</v>
      </c>
      <c r="U534" s="7">
        <v>41.03</v>
      </c>
      <c r="V534" s="7">
        <v>58.99</v>
      </c>
      <c r="W534" s="7">
        <v>37.65</v>
      </c>
      <c r="X534" s="7">
        <v>16.58</v>
      </c>
      <c r="Y534" s="7">
        <v>13.04</v>
      </c>
      <c r="Z534" s="9">
        <f>MAX($B$534:$Y$534)</f>
        <v>139.83</v>
      </c>
      <c r="AA534" s="9">
        <f>MIN($B$534:$Y$534)</f>
        <v>-184.25</v>
      </c>
      <c r="AB534" s="9">
        <f>AVERAGE($B$534:$Y$534)</f>
        <v>19.4325</v>
      </c>
    </row>
    <row r="535" spans="1:28">
      <c r="A535" s="10">
        <v>45830</v>
      </c>
      <c r="B535" s="7">
        <v>15.88</v>
      </c>
      <c r="C535" s="7">
        <v>17.62</v>
      </c>
      <c r="D535" s="7">
        <v>22.76</v>
      </c>
      <c r="E535" s="7">
        <v>14.74</v>
      </c>
      <c r="F535" s="7">
        <v>31.72</v>
      </c>
      <c r="G535" s="7">
        <v>34.18</v>
      </c>
      <c r="H535" s="7">
        <v>30.33</v>
      </c>
      <c r="I535" s="7">
        <v>104.65</v>
      </c>
      <c r="J535" s="7">
        <v>188.07</v>
      </c>
      <c r="K535" s="7">
        <v>157.49</v>
      </c>
      <c r="L535" s="7">
        <v>38.85</v>
      </c>
      <c r="M535" s="7">
        <v>93.67</v>
      </c>
      <c r="N535" s="7">
        <v>67.24</v>
      </c>
      <c r="O535" s="7">
        <v>38.55</v>
      </c>
      <c r="P535" s="7">
        <v>94.41</v>
      </c>
      <c r="Q535" s="7">
        <v>107.2</v>
      </c>
      <c r="R535" s="7">
        <v>88.92</v>
      </c>
      <c r="S535" s="7">
        <v>34.74</v>
      </c>
      <c r="T535" s="7">
        <v>48.69</v>
      </c>
      <c r="U535" s="7">
        <v>9.75999999999999</v>
      </c>
      <c r="V535" s="7">
        <v>12.67</v>
      </c>
      <c r="W535" s="7">
        <v>12.05</v>
      </c>
      <c r="X535" s="7">
        <v>20.86</v>
      </c>
      <c r="Y535" s="7">
        <v>23.36</v>
      </c>
      <c r="Z535" s="9">
        <f>MAX($B$535:$Y$535)</f>
        <v>188.07</v>
      </c>
      <c r="AA535" s="9">
        <f>MIN($B$535:$Y$535)</f>
        <v>9.75999999999999</v>
      </c>
      <c r="AB535" s="9">
        <f>AVERAGE($B$535:$Y$535)</f>
        <v>54.5170833333333</v>
      </c>
    </row>
    <row r="536" spans="1:28">
      <c r="A536" s="10">
        <v>45831</v>
      </c>
      <c r="B536" s="7">
        <v>12.88</v>
      </c>
      <c r="C536" s="7">
        <v>9.55000000000001</v>
      </c>
      <c r="D536" s="7">
        <v>3.78999999999996</v>
      </c>
      <c r="E536" s="7">
        <v>21.92</v>
      </c>
      <c r="F536" s="7">
        <v>32.27</v>
      </c>
      <c r="G536" s="7">
        <v>62.48</v>
      </c>
      <c r="H536" s="7">
        <v>10.67</v>
      </c>
      <c r="I536" s="7">
        <v>61.19</v>
      </c>
      <c r="J536" s="7">
        <v>-4.58000000000004</v>
      </c>
      <c r="K536" s="7">
        <v>80.9</v>
      </c>
      <c r="L536" s="7">
        <v>150.99</v>
      </c>
      <c r="M536" s="7">
        <v>42.44</v>
      </c>
      <c r="N536" s="7">
        <v>-40.1</v>
      </c>
      <c r="O536" s="7">
        <v>-10.6</v>
      </c>
      <c r="P536" s="7">
        <v>55.09</v>
      </c>
      <c r="Q536" s="7">
        <v>-22.85</v>
      </c>
      <c r="R536" s="7">
        <v>-49.5</v>
      </c>
      <c r="S536" s="7">
        <v>-11.84</v>
      </c>
      <c r="T536" s="7">
        <v>-30.37</v>
      </c>
      <c r="U536" s="7">
        <v>29.95</v>
      </c>
      <c r="V536" s="7">
        <v>13.89</v>
      </c>
      <c r="W536" s="7">
        <v>20.51</v>
      </c>
      <c r="X536" s="7">
        <v>18.04</v>
      </c>
      <c r="Y536" s="7">
        <v>16.41</v>
      </c>
      <c r="Z536" s="9">
        <f>MAX($B$536:$Y$536)</f>
        <v>150.99</v>
      </c>
      <c r="AA536" s="9">
        <f>MIN($B$536:$Y$536)</f>
        <v>-49.5</v>
      </c>
      <c r="AB536" s="9">
        <f>AVERAGE($B$536:$Y$536)</f>
        <v>19.71375</v>
      </c>
    </row>
    <row r="537" spans="1:28">
      <c r="A537" s="10">
        <v>45832</v>
      </c>
      <c r="B537" s="7">
        <v>-153.26</v>
      </c>
      <c r="C537" s="7">
        <v>7.85000000000002</v>
      </c>
      <c r="D537" s="7">
        <v>12.06</v>
      </c>
      <c r="E537" s="7">
        <v>13.29</v>
      </c>
      <c r="F537" s="7">
        <v>9.95999999999998</v>
      </c>
      <c r="G537" s="7">
        <v>8.58000000000004</v>
      </c>
      <c r="H537" s="7">
        <v>11.1</v>
      </c>
      <c r="I537" s="7">
        <v>30.75</v>
      </c>
      <c r="J537" s="7">
        <v>2.14000000000004</v>
      </c>
      <c r="K537" s="7">
        <v>207.52</v>
      </c>
      <c r="L537" s="7">
        <v>244.55</v>
      </c>
      <c r="M537" s="7">
        <v>135.26</v>
      </c>
      <c r="N537" s="7">
        <v>89.56</v>
      </c>
      <c r="O537" s="7">
        <v>96.8</v>
      </c>
      <c r="P537" s="7">
        <v>168.7</v>
      </c>
      <c r="Q537" s="7">
        <v>191.86</v>
      </c>
      <c r="R537" s="7">
        <v>103.98</v>
      </c>
      <c r="S537" s="7">
        <v>75.22</v>
      </c>
      <c r="T537" s="7">
        <v>-52.83</v>
      </c>
      <c r="U537" s="7">
        <v>45.17</v>
      </c>
      <c r="V537" s="7">
        <v>14.23</v>
      </c>
      <c r="W537" s="7">
        <v>1.95000000000005</v>
      </c>
      <c r="X537" s="7">
        <v>-2.61000000000001</v>
      </c>
      <c r="Y537" s="7">
        <v>-12.81</v>
      </c>
      <c r="Z537" s="9">
        <f>MAX($B$537:$Y$537)</f>
        <v>244.55</v>
      </c>
      <c r="AA537" s="9">
        <f>MIN($B$537:$Y$537)</f>
        <v>-153.26</v>
      </c>
      <c r="AB537" s="9">
        <f>AVERAGE($B$537:$Y$537)</f>
        <v>52.0425</v>
      </c>
    </row>
    <row r="538" spans="1:28">
      <c r="A538" s="10">
        <v>45833</v>
      </c>
      <c r="B538" s="7">
        <v>-159.89</v>
      </c>
      <c r="C538" s="7">
        <v>-124.91</v>
      </c>
      <c r="D538" s="7">
        <v>-22.15</v>
      </c>
      <c r="E538" s="7">
        <v>-6.66000000000003</v>
      </c>
      <c r="F538" s="7">
        <v>0.509999999999991</v>
      </c>
      <c r="G538" s="7">
        <v>-1.19999999999999</v>
      </c>
      <c r="H538" s="7">
        <v>-0.180000000000007</v>
      </c>
      <c r="I538" s="7">
        <v>22.8</v>
      </c>
      <c r="J538" s="7">
        <v>16.37</v>
      </c>
      <c r="K538" s="7">
        <v>-17.32</v>
      </c>
      <c r="L538" s="7">
        <v>-70.36</v>
      </c>
      <c r="M538" s="7">
        <v>-149.91</v>
      </c>
      <c r="N538" s="7">
        <v>-89.69</v>
      </c>
      <c r="O538" s="7">
        <v>-197.12</v>
      </c>
      <c r="P538" s="7">
        <v>101.83</v>
      </c>
      <c r="Q538" s="7">
        <v>57.07</v>
      </c>
      <c r="R538" s="7">
        <v>148.28</v>
      </c>
      <c r="S538" s="7">
        <v>170.18</v>
      </c>
      <c r="T538" s="7">
        <v>-43.71</v>
      </c>
      <c r="U538" s="7">
        <v>-32.79</v>
      </c>
      <c r="V538" s="7">
        <v>-73.65</v>
      </c>
      <c r="W538" s="7">
        <v>-134.71</v>
      </c>
      <c r="X538" s="7">
        <v>-200.75</v>
      </c>
      <c r="Y538" s="7">
        <v>-32.59</v>
      </c>
      <c r="Z538" s="9">
        <f>MAX($B$538:$Y$538)</f>
        <v>170.18</v>
      </c>
      <c r="AA538" s="9">
        <f>MIN($B$538:$Y$538)</f>
        <v>-200.75</v>
      </c>
      <c r="AB538" s="9">
        <f>AVERAGE($B$538:$Y$538)</f>
        <v>-35.0229166666667</v>
      </c>
    </row>
    <row r="539" spans="1:28">
      <c r="A539" s="10">
        <v>45834</v>
      </c>
      <c r="B539" s="7">
        <v>-297.17</v>
      </c>
      <c r="C539" s="7">
        <v>-284.14</v>
      </c>
      <c r="D539" s="7">
        <v>-13.15</v>
      </c>
      <c r="E539" s="7">
        <v>-4.57999999999998</v>
      </c>
      <c r="F539" s="7">
        <v>3.94999999999999</v>
      </c>
      <c r="G539" s="7">
        <v>9.80000000000001</v>
      </c>
      <c r="H539" s="7">
        <v>13.48</v>
      </c>
      <c r="I539" s="7">
        <v>8.31</v>
      </c>
      <c r="J539" s="7">
        <v>-63.37</v>
      </c>
      <c r="K539" s="7">
        <v>-51.7</v>
      </c>
      <c r="L539" s="7">
        <v>-186.51</v>
      </c>
      <c r="M539" s="7">
        <v>-40.75</v>
      </c>
      <c r="N539" s="7">
        <v>-49.14</v>
      </c>
      <c r="O539" s="7">
        <v>-44.28</v>
      </c>
      <c r="P539" s="7">
        <v>35.22</v>
      </c>
      <c r="Q539" s="7">
        <v>30.69</v>
      </c>
      <c r="R539" s="7">
        <v>54.01</v>
      </c>
      <c r="S539" s="7">
        <v>34.7</v>
      </c>
      <c r="T539" s="7">
        <v>38.48</v>
      </c>
      <c r="U539" s="7">
        <v>-9.69999999999999</v>
      </c>
      <c r="V539" s="7">
        <v>2.84999999999997</v>
      </c>
      <c r="W539" s="7">
        <v>17.04</v>
      </c>
      <c r="X539" s="7">
        <v>37.52</v>
      </c>
      <c r="Y539" s="7">
        <v>22.74</v>
      </c>
      <c r="Z539" s="9">
        <f>MAX($B$539:$Y$539)</f>
        <v>54.01</v>
      </c>
      <c r="AA539" s="9">
        <f>MIN($B$539:$Y$539)</f>
        <v>-297.17</v>
      </c>
      <c r="AB539" s="9">
        <f>AVERAGE($B$539:$Y$539)</f>
        <v>-30.6541666666667</v>
      </c>
    </row>
    <row r="540" spans="1:28">
      <c r="A540" s="10">
        <v>45835</v>
      </c>
      <c r="B540" s="7">
        <v>-42.52</v>
      </c>
      <c r="C540" s="7">
        <v>-1.69999999999999</v>
      </c>
      <c r="D540" s="7">
        <v>14.22</v>
      </c>
      <c r="E540" s="7">
        <v>7.64999999999998</v>
      </c>
      <c r="F540" s="7">
        <v>22.64</v>
      </c>
      <c r="G540" s="7">
        <v>25.6</v>
      </c>
      <c r="H540" s="7">
        <v>18.34</v>
      </c>
      <c r="I540" s="7">
        <v>27.54</v>
      </c>
      <c r="J540" s="7">
        <v>3</v>
      </c>
      <c r="K540" s="7">
        <v>32.84</v>
      </c>
      <c r="L540" s="7">
        <v>-54.09</v>
      </c>
      <c r="M540" s="7">
        <v>-41.7</v>
      </c>
      <c r="N540" s="7">
        <v>3.19999999999999</v>
      </c>
      <c r="O540" s="7">
        <v>-265.18</v>
      </c>
      <c r="P540" s="7">
        <v>-14.58</v>
      </c>
      <c r="Q540" s="7">
        <v>-8.87</v>
      </c>
      <c r="R540" s="7">
        <v>23.2</v>
      </c>
      <c r="S540" s="7">
        <v>-55.69</v>
      </c>
      <c r="T540" s="7">
        <v>15.21</v>
      </c>
      <c r="U540" s="7">
        <v>-182.55</v>
      </c>
      <c r="V540" s="7">
        <v>-211.52</v>
      </c>
      <c r="W540" s="7">
        <v>-225.75</v>
      </c>
      <c r="X540" s="7">
        <v>-9.81</v>
      </c>
      <c r="Y540" s="7">
        <v>6.81</v>
      </c>
      <c r="Z540" s="9">
        <f>MAX($B$540:$Y$540)</f>
        <v>32.84</v>
      </c>
      <c r="AA540" s="9">
        <f>MIN($B$540:$Y$540)</f>
        <v>-265.18</v>
      </c>
      <c r="AB540" s="9">
        <f>AVERAGE($B$540:$Y$540)</f>
        <v>-38.07125</v>
      </c>
    </row>
    <row r="541" spans="1:28">
      <c r="A541" s="10">
        <v>45836</v>
      </c>
      <c r="B541" s="7">
        <v>-73.78</v>
      </c>
      <c r="C541" s="7">
        <v>5.36000000000001</v>
      </c>
      <c r="D541" s="7">
        <v>4.20999999999998</v>
      </c>
      <c r="E541" s="7">
        <v>0.360000000000014</v>
      </c>
      <c r="F541" s="7">
        <v>13.03</v>
      </c>
      <c r="G541" s="7">
        <v>15.8</v>
      </c>
      <c r="H541" s="7">
        <v>24.19</v>
      </c>
      <c r="I541" s="7">
        <v>18.59</v>
      </c>
      <c r="J541" s="7">
        <v>32.34</v>
      </c>
      <c r="K541" s="7">
        <v>91.85</v>
      </c>
      <c r="L541" s="7">
        <v>-43.2</v>
      </c>
      <c r="M541" s="7">
        <v>-27.16</v>
      </c>
      <c r="N541" s="7">
        <v>100.78</v>
      </c>
      <c r="O541" s="7">
        <v>-41.18</v>
      </c>
      <c r="P541" s="7">
        <v>-29.15</v>
      </c>
      <c r="Q541" s="7">
        <v>-29.85</v>
      </c>
      <c r="R541" s="7">
        <v>-2.82999999999998</v>
      </c>
      <c r="S541" s="7">
        <v>94.13</v>
      </c>
      <c r="T541" s="7">
        <v>37.72</v>
      </c>
      <c r="U541" s="7">
        <v>-6.55000000000001</v>
      </c>
      <c r="V541" s="7">
        <v>6.39999999999998</v>
      </c>
      <c r="W541" s="7">
        <v>21.42</v>
      </c>
      <c r="X541" s="7">
        <v>4.71999999999997</v>
      </c>
      <c r="Y541" s="7">
        <v>-2.78999999999996</v>
      </c>
      <c r="Z541" s="9">
        <f>MAX($B$541:$Y$541)</f>
        <v>100.78</v>
      </c>
      <c r="AA541" s="9">
        <f>MIN($B$541:$Y$541)</f>
        <v>-73.78</v>
      </c>
      <c r="AB541" s="9">
        <f>AVERAGE($B$541:$Y$541)</f>
        <v>8.93375</v>
      </c>
    </row>
    <row r="542" spans="1:28">
      <c r="A542" s="10">
        <v>45837</v>
      </c>
      <c r="B542" s="7">
        <v>-10.81</v>
      </c>
      <c r="C542" s="7">
        <v>-7.40999999999997</v>
      </c>
      <c r="D542" s="7">
        <v>15.26</v>
      </c>
      <c r="E542" s="7">
        <v>7.51999999999998</v>
      </c>
      <c r="F542" s="7">
        <v>11.38</v>
      </c>
      <c r="G542" s="7">
        <v>12.94</v>
      </c>
      <c r="H542" s="7">
        <v>9.13</v>
      </c>
      <c r="I542" s="7">
        <v>55.08</v>
      </c>
      <c r="J542" s="7">
        <v>124.29</v>
      </c>
      <c r="K542" s="7">
        <v>143.45</v>
      </c>
      <c r="L542" s="7">
        <v>152.44</v>
      </c>
      <c r="M542" s="7">
        <v>105.14</v>
      </c>
      <c r="N542" s="7">
        <v>68.16</v>
      </c>
      <c r="O542" s="7">
        <v>63.3</v>
      </c>
      <c r="P542" s="7">
        <v>37.26</v>
      </c>
      <c r="Q542" s="7">
        <v>28.17</v>
      </c>
      <c r="R542" s="7">
        <v>66.36</v>
      </c>
      <c r="S542" s="7">
        <v>40.44</v>
      </c>
      <c r="T542" s="7">
        <v>5.53999999999999</v>
      </c>
      <c r="U542" s="7">
        <v>-12.91</v>
      </c>
      <c r="V542" s="7">
        <v>-5.73000000000002</v>
      </c>
      <c r="W542" s="7">
        <v>-10.19</v>
      </c>
      <c r="X542" s="7">
        <v>-3.42000000000002</v>
      </c>
      <c r="Y542" s="7">
        <v>-4.17000000000002</v>
      </c>
      <c r="Z542" s="9">
        <f>MAX($B$542:$Y$542)</f>
        <v>152.44</v>
      </c>
      <c r="AA542" s="9">
        <f>MIN($B$542:$Y$542)</f>
        <v>-12.91</v>
      </c>
      <c r="AB542" s="9">
        <f>AVERAGE($B$542:$Y$542)</f>
        <v>37.1341666666667</v>
      </c>
    </row>
    <row r="543" spans="1:28">
      <c r="A543" s="10">
        <v>45838</v>
      </c>
      <c r="B543" s="7">
        <v>-17.5</v>
      </c>
      <c r="C543" s="7">
        <v>18</v>
      </c>
      <c r="D543" s="7">
        <v>28.95</v>
      </c>
      <c r="E543" s="7">
        <v>23.48</v>
      </c>
      <c r="F543" s="7">
        <v>3.66</v>
      </c>
      <c r="G543" s="7">
        <v>12.4</v>
      </c>
      <c r="H543" s="7">
        <v>18.94</v>
      </c>
      <c r="I543" s="7">
        <v>-7.60999999999999</v>
      </c>
      <c r="J543" s="7">
        <v>-23.91</v>
      </c>
      <c r="K543" s="7">
        <v>-29.95</v>
      </c>
      <c r="L543" s="7">
        <v>-11.88</v>
      </c>
      <c r="M543" s="7">
        <v>-2.61000000000001</v>
      </c>
      <c r="N543" s="7">
        <v>-51.91</v>
      </c>
      <c r="O543" s="7">
        <v>-0.200000000000045</v>
      </c>
      <c r="P543" s="7">
        <v>-32.88</v>
      </c>
      <c r="Q543" s="7">
        <v>0.550000000000011</v>
      </c>
      <c r="R543" s="7">
        <v>15.23</v>
      </c>
      <c r="S543" s="7">
        <v>31.78</v>
      </c>
      <c r="T543" s="7">
        <v>18.4</v>
      </c>
      <c r="U543" s="7">
        <v>14.32</v>
      </c>
      <c r="V543" s="7">
        <v>-29.3</v>
      </c>
      <c r="W543" s="7">
        <v>-38.18</v>
      </c>
      <c r="X543" s="7">
        <v>19.02</v>
      </c>
      <c r="Y543" s="7">
        <v>-2.81999999999999</v>
      </c>
      <c r="Z543" s="9">
        <f>MAX($B$543:$Y$543)</f>
        <v>31.78</v>
      </c>
      <c r="AA543" s="9">
        <f>MIN($B$543:$Y$543)</f>
        <v>-51.91</v>
      </c>
      <c r="AB543" s="9">
        <f>AVERAGE($B$543:$Y$543)</f>
        <v>-1.83416666666667</v>
      </c>
    </row>
    <row r="544" spans="1:28">
      <c r="A544" s="10">
        <v>45839</v>
      </c>
      <c r="B544" s="7">
        <v>11.2</v>
      </c>
      <c r="C544" s="7">
        <v>24.27</v>
      </c>
      <c r="D544" s="7">
        <v>49.29</v>
      </c>
      <c r="E544" s="7">
        <v>34.53</v>
      </c>
      <c r="F544" s="7">
        <v>36.32</v>
      </c>
      <c r="G544" s="7">
        <v>81.82</v>
      </c>
      <c r="H544" s="7">
        <v>41.04</v>
      </c>
      <c r="I544" s="7">
        <v>26.02</v>
      </c>
      <c r="J544" s="7">
        <v>23.39</v>
      </c>
      <c r="K544" s="7">
        <v>40.86</v>
      </c>
      <c r="L544" s="7">
        <v>44.1</v>
      </c>
      <c r="M544" s="7">
        <v>60.97</v>
      </c>
      <c r="N544" s="7">
        <v>66.42</v>
      </c>
      <c r="O544" s="7">
        <v>22.77</v>
      </c>
      <c r="P544" s="7">
        <v>19.48</v>
      </c>
      <c r="Q544" s="7">
        <v>64.94</v>
      </c>
      <c r="R544" s="7">
        <v>265.48</v>
      </c>
      <c r="S544" s="7">
        <v>243.34</v>
      </c>
      <c r="T544" s="7">
        <v>112.78</v>
      </c>
      <c r="U544" s="7">
        <v>223.61</v>
      </c>
      <c r="V544" s="7">
        <v>103.54</v>
      </c>
      <c r="W544" s="7">
        <v>151.41</v>
      </c>
      <c r="X544" s="7">
        <v>30.33</v>
      </c>
      <c r="Y544" s="7">
        <v>25.46</v>
      </c>
      <c r="Z544" s="9">
        <f>MAX($B$544:$Y$544)</f>
        <v>265.48</v>
      </c>
      <c r="AA544" s="9">
        <f>MIN($B$544:$Y$544)</f>
        <v>11.2</v>
      </c>
      <c r="AB544" s="9">
        <f>AVERAGE($B$544:$Y$544)</f>
        <v>75.1404166666667</v>
      </c>
    </row>
    <row r="545" spans="1:28">
      <c r="A545" s="10">
        <v>45840</v>
      </c>
      <c r="B545" s="7">
        <v>-0.430000000000007</v>
      </c>
      <c r="C545" s="7">
        <v>21.5</v>
      </c>
      <c r="D545" s="7">
        <v>9.92000000000002</v>
      </c>
      <c r="E545" s="7">
        <v>4.47</v>
      </c>
      <c r="F545" s="7">
        <v>17.73</v>
      </c>
      <c r="G545" s="7">
        <v>6.25</v>
      </c>
      <c r="H545" s="7">
        <v>0.109999999999985</v>
      </c>
      <c r="I545" s="7">
        <v>9.65000000000001</v>
      </c>
      <c r="J545" s="7">
        <v>-8.78</v>
      </c>
      <c r="K545" s="7">
        <v>-9.52999999999997</v>
      </c>
      <c r="L545" s="7">
        <v>-89.06</v>
      </c>
      <c r="M545" s="7">
        <v>-19.64</v>
      </c>
      <c r="N545" s="7">
        <v>5.61000000000001</v>
      </c>
      <c r="O545" s="7">
        <v>-30.95</v>
      </c>
      <c r="P545" s="7">
        <v>-19.52</v>
      </c>
      <c r="Q545" s="7">
        <v>-7.08000000000004</v>
      </c>
      <c r="R545" s="7">
        <v>-24.36</v>
      </c>
      <c r="S545" s="7">
        <v>-36.79</v>
      </c>
      <c r="T545" s="7">
        <v>-22.13</v>
      </c>
      <c r="U545" s="7">
        <v>-342.77</v>
      </c>
      <c r="V545" s="7">
        <v>-519.77</v>
      </c>
      <c r="W545" s="7">
        <v>-277.8</v>
      </c>
      <c r="X545" s="7">
        <v>-118.6</v>
      </c>
      <c r="Y545" s="7">
        <v>-9.03999999999996</v>
      </c>
      <c r="Z545" s="9">
        <f>MAX($B$545:$Y$545)</f>
        <v>21.5</v>
      </c>
      <c r="AA545" s="9">
        <f>MIN($B$545:$Y$545)</f>
        <v>-519.77</v>
      </c>
      <c r="AB545" s="9">
        <f>AVERAGE($B$545:$Y$545)</f>
        <v>-60.8754166666667</v>
      </c>
    </row>
    <row r="546" spans="1:28">
      <c r="A546" s="10">
        <v>45841</v>
      </c>
      <c r="B546" s="7">
        <v>55.28</v>
      </c>
      <c r="C546" s="7">
        <v>-4.60000000000002</v>
      </c>
      <c r="D546" s="7">
        <v>-0.990000000000009</v>
      </c>
      <c r="E546" s="7">
        <v>-0.640000000000015</v>
      </c>
      <c r="F546" s="7">
        <v>-1.45999999999998</v>
      </c>
      <c r="G546" s="7">
        <v>-0.860000000000014</v>
      </c>
      <c r="H546" s="7">
        <v>-0.79000000000002</v>
      </c>
      <c r="I546" s="7">
        <v>10.94</v>
      </c>
      <c r="J546" s="7">
        <v>-3.96999999999997</v>
      </c>
      <c r="K546" s="7">
        <v>27.48</v>
      </c>
      <c r="L546" s="7">
        <v>8.15000000000003</v>
      </c>
      <c r="M546" s="7">
        <v>-44.64</v>
      </c>
      <c r="N546" s="7">
        <v>-17.68</v>
      </c>
      <c r="O546" s="7">
        <v>-11.54</v>
      </c>
      <c r="P546" s="7">
        <v>15.92</v>
      </c>
      <c r="Q546" s="7">
        <v>15.59</v>
      </c>
      <c r="R546" s="7">
        <v>110.65</v>
      </c>
      <c r="S546" s="7">
        <v>9.06000000000006</v>
      </c>
      <c r="T546" s="7">
        <v>16.11</v>
      </c>
      <c r="U546" s="7">
        <v>6.11000000000001</v>
      </c>
      <c r="V546" s="7">
        <v>50.13</v>
      </c>
      <c r="W546" s="7">
        <v>34.74</v>
      </c>
      <c r="X546" s="7">
        <v>-26.88</v>
      </c>
      <c r="Y546" s="7">
        <v>-34.78</v>
      </c>
      <c r="Z546" s="9">
        <f>MAX($B$546:$Y$546)</f>
        <v>110.65</v>
      </c>
      <c r="AA546" s="9">
        <f>MIN($B$546:$Y$546)</f>
        <v>-44.64</v>
      </c>
      <c r="AB546" s="9">
        <f>AVERAGE($B$546:$Y$546)</f>
        <v>8.80541666666667</v>
      </c>
    </row>
    <row r="547" spans="1:28">
      <c r="A547" s="10">
        <v>45842</v>
      </c>
      <c r="B547" s="7">
        <v>-21.98</v>
      </c>
      <c r="C547" s="7">
        <v>4.39999999999998</v>
      </c>
      <c r="D547" s="7">
        <v>3.13</v>
      </c>
      <c r="E547" s="7">
        <v>9.58000000000001</v>
      </c>
      <c r="F547" s="7">
        <v>7.57999999999998</v>
      </c>
      <c r="G547" s="7">
        <v>9.90000000000001</v>
      </c>
      <c r="H547" s="7">
        <v>9.34999999999999</v>
      </c>
      <c r="I547" s="7">
        <v>8.03999999999999</v>
      </c>
      <c r="J547" s="7">
        <v>15.16</v>
      </c>
      <c r="K547" s="7">
        <v>20.8</v>
      </c>
      <c r="L547" s="7">
        <v>6.84999999999997</v>
      </c>
      <c r="M547" s="7">
        <v>7.13</v>
      </c>
      <c r="N547" s="7">
        <v>31.12</v>
      </c>
      <c r="O547" s="7">
        <v>9.29000000000002</v>
      </c>
      <c r="P547" s="7">
        <v>8.67000000000002</v>
      </c>
      <c r="Q547" s="7">
        <v>30.64</v>
      </c>
      <c r="R547" s="7">
        <v>76.65</v>
      </c>
      <c r="S547" s="7">
        <v>134.63</v>
      </c>
      <c r="T547" s="7">
        <v>22.36</v>
      </c>
      <c r="U547" s="7">
        <v>97.52</v>
      </c>
      <c r="V547" s="7">
        <v>46.36</v>
      </c>
      <c r="W547" s="7">
        <v>-136.39</v>
      </c>
      <c r="X547" s="7">
        <v>-106.68</v>
      </c>
      <c r="Y547" s="7">
        <v>-80.71</v>
      </c>
      <c r="Z547" s="9">
        <f>MAX($B$547:$Y$547)</f>
        <v>134.63</v>
      </c>
      <c r="AA547" s="9">
        <f>MIN($B$547:$Y$547)</f>
        <v>-136.39</v>
      </c>
      <c r="AB547" s="9">
        <f>AVERAGE($B$547:$Y$547)</f>
        <v>8.89166666666667</v>
      </c>
    </row>
    <row r="548" spans="1:28">
      <c r="A548" s="10">
        <v>45843</v>
      </c>
      <c r="B548" s="7">
        <v>-139.93</v>
      </c>
      <c r="C548" s="7">
        <v>-49.76</v>
      </c>
      <c r="D548" s="7">
        <v>-21.27</v>
      </c>
      <c r="E548" s="7">
        <v>-10.04</v>
      </c>
      <c r="F548" s="7">
        <v>-5.78999999999996</v>
      </c>
      <c r="G548" s="7">
        <v>-8.04000000000002</v>
      </c>
      <c r="H548" s="7">
        <v>-6.22</v>
      </c>
      <c r="I548" s="7">
        <v>-11.01</v>
      </c>
      <c r="J548" s="7">
        <v>-10.3</v>
      </c>
      <c r="K548" s="7">
        <v>-0.0499999999999545</v>
      </c>
      <c r="L548" s="7">
        <v>24.96</v>
      </c>
      <c r="M548" s="7">
        <v>38.39</v>
      </c>
      <c r="N548" s="7">
        <v>8.13</v>
      </c>
      <c r="O548" s="7">
        <v>-2.90999999999997</v>
      </c>
      <c r="P548" s="7">
        <v>17.41</v>
      </c>
      <c r="Q548" s="7">
        <v>17.14</v>
      </c>
      <c r="R548" s="7">
        <v>33.4</v>
      </c>
      <c r="S548" s="7">
        <v>32.87</v>
      </c>
      <c r="T548" s="7">
        <v>15.53</v>
      </c>
      <c r="U548" s="7">
        <v>31.86</v>
      </c>
      <c r="V548" s="7">
        <v>10.22</v>
      </c>
      <c r="W548" s="7">
        <v>22.68</v>
      </c>
      <c r="X548" s="7">
        <v>-15.57</v>
      </c>
      <c r="Y548" s="7">
        <v>-2.45999999999998</v>
      </c>
      <c r="Z548" s="9">
        <f>MAX($B$548:$Y$548)</f>
        <v>38.39</v>
      </c>
      <c r="AA548" s="9">
        <f>MIN($B$548:$Y$548)</f>
        <v>-139.93</v>
      </c>
      <c r="AB548" s="9">
        <f>AVERAGE($B$548:$Y$548)</f>
        <v>-1.28166666666666</v>
      </c>
    </row>
    <row r="549" spans="1:28">
      <c r="A549" s="10">
        <v>45844</v>
      </c>
      <c r="B549" s="7">
        <v>0.240000000000009</v>
      </c>
      <c r="C549" s="7">
        <v>18.67</v>
      </c>
      <c r="D549" s="7">
        <v>-30.67</v>
      </c>
      <c r="E549" s="7">
        <v>6.84000000000003</v>
      </c>
      <c r="F549" s="7">
        <v>5.69</v>
      </c>
      <c r="G549" s="7">
        <v>7.19</v>
      </c>
      <c r="H549" s="7">
        <v>3.08000000000004</v>
      </c>
      <c r="I549" s="7">
        <v>4.96000000000001</v>
      </c>
      <c r="J549" s="7">
        <v>59.31</v>
      </c>
      <c r="K549" s="7">
        <v>72.5</v>
      </c>
      <c r="L549" s="7">
        <v>50.91</v>
      </c>
      <c r="M549" s="7">
        <v>7.81999999999999</v>
      </c>
      <c r="N549" s="7">
        <v>67.31</v>
      </c>
      <c r="O549" s="7">
        <v>-2.97</v>
      </c>
      <c r="P549" s="7">
        <v>27.88</v>
      </c>
      <c r="Q549" s="7">
        <v>0.70999999999998</v>
      </c>
      <c r="R549" s="7">
        <v>-40.96</v>
      </c>
      <c r="S549" s="7">
        <v>5.42000000000002</v>
      </c>
      <c r="T549" s="7">
        <v>-19.42</v>
      </c>
      <c r="U549" s="7">
        <v>-1.59000000000003</v>
      </c>
      <c r="V549" s="7">
        <v>62.69</v>
      </c>
      <c r="W549" s="7">
        <v>49.99</v>
      </c>
      <c r="X549" s="7">
        <v>-128.38</v>
      </c>
      <c r="Y549" s="7">
        <v>-57.74</v>
      </c>
      <c r="Z549" s="9">
        <f>MAX($B$549:$Y$549)</f>
        <v>72.5</v>
      </c>
      <c r="AA549" s="9">
        <f>MIN($B$549:$Y$549)</f>
        <v>-128.38</v>
      </c>
      <c r="AB549" s="9">
        <f>AVERAGE($B$549:$Y$549)</f>
        <v>7.06166666666667</v>
      </c>
    </row>
    <row r="550" spans="1:28">
      <c r="A550" s="10">
        <v>45845</v>
      </c>
      <c r="B550" s="7">
        <v>-66.89</v>
      </c>
      <c r="C550" s="7">
        <v>-0.71999999999997</v>
      </c>
      <c r="D550" s="7">
        <v>6.13999999999999</v>
      </c>
      <c r="E550" s="7">
        <v>5.06999999999999</v>
      </c>
      <c r="F550" s="7">
        <v>5.22999999999999</v>
      </c>
      <c r="G550" s="7">
        <v>9.44999999999999</v>
      </c>
      <c r="H550" s="7">
        <v>0.189999999999998</v>
      </c>
      <c r="I550" s="7">
        <v>-4.58000000000001</v>
      </c>
      <c r="J550" s="7">
        <v>-4.71999999999997</v>
      </c>
      <c r="K550" s="7">
        <v>5.98000000000002</v>
      </c>
      <c r="L550" s="7">
        <v>-7.81</v>
      </c>
      <c r="M550" s="7">
        <v>11.16</v>
      </c>
      <c r="N550" s="7">
        <v>-56.64</v>
      </c>
      <c r="O550" s="7">
        <v>-66.92</v>
      </c>
      <c r="P550" s="7">
        <v>-19.21</v>
      </c>
      <c r="Q550" s="7">
        <v>-31.32</v>
      </c>
      <c r="R550" s="7">
        <v>-96.53</v>
      </c>
      <c r="S550" s="7">
        <v>-190.32</v>
      </c>
      <c r="T550" s="7">
        <v>-213.1</v>
      </c>
      <c r="U550" s="7">
        <v>-336.73</v>
      </c>
      <c r="V550" s="7">
        <v>-697.67</v>
      </c>
      <c r="W550" s="7">
        <v>-739.13</v>
      </c>
      <c r="X550" s="7">
        <v>-368.35</v>
      </c>
      <c r="Y550" s="7">
        <v>-64.31</v>
      </c>
      <c r="Z550" s="9">
        <f>MAX($B$550:$Y$550)</f>
        <v>11.16</v>
      </c>
      <c r="AA550" s="9">
        <f>MIN($B$550:$Y$550)</f>
        <v>-739.13</v>
      </c>
      <c r="AB550" s="9">
        <f>AVERAGE($B$550:$Y$550)</f>
        <v>-121.73875</v>
      </c>
    </row>
    <row r="551" spans="1:28">
      <c r="A551" s="10">
        <v>45846</v>
      </c>
      <c r="B551" s="7">
        <v>-0.45999999999998</v>
      </c>
      <c r="C551" s="7">
        <v>-6.76999999999998</v>
      </c>
      <c r="D551" s="7">
        <v>-19.78</v>
      </c>
      <c r="E551" s="7">
        <v>-13.59</v>
      </c>
      <c r="F551" s="7">
        <v>-13.7</v>
      </c>
      <c r="G551" s="7">
        <v>-21.2</v>
      </c>
      <c r="H551" s="7">
        <v>-12.62</v>
      </c>
      <c r="I551" s="7">
        <v>-18.42</v>
      </c>
      <c r="J551" s="7">
        <v>-23.48</v>
      </c>
      <c r="K551" s="7">
        <v>-124.67</v>
      </c>
      <c r="L551" s="7">
        <v>-6.31999999999999</v>
      </c>
      <c r="M551" s="7">
        <v>-0.470000000000027</v>
      </c>
      <c r="N551" s="7">
        <v>-42.01</v>
      </c>
      <c r="O551" s="7">
        <v>-183.16</v>
      </c>
      <c r="P551" s="7">
        <v>-62.37</v>
      </c>
      <c r="Q551" s="7">
        <v>-59.49</v>
      </c>
      <c r="R551" s="7">
        <v>76.64</v>
      </c>
      <c r="S551" s="7">
        <v>67.31</v>
      </c>
      <c r="T551" s="7">
        <v>55.73</v>
      </c>
      <c r="U551" s="7">
        <v>73.59</v>
      </c>
      <c r="V551" s="7">
        <v>28.98</v>
      </c>
      <c r="W551" s="7">
        <v>16.08</v>
      </c>
      <c r="X551" s="7">
        <v>7.80000000000001</v>
      </c>
      <c r="Y551" s="7">
        <v>-6.89999999999998</v>
      </c>
      <c r="Z551" s="9">
        <f>MAX($B$551:$Y$551)</f>
        <v>76.64</v>
      </c>
      <c r="AA551" s="9">
        <f>MIN($B$551:$Y$551)</f>
        <v>-183.16</v>
      </c>
      <c r="AB551" s="9">
        <f>AVERAGE($B$551:$Y$551)</f>
        <v>-12.0533333333333</v>
      </c>
    </row>
    <row r="552" spans="1:28">
      <c r="A552" s="10">
        <v>45847</v>
      </c>
      <c r="B552" s="7">
        <v>86.28</v>
      </c>
      <c r="C552" s="7">
        <v>44.89</v>
      </c>
      <c r="D552" s="7">
        <v>16.78</v>
      </c>
      <c r="E552" s="7">
        <v>18.9</v>
      </c>
      <c r="F552" s="7">
        <v>18.67</v>
      </c>
      <c r="G552" s="7">
        <v>16.74</v>
      </c>
      <c r="H552" s="7">
        <v>13.9</v>
      </c>
      <c r="I552" s="7">
        <v>6.44</v>
      </c>
      <c r="J552" s="7">
        <v>-3.56999999999999</v>
      </c>
      <c r="K552" s="7">
        <v>39.73</v>
      </c>
      <c r="L552" s="7">
        <v>35.65</v>
      </c>
      <c r="M552" s="7">
        <v>70.45</v>
      </c>
      <c r="N552" s="7">
        <v>77.7</v>
      </c>
      <c r="O552" s="7">
        <v>30.39</v>
      </c>
      <c r="P552" s="7">
        <v>110.48</v>
      </c>
      <c r="Q552" s="7">
        <v>-105.26</v>
      </c>
      <c r="R552" s="7">
        <v>-161.45</v>
      </c>
      <c r="S552" s="7">
        <v>-161.5</v>
      </c>
      <c r="T552" s="7">
        <v>-23.25</v>
      </c>
      <c r="U552" s="7">
        <v>114.24</v>
      </c>
      <c r="V552" s="7">
        <v>39.13</v>
      </c>
      <c r="W552" s="7">
        <v>-53.59</v>
      </c>
      <c r="X552" s="7">
        <v>-27.94</v>
      </c>
      <c r="Y552" s="7">
        <v>19.61</v>
      </c>
      <c r="Z552" s="9">
        <f>MAX($B$552:$Y$552)</f>
        <v>114.24</v>
      </c>
      <c r="AA552" s="9">
        <f>MIN($B$552:$Y$552)</f>
        <v>-161.5</v>
      </c>
      <c r="AB552" s="9">
        <f>AVERAGE($B$552:$Y$552)</f>
        <v>9.30916666666666</v>
      </c>
    </row>
    <row r="553" spans="1:28">
      <c r="A553" s="10">
        <v>45848</v>
      </c>
      <c r="B553" s="7">
        <v>26.78</v>
      </c>
      <c r="C553" s="7">
        <v>1.00999999999999</v>
      </c>
      <c r="D553" s="7">
        <v>-14.35</v>
      </c>
      <c r="E553" s="7">
        <v>-6.75</v>
      </c>
      <c r="F553" s="7">
        <v>-3.61999999999998</v>
      </c>
      <c r="G553" s="7">
        <v>-13.88</v>
      </c>
      <c r="H553" s="7">
        <v>-16.2</v>
      </c>
      <c r="I553" s="7">
        <v>-15.48</v>
      </c>
      <c r="J553" s="7">
        <v>-3.19</v>
      </c>
      <c r="K553" s="7">
        <v>51.76</v>
      </c>
      <c r="L553" s="7">
        <v>73.27</v>
      </c>
      <c r="M553" s="7">
        <v>41.08</v>
      </c>
      <c r="N553" s="7">
        <v>31.49</v>
      </c>
      <c r="O553" s="7">
        <v>124.71</v>
      </c>
      <c r="P553" s="7">
        <v>189.36</v>
      </c>
      <c r="Q553" s="7">
        <v>125.9</v>
      </c>
      <c r="R553" s="7">
        <v>93.39</v>
      </c>
      <c r="S553" s="7">
        <v>105.28</v>
      </c>
      <c r="T553" s="7">
        <v>40.46</v>
      </c>
      <c r="U553" s="7">
        <v>59.52</v>
      </c>
      <c r="V553" s="7">
        <v>54.01</v>
      </c>
      <c r="W553" s="7">
        <v>44.4</v>
      </c>
      <c r="X553" s="7">
        <v>65.14</v>
      </c>
      <c r="Y553" s="7">
        <v>9.29000000000002</v>
      </c>
      <c r="Z553" s="9">
        <f>MAX($B$553:$Y$553)</f>
        <v>189.36</v>
      </c>
      <c r="AA553" s="9">
        <f>MIN($B$553:$Y$553)</f>
        <v>-16.2</v>
      </c>
      <c r="AB553" s="9">
        <f>AVERAGE($B$553:$Y$553)</f>
        <v>44.3075</v>
      </c>
    </row>
    <row r="554" spans="1:28">
      <c r="A554" s="10">
        <v>45849</v>
      </c>
      <c r="B554" s="7">
        <v>9.63</v>
      </c>
      <c r="C554" s="7">
        <v>5.44999999999999</v>
      </c>
      <c r="D554" s="7">
        <v>17.32</v>
      </c>
      <c r="E554" s="7">
        <v>12.34</v>
      </c>
      <c r="F554" s="7">
        <v>8.51000000000002</v>
      </c>
      <c r="G554" s="7">
        <v>16.73</v>
      </c>
      <c r="H554" s="7">
        <v>16.5</v>
      </c>
      <c r="I554" s="7">
        <v>13.84</v>
      </c>
      <c r="J554" s="7">
        <v>18.61</v>
      </c>
      <c r="K554" s="7">
        <v>0.720000000000027</v>
      </c>
      <c r="L554" s="7">
        <v>45.2</v>
      </c>
      <c r="M554" s="7">
        <v>41.1</v>
      </c>
      <c r="N554" s="7">
        <v>13.14</v>
      </c>
      <c r="O554" s="7">
        <v>-13.89</v>
      </c>
      <c r="P554" s="7">
        <v>57.39</v>
      </c>
      <c r="Q554" s="7">
        <v>49.62</v>
      </c>
      <c r="R554" s="7">
        <v>52</v>
      </c>
      <c r="S554" s="7">
        <v>51.57</v>
      </c>
      <c r="T554" s="7">
        <v>-0.0699999999999932</v>
      </c>
      <c r="U554" s="7">
        <v>48.64</v>
      </c>
      <c r="V554" s="7">
        <v>28.52</v>
      </c>
      <c r="W554" s="7">
        <v>21.83</v>
      </c>
      <c r="X554" s="7">
        <v>-22.17</v>
      </c>
      <c r="Y554" s="7">
        <v>12.36</v>
      </c>
      <c r="Z554" s="9">
        <f>MAX($B$554:$Y$554)</f>
        <v>57.39</v>
      </c>
      <c r="AA554" s="9">
        <f>MIN($B$554:$Y$554)</f>
        <v>-22.17</v>
      </c>
      <c r="AB554" s="9">
        <f>AVERAGE($B$554:$Y$554)</f>
        <v>21.0370833333333</v>
      </c>
    </row>
    <row r="555" spans="1:28">
      <c r="A555" s="10">
        <v>45850</v>
      </c>
      <c r="B555" s="7">
        <v>-10.02</v>
      </c>
      <c r="C555" s="7">
        <v>4.50999999999999</v>
      </c>
      <c r="D555" s="7">
        <v>3.33999999999997</v>
      </c>
      <c r="E555" s="7">
        <v>13.2</v>
      </c>
      <c r="F555" s="7">
        <v>19.64</v>
      </c>
      <c r="G555" s="7">
        <v>-3.59</v>
      </c>
      <c r="H555" s="7">
        <v>18.42</v>
      </c>
      <c r="I555" s="7">
        <v>25.99</v>
      </c>
      <c r="J555" s="7">
        <v>-13.92</v>
      </c>
      <c r="K555" s="7">
        <v>2.28000000000003</v>
      </c>
      <c r="L555" s="7">
        <v>25.5</v>
      </c>
      <c r="M555" s="7">
        <v>24.68</v>
      </c>
      <c r="N555" s="7">
        <v>19.47</v>
      </c>
      <c r="O555" s="7">
        <v>-3.01000000000005</v>
      </c>
      <c r="P555" s="7">
        <v>13.1</v>
      </c>
      <c r="Q555" s="7">
        <v>4.01999999999998</v>
      </c>
      <c r="R555" s="7">
        <v>1.31</v>
      </c>
      <c r="S555" s="7">
        <v>13.68</v>
      </c>
      <c r="T555" s="7">
        <v>3.36000000000001</v>
      </c>
      <c r="U555" s="7">
        <v>9.27999999999997</v>
      </c>
      <c r="V555" s="7">
        <v>-62.17</v>
      </c>
      <c r="W555" s="7">
        <v>-74.4</v>
      </c>
      <c r="X555" s="7">
        <v>-64.98</v>
      </c>
      <c r="Y555" s="7">
        <v>-26</v>
      </c>
      <c r="Z555" s="9">
        <f>MAX($B$555:$Y$555)</f>
        <v>25.99</v>
      </c>
      <c r="AA555" s="9">
        <f>MIN($B$555:$Y$555)</f>
        <v>-74.4</v>
      </c>
      <c r="AB555" s="9">
        <f>AVERAGE($B$555:$Y$555)</f>
        <v>-2.34625</v>
      </c>
    </row>
    <row r="556" spans="1:28">
      <c r="A556" s="10">
        <v>45851</v>
      </c>
      <c r="B556" s="7">
        <v>-24.36</v>
      </c>
      <c r="C556" s="7">
        <v>-16.99</v>
      </c>
      <c r="D556" s="7">
        <v>-2.99000000000001</v>
      </c>
      <c r="E556" s="7">
        <v>10.3</v>
      </c>
      <c r="F556" s="7">
        <v>-0.409999999999997</v>
      </c>
      <c r="G556" s="7">
        <v>0.929999999999978</v>
      </c>
      <c r="H556" s="7">
        <v>11.99</v>
      </c>
      <c r="I556" s="7">
        <v>30.57</v>
      </c>
      <c r="J556" s="7">
        <v>57.63</v>
      </c>
      <c r="K556" s="7">
        <v>53.49</v>
      </c>
      <c r="L556" s="7">
        <v>38.84</v>
      </c>
      <c r="M556" s="7">
        <v>34.34</v>
      </c>
      <c r="N556" s="7">
        <v>-4.66</v>
      </c>
      <c r="O556" s="7">
        <v>0.72999999999999</v>
      </c>
      <c r="P556" s="7">
        <v>12.14</v>
      </c>
      <c r="Q556" s="7">
        <v>19.86</v>
      </c>
      <c r="R556" s="7">
        <v>7.21000000000001</v>
      </c>
      <c r="S556" s="7">
        <v>0.669999999999959</v>
      </c>
      <c r="T556" s="7">
        <v>3.69</v>
      </c>
      <c r="U556" s="7">
        <v>-2.97000000000003</v>
      </c>
      <c r="V556" s="7">
        <v>-16</v>
      </c>
      <c r="W556" s="7">
        <v>-10.13</v>
      </c>
      <c r="X556" s="7">
        <v>9.34000000000003</v>
      </c>
      <c r="Y556" s="7">
        <v>2.60999999999996</v>
      </c>
      <c r="Z556" s="9">
        <f>MAX($B$556:$Y$556)</f>
        <v>57.63</v>
      </c>
      <c r="AA556" s="9">
        <f>MIN($B$556:$Y$556)</f>
        <v>-24.36</v>
      </c>
      <c r="AB556" s="9">
        <f>AVERAGE($B$556:$Y$556)</f>
        <v>8.99291666666666</v>
      </c>
    </row>
    <row r="557" spans="1:28">
      <c r="A557" s="10">
        <v>45852</v>
      </c>
      <c r="B557" s="7">
        <v>-16.32</v>
      </c>
      <c r="C557" s="7">
        <v>-10.8</v>
      </c>
      <c r="D557" s="7">
        <v>-8.54999999999995</v>
      </c>
      <c r="E557" s="7">
        <v>-2.94999999999999</v>
      </c>
      <c r="F557" s="7">
        <v>-3.42000000000002</v>
      </c>
      <c r="G557" s="7">
        <v>-3.94999999999999</v>
      </c>
      <c r="H557" s="7">
        <v>-6.87000000000003</v>
      </c>
      <c r="I557" s="7">
        <v>-19.59</v>
      </c>
      <c r="J557" s="7">
        <v>-16.63</v>
      </c>
      <c r="K557" s="7">
        <v>-39.82</v>
      </c>
      <c r="L557" s="7">
        <v>25.9</v>
      </c>
      <c r="M557" s="7">
        <v>31.43</v>
      </c>
      <c r="N557" s="7">
        <v>22.11</v>
      </c>
      <c r="O557" s="7">
        <v>8.43000000000001</v>
      </c>
      <c r="P557" s="7">
        <v>12.04</v>
      </c>
      <c r="Q557" s="7">
        <v>12.4</v>
      </c>
      <c r="R557" s="7">
        <v>13.26</v>
      </c>
      <c r="S557" s="7">
        <v>-96.36</v>
      </c>
      <c r="T557" s="7">
        <v>-110.23</v>
      </c>
      <c r="U557" s="7">
        <v>-516.36</v>
      </c>
      <c r="V557" s="7">
        <v>-726.73</v>
      </c>
      <c r="W557" s="7">
        <v>-684.84</v>
      </c>
      <c r="X557" s="7">
        <v>-350.65</v>
      </c>
      <c r="Y557" s="7">
        <v>-22.13</v>
      </c>
      <c r="Z557" s="9">
        <f>MAX($B$557:$Y$557)</f>
        <v>31.43</v>
      </c>
      <c r="AA557" s="9">
        <f>MIN($B$557:$Y$557)</f>
        <v>-726.73</v>
      </c>
      <c r="AB557" s="9">
        <f>AVERAGE($B$557:$Y$557)</f>
        <v>-104.609583333333</v>
      </c>
    </row>
    <row r="558" spans="1:28">
      <c r="A558" s="10">
        <v>45853</v>
      </c>
      <c r="B558" s="7">
        <v>8.13</v>
      </c>
      <c r="C558" s="7">
        <v>10.96</v>
      </c>
      <c r="D558" s="7">
        <v>44.77</v>
      </c>
      <c r="E558" s="7">
        <v>78.35</v>
      </c>
      <c r="F558" s="7">
        <v>7.49999999999997</v>
      </c>
      <c r="G558" s="7">
        <v>1.31</v>
      </c>
      <c r="H558" s="7">
        <v>1.38999999999999</v>
      </c>
      <c r="I558" s="7">
        <v>7.61000000000001</v>
      </c>
      <c r="J558" s="7">
        <v>6.18000000000001</v>
      </c>
      <c r="K558" s="7">
        <v>36.22</v>
      </c>
      <c r="L558" s="7">
        <v>25.95</v>
      </c>
      <c r="M558" s="7">
        <v>26.33</v>
      </c>
      <c r="N558" s="7">
        <v>49.9</v>
      </c>
      <c r="O558" s="7">
        <v>75.63</v>
      </c>
      <c r="P558" s="7">
        <v>58.61</v>
      </c>
      <c r="Q558" s="7">
        <v>75.96</v>
      </c>
      <c r="R558" s="7">
        <v>208.14</v>
      </c>
      <c r="S558" s="7">
        <v>122.22</v>
      </c>
      <c r="T558" s="7">
        <v>60.79</v>
      </c>
      <c r="U558" s="7">
        <v>152.96</v>
      </c>
      <c r="V558" s="7">
        <v>87.03</v>
      </c>
      <c r="W558" s="7">
        <v>9.65000000000003</v>
      </c>
      <c r="X558" s="7">
        <v>41.13</v>
      </c>
      <c r="Y558" s="7">
        <v>38.08</v>
      </c>
      <c r="Z558" s="9">
        <f>MAX($B$558:$Y$558)</f>
        <v>208.14</v>
      </c>
      <c r="AA558" s="9">
        <f>MIN($B$558:$Y$558)</f>
        <v>1.31</v>
      </c>
      <c r="AB558" s="9">
        <f>AVERAGE($B$558:$Y$558)</f>
        <v>51.45</v>
      </c>
    </row>
    <row r="559" spans="1:28">
      <c r="A559" s="10">
        <v>45854</v>
      </c>
      <c r="B559" s="7">
        <v>-28.15</v>
      </c>
      <c r="C559" s="7">
        <v>-2.51999999999998</v>
      </c>
      <c r="D559" s="7">
        <v>1.35999999999996</v>
      </c>
      <c r="E559" s="7">
        <v>4.25</v>
      </c>
      <c r="F559" s="7">
        <v>4.19</v>
      </c>
      <c r="G559" s="7">
        <v>7.23000000000002</v>
      </c>
      <c r="H559" s="7">
        <v>3.09999999999997</v>
      </c>
      <c r="I559" s="7">
        <v>5.46000000000004</v>
      </c>
      <c r="J559" s="7">
        <v>5.58000000000004</v>
      </c>
      <c r="K559" s="7">
        <v>57.49</v>
      </c>
      <c r="L559" s="7">
        <v>32.61</v>
      </c>
      <c r="M559" s="7">
        <v>35.96</v>
      </c>
      <c r="N559" s="7">
        <v>22.14</v>
      </c>
      <c r="O559" s="7">
        <v>63.98</v>
      </c>
      <c r="P559" s="7">
        <v>75.99</v>
      </c>
      <c r="Q559" s="7">
        <v>72.87</v>
      </c>
      <c r="R559" s="7">
        <v>68.75</v>
      </c>
      <c r="S559" s="7">
        <v>123.49</v>
      </c>
      <c r="T559" s="7">
        <v>18.28</v>
      </c>
      <c r="U559" s="7">
        <v>66.25</v>
      </c>
      <c r="V559" s="7">
        <v>0.860000000000014</v>
      </c>
      <c r="W559" s="7">
        <v>-110.02</v>
      </c>
      <c r="X559" s="7">
        <v>-117.29</v>
      </c>
      <c r="Y559" s="7">
        <v>-20.83</v>
      </c>
      <c r="Z559" s="9">
        <f>MAX($B$559:$Y$559)</f>
        <v>123.49</v>
      </c>
      <c r="AA559" s="9">
        <f>MIN($B$559:$Y$559)</f>
        <v>-117.29</v>
      </c>
      <c r="AB559" s="9">
        <f>AVERAGE($B$559:$Y$559)</f>
        <v>16.2929166666667</v>
      </c>
    </row>
    <row r="560" spans="1:28">
      <c r="A560" s="10">
        <v>45855</v>
      </c>
      <c r="B560" s="7">
        <v>-39.49</v>
      </c>
      <c r="C560" s="7">
        <v>-29.48</v>
      </c>
      <c r="D560" s="7">
        <v>-59.6</v>
      </c>
      <c r="E560" s="7">
        <v>-59.54</v>
      </c>
      <c r="F560" s="7">
        <v>-36.78</v>
      </c>
      <c r="G560" s="7">
        <v>-34</v>
      </c>
      <c r="H560" s="7">
        <v>-21.14</v>
      </c>
      <c r="I560" s="7">
        <v>-0.610000000000014</v>
      </c>
      <c r="J560" s="7">
        <v>17.84</v>
      </c>
      <c r="K560" s="7">
        <v>64.38</v>
      </c>
      <c r="L560" s="7">
        <v>68.77</v>
      </c>
      <c r="M560" s="7">
        <v>117.26</v>
      </c>
      <c r="N560" s="7">
        <v>53.13</v>
      </c>
      <c r="O560" s="7">
        <v>8.40999999999997</v>
      </c>
      <c r="P560" s="7">
        <v>66.85</v>
      </c>
      <c r="Q560" s="7">
        <v>79.26</v>
      </c>
      <c r="R560" s="7">
        <v>85.25</v>
      </c>
      <c r="S560" s="7">
        <v>58.12</v>
      </c>
      <c r="T560" s="7">
        <v>17.64</v>
      </c>
      <c r="U560" s="7">
        <v>-101.25</v>
      </c>
      <c r="V560" s="7">
        <v>-174.53</v>
      </c>
      <c r="W560" s="7">
        <v>-355.26</v>
      </c>
      <c r="X560" s="7">
        <v>-269.39</v>
      </c>
      <c r="Y560" s="7">
        <v>-81.85</v>
      </c>
      <c r="Z560" s="9">
        <f>MAX($B$560:$Y$560)</f>
        <v>117.26</v>
      </c>
      <c r="AA560" s="9">
        <f>MIN($B$560:$Y$560)</f>
        <v>-355.26</v>
      </c>
      <c r="AB560" s="9">
        <f>AVERAGE($B$560:$Y$560)</f>
        <v>-26.08375</v>
      </c>
    </row>
    <row r="561" spans="1:28">
      <c r="A561" s="10">
        <v>45856</v>
      </c>
      <c r="B561" s="7">
        <v>-348.67</v>
      </c>
      <c r="C561" s="7">
        <v>-32</v>
      </c>
      <c r="D561" s="7">
        <v>-305.58</v>
      </c>
      <c r="E561" s="7">
        <v>-213.45</v>
      </c>
      <c r="F561" s="7">
        <v>-30.41</v>
      </c>
      <c r="G561" s="7">
        <v>-31.4</v>
      </c>
      <c r="H561" s="7">
        <v>-29.4299999999999</v>
      </c>
      <c r="I561" s="7">
        <v>-12.82</v>
      </c>
      <c r="J561" s="7">
        <v>-49.76</v>
      </c>
      <c r="K561" s="7">
        <v>1.64999999999998</v>
      </c>
      <c r="L561" s="7">
        <v>140.13</v>
      </c>
      <c r="M561" s="7">
        <v>158.11</v>
      </c>
      <c r="N561" s="7">
        <v>66.79</v>
      </c>
      <c r="O561" s="7">
        <v>80.59</v>
      </c>
      <c r="P561" s="7">
        <v>274.83</v>
      </c>
      <c r="Q561" s="7">
        <v>221.11</v>
      </c>
      <c r="R561" s="7">
        <v>209.64</v>
      </c>
      <c r="S561" s="7">
        <v>235.15</v>
      </c>
      <c r="T561" s="7">
        <v>202.24</v>
      </c>
      <c r="U561" s="7">
        <v>231.39</v>
      </c>
      <c r="V561" s="7">
        <v>254.06</v>
      </c>
      <c r="W561" s="7">
        <v>304.91</v>
      </c>
      <c r="X561" s="7">
        <v>296.99</v>
      </c>
      <c r="Y561" s="7">
        <v>218.41</v>
      </c>
      <c r="Z561" s="9">
        <f>MAX($B$561:$Y$561)</f>
        <v>304.91</v>
      </c>
      <c r="AA561" s="9">
        <f>MIN($B$561:$Y$561)</f>
        <v>-348.67</v>
      </c>
      <c r="AB561" s="9">
        <f>AVERAGE($B$561:$Y$561)</f>
        <v>76.77</v>
      </c>
    </row>
    <row r="562" spans="1:28">
      <c r="A562" s="10">
        <v>45857</v>
      </c>
      <c r="B562" s="7">
        <v>124.7</v>
      </c>
      <c r="C562" s="7">
        <v>120.28</v>
      </c>
      <c r="D562" s="7">
        <v>95.16</v>
      </c>
      <c r="E562" s="7">
        <v>74.87</v>
      </c>
      <c r="F562" s="7">
        <v>58.78</v>
      </c>
      <c r="G562" s="7">
        <v>73.12</v>
      </c>
      <c r="H562" s="7">
        <v>66.37</v>
      </c>
      <c r="I562" s="7">
        <v>58.78</v>
      </c>
      <c r="J562" s="7">
        <v>73.22</v>
      </c>
      <c r="K562" s="7">
        <v>123.11</v>
      </c>
      <c r="L562" s="7">
        <v>114.66</v>
      </c>
      <c r="M562" s="7">
        <v>105.3</v>
      </c>
      <c r="N562" s="7">
        <v>99.89</v>
      </c>
      <c r="O562" s="7">
        <v>136.56</v>
      </c>
      <c r="P562" s="7">
        <v>114.8</v>
      </c>
      <c r="Q562" s="7">
        <v>84.05</v>
      </c>
      <c r="R562" s="7">
        <v>93.86</v>
      </c>
      <c r="S562" s="7">
        <v>91.28</v>
      </c>
      <c r="T562" s="7">
        <v>16.85</v>
      </c>
      <c r="U562" s="7">
        <v>155.01</v>
      </c>
      <c r="V562" s="7">
        <v>116.26</v>
      </c>
      <c r="W562" s="7">
        <v>81.85</v>
      </c>
      <c r="X562" s="7">
        <v>75.3</v>
      </c>
      <c r="Y562" s="7">
        <v>36.98</v>
      </c>
      <c r="Z562" s="9">
        <f>MAX($B$562:$Y$562)</f>
        <v>155.01</v>
      </c>
      <c r="AA562" s="9">
        <f>MIN($B$562:$Y$562)</f>
        <v>16.85</v>
      </c>
      <c r="AB562" s="9">
        <f>AVERAGE($B$562:$Y$562)</f>
        <v>91.2933333333333</v>
      </c>
    </row>
    <row r="563" spans="1:28">
      <c r="A563" s="10">
        <v>45858</v>
      </c>
      <c r="B563" s="7">
        <v>-175.04</v>
      </c>
      <c r="C563" s="7">
        <v>-41.82</v>
      </c>
      <c r="D563" s="7">
        <v>-66.08</v>
      </c>
      <c r="E563" s="7">
        <v>-44.53</v>
      </c>
      <c r="F563" s="7">
        <v>-24.15</v>
      </c>
      <c r="G563" s="7">
        <v>-21.54</v>
      </c>
      <c r="H563" s="7">
        <v>-24.76</v>
      </c>
      <c r="I563" s="7">
        <v>-18.84</v>
      </c>
      <c r="J563" s="7">
        <v>-5.75</v>
      </c>
      <c r="K563" s="7">
        <v>8.41</v>
      </c>
      <c r="L563" s="7">
        <v>64.17</v>
      </c>
      <c r="M563" s="7">
        <v>28.29</v>
      </c>
      <c r="N563" s="7">
        <v>87.37</v>
      </c>
      <c r="O563" s="7">
        <v>25.74</v>
      </c>
      <c r="P563" s="7">
        <v>85.96</v>
      </c>
      <c r="Q563" s="7">
        <v>169.42</v>
      </c>
      <c r="R563" s="7">
        <v>139.23</v>
      </c>
      <c r="S563" s="7">
        <v>33.81</v>
      </c>
      <c r="T563" s="7">
        <v>-4.99000000000001</v>
      </c>
      <c r="U563" s="7">
        <v>9.56999999999999</v>
      </c>
      <c r="V563" s="7">
        <v>43.99</v>
      </c>
      <c r="W563" s="7">
        <v>15.68</v>
      </c>
      <c r="X563" s="7">
        <v>11.92</v>
      </c>
      <c r="Y563" s="7">
        <v>20.89</v>
      </c>
      <c r="Z563" s="9">
        <f>MAX($B$563:$Y$563)</f>
        <v>169.42</v>
      </c>
      <c r="AA563" s="9">
        <f>MIN($B$563:$Y$563)</f>
        <v>-175.04</v>
      </c>
      <c r="AB563" s="9">
        <f>AVERAGE($B$563:$Y$563)</f>
        <v>13.20625</v>
      </c>
    </row>
    <row r="564" spans="1:28">
      <c r="A564" s="10">
        <v>45859</v>
      </c>
      <c r="B564" s="7">
        <v>34.04</v>
      </c>
      <c r="C564" s="7">
        <v>3.91999999999999</v>
      </c>
      <c r="D564" s="7">
        <v>27.19</v>
      </c>
      <c r="E564" s="7">
        <v>21.74</v>
      </c>
      <c r="F564" s="7">
        <v>-5.79999999999998</v>
      </c>
      <c r="G564" s="7">
        <v>-31.45</v>
      </c>
      <c r="H564" s="7">
        <v>-3.31</v>
      </c>
      <c r="I564" s="7">
        <v>-5.28999999999999</v>
      </c>
      <c r="J564" s="7">
        <v>-2.39999999999998</v>
      </c>
      <c r="K564" s="7">
        <v>-64.5599999999999</v>
      </c>
      <c r="L564" s="7">
        <v>-135.26</v>
      </c>
      <c r="M564" s="7">
        <v>-40.75</v>
      </c>
      <c r="N564" s="7">
        <v>26.68</v>
      </c>
      <c r="O564" s="7">
        <v>-181.16</v>
      </c>
      <c r="P564" s="7">
        <v>-154.58</v>
      </c>
      <c r="Q564" s="7">
        <v>-75.17</v>
      </c>
      <c r="R564" s="7">
        <v>-35.21</v>
      </c>
      <c r="S564" s="7">
        <v>-19.3200000000001</v>
      </c>
      <c r="T564" s="7">
        <v>-11.94</v>
      </c>
      <c r="U564" s="7">
        <v>11.7</v>
      </c>
      <c r="V564" s="7">
        <v>10.51</v>
      </c>
      <c r="W564" s="7">
        <v>21.4</v>
      </c>
      <c r="X564" s="7">
        <v>14.79</v>
      </c>
      <c r="Y564" s="7">
        <v>-3.34999999999999</v>
      </c>
      <c r="Z564" s="9">
        <f>MAX($B$564:$Y$564)</f>
        <v>34.04</v>
      </c>
      <c r="AA564" s="9">
        <f>MIN($B$564:$Y$564)</f>
        <v>-181.16</v>
      </c>
      <c r="AB564" s="9">
        <f>AVERAGE($B$564:$Y$564)</f>
        <v>-24.8991666666667</v>
      </c>
    </row>
    <row r="565" spans="1:28">
      <c r="A565" s="10">
        <v>45860</v>
      </c>
      <c r="B565" s="7">
        <v>-23.63</v>
      </c>
      <c r="C565" s="7">
        <v>-8.61000000000001</v>
      </c>
      <c r="D565" s="7">
        <v>-5.63</v>
      </c>
      <c r="E565" s="7">
        <v>-3.54999999999998</v>
      </c>
      <c r="F565" s="7">
        <v>12.61</v>
      </c>
      <c r="G565" s="7">
        <v>15.15</v>
      </c>
      <c r="H565" s="7">
        <v>9.84999999999999</v>
      </c>
      <c r="I565" s="7">
        <v>10.46</v>
      </c>
      <c r="J565" s="7">
        <v>-17.03</v>
      </c>
      <c r="K565" s="7">
        <v>-28.82</v>
      </c>
      <c r="L565" s="7">
        <v>-2.52999999999997</v>
      </c>
      <c r="M565" s="7">
        <v>4.19</v>
      </c>
      <c r="N565" s="7">
        <v>-14.06</v>
      </c>
      <c r="O565" s="7">
        <v>-3.46999999999997</v>
      </c>
      <c r="P565" s="7">
        <v>16.04</v>
      </c>
      <c r="Q565" s="7">
        <v>16.56</v>
      </c>
      <c r="R565" s="7">
        <v>-9.05000000000001</v>
      </c>
      <c r="S565" s="7">
        <v>-40.83</v>
      </c>
      <c r="T565" s="7">
        <v>16.53</v>
      </c>
      <c r="U565" s="7">
        <v>14.51</v>
      </c>
      <c r="V565" s="7">
        <v>11.14</v>
      </c>
      <c r="W565" s="7">
        <v>11.22</v>
      </c>
      <c r="X565" s="7">
        <v>13.13</v>
      </c>
      <c r="Y565" s="7">
        <v>-2.54000000000002</v>
      </c>
      <c r="Z565" s="9">
        <f>MAX($B$565:$Y$565)</f>
        <v>16.56</v>
      </c>
      <c r="AA565" s="9">
        <f>MIN($B$565:$Y$565)</f>
        <v>-40.83</v>
      </c>
      <c r="AB565" s="9">
        <f>AVERAGE($B$565:$Y$565)</f>
        <v>-0.348333333333333</v>
      </c>
    </row>
    <row r="566" spans="1:28">
      <c r="A566" s="10">
        <v>45861</v>
      </c>
      <c r="B566" s="7">
        <v>5.63</v>
      </c>
      <c r="C566" s="7">
        <v>8.06999999999999</v>
      </c>
      <c r="D566" s="7">
        <v>7.89999999999998</v>
      </c>
      <c r="E566" s="7">
        <v>36.32</v>
      </c>
      <c r="F566" s="7">
        <v>9.97999999999999</v>
      </c>
      <c r="G566" s="7">
        <v>4.68000000000001</v>
      </c>
      <c r="H566" s="7">
        <v>10.09</v>
      </c>
      <c r="I566" s="7">
        <v>10.01</v>
      </c>
      <c r="J566" s="7">
        <v>-20.14</v>
      </c>
      <c r="K566" s="7">
        <v>33.98</v>
      </c>
      <c r="L566" s="7">
        <v>55.99</v>
      </c>
      <c r="M566" s="7">
        <v>54.11</v>
      </c>
      <c r="N566" s="7">
        <v>87.9</v>
      </c>
      <c r="O566" s="7">
        <v>41.53</v>
      </c>
      <c r="P566" s="7">
        <v>70.58</v>
      </c>
      <c r="Q566" s="7">
        <v>67.79</v>
      </c>
      <c r="R566" s="7">
        <v>92.44</v>
      </c>
      <c r="S566" s="7">
        <v>33.68</v>
      </c>
      <c r="T566" s="7">
        <v>-13.19</v>
      </c>
      <c r="U566" s="7">
        <v>47.81</v>
      </c>
      <c r="V566" s="7">
        <v>37.71</v>
      </c>
      <c r="W566" s="7">
        <v>40.82</v>
      </c>
      <c r="X566" s="7">
        <v>31.39</v>
      </c>
      <c r="Y566" s="7">
        <v>8.00999999999999</v>
      </c>
      <c r="Z566" s="9">
        <f>MAX($B$566:$Y$566)</f>
        <v>92.44</v>
      </c>
      <c r="AA566" s="9">
        <f>MIN($B$566:$Y$566)</f>
        <v>-20.14</v>
      </c>
      <c r="AB566" s="9">
        <f>AVERAGE($B$566:$Y$566)</f>
        <v>31.7954166666667</v>
      </c>
    </row>
    <row r="567" spans="1:28">
      <c r="A567" s="10">
        <v>45862</v>
      </c>
      <c r="B567" s="7">
        <v>5.86000000000001</v>
      </c>
      <c r="C567" s="7">
        <v>9.14999999999998</v>
      </c>
      <c r="D567" s="7">
        <v>2.25</v>
      </c>
      <c r="E567" s="7">
        <v>2.57999999999998</v>
      </c>
      <c r="F567" s="7">
        <v>3.04000000000002</v>
      </c>
      <c r="G567" s="7">
        <v>7.80000000000001</v>
      </c>
      <c r="H567" s="7">
        <v>2.11000000000001</v>
      </c>
      <c r="I567" s="7">
        <v>-0.330000000000041</v>
      </c>
      <c r="J567" s="7">
        <v>-15.09</v>
      </c>
      <c r="K567" s="7">
        <v>-16.95</v>
      </c>
      <c r="L567" s="7">
        <v>-1.84</v>
      </c>
      <c r="M567" s="7">
        <v>37.18</v>
      </c>
      <c r="N567" s="7">
        <v>54.73</v>
      </c>
      <c r="O567" s="7">
        <v>22.12</v>
      </c>
      <c r="P567" s="7">
        <v>21.39</v>
      </c>
      <c r="Q567" s="7">
        <v>48.9</v>
      </c>
      <c r="R567" s="7">
        <v>59.84</v>
      </c>
      <c r="S567" s="7">
        <v>116.99</v>
      </c>
      <c r="T567" s="7">
        <v>49.78</v>
      </c>
      <c r="U567" s="7">
        <v>285.88</v>
      </c>
      <c r="V567" s="7">
        <v>185.08</v>
      </c>
      <c r="W567" s="7">
        <v>90.99</v>
      </c>
      <c r="X567" s="7">
        <v>52.95</v>
      </c>
      <c r="Y567" s="7">
        <v>10.95</v>
      </c>
      <c r="Z567" s="9">
        <f>MAX($B$567:$Y$567)</f>
        <v>285.88</v>
      </c>
      <c r="AA567" s="9">
        <f>MIN($B$567:$Y$567)</f>
        <v>-16.95</v>
      </c>
      <c r="AB567" s="9">
        <f>AVERAGE($B$567:$Y$567)</f>
        <v>43.14</v>
      </c>
    </row>
    <row r="568" spans="1:28">
      <c r="A568" s="10">
        <v>45863</v>
      </c>
      <c r="B568" s="7">
        <v>-2.82000000000005</v>
      </c>
      <c r="C568" s="7">
        <v>16.3</v>
      </c>
      <c r="D568" s="7">
        <v>24.09</v>
      </c>
      <c r="E568" s="7">
        <v>13.62</v>
      </c>
      <c r="F568" s="7">
        <v>12.57</v>
      </c>
      <c r="G568" s="7">
        <v>8.07999999999998</v>
      </c>
      <c r="H568" s="7">
        <v>4.48000000000002</v>
      </c>
      <c r="I568" s="7">
        <v>7.63999999999999</v>
      </c>
      <c r="J568" s="7">
        <v>28.04</v>
      </c>
      <c r="K568" s="7">
        <v>58.03</v>
      </c>
      <c r="L568" s="7">
        <v>41.01</v>
      </c>
      <c r="M568" s="7">
        <v>65.2</v>
      </c>
      <c r="N568" s="7">
        <v>50.49</v>
      </c>
      <c r="O568" s="7">
        <v>36.02</v>
      </c>
      <c r="P568" s="7">
        <v>-49.76</v>
      </c>
      <c r="Q568" s="7">
        <v>-18.16</v>
      </c>
      <c r="R568" s="7">
        <v>138.02</v>
      </c>
      <c r="S568" s="7">
        <v>112.32</v>
      </c>
      <c r="T568" s="7">
        <v>33.6199999999999</v>
      </c>
      <c r="U568" s="7">
        <v>187.29</v>
      </c>
      <c r="V568" s="7">
        <v>90.04</v>
      </c>
      <c r="W568" s="7">
        <v>74.27</v>
      </c>
      <c r="X568" s="7">
        <v>154.57</v>
      </c>
      <c r="Y568" s="7">
        <v>56.21</v>
      </c>
      <c r="Z568" s="9">
        <f>MAX($B$568:$Y$568)</f>
        <v>187.29</v>
      </c>
      <c r="AA568" s="9">
        <f>MIN($B$568:$Y$568)</f>
        <v>-49.76</v>
      </c>
      <c r="AB568" s="9">
        <f>AVERAGE($B$568:$Y$568)</f>
        <v>47.54875</v>
      </c>
    </row>
    <row r="569" spans="1:28">
      <c r="A569" s="10">
        <v>45864</v>
      </c>
      <c r="B569" s="7">
        <v>18.18</v>
      </c>
      <c r="C569" s="7">
        <v>50.52</v>
      </c>
      <c r="D569" s="7">
        <v>33.38</v>
      </c>
      <c r="E569" s="7">
        <v>22.43</v>
      </c>
      <c r="F569" s="7">
        <v>26.98</v>
      </c>
      <c r="G569" s="7">
        <v>21.88</v>
      </c>
      <c r="H569" s="7">
        <v>14.81</v>
      </c>
      <c r="I569" s="7">
        <v>13.8</v>
      </c>
      <c r="J569" s="7">
        <v>3.92000000000002</v>
      </c>
      <c r="K569" s="7">
        <v>28.76</v>
      </c>
      <c r="L569" s="7">
        <v>65.56</v>
      </c>
      <c r="M569" s="7">
        <v>56.72</v>
      </c>
      <c r="N569" s="7">
        <v>31.89</v>
      </c>
      <c r="O569" s="7">
        <v>55.53</v>
      </c>
      <c r="P569" s="7">
        <v>48.79</v>
      </c>
      <c r="Q569" s="7">
        <v>39.55</v>
      </c>
      <c r="R569" s="7">
        <v>64.31</v>
      </c>
      <c r="S569" s="7">
        <v>41.44</v>
      </c>
      <c r="T569" s="7">
        <v>30.72</v>
      </c>
      <c r="U569" s="7">
        <v>134.65</v>
      </c>
      <c r="V569" s="7">
        <v>48.58</v>
      </c>
      <c r="W569" s="7">
        <v>17.87</v>
      </c>
      <c r="X569" s="7">
        <v>18.88</v>
      </c>
      <c r="Y569" s="7">
        <v>13.84</v>
      </c>
      <c r="Z569" s="9">
        <f>MAX($B$569:$Y$569)</f>
        <v>134.65</v>
      </c>
      <c r="AA569" s="9">
        <f>MIN($B$569:$Y$569)</f>
        <v>3.92000000000002</v>
      </c>
      <c r="AB569" s="9">
        <f>AVERAGE($B$569:$Y$569)</f>
        <v>37.6245833333333</v>
      </c>
    </row>
    <row r="570" spans="1:28">
      <c r="A570" s="10">
        <v>45865</v>
      </c>
      <c r="B570" s="7">
        <v>-365.18</v>
      </c>
      <c r="C570" s="7">
        <v>-92.18</v>
      </c>
      <c r="D570" s="7">
        <v>-26.56</v>
      </c>
      <c r="E570" s="7">
        <v>-8.57000000000005</v>
      </c>
      <c r="F570" s="7">
        <v>0.0200000000000387</v>
      </c>
      <c r="G570" s="7">
        <v>-0.800000000000011</v>
      </c>
      <c r="H570" s="7">
        <v>-1.54999999999995</v>
      </c>
      <c r="I570" s="7">
        <v>8.16999999999999</v>
      </c>
      <c r="J570" s="7">
        <v>38.61</v>
      </c>
      <c r="K570" s="7">
        <v>49.89</v>
      </c>
      <c r="L570" s="7">
        <v>98.63</v>
      </c>
      <c r="M570" s="7">
        <v>-1.86000000000001</v>
      </c>
      <c r="N570" s="7">
        <v>-0.349999999999994</v>
      </c>
      <c r="O570" s="7">
        <v>38.08</v>
      </c>
      <c r="P570" s="7">
        <v>50.72</v>
      </c>
      <c r="Q570" s="7">
        <v>44.52</v>
      </c>
      <c r="R570" s="7">
        <v>11.26</v>
      </c>
      <c r="S570" s="7">
        <v>19.31</v>
      </c>
      <c r="T570" s="7">
        <v>4.73000000000002</v>
      </c>
      <c r="U570" s="7">
        <v>-6.56</v>
      </c>
      <c r="V570" s="7">
        <v>-9.94999999999999</v>
      </c>
      <c r="W570" s="7">
        <v>31.34</v>
      </c>
      <c r="X570" s="7">
        <v>31.57</v>
      </c>
      <c r="Y570" s="7">
        <v>-11.0599999999999</v>
      </c>
      <c r="Z570" s="9">
        <f>MAX($B$570:$Y$570)</f>
        <v>98.63</v>
      </c>
      <c r="AA570" s="9">
        <f>MIN($B$570:$Y$570)</f>
        <v>-365.18</v>
      </c>
      <c r="AB570" s="9">
        <f>AVERAGE($B$570:$Y$570)</f>
        <v>-4.07374999999999</v>
      </c>
    </row>
    <row r="571" spans="1:28">
      <c r="A571" s="10">
        <v>45866</v>
      </c>
      <c r="B571" s="7">
        <v>-41.05</v>
      </c>
      <c r="C571" s="7">
        <v>-1.66000000000003</v>
      </c>
      <c r="D571" s="7">
        <v>0.769999999999982</v>
      </c>
      <c r="E571" s="7">
        <v>0.300000000000011</v>
      </c>
      <c r="F571" s="7">
        <v>5.90999999999997</v>
      </c>
      <c r="G571" s="7">
        <v>1.91999999999996</v>
      </c>
      <c r="H571" s="7">
        <v>-0.509999999999991</v>
      </c>
      <c r="I571" s="7">
        <v>-12.38</v>
      </c>
      <c r="J571" s="7">
        <v>-19.55</v>
      </c>
      <c r="K571" s="7">
        <v>-1.93000000000001</v>
      </c>
      <c r="L571" s="7">
        <v>19.98</v>
      </c>
      <c r="M571" s="7">
        <v>24.8</v>
      </c>
      <c r="N571" s="7">
        <v>52.71</v>
      </c>
      <c r="O571" s="7">
        <v>77.12</v>
      </c>
      <c r="P571" s="7">
        <v>115.17</v>
      </c>
      <c r="Q571" s="7">
        <v>57.35</v>
      </c>
      <c r="R571" s="7">
        <v>25.12</v>
      </c>
      <c r="S571" s="7">
        <v>-8.57999999999998</v>
      </c>
      <c r="T571" s="7">
        <v>20.39</v>
      </c>
      <c r="U571" s="7">
        <v>68.2</v>
      </c>
      <c r="V571" s="7">
        <v>45.47</v>
      </c>
      <c r="W571" s="7">
        <v>81.97</v>
      </c>
      <c r="X571" s="7">
        <v>78.77</v>
      </c>
      <c r="Y571" s="7">
        <v>45.01</v>
      </c>
      <c r="Z571" s="9">
        <f>MAX($B$571:$Y$571)</f>
        <v>115.17</v>
      </c>
      <c r="AA571" s="9">
        <f>MIN($B$571:$Y$571)</f>
        <v>-41.05</v>
      </c>
      <c r="AB571" s="9">
        <f>AVERAGE($B$571:$Y$571)</f>
        <v>26.4708333333333</v>
      </c>
    </row>
    <row r="572" spans="1:28">
      <c r="A572" s="10">
        <v>45867</v>
      </c>
      <c r="B572" s="7">
        <v>60.3</v>
      </c>
      <c r="C572" s="7">
        <v>43.97</v>
      </c>
      <c r="D572" s="7">
        <v>27.15</v>
      </c>
      <c r="E572" s="7">
        <v>28.33</v>
      </c>
      <c r="F572" s="7">
        <v>20.93</v>
      </c>
      <c r="G572" s="7">
        <v>21.43</v>
      </c>
      <c r="H572" s="7">
        <v>14.98</v>
      </c>
      <c r="I572" s="7">
        <v>8.41000000000002</v>
      </c>
      <c r="J572" s="7">
        <v>28.84</v>
      </c>
      <c r="K572" s="7">
        <v>69.2</v>
      </c>
      <c r="L572" s="7">
        <v>88.61</v>
      </c>
      <c r="M572" s="7">
        <v>123.07</v>
      </c>
      <c r="N572" s="7">
        <v>77.89</v>
      </c>
      <c r="O572" s="7">
        <v>146.25</v>
      </c>
      <c r="P572" s="7">
        <v>127.58</v>
      </c>
      <c r="Q572" s="7">
        <v>102.03</v>
      </c>
      <c r="R572" s="7">
        <v>80.83</v>
      </c>
      <c r="S572" s="7">
        <v>57.09</v>
      </c>
      <c r="T572" s="7">
        <v>19.17</v>
      </c>
      <c r="U572" s="7">
        <v>43.17</v>
      </c>
      <c r="V572" s="7">
        <v>25.15</v>
      </c>
      <c r="W572" s="7">
        <v>19.31</v>
      </c>
      <c r="X572" s="7">
        <v>30.52</v>
      </c>
      <c r="Y572" s="7">
        <v>-1.18000000000001</v>
      </c>
      <c r="Z572" s="9">
        <f>MAX($B$572:$Y$572)</f>
        <v>146.25</v>
      </c>
      <c r="AA572" s="9">
        <f>MIN($B$572:$Y$572)</f>
        <v>-1.18000000000001</v>
      </c>
      <c r="AB572" s="9">
        <f>AVERAGE($B$572:$Y$572)</f>
        <v>52.62625</v>
      </c>
    </row>
    <row r="573" spans="1:28">
      <c r="A573" s="10">
        <v>45868</v>
      </c>
      <c r="B573" s="7">
        <v>-17.6</v>
      </c>
      <c r="C573" s="7">
        <v>2.55000000000001</v>
      </c>
      <c r="D573" s="7">
        <v>-3.63</v>
      </c>
      <c r="E573" s="7">
        <v>-8.99000000000001</v>
      </c>
      <c r="F573" s="7">
        <v>-4.70999999999998</v>
      </c>
      <c r="G573" s="7">
        <v>3.10000000000002</v>
      </c>
      <c r="H573" s="7">
        <v>0.680000000000007</v>
      </c>
      <c r="I573" s="7">
        <v>0.440000000000055</v>
      </c>
      <c r="J573" s="7">
        <v>-9.31</v>
      </c>
      <c r="K573" s="7">
        <v>9.04000000000002</v>
      </c>
      <c r="L573" s="7">
        <v>18.06</v>
      </c>
      <c r="M573" s="7">
        <v>12.53</v>
      </c>
      <c r="N573" s="7">
        <v>14.96</v>
      </c>
      <c r="O573" s="7">
        <v>0.939999999999998</v>
      </c>
      <c r="P573" s="7">
        <v>31.26</v>
      </c>
      <c r="Q573" s="7">
        <v>-19.26</v>
      </c>
      <c r="R573" s="7">
        <v>-142.89</v>
      </c>
      <c r="S573" s="7">
        <v>-93.78</v>
      </c>
      <c r="T573" s="7">
        <v>9.06999999999999</v>
      </c>
      <c r="U573" s="7">
        <v>4.92000000000002</v>
      </c>
      <c r="V573" s="7">
        <v>-25.48</v>
      </c>
      <c r="W573" s="7">
        <v>-16.03</v>
      </c>
      <c r="X573" s="7">
        <v>-0.399999999999977</v>
      </c>
      <c r="Y573" s="7">
        <v>-7.59999999999997</v>
      </c>
      <c r="Z573" s="9">
        <f>MAX($B$573:$Y$573)</f>
        <v>31.26</v>
      </c>
      <c r="AA573" s="9">
        <f>MIN($B$573:$Y$573)</f>
        <v>-142.89</v>
      </c>
      <c r="AB573" s="9">
        <f>AVERAGE($B$573:$Y$573)</f>
        <v>-10.08875</v>
      </c>
    </row>
    <row r="574" spans="1:28">
      <c r="A574" s="10">
        <v>45869</v>
      </c>
      <c r="B574" s="7">
        <v>6.13</v>
      </c>
      <c r="C574" s="7">
        <v>6.92999999999995</v>
      </c>
      <c r="D574" s="7">
        <v>8.64999999999998</v>
      </c>
      <c r="E574" s="7">
        <v>11.43</v>
      </c>
      <c r="F574" s="7">
        <v>12.88</v>
      </c>
      <c r="G574" s="7">
        <v>13.15</v>
      </c>
      <c r="H574" s="7">
        <v>10.31</v>
      </c>
      <c r="I574" s="7">
        <v>14.12</v>
      </c>
      <c r="J574" s="7">
        <v>12.58</v>
      </c>
      <c r="K574" s="7">
        <v>32.04</v>
      </c>
      <c r="L574" s="7">
        <v>39.14</v>
      </c>
      <c r="M574" s="7">
        <v>68.94</v>
      </c>
      <c r="N574" s="7">
        <v>42.87</v>
      </c>
      <c r="O574" s="7">
        <v>44.66</v>
      </c>
      <c r="P574" s="7">
        <v>52.91</v>
      </c>
      <c r="Q574" s="7">
        <v>50.07</v>
      </c>
      <c r="R574" s="7">
        <v>46.27</v>
      </c>
      <c r="S574" s="7">
        <v>3.82000000000005</v>
      </c>
      <c r="T574" s="7">
        <v>13.52</v>
      </c>
      <c r="U574" s="7">
        <v>8.90999999999997</v>
      </c>
      <c r="V574" s="7">
        <v>15.86</v>
      </c>
      <c r="W574" s="7">
        <v>37.18</v>
      </c>
      <c r="X574" s="7">
        <v>38.5</v>
      </c>
      <c r="Y574" s="7">
        <v>19.51</v>
      </c>
      <c r="Z574" s="9">
        <f>MAX($B$574:$Y$574)</f>
        <v>68.94</v>
      </c>
      <c r="AA574" s="9">
        <f>MIN($B$574:$Y$574)</f>
        <v>3.82000000000005</v>
      </c>
      <c r="AB574" s="9">
        <f>AVERAGE($B$574:$Y$574)</f>
        <v>25.4325</v>
      </c>
    </row>
    <row r="575" spans="1:28">
      <c r="A575" s="10">
        <v>45870</v>
      </c>
      <c r="B575" s="7">
        <v>-10.08</v>
      </c>
      <c r="C575" s="7">
        <v>17.34</v>
      </c>
      <c r="D575" s="7">
        <v>13.02</v>
      </c>
      <c r="E575" s="7">
        <v>13.27</v>
      </c>
      <c r="F575" s="7">
        <v>24.01</v>
      </c>
      <c r="G575" s="7">
        <v>21.39</v>
      </c>
      <c r="H575" s="7">
        <v>16.37</v>
      </c>
      <c r="I575" s="7">
        <v>25.14</v>
      </c>
      <c r="J575" s="7">
        <v>-0.120000000000005</v>
      </c>
      <c r="K575" s="7">
        <v>49.9</v>
      </c>
      <c r="L575" s="7">
        <v>72.41</v>
      </c>
      <c r="M575" s="7">
        <v>84.95</v>
      </c>
      <c r="N575" s="7">
        <v>89.49</v>
      </c>
      <c r="O575" s="7">
        <v>47.91</v>
      </c>
      <c r="P575" s="7">
        <v>76.08</v>
      </c>
      <c r="Q575" s="7">
        <v>70.8</v>
      </c>
      <c r="R575" s="7">
        <v>68.28</v>
      </c>
      <c r="S575" s="7">
        <v>78.74</v>
      </c>
      <c r="T575" s="7">
        <v>42.95</v>
      </c>
      <c r="U575" s="7">
        <v>194.34</v>
      </c>
      <c r="V575" s="7">
        <v>50.26</v>
      </c>
      <c r="W575" s="7">
        <v>25.28</v>
      </c>
      <c r="X575" s="7">
        <v>36.44</v>
      </c>
      <c r="Y575" s="7">
        <v>17.45</v>
      </c>
      <c r="Z575" s="9">
        <f>MAX($B$575:$Y$575)</f>
        <v>194.34</v>
      </c>
      <c r="AA575" s="9">
        <f>MIN($B$575:$Y$575)</f>
        <v>-10.08</v>
      </c>
      <c r="AB575" s="9">
        <f>AVERAGE($B$575:$Y$575)</f>
        <v>46.9008333333333</v>
      </c>
    </row>
    <row r="576" spans="1:28">
      <c r="A576" s="10">
        <v>45871</v>
      </c>
      <c r="B576" s="7">
        <v>-11.58</v>
      </c>
      <c r="C576" s="7">
        <v>1.89999999999998</v>
      </c>
      <c r="D576" s="7">
        <v>-4.68000000000001</v>
      </c>
      <c r="E576" s="7">
        <v>-2.99000000000001</v>
      </c>
      <c r="F576" s="7">
        <v>-2.44</v>
      </c>
      <c r="G576" s="7">
        <v>-4.31</v>
      </c>
      <c r="H576" s="7">
        <v>-1.47000000000003</v>
      </c>
      <c r="I576" s="7">
        <v>-3.91000000000002</v>
      </c>
      <c r="J576" s="7">
        <v>-1.43000000000001</v>
      </c>
      <c r="K576" s="7">
        <v>1.57999999999998</v>
      </c>
      <c r="L576" s="7">
        <v>6.35000000000002</v>
      </c>
      <c r="M576" s="7">
        <v>-16.28</v>
      </c>
      <c r="N576" s="7">
        <v>31.81</v>
      </c>
      <c r="O576" s="7">
        <v>6.64999999999998</v>
      </c>
      <c r="P576" s="7">
        <v>13.6300000000001</v>
      </c>
      <c r="Q576" s="7">
        <v>26.01</v>
      </c>
      <c r="R576" s="7">
        <v>19.41</v>
      </c>
      <c r="S576" s="7">
        <v>19.49</v>
      </c>
      <c r="T576" s="7">
        <v>10.06</v>
      </c>
      <c r="U576" s="7">
        <v>20.11</v>
      </c>
      <c r="V576" s="7">
        <v>20.49</v>
      </c>
      <c r="W576" s="7">
        <v>19.96</v>
      </c>
      <c r="X576" s="7">
        <v>36.41</v>
      </c>
      <c r="Y576" s="7">
        <v>27.38</v>
      </c>
      <c r="Z576" s="9">
        <f>MAX($B$576:$Y$576)</f>
        <v>36.41</v>
      </c>
      <c r="AA576" s="9">
        <f>MIN($B$576:$Y$576)</f>
        <v>-16.28</v>
      </c>
      <c r="AB576" s="9">
        <f>AVERAGE($B$576:$Y$576)</f>
        <v>8.83958333333333</v>
      </c>
    </row>
    <row r="577" spans="1:28">
      <c r="A577" s="10">
        <v>45872</v>
      </c>
      <c r="B577" s="7">
        <v>44.34</v>
      </c>
      <c r="C577" s="7">
        <v>27.74</v>
      </c>
      <c r="D577" s="7">
        <v>24.41</v>
      </c>
      <c r="E577" s="7">
        <v>20.72</v>
      </c>
      <c r="F577" s="7">
        <v>24.5</v>
      </c>
      <c r="G577" s="7">
        <v>23.19</v>
      </c>
      <c r="H577" s="7">
        <v>24.01</v>
      </c>
      <c r="I577" s="7">
        <v>34.38</v>
      </c>
      <c r="J577" s="7">
        <v>63.68</v>
      </c>
      <c r="K577" s="7">
        <v>24.31</v>
      </c>
      <c r="L577" s="7">
        <v>34.21</v>
      </c>
      <c r="M577" s="7">
        <v>66.66</v>
      </c>
      <c r="N577" s="7">
        <v>62.25</v>
      </c>
      <c r="O577" s="7">
        <v>41.81</v>
      </c>
      <c r="P577" s="7">
        <v>60.72</v>
      </c>
      <c r="Q577" s="7">
        <v>37.89</v>
      </c>
      <c r="R577" s="7">
        <v>26.6</v>
      </c>
      <c r="S577" s="7">
        <v>27.93</v>
      </c>
      <c r="T577" s="7">
        <v>15.95</v>
      </c>
      <c r="U577" s="7">
        <v>30.87</v>
      </c>
      <c r="V577" s="7">
        <v>29.47</v>
      </c>
      <c r="W577" s="7">
        <v>41.57</v>
      </c>
      <c r="X577" s="7">
        <v>53.44</v>
      </c>
      <c r="Y577" s="7">
        <v>40.29</v>
      </c>
      <c r="Z577" s="9">
        <f>MAX($B$577:$Y$577)</f>
        <v>66.66</v>
      </c>
      <c r="AA577" s="9">
        <f>MIN($B$577:$Y$577)</f>
        <v>15.95</v>
      </c>
      <c r="AB577" s="9">
        <f>AVERAGE($B$577:$Y$577)</f>
        <v>36.7058333333333</v>
      </c>
    </row>
    <row r="578" spans="1:28">
      <c r="A578" s="10">
        <v>45873</v>
      </c>
      <c r="B578" s="7">
        <v>10.34</v>
      </c>
      <c r="C578" s="7">
        <v>14.31</v>
      </c>
      <c r="D578" s="7">
        <v>6.55000000000001</v>
      </c>
      <c r="E578" s="7">
        <v>3.52999999999997</v>
      </c>
      <c r="F578" s="7">
        <v>16.46</v>
      </c>
      <c r="G578" s="7">
        <v>1.72</v>
      </c>
      <c r="H578" s="7">
        <v>3.06</v>
      </c>
      <c r="I578" s="7">
        <v>-11.97</v>
      </c>
      <c r="J578" s="7">
        <v>-21.37</v>
      </c>
      <c r="K578" s="7">
        <v>-45.93</v>
      </c>
      <c r="L578" s="7">
        <v>-6.18000000000001</v>
      </c>
      <c r="M578" s="7">
        <v>-2.31999999999999</v>
      </c>
      <c r="N578" s="7">
        <v>13.14</v>
      </c>
      <c r="O578" s="7">
        <v>8.19</v>
      </c>
      <c r="P578" s="7">
        <v>23.85</v>
      </c>
      <c r="Q578" s="7">
        <v>24.43</v>
      </c>
      <c r="R578" s="7">
        <v>25.62</v>
      </c>
      <c r="S578" s="7">
        <v>18.91</v>
      </c>
      <c r="T578" s="7">
        <v>3.73000000000002</v>
      </c>
      <c r="U578" s="7">
        <v>-50.46</v>
      </c>
      <c r="V578" s="7">
        <v>-27.34</v>
      </c>
      <c r="W578" s="7">
        <v>-13.58</v>
      </c>
      <c r="X578" s="7">
        <v>0.519999999999982</v>
      </c>
      <c r="Y578" s="7">
        <v>0.400000000000034</v>
      </c>
      <c r="Z578" s="9">
        <f>MAX($B$578:$Y$578)</f>
        <v>25.62</v>
      </c>
      <c r="AA578" s="9">
        <f>MIN($B$578:$Y$578)</f>
        <v>-50.46</v>
      </c>
      <c r="AB578" s="9">
        <f>AVERAGE($B$578:$Y$578)</f>
        <v>-0.182916666666666</v>
      </c>
    </row>
    <row r="579" spans="1:28">
      <c r="A579" s="10">
        <v>45874</v>
      </c>
      <c r="B579" s="7">
        <v>5.92999999999995</v>
      </c>
      <c r="C579" s="7">
        <v>0.150000000000034</v>
      </c>
      <c r="D579" s="7">
        <v>-1.80000000000001</v>
      </c>
      <c r="E579" s="7">
        <v>0.349999999999994</v>
      </c>
      <c r="F579" s="7">
        <v>-1.16000000000003</v>
      </c>
      <c r="G579" s="7">
        <v>2.41999999999999</v>
      </c>
      <c r="H579" s="7">
        <v>11.75</v>
      </c>
      <c r="I579" s="7">
        <v>3.63000000000002</v>
      </c>
      <c r="J579" s="7">
        <v>17.92</v>
      </c>
      <c r="K579" s="7">
        <v>37.55</v>
      </c>
      <c r="L579" s="7">
        <v>-20.12</v>
      </c>
      <c r="M579" s="7">
        <v>24.64</v>
      </c>
      <c r="N579" s="7">
        <v>31.73</v>
      </c>
      <c r="O579" s="7">
        <v>29.72</v>
      </c>
      <c r="P579" s="7">
        <v>31.53</v>
      </c>
      <c r="Q579" s="7">
        <v>29.53</v>
      </c>
      <c r="R579" s="7">
        <v>35.37</v>
      </c>
      <c r="S579" s="7">
        <v>26.06</v>
      </c>
      <c r="T579" s="7">
        <v>26.34</v>
      </c>
      <c r="U579" s="7">
        <v>46.78</v>
      </c>
      <c r="V579" s="7">
        <v>11.43</v>
      </c>
      <c r="W579" s="7">
        <v>13.7</v>
      </c>
      <c r="X579" s="7">
        <v>22.34</v>
      </c>
      <c r="Y579" s="7">
        <v>2.39999999999998</v>
      </c>
      <c r="Z579" s="9">
        <f>MAX($B$579:$Y$579)</f>
        <v>46.78</v>
      </c>
      <c r="AA579" s="9">
        <f>MIN($B$579:$Y$579)</f>
        <v>-20.12</v>
      </c>
      <c r="AB579" s="9">
        <f>AVERAGE($B$579:$Y$579)</f>
        <v>16.1745833333333</v>
      </c>
    </row>
    <row r="580" spans="1:28">
      <c r="A580" s="10">
        <v>45875</v>
      </c>
      <c r="B580" s="7">
        <v>5.76000000000005</v>
      </c>
      <c r="C580" s="7">
        <v>-8.90999999999997</v>
      </c>
      <c r="D580" s="7">
        <v>16.61</v>
      </c>
      <c r="E580" s="7">
        <v>21.56</v>
      </c>
      <c r="F580" s="7">
        <v>110.67</v>
      </c>
      <c r="G580" s="7">
        <v>103.56</v>
      </c>
      <c r="H580" s="7">
        <v>37.79</v>
      </c>
      <c r="I580" s="7">
        <v>6.88999999999999</v>
      </c>
      <c r="J580" s="7">
        <v>-15.88</v>
      </c>
      <c r="K580" s="7">
        <v>-18.58</v>
      </c>
      <c r="L580" s="7">
        <v>-22.86</v>
      </c>
      <c r="M580" s="7">
        <v>9.04000000000002</v>
      </c>
      <c r="N580" s="7">
        <v>45.68</v>
      </c>
      <c r="O580" s="7">
        <v>29.96</v>
      </c>
      <c r="P580" s="7">
        <v>63.53</v>
      </c>
      <c r="Q580" s="7">
        <v>54.84</v>
      </c>
      <c r="R580" s="7">
        <v>30.15</v>
      </c>
      <c r="S580" s="7">
        <v>29.81</v>
      </c>
      <c r="T580" s="7">
        <v>22.28</v>
      </c>
      <c r="U580" s="7">
        <v>8.69</v>
      </c>
      <c r="V580" s="7">
        <v>21.07</v>
      </c>
      <c r="W580" s="7">
        <v>11.38</v>
      </c>
      <c r="X580" s="7">
        <v>29.83</v>
      </c>
      <c r="Y580" s="7">
        <v>25.01</v>
      </c>
      <c r="Z580" s="9">
        <f>MAX($B$580:$Y$580)</f>
        <v>110.67</v>
      </c>
      <c r="AA580" s="9">
        <f>MIN($B$580:$Y$580)</f>
        <v>-22.86</v>
      </c>
      <c r="AB580" s="9">
        <f>AVERAGE($B$580:$Y$580)</f>
        <v>25.745</v>
      </c>
    </row>
    <row r="581" spans="1:28">
      <c r="A581" s="10">
        <v>45876</v>
      </c>
      <c r="B581" s="7">
        <v>-8.13999999999999</v>
      </c>
      <c r="C581" s="7">
        <v>6.06</v>
      </c>
      <c r="D581" s="7">
        <v>0.659999999999997</v>
      </c>
      <c r="E581" s="7">
        <v>7.52000000000001</v>
      </c>
      <c r="F581" s="7">
        <v>10.06</v>
      </c>
      <c r="G581" s="7">
        <v>64.52</v>
      </c>
      <c r="H581" s="7">
        <v>9.38</v>
      </c>
      <c r="I581" s="7">
        <v>-6.70000000000002</v>
      </c>
      <c r="J581" s="7">
        <v>8.56000000000003</v>
      </c>
      <c r="K581" s="7">
        <v>36.55</v>
      </c>
      <c r="L581" s="7">
        <v>20.86</v>
      </c>
      <c r="M581" s="7">
        <v>30.97</v>
      </c>
      <c r="N581" s="7">
        <v>24.77</v>
      </c>
      <c r="O581" s="7">
        <v>-13.57</v>
      </c>
      <c r="P581" s="7">
        <v>-6.99000000000001</v>
      </c>
      <c r="Q581" s="7">
        <v>14.77</v>
      </c>
      <c r="R581" s="7">
        <v>31.33</v>
      </c>
      <c r="S581" s="7">
        <v>-14.44</v>
      </c>
      <c r="T581" s="7">
        <v>33</v>
      </c>
      <c r="U581" s="7">
        <v>-24.46</v>
      </c>
      <c r="V581" s="7">
        <v>1.06999999999999</v>
      </c>
      <c r="W581" s="7">
        <v>4.29000000000002</v>
      </c>
      <c r="X581" s="7">
        <v>10.99</v>
      </c>
      <c r="Y581" s="7">
        <v>4.10000000000002</v>
      </c>
      <c r="Z581" s="9">
        <f>MAX($B$581:$Y$581)</f>
        <v>64.52</v>
      </c>
      <c r="AA581" s="9">
        <f>MIN($B$581:$Y$581)</f>
        <v>-24.46</v>
      </c>
      <c r="AB581" s="9">
        <f>AVERAGE($B$581:$Y$581)</f>
        <v>10.215</v>
      </c>
    </row>
    <row r="582" spans="1:28">
      <c r="A582" s="10">
        <v>45877</v>
      </c>
      <c r="B582" s="7">
        <v>7.04000000000002</v>
      </c>
      <c r="C582" s="7">
        <v>10.69</v>
      </c>
      <c r="D582" s="7">
        <v>3.33000000000001</v>
      </c>
      <c r="E582" s="7">
        <v>14.53</v>
      </c>
      <c r="F582" s="7">
        <v>35.37</v>
      </c>
      <c r="G582" s="7">
        <v>45.87</v>
      </c>
      <c r="H582" s="7">
        <v>41.42</v>
      </c>
      <c r="I582" s="7">
        <v>26.12</v>
      </c>
      <c r="J582" s="7">
        <v>24.84</v>
      </c>
      <c r="K582" s="7">
        <v>50.15</v>
      </c>
      <c r="L582" s="7">
        <v>76.41</v>
      </c>
      <c r="M582" s="7">
        <v>-76.81</v>
      </c>
      <c r="N582" s="7">
        <v>43.08</v>
      </c>
      <c r="O582" s="7">
        <v>26.46</v>
      </c>
      <c r="P582" s="7">
        <v>21.53</v>
      </c>
      <c r="Q582" s="7">
        <v>23.96</v>
      </c>
      <c r="R582" s="7">
        <v>7.89999999999998</v>
      </c>
      <c r="S582" s="7">
        <v>-18.65</v>
      </c>
      <c r="T582" s="7">
        <v>-7.37</v>
      </c>
      <c r="U582" s="7">
        <v>-3.06999999999999</v>
      </c>
      <c r="V582" s="7">
        <v>-24.52</v>
      </c>
      <c r="W582" s="7">
        <v>-8.71999999999997</v>
      </c>
      <c r="X582" s="7">
        <v>-20.95</v>
      </c>
      <c r="Y582" s="7">
        <v>-14.71</v>
      </c>
      <c r="Z582" s="9">
        <f>MAX($B$582:$Y$582)</f>
        <v>76.41</v>
      </c>
      <c r="AA582" s="9">
        <f>MIN($B$582:$Y$582)</f>
        <v>-76.81</v>
      </c>
      <c r="AB582" s="9">
        <f>AVERAGE($B$582:$Y$582)</f>
        <v>11.8291666666667</v>
      </c>
    </row>
    <row r="583" spans="1:28">
      <c r="A583" s="10">
        <v>45878</v>
      </c>
      <c r="B583" s="7">
        <v>-40.96</v>
      </c>
      <c r="C583" s="7">
        <v>-23.71</v>
      </c>
      <c r="D583" s="7">
        <v>-18.62</v>
      </c>
      <c r="E583" s="7">
        <v>-12.22</v>
      </c>
      <c r="F583" s="7">
        <v>-8.91</v>
      </c>
      <c r="G583" s="7">
        <v>-4.45000000000002</v>
      </c>
      <c r="H583" s="7">
        <v>-8.41</v>
      </c>
      <c r="I583" s="7">
        <v>-16.81</v>
      </c>
      <c r="J583" s="7">
        <v>14.25</v>
      </c>
      <c r="K583" s="7">
        <v>36.28</v>
      </c>
      <c r="L583" s="7">
        <v>32.52</v>
      </c>
      <c r="M583" s="7">
        <v>10.29</v>
      </c>
      <c r="N583" s="7">
        <v>-32.91</v>
      </c>
      <c r="O583" s="7">
        <v>4.60999999999999</v>
      </c>
      <c r="P583" s="7">
        <v>1.67999999999998</v>
      </c>
      <c r="Q583" s="7">
        <v>-11.75</v>
      </c>
      <c r="R583" s="7">
        <v>11.94</v>
      </c>
      <c r="S583" s="7">
        <v>1.46999999999997</v>
      </c>
      <c r="T583" s="7">
        <v>-11.33</v>
      </c>
      <c r="U583" s="7">
        <v>1.06</v>
      </c>
      <c r="V583" s="7">
        <v>-9.61000000000001</v>
      </c>
      <c r="W583" s="7">
        <v>-38.95</v>
      </c>
      <c r="X583" s="7">
        <v>-19.25</v>
      </c>
      <c r="Y583" s="7">
        <v>6</v>
      </c>
      <c r="Z583" s="9">
        <f>MAX($B$583:$Y$583)</f>
        <v>36.28</v>
      </c>
      <c r="AA583" s="9">
        <f>MIN($B$583:$Y$583)</f>
        <v>-40.96</v>
      </c>
      <c r="AB583" s="9">
        <f>AVERAGE($B$583:$Y$583)</f>
        <v>-5.74125</v>
      </c>
    </row>
    <row r="584" spans="1:28">
      <c r="A584" s="10">
        <v>45879</v>
      </c>
      <c r="B584" s="7">
        <v>-52.08</v>
      </c>
      <c r="C584" s="7">
        <v>26</v>
      </c>
      <c r="D584" s="7">
        <v>7.23000000000002</v>
      </c>
      <c r="E584" s="7">
        <v>8.06999999999999</v>
      </c>
      <c r="F584" s="7">
        <v>10.72</v>
      </c>
      <c r="G584" s="7">
        <v>9.13999999999999</v>
      </c>
      <c r="H584" s="7">
        <v>9.64999999999998</v>
      </c>
      <c r="I584" s="7">
        <v>2.74000000000001</v>
      </c>
      <c r="J584" s="7">
        <v>68.92</v>
      </c>
      <c r="K584" s="7">
        <v>36.16</v>
      </c>
      <c r="L584" s="7">
        <v>-4.06999999999999</v>
      </c>
      <c r="M584" s="7">
        <v>29.54</v>
      </c>
      <c r="N584" s="7">
        <v>-27.14</v>
      </c>
      <c r="O584" s="7">
        <v>25.13</v>
      </c>
      <c r="P584" s="7">
        <v>-28.45</v>
      </c>
      <c r="Q584" s="7">
        <v>-40.86</v>
      </c>
      <c r="R584" s="7">
        <v>19.77</v>
      </c>
      <c r="S584" s="7">
        <v>17.99</v>
      </c>
      <c r="T584" s="7">
        <v>5.95999999999998</v>
      </c>
      <c r="U584" s="7">
        <v>-5.77000000000004</v>
      </c>
      <c r="V584" s="7">
        <v>-6.35000000000002</v>
      </c>
      <c r="W584" s="7">
        <v>-11.82</v>
      </c>
      <c r="X584" s="7">
        <v>22.97</v>
      </c>
      <c r="Y584" s="7">
        <v>7.13000000000005</v>
      </c>
      <c r="Z584" s="9">
        <f>MAX($B$584:$Y$584)</f>
        <v>68.92</v>
      </c>
      <c r="AA584" s="9">
        <f>MIN($B$584:$Y$584)</f>
        <v>-52.08</v>
      </c>
      <c r="AB584" s="9">
        <f>AVERAGE($B$584:$Y$584)</f>
        <v>5.44083333333333</v>
      </c>
    </row>
    <row r="585" spans="1:28">
      <c r="A585" s="10">
        <v>45880</v>
      </c>
      <c r="B585" s="7">
        <v>-21.26</v>
      </c>
      <c r="C585" s="7">
        <v>-1.46000000000004</v>
      </c>
      <c r="D585" s="7">
        <v>3.76999999999998</v>
      </c>
      <c r="E585" s="7">
        <v>2.92000000000002</v>
      </c>
      <c r="F585" s="7">
        <v>7.40000000000003</v>
      </c>
      <c r="G585" s="7">
        <v>3.87</v>
      </c>
      <c r="H585" s="7">
        <v>8.86000000000001</v>
      </c>
      <c r="I585" s="7">
        <v>2.19000000000005</v>
      </c>
      <c r="J585" s="7">
        <v>-23.9400000000001</v>
      </c>
      <c r="K585" s="7">
        <v>34.79</v>
      </c>
      <c r="L585" s="7">
        <v>24.17</v>
      </c>
      <c r="M585" s="7">
        <v>77.39</v>
      </c>
      <c r="N585" s="7">
        <v>17.03</v>
      </c>
      <c r="O585" s="7">
        <v>68.51</v>
      </c>
      <c r="P585" s="7">
        <v>55.34</v>
      </c>
      <c r="Q585" s="7">
        <v>45.88</v>
      </c>
      <c r="R585" s="7">
        <v>38.79</v>
      </c>
      <c r="S585" s="7">
        <v>67.04</v>
      </c>
      <c r="T585" s="7">
        <v>24.1</v>
      </c>
      <c r="U585" s="7">
        <v>137.71</v>
      </c>
      <c r="V585" s="7">
        <v>3.13</v>
      </c>
      <c r="W585" s="7">
        <v>0.269999999999982</v>
      </c>
      <c r="X585" s="7">
        <v>9.51999999999998</v>
      </c>
      <c r="Y585" s="7">
        <v>-6.99000000000001</v>
      </c>
      <c r="Z585" s="9">
        <f>MAX($B$585:$Y$585)</f>
        <v>137.71</v>
      </c>
      <c r="AA585" s="9">
        <f>MIN($B$585:$Y$585)</f>
        <v>-23.9400000000001</v>
      </c>
      <c r="AB585" s="9">
        <f>AVERAGE($B$585:$Y$585)</f>
        <v>24.12625</v>
      </c>
    </row>
    <row r="586" spans="1:28">
      <c r="A586" s="10">
        <v>45881</v>
      </c>
      <c r="B586" s="7">
        <v>-20.35</v>
      </c>
      <c r="C586" s="7">
        <v>-13.01</v>
      </c>
      <c r="D586" s="7">
        <v>-5.69</v>
      </c>
      <c r="E586" s="7">
        <v>7.67000000000002</v>
      </c>
      <c r="F586" s="7">
        <v>12.15</v>
      </c>
      <c r="G586" s="7">
        <v>12.94</v>
      </c>
      <c r="H586" s="7">
        <v>12.18</v>
      </c>
      <c r="I586" s="7">
        <v>3.88999999999999</v>
      </c>
      <c r="J586" s="7">
        <v>2.74000000000001</v>
      </c>
      <c r="K586" s="7">
        <v>21.97</v>
      </c>
      <c r="L586" s="7">
        <v>65.88</v>
      </c>
      <c r="M586" s="7">
        <v>39.2</v>
      </c>
      <c r="N586" s="7">
        <v>24.62</v>
      </c>
      <c r="O586" s="7">
        <v>12.74</v>
      </c>
      <c r="P586" s="7">
        <v>55.7</v>
      </c>
      <c r="Q586" s="7">
        <v>46.33</v>
      </c>
      <c r="R586" s="7">
        <v>14.17</v>
      </c>
      <c r="S586" s="7">
        <v>19.48</v>
      </c>
      <c r="T586" s="7">
        <v>9.60000000000002</v>
      </c>
      <c r="U586" s="7">
        <v>25.44</v>
      </c>
      <c r="V586" s="7">
        <v>8.21999999999997</v>
      </c>
      <c r="W586" s="7">
        <v>-111.66</v>
      </c>
      <c r="X586" s="7">
        <v>-32.61</v>
      </c>
      <c r="Y586" s="7">
        <v>-31.08</v>
      </c>
      <c r="Z586" s="9">
        <f>MAX($B$586:$Y$586)</f>
        <v>65.88</v>
      </c>
      <c r="AA586" s="9">
        <f>MIN($B$586:$Y$586)</f>
        <v>-111.66</v>
      </c>
      <c r="AB586" s="9">
        <f>AVERAGE($B$586:$Y$586)</f>
        <v>7.52166666666667</v>
      </c>
    </row>
    <row r="587" spans="1:28">
      <c r="A587" s="10">
        <v>45882</v>
      </c>
      <c r="B587" s="7">
        <v>-43.04</v>
      </c>
      <c r="C587" s="7">
        <v>-27.23</v>
      </c>
      <c r="D587" s="7">
        <v>-23.41</v>
      </c>
      <c r="E587" s="7">
        <v>-10.59</v>
      </c>
      <c r="F587" s="7">
        <v>-3.85000000000002</v>
      </c>
      <c r="G587" s="7">
        <v>-0.939999999999998</v>
      </c>
      <c r="H587" s="7">
        <v>-3.58000000000001</v>
      </c>
      <c r="I587" s="7">
        <v>-5.29999999999998</v>
      </c>
      <c r="J587" s="7">
        <v>-5.16</v>
      </c>
      <c r="K587" s="7">
        <v>12.44</v>
      </c>
      <c r="L587" s="7">
        <v>83.12</v>
      </c>
      <c r="M587" s="7">
        <v>60.05</v>
      </c>
      <c r="N587" s="7">
        <v>61.41</v>
      </c>
      <c r="O587" s="7">
        <v>96.83</v>
      </c>
      <c r="P587" s="7">
        <v>124.33</v>
      </c>
      <c r="Q587" s="7">
        <v>186.03</v>
      </c>
      <c r="R587" s="7">
        <v>123.63</v>
      </c>
      <c r="S587" s="7">
        <v>52.53</v>
      </c>
      <c r="T587" s="7">
        <v>44.93</v>
      </c>
      <c r="U587" s="7">
        <v>-26.81</v>
      </c>
      <c r="V587" s="7">
        <v>13.64</v>
      </c>
      <c r="W587" s="7">
        <v>-1.10000000000002</v>
      </c>
      <c r="X587" s="7">
        <v>14.07</v>
      </c>
      <c r="Y587" s="7">
        <v>40.03</v>
      </c>
      <c r="Z587" s="9">
        <f>MAX($B$587:$Y$587)</f>
        <v>186.03</v>
      </c>
      <c r="AA587" s="9">
        <f>MIN($B$587:$Y$587)</f>
        <v>-43.04</v>
      </c>
      <c r="AB587" s="9">
        <f>AVERAGE($B$587:$Y$587)</f>
        <v>31.75125</v>
      </c>
    </row>
    <row r="588" spans="1:28">
      <c r="A588" s="10">
        <v>45883</v>
      </c>
      <c r="B588" s="7">
        <v>9.68000000000001</v>
      </c>
      <c r="C588" s="7">
        <v>-139.36</v>
      </c>
      <c r="D588" s="7">
        <v>-80.3</v>
      </c>
      <c r="E588" s="7">
        <v>-41.39</v>
      </c>
      <c r="F588" s="7">
        <v>-24.95</v>
      </c>
      <c r="G588" s="7">
        <v>-13.84</v>
      </c>
      <c r="H588" s="7">
        <v>-17.56</v>
      </c>
      <c r="I588" s="7">
        <v>-5.81</v>
      </c>
      <c r="J588" s="7">
        <v>-29.4</v>
      </c>
      <c r="K588" s="7">
        <v>-72.8</v>
      </c>
      <c r="L588" s="7">
        <v>-50.8</v>
      </c>
      <c r="M588" s="7">
        <v>-66.9</v>
      </c>
      <c r="N588" s="7">
        <v>-24.39</v>
      </c>
      <c r="O588" s="7">
        <v>-8.29999999999995</v>
      </c>
      <c r="P588" s="7">
        <v>-58.37</v>
      </c>
      <c r="Q588" s="7">
        <v>25.74</v>
      </c>
      <c r="R588" s="7">
        <v>29.4</v>
      </c>
      <c r="S588" s="7">
        <v>24.8</v>
      </c>
      <c r="T588" s="7">
        <v>15.92</v>
      </c>
      <c r="U588" s="7">
        <v>49.69</v>
      </c>
      <c r="V588" s="7">
        <v>28.53</v>
      </c>
      <c r="W588" s="7">
        <v>31.3</v>
      </c>
      <c r="X588" s="7">
        <v>29.95</v>
      </c>
      <c r="Y588" s="7">
        <v>11.56</v>
      </c>
      <c r="Z588" s="9">
        <f>MAX($B$588:$Y$588)</f>
        <v>49.69</v>
      </c>
      <c r="AA588" s="9">
        <f>MIN($B$588:$Y$588)</f>
        <v>-139.36</v>
      </c>
      <c r="AB588" s="9">
        <f>AVERAGE($B$588:$Y$588)</f>
        <v>-15.7333333333333</v>
      </c>
    </row>
    <row r="589" spans="1:28">
      <c r="A589" s="10">
        <v>45884</v>
      </c>
      <c r="B589" s="7">
        <v>48.34</v>
      </c>
      <c r="C589" s="7">
        <v>158.89</v>
      </c>
      <c r="D589" s="7">
        <v>218.25</v>
      </c>
      <c r="E589" s="7">
        <v>224</v>
      </c>
      <c r="F589" s="7">
        <v>226.45</v>
      </c>
      <c r="G589" s="7">
        <v>222.56</v>
      </c>
      <c r="H589" s="7">
        <v>206.49</v>
      </c>
      <c r="I589" s="7">
        <v>220.24</v>
      </c>
      <c r="J589" s="7">
        <v>51.04</v>
      </c>
      <c r="K589" s="7">
        <v>26.12</v>
      </c>
      <c r="L589" s="7">
        <v>43.5</v>
      </c>
      <c r="M589" s="7">
        <v>64.47</v>
      </c>
      <c r="N589" s="7">
        <v>41.05</v>
      </c>
      <c r="O589" s="7">
        <v>53.85</v>
      </c>
      <c r="P589" s="7">
        <v>38.71</v>
      </c>
      <c r="Q589" s="7">
        <v>13.29</v>
      </c>
      <c r="R589" s="7">
        <v>44.62</v>
      </c>
      <c r="S589" s="7">
        <v>30.96</v>
      </c>
      <c r="T589" s="7">
        <v>2.21999999999997</v>
      </c>
      <c r="U589" s="7">
        <v>-19.49</v>
      </c>
      <c r="V589" s="7">
        <v>0.199999999999989</v>
      </c>
      <c r="W589" s="7">
        <v>25.03</v>
      </c>
      <c r="X589" s="7">
        <v>37.69</v>
      </c>
      <c r="Y589" s="7">
        <v>27.07</v>
      </c>
      <c r="Z589" s="9">
        <f>MAX($B$589:$Y$589)</f>
        <v>226.45</v>
      </c>
      <c r="AA589" s="9">
        <f>MIN($B$589:$Y$589)</f>
        <v>-19.49</v>
      </c>
      <c r="AB589" s="9">
        <f>AVERAGE($B$589:$Y$589)</f>
        <v>83.5645833333333</v>
      </c>
    </row>
    <row r="590" spans="1:28">
      <c r="A590" s="10">
        <v>45885</v>
      </c>
      <c r="B590" s="7">
        <v>32.36</v>
      </c>
      <c r="C590" s="7">
        <v>28.16</v>
      </c>
      <c r="D590" s="7">
        <v>16.67</v>
      </c>
      <c r="E590" s="7">
        <v>33.56</v>
      </c>
      <c r="F590" s="7">
        <v>62.67</v>
      </c>
      <c r="G590" s="7">
        <v>48.34</v>
      </c>
      <c r="H590" s="7">
        <v>23</v>
      </c>
      <c r="I590" s="7">
        <v>7.85999999999999</v>
      </c>
      <c r="J590" s="7">
        <v>32.2</v>
      </c>
      <c r="K590" s="7">
        <v>81.05</v>
      </c>
      <c r="L590" s="7">
        <v>-6.61000000000001</v>
      </c>
      <c r="M590" s="7">
        <v>-56.84</v>
      </c>
      <c r="N590" s="7">
        <v>-48.5</v>
      </c>
      <c r="O590" s="7">
        <v>-3.85999999999999</v>
      </c>
      <c r="P590" s="7">
        <v>-61.86</v>
      </c>
      <c r="Q590" s="7">
        <v>48.03</v>
      </c>
      <c r="R590" s="7">
        <v>15.22</v>
      </c>
      <c r="S590" s="7">
        <v>36.11</v>
      </c>
      <c r="T590" s="7">
        <v>27.01</v>
      </c>
      <c r="U590" s="7">
        <v>92.28</v>
      </c>
      <c r="V590" s="7">
        <v>32.92</v>
      </c>
      <c r="W590" s="7">
        <v>35.53</v>
      </c>
      <c r="X590" s="7">
        <v>11.84</v>
      </c>
      <c r="Y590" s="7">
        <v>5.20999999999998</v>
      </c>
      <c r="Z590" s="9">
        <f>MAX($B$590:$Y$590)</f>
        <v>92.28</v>
      </c>
      <c r="AA590" s="9">
        <f>MIN($B$590:$Y$590)</f>
        <v>-61.86</v>
      </c>
      <c r="AB590" s="9">
        <f>AVERAGE($B$590:$Y$590)</f>
        <v>20.5145833333333</v>
      </c>
    </row>
    <row r="591" spans="1:28">
      <c r="A591" s="10">
        <v>45886</v>
      </c>
      <c r="B591" s="7">
        <v>1.01999999999998</v>
      </c>
      <c r="C591" s="7">
        <v>3.14999999999998</v>
      </c>
      <c r="D591" s="7">
        <v>4.51999999999998</v>
      </c>
      <c r="E591" s="7">
        <v>5.83000000000001</v>
      </c>
      <c r="F591" s="7">
        <v>19</v>
      </c>
      <c r="G591" s="7">
        <v>17.98</v>
      </c>
      <c r="H591" s="7">
        <v>29.14</v>
      </c>
      <c r="I591" s="7">
        <v>5.69999999999999</v>
      </c>
      <c r="J591" s="7">
        <v>57.01</v>
      </c>
      <c r="K591" s="7">
        <v>53.47</v>
      </c>
      <c r="L591" s="7">
        <v>-66.07</v>
      </c>
      <c r="M591" s="7">
        <v>2.8</v>
      </c>
      <c r="N591" s="7">
        <v>28.54</v>
      </c>
      <c r="O591" s="7">
        <v>-55.72</v>
      </c>
      <c r="P591" s="7">
        <v>-15.1</v>
      </c>
      <c r="Q591" s="7">
        <v>27.41</v>
      </c>
      <c r="R591" s="7">
        <v>64.55</v>
      </c>
      <c r="S591" s="7">
        <v>68.55</v>
      </c>
      <c r="T591" s="7">
        <v>79.96</v>
      </c>
      <c r="U591" s="7">
        <v>54.22</v>
      </c>
      <c r="V591" s="7">
        <v>51.11</v>
      </c>
      <c r="W591" s="7">
        <v>66.85</v>
      </c>
      <c r="X591" s="7">
        <v>67.7</v>
      </c>
      <c r="Y591" s="7">
        <v>64.26</v>
      </c>
      <c r="Z591" s="9">
        <f>MAX($B$591:$Y$591)</f>
        <v>79.96</v>
      </c>
      <c r="AA591" s="9">
        <f>MIN($B$591:$Y$591)</f>
        <v>-66.07</v>
      </c>
      <c r="AB591" s="9">
        <f>AVERAGE($B$591:$Y$591)</f>
        <v>26.495</v>
      </c>
    </row>
    <row r="592" spans="1:28">
      <c r="A592" s="10">
        <v>45887</v>
      </c>
      <c r="B592" s="7">
        <v>9.28</v>
      </c>
      <c r="C592" s="7">
        <v>-0.95999999999998</v>
      </c>
      <c r="D592" s="7">
        <v>-7.34</v>
      </c>
      <c r="E592" s="7">
        <v>6.05999999999997</v>
      </c>
      <c r="F592" s="7">
        <v>10.36</v>
      </c>
      <c r="G592" s="7">
        <v>16.08</v>
      </c>
      <c r="H592" s="7">
        <v>56.71</v>
      </c>
      <c r="I592" s="7">
        <v>2.53</v>
      </c>
      <c r="J592" s="7">
        <v>12.27</v>
      </c>
      <c r="K592" s="7">
        <v>11.05</v>
      </c>
      <c r="L592" s="7">
        <v>28.91</v>
      </c>
      <c r="M592" s="7">
        <v>-13.21</v>
      </c>
      <c r="N592" s="7">
        <v>40.19</v>
      </c>
      <c r="O592" s="7">
        <v>34.09</v>
      </c>
      <c r="P592" s="7">
        <v>-70.91</v>
      </c>
      <c r="Q592" s="7">
        <v>15.06</v>
      </c>
      <c r="R592" s="7">
        <v>77.02</v>
      </c>
      <c r="S592" s="7">
        <v>47.32</v>
      </c>
      <c r="T592" s="7">
        <v>21.21</v>
      </c>
      <c r="U592" s="7">
        <v>4.62</v>
      </c>
      <c r="V592" s="7">
        <v>10.85</v>
      </c>
      <c r="W592" s="7">
        <v>1.87</v>
      </c>
      <c r="X592" s="7">
        <v>23.68</v>
      </c>
      <c r="Y592" s="7">
        <v>19.39</v>
      </c>
      <c r="Z592" s="9">
        <f>MAX($B$592:$Y$592)</f>
        <v>77.02</v>
      </c>
      <c r="AA592" s="9">
        <f>MIN($B$592:$Y$592)</f>
        <v>-70.91</v>
      </c>
      <c r="AB592" s="9">
        <f>AVERAGE($B$592:$Y$592)</f>
        <v>14.83875</v>
      </c>
    </row>
    <row r="593" spans="1:28">
      <c r="A593" s="10">
        <v>45888</v>
      </c>
      <c r="B593" s="7">
        <v>-12.2</v>
      </c>
      <c r="C593" s="7">
        <v>5.20999999999998</v>
      </c>
      <c r="D593" s="7">
        <v>-6.66</v>
      </c>
      <c r="E593" s="7">
        <v>-11.04</v>
      </c>
      <c r="F593" s="7">
        <v>-9.31</v>
      </c>
      <c r="G593" s="7">
        <v>-12.86</v>
      </c>
      <c r="H593" s="7">
        <v>-12.24</v>
      </c>
      <c r="I593" s="7">
        <v>-23.61</v>
      </c>
      <c r="J593" s="7">
        <v>-24.81</v>
      </c>
      <c r="K593" s="7">
        <v>13.78</v>
      </c>
      <c r="L593" s="7">
        <v>6.55000000000001</v>
      </c>
      <c r="M593" s="7">
        <v>-9.20999999999998</v>
      </c>
      <c r="N593" s="7">
        <v>-9.5</v>
      </c>
      <c r="O593" s="7">
        <v>-4.29999999999998</v>
      </c>
      <c r="P593" s="7">
        <v>9.29000000000002</v>
      </c>
      <c r="Q593" s="7">
        <v>17.54</v>
      </c>
      <c r="R593" s="7">
        <v>9.69</v>
      </c>
      <c r="S593" s="7">
        <v>16.78</v>
      </c>
      <c r="T593" s="7">
        <v>9.20999999999998</v>
      </c>
      <c r="U593" s="7">
        <v>5.43000000000001</v>
      </c>
      <c r="V593" s="7">
        <v>8</v>
      </c>
      <c r="W593" s="7">
        <v>4.19000000000005</v>
      </c>
      <c r="X593" s="7">
        <v>0.960000000000008</v>
      </c>
      <c r="Y593" s="7">
        <v>-1.31999999999999</v>
      </c>
      <c r="Z593" s="9">
        <f>MAX($B$593:$Y$593)</f>
        <v>17.54</v>
      </c>
      <c r="AA593" s="9">
        <f>MIN($B$593:$Y$593)</f>
        <v>-24.81</v>
      </c>
      <c r="AB593" s="9">
        <f>AVERAGE($B$593:$Y$593)</f>
        <v>-1.26791666666666</v>
      </c>
    </row>
    <row r="594" spans="1:28">
      <c r="A594" s="10">
        <v>45889</v>
      </c>
      <c r="B594" s="7">
        <v>5.75</v>
      </c>
      <c r="C594" s="7">
        <v>4.23000000000002</v>
      </c>
      <c r="D594" s="7">
        <v>25.69</v>
      </c>
      <c r="E594" s="7">
        <v>51.01</v>
      </c>
      <c r="F594" s="7">
        <v>43.65</v>
      </c>
      <c r="G594" s="7">
        <v>60.42</v>
      </c>
      <c r="H594" s="7">
        <v>24.22</v>
      </c>
      <c r="I594" s="7">
        <v>-3.73000000000002</v>
      </c>
      <c r="J594" s="7">
        <v>3.08000000000001</v>
      </c>
      <c r="K594" s="7">
        <v>12.09</v>
      </c>
      <c r="L594" s="7">
        <v>25.08</v>
      </c>
      <c r="M594" s="7">
        <v>36.53</v>
      </c>
      <c r="N594" s="7">
        <v>17.72</v>
      </c>
      <c r="O594" s="7">
        <v>13.23</v>
      </c>
      <c r="P594" s="7">
        <v>14.29</v>
      </c>
      <c r="Q594" s="7">
        <v>25.72</v>
      </c>
      <c r="R594" s="7">
        <v>48.46</v>
      </c>
      <c r="S594" s="7">
        <v>42.85</v>
      </c>
      <c r="T594" s="7">
        <v>-4.15000000000003</v>
      </c>
      <c r="U594" s="7">
        <v>-17.24</v>
      </c>
      <c r="V594" s="7">
        <v>18.25</v>
      </c>
      <c r="W594" s="7">
        <v>117.73</v>
      </c>
      <c r="X594" s="7">
        <v>51.65</v>
      </c>
      <c r="Y594" s="7">
        <v>-12.37</v>
      </c>
      <c r="Z594" s="9">
        <f>MAX($B$594:$Y$594)</f>
        <v>117.73</v>
      </c>
      <c r="AA594" s="9">
        <f>MIN($B$594:$Y$594)</f>
        <v>-17.24</v>
      </c>
      <c r="AB594" s="9">
        <f>AVERAGE($B$594:$Y$594)</f>
        <v>25.1733333333333</v>
      </c>
    </row>
    <row r="595" spans="1:28">
      <c r="A595" s="10">
        <v>45890</v>
      </c>
      <c r="B595" s="7">
        <v>2.42999999999998</v>
      </c>
      <c r="C595" s="7">
        <v>-2.42999999999998</v>
      </c>
      <c r="D595" s="7">
        <v>-6.53</v>
      </c>
      <c r="E595" s="7">
        <v>-0.659999999999997</v>
      </c>
      <c r="F595" s="7">
        <v>8.44</v>
      </c>
      <c r="G595" s="7">
        <v>38.01</v>
      </c>
      <c r="H595" s="7">
        <v>8.15000000000001</v>
      </c>
      <c r="I595" s="7">
        <v>-1.19999999999999</v>
      </c>
      <c r="J595" s="7">
        <v>-0.100000000000023</v>
      </c>
      <c r="K595" s="7">
        <v>-2.62</v>
      </c>
      <c r="L595" s="7">
        <v>2.52999999999997</v>
      </c>
      <c r="M595" s="7">
        <v>13.12</v>
      </c>
      <c r="N595" s="7">
        <v>19.76</v>
      </c>
      <c r="O595" s="7">
        <v>21.53</v>
      </c>
      <c r="P595" s="7">
        <v>22.82</v>
      </c>
      <c r="Q595" s="7">
        <v>-3.54000000000002</v>
      </c>
      <c r="R595" s="7">
        <v>8.43000000000001</v>
      </c>
      <c r="S595" s="7">
        <v>-96.65</v>
      </c>
      <c r="T595" s="7">
        <v>-8.60999999999996</v>
      </c>
      <c r="U595" s="7">
        <v>-146.71</v>
      </c>
      <c r="V595" s="7">
        <v>-18.57</v>
      </c>
      <c r="W595" s="7">
        <v>-3.22000000000003</v>
      </c>
      <c r="X595" s="7">
        <v>-2.30000000000001</v>
      </c>
      <c r="Y595" s="7">
        <v>-9.08000000000001</v>
      </c>
      <c r="Z595" s="9">
        <f>MAX($B$595:$Y$595)</f>
        <v>38.01</v>
      </c>
      <c r="AA595" s="9">
        <f>MIN($B$595:$Y$595)</f>
        <v>-146.71</v>
      </c>
      <c r="AB595" s="9">
        <f>AVERAGE($B$595:$Y$595)</f>
        <v>-6.54166666666667</v>
      </c>
    </row>
    <row r="596" spans="1:28">
      <c r="A596" s="10">
        <v>45891</v>
      </c>
      <c r="B596" s="7">
        <v>-30.23</v>
      </c>
      <c r="C596" s="7">
        <v>-16.59</v>
      </c>
      <c r="D596" s="7">
        <v>-5.80000000000001</v>
      </c>
      <c r="E596" s="7">
        <v>-1.79999999999998</v>
      </c>
      <c r="F596" s="7">
        <v>3.63999999999999</v>
      </c>
      <c r="G596" s="7">
        <v>9.39999999999998</v>
      </c>
      <c r="H596" s="7">
        <v>2.28</v>
      </c>
      <c r="I596" s="7">
        <v>13.96</v>
      </c>
      <c r="J596" s="7">
        <v>2.07000000000002</v>
      </c>
      <c r="K596" s="7">
        <v>9.09000000000003</v>
      </c>
      <c r="L596" s="7">
        <v>8.03000000000003</v>
      </c>
      <c r="M596" s="7">
        <v>8.28</v>
      </c>
      <c r="N596" s="7">
        <v>20.1</v>
      </c>
      <c r="O596" s="7">
        <v>32.6</v>
      </c>
      <c r="P596" s="7">
        <v>23.33</v>
      </c>
      <c r="Q596" s="7">
        <v>17</v>
      </c>
      <c r="R596" s="7">
        <v>0.689999999999998</v>
      </c>
      <c r="S596" s="7">
        <v>-0.920000000000016</v>
      </c>
      <c r="T596" s="7">
        <v>-20.32</v>
      </c>
      <c r="U596" s="7">
        <v>-98.23</v>
      </c>
      <c r="V596" s="7">
        <v>-41.3</v>
      </c>
      <c r="W596" s="7">
        <v>-56.28</v>
      </c>
      <c r="X596" s="7">
        <v>-36.95</v>
      </c>
      <c r="Y596" s="7">
        <v>-24.72</v>
      </c>
      <c r="Z596" s="9">
        <f>MAX($B$596:$Y$596)</f>
        <v>32.6</v>
      </c>
      <c r="AA596" s="9">
        <f>MIN($B$596:$Y$596)</f>
        <v>-98.23</v>
      </c>
      <c r="AB596" s="9">
        <f>AVERAGE($B$596:$Y$596)</f>
        <v>-7.61125</v>
      </c>
    </row>
    <row r="597" spans="1:28">
      <c r="A597" s="10">
        <v>45892</v>
      </c>
      <c r="B597" s="7">
        <v>-172.62</v>
      </c>
      <c r="C597" s="7">
        <v>-49</v>
      </c>
      <c r="D597" s="7">
        <v>-28.11</v>
      </c>
      <c r="E597" s="7">
        <v>-16.01</v>
      </c>
      <c r="F597" s="7">
        <v>-11.28</v>
      </c>
      <c r="G597" s="7">
        <v>-6.17000000000002</v>
      </c>
      <c r="H597" s="7">
        <v>-6.92000000000002</v>
      </c>
      <c r="I597" s="7">
        <v>-6.16</v>
      </c>
      <c r="J597" s="7">
        <v>4.65000000000001</v>
      </c>
      <c r="K597" s="7">
        <v>2.62</v>
      </c>
      <c r="L597" s="7">
        <v>11.71</v>
      </c>
      <c r="M597" s="7">
        <v>6.28999999999999</v>
      </c>
      <c r="N597" s="7">
        <v>12.42</v>
      </c>
      <c r="O597" s="7">
        <v>-24.77</v>
      </c>
      <c r="P597" s="7">
        <v>-10.64</v>
      </c>
      <c r="Q597" s="7">
        <v>8.04000000000002</v>
      </c>
      <c r="R597" s="7">
        <v>4.22000000000003</v>
      </c>
      <c r="S597" s="7">
        <v>33.43</v>
      </c>
      <c r="T597" s="7">
        <v>26.1799999999999</v>
      </c>
      <c r="U597" s="7">
        <v>-4.98000000000002</v>
      </c>
      <c r="V597" s="7">
        <v>14.58</v>
      </c>
      <c r="W597" s="7">
        <v>6.61000000000001</v>
      </c>
      <c r="X597" s="7">
        <v>1.26999999999998</v>
      </c>
      <c r="Y597" s="7">
        <v>-1.98000000000002</v>
      </c>
      <c r="Z597" s="9">
        <f>MAX($B$597:$Y$597)</f>
        <v>33.43</v>
      </c>
      <c r="AA597" s="9">
        <f>MIN($B$597:$Y$597)</f>
        <v>-172.62</v>
      </c>
      <c r="AB597" s="9">
        <f>AVERAGE($B$597:$Y$597)</f>
        <v>-8.60916666666667</v>
      </c>
    </row>
    <row r="598" spans="1:28">
      <c r="A598" s="10">
        <v>45893</v>
      </c>
      <c r="B598" s="7">
        <v>-12.83</v>
      </c>
      <c r="C598" s="7">
        <v>8.73000000000002</v>
      </c>
      <c r="D598" s="7">
        <v>1.06</v>
      </c>
      <c r="E598" s="7">
        <v>11.72</v>
      </c>
      <c r="F598" s="7">
        <v>24.7</v>
      </c>
      <c r="G598" s="7">
        <v>30.48</v>
      </c>
      <c r="H598" s="7">
        <v>16.61</v>
      </c>
      <c r="I598" s="7">
        <v>29.92</v>
      </c>
      <c r="J598" s="7">
        <v>66.09</v>
      </c>
      <c r="K598" s="7">
        <v>40.54</v>
      </c>
      <c r="L598" s="7">
        <v>-57.72</v>
      </c>
      <c r="M598" s="7">
        <v>-31.23</v>
      </c>
      <c r="N598" s="7">
        <v>-25.66</v>
      </c>
      <c r="O598" s="7">
        <v>10.4</v>
      </c>
      <c r="P598" s="7">
        <v>8.46000000000001</v>
      </c>
      <c r="Q598" s="7">
        <v>32.42</v>
      </c>
      <c r="R598" s="7">
        <v>30.14</v>
      </c>
      <c r="S598" s="7">
        <v>35.52</v>
      </c>
      <c r="T598" s="7">
        <v>31.5</v>
      </c>
      <c r="U598" s="7">
        <v>16.18</v>
      </c>
      <c r="V598" s="7">
        <v>35.39</v>
      </c>
      <c r="W598" s="7">
        <v>24.82</v>
      </c>
      <c r="X598" s="7">
        <v>20.17</v>
      </c>
      <c r="Y598" s="7">
        <v>50.03</v>
      </c>
      <c r="Z598" s="9">
        <f>MAX($B$598:$Y$598)</f>
        <v>66.09</v>
      </c>
      <c r="AA598" s="9">
        <f>MIN($B$598:$Y$598)</f>
        <v>-57.72</v>
      </c>
      <c r="AB598" s="9">
        <f>AVERAGE($B$598:$Y$598)</f>
        <v>16.56</v>
      </c>
    </row>
    <row r="599" spans="1:28">
      <c r="A599" s="10">
        <v>45894</v>
      </c>
      <c r="B599" s="7">
        <v>-55.11</v>
      </c>
      <c r="C599" s="7">
        <v>38.04</v>
      </c>
      <c r="D599" s="7">
        <v>12.09</v>
      </c>
      <c r="E599" s="7">
        <v>13.66</v>
      </c>
      <c r="F599" s="7">
        <v>17.91</v>
      </c>
      <c r="G599" s="7">
        <v>35.03</v>
      </c>
      <c r="H599" s="7">
        <v>42.35</v>
      </c>
      <c r="I599" s="7">
        <v>21.84</v>
      </c>
      <c r="J599" s="7">
        <v>1.50999999999999</v>
      </c>
      <c r="K599" s="7">
        <v>27.51</v>
      </c>
      <c r="L599" s="7">
        <v>12.38</v>
      </c>
      <c r="M599" s="7">
        <v>15.09</v>
      </c>
      <c r="N599" s="7">
        <v>15.56</v>
      </c>
      <c r="O599" s="7">
        <v>-43.65</v>
      </c>
      <c r="P599" s="7">
        <v>4.57999999999998</v>
      </c>
      <c r="Q599" s="7">
        <v>36.92</v>
      </c>
      <c r="R599" s="7">
        <v>25.49</v>
      </c>
      <c r="S599" s="7">
        <v>27.72</v>
      </c>
      <c r="T599" s="7">
        <v>-0.319999999999993</v>
      </c>
      <c r="U599" s="7">
        <v>-5.51000000000005</v>
      </c>
      <c r="V599" s="7">
        <v>3.70000000000005</v>
      </c>
      <c r="W599" s="7">
        <v>29.15</v>
      </c>
      <c r="X599" s="7">
        <v>26.48</v>
      </c>
      <c r="Y599" s="7">
        <v>20.36</v>
      </c>
      <c r="Z599" s="9">
        <f>MAX($B$599:$Y$599)</f>
        <v>42.35</v>
      </c>
      <c r="AA599" s="9">
        <f>MIN($B$599:$Y$599)</f>
        <v>-55.11</v>
      </c>
      <c r="AB599" s="9">
        <f>AVERAGE($B$599:$Y$599)</f>
        <v>13.4491666666667</v>
      </c>
    </row>
    <row r="600" spans="1:28">
      <c r="A600" s="10">
        <v>45895</v>
      </c>
      <c r="B600" s="7">
        <v>23.48</v>
      </c>
      <c r="C600" s="7">
        <v>19.62</v>
      </c>
      <c r="D600" s="7">
        <v>21.67</v>
      </c>
      <c r="E600" s="7">
        <v>15.78</v>
      </c>
      <c r="F600" s="7">
        <v>30.17</v>
      </c>
      <c r="G600" s="7">
        <v>19.5</v>
      </c>
      <c r="H600" s="7">
        <v>28.55</v>
      </c>
      <c r="I600" s="7">
        <v>19.92</v>
      </c>
      <c r="J600" s="7">
        <v>8.95000000000002</v>
      </c>
      <c r="K600" s="7">
        <v>20.87</v>
      </c>
      <c r="L600" s="7">
        <v>46.93</v>
      </c>
      <c r="M600" s="7">
        <v>35.13</v>
      </c>
      <c r="N600" s="7">
        <v>23.81</v>
      </c>
      <c r="O600" s="7">
        <v>31.6</v>
      </c>
      <c r="P600" s="7">
        <v>28.1</v>
      </c>
      <c r="Q600" s="7">
        <v>60.38</v>
      </c>
      <c r="R600" s="7">
        <v>35.88</v>
      </c>
      <c r="S600" s="7">
        <v>52.78</v>
      </c>
      <c r="T600" s="7">
        <v>20.64</v>
      </c>
      <c r="U600" s="7">
        <v>-10.2</v>
      </c>
      <c r="V600" s="7">
        <v>3.16000000000002</v>
      </c>
      <c r="W600" s="7">
        <v>-6.49000000000001</v>
      </c>
      <c r="X600" s="7">
        <v>-22.79</v>
      </c>
      <c r="Y600" s="7">
        <v>-15.31</v>
      </c>
      <c r="Z600" s="9">
        <f>MAX($B$600:$Y$600)</f>
        <v>60.38</v>
      </c>
      <c r="AA600" s="9">
        <f>MIN($B$600:$Y$600)</f>
        <v>-22.79</v>
      </c>
      <c r="AB600" s="9">
        <f>AVERAGE($B$600:$Y$600)</f>
        <v>20.5054166666667</v>
      </c>
    </row>
    <row r="601" spans="1:28">
      <c r="A601" s="10">
        <v>45896</v>
      </c>
      <c r="B601" s="7">
        <v>-76.02</v>
      </c>
      <c r="C601" s="7">
        <v>15.84</v>
      </c>
      <c r="D601" s="7">
        <v>9.65000000000001</v>
      </c>
      <c r="E601" s="7">
        <v>22.42</v>
      </c>
      <c r="F601" s="7">
        <v>-11.07</v>
      </c>
      <c r="G601" s="7">
        <v>-13.95</v>
      </c>
      <c r="H601" s="7">
        <v>-13.41</v>
      </c>
      <c r="I601" s="7">
        <v>-26.01</v>
      </c>
      <c r="J601" s="7">
        <v>-20.43</v>
      </c>
      <c r="K601" s="7">
        <v>11.89</v>
      </c>
      <c r="L601" s="7">
        <v>-15.45</v>
      </c>
      <c r="M601" s="7">
        <v>-29.91</v>
      </c>
      <c r="N601" s="7">
        <v>-15.27</v>
      </c>
      <c r="O601" s="7">
        <v>-22.4</v>
      </c>
      <c r="P601" s="7">
        <v>19.08</v>
      </c>
      <c r="Q601" s="7">
        <v>-11.51</v>
      </c>
      <c r="R601" s="7">
        <v>-15.4</v>
      </c>
      <c r="S601" s="7">
        <v>-1.55000000000001</v>
      </c>
      <c r="T601" s="7">
        <v>-8.81</v>
      </c>
      <c r="U601" s="7">
        <v>-73.34</v>
      </c>
      <c r="V601" s="7">
        <v>-4.57999999999998</v>
      </c>
      <c r="W601" s="7">
        <v>10.77</v>
      </c>
      <c r="X601" s="7">
        <v>11.72</v>
      </c>
      <c r="Y601" s="7">
        <v>4.22000000000003</v>
      </c>
      <c r="Z601" s="9">
        <f>MAX($B$601:$Y$601)</f>
        <v>22.42</v>
      </c>
      <c r="AA601" s="9">
        <f>MIN($B$601:$Y$601)</f>
        <v>-76.02</v>
      </c>
      <c r="AB601" s="9">
        <f>AVERAGE($B$601:$Y$601)</f>
        <v>-10.5633333333333</v>
      </c>
    </row>
    <row r="602" spans="1:28">
      <c r="A602" s="10">
        <v>45897</v>
      </c>
      <c r="B602" s="7">
        <v>114.24</v>
      </c>
      <c r="C602" s="7">
        <v>51.67</v>
      </c>
      <c r="D602" s="7">
        <v>107.43</v>
      </c>
      <c r="E602" s="7">
        <v>78.23</v>
      </c>
      <c r="F602" s="7">
        <v>32.62</v>
      </c>
      <c r="G602" s="7">
        <v>28.07</v>
      </c>
      <c r="H602" s="7">
        <v>24.74</v>
      </c>
      <c r="I602" s="7">
        <v>6.99000000000001</v>
      </c>
      <c r="J602" s="7">
        <v>9.91</v>
      </c>
      <c r="K602" s="7">
        <v>-7.00999999999999</v>
      </c>
      <c r="L602" s="7">
        <v>-22.51</v>
      </c>
      <c r="M602" s="7">
        <v>-21.36</v>
      </c>
      <c r="N602" s="7">
        <v>7.00999999999999</v>
      </c>
      <c r="O602" s="7">
        <v>-2.46999999999997</v>
      </c>
      <c r="P602" s="7">
        <v>32.45</v>
      </c>
      <c r="Q602" s="7">
        <v>76.4</v>
      </c>
      <c r="R602" s="7">
        <v>93.44</v>
      </c>
      <c r="S602" s="7">
        <v>56.04</v>
      </c>
      <c r="T602" s="7">
        <v>5.13</v>
      </c>
      <c r="U602" s="7">
        <v>-169.3</v>
      </c>
      <c r="V602" s="7">
        <v>-5.79000000000002</v>
      </c>
      <c r="W602" s="7">
        <v>11.66</v>
      </c>
      <c r="X602" s="7">
        <v>8.63000000000002</v>
      </c>
      <c r="Y602" s="7">
        <v>1.45000000000002</v>
      </c>
      <c r="Z602" s="9">
        <f>MAX($B$602:$Y$602)</f>
        <v>114.24</v>
      </c>
      <c r="AA602" s="9">
        <f>MIN($B$602:$Y$602)</f>
        <v>-169.3</v>
      </c>
      <c r="AB602" s="9">
        <f>AVERAGE($B$602:$Y$602)</f>
        <v>21.5695833333333</v>
      </c>
    </row>
    <row r="603" spans="1:28">
      <c r="A603" s="10">
        <v>45898</v>
      </c>
      <c r="B603" s="7">
        <v>31.62</v>
      </c>
      <c r="C603" s="7">
        <v>-13.19</v>
      </c>
      <c r="D603" s="7">
        <v>11.68</v>
      </c>
      <c r="E603" s="7">
        <v>4.82999999999998</v>
      </c>
      <c r="F603" s="7">
        <v>1.84</v>
      </c>
      <c r="G603" s="7">
        <v>0.590000000000003</v>
      </c>
      <c r="H603" s="7">
        <v>-9.44</v>
      </c>
      <c r="I603" s="7">
        <v>3.03</v>
      </c>
      <c r="J603" s="7">
        <v>26.07</v>
      </c>
      <c r="K603" s="7">
        <v>36.64</v>
      </c>
      <c r="L603" s="7">
        <v>-16.91</v>
      </c>
      <c r="M603" s="7">
        <v>-3.66</v>
      </c>
      <c r="N603" s="7">
        <v>3.02000000000001</v>
      </c>
      <c r="O603" s="7">
        <v>-36.78</v>
      </c>
      <c r="P603" s="7">
        <v>-6.86000000000001</v>
      </c>
      <c r="Q603" s="7">
        <v>-51.95</v>
      </c>
      <c r="R603" s="7">
        <v>-73.01</v>
      </c>
      <c r="S603" s="7">
        <v>-3.10999999999996</v>
      </c>
      <c r="T603" s="7">
        <v>11.11</v>
      </c>
      <c r="U603" s="7">
        <v>-30.98</v>
      </c>
      <c r="V603" s="7">
        <v>20.59</v>
      </c>
      <c r="W603" s="7">
        <v>16.74</v>
      </c>
      <c r="X603" s="7">
        <v>-8.44999999999999</v>
      </c>
      <c r="Y603" s="7">
        <v>-18.5</v>
      </c>
      <c r="Z603" s="9">
        <f>MAX($B$603:$Y$603)</f>
        <v>36.64</v>
      </c>
      <c r="AA603" s="9">
        <f>MIN($B$603:$Y$603)</f>
        <v>-73.01</v>
      </c>
      <c r="AB603" s="9">
        <f>AVERAGE($B$603:$Y$603)</f>
        <v>-4.37833333333333</v>
      </c>
    </row>
    <row r="604" spans="1:28">
      <c r="A604" s="10">
        <v>45899</v>
      </c>
      <c r="B604" s="7">
        <v>-61.1</v>
      </c>
      <c r="C604" s="7">
        <v>-50.43</v>
      </c>
      <c r="D604" s="7">
        <v>-12.24</v>
      </c>
      <c r="E604" s="7">
        <v>-10.28</v>
      </c>
      <c r="F604" s="7">
        <v>-1.47999999999999</v>
      </c>
      <c r="G604" s="7">
        <v>3.11000000000001</v>
      </c>
      <c r="H604" s="7">
        <v>4.20000000000002</v>
      </c>
      <c r="I604" s="7">
        <v>-1.83999999999997</v>
      </c>
      <c r="J604" s="7">
        <v>6.36999999999998</v>
      </c>
      <c r="K604" s="7">
        <v>-45.3</v>
      </c>
      <c r="L604" s="7">
        <v>-26.57</v>
      </c>
      <c r="M604" s="7">
        <v>-12.98</v>
      </c>
      <c r="N604" s="7">
        <v>-35.1</v>
      </c>
      <c r="O604" s="7">
        <v>-26.25</v>
      </c>
      <c r="P604" s="7">
        <v>4.19999999999999</v>
      </c>
      <c r="Q604" s="7">
        <v>9.26999999999998</v>
      </c>
      <c r="R604" s="7">
        <v>27.77</v>
      </c>
      <c r="S604" s="7">
        <v>-0.610000000000014</v>
      </c>
      <c r="T604" s="7">
        <v>2.09000000000003</v>
      </c>
      <c r="U604" s="7">
        <v>-88.78</v>
      </c>
      <c r="V604" s="7">
        <v>-41.03</v>
      </c>
      <c r="W604" s="7">
        <v>-33.28</v>
      </c>
      <c r="X604" s="7">
        <v>-18.91</v>
      </c>
      <c r="Y604" s="7">
        <v>-0.359999999999957</v>
      </c>
      <c r="Z604" s="9">
        <f>MAX($B$604:$Y$604)</f>
        <v>27.77</v>
      </c>
      <c r="AA604" s="9">
        <f>MIN($B$604:$Y$604)</f>
        <v>-88.78</v>
      </c>
      <c r="AB604" s="9">
        <f>AVERAGE($B$604:$Y$604)</f>
        <v>-17.06375</v>
      </c>
    </row>
    <row r="605" spans="1:28">
      <c r="A605" s="10">
        <v>45900</v>
      </c>
      <c r="B605" s="7">
        <v>-86.07</v>
      </c>
      <c r="C605" s="7">
        <v>-155.18</v>
      </c>
      <c r="D605" s="7">
        <v>13.77</v>
      </c>
      <c r="E605" s="7">
        <v>-19.2</v>
      </c>
      <c r="F605" s="7">
        <v>0.389999999999986</v>
      </c>
      <c r="G605" s="7">
        <v>-1.58000000000004</v>
      </c>
      <c r="H605" s="7">
        <v>0.710000000000036</v>
      </c>
      <c r="I605" s="7">
        <v>-2.76000000000002</v>
      </c>
      <c r="J605" s="7">
        <v>9.84</v>
      </c>
      <c r="K605" s="7">
        <v>2.06999999999999</v>
      </c>
      <c r="L605" s="7">
        <v>0.25</v>
      </c>
      <c r="M605" s="7">
        <v>29.69</v>
      </c>
      <c r="N605" s="7">
        <v>25.03</v>
      </c>
      <c r="O605" s="7">
        <v>2.55999999999997</v>
      </c>
      <c r="P605" s="7">
        <v>11.17</v>
      </c>
      <c r="Q605" s="7">
        <v>16.5</v>
      </c>
      <c r="R605" s="7">
        <v>-0.210000000000008</v>
      </c>
      <c r="S605" s="7">
        <v>-5.60000000000002</v>
      </c>
      <c r="T605" s="7">
        <v>-16.22</v>
      </c>
      <c r="U605" s="7">
        <v>-102.83</v>
      </c>
      <c r="V605" s="7">
        <v>-72.65</v>
      </c>
      <c r="W605" s="7">
        <v>-218.69</v>
      </c>
      <c r="X605" s="7">
        <v>-99.34</v>
      </c>
      <c r="Y605" s="7">
        <v>-9.54000000000002</v>
      </c>
      <c r="Z605" s="9">
        <f>MAX($B$605:$Y$605)</f>
        <v>29.69</v>
      </c>
      <c r="AA605" s="9">
        <f>MIN($B$605:$Y$605)</f>
        <v>-218.69</v>
      </c>
      <c r="AB605" s="9">
        <f>AVERAGE($B$605:$Y$605)</f>
        <v>-28.2454166666667</v>
      </c>
    </row>
    <row r="606" spans="1:28">
      <c r="A606" s="10">
        <v>45901</v>
      </c>
      <c r="B606" s="7">
        <v>-79.9</v>
      </c>
      <c r="C606" s="7">
        <v>9.97000000000003</v>
      </c>
      <c r="D606" s="7">
        <v>0.829999999999984</v>
      </c>
      <c r="E606" s="7">
        <v>-3.26999999999998</v>
      </c>
      <c r="F606" s="7">
        <v>0.25</v>
      </c>
      <c r="G606" s="7">
        <v>-4.34000000000003</v>
      </c>
      <c r="H606" s="7">
        <v>-8.76999999999998</v>
      </c>
      <c r="I606" s="7">
        <v>-5.88999999999999</v>
      </c>
      <c r="J606" s="7">
        <v>15.64</v>
      </c>
      <c r="K606" s="7">
        <v>2.34000000000003</v>
      </c>
      <c r="L606" s="7">
        <v>-1.91000000000003</v>
      </c>
      <c r="M606" s="7">
        <v>6.61000000000001</v>
      </c>
      <c r="N606" s="7">
        <v>31.24</v>
      </c>
      <c r="O606" s="7">
        <v>-23.61</v>
      </c>
      <c r="P606" s="7">
        <v>55.29</v>
      </c>
      <c r="Q606" s="7">
        <v>24.34</v>
      </c>
      <c r="R606" s="7">
        <v>51.6</v>
      </c>
      <c r="S606" s="7">
        <v>44.65</v>
      </c>
      <c r="T606" s="7">
        <v>-84.53</v>
      </c>
      <c r="U606" s="7">
        <v>-299.14</v>
      </c>
      <c r="V606" s="7">
        <v>-148.28</v>
      </c>
      <c r="W606" s="7">
        <v>-137.43</v>
      </c>
      <c r="X606" s="7">
        <v>-108.01</v>
      </c>
      <c r="Y606" s="7">
        <v>-25.79</v>
      </c>
      <c r="Z606" s="9">
        <f>MAX($B$606:$Y$606)</f>
        <v>55.29</v>
      </c>
      <c r="AA606" s="9">
        <f>MIN($B$606:$Y$606)</f>
        <v>-299.14</v>
      </c>
      <c r="AB606" s="9">
        <f>AVERAGE($B$606:$Y$606)</f>
        <v>-28.67125</v>
      </c>
    </row>
    <row r="607" spans="1:28">
      <c r="A607" s="10">
        <v>45902</v>
      </c>
      <c r="B607" s="7">
        <v>-86.26</v>
      </c>
      <c r="C607" s="7">
        <v>-51.78</v>
      </c>
      <c r="D607" s="7">
        <v>-91.89</v>
      </c>
      <c r="E607" s="7">
        <v>-39.82</v>
      </c>
      <c r="F607" s="7">
        <v>-3.87</v>
      </c>
      <c r="G607" s="7">
        <v>-6</v>
      </c>
      <c r="H607" s="7">
        <v>-7.25999999999999</v>
      </c>
      <c r="I607" s="7">
        <v>-14.44</v>
      </c>
      <c r="J607" s="7">
        <v>-24.2</v>
      </c>
      <c r="K607" s="7">
        <v>-6.72999999999996</v>
      </c>
      <c r="L607" s="7">
        <v>1.82999999999998</v>
      </c>
      <c r="M607" s="7">
        <v>9.75999999999999</v>
      </c>
      <c r="N607" s="7">
        <v>48.22</v>
      </c>
      <c r="O607" s="7">
        <v>25.99</v>
      </c>
      <c r="P607" s="7">
        <v>45.68</v>
      </c>
      <c r="Q607" s="7">
        <v>29.2</v>
      </c>
      <c r="R607" s="7">
        <v>104.17</v>
      </c>
      <c r="S607" s="7">
        <v>96.8099999999999</v>
      </c>
      <c r="T607" s="7">
        <v>4.17000000000002</v>
      </c>
      <c r="U607" s="7">
        <v>43.58</v>
      </c>
      <c r="V607" s="7">
        <v>-90.97</v>
      </c>
      <c r="W607" s="7">
        <v>-147.9</v>
      </c>
      <c r="X607" s="7">
        <v>-39.96</v>
      </c>
      <c r="Y607" s="7">
        <v>-16.21</v>
      </c>
      <c r="Z607" s="9">
        <f>MAX($B$607:$Y$607)</f>
        <v>104.17</v>
      </c>
      <c r="AA607" s="9">
        <f>MIN($B$607:$Y$607)</f>
        <v>-147.9</v>
      </c>
      <c r="AB607" s="9">
        <f>AVERAGE($B$607:$Y$607)</f>
        <v>-9.07833333333333</v>
      </c>
    </row>
    <row r="608" spans="1:28">
      <c r="A608" s="10">
        <v>45903</v>
      </c>
      <c r="B608" s="7">
        <v>-142.18</v>
      </c>
      <c r="C608" s="7">
        <v>-135.79</v>
      </c>
      <c r="D608" s="7">
        <v>-83.43</v>
      </c>
      <c r="E608" s="7">
        <v>109.12</v>
      </c>
      <c r="F608" s="7">
        <v>34.54</v>
      </c>
      <c r="G608" s="7">
        <v>9.05000000000001</v>
      </c>
      <c r="H608" s="7">
        <v>1.95999999999998</v>
      </c>
      <c r="I608" s="7">
        <v>-18.39</v>
      </c>
      <c r="J608" s="7">
        <v>-12.82</v>
      </c>
      <c r="K608" s="7">
        <v>8.06999999999999</v>
      </c>
      <c r="L608" s="7">
        <v>15.49</v>
      </c>
      <c r="M608" s="7">
        <v>64.42</v>
      </c>
      <c r="N608" s="7">
        <v>5.98000000000002</v>
      </c>
      <c r="O608" s="7">
        <v>33.32</v>
      </c>
      <c r="P608" s="7">
        <v>88.46</v>
      </c>
      <c r="Q608" s="7">
        <v>123.96</v>
      </c>
      <c r="R608" s="7">
        <v>127.4</v>
      </c>
      <c r="S608" s="7">
        <v>65.42</v>
      </c>
      <c r="T608" s="7">
        <v>-68.49</v>
      </c>
      <c r="U608" s="7">
        <v>-334.75</v>
      </c>
      <c r="V608" s="7">
        <v>-168.94</v>
      </c>
      <c r="W608" s="7">
        <v>-157.49</v>
      </c>
      <c r="X608" s="7">
        <v>-124.43</v>
      </c>
      <c r="Y608" s="7">
        <v>2.57999999999998</v>
      </c>
      <c r="Z608" s="9">
        <f>MAX($B$608:$Y$608)</f>
        <v>127.4</v>
      </c>
      <c r="AA608" s="9">
        <f>MIN($B$608:$Y$608)</f>
        <v>-334.75</v>
      </c>
      <c r="AB608" s="9">
        <f>AVERAGE($B$608:$Y$608)</f>
        <v>-23.2058333333333</v>
      </c>
    </row>
    <row r="609" spans="1:28">
      <c r="A609" s="10">
        <v>45904</v>
      </c>
      <c r="B609" s="7">
        <v>-192.33</v>
      </c>
      <c r="C609" s="7">
        <v>-22.88</v>
      </c>
      <c r="D609" s="7">
        <v>-3.49000000000001</v>
      </c>
      <c r="E609" s="7">
        <v>3.47999999999996</v>
      </c>
      <c r="F609" s="7">
        <v>10.04</v>
      </c>
      <c r="G609" s="7">
        <v>9.28999999999996</v>
      </c>
      <c r="H609" s="7">
        <v>8.91000000000002</v>
      </c>
      <c r="I609" s="7">
        <v>5.40000000000003</v>
      </c>
      <c r="J609" s="7">
        <v>12.55</v>
      </c>
      <c r="K609" s="7">
        <v>-3.78999999999996</v>
      </c>
      <c r="L609" s="7">
        <v>-64.89</v>
      </c>
      <c r="M609" s="7">
        <v>-146.14</v>
      </c>
      <c r="N609" s="7">
        <v>4.47999999999996</v>
      </c>
      <c r="O609" s="7">
        <v>-32.44</v>
      </c>
      <c r="P609" s="7">
        <v>61.66</v>
      </c>
      <c r="Q609" s="7">
        <v>91.35</v>
      </c>
      <c r="R609" s="7">
        <v>89.17</v>
      </c>
      <c r="S609" s="7">
        <v>35.57</v>
      </c>
      <c r="T609" s="7">
        <v>-78.29</v>
      </c>
      <c r="U609" s="7">
        <v>-247.57</v>
      </c>
      <c r="V609" s="7">
        <v>-274.44</v>
      </c>
      <c r="W609" s="7">
        <v>-397.9</v>
      </c>
      <c r="X609" s="7">
        <v>-159.99</v>
      </c>
      <c r="Y609" s="7">
        <v>-86.49</v>
      </c>
      <c r="Z609" s="9">
        <f>MAX($B$609:$Y$609)</f>
        <v>91.35</v>
      </c>
      <c r="AA609" s="9">
        <f>MIN($B$609:$Y$609)</f>
        <v>-397.9</v>
      </c>
      <c r="AB609" s="9">
        <f>AVERAGE($B$609:$Y$609)</f>
        <v>-57.4475</v>
      </c>
    </row>
    <row r="610" spans="1:28">
      <c r="A610" s="10">
        <v>45905</v>
      </c>
      <c r="B610" s="7">
        <f>日前电价!B610-实时电价!B610</f>
        <v>-216.51</v>
      </c>
      <c r="C610" s="7">
        <f>日前电价!C610-实时电价!C610</f>
        <v>-173.91</v>
      </c>
      <c r="D610" s="7">
        <f>日前电价!D610-实时电价!D610</f>
        <v>-178.63</v>
      </c>
      <c r="E610" s="7">
        <f>日前电价!E610-实时电价!E610</f>
        <v>-158.65</v>
      </c>
      <c r="F610" s="7">
        <f>日前电价!F610-实时电价!F610</f>
        <v>-110.78</v>
      </c>
      <c r="G610" s="7">
        <f>日前电价!G610-实时电价!G610</f>
        <v>-73.27</v>
      </c>
      <c r="H610" s="7">
        <f>日前电价!H610-实时电价!H610</f>
        <v>-127.12</v>
      </c>
      <c r="I610" s="7">
        <f>日前电价!I610-实时电价!I610</f>
        <v>-69.72</v>
      </c>
      <c r="J610" s="7">
        <f>日前电价!J610-实时电价!J610</f>
        <v>-72.17</v>
      </c>
      <c r="K610" s="7">
        <f>日前电价!K610-实时电价!K610</f>
        <v>-3.31</v>
      </c>
      <c r="L610" s="7">
        <f>日前电价!L610-实时电价!L610</f>
        <v>-36.34</v>
      </c>
      <c r="M610" s="7">
        <f>日前电价!M610-实时电价!M610</f>
        <v>-41.69</v>
      </c>
      <c r="N610" s="7">
        <f>日前电价!N610-实时电价!N610</f>
        <v>40.12</v>
      </c>
      <c r="O610" s="7">
        <f>日前电价!O610-实时电价!O610</f>
        <v>-11.22</v>
      </c>
      <c r="P610" s="7">
        <f>日前电价!P610-实时电价!P610</f>
        <v>-14.33</v>
      </c>
      <c r="Q610" s="7">
        <f>日前电价!Q610-实时电价!Q610</f>
        <v>17.95</v>
      </c>
      <c r="R610" s="7">
        <f>日前电价!R610-实时电价!R610</f>
        <v>-104.23</v>
      </c>
      <c r="S610" s="7">
        <f>日前电价!S610-实时电价!S610</f>
        <v>-71.75</v>
      </c>
      <c r="T610" s="7">
        <f>日前电价!T610-实时电价!T610</f>
        <v>-156.81</v>
      </c>
      <c r="U610" s="7">
        <f>日前电价!U610-实时电价!U610</f>
        <v>-296.13</v>
      </c>
      <c r="V610" s="7">
        <f>日前电价!V610-实时电价!V610</f>
        <v>-346.74</v>
      </c>
      <c r="W610" s="7">
        <f>日前电价!W610-实时电价!W610</f>
        <v>-200.33</v>
      </c>
      <c r="X610" s="7">
        <f>日前电价!X610-实时电价!X610</f>
        <v>-169.71</v>
      </c>
      <c r="Y610" s="7">
        <f>日前电价!Y610-实时电价!Y610</f>
        <v>-181.25</v>
      </c>
      <c r="Z610" s="9"/>
      <c r="AA610" s="9"/>
      <c r="AB610" s="9"/>
    </row>
    <row r="611" spans="1:28">
      <c r="A611" s="10">
        <v>45906</v>
      </c>
      <c r="B611" s="7">
        <v>-76.42</v>
      </c>
      <c r="C611" s="7">
        <v>-135.97</v>
      </c>
      <c r="D611" s="7">
        <v>33.13</v>
      </c>
      <c r="E611" s="7">
        <v>-76.34</v>
      </c>
      <c r="F611" s="7">
        <v>-50.08</v>
      </c>
      <c r="G611" s="7">
        <v>12.75</v>
      </c>
      <c r="H611" s="7">
        <v>14.34</v>
      </c>
      <c r="I611" s="7">
        <v>8.35000000000002</v>
      </c>
      <c r="J611" s="7">
        <v>-18.3</v>
      </c>
      <c r="K611" s="7">
        <v>-4.23000000000002</v>
      </c>
      <c r="L611" s="7">
        <v>15.68</v>
      </c>
      <c r="M611" s="7">
        <v>73.03</v>
      </c>
      <c r="N611" s="7">
        <v>35.96</v>
      </c>
      <c r="O611" s="7">
        <v>2.54000000000002</v>
      </c>
      <c r="P611" s="7">
        <v>-14.4</v>
      </c>
      <c r="Q611" s="7">
        <v>-26.46</v>
      </c>
      <c r="R611" s="7">
        <v>2.74000000000001</v>
      </c>
      <c r="S611" s="7">
        <v>94.06</v>
      </c>
      <c r="T611" s="7">
        <v>24.87</v>
      </c>
      <c r="U611" s="7">
        <v>-58.59</v>
      </c>
      <c r="V611" s="7">
        <v>-95.2</v>
      </c>
      <c r="W611" s="7">
        <v>-131.7</v>
      </c>
      <c r="X611" s="7">
        <v>-110.66</v>
      </c>
      <c r="Y611" s="7">
        <v>-89.04</v>
      </c>
      <c r="Z611" s="9">
        <f>MAX($B$611:$Y$611)</f>
        <v>94.06</v>
      </c>
      <c r="AA611" s="9">
        <f>MIN($B$611:$Y$611)</f>
        <v>-135.97</v>
      </c>
      <c r="AB611" s="9">
        <f>AVERAGE($B$611:$Y$611)</f>
        <v>-23.7475</v>
      </c>
    </row>
    <row r="612" spans="1:28">
      <c r="A612" s="10">
        <v>45907</v>
      </c>
      <c r="B612" s="7">
        <v>-332.95</v>
      </c>
      <c r="C612" s="7">
        <v>-80.94</v>
      </c>
      <c r="D612" s="7">
        <v>-59.96</v>
      </c>
      <c r="E612" s="7">
        <v>-19.83</v>
      </c>
      <c r="F612" s="7">
        <v>-5.39999999999998</v>
      </c>
      <c r="G612" s="7">
        <v>-4.83000000000004</v>
      </c>
      <c r="H612" s="7">
        <v>1.13</v>
      </c>
      <c r="I612" s="7">
        <v>12.8</v>
      </c>
      <c r="J612" s="7">
        <v>13.98</v>
      </c>
      <c r="K612" s="7">
        <v>-20.77</v>
      </c>
      <c r="L612" s="7">
        <v>30.59</v>
      </c>
      <c r="M612" s="7">
        <v>49.1</v>
      </c>
      <c r="N612" s="7">
        <v>-11.02</v>
      </c>
      <c r="O612" s="7">
        <v>-22.48</v>
      </c>
      <c r="P612" s="7">
        <v>-2.75</v>
      </c>
      <c r="Q612" s="7">
        <v>1.31</v>
      </c>
      <c r="R612" s="7">
        <v>13.64</v>
      </c>
      <c r="S612" s="7">
        <v>19.8</v>
      </c>
      <c r="T612" s="7">
        <v>15.43</v>
      </c>
      <c r="U612" s="7">
        <v>14.34</v>
      </c>
      <c r="V612" s="7">
        <v>31.57</v>
      </c>
      <c r="W612" s="7">
        <v>51.36</v>
      </c>
      <c r="X612" s="7">
        <v>80.67</v>
      </c>
      <c r="Y612" s="7">
        <v>62.11</v>
      </c>
      <c r="Z612" s="9">
        <f>MAX($B$612:$Y$612)</f>
        <v>80.67</v>
      </c>
      <c r="AA612" s="9">
        <f>MIN($B$612:$Y$612)</f>
        <v>-332.95</v>
      </c>
      <c r="AB612" s="9">
        <f>AVERAGE($B$612:$Y$612)</f>
        <v>-6.79583333333333</v>
      </c>
    </row>
    <row r="613" spans="1:28">
      <c r="A613" s="10">
        <v>45908</v>
      </c>
      <c r="B613" s="7">
        <v>44.74</v>
      </c>
      <c r="C613" s="7">
        <v>49.75</v>
      </c>
      <c r="D613" s="7">
        <v>70.49</v>
      </c>
      <c r="E613" s="7">
        <v>121.66</v>
      </c>
      <c r="F613" s="7">
        <v>47.76</v>
      </c>
      <c r="G613" s="7">
        <v>37.48</v>
      </c>
      <c r="H613" s="7">
        <v>24.28</v>
      </c>
      <c r="I613" s="7">
        <v>22.91</v>
      </c>
      <c r="J613" s="7">
        <v>-58.38</v>
      </c>
      <c r="K613" s="7">
        <v>-79.26</v>
      </c>
      <c r="L613" s="7">
        <v>-67.82</v>
      </c>
      <c r="M613" s="7">
        <v>-47.81</v>
      </c>
      <c r="N613" s="7">
        <v>15.04</v>
      </c>
      <c r="O613" s="7">
        <v>52.84</v>
      </c>
      <c r="P613" s="7">
        <v>66.19</v>
      </c>
      <c r="Q613" s="7">
        <v>12.81</v>
      </c>
      <c r="R613" s="7">
        <v>6.00999999999999</v>
      </c>
      <c r="S613" s="7">
        <v>-21.54</v>
      </c>
      <c r="T613" s="7">
        <v>5.50999999999999</v>
      </c>
      <c r="U613" s="7">
        <v>-28.38</v>
      </c>
      <c r="V613" s="7">
        <v>14.63</v>
      </c>
      <c r="W613" s="7">
        <v>33.28</v>
      </c>
      <c r="X613" s="7">
        <v>35.34</v>
      </c>
      <c r="Y613" s="7">
        <v>35.96</v>
      </c>
      <c r="Z613" s="9">
        <f>MAX($B$613:$Y$613)</f>
        <v>121.66</v>
      </c>
      <c r="AA613" s="9">
        <f>MIN($B$613:$Y$613)</f>
        <v>-79.26</v>
      </c>
      <c r="AB613" s="9">
        <f>AVERAGE($B$613:$Y$613)</f>
        <v>16.3954166666667</v>
      </c>
    </row>
    <row r="614" spans="1:28">
      <c r="A614" s="10">
        <v>45909</v>
      </c>
      <c r="B614" s="7">
        <v>53.05</v>
      </c>
      <c r="C614" s="7">
        <v>29.36</v>
      </c>
      <c r="D614" s="7">
        <v>34.79</v>
      </c>
      <c r="E614" s="7">
        <v>19.15</v>
      </c>
      <c r="F614" s="7">
        <v>27.86</v>
      </c>
      <c r="G614" s="7">
        <v>8.72</v>
      </c>
      <c r="H614" s="7">
        <v>14.05</v>
      </c>
      <c r="I614" s="7">
        <v>-9.38</v>
      </c>
      <c r="J614" s="7">
        <v>-8.57999999999998</v>
      </c>
      <c r="K614" s="7">
        <v>10.18</v>
      </c>
      <c r="L614" s="7">
        <v>-4.84000000000003</v>
      </c>
      <c r="M614" s="7">
        <v>56.86</v>
      </c>
      <c r="N614" s="7">
        <v>-12.64</v>
      </c>
      <c r="O614" s="7">
        <v>-4.79999999999995</v>
      </c>
      <c r="P614" s="7">
        <v>47.46</v>
      </c>
      <c r="Q614" s="7">
        <v>26.53</v>
      </c>
      <c r="R614" s="7">
        <v>7.06999999999999</v>
      </c>
      <c r="S614" s="7">
        <v>18.96</v>
      </c>
      <c r="T614" s="7">
        <v>-54.69</v>
      </c>
      <c r="U614" s="7">
        <v>-214.55</v>
      </c>
      <c r="V614" s="7">
        <v>-65.74</v>
      </c>
      <c r="W614" s="7">
        <v>-99.73</v>
      </c>
      <c r="X614" s="7">
        <v>-17.34</v>
      </c>
      <c r="Y614" s="7">
        <v>-18.63</v>
      </c>
      <c r="Z614" s="9">
        <f>MAX($B$614:$Y$614)</f>
        <v>56.86</v>
      </c>
      <c r="AA614" s="9">
        <f>MIN($B$614:$Y$614)</f>
        <v>-214.55</v>
      </c>
      <c r="AB614" s="9">
        <f>AVERAGE($B$614:$Y$614)</f>
        <v>-6.53666666666667</v>
      </c>
    </row>
    <row r="615" spans="1:28">
      <c r="A615" s="10">
        <v>45910</v>
      </c>
      <c r="B615" s="7">
        <v>-2.40999999999997</v>
      </c>
      <c r="C615" s="7">
        <v>-5.20999999999998</v>
      </c>
      <c r="D615" s="7">
        <v>-2.91000000000002</v>
      </c>
      <c r="E615" s="7">
        <v>0.939999999999998</v>
      </c>
      <c r="F615" s="7">
        <v>2</v>
      </c>
      <c r="G615" s="7">
        <v>9.5</v>
      </c>
      <c r="H615" s="7">
        <v>-10.94</v>
      </c>
      <c r="I615" s="7">
        <v>-16.56</v>
      </c>
      <c r="J615" s="7">
        <v>-24.51</v>
      </c>
      <c r="K615" s="7">
        <v>-29.06</v>
      </c>
      <c r="L615" s="7">
        <v>-12.84</v>
      </c>
      <c r="M615" s="7">
        <v>2.17000000000002</v>
      </c>
      <c r="N615" s="7">
        <v>-16.75</v>
      </c>
      <c r="O615" s="7">
        <v>-1.31999999999999</v>
      </c>
      <c r="P615" s="7">
        <v>32.94</v>
      </c>
      <c r="Q615" s="7">
        <v>21.63</v>
      </c>
      <c r="R615" s="7">
        <v>27.9</v>
      </c>
      <c r="S615" s="7">
        <v>35.65</v>
      </c>
      <c r="T615" s="7">
        <v>-19.11</v>
      </c>
      <c r="U615" s="7">
        <v>-139.79</v>
      </c>
      <c r="V615" s="7">
        <v>-37.95</v>
      </c>
      <c r="W615" s="7">
        <v>-14.47</v>
      </c>
      <c r="X615" s="7">
        <v>2.84000000000003</v>
      </c>
      <c r="Y615" s="7">
        <v>8.36000000000001</v>
      </c>
      <c r="Z615" s="9">
        <f>MAX($B$615:$Y$615)</f>
        <v>35.65</v>
      </c>
      <c r="AA615" s="9">
        <f>MIN($B$615:$Y$615)</f>
        <v>-139.79</v>
      </c>
      <c r="AB615" s="9">
        <f>AVERAGE($B$615:$Y$615)</f>
        <v>-7.91249999999999</v>
      </c>
    </row>
    <row r="616" spans="1:28">
      <c r="A616" s="10">
        <v>45911</v>
      </c>
      <c r="B616" s="7">
        <v>45.44</v>
      </c>
      <c r="C616" s="7">
        <v>20.17</v>
      </c>
      <c r="D616" s="7">
        <v>10.68</v>
      </c>
      <c r="E616" s="7">
        <v>12.92</v>
      </c>
      <c r="F616" s="7">
        <v>8.38</v>
      </c>
      <c r="G616" s="7">
        <v>9.89000000000001</v>
      </c>
      <c r="H616" s="7">
        <v>6.45999999999998</v>
      </c>
      <c r="I616" s="7">
        <v>14.27</v>
      </c>
      <c r="J616" s="7">
        <v>6.90000000000003</v>
      </c>
      <c r="K616" s="7">
        <v>38.55</v>
      </c>
      <c r="L616" s="7">
        <v>2.71000000000001</v>
      </c>
      <c r="M616" s="7">
        <v>20.71</v>
      </c>
      <c r="N616" s="7">
        <v>23.99</v>
      </c>
      <c r="O616" s="7">
        <v>12.3</v>
      </c>
      <c r="P616" s="7">
        <v>37.07</v>
      </c>
      <c r="Q616" s="7">
        <v>11.47</v>
      </c>
      <c r="R616" s="7">
        <v>-13.23</v>
      </c>
      <c r="S616" s="7">
        <v>-45.71</v>
      </c>
      <c r="T616" s="7">
        <v>-233.01</v>
      </c>
      <c r="U616" s="7">
        <v>-357.77</v>
      </c>
      <c r="V616" s="7">
        <v>-8.34999999999997</v>
      </c>
      <c r="W616" s="7">
        <v>29.48</v>
      </c>
      <c r="X616" s="7">
        <v>21.41</v>
      </c>
      <c r="Y616" s="7">
        <v>42.75</v>
      </c>
      <c r="Z616" s="9">
        <f>MAX($B$616:$Y$616)</f>
        <v>45.44</v>
      </c>
      <c r="AA616" s="9">
        <f>MIN($B$616:$Y$616)</f>
        <v>-357.77</v>
      </c>
      <c r="AB616" s="9">
        <f>AVERAGE($B$616:$Y$616)</f>
        <v>-11.7716666666667</v>
      </c>
    </row>
    <row r="617" spans="1:28">
      <c r="A617" s="10">
        <v>45912</v>
      </c>
      <c r="B617" s="7">
        <v>-102.6</v>
      </c>
      <c r="C617" s="7">
        <v>-12.63</v>
      </c>
      <c r="D617" s="7">
        <v>-4.35000000000002</v>
      </c>
      <c r="E617" s="7">
        <v>-0.410000000000025</v>
      </c>
      <c r="F617" s="7">
        <v>-0.800000000000011</v>
      </c>
      <c r="G617" s="7">
        <v>-3.09</v>
      </c>
      <c r="H617" s="7">
        <v>-3.19000000000003</v>
      </c>
      <c r="I617" s="7">
        <v>-4.38</v>
      </c>
      <c r="J617" s="7">
        <v>-10.44</v>
      </c>
      <c r="K617" s="7">
        <v>-21.28</v>
      </c>
      <c r="L617" s="7">
        <v>-6.19999999999999</v>
      </c>
      <c r="M617" s="7">
        <v>-1.09000000000003</v>
      </c>
      <c r="N617" s="7">
        <v>-10.01</v>
      </c>
      <c r="O617" s="7">
        <v>32.12</v>
      </c>
      <c r="P617" s="7">
        <v>43.74</v>
      </c>
      <c r="Q617" s="7">
        <v>48.11</v>
      </c>
      <c r="R617" s="7">
        <v>53.61</v>
      </c>
      <c r="S617" s="7">
        <v>43.29</v>
      </c>
      <c r="T617" s="7">
        <v>-9.29999999999995</v>
      </c>
      <c r="U617" s="7">
        <v>-117.22</v>
      </c>
      <c r="V617" s="7">
        <v>-61.6</v>
      </c>
      <c r="W617" s="7">
        <v>-73.09</v>
      </c>
      <c r="X617" s="7">
        <v>-35.69</v>
      </c>
      <c r="Y617" s="7">
        <v>-14.74</v>
      </c>
      <c r="Z617" s="9">
        <f>MAX($B$617:$Y$617)</f>
        <v>53.61</v>
      </c>
      <c r="AA617" s="9">
        <f>MIN($B$617:$Y$617)</f>
        <v>-117.22</v>
      </c>
      <c r="AB617" s="9">
        <f>AVERAGE($B$617:$Y$617)</f>
        <v>-11.3016666666667</v>
      </c>
    </row>
    <row r="618" spans="1:28">
      <c r="A618" s="10">
        <v>45913</v>
      </c>
      <c r="B618" s="7">
        <v>-71.64</v>
      </c>
      <c r="C618" s="7">
        <v>-80.85</v>
      </c>
      <c r="D618" s="7">
        <v>-22.08</v>
      </c>
      <c r="E618" s="7">
        <v>-11.84</v>
      </c>
      <c r="F618" s="7">
        <v>-5.53999999999996</v>
      </c>
      <c r="G618" s="7">
        <v>-3.45999999999998</v>
      </c>
      <c r="H618" s="7">
        <v>-1.91999999999996</v>
      </c>
      <c r="I618" s="7">
        <v>-2.06999999999999</v>
      </c>
      <c r="J618" s="7">
        <v>-5.47000000000003</v>
      </c>
      <c r="K618" s="7">
        <v>10.45</v>
      </c>
      <c r="L618" s="7">
        <v>9.25</v>
      </c>
      <c r="M618" s="7">
        <v>7.25999999999999</v>
      </c>
      <c r="N618" s="7">
        <v>-2.72</v>
      </c>
      <c r="O618" s="7">
        <v>-46.84</v>
      </c>
      <c r="P618" s="7">
        <v>16.06</v>
      </c>
      <c r="Q618" s="7">
        <v>33.06</v>
      </c>
      <c r="R618" s="7">
        <v>-0.25</v>
      </c>
      <c r="S618" s="7">
        <v>-28.28</v>
      </c>
      <c r="T618" s="7">
        <v>-67.35</v>
      </c>
      <c r="U618" s="7">
        <v>-146.2</v>
      </c>
      <c r="V618" s="7">
        <v>-18.53</v>
      </c>
      <c r="W618" s="7">
        <v>-62.84</v>
      </c>
      <c r="X618" s="7">
        <v>-19.87</v>
      </c>
      <c r="Y618" s="7">
        <v>-11.01</v>
      </c>
      <c r="Z618" s="9">
        <f>MAX($B$618:$Y$618)</f>
        <v>33.06</v>
      </c>
      <c r="AA618" s="9">
        <f>MIN($B$618:$Y$618)</f>
        <v>-146.2</v>
      </c>
      <c r="AB618" s="9">
        <f>AVERAGE($B$618:$Y$618)</f>
        <v>-22.195</v>
      </c>
    </row>
    <row r="619" spans="1:28">
      <c r="A619" s="10">
        <v>45914</v>
      </c>
      <c r="B619" s="7">
        <v>-69.68</v>
      </c>
      <c r="C619" s="7">
        <v>10.24</v>
      </c>
      <c r="D619" s="7">
        <v>-5.37</v>
      </c>
      <c r="E619" s="7">
        <v>-4.65000000000003</v>
      </c>
      <c r="F619" s="7">
        <v>3.32999999999998</v>
      </c>
      <c r="G619" s="7">
        <v>18.06</v>
      </c>
      <c r="H619" s="7">
        <v>-0.770000000000039</v>
      </c>
      <c r="I619" s="7">
        <v>-0.390000000000015</v>
      </c>
      <c r="J619" s="7">
        <v>-2.37</v>
      </c>
      <c r="K619" s="7">
        <v>-11.34</v>
      </c>
      <c r="L619" s="7">
        <v>-8.94</v>
      </c>
      <c r="M619" s="7">
        <v>-14.09</v>
      </c>
      <c r="N619" s="7">
        <v>21.72</v>
      </c>
      <c r="O619" s="7">
        <v>16.19</v>
      </c>
      <c r="P619" s="7">
        <v>-4.57999999999998</v>
      </c>
      <c r="Q619" s="7">
        <v>-11.61</v>
      </c>
      <c r="R619" s="7">
        <v>-52.68</v>
      </c>
      <c r="S619" s="7">
        <v>-58.72</v>
      </c>
      <c r="T619" s="7">
        <v>-19.86</v>
      </c>
      <c r="U619" s="7">
        <v>-65.72</v>
      </c>
      <c r="V619" s="7">
        <v>-6.79999999999995</v>
      </c>
      <c r="W619" s="7">
        <v>-51.35</v>
      </c>
      <c r="X619" s="7">
        <v>-26.03</v>
      </c>
      <c r="Y619" s="7">
        <v>9.28999999999996</v>
      </c>
      <c r="Z619" s="9">
        <f>MAX($B$619:$Y$619)</f>
        <v>21.72</v>
      </c>
      <c r="AA619" s="9">
        <f>MIN($B$619:$Y$619)</f>
        <v>-69.68</v>
      </c>
      <c r="AB619" s="9">
        <f>AVERAGE($B$619:$Y$619)</f>
        <v>-14.005</v>
      </c>
    </row>
    <row r="620" spans="1:28">
      <c r="A620" s="10">
        <v>45915</v>
      </c>
      <c r="B620" s="7">
        <f>日前电价!B620-实时电价!B620</f>
        <v>5.26999999999998</v>
      </c>
      <c r="C620" s="7">
        <f>日前电价!C620-实时电价!C620</f>
        <v>13.79</v>
      </c>
      <c r="D620" s="7">
        <f>日前电价!D620-实时电价!D620</f>
        <v>14.09</v>
      </c>
      <c r="E620" s="7">
        <f>日前电价!E620-实时电价!E620</f>
        <v>11.6</v>
      </c>
      <c r="F620" s="7">
        <f>日前电价!F620-实时电价!F620</f>
        <v>20.1</v>
      </c>
      <c r="G620" s="7">
        <f>日前电价!G620-实时电价!G620</f>
        <v>9.47999999999996</v>
      </c>
      <c r="H620" s="7">
        <f>日前电价!H620-实时电价!H620</f>
        <v>-0.439999999999998</v>
      </c>
      <c r="I620" s="7">
        <f>日前电价!I620-实时电价!I620</f>
        <v>-3.94999999999999</v>
      </c>
      <c r="J620" s="7">
        <f>日前电价!J620-实时电价!J620</f>
        <v>15.3</v>
      </c>
      <c r="K620" s="7">
        <f>日前电价!K620-实时电价!K620</f>
        <v>7.52999999999997</v>
      </c>
      <c r="L620" s="7">
        <f>日前电价!L620-实时电价!L620</f>
        <v>5.73999999999995</v>
      </c>
      <c r="M620" s="7">
        <f>日前电价!M620-实时电价!M620</f>
        <v>0.260000000000048</v>
      </c>
      <c r="N620" s="7">
        <f>日前电价!N620-实时电价!N620</f>
        <v>11.59</v>
      </c>
      <c r="O620" s="7">
        <f>日前电价!O620-实时电价!O620</f>
        <v>58.7</v>
      </c>
      <c r="P620" s="7">
        <f>日前电价!P620-实时电价!P620</f>
        <v>93.78</v>
      </c>
      <c r="Q620" s="7">
        <f>日前电价!Q620-实时电价!Q620</f>
        <v>46.31</v>
      </c>
      <c r="R620" s="7">
        <f>日前电价!R620-实时电价!R620</f>
        <v>107.34</v>
      </c>
      <c r="S620" s="7">
        <f>日前电价!S620-实时电价!S620</f>
        <v>96.74</v>
      </c>
      <c r="T620" s="7">
        <f>日前电价!T620-实时电价!T620</f>
        <v>15.09</v>
      </c>
      <c r="U620" s="7">
        <f>日前电价!U620-实时电价!U620</f>
        <v>25.46</v>
      </c>
      <c r="V620" s="7">
        <f>日前电价!V620-实时电价!V620</f>
        <v>41.17</v>
      </c>
      <c r="W620" s="7">
        <f>日前电价!W620-实时电价!W620</f>
        <v>35.31</v>
      </c>
      <c r="X620" s="7">
        <f>日前电价!X620-实时电价!X620</f>
        <v>30.59</v>
      </c>
      <c r="Y620" s="7">
        <f>日前电价!Y620-实时电价!Y620</f>
        <v>19.95</v>
      </c>
      <c r="Z620" s="9"/>
      <c r="AA620" s="9"/>
      <c r="AB620" s="9"/>
    </row>
    <row r="621" spans="1:28">
      <c r="A621" s="10">
        <v>45916</v>
      </c>
      <c r="B621" s="7">
        <v>12.56</v>
      </c>
      <c r="C621" s="7">
        <v>-17.56</v>
      </c>
      <c r="D621" s="7">
        <v>39.38</v>
      </c>
      <c r="E621" s="7">
        <v>34.3800000000001</v>
      </c>
      <c r="F621" s="7">
        <v>28.63</v>
      </c>
      <c r="G621" s="7">
        <v>20.54</v>
      </c>
      <c r="H621" s="7">
        <v>21.3</v>
      </c>
      <c r="I621" s="7">
        <v>15.53</v>
      </c>
      <c r="J621" s="7">
        <v>6.95999999999998</v>
      </c>
      <c r="K621" s="7">
        <v>48.01</v>
      </c>
      <c r="L621" s="7">
        <v>43.97</v>
      </c>
      <c r="M621" s="7">
        <v>23.74</v>
      </c>
      <c r="N621" s="7">
        <v>39.95</v>
      </c>
      <c r="O621" s="7">
        <v>5.31</v>
      </c>
      <c r="P621" s="7">
        <v>42.92</v>
      </c>
      <c r="Q621" s="7">
        <v>24.41</v>
      </c>
      <c r="R621" s="7">
        <v>60.59</v>
      </c>
      <c r="S621" s="7">
        <v>104.79</v>
      </c>
      <c r="T621" s="7">
        <v>-28.66</v>
      </c>
      <c r="U621" s="7">
        <v>10.76</v>
      </c>
      <c r="V621" s="7">
        <v>30.74</v>
      </c>
      <c r="W621" s="7">
        <v>-9.00999999999999</v>
      </c>
      <c r="X621" s="7">
        <v>0.189999999999998</v>
      </c>
      <c r="Y621" s="7">
        <v>16.76</v>
      </c>
      <c r="Z621" s="9">
        <f>MAX($B$621:$Y$621)</f>
        <v>104.79</v>
      </c>
      <c r="AA621" s="9">
        <f>MIN($B$621:$Y$621)</f>
        <v>-28.66</v>
      </c>
      <c r="AB621" s="9">
        <f>AVERAGE($B$621:$Y$621)</f>
        <v>24.0079166666667</v>
      </c>
    </row>
    <row r="622" spans="1:28">
      <c r="A622" s="10">
        <v>45917</v>
      </c>
      <c r="B622" s="7">
        <v>-47.65</v>
      </c>
      <c r="C622" s="7">
        <v>-23.62</v>
      </c>
      <c r="D622" s="7">
        <v>-11.16</v>
      </c>
      <c r="E622" s="7">
        <v>0.610000000000014</v>
      </c>
      <c r="F622" s="7">
        <v>14.88</v>
      </c>
      <c r="G622" s="7">
        <v>14.1799999999999</v>
      </c>
      <c r="H622" s="7">
        <v>-1.03000000000003</v>
      </c>
      <c r="I622" s="7">
        <v>0.769999999999982</v>
      </c>
      <c r="J622" s="7">
        <v>-31.26</v>
      </c>
      <c r="K622" s="7">
        <v>4.12</v>
      </c>
      <c r="L622" s="7">
        <v>9.67000000000002</v>
      </c>
      <c r="M622" s="7">
        <v>4.86000000000001</v>
      </c>
      <c r="N622" s="7">
        <v>-5.67000000000002</v>
      </c>
      <c r="O622" s="7">
        <v>18.96</v>
      </c>
      <c r="P622" s="7">
        <v>-45.84</v>
      </c>
      <c r="Q622" s="7">
        <v>-46.19</v>
      </c>
      <c r="R622" s="7">
        <v>-118.09</v>
      </c>
      <c r="S622" s="7">
        <v>27.34</v>
      </c>
      <c r="T622" s="7">
        <v>52.94</v>
      </c>
      <c r="U622" s="7">
        <v>246.19</v>
      </c>
      <c r="V622" s="7">
        <v>85.37</v>
      </c>
      <c r="W622" s="7">
        <v>62.34</v>
      </c>
      <c r="X622" s="7">
        <v>76.99</v>
      </c>
      <c r="Y622" s="7">
        <v>52.41</v>
      </c>
      <c r="Z622" s="9">
        <f>MAX($B$622:$Y$622)</f>
        <v>246.19</v>
      </c>
      <c r="AA622" s="9">
        <f>MIN($B$622:$Y$622)</f>
        <v>-118.09</v>
      </c>
      <c r="AB622" s="9">
        <f>AVERAGE($B$622:$Y$622)</f>
        <v>14.2133333333333</v>
      </c>
    </row>
    <row r="623" spans="1:28">
      <c r="A623" s="10">
        <v>45918</v>
      </c>
      <c r="B623" s="7">
        <v>42.97</v>
      </c>
      <c r="C623" s="7">
        <v>32.36</v>
      </c>
      <c r="D623" s="7">
        <v>83.93</v>
      </c>
      <c r="E623" s="7">
        <v>77.83</v>
      </c>
      <c r="F623" s="7">
        <v>38.95</v>
      </c>
      <c r="G623" s="7">
        <v>11.47</v>
      </c>
      <c r="H623" s="7">
        <v>-13.12</v>
      </c>
      <c r="I623" s="7">
        <v>-4.51000000000002</v>
      </c>
      <c r="J623" s="7">
        <v>20.88</v>
      </c>
      <c r="K623" s="7">
        <v>81.2</v>
      </c>
      <c r="L623" s="7">
        <v>47.11</v>
      </c>
      <c r="M623" s="7">
        <v>-15.88</v>
      </c>
      <c r="N623" s="7">
        <v>20.69</v>
      </c>
      <c r="O623" s="7">
        <v>130.58</v>
      </c>
      <c r="P623" s="7">
        <v>54.96</v>
      </c>
      <c r="Q623" s="7">
        <v>90.99</v>
      </c>
      <c r="R623" s="7">
        <v>37.95</v>
      </c>
      <c r="S623" s="7">
        <v>95.1</v>
      </c>
      <c r="T623" s="7">
        <v>-20.01</v>
      </c>
      <c r="U623" s="7">
        <v>65.42</v>
      </c>
      <c r="V623" s="7">
        <v>70.31</v>
      </c>
      <c r="W623" s="7">
        <v>53.44</v>
      </c>
      <c r="X623" s="7">
        <v>49.5</v>
      </c>
      <c r="Y623" s="7">
        <v>42.86</v>
      </c>
      <c r="Z623" s="9">
        <f>MAX($B$623:$Y$623)</f>
        <v>130.58</v>
      </c>
      <c r="AA623" s="9">
        <f>MIN($B$623:$Y$623)</f>
        <v>-20.01</v>
      </c>
      <c r="AB623" s="9">
        <f>AVERAGE($B$623:$Y$623)</f>
        <v>45.6241666666667</v>
      </c>
    </row>
    <row r="624" spans="1:28">
      <c r="A624" s="10">
        <v>45919</v>
      </c>
      <c r="B624" s="7">
        <v>-7.87</v>
      </c>
      <c r="C624" s="7">
        <v>20.65</v>
      </c>
      <c r="D624" s="7">
        <v>7.94999999999999</v>
      </c>
      <c r="E624" s="7">
        <v>9.06999999999999</v>
      </c>
      <c r="F624" s="7">
        <v>22.06</v>
      </c>
      <c r="G624" s="7">
        <v>7.88</v>
      </c>
      <c r="H624" s="7">
        <v>1.31</v>
      </c>
      <c r="I624" s="7">
        <v>-2.75999999999999</v>
      </c>
      <c r="J624" s="7">
        <v>-37.75</v>
      </c>
      <c r="K624" s="7">
        <v>-1.62</v>
      </c>
      <c r="L624" s="7">
        <v>18.81</v>
      </c>
      <c r="M624" s="7">
        <v>19.35</v>
      </c>
      <c r="N624" s="7">
        <v>15.27</v>
      </c>
      <c r="O624" s="7">
        <v>16.71</v>
      </c>
      <c r="P624" s="7">
        <v>73.09</v>
      </c>
      <c r="Q624" s="7">
        <v>84.78</v>
      </c>
      <c r="R624" s="7">
        <v>52.81</v>
      </c>
      <c r="S624" s="7">
        <v>-27.03</v>
      </c>
      <c r="T624" s="7">
        <v>-2.26000000000005</v>
      </c>
      <c r="U624" s="7">
        <v>-121.81</v>
      </c>
      <c r="V624" s="7">
        <v>-31.94</v>
      </c>
      <c r="W624" s="7">
        <v>-24.81</v>
      </c>
      <c r="X624" s="7">
        <v>4.06</v>
      </c>
      <c r="Y624" s="7">
        <v>-4.57999999999998</v>
      </c>
      <c r="Z624" s="9">
        <f>MAX($B$624:$Y$624)</f>
        <v>84.78</v>
      </c>
      <c r="AA624" s="9">
        <f>MIN($B$624:$Y$624)</f>
        <v>-121.81</v>
      </c>
      <c r="AB624" s="9">
        <f>AVERAGE($B$624:$Y$624)</f>
        <v>3.80708333333333</v>
      </c>
    </row>
    <row r="625" spans="1:28">
      <c r="A625" s="10">
        <v>45920</v>
      </c>
      <c r="B625" s="7">
        <v>-49.18</v>
      </c>
      <c r="C625" s="7">
        <v>-24.98</v>
      </c>
      <c r="D625" s="7">
        <v>-5.15999999999997</v>
      </c>
      <c r="E625" s="7">
        <v>3.58000000000001</v>
      </c>
      <c r="F625" s="7">
        <v>12.56</v>
      </c>
      <c r="G625" s="7">
        <v>16.31</v>
      </c>
      <c r="H625" s="7">
        <v>13.2</v>
      </c>
      <c r="I625" s="7">
        <v>-9.24000000000001</v>
      </c>
      <c r="J625" s="7">
        <v>5.78</v>
      </c>
      <c r="K625" s="7">
        <v>23.26</v>
      </c>
      <c r="L625" s="7">
        <v>0.770000000000039</v>
      </c>
      <c r="M625" s="7">
        <v>41.41</v>
      </c>
      <c r="N625" s="7">
        <v>11.2</v>
      </c>
      <c r="O625" s="7">
        <v>17.71</v>
      </c>
      <c r="P625" s="7">
        <v>26.34</v>
      </c>
      <c r="Q625" s="7">
        <v>66.13</v>
      </c>
      <c r="R625" s="7">
        <v>22.81</v>
      </c>
      <c r="S625" s="7">
        <v>-3.19</v>
      </c>
      <c r="T625" s="7">
        <v>-9.65000000000003</v>
      </c>
      <c r="U625" s="7">
        <v>-18.13</v>
      </c>
      <c r="V625" s="7">
        <v>30.65</v>
      </c>
      <c r="W625" s="7">
        <v>0.550000000000011</v>
      </c>
      <c r="X625" s="7">
        <v>-7.23000000000002</v>
      </c>
      <c r="Y625" s="7">
        <v>-22.31</v>
      </c>
      <c r="Z625" s="9">
        <f>MAX($B$625:$Y$625)</f>
        <v>66.13</v>
      </c>
      <c r="AA625" s="9">
        <f>MIN($B$625:$Y$625)</f>
        <v>-49.18</v>
      </c>
      <c r="AB625" s="9">
        <f>AVERAGE($B$625:$Y$625)</f>
        <v>5.96625</v>
      </c>
    </row>
    <row r="626" spans="1:28">
      <c r="A626" s="10">
        <v>45921</v>
      </c>
      <c r="B626" s="7">
        <v>-21.96</v>
      </c>
      <c r="C626" s="7">
        <v>-0.330000000000013</v>
      </c>
      <c r="D626" s="7">
        <v>1.79999999999998</v>
      </c>
      <c r="E626" s="7">
        <v>45.37</v>
      </c>
      <c r="F626" s="7">
        <v>40.87</v>
      </c>
      <c r="G626" s="7">
        <v>19.14</v>
      </c>
      <c r="H626" s="7">
        <v>6.65000000000001</v>
      </c>
      <c r="I626" s="7">
        <v>-5.53999999999999</v>
      </c>
      <c r="J626" s="7">
        <v>48.14</v>
      </c>
      <c r="K626" s="7">
        <v>60.61</v>
      </c>
      <c r="L626" s="7">
        <v>85.8</v>
      </c>
      <c r="M626" s="7">
        <v>28.46</v>
      </c>
      <c r="N626" s="7">
        <v>39.84</v>
      </c>
      <c r="O626" s="7">
        <v>30.96</v>
      </c>
      <c r="P626" s="7">
        <v>86.1</v>
      </c>
      <c r="Q626" s="7">
        <v>80.11</v>
      </c>
      <c r="R626" s="7">
        <v>75.44</v>
      </c>
      <c r="S626" s="7">
        <v>34.74</v>
      </c>
      <c r="T626" s="7">
        <v>15.87</v>
      </c>
      <c r="U626" s="7">
        <v>-24</v>
      </c>
      <c r="V626" s="7">
        <v>3.5</v>
      </c>
      <c r="W626" s="7">
        <v>17.83</v>
      </c>
      <c r="X626" s="7">
        <v>25.67</v>
      </c>
      <c r="Y626" s="7">
        <v>21</v>
      </c>
      <c r="Z626" s="9">
        <f>MAX($B$626:$Y$626)</f>
        <v>86.1</v>
      </c>
      <c r="AA626" s="9">
        <f>MIN($B$626:$Y$626)</f>
        <v>-24</v>
      </c>
      <c r="AB626" s="9">
        <f>AVERAGE($B$626:$Y$626)</f>
        <v>29.83625</v>
      </c>
    </row>
    <row r="627" spans="1:28">
      <c r="A627" s="10">
        <v>45922</v>
      </c>
      <c r="B627" s="7">
        <v>-3.14999999999998</v>
      </c>
      <c r="C627" s="7">
        <v>0.650000000000006</v>
      </c>
      <c r="D627" s="7">
        <v>8.54000000000002</v>
      </c>
      <c r="E627" s="7">
        <v>10.53</v>
      </c>
      <c r="F627" s="7">
        <v>14.03</v>
      </c>
      <c r="G627" s="7">
        <v>26.32</v>
      </c>
      <c r="H627" s="7">
        <v>9.77000000000001</v>
      </c>
      <c r="I627" s="7">
        <v>-3.01999999999998</v>
      </c>
      <c r="J627" s="7">
        <v>18.67</v>
      </c>
      <c r="K627" s="7">
        <v>25.51</v>
      </c>
      <c r="L627" s="7">
        <v>13.36</v>
      </c>
      <c r="M627" s="7">
        <v>12.69</v>
      </c>
      <c r="N627" s="7">
        <v>-0.580000000000013</v>
      </c>
      <c r="O627" s="7">
        <v>16.35</v>
      </c>
      <c r="P627" s="7">
        <v>36.55</v>
      </c>
      <c r="Q627" s="7">
        <v>52.75</v>
      </c>
      <c r="R627" s="7">
        <v>22.53</v>
      </c>
      <c r="S627" s="7">
        <v>-15.25</v>
      </c>
      <c r="T627" s="7">
        <v>-60.6</v>
      </c>
      <c r="U627" s="7">
        <v>-137.97</v>
      </c>
      <c r="V627" s="7">
        <v>-84.04</v>
      </c>
      <c r="W627" s="7">
        <v>-45.1300000000001</v>
      </c>
      <c r="X627" s="7">
        <v>-10.42</v>
      </c>
      <c r="Y627" s="7">
        <v>-15.91</v>
      </c>
      <c r="Z627" s="9">
        <f>MAX($B$627:$Y$627)</f>
        <v>52.75</v>
      </c>
      <c r="AA627" s="9">
        <f>MIN($B$627:$Y$627)</f>
        <v>-137.97</v>
      </c>
      <c r="AB627" s="9">
        <f>AVERAGE($B$627:$Y$627)</f>
        <v>-4.4925</v>
      </c>
    </row>
    <row r="628" spans="1:28">
      <c r="A628" s="10">
        <v>45923</v>
      </c>
      <c r="B628" s="7">
        <v>-19.56</v>
      </c>
      <c r="C628" s="7">
        <v>-6.78000000000003</v>
      </c>
      <c r="D628" s="7">
        <v>6.53999999999999</v>
      </c>
      <c r="E628" s="7">
        <v>26.27</v>
      </c>
      <c r="F628" s="7">
        <v>84.16</v>
      </c>
      <c r="G628" s="7">
        <v>122.78</v>
      </c>
      <c r="H628" s="7">
        <v>110.22</v>
      </c>
      <c r="I628" s="7">
        <v>120.25</v>
      </c>
      <c r="J628" s="7">
        <v>92.01</v>
      </c>
      <c r="K628" s="7">
        <v>55.69</v>
      </c>
      <c r="L628" s="7">
        <v>32.03</v>
      </c>
      <c r="M628" s="7">
        <v>41.9</v>
      </c>
      <c r="N628" s="7">
        <v>44.9</v>
      </c>
      <c r="O628" s="7">
        <v>71.97</v>
      </c>
      <c r="P628" s="7">
        <v>81.18</v>
      </c>
      <c r="Q628" s="7">
        <v>104.26</v>
      </c>
      <c r="R628" s="7">
        <v>146.2</v>
      </c>
      <c r="S628" s="7">
        <v>177.25</v>
      </c>
      <c r="T628" s="7">
        <v>113.23</v>
      </c>
      <c r="U628" s="7">
        <v>244.83</v>
      </c>
      <c r="V628" s="7">
        <v>356.14</v>
      </c>
      <c r="W628" s="7">
        <v>313.49</v>
      </c>
      <c r="X628" s="7">
        <v>210.66</v>
      </c>
      <c r="Y628" s="7">
        <v>196.03</v>
      </c>
      <c r="Z628" s="9">
        <f>MAX($B$628:$Y$628)</f>
        <v>356.14</v>
      </c>
      <c r="AA628" s="9">
        <f>MIN($B$628:$Y$628)</f>
        <v>-19.56</v>
      </c>
      <c r="AB628" s="9">
        <f>AVERAGE($B$628:$Y$628)</f>
        <v>113.56875</v>
      </c>
    </row>
    <row r="629" spans="1:28">
      <c r="A629" s="10">
        <v>45924</v>
      </c>
      <c r="B629" s="7">
        <v>-181.9</v>
      </c>
      <c r="C629" s="7">
        <v>-149.1</v>
      </c>
      <c r="D629" s="7">
        <v>-92.83</v>
      </c>
      <c r="E629" s="7">
        <v>-8.37</v>
      </c>
      <c r="F629" s="7">
        <v>-13.79</v>
      </c>
      <c r="G629" s="7">
        <v>-29.55</v>
      </c>
      <c r="H629" s="7">
        <v>-12.28</v>
      </c>
      <c r="I629" s="7">
        <v>-34.78</v>
      </c>
      <c r="J629" s="7">
        <v>-97.02</v>
      </c>
      <c r="K629" s="7">
        <v>-71.65</v>
      </c>
      <c r="L629" s="7">
        <v>-99.65</v>
      </c>
      <c r="M629" s="7">
        <v>-121.28</v>
      </c>
      <c r="N629" s="7">
        <v>-82.25</v>
      </c>
      <c r="O629" s="7">
        <v>-67.23</v>
      </c>
      <c r="P629" s="7">
        <v>-70.02</v>
      </c>
      <c r="Q629" s="7">
        <v>-88.1</v>
      </c>
      <c r="R629" s="7">
        <v>-176.09</v>
      </c>
      <c r="S629" s="7">
        <v>-296.93</v>
      </c>
      <c r="T629" s="7">
        <v>-385.77</v>
      </c>
      <c r="U629" s="7">
        <v>-681.73</v>
      </c>
      <c r="V629" s="7">
        <v>-441.49</v>
      </c>
      <c r="W629" s="7">
        <v>-392.82</v>
      </c>
      <c r="X629" s="7">
        <v>-342.7</v>
      </c>
      <c r="Y629" s="7">
        <v>-231.88</v>
      </c>
      <c r="Z629" s="9">
        <f>MAX($B$629:$Y$629)</f>
        <v>-8.37</v>
      </c>
      <c r="AA629" s="9">
        <f>MIN($B$629:$Y$629)</f>
        <v>-681.73</v>
      </c>
      <c r="AB629" s="9">
        <f>AVERAGE($B$629:$Y$629)</f>
        <v>-173.717083333333</v>
      </c>
    </row>
    <row r="630" spans="1:28">
      <c r="A630" s="10">
        <v>45925</v>
      </c>
      <c r="B630" s="7">
        <v>123.29</v>
      </c>
      <c r="C630" s="7">
        <v>-19.23</v>
      </c>
      <c r="D630" s="7">
        <v>-94.54</v>
      </c>
      <c r="E630" s="7">
        <v>-113.07</v>
      </c>
      <c r="F630" s="7">
        <v>-138.09</v>
      </c>
      <c r="G630" s="7">
        <v>-103.87</v>
      </c>
      <c r="H630" s="7">
        <v>-39.73</v>
      </c>
      <c r="I630" s="7">
        <v>-93.7</v>
      </c>
      <c r="J630" s="7">
        <v>-112.92</v>
      </c>
      <c r="K630" s="7">
        <v>-372.37</v>
      </c>
      <c r="L630" s="7">
        <v>-99.44</v>
      </c>
      <c r="M630" s="7">
        <v>-235.92</v>
      </c>
      <c r="N630" s="7">
        <v>-143.26</v>
      </c>
      <c r="O630" s="7">
        <v>-124.06</v>
      </c>
      <c r="P630" s="7">
        <v>-32.84</v>
      </c>
      <c r="Q630" s="7">
        <v>-38.87</v>
      </c>
      <c r="R630" s="7">
        <v>-15.56</v>
      </c>
      <c r="S630" s="7">
        <v>-76.66</v>
      </c>
      <c r="T630" s="7">
        <v>-243.85</v>
      </c>
      <c r="U630" s="7">
        <v>-284.74</v>
      </c>
      <c r="V630" s="7">
        <v>-174.49</v>
      </c>
      <c r="W630" s="7">
        <v>-77.71</v>
      </c>
      <c r="X630" s="7">
        <v>26.35</v>
      </c>
      <c r="Y630" s="7">
        <v>-35.06</v>
      </c>
      <c r="Z630" s="9">
        <f>MAX($B$630:$Y$630)</f>
        <v>123.29</v>
      </c>
      <c r="AA630" s="9">
        <f>MIN($B$630:$Y$630)</f>
        <v>-372.37</v>
      </c>
      <c r="AB630" s="9">
        <f>AVERAGE($B$630:$Y$630)</f>
        <v>-105.014166666667</v>
      </c>
    </row>
    <row r="631" spans="1:28">
      <c r="A631" s="10">
        <v>45926</v>
      </c>
      <c r="B631" s="7">
        <v>-64.38</v>
      </c>
      <c r="C631" s="7">
        <v>-0.969999999999999</v>
      </c>
      <c r="D631" s="7">
        <v>57.53</v>
      </c>
      <c r="E631" s="7">
        <v>52.97</v>
      </c>
      <c r="F631" s="7">
        <v>32.67</v>
      </c>
      <c r="G631" s="7">
        <v>40.87</v>
      </c>
      <c r="H631" s="7">
        <v>-1.71000000000001</v>
      </c>
      <c r="I631" s="7">
        <v>-21.92</v>
      </c>
      <c r="J631" s="7">
        <v>5.60999999999999</v>
      </c>
      <c r="K631" s="7">
        <v>34.44</v>
      </c>
      <c r="L631" s="7">
        <v>13.95</v>
      </c>
      <c r="M631" s="7">
        <v>-80.07</v>
      </c>
      <c r="N631" s="7">
        <v>-45.17</v>
      </c>
      <c r="O631" s="7">
        <v>-16.41</v>
      </c>
      <c r="P631" s="7">
        <v>-12.25</v>
      </c>
      <c r="Q631" s="7">
        <v>-31.7</v>
      </c>
      <c r="R631" s="7">
        <v>8.11000000000001</v>
      </c>
      <c r="S631" s="7">
        <v>-68.57</v>
      </c>
      <c r="T631" s="7">
        <v>-115.2</v>
      </c>
      <c r="U631" s="7">
        <v>-46.02</v>
      </c>
      <c r="V631" s="7">
        <v>-42.63</v>
      </c>
      <c r="W631" s="7">
        <v>-30.24</v>
      </c>
      <c r="X631" s="7">
        <v>-11.59</v>
      </c>
      <c r="Y631" s="7">
        <v>-19.86</v>
      </c>
      <c r="Z631" s="9">
        <f>MAX($B$631:$Y$631)</f>
        <v>57.53</v>
      </c>
      <c r="AA631" s="9">
        <f>MIN($B$631:$Y$631)</f>
        <v>-115.2</v>
      </c>
      <c r="AB631" s="9">
        <f>AVERAGE($B$631:$Y$631)</f>
        <v>-15.1058333333333</v>
      </c>
    </row>
    <row r="632" spans="1:28">
      <c r="A632" s="10">
        <v>45927</v>
      </c>
      <c r="B632" s="7">
        <v>-40.2</v>
      </c>
      <c r="C632" s="7">
        <v>-14.5</v>
      </c>
      <c r="D632" s="7">
        <v>-3.71999999999997</v>
      </c>
      <c r="E632" s="7">
        <v>3.87</v>
      </c>
      <c r="F632" s="7">
        <v>-2.20000000000002</v>
      </c>
      <c r="G632" s="7">
        <v>8.53999999999999</v>
      </c>
      <c r="H632" s="7">
        <v>19.62</v>
      </c>
      <c r="I632" s="7">
        <v>5.66</v>
      </c>
      <c r="J632" s="7">
        <v>-142.28</v>
      </c>
      <c r="K632" s="7">
        <v>-156.22</v>
      </c>
      <c r="L632" s="7">
        <v>-110.49</v>
      </c>
      <c r="M632" s="7">
        <v>-86.58</v>
      </c>
      <c r="N632" s="7">
        <v>-83.33</v>
      </c>
      <c r="O632" s="7">
        <v>-104.83</v>
      </c>
      <c r="P632" s="7">
        <v>-161.14</v>
      </c>
      <c r="Q632" s="7">
        <v>-67.96</v>
      </c>
      <c r="R632" s="7">
        <v>-40.79</v>
      </c>
      <c r="S632" s="7">
        <v>-9.80000000000001</v>
      </c>
      <c r="T632" s="7">
        <v>-61.01</v>
      </c>
      <c r="U632" s="7">
        <v>-133.39</v>
      </c>
      <c r="V632" s="7">
        <v>-89.73</v>
      </c>
      <c r="W632" s="7">
        <v>-95.95</v>
      </c>
      <c r="X632" s="7">
        <v>16.24</v>
      </c>
      <c r="Y632" s="7">
        <v>24.17</v>
      </c>
      <c r="Z632" s="9">
        <f>MAX($B$632:$Y$632)</f>
        <v>24.17</v>
      </c>
      <c r="AA632" s="9">
        <f>MIN($B$632:$Y$632)</f>
        <v>-161.14</v>
      </c>
      <c r="AB632" s="9">
        <f>AVERAGE($B$632:$Y$632)</f>
        <v>-55.2508333333333</v>
      </c>
    </row>
    <row r="633" spans="1:28">
      <c r="A633" s="10">
        <v>45928</v>
      </c>
      <c r="B633" s="7">
        <v>12.64</v>
      </c>
      <c r="C633" s="7">
        <v>110.6</v>
      </c>
      <c r="D633" s="7">
        <v>19.49</v>
      </c>
      <c r="E633" s="7">
        <v>-6.95999999999998</v>
      </c>
      <c r="F633" s="7">
        <v>4.68000000000001</v>
      </c>
      <c r="G633" s="7">
        <v>-5.45000000000002</v>
      </c>
      <c r="H633" s="7">
        <v>-15.95</v>
      </c>
      <c r="I633" s="7">
        <v>-3.27000000000001</v>
      </c>
      <c r="J633" s="7">
        <v>-20.58</v>
      </c>
      <c r="K633" s="7">
        <v>-2.10000000000002</v>
      </c>
      <c r="L633" s="7">
        <v>11.51</v>
      </c>
      <c r="M633" s="7">
        <v>79.81</v>
      </c>
      <c r="N633" s="7">
        <v>-12.32</v>
      </c>
      <c r="O633" s="7">
        <v>17.55</v>
      </c>
      <c r="P633" s="7">
        <v>23.44</v>
      </c>
      <c r="Q633" s="7">
        <v>57.5700000000001</v>
      </c>
      <c r="R633" s="7">
        <v>21.45</v>
      </c>
      <c r="S633" s="7">
        <v>23.28</v>
      </c>
      <c r="T633" s="7">
        <v>-0.270000000000039</v>
      </c>
      <c r="U633" s="7">
        <v>8.02000000000004</v>
      </c>
      <c r="V633" s="7">
        <v>22.7</v>
      </c>
      <c r="W633" s="7">
        <v>34.82</v>
      </c>
      <c r="X633" s="7">
        <v>9.47000000000003</v>
      </c>
      <c r="Y633" s="7">
        <v>10.25</v>
      </c>
      <c r="Z633" s="9">
        <f>MAX($B$633:$Y$633)</f>
        <v>110.6</v>
      </c>
      <c r="AA633" s="9">
        <f>MIN($B$633:$Y$633)</f>
        <v>-20.58</v>
      </c>
      <c r="AB633" s="9">
        <f>AVERAGE($B$633:$Y$633)</f>
        <v>16.6825</v>
      </c>
    </row>
    <row r="634" spans="1:28">
      <c r="A634" s="10">
        <v>45929</v>
      </c>
      <c r="B634" s="7">
        <v>103.54</v>
      </c>
      <c r="C634" s="7">
        <v>117.62</v>
      </c>
      <c r="D634" s="7">
        <v>84.3</v>
      </c>
      <c r="E634" s="7">
        <v>40.27</v>
      </c>
      <c r="F634" s="7">
        <v>34.06</v>
      </c>
      <c r="G634" s="7">
        <v>10.21</v>
      </c>
      <c r="H634" s="7">
        <v>21.91</v>
      </c>
      <c r="I634" s="7">
        <v>-3.57000000000005</v>
      </c>
      <c r="J634" s="7">
        <v>-138.91</v>
      </c>
      <c r="K634" s="7">
        <v>-101.44</v>
      </c>
      <c r="L634" s="7">
        <v>21.37</v>
      </c>
      <c r="M634" s="7">
        <v>51.54</v>
      </c>
      <c r="N634" s="7">
        <v>85.64</v>
      </c>
      <c r="O634" s="7">
        <v>116.3</v>
      </c>
      <c r="P634" s="7">
        <v>90.95</v>
      </c>
      <c r="Q634" s="7">
        <v>125.38</v>
      </c>
      <c r="R634" s="7">
        <v>150.54</v>
      </c>
      <c r="S634" s="7">
        <v>140.96</v>
      </c>
      <c r="T634" s="7">
        <v>67.7</v>
      </c>
      <c r="U634" s="7">
        <v>-18.77</v>
      </c>
      <c r="V634" s="7">
        <v>8.69999999999999</v>
      </c>
      <c r="W634" s="7">
        <v>26.2</v>
      </c>
      <c r="X634" s="7">
        <v>62.22</v>
      </c>
      <c r="Y634" s="7">
        <v>1.85999999999996</v>
      </c>
      <c r="Z634" s="9">
        <f>MAX($B$634:$Y$634)</f>
        <v>150.54</v>
      </c>
      <c r="AA634" s="9">
        <f>MIN($B$634:$Y$634)</f>
        <v>-138.91</v>
      </c>
      <c r="AB634" s="9">
        <f>AVERAGE($B$634:$Y$634)</f>
        <v>45.7741666666667</v>
      </c>
    </row>
    <row r="635" spans="1:28">
      <c r="A635" s="10">
        <v>45930</v>
      </c>
      <c r="B635" s="7">
        <v>-122.5</v>
      </c>
      <c r="C635" s="7">
        <v>48.48</v>
      </c>
      <c r="D635" s="7">
        <v>-23.18</v>
      </c>
      <c r="E635" s="7">
        <v>-27.61</v>
      </c>
      <c r="F635" s="7">
        <v>-18.3</v>
      </c>
      <c r="G635" s="7">
        <v>-14.18</v>
      </c>
      <c r="H635" s="7">
        <v>-30.75</v>
      </c>
      <c r="I635" s="7">
        <v>8.68000000000001</v>
      </c>
      <c r="J635" s="7">
        <v>23.14</v>
      </c>
      <c r="K635" s="7">
        <v>-15.47</v>
      </c>
      <c r="L635" s="7">
        <v>-31.59</v>
      </c>
      <c r="M635" s="7">
        <v>-45.26</v>
      </c>
      <c r="N635" s="7">
        <v>-52.7</v>
      </c>
      <c r="O635" s="7">
        <v>-251.97</v>
      </c>
      <c r="P635" s="7">
        <v>-217.27</v>
      </c>
      <c r="Q635" s="7">
        <v>-104.63</v>
      </c>
      <c r="R635" s="7">
        <v>-104.32</v>
      </c>
      <c r="S635" s="7">
        <v>0.810000000000002</v>
      </c>
      <c r="T635" s="7">
        <v>-184.38</v>
      </c>
      <c r="U635" s="7">
        <v>-262.92</v>
      </c>
      <c r="V635" s="7">
        <v>-184.49</v>
      </c>
      <c r="W635" s="7">
        <v>-119.41</v>
      </c>
      <c r="X635" s="7">
        <v>-84.15</v>
      </c>
      <c r="Y635" s="7">
        <v>-26.64</v>
      </c>
      <c r="Z635" s="9">
        <f>MAX($B$635:$Y$635)</f>
        <v>48.48</v>
      </c>
      <c r="AA635" s="9">
        <f>MIN($B$635:$Y$635)</f>
        <v>-262.92</v>
      </c>
      <c r="AB635" s="9">
        <f>AVERAGE($B$635:$Y$635)</f>
        <v>-76.6920833333334</v>
      </c>
    </row>
    <row r="636" spans="1:28">
      <c r="A636" s="10">
        <v>45931</v>
      </c>
      <c r="B636" s="7">
        <v>-260.97</v>
      </c>
      <c r="C636" s="7">
        <v>-239.61</v>
      </c>
      <c r="D636" s="7">
        <v>-139.62</v>
      </c>
      <c r="E636" s="7">
        <v>-33.7</v>
      </c>
      <c r="F636" s="7">
        <v>-20.34</v>
      </c>
      <c r="G636" s="7">
        <v>-10.03</v>
      </c>
      <c r="H636" s="7">
        <v>4.63999999999999</v>
      </c>
      <c r="I636" s="7">
        <v>-19.86</v>
      </c>
      <c r="J636" s="7">
        <v>-11.97</v>
      </c>
      <c r="K636" s="7">
        <v>41.26</v>
      </c>
      <c r="L636" s="7">
        <v>-57.92</v>
      </c>
      <c r="M636" s="7">
        <v>-15.39</v>
      </c>
      <c r="N636" s="7">
        <v>-70.12</v>
      </c>
      <c r="O636" s="7">
        <v>-104.36</v>
      </c>
      <c r="P636" s="7">
        <v>-39.74</v>
      </c>
      <c r="Q636" s="7">
        <v>-30.44</v>
      </c>
      <c r="R636" s="7">
        <v>-84.39</v>
      </c>
      <c r="S636" s="7">
        <v>-166.55</v>
      </c>
      <c r="T636" s="7">
        <v>-190.78</v>
      </c>
      <c r="U636" s="7">
        <v>-229.9</v>
      </c>
      <c r="V636" s="7">
        <v>-104.23</v>
      </c>
      <c r="W636" s="7">
        <v>-357.75</v>
      </c>
      <c r="X636" s="7">
        <v>-253.09</v>
      </c>
      <c r="Y636" s="7">
        <v>-153.53</v>
      </c>
      <c r="Z636" s="9">
        <f>MAX($B$636:$Y$636)</f>
        <v>41.26</v>
      </c>
      <c r="AA636" s="9">
        <f>MIN($B$636:$Y$636)</f>
        <v>-357.75</v>
      </c>
      <c r="AB636" s="9">
        <f>AVERAGE($B$636:$Y$636)</f>
        <v>-106.182916666667</v>
      </c>
    </row>
    <row r="637" spans="1:28">
      <c r="A637" s="10">
        <v>45932</v>
      </c>
      <c r="B637" s="7">
        <v>-474.01</v>
      </c>
      <c r="C637" s="7">
        <v>-54.5</v>
      </c>
      <c r="D637" s="7">
        <v>-40.81</v>
      </c>
      <c r="E637" s="7">
        <v>-22.56</v>
      </c>
      <c r="F637" s="7">
        <v>-7.39999999999998</v>
      </c>
      <c r="G637" s="7">
        <v>-26.94</v>
      </c>
      <c r="H637" s="7">
        <v>-45.68</v>
      </c>
      <c r="I637" s="7">
        <v>-17.86</v>
      </c>
      <c r="J637" s="7">
        <v>-6.98000000000002</v>
      </c>
      <c r="K637" s="7">
        <v>-22.35</v>
      </c>
      <c r="L637" s="7">
        <v>-14.11</v>
      </c>
      <c r="M637" s="7">
        <v>19.57</v>
      </c>
      <c r="N637" s="7">
        <v>1.25999999999999</v>
      </c>
      <c r="O637" s="7">
        <v>57.12</v>
      </c>
      <c r="P637" s="7">
        <v>-20.37</v>
      </c>
      <c r="Q637" s="7">
        <v>-24.4</v>
      </c>
      <c r="R637" s="7">
        <v>-10.31</v>
      </c>
      <c r="S637" s="7">
        <v>-149.69</v>
      </c>
      <c r="T637" s="7">
        <v>-182.46</v>
      </c>
      <c r="U637" s="7">
        <v>-94.08</v>
      </c>
      <c r="V637" s="7">
        <v>-72.32</v>
      </c>
      <c r="W637" s="7">
        <v>-162.72</v>
      </c>
      <c r="X637" s="7">
        <v>-110.66</v>
      </c>
      <c r="Y637" s="7">
        <v>-150.03</v>
      </c>
      <c r="Z637" s="9">
        <f>MAX($B$637:$Y$637)</f>
        <v>57.12</v>
      </c>
      <c r="AA637" s="9">
        <f>MIN($B$637:$Y$637)</f>
        <v>-474.01</v>
      </c>
      <c r="AB637" s="9">
        <f>AVERAGE($B$637:$Y$637)</f>
        <v>-68.0120833333333</v>
      </c>
    </row>
    <row r="638" spans="1:28">
      <c r="A638" s="10">
        <v>45933</v>
      </c>
      <c r="B638" s="7">
        <v>-162.93</v>
      </c>
      <c r="C638" s="7">
        <v>2.29000000000002</v>
      </c>
      <c r="D638" s="7">
        <v>-3.15999999999997</v>
      </c>
      <c r="E638" s="7">
        <v>7.54000000000002</v>
      </c>
      <c r="F638" s="7">
        <v>6.31</v>
      </c>
      <c r="G638" s="7">
        <v>-2.67000000000002</v>
      </c>
      <c r="H638" s="7">
        <v>-0.259999999999991</v>
      </c>
      <c r="I638" s="7">
        <v>7.75</v>
      </c>
      <c r="J638" s="7">
        <v>82.56</v>
      </c>
      <c r="K638" s="7">
        <v>68.92</v>
      </c>
      <c r="L638" s="7">
        <v>56.42</v>
      </c>
      <c r="M638" s="7">
        <v>77.53</v>
      </c>
      <c r="N638" s="7">
        <v>66.25</v>
      </c>
      <c r="O638" s="7">
        <v>25.39</v>
      </c>
      <c r="P638" s="7">
        <v>6.84</v>
      </c>
      <c r="Q638" s="7">
        <v>-25.26</v>
      </c>
      <c r="R638" s="7">
        <v>28.43</v>
      </c>
      <c r="S638" s="7">
        <v>16.66</v>
      </c>
      <c r="T638" s="7">
        <v>-20.45</v>
      </c>
      <c r="U638" s="7">
        <v>3.51000000000005</v>
      </c>
      <c r="V638" s="7">
        <v>7.48000000000002</v>
      </c>
      <c r="W638" s="7">
        <v>1.63999999999999</v>
      </c>
      <c r="X638" s="7">
        <v>-43.73</v>
      </c>
      <c r="Y638" s="7">
        <v>-46.44</v>
      </c>
      <c r="Z638" s="9">
        <f>MAX($B$638:$Y$638)</f>
        <v>82.56</v>
      </c>
      <c r="AA638" s="9">
        <f>MIN($B$638:$Y$638)</f>
        <v>-162.93</v>
      </c>
      <c r="AB638" s="9">
        <f>AVERAGE($B$638:$Y$638)</f>
        <v>6.69250000000001</v>
      </c>
    </row>
    <row r="639" spans="1:28">
      <c r="A639" s="10">
        <v>45934</v>
      </c>
      <c r="B639" s="7">
        <v>-419.84</v>
      </c>
      <c r="C639" s="7">
        <v>-242.97</v>
      </c>
      <c r="D639" s="7">
        <v>-45.41</v>
      </c>
      <c r="E639" s="7">
        <v>-10.78</v>
      </c>
      <c r="F639" s="7">
        <v>-5.03999999999996</v>
      </c>
      <c r="G639" s="7">
        <v>-3.56</v>
      </c>
      <c r="H639" s="7">
        <v>-13.9</v>
      </c>
      <c r="I639" s="7">
        <v>-4.78000000000003</v>
      </c>
      <c r="J639" s="7">
        <v>-22.9</v>
      </c>
      <c r="K639" s="7">
        <v>8.46000000000001</v>
      </c>
      <c r="L639" s="7">
        <v>11.22</v>
      </c>
      <c r="M639" s="7">
        <v>25.1</v>
      </c>
      <c r="N639" s="7">
        <v>-32.43</v>
      </c>
      <c r="O639" s="7">
        <v>-62.81</v>
      </c>
      <c r="P639" s="7">
        <v>-47.73</v>
      </c>
      <c r="Q639" s="7">
        <v>-79.61</v>
      </c>
      <c r="R639" s="7">
        <v>-184.85</v>
      </c>
      <c r="S639" s="7">
        <v>-343.04</v>
      </c>
      <c r="T639" s="7">
        <v>-148.9</v>
      </c>
      <c r="U639" s="7">
        <v>-41.79</v>
      </c>
      <c r="V639" s="7">
        <v>-3.34000000000003</v>
      </c>
      <c r="W639" s="7">
        <v>0.329999999999984</v>
      </c>
      <c r="X639" s="7">
        <v>37.48</v>
      </c>
      <c r="Y639" s="7">
        <v>27.4</v>
      </c>
      <c r="Z639" s="9">
        <f>MAX($B$639:$Y$639)</f>
        <v>37.48</v>
      </c>
      <c r="AA639" s="9">
        <f>MIN($B$639:$Y$639)</f>
        <v>-419.84</v>
      </c>
      <c r="AB639" s="9">
        <f>AVERAGE($B$639:$Y$639)</f>
        <v>-66.8204166666667</v>
      </c>
    </row>
    <row r="640" spans="1:28">
      <c r="A640" s="10">
        <v>45935</v>
      </c>
      <c r="B640" s="7">
        <v>-24.48</v>
      </c>
      <c r="C640" s="7">
        <v>8.15999999999997</v>
      </c>
      <c r="D640" s="7">
        <v>-6.75</v>
      </c>
      <c r="E640" s="7">
        <v>-3.96000000000004</v>
      </c>
      <c r="F640" s="7">
        <v>-12.14</v>
      </c>
      <c r="G640" s="7">
        <v>-7.38</v>
      </c>
      <c r="H640" s="7">
        <v>-10.62</v>
      </c>
      <c r="I640" s="7">
        <v>-2.25</v>
      </c>
      <c r="J640" s="7">
        <v>89.68</v>
      </c>
      <c r="K640" s="7">
        <v>97.04</v>
      </c>
      <c r="L640" s="7">
        <v>74.16</v>
      </c>
      <c r="M640" s="7">
        <v>67.93</v>
      </c>
      <c r="N640" s="7">
        <v>57.26</v>
      </c>
      <c r="O640" s="7">
        <v>59.34</v>
      </c>
      <c r="P640" s="7">
        <v>119.49</v>
      </c>
      <c r="Q640" s="7">
        <v>142.79</v>
      </c>
      <c r="R640" s="7">
        <v>130.56</v>
      </c>
      <c r="S640" s="7">
        <v>60.22</v>
      </c>
      <c r="T640" s="7">
        <v>31.2</v>
      </c>
      <c r="U640" s="7">
        <v>50.79</v>
      </c>
      <c r="V640" s="7">
        <v>47.36</v>
      </c>
      <c r="W640" s="7">
        <v>38.01</v>
      </c>
      <c r="X640" s="7">
        <v>45.79</v>
      </c>
      <c r="Y640" s="7">
        <v>31.86</v>
      </c>
      <c r="Z640" s="9">
        <f>MAX($B$640:$Y$640)</f>
        <v>142.79</v>
      </c>
      <c r="AA640" s="9">
        <f>MIN($B$640:$Y$640)</f>
        <v>-24.48</v>
      </c>
      <c r="AB640" s="9">
        <f>AVERAGE($B$640:$Y$640)</f>
        <v>45.1691666666667</v>
      </c>
    </row>
    <row r="641" spans="1:28">
      <c r="A641" s="10">
        <v>45936</v>
      </c>
      <c r="B641" s="7">
        <v>-29.16</v>
      </c>
      <c r="C641" s="7">
        <v>12.46</v>
      </c>
      <c r="D641" s="7">
        <v>13.31</v>
      </c>
      <c r="E641" s="7">
        <v>12.5</v>
      </c>
      <c r="F641" s="7">
        <v>-5.16</v>
      </c>
      <c r="G641" s="7">
        <v>7.94999999999999</v>
      </c>
      <c r="H641" s="7">
        <v>-21.4</v>
      </c>
      <c r="I641" s="7">
        <v>0.450000000000017</v>
      </c>
      <c r="J641" s="7">
        <v>79.06</v>
      </c>
      <c r="K641" s="7">
        <v>55.57</v>
      </c>
      <c r="L641" s="7">
        <v>-51.4</v>
      </c>
      <c r="M641" s="7">
        <v>-19.09</v>
      </c>
      <c r="N641" s="7">
        <v>2.09</v>
      </c>
      <c r="O641" s="7">
        <v>20.37</v>
      </c>
      <c r="P641" s="7">
        <v>73.13</v>
      </c>
      <c r="Q641" s="7">
        <v>23.3</v>
      </c>
      <c r="R641" s="7">
        <v>-12.2</v>
      </c>
      <c r="S641" s="7">
        <v>-23.44</v>
      </c>
      <c r="T641" s="7">
        <v>18.49</v>
      </c>
      <c r="U641" s="7">
        <v>22.95</v>
      </c>
      <c r="V641" s="7">
        <v>36.99</v>
      </c>
      <c r="W641" s="7">
        <v>36.78</v>
      </c>
      <c r="X641" s="7">
        <v>41.84</v>
      </c>
      <c r="Y641" s="7">
        <v>31.03</v>
      </c>
      <c r="Z641" s="9">
        <f>MAX($B$641:$Y$641)</f>
        <v>79.06</v>
      </c>
      <c r="AA641" s="9">
        <f>MIN($B$641:$Y$641)</f>
        <v>-51.4</v>
      </c>
      <c r="AB641" s="9">
        <f>AVERAGE($B$641:$Y$641)</f>
        <v>13.6008333333333</v>
      </c>
    </row>
    <row r="642" spans="1:28">
      <c r="A642" s="10">
        <v>45937</v>
      </c>
      <c r="B642" s="7">
        <v>-14.72</v>
      </c>
      <c r="C642" s="7">
        <v>9.44000000000003</v>
      </c>
      <c r="D642" s="7">
        <v>6.80000000000001</v>
      </c>
      <c r="E642" s="7">
        <v>11.95</v>
      </c>
      <c r="F642" s="7">
        <v>-21.97</v>
      </c>
      <c r="G642" s="7">
        <v>-20.07</v>
      </c>
      <c r="H642" s="7">
        <v>-21.9</v>
      </c>
      <c r="I642" s="7">
        <v>-16.04</v>
      </c>
      <c r="J642" s="7">
        <v>-40.07</v>
      </c>
      <c r="K642" s="7">
        <v>8.03</v>
      </c>
      <c r="L642" s="7">
        <v>-33.24</v>
      </c>
      <c r="M642" s="7">
        <v>-19.55</v>
      </c>
      <c r="N642" s="7">
        <v>-45.34</v>
      </c>
      <c r="O642" s="7">
        <v>-113.42</v>
      </c>
      <c r="P642" s="7">
        <v>-18.21</v>
      </c>
      <c r="Q642" s="7">
        <v>-12.25</v>
      </c>
      <c r="R642" s="7">
        <v>-93.48</v>
      </c>
      <c r="S642" s="7">
        <v>-109.27</v>
      </c>
      <c r="T642" s="7">
        <v>-266.44</v>
      </c>
      <c r="U642" s="7">
        <v>-406.37</v>
      </c>
      <c r="V642" s="7">
        <v>-136.44</v>
      </c>
      <c r="W642" s="7">
        <v>-217.42</v>
      </c>
      <c r="X642" s="7">
        <v>-8.16000000000002</v>
      </c>
      <c r="Y642" s="7">
        <v>-23.51</v>
      </c>
      <c r="Z642" s="9">
        <f>MAX($B$642:$Y$642)</f>
        <v>11.95</v>
      </c>
      <c r="AA642" s="9">
        <f>MIN($B$642:$Y$642)</f>
        <v>-406.37</v>
      </c>
      <c r="AB642" s="9">
        <f>AVERAGE($B$642:$Y$642)</f>
        <v>-66.7354166666667</v>
      </c>
    </row>
    <row r="643" spans="1:28">
      <c r="A643" s="10">
        <v>45938</v>
      </c>
      <c r="B643" s="7">
        <v>-507.49</v>
      </c>
      <c r="C643" s="7">
        <v>-349.79</v>
      </c>
      <c r="D643" s="7">
        <v>81.35</v>
      </c>
      <c r="E643" s="7">
        <v>164.48</v>
      </c>
      <c r="F643" s="7">
        <v>-53.22</v>
      </c>
      <c r="G643" s="7">
        <v>82.92</v>
      </c>
      <c r="H643" s="7">
        <v>100.32</v>
      </c>
      <c r="I643" s="7">
        <v>-28.28</v>
      </c>
      <c r="J643" s="7">
        <v>0.529999999999973</v>
      </c>
      <c r="K643" s="7">
        <v>13.41</v>
      </c>
      <c r="L643" s="7">
        <v>13.53</v>
      </c>
      <c r="M643" s="7">
        <v>-8.02000000000004</v>
      </c>
      <c r="N643" s="7">
        <v>-9.69</v>
      </c>
      <c r="O643" s="7">
        <v>-0.680000000000007</v>
      </c>
      <c r="P643" s="7">
        <v>57.4</v>
      </c>
      <c r="Q643" s="7">
        <v>50.1</v>
      </c>
      <c r="R643" s="7">
        <v>-59.65</v>
      </c>
      <c r="S643" s="7">
        <v>-51.81</v>
      </c>
      <c r="T643" s="7">
        <v>-154.3</v>
      </c>
      <c r="U643" s="7">
        <v>-459.68</v>
      </c>
      <c r="V643" s="7">
        <v>-337.7</v>
      </c>
      <c r="W643" s="7">
        <v>-444.31</v>
      </c>
      <c r="X643" s="7">
        <v>-37.15</v>
      </c>
      <c r="Y643" s="7">
        <v>33.29</v>
      </c>
      <c r="Z643" s="9">
        <f>MAX($B$643:$Y$643)</f>
        <v>164.48</v>
      </c>
      <c r="AA643" s="9">
        <f>MIN($B$643:$Y$643)</f>
        <v>-507.49</v>
      </c>
      <c r="AB643" s="9">
        <f>AVERAGE($B$643:$Y$643)</f>
        <v>-79.3516666666667</v>
      </c>
    </row>
    <row r="644" spans="1:28">
      <c r="A644" s="10">
        <v>45939</v>
      </c>
      <c r="B644" s="7">
        <v>10.28</v>
      </c>
      <c r="C644" s="7">
        <v>29.59</v>
      </c>
      <c r="D644" s="7">
        <v>24.66</v>
      </c>
      <c r="E644" s="7">
        <v>26.18</v>
      </c>
      <c r="F644" s="7">
        <v>-2.12</v>
      </c>
      <c r="G644" s="7">
        <v>9.49000000000001</v>
      </c>
      <c r="H644" s="7">
        <v>-34.85</v>
      </c>
      <c r="I644" s="7">
        <v>-8.64000000000004</v>
      </c>
      <c r="J644" s="7">
        <v>13.5</v>
      </c>
      <c r="K644" s="7">
        <v>65.3</v>
      </c>
      <c r="L644" s="7">
        <v>20.3800000000001</v>
      </c>
      <c r="M644" s="7">
        <v>-23.12</v>
      </c>
      <c r="N644" s="7">
        <v>-6.20999999999998</v>
      </c>
      <c r="O644" s="7">
        <v>26.15</v>
      </c>
      <c r="P644" s="7">
        <v>125.92</v>
      </c>
      <c r="Q644" s="7">
        <v>82.04</v>
      </c>
      <c r="R644" s="7">
        <v>85.94</v>
      </c>
      <c r="S644" s="7">
        <v>-54.31</v>
      </c>
      <c r="T644" s="7">
        <v>-211.24</v>
      </c>
      <c r="U644" s="7">
        <v>-4.45000000000005</v>
      </c>
      <c r="V644" s="7">
        <v>61.76</v>
      </c>
      <c r="W644" s="7">
        <v>31.86</v>
      </c>
      <c r="X644" s="7">
        <v>21.79</v>
      </c>
      <c r="Y644" s="7">
        <v>20.08</v>
      </c>
      <c r="Z644" s="9">
        <f>MAX($B$644:$Y$644)</f>
        <v>125.92</v>
      </c>
      <c r="AA644" s="9">
        <f>MIN($B$644:$Y$644)</f>
        <v>-211.24</v>
      </c>
      <c r="AB644" s="9">
        <f>AVERAGE($B$644:$Y$644)</f>
        <v>12.9158333333333</v>
      </c>
    </row>
    <row r="645" spans="1:28">
      <c r="A645" s="10">
        <v>45940</v>
      </c>
      <c r="B645" s="7">
        <v>-123.42</v>
      </c>
      <c r="C645" s="7">
        <v>-364.55</v>
      </c>
      <c r="D645" s="7">
        <v>4.57999999999998</v>
      </c>
      <c r="E645" s="7">
        <v>-18.47</v>
      </c>
      <c r="F645" s="7">
        <v>27.86</v>
      </c>
      <c r="G645" s="7">
        <v>27.7</v>
      </c>
      <c r="H645" s="7">
        <v>8.31999999999999</v>
      </c>
      <c r="I645" s="7">
        <v>-3.91000000000002</v>
      </c>
      <c r="J645" s="7">
        <v>51.17</v>
      </c>
      <c r="K645" s="7">
        <v>153.53</v>
      </c>
      <c r="L645" s="7">
        <v>35</v>
      </c>
      <c r="M645" s="7">
        <v>-191.17</v>
      </c>
      <c r="N645" s="7">
        <v>-120.76</v>
      </c>
      <c r="O645" s="7">
        <v>-47.56</v>
      </c>
      <c r="P645" s="7">
        <v>15.6199999999999</v>
      </c>
      <c r="Q645" s="7">
        <v>6.69</v>
      </c>
      <c r="R645" s="7">
        <v>59.37</v>
      </c>
      <c r="S645" s="7">
        <v>8.30000000000007</v>
      </c>
      <c r="T645" s="7">
        <v>-127.22</v>
      </c>
      <c r="U645" s="7">
        <v>-34.5</v>
      </c>
      <c r="V645" s="7">
        <v>-16.64</v>
      </c>
      <c r="W645" s="7">
        <v>17.75</v>
      </c>
      <c r="X645" s="7">
        <v>-5.74000000000001</v>
      </c>
      <c r="Y645" s="7">
        <v>26.53</v>
      </c>
      <c r="Z645" s="9">
        <f>MAX($B$645:$Y$645)</f>
        <v>153.53</v>
      </c>
      <c r="AA645" s="9">
        <f>MIN($B$645:$Y$645)</f>
        <v>-364.55</v>
      </c>
      <c r="AB645" s="9">
        <f>AVERAGE($B$645:$Y$645)</f>
        <v>-25.48</v>
      </c>
    </row>
    <row r="646" spans="1:28">
      <c r="A646" s="10">
        <v>45941</v>
      </c>
      <c r="B646" s="7">
        <v>-49.14</v>
      </c>
      <c r="C646" s="7">
        <v>-33.21</v>
      </c>
      <c r="D646" s="7">
        <v>-11.09</v>
      </c>
      <c r="E646" s="7">
        <v>13.07</v>
      </c>
      <c r="F646" s="7">
        <v>-9.96999999999997</v>
      </c>
      <c r="G646" s="7">
        <v>-1.30000000000001</v>
      </c>
      <c r="H646" s="7">
        <v>-6.19</v>
      </c>
      <c r="I646" s="7">
        <v>3.90000000000003</v>
      </c>
      <c r="J646" s="7">
        <v>-3.69</v>
      </c>
      <c r="K646" s="7">
        <v>14.01</v>
      </c>
      <c r="L646" s="7">
        <v>-14.94</v>
      </c>
      <c r="M646" s="7">
        <v>-42.73</v>
      </c>
      <c r="N646" s="7">
        <v>-82</v>
      </c>
      <c r="O646" s="7">
        <v>16.85</v>
      </c>
      <c r="P646" s="7">
        <v>102.58</v>
      </c>
      <c r="Q646" s="7">
        <v>128.92</v>
      </c>
      <c r="R646" s="7">
        <v>121.33</v>
      </c>
      <c r="S646" s="7">
        <v>49.1200000000001</v>
      </c>
      <c r="T646" s="7">
        <v>41.43</v>
      </c>
      <c r="U646" s="7">
        <v>68.4499999999999</v>
      </c>
      <c r="V646" s="7">
        <v>-18.68</v>
      </c>
      <c r="W646" s="7">
        <v>35.91</v>
      </c>
      <c r="X646" s="7">
        <v>39.05</v>
      </c>
      <c r="Y646" s="7">
        <v>1.94</v>
      </c>
      <c r="Z646" s="9">
        <f>MAX($B$646:$Y$646)</f>
        <v>128.92</v>
      </c>
      <c r="AA646" s="9">
        <f>MIN($B$646:$Y$646)</f>
        <v>-82</v>
      </c>
      <c r="AB646" s="9">
        <f>AVERAGE($B$646:$Y$646)</f>
        <v>15.1508333333333</v>
      </c>
    </row>
    <row r="647" spans="1:28">
      <c r="A647" s="10">
        <v>45942</v>
      </c>
      <c r="B647" s="7">
        <v>-256.88</v>
      </c>
      <c r="C647" s="7">
        <v>-71.35</v>
      </c>
      <c r="D647" s="7">
        <v>-95.84</v>
      </c>
      <c r="E647" s="7">
        <v>-82.14</v>
      </c>
      <c r="F647" s="7">
        <v>-35.41</v>
      </c>
      <c r="G647" s="7">
        <v>-3.60000000000002</v>
      </c>
      <c r="H647" s="7">
        <v>-7.37</v>
      </c>
      <c r="I647" s="7">
        <v>-13.17</v>
      </c>
      <c r="J647" s="7">
        <v>-26.21</v>
      </c>
      <c r="K647" s="7">
        <v>-30.39</v>
      </c>
      <c r="L647" s="7">
        <v>-204.9</v>
      </c>
      <c r="M647" s="7">
        <v>-707.87</v>
      </c>
      <c r="N647" s="7">
        <v>-421.17</v>
      </c>
      <c r="O647" s="7">
        <v>-581.89</v>
      </c>
      <c r="P647" s="7">
        <v>-496.34</v>
      </c>
      <c r="Q647" s="7">
        <v>-594.22</v>
      </c>
      <c r="R647" s="7">
        <v>-568.55</v>
      </c>
      <c r="S647" s="7">
        <v>-550.09</v>
      </c>
      <c r="T647" s="7">
        <v>-241.45</v>
      </c>
      <c r="U647" s="7">
        <v>28.28</v>
      </c>
      <c r="V647" s="7">
        <v>29.54</v>
      </c>
      <c r="W647" s="7">
        <v>-21.9</v>
      </c>
      <c r="X647" s="7">
        <v>-55.08</v>
      </c>
      <c r="Y647" s="7">
        <v>17.13</v>
      </c>
      <c r="Z647" s="9">
        <f>MAX($B$647:$Y$647)</f>
        <v>29.54</v>
      </c>
      <c r="AA647" s="9">
        <f>MIN($B$647:$Y$647)</f>
        <v>-707.87</v>
      </c>
      <c r="AB647" s="9">
        <f>AVERAGE($B$647:$Y$647)</f>
        <v>-207.952916666667</v>
      </c>
    </row>
    <row r="648" spans="1:28">
      <c r="A648" s="10">
        <v>45943</v>
      </c>
      <c r="B648" s="7">
        <v>18.69</v>
      </c>
      <c r="C648" s="7">
        <v>12.1</v>
      </c>
      <c r="D648" s="7">
        <v>11.83</v>
      </c>
      <c r="E648" s="7">
        <v>8.06999999999999</v>
      </c>
      <c r="F648" s="7">
        <v>-2.56</v>
      </c>
      <c r="G648" s="7">
        <v>-5.68000000000001</v>
      </c>
      <c r="H648" s="7">
        <v>-18.17</v>
      </c>
      <c r="I648" s="7">
        <v>-43.63</v>
      </c>
      <c r="J648" s="7">
        <v>-170.78</v>
      </c>
      <c r="K648" s="7">
        <v>-138.23</v>
      </c>
      <c r="L648" s="7">
        <v>-520.33</v>
      </c>
      <c r="M648" s="7">
        <v>-544.29</v>
      </c>
      <c r="N648" s="7">
        <v>-352.75</v>
      </c>
      <c r="O648" s="7">
        <v>-395.02</v>
      </c>
      <c r="P648" s="7">
        <v>-316.67</v>
      </c>
      <c r="Q648" s="7">
        <v>-258.71</v>
      </c>
      <c r="R648" s="7">
        <v>-380.64</v>
      </c>
      <c r="S648" s="7">
        <v>-216.29</v>
      </c>
      <c r="T648" s="7">
        <v>-234.8</v>
      </c>
      <c r="U648" s="7">
        <v>-110.85</v>
      </c>
      <c r="V648" s="7">
        <v>-88.81</v>
      </c>
      <c r="W648" s="7">
        <v>-33.62</v>
      </c>
      <c r="X648" s="7">
        <v>3.88999999999999</v>
      </c>
      <c r="Y648" s="7">
        <v>18.34</v>
      </c>
      <c r="Z648" s="9">
        <f>MAX($B$648:$Y$648)</f>
        <v>18.69</v>
      </c>
      <c r="AA648" s="9">
        <f>MIN($B$648:$Y$648)</f>
        <v>-544.29</v>
      </c>
      <c r="AB648" s="9">
        <f>AVERAGE($B$648:$Y$648)</f>
        <v>-156.62125</v>
      </c>
    </row>
    <row r="649" spans="1:28">
      <c r="A649" s="10">
        <v>45944</v>
      </c>
      <c r="B649" s="7">
        <v>48.36</v>
      </c>
      <c r="C649" s="7">
        <v>-68.28</v>
      </c>
      <c r="D649" s="7">
        <v>30.95</v>
      </c>
      <c r="E649" s="7">
        <v>-39.81</v>
      </c>
      <c r="F649" s="7">
        <v>6.46999999999997</v>
      </c>
      <c r="G649" s="7">
        <v>17.96</v>
      </c>
      <c r="H649" s="7">
        <v>18.76</v>
      </c>
      <c r="I649" s="7">
        <v>-29.01</v>
      </c>
      <c r="J649" s="7">
        <v>-26.89</v>
      </c>
      <c r="K649" s="7">
        <v>109.62</v>
      </c>
      <c r="L649" s="7">
        <v>151.15</v>
      </c>
      <c r="M649" s="7">
        <v>113.98</v>
      </c>
      <c r="N649" s="7">
        <v>64.63</v>
      </c>
      <c r="O649" s="7">
        <v>149.84</v>
      </c>
      <c r="P649" s="7">
        <v>224.41</v>
      </c>
      <c r="Q649" s="7">
        <v>236.9</v>
      </c>
      <c r="R649" s="7">
        <v>203.5</v>
      </c>
      <c r="S649" s="7">
        <v>94.37</v>
      </c>
      <c r="T649" s="7">
        <v>-31.9499999999999</v>
      </c>
      <c r="U649" s="7">
        <v>70.87</v>
      </c>
      <c r="V649" s="7">
        <v>83.52</v>
      </c>
      <c r="W649" s="7">
        <v>148.49</v>
      </c>
      <c r="X649" s="7">
        <v>156.5</v>
      </c>
      <c r="Y649" s="7">
        <v>64.54</v>
      </c>
      <c r="Z649" s="9">
        <f>MAX($B$649:$Y$649)</f>
        <v>236.9</v>
      </c>
      <c r="AA649" s="9">
        <f>MIN($B$649:$Y$649)</f>
        <v>-68.28</v>
      </c>
      <c r="AB649" s="9">
        <f>AVERAGE($B$649:$Y$649)</f>
        <v>74.9533333333333</v>
      </c>
    </row>
    <row r="650" spans="1:28">
      <c r="A650" s="10">
        <v>45945</v>
      </c>
      <c r="B650" s="7">
        <v>73.5600000000001</v>
      </c>
      <c r="C650" s="7">
        <v>96.88</v>
      </c>
      <c r="D650" s="7">
        <v>-5.26000000000005</v>
      </c>
      <c r="E650" s="7">
        <v>15.39</v>
      </c>
      <c r="F650" s="7">
        <v>24.85</v>
      </c>
      <c r="G650" s="7">
        <v>-47.19</v>
      </c>
      <c r="H650" s="7">
        <v>2.68000000000001</v>
      </c>
      <c r="I650" s="7">
        <v>20.69</v>
      </c>
      <c r="J650" s="7">
        <v>8.15000000000003</v>
      </c>
      <c r="K650" s="7">
        <v>57.56</v>
      </c>
      <c r="L650" s="7">
        <v>175.13</v>
      </c>
      <c r="M650" s="7">
        <v>50.7</v>
      </c>
      <c r="N650" s="7">
        <v>28.05</v>
      </c>
      <c r="O650" s="7">
        <v>16.62</v>
      </c>
      <c r="P650" s="7">
        <v>106.59</v>
      </c>
      <c r="Q650" s="7">
        <v>197.15</v>
      </c>
      <c r="R650" s="7">
        <v>258.4</v>
      </c>
      <c r="S650" s="7">
        <v>148.13</v>
      </c>
      <c r="T650" s="7">
        <v>2.40999999999997</v>
      </c>
      <c r="U650" s="7">
        <v>82.91</v>
      </c>
      <c r="V650" s="7">
        <v>-11.23</v>
      </c>
      <c r="W650" s="7">
        <v>16.53</v>
      </c>
      <c r="X650" s="7">
        <v>57.38</v>
      </c>
      <c r="Y650" s="7">
        <v>-19.3</v>
      </c>
      <c r="Z650" s="9">
        <f>MAX($B$650:$Y$650)</f>
        <v>258.4</v>
      </c>
      <c r="AA650" s="9">
        <f>MIN($B$650:$Y$650)</f>
        <v>-47.19</v>
      </c>
      <c r="AB650" s="9">
        <f>AVERAGE($B$650:$Y$650)</f>
        <v>56.5325</v>
      </c>
    </row>
    <row r="651" spans="1:28">
      <c r="A651" s="10">
        <v>45946</v>
      </c>
      <c r="B651" s="11">
        <v>-14.94</v>
      </c>
      <c r="C651" s="11">
        <v>27.9300000000001</v>
      </c>
      <c r="D651" s="11">
        <v>8.52000000000004</v>
      </c>
      <c r="E651" s="11">
        <v>31.91</v>
      </c>
      <c r="F651" s="11">
        <v>2.28999999999996</v>
      </c>
      <c r="G651" s="11">
        <v>-8.70999999999998</v>
      </c>
      <c r="H651" s="11">
        <v>-12.34</v>
      </c>
      <c r="I651" s="11">
        <v>17.25</v>
      </c>
      <c r="J651" s="11">
        <v>-8.5</v>
      </c>
      <c r="K651" s="11">
        <v>40.91</v>
      </c>
      <c r="L651" s="11">
        <v>155.36</v>
      </c>
      <c r="M651" s="11">
        <v>182.66</v>
      </c>
      <c r="N651" s="11">
        <v>79.28</v>
      </c>
      <c r="O651" s="11">
        <v>32.9</v>
      </c>
      <c r="P651" s="11">
        <v>99.12</v>
      </c>
      <c r="Q651" s="11">
        <v>167.09</v>
      </c>
      <c r="R651" s="11">
        <v>56.69</v>
      </c>
      <c r="S651" s="11">
        <v>77.4299999999999</v>
      </c>
      <c r="T651" s="11">
        <v>38.34</v>
      </c>
      <c r="U651" s="11">
        <v>90.42</v>
      </c>
      <c r="V651" s="11">
        <v>44.81</v>
      </c>
      <c r="W651" s="11">
        <v>28.55</v>
      </c>
      <c r="X651" s="11">
        <v>17.84</v>
      </c>
      <c r="Y651" s="11">
        <v>-12.31</v>
      </c>
      <c r="Z651" s="9">
        <f>MAX($B$651:$Y$651)</f>
        <v>182.66</v>
      </c>
      <c r="AA651" s="9">
        <f>MIN($B$651:$Y$651)</f>
        <v>-14.94</v>
      </c>
      <c r="AB651" s="9">
        <f>AVERAGE($B$651:$Y$651)</f>
        <v>47.6041666666667</v>
      </c>
    </row>
    <row r="652" spans="1:28">
      <c r="A652" s="10">
        <v>45947</v>
      </c>
      <c r="B652" s="7">
        <v>-304.57</v>
      </c>
      <c r="C652" s="7">
        <v>-73.53</v>
      </c>
      <c r="D652" s="7">
        <v>-29.02</v>
      </c>
      <c r="E652" s="7">
        <v>37.09</v>
      </c>
      <c r="F652" s="7">
        <v>14.67</v>
      </c>
      <c r="G652" s="7">
        <v>45.44</v>
      </c>
      <c r="H652" s="7">
        <v>50.22</v>
      </c>
      <c r="I652" s="7">
        <v>19.61</v>
      </c>
      <c r="J652" s="7">
        <v>-11.4299999999999</v>
      </c>
      <c r="K652" s="7">
        <v>51.55</v>
      </c>
      <c r="L652" s="7">
        <v>-8.48000000000002</v>
      </c>
      <c r="M652" s="7">
        <v>-51.45</v>
      </c>
      <c r="N652" s="7">
        <v>-29.05</v>
      </c>
      <c r="O652" s="7">
        <v>-27.78</v>
      </c>
      <c r="P652" s="7">
        <v>-4.23000000000002</v>
      </c>
      <c r="Q652" s="7">
        <v>68.3</v>
      </c>
      <c r="R652" s="7">
        <v>36.75</v>
      </c>
      <c r="S652" s="7">
        <v>31.79</v>
      </c>
      <c r="T652" s="7">
        <v>-48.63</v>
      </c>
      <c r="U652" s="7">
        <v>-19.9100000000001</v>
      </c>
      <c r="V652" s="7">
        <v>-27.86</v>
      </c>
      <c r="W652" s="7">
        <v>-85.1999999999999</v>
      </c>
      <c r="X652" s="7">
        <v>-323.84</v>
      </c>
      <c r="Y652" s="7">
        <v>-67.38</v>
      </c>
      <c r="Z652" s="9">
        <f>MAX($B$652:$Y$652)</f>
        <v>68.3</v>
      </c>
      <c r="AA652" s="9">
        <f>MIN($B$652:$Y$652)</f>
        <v>-323.84</v>
      </c>
      <c r="AB652" s="9">
        <f>AVERAGE($B$652:$Y$652)</f>
        <v>-31.5391666666667</v>
      </c>
    </row>
    <row r="653" spans="1:28">
      <c r="A653" s="10">
        <v>45948</v>
      </c>
      <c r="B653" s="7">
        <v>-387.82</v>
      </c>
      <c r="C653" s="7">
        <v>-356.5</v>
      </c>
      <c r="D653" s="7">
        <v>-299.01</v>
      </c>
      <c r="E653" s="7">
        <v>-337.18</v>
      </c>
      <c r="F653" s="7">
        <v>-58.78</v>
      </c>
      <c r="G653" s="7">
        <v>-61.76</v>
      </c>
      <c r="H653" s="7">
        <v>-57.63</v>
      </c>
      <c r="I653" s="7">
        <v>-60.43</v>
      </c>
      <c r="J653" s="7">
        <v>-67.86</v>
      </c>
      <c r="K653" s="7">
        <v>-120.66</v>
      </c>
      <c r="L653" s="7">
        <v>-84.29</v>
      </c>
      <c r="M653" s="7">
        <v>-163.72</v>
      </c>
      <c r="N653" s="7">
        <v>-127.83</v>
      </c>
      <c r="O653" s="7">
        <v>-132.69</v>
      </c>
      <c r="P653" s="7">
        <v>-87.29</v>
      </c>
      <c r="Q653" s="7">
        <v>-31.88</v>
      </c>
      <c r="R653" s="7">
        <v>-38.39</v>
      </c>
      <c r="S653" s="7">
        <v>-43.93</v>
      </c>
      <c r="T653" s="7">
        <v>-121.08</v>
      </c>
      <c r="U653" s="7">
        <v>-91.8699999999999</v>
      </c>
      <c r="V653" s="7">
        <v>-87.69</v>
      </c>
      <c r="W653" s="7">
        <v>-39.65</v>
      </c>
      <c r="X653" s="7">
        <v>-126.62</v>
      </c>
      <c r="Y653" s="7">
        <v>-33.46</v>
      </c>
      <c r="Z653" s="9">
        <f>MAX($B$653:$Y$653)</f>
        <v>-31.88</v>
      </c>
      <c r="AA653" s="9">
        <f>MIN($B$653:$Y$653)</f>
        <v>-387.82</v>
      </c>
      <c r="AB653" s="9">
        <f>AVERAGE($B$653:$Y$653)</f>
        <v>-125.750833333333</v>
      </c>
    </row>
    <row r="654" spans="1:28">
      <c r="A654" s="10">
        <v>45949</v>
      </c>
      <c r="B654" s="7">
        <v>-227.24</v>
      </c>
      <c r="C654" s="7">
        <v>6.38</v>
      </c>
      <c r="D654" s="7">
        <v>-35.57</v>
      </c>
      <c r="E654" s="7">
        <v>-4.58000000000004</v>
      </c>
      <c r="F654" s="7">
        <v>25.77</v>
      </c>
      <c r="G654" s="7">
        <v>-12.16</v>
      </c>
      <c r="H654" s="7">
        <v>-86.44</v>
      </c>
      <c r="I654" s="7">
        <v>-43.11</v>
      </c>
      <c r="J654" s="7">
        <v>58.71</v>
      </c>
      <c r="K654" s="7">
        <v>8.03000000000003</v>
      </c>
      <c r="L654" s="7">
        <v>13.28</v>
      </c>
      <c r="M654" s="7">
        <v>-82.31</v>
      </c>
      <c r="N654" s="7">
        <v>-98.18</v>
      </c>
      <c r="O654" s="7">
        <v>-131.21</v>
      </c>
      <c r="P654" s="7">
        <v>-120.93</v>
      </c>
      <c r="Q654" s="7">
        <v>-176.71</v>
      </c>
      <c r="R654" s="7">
        <v>-113.77</v>
      </c>
      <c r="S654" s="7">
        <v>-146.26</v>
      </c>
      <c r="T654" s="7">
        <v>-175.55</v>
      </c>
      <c r="U654" s="7">
        <v>-21.43</v>
      </c>
      <c r="V654" s="7">
        <v>-10.12</v>
      </c>
      <c r="W654" s="7">
        <v>3.31</v>
      </c>
      <c r="X654" s="7">
        <v>66.3</v>
      </c>
      <c r="Y654" s="7">
        <v>30.74</v>
      </c>
      <c r="Z654" s="9">
        <f>MAX($B$654:$Y$654)</f>
        <v>66.3</v>
      </c>
      <c r="AA654" s="9">
        <f>MIN($B$654:$Y$654)</f>
        <v>-227.24</v>
      </c>
      <c r="AB654" s="9">
        <f>AVERAGE($B$654:$Y$654)</f>
        <v>-53.04375</v>
      </c>
    </row>
    <row r="655" spans="1:28">
      <c r="A655" s="10">
        <v>45950</v>
      </c>
      <c r="B655" s="7">
        <v>240.66</v>
      </c>
      <c r="C655" s="7">
        <v>232.41</v>
      </c>
      <c r="D655" s="7">
        <v>198.44</v>
      </c>
      <c r="E655" s="7">
        <v>166.16</v>
      </c>
      <c r="F655" s="7">
        <v>141.46</v>
      </c>
      <c r="G655" s="7">
        <v>87.57</v>
      </c>
      <c r="H655" s="7">
        <v>249.12</v>
      </c>
      <c r="I655" s="7">
        <v>253.9</v>
      </c>
      <c r="J655" s="7">
        <v>231.68</v>
      </c>
      <c r="K655" s="7">
        <v>314.7</v>
      </c>
      <c r="L655" s="7">
        <v>111.7</v>
      </c>
      <c r="M655" s="7">
        <v>235.05</v>
      </c>
      <c r="N655" s="7">
        <v>190.65</v>
      </c>
      <c r="O655" s="7">
        <v>268.85</v>
      </c>
      <c r="P655" s="7">
        <v>318.46</v>
      </c>
      <c r="Q655" s="7">
        <v>399.86</v>
      </c>
      <c r="R655" s="7">
        <v>203.6</v>
      </c>
      <c r="S655" s="7">
        <v>115.86</v>
      </c>
      <c r="T655" s="7">
        <v>170.04</v>
      </c>
      <c r="U655" s="7">
        <v>193.02</v>
      </c>
      <c r="V655" s="7">
        <v>175.55</v>
      </c>
      <c r="W655" s="7">
        <v>177.72</v>
      </c>
      <c r="X655" s="7">
        <v>130.48</v>
      </c>
      <c r="Y655" s="7">
        <v>37.19</v>
      </c>
      <c r="Z655" s="9">
        <f>MAX($B$655:$Y$655)</f>
        <v>399.86</v>
      </c>
      <c r="AA655" s="9">
        <f>MIN($B$655:$Y$655)</f>
        <v>37.19</v>
      </c>
      <c r="AB655" s="9">
        <f>AVERAGE($B$655:$Y$655)</f>
        <v>201.83875</v>
      </c>
    </row>
    <row r="656" spans="1:28">
      <c r="A656" s="10">
        <v>45951</v>
      </c>
      <c r="B656" s="7">
        <v>-23.79</v>
      </c>
      <c r="C656" s="7">
        <v>178.05</v>
      </c>
      <c r="D656" s="7">
        <v>185.64</v>
      </c>
      <c r="E656" s="7">
        <v>159.37</v>
      </c>
      <c r="F656" s="7">
        <v>81.3</v>
      </c>
      <c r="G656" s="7">
        <v>46.95</v>
      </c>
      <c r="H656" s="7">
        <v>108.67</v>
      </c>
      <c r="I656" s="7">
        <v>99.68</v>
      </c>
      <c r="J656" s="7">
        <v>41.1199999999999</v>
      </c>
      <c r="K656" s="7">
        <v>15.05</v>
      </c>
      <c r="L656" s="7">
        <v>114.35</v>
      </c>
      <c r="M656" s="7">
        <v>147.39</v>
      </c>
      <c r="N656" s="7">
        <v>138.46</v>
      </c>
      <c r="O656" s="7">
        <v>151.05</v>
      </c>
      <c r="P656" s="7">
        <v>104.78</v>
      </c>
      <c r="Q656" s="7">
        <v>93.45</v>
      </c>
      <c r="R656" s="7">
        <v>104.88</v>
      </c>
      <c r="S656" s="7">
        <v>89.83</v>
      </c>
      <c r="T656" s="7">
        <v>-64.14</v>
      </c>
      <c r="U656" s="7">
        <v>110.48</v>
      </c>
      <c r="V656" s="7">
        <v>76.8699999999999</v>
      </c>
      <c r="W656" s="7">
        <v>46.45</v>
      </c>
      <c r="X656" s="7">
        <v>74.92</v>
      </c>
      <c r="Y656" s="7">
        <v>199.97</v>
      </c>
      <c r="Z656" s="9">
        <f>MAX($B$656:$Y$656)</f>
        <v>199.97</v>
      </c>
      <c r="AA656" s="9">
        <f>MIN($B$656:$Y$656)</f>
        <v>-64.14</v>
      </c>
      <c r="AB656" s="9">
        <f>AVERAGE($B$656:$Y$656)</f>
        <v>95.0325</v>
      </c>
    </row>
    <row r="657" spans="1:28">
      <c r="A657" s="10">
        <v>45952</v>
      </c>
      <c r="B657" s="7">
        <v>54.03</v>
      </c>
      <c r="C657" s="7">
        <v>53.26</v>
      </c>
      <c r="D657" s="7">
        <v>86.96</v>
      </c>
      <c r="E657" s="7">
        <v>107.62</v>
      </c>
      <c r="F657" s="7">
        <v>219.75</v>
      </c>
      <c r="G657" s="7">
        <v>181.08</v>
      </c>
      <c r="H657" s="7">
        <v>104.67</v>
      </c>
      <c r="I657" s="7">
        <v>69.42</v>
      </c>
      <c r="J657" s="7">
        <v>52.69</v>
      </c>
      <c r="K657" s="7">
        <v>65.41</v>
      </c>
      <c r="L657" s="7">
        <v>5.91</v>
      </c>
      <c r="M657" s="7">
        <v>131</v>
      </c>
      <c r="N657" s="7">
        <v>75.44</v>
      </c>
      <c r="O657" s="7">
        <v>60.24</v>
      </c>
      <c r="P657" s="7">
        <v>56.5</v>
      </c>
      <c r="Q657" s="7">
        <v>69.7</v>
      </c>
      <c r="R657" s="7">
        <v>54.61</v>
      </c>
      <c r="S657" s="7">
        <v>12.82</v>
      </c>
      <c r="T657" s="7">
        <v>17.44</v>
      </c>
      <c r="U657" s="7">
        <v>-28</v>
      </c>
      <c r="V657" s="7">
        <v>42.66</v>
      </c>
      <c r="W657" s="7">
        <v>31.49</v>
      </c>
      <c r="X657" s="7">
        <v>29.94</v>
      </c>
      <c r="Y657" s="7">
        <v>58.71</v>
      </c>
      <c r="Z657" s="9">
        <f>MAX($B$657:$Y$657)</f>
        <v>219.75</v>
      </c>
      <c r="AA657" s="9">
        <f>MIN($B$657:$Y$657)</f>
        <v>-28</v>
      </c>
      <c r="AB657" s="9">
        <f>AVERAGE($B$657:$Y$657)</f>
        <v>67.2229166666667</v>
      </c>
    </row>
    <row r="658" spans="1:28">
      <c r="A658" s="10">
        <v>45953</v>
      </c>
      <c r="B658" s="7">
        <v>-9.45000000000002</v>
      </c>
      <c r="C658" s="7">
        <v>104.37</v>
      </c>
      <c r="D658" s="7">
        <v>115</v>
      </c>
      <c r="E658" s="7">
        <v>150.14</v>
      </c>
      <c r="F658" s="7">
        <v>179.97</v>
      </c>
      <c r="G658" s="7">
        <v>122.22</v>
      </c>
      <c r="H658" s="7">
        <v>57.81</v>
      </c>
      <c r="I658" s="7">
        <v>-13.8</v>
      </c>
      <c r="J658" s="7">
        <v>-26.96</v>
      </c>
      <c r="K658" s="7">
        <v>104.55</v>
      </c>
      <c r="L658" s="7">
        <v>87.93</v>
      </c>
      <c r="M658" s="7">
        <v>35.29</v>
      </c>
      <c r="N658" s="7">
        <v>121.71</v>
      </c>
      <c r="O658" s="7">
        <v>54.1</v>
      </c>
      <c r="P658" s="7">
        <v>134.15</v>
      </c>
      <c r="Q658" s="7">
        <v>33.3</v>
      </c>
      <c r="R658" s="7">
        <v>27.08</v>
      </c>
      <c r="S658" s="7">
        <v>30.51</v>
      </c>
      <c r="T658" s="7">
        <v>-21.72</v>
      </c>
      <c r="U658" s="7">
        <v>14.44</v>
      </c>
      <c r="V658" s="7">
        <v>60.93</v>
      </c>
      <c r="W658" s="7">
        <v>1.16000000000003</v>
      </c>
      <c r="X658" s="7">
        <v>14.67</v>
      </c>
      <c r="Y658" s="7">
        <v>107.35</v>
      </c>
      <c r="Z658" s="9">
        <f>MAX($B$658:$Y$658)</f>
        <v>179.97</v>
      </c>
      <c r="AA658" s="9">
        <f>MIN($B$658:$Y$658)</f>
        <v>-26.96</v>
      </c>
      <c r="AB658" s="9">
        <f>AVERAGE($B$658:$Y$658)</f>
        <v>61.8645833333333</v>
      </c>
    </row>
    <row r="659" spans="1:28">
      <c r="A659" s="10">
        <v>45954</v>
      </c>
      <c r="B659" s="7">
        <v>-37.73</v>
      </c>
      <c r="C659" s="7">
        <v>35.38</v>
      </c>
      <c r="D659" s="7">
        <v>96.62</v>
      </c>
      <c r="E659" s="7">
        <v>271.92</v>
      </c>
      <c r="F659" s="7">
        <v>231.97</v>
      </c>
      <c r="G659" s="7">
        <v>132.71</v>
      </c>
      <c r="H659" s="7">
        <v>92.9</v>
      </c>
      <c r="I659" s="7">
        <v>-2.56</v>
      </c>
      <c r="J659" s="7">
        <v>15</v>
      </c>
      <c r="K659" s="7">
        <v>93.06</v>
      </c>
      <c r="L659" s="7">
        <v>123.45</v>
      </c>
      <c r="M659" s="7">
        <v>163.63</v>
      </c>
      <c r="N659" s="7">
        <v>127.84</v>
      </c>
      <c r="O659" s="7">
        <v>187.3</v>
      </c>
      <c r="P659" s="7">
        <v>177.76</v>
      </c>
      <c r="Q659" s="7">
        <v>96.14</v>
      </c>
      <c r="R659" s="7">
        <v>-0.770000000000039</v>
      </c>
      <c r="S659" s="7">
        <v>-35.58</v>
      </c>
      <c r="T659" s="7">
        <v>18.9</v>
      </c>
      <c r="U659" s="7">
        <v>34.72</v>
      </c>
      <c r="V659" s="7">
        <v>20.16</v>
      </c>
      <c r="W659" s="7">
        <v>6.18000000000001</v>
      </c>
      <c r="X659" s="7">
        <v>-4.08000000000004</v>
      </c>
      <c r="Y659" s="7">
        <v>5.18000000000001</v>
      </c>
      <c r="Z659" s="9">
        <f>MAX($B$659:$Y$659)</f>
        <v>271.92</v>
      </c>
      <c r="AA659" s="9">
        <f>MIN($B$659:$Y$659)</f>
        <v>-37.73</v>
      </c>
      <c r="AB659" s="9">
        <f>AVERAGE($B$659:$Y$659)</f>
        <v>77.0875</v>
      </c>
    </row>
    <row r="660" spans="1:28">
      <c r="A660" s="10">
        <v>45955</v>
      </c>
      <c r="B660" s="7">
        <v>-85.55</v>
      </c>
      <c r="C660" s="7">
        <v>-3.41</v>
      </c>
      <c r="D660" s="7">
        <v>7.5</v>
      </c>
      <c r="E660" s="7">
        <v>32.35</v>
      </c>
      <c r="F660" s="7">
        <v>45.15</v>
      </c>
      <c r="G660" s="7">
        <v>41.5</v>
      </c>
      <c r="H660" s="7">
        <v>95.83</v>
      </c>
      <c r="I660" s="7">
        <v>5.88999999999999</v>
      </c>
      <c r="J660" s="7">
        <v>15.16</v>
      </c>
      <c r="K660" s="7">
        <v>6.03</v>
      </c>
      <c r="L660" s="7">
        <v>56.09</v>
      </c>
      <c r="M660" s="7">
        <v>63.96</v>
      </c>
      <c r="N660" s="7">
        <v>49.05</v>
      </c>
      <c r="O660" s="7">
        <v>32.41</v>
      </c>
      <c r="P660" s="7">
        <v>43.03</v>
      </c>
      <c r="Q660" s="7">
        <v>-121.61</v>
      </c>
      <c r="R660" s="7">
        <v>-53.89</v>
      </c>
      <c r="S660" s="7">
        <v>-22.4</v>
      </c>
      <c r="T660" s="7">
        <v>-7.35000000000002</v>
      </c>
      <c r="U660" s="7">
        <v>11.84</v>
      </c>
      <c r="V660" s="7">
        <v>3.66000000000002</v>
      </c>
      <c r="W660" s="7">
        <v>6.13999999999999</v>
      </c>
      <c r="X660" s="7">
        <v>-0.189999999999998</v>
      </c>
      <c r="Y660" s="7">
        <v>-37.56</v>
      </c>
      <c r="Z660" s="9">
        <f>MAX($B$660:$Y$660)</f>
        <v>95.83</v>
      </c>
      <c r="AA660" s="9">
        <f>MIN($B$660:$Y$660)</f>
        <v>-121.61</v>
      </c>
      <c r="AB660" s="9">
        <f>AVERAGE($B$660:$Y$660)</f>
        <v>7.65125</v>
      </c>
    </row>
    <row r="661" spans="1:28">
      <c r="A661" s="10">
        <v>45956</v>
      </c>
      <c r="B661" s="7">
        <v>-52.79</v>
      </c>
      <c r="C661" s="7">
        <v>-16.01</v>
      </c>
      <c r="D661" s="7">
        <v>-3.04999999999998</v>
      </c>
      <c r="E661" s="7">
        <v>-1.41999999999999</v>
      </c>
      <c r="F661" s="7">
        <v>43.07</v>
      </c>
      <c r="G661" s="7">
        <v>79.57</v>
      </c>
      <c r="H661" s="7">
        <v>38.02</v>
      </c>
      <c r="I661" s="7">
        <v>6.95000000000002</v>
      </c>
      <c r="J661" s="7">
        <v>-36.92</v>
      </c>
      <c r="K661" s="7">
        <v>-35.02</v>
      </c>
      <c r="L661" s="7">
        <v>-5.16</v>
      </c>
      <c r="M661" s="7">
        <v>-26.42</v>
      </c>
      <c r="N661" s="7">
        <v>-14.4</v>
      </c>
      <c r="O661" s="7">
        <v>-10.86</v>
      </c>
      <c r="P661" s="7">
        <v>35.55</v>
      </c>
      <c r="Q661" s="7">
        <v>52.12</v>
      </c>
      <c r="R661" s="7">
        <v>-45.3</v>
      </c>
      <c r="S661" s="7">
        <v>-149.97</v>
      </c>
      <c r="T661" s="7">
        <v>-12.8</v>
      </c>
      <c r="U661" s="7">
        <v>63.55</v>
      </c>
      <c r="V661" s="7">
        <v>8.5</v>
      </c>
      <c r="W661" s="7">
        <v>-8.36000000000001</v>
      </c>
      <c r="X661" s="7">
        <v>8.78000000000003</v>
      </c>
      <c r="Y661" s="7">
        <v>-0.930000000000007</v>
      </c>
      <c r="Z661" s="9">
        <f>MAX($B$661:$Y$661)</f>
        <v>79.57</v>
      </c>
      <c r="AA661" s="9">
        <f>MIN($B$661:$Y$661)</f>
        <v>-149.97</v>
      </c>
      <c r="AB661" s="9">
        <f>AVERAGE($B$661:$Y$661)</f>
        <v>-3.47083333333333</v>
      </c>
    </row>
    <row r="662" spans="1:28">
      <c r="A662" s="10">
        <v>45957</v>
      </c>
      <c r="B662" s="7">
        <v>-27.02</v>
      </c>
      <c r="C662" s="7">
        <v>176.2</v>
      </c>
      <c r="D662" s="7">
        <v>86.15</v>
      </c>
      <c r="E662" s="7">
        <v>75.11</v>
      </c>
      <c r="F662" s="7">
        <v>111.28</v>
      </c>
      <c r="G662" s="7">
        <v>4.83000000000001</v>
      </c>
      <c r="H662" s="7">
        <v>41.33</v>
      </c>
      <c r="I662" s="7">
        <v>-13.96</v>
      </c>
      <c r="J662" s="7">
        <v>9.91999999999999</v>
      </c>
      <c r="K662" s="7">
        <v>91.58</v>
      </c>
      <c r="L662" s="7">
        <v>163.22</v>
      </c>
      <c r="M662" s="7">
        <v>146.34</v>
      </c>
      <c r="N662" s="7">
        <v>-35.09</v>
      </c>
      <c r="O662" s="7">
        <v>179.13</v>
      </c>
      <c r="P662" s="7">
        <v>80.02</v>
      </c>
      <c r="Q662" s="7">
        <v>74.26</v>
      </c>
      <c r="R662" s="7">
        <v>-47.19</v>
      </c>
      <c r="S662" s="7">
        <v>-71.1</v>
      </c>
      <c r="T662" s="7">
        <v>-123.11</v>
      </c>
      <c r="U662" s="7">
        <v>-2.33999999999997</v>
      </c>
      <c r="V662" s="7">
        <v>-37.66</v>
      </c>
      <c r="W662" s="7">
        <v>-12.85</v>
      </c>
      <c r="X662" s="7">
        <v>7.11000000000001</v>
      </c>
      <c r="Y662" s="7">
        <v>23.45</v>
      </c>
      <c r="Z662" s="9">
        <f>MAX($B$662:$Y$662)</f>
        <v>179.13</v>
      </c>
      <c r="AA662" s="9">
        <f>MIN($B$662:$Y$662)</f>
        <v>-123.11</v>
      </c>
      <c r="AB662" s="9">
        <f>AVERAGE($B$662:$Y$662)</f>
        <v>37.48375</v>
      </c>
    </row>
    <row r="663" spans="1:28">
      <c r="A663" s="10">
        <v>45958</v>
      </c>
      <c r="B663" s="7">
        <v>-11.9299999999999</v>
      </c>
      <c r="C663" s="7">
        <v>103.04</v>
      </c>
      <c r="D663" s="7">
        <v>190.29</v>
      </c>
      <c r="E663" s="7">
        <v>277.9</v>
      </c>
      <c r="F663" s="7">
        <v>172.48</v>
      </c>
      <c r="G663" s="7">
        <v>-14.84</v>
      </c>
      <c r="H663" s="7">
        <v>-23.78</v>
      </c>
      <c r="I663" s="7">
        <v>-40.68</v>
      </c>
      <c r="J663" s="7">
        <v>-5.50999999999999</v>
      </c>
      <c r="K663" s="7">
        <v>96.57</v>
      </c>
      <c r="L663" s="7">
        <v>-20.92</v>
      </c>
      <c r="M663" s="7">
        <v>6.44999999999999</v>
      </c>
      <c r="N663" s="7">
        <v>-48.89</v>
      </c>
      <c r="O663" s="7">
        <v>-51.17</v>
      </c>
      <c r="P663" s="7">
        <v>-51.91</v>
      </c>
      <c r="Q663" s="7">
        <v>-25.49</v>
      </c>
      <c r="R663" s="7">
        <v>-4.63</v>
      </c>
      <c r="S663" s="7">
        <v>87.78</v>
      </c>
      <c r="T663" s="7">
        <v>36.03</v>
      </c>
      <c r="U663" s="7">
        <v>104.4</v>
      </c>
      <c r="V663" s="7">
        <v>36.82</v>
      </c>
      <c r="W663" s="7">
        <v>19.51</v>
      </c>
      <c r="X663" s="7">
        <v>-2.84999999999999</v>
      </c>
      <c r="Y663" s="7">
        <v>2.81</v>
      </c>
      <c r="Z663" s="9">
        <f>MAX($B$663:$Y$663)</f>
        <v>277.9</v>
      </c>
      <c r="AA663" s="9">
        <f>MIN($B$663:$Y$663)</f>
        <v>-51.91</v>
      </c>
      <c r="AB663" s="9">
        <f>AVERAGE($B$663:$Y$663)</f>
        <v>34.645</v>
      </c>
    </row>
    <row r="664" spans="1:28">
      <c r="A664" s="10">
        <v>45959</v>
      </c>
      <c r="B664" s="7">
        <v>1.57999999999998</v>
      </c>
      <c r="C664" s="7">
        <v>78.84</v>
      </c>
      <c r="D664" s="7">
        <v>39.89</v>
      </c>
      <c r="E664" s="7">
        <v>24.72</v>
      </c>
      <c r="F664" s="7">
        <v>10.63</v>
      </c>
      <c r="G664" s="7">
        <v>21.92</v>
      </c>
      <c r="H664" s="7">
        <v>30.06</v>
      </c>
      <c r="I664" s="7">
        <v>-1.19</v>
      </c>
      <c r="J664" s="7">
        <v>3.13999999999999</v>
      </c>
      <c r="K664" s="7">
        <v>99.58</v>
      </c>
      <c r="L664" s="7">
        <v>151.32</v>
      </c>
      <c r="M664" s="7">
        <v>103.65</v>
      </c>
      <c r="N664" s="7">
        <v>23.48</v>
      </c>
      <c r="O664" s="7">
        <v>20.55</v>
      </c>
      <c r="P664" s="7">
        <v>37.72</v>
      </c>
      <c r="Q664" s="7">
        <v>1.56999999999999</v>
      </c>
      <c r="R664" s="7">
        <v>1.44</v>
      </c>
      <c r="S664" s="7">
        <v>5.99000000000001</v>
      </c>
      <c r="T664" s="7">
        <v>-19.52</v>
      </c>
      <c r="U664" s="7">
        <v>37.89</v>
      </c>
      <c r="V664" s="7">
        <v>33.78</v>
      </c>
      <c r="W664" s="7">
        <v>26.9</v>
      </c>
      <c r="X664" s="7">
        <v>4.45999999999998</v>
      </c>
      <c r="Y664" s="7">
        <v>4.78</v>
      </c>
      <c r="Z664" s="9">
        <f>MAX($B$664:$Y$664)</f>
        <v>151.32</v>
      </c>
      <c r="AA664" s="9">
        <f>MIN($B$664:$Y$664)</f>
        <v>-19.52</v>
      </c>
      <c r="AB664" s="9">
        <f>AVERAGE($B$664:$Y$664)</f>
        <v>30.9658333333333</v>
      </c>
    </row>
    <row r="665" spans="1:28">
      <c r="A665" s="10">
        <v>45960</v>
      </c>
      <c r="B665" s="7">
        <v>-9.16</v>
      </c>
      <c r="C665" s="7">
        <v>-10.51</v>
      </c>
      <c r="D665" s="7">
        <v>-53.35</v>
      </c>
      <c r="E665" s="7">
        <v>33.82</v>
      </c>
      <c r="F665" s="7">
        <v>9.28999999999999</v>
      </c>
      <c r="G665" s="7">
        <v>-2.78999999999999</v>
      </c>
      <c r="H665" s="7">
        <v>-20.54</v>
      </c>
      <c r="I665" s="7">
        <v>-14.68</v>
      </c>
      <c r="J665" s="7">
        <v>-40.45</v>
      </c>
      <c r="K665" s="7">
        <v>-130.98</v>
      </c>
      <c r="L665" s="7">
        <v>-94.53</v>
      </c>
      <c r="M665" s="7">
        <v>-34.56</v>
      </c>
      <c r="N665" s="7">
        <v>-3.72999999999999</v>
      </c>
      <c r="O665" s="7">
        <v>-67.13</v>
      </c>
      <c r="P665" s="7">
        <v>-21.8</v>
      </c>
      <c r="Q665" s="7">
        <v>-51.19</v>
      </c>
      <c r="R665" s="7">
        <v>-153.15</v>
      </c>
      <c r="S665" s="7">
        <v>-5.65999999999997</v>
      </c>
      <c r="T665" s="7">
        <v>-52.55</v>
      </c>
      <c r="U665" s="7">
        <v>132.37</v>
      </c>
      <c r="V665" s="7">
        <v>12.02</v>
      </c>
      <c r="W665" s="7">
        <v>-23.42</v>
      </c>
      <c r="X665" s="7">
        <v>-77.76</v>
      </c>
      <c r="Y665" s="7">
        <v>-27.57</v>
      </c>
      <c r="Z665" s="9">
        <f>MAX($B$665:$Y$665)</f>
        <v>132.37</v>
      </c>
      <c r="AA665" s="9">
        <f>MIN($B$665:$Y$665)</f>
        <v>-153.15</v>
      </c>
      <c r="AB665" s="9">
        <f>AVERAGE($B$665:$Y$665)</f>
        <v>-29.5004166666667</v>
      </c>
    </row>
    <row r="666" spans="1:28">
      <c r="A666" s="10">
        <v>45961</v>
      </c>
      <c r="B666" s="7">
        <v>-79.29</v>
      </c>
      <c r="C666" s="7">
        <v>-62.1</v>
      </c>
      <c r="D666" s="7">
        <v>-32.61</v>
      </c>
      <c r="E666" s="7">
        <v>-11.12</v>
      </c>
      <c r="F666" s="7">
        <v>10.8800000000001</v>
      </c>
      <c r="G666" s="7">
        <v>10.44</v>
      </c>
      <c r="H666" s="7">
        <v>14.53</v>
      </c>
      <c r="I666" s="7">
        <v>7.75</v>
      </c>
      <c r="J666" s="7">
        <v>-13.77</v>
      </c>
      <c r="K666" s="7">
        <v>-21.21</v>
      </c>
      <c r="L666" s="7">
        <v>-10.51</v>
      </c>
      <c r="M666" s="7">
        <v>4.12999999999997</v>
      </c>
      <c r="N666" s="7">
        <v>-46.7</v>
      </c>
      <c r="O666" s="7">
        <v>-16.64</v>
      </c>
      <c r="P666" s="7">
        <v>-1.69999999999999</v>
      </c>
      <c r="Q666" s="7">
        <v>16.41</v>
      </c>
      <c r="R666" s="7">
        <v>53.43</v>
      </c>
      <c r="S666" s="7">
        <v>129.01</v>
      </c>
      <c r="T666" s="7">
        <v>188.24</v>
      </c>
      <c r="U666" s="7">
        <v>208.82</v>
      </c>
      <c r="V666" s="7">
        <v>114.67</v>
      </c>
      <c r="W666" s="7">
        <v>33.95</v>
      </c>
      <c r="X666" s="7">
        <v>29.29</v>
      </c>
      <c r="Y666" s="7">
        <v>36.71</v>
      </c>
      <c r="Z666" s="9">
        <f>MAX($B$666:$Y$666)</f>
        <v>208.82</v>
      </c>
      <c r="AA666" s="9">
        <f>MIN($B$666:$Y$666)</f>
        <v>-79.29</v>
      </c>
      <c r="AB666" s="9">
        <f>AVERAGE($B$666:$Y$666)</f>
        <v>23.4420833333333</v>
      </c>
    </row>
    <row r="667" spans="1:28">
      <c r="A667" s="10">
        <v>45962</v>
      </c>
      <c r="B667" s="7">
        <v>84.94</v>
      </c>
      <c r="C667" s="7">
        <v>205.17</v>
      </c>
      <c r="D667" s="7">
        <v>71.57</v>
      </c>
      <c r="E667" s="7">
        <v>30.45</v>
      </c>
      <c r="F667" s="7">
        <v>21.29</v>
      </c>
      <c r="G667" s="7">
        <v>218.58</v>
      </c>
      <c r="H667" s="7">
        <v>17.25</v>
      </c>
      <c r="I667" s="7">
        <v>12.34</v>
      </c>
      <c r="J667" s="7">
        <v>24.47</v>
      </c>
      <c r="K667" s="7">
        <v>70.6</v>
      </c>
      <c r="L667" s="7">
        <v>128.74</v>
      </c>
      <c r="M667" s="7">
        <v>169.39</v>
      </c>
      <c r="N667" s="7">
        <v>161.52</v>
      </c>
      <c r="O667" s="7">
        <v>74.93</v>
      </c>
      <c r="P667" s="7">
        <v>38.07</v>
      </c>
      <c r="Q667" s="7">
        <v>4.76999999999998</v>
      </c>
      <c r="R667" s="7">
        <v>33.3</v>
      </c>
      <c r="S667" s="7">
        <v>142.03</v>
      </c>
      <c r="T667" s="7">
        <v>76.96</v>
      </c>
      <c r="U667" s="7">
        <v>141.99</v>
      </c>
      <c r="V667" s="7">
        <v>133.68</v>
      </c>
      <c r="W667" s="7">
        <v>111.77</v>
      </c>
      <c r="X667" s="7">
        <v>31.9</v>
      </c>
      <c r="Y667" s="7">
        <v>16.44</v>
      </c>
      <c r="Z667" s="9">
        <f>MAX($B$667:$Y$667)</f>
        <v>218.58</v>
      </c>
      <c r="AA667" s="9">
        <f>MIN($B$667:$Y$667)</f>
        <v>4.76999999999998</v>
      </c>
      <c r="AB667" s="9">
        <f>AVERAGE($B$667:$Y$667)</f>
        <v>84.25625</v>
      </c>
    </row>
    <row r="668" spans="1:28">
      <c r="A668" s="10">
        <v>45963</v>
      </c>
      <c r="B668" s="7">
        <v>-98.9</v>
      </c>
      <c r="C668" s="7">
        <v>33.28</v>
      </c>
      <c r="D668" s="7">
        <v>58.62</v>
      </c>
      <c r="E668" s="7">
        <v>41.39</v>
      </c>
      <c r="F668" s="7">
        <v>48.37</v>
      </c>
      <c r="G668" s="7">
        <v>43.4</v>
      </c>
      <c r="H668" s="7">
        <v>38.24</v>
      </c>
      <c r="I668" s="7">
        <v>87.19</v>
      </c>
      <c r="J668" s="7">
        <v>132.19</v>
      </c>
      <c r="K668" s="7">
        <v>161.6</v>
      </c>
      <c r="L668" s="7">
        <v>91.78</v>
      </c>
      <c r="M668" s="7">
        <v>94.62</v>
      </c>
      <c r="N668" s="7">
        <v>109.19</v>
      </c>
      <c r="O668" s="7">
        <v>71.24</v>
      </c>
      <c r="P668" s="7">
        <v>-33.28</v>
      </c>
      <c r="Q668" s="7">
        <v>31.63</v>
      </c>
      <c r="R668" s="7">
        <v>-18.03</v>
      </c>
      <c r="S668" s="7">
        <v>-10.31</v>
      </c>
      <c r="T668" s="7">
        <v>4.26999999999998</v>
      </c>
      <c r="U668" s="7">
        <v>-29.24</v>
      </c>
      <c r="V668" s="7">
        <v>-29.95</v>
      </c>
      <c r="W668" s="7">
        <v>13.97</v>
      </c>
      <c r="X668" s="7">
        <v>5.57999999999998</v>
      </c>
      <c r="Y668" s="7">
        <v>15.54</v>
      </c>
      <c r="Z668" s="9">
        <f>MAX($B$668:$Y$668)</f>
        <v>161.6</v>
      </c>
      <c r="AA668" s="9">
        <f>MIN($B$668:$Y$668)</f>
        <v>-98.9</v>
      </c>
      <c r="AB668" s="9">
        <f>AVERAGE($B$668:$Y$668)</f>
        <v>35.9329166666667</v>
      </c>
    </row>
    <row r="669" spans="1:28">
      <c r="A669" s="10">
        <v>45964</v>
      </c>
      <c r="B669" s="7">
        <v>-20.44</v>
      </c>
      <c r="C669" s="7">
        <v>24.4</v>
      </c>
      <c r="D669" s="7">
        <v>7.39000000000001</v>
      </c>
      <c r="E669" s="7">
        <v>79.46</v>
      </c>
      <c r="F669" s="7">
        <v>100.46</v>
      </c>
      <c r="G669" s="7">
        <v>115.99</v>
      </c>
      <c r="H669" s="7">
        <v>46.19</v>
      </c>
      <c r="I669" s="7">
        <v>-11.56</v>
      </c>
      <c r="J669" s="7">
        <v>-132.43</v>
      </c>
      <c r="K669" s="7">
        <v>-270.37</v>
      </c>
      <c r="L669" s="7">
        <v>-59.11</v>
      </c>
      <c r="M669" s="7">
        <v>-78.64</v>
      </c>
      <c r="N669" s="7">
        <v>-20.96</v>
      </c>
      <c r="O669" s="7">
        <v>-71.87</v>
      </c>
      <c r="P669" s="7">
        <v>-112.68</v>
      </c>
      <c r="Q669" s="7">
        <v>-43.94</v>
      </c>
      <c r="R669" s="7">
        <v>-69.37</v>
      </c>
      <c r="S669" s="7">
        <v>-124.82</v>
      </c>
      <c r="T669" s="7">
        <v>-6.53000000000003</v>
      </c>
      <c r="U669" s="7">
        <v>-42.77</v>
      </c>
      <c r="V669" s="7">
        <v>68.66</v>
      </c>
      <c r="W669" s="7">
        <v>25.87</v>
      </c>
      <c r="X669" s="7">
        <v>19.41</v>
      </c>
      <c r="Y669" s="7">
        <v>2.06</v>
      </c>
      <c r="Z669" s="9">
        <f>MAX($B$669:$Y$669)</f>
        <v>115.99</v>
      </c>
      <c r="AA669" s="9">
        <f>MIN($B$669:$Y$669)</f>
        <v>-270.37</v>
      </c>
      <c r="AB669" s="9">
        <f>AVERAGE($B$669:$Y$669)</f>
        <v>-23.9833333333333</v>
      </c>
    </row>
    <row r="670" spans="1:28">
      <c r="A670" s="10">
        <v>45965</v>
      </c>
      <c r="B670" s="7">
        <v>-2.98000000000002</v>
      </c>
      <c r="C670" s="7">
        <v>8.30000000000001</v>
      </c>
      <c r="D670" s="7">
        <v>12</v>
      </c>
      <c r="E670" s="7">
        <v>10.46</v>
      </c>
      <c r="F670" s="7">
        <v>15.86</v>
      </c>
      <c r="G670" s="7">
        <v>17.18</v>
      </c>
      <c r="H670" s="7">
        <v>11.86</v>
      </c>
      <c r="I670" s="7">
        <v>-61.63</v>
      </c>
      <c r="J670" s="7">
        <v>-102.63</v>
      </c>
      <c r="K670" s="7">
        <v>-18.7</v>
      </c>
      <c r="L670" s="7">
        <v>-22.83</v>
      </c>
      <c r="M670" s="7">
        <v>1.87</v>
      </c>
      <c r="N670" s="7">
        <v>-49.6</v>
      </c>
      <c r="O670" s="7">
        <v>12.16</v>
      </c>
      <c r="P670" s="7">
        <v>37.72</v>
      </c>
      <c r="Q670" s="7">
        <v>23.37</v>
      </c>
      <c r="R670" s="7">
        <v>76.49</v>
      </c>
      <c r="S670" s="7">
        <v>188.77</v>
      </c>
      <c r="T670" s="7">
        <v>183.33</v>
      </c>
      <c r="U670" s="7">
        <v>210.47</v>
      </c>
      <c r="V670" s="7">
        <v>176.41</v>
      </c>
      <c r="W670" s="7">
        <v>82.3</v>
      </c>
      <c r="X670" s="7">
        <v>31.45</v>
      </c>
      <c r="Y670" s="7">
        <v>11.39</v>
      </c>
      <c r="Z670" s="9">
        <f>MAX($B$670:$Y$670)</f>
        <v>210.47</v>
      </c>
      <c r="AA670" s="9">
        <f>MIN($B$670:$Y$670)</f>
        <v>-102.63</v>
      </c>
      <c r="AB670" s="9">
        <f>AVERAGE($B$670:$Y$670)</f>
        <v>35.5425</v>
      </c>
    </row>
    <row r="671" spans="1:28">
      <c r="A671" s="10">
        <v>45966</v>
      </c>
      <c r="B671" s="7">
        <v>13.7</v>
      </c>
      <c r="C671" s="7">
        <v>20.31</v>
      </c>
      <c r="D671" s="7">
        <v>16</v>
      </c>
      <c r="E671" s="7">
        <v>13.52</v>
      </c>
      <c r="F671" s="7">
        <v>7.53999999999996</v>
      </c>
      <c r="G671" s="7">
        <v>7.16</v>
      </c>
      <c r="H671" s="7">
        <v>8</v>
      </c>
      <c r="I671" s="7">
        <v>3.05000000000001</v>
      </c>
      <c r="J671" s="7">
        <v>38.46</v>
      </c>
      <c r="K671" s="7">
        <v>53.58</v>
      </c>
      <c r="L671" s="7">
        <v>114.05</v>
      </c>
      <c r="M671" s="7">
        <v>82.22</v>
      </c>
      <c r="N671" s="7">
        <v>138.7</v>
      </c>
      <c r="O671" s="7">
        <v>68.19</v>
      </c>
      <c r="P671" s="7">
        <v>10.67</v>
      </c>
      <c r="Q671" s="7">
        <v>11.49</v>
      </c>
      <c r="R671" s="7">
        <v>97.39</v>
      </c>
      <c r="S671" s="7">
        <v>135.28</v>
      </c>
      <c r="T671" s="7">
        <v>178.15</v>
      </c>
      <c r="U671" s="7">
        <v>237.13</v>
      </c>
      <c r="V671" s="7">
        <v>135.76</v>
      </c>
      <c r="W671" s="7">
        <v>103.01</v>
      </c>
      <c r="X671" s="7">
        <v>30.01</v>
      </c>
      <c r="Y671" s="7">
        <v>7.55000000000001</v>
      </c>
      <c r="Z671" s="9">
        <f>MAX($B$671:$Y$671)</f>
        <v>237.13</v>
      </c>
      <c r="AA671" s="9">
        <f>MIN($B$671:$Y$671)</f>
        <v>3.05000000000001</v>
      </c>
      <c r="AB671" s="9">
        <f>AVERAGE($B$671:$Y$671)</f>
        <v>63.7883333333333</v>
      </c>
    </row>
    <row r="672" spans="1:28">
      <c r="A672" s="10">
        <v>45967</v>
      </c>
      <c r="B672" s="7">
        <v>1.98999999999995</v>
      </c>
      <c r="C672" s="7">
        <v>8.64999999999998</v>
      </c>
      <c r="D672" s="7">
        <v>11.11</v>
      </c>
      <c r="E672" s="7">
        <v>14.1</v>
      </c>
      <c r="F672" s="7">
        <v>34.57</v>
      </c>
      <c r="G672" s="7">
        <v>14.22</v>
      </c>
      <c r="H672" s="7">
        <v>10.6900000000001</v>
      </c>
      <c r="I672" s="7">
        <v>8.90999999999997</v>
      </c>
      <c r="J672" s="7">
        <v>4.63</v>
      </c>
      <c r="K672" s="7">
        <v>60.25</v>
      </c>
      <c r="L672" s="7">
        <v>29.81</v>
      </c>
      <c r="M672" s="7">
        <v>37.06</v>
      </c>
      <c r="N672" s="7">
        <v>87.51</v>
      </c>
      <c r="O672" s="7">
        <v>77.83</v>
      </c>
      <c r="P672" s="7">
        <v>39.65</v>
      </c>
      <c r="Q672" s="7">
        <v>29.61</v>
      </c>
      <c r="R672" s="7">
        <v>-72.46</v>
      </c>
      <c r="S672" s="7">
        <v>106.19</v>
      </c>
      <c r="T672" s="7">
        <v>148.02</v>
      </c>
      <c r="U672" s="7">
        <v>161.5</v>
      </c>
      <c r="V672" s="7">
        <v>170.67</v>
      </c>
      <c r="W672" s="7">
        <v>153.9</v>
      </c>
      <c r="X672" s="7">
        <v>53.32</v>
      </c>
      <c r="Y672" s="7">
        <v>33.69</v>
      </c>
      <c r="Z672" s="9">
        <f>MAX($B$672:$Y$672)</f>
        <v>170.67</v>
      </c>
      <c r="AA672" s="9">
        <f>MIN($B$672:$Y$672)</f>
        <v>-72.46</v>
      </c>
      <c r="AB672" s="9">
        <f>AVERAGE($B$672:$Y$672)</f>
        <v>51.0591666666667</v>
      </c>
    </row>
    <row r="673" spans="1:28">
      <c r="A673" s="10">
        <v>45968</v>
      </c>
      <c r="B673" s="7">
        <v>7.49000000000001</v>
      </c>
      <c r="C673" s="7">
        <v>7.83999999999997</v>
      </c>
      <c r="D673" s="7">
        <v>17.76</v>
      </c>
      <c r="E673" s="7">
        <v>23.66</v>
      </c>
      <c r="F673" s="7">
        <v>65.64</v>
      </c>
      <c r="G673" s="7">
        <v>37.76</v>
      </c>
      <c r="H673" s="7">
        <v>14.49</v>
      </c>
      <c r="I673" s="7">
        <v>15.52</v>
      </c>
      <c r="J673" s="7">
        <v>22.81</v>
      </c>
      <c r="K673" s="7">
        <v>27.71</v>
      </c>
      <c r="L673" s="7">
        <v>57.65</v>
      </c>
      <c r="M673" s="7">
        <v>46.74</v>
      </c>
      <c r="N673" s="7">
        <v>22.25</v>
      </c>
      <c r="O673" s="7">
        <v>53.28</v>
      </c>
      <c r="P673" s="7">
        <v>38.89</v>
      </c>
      <c r="Q673" s="7">
        <v>27.21</v>
      </c>
      <c r="R673" s="7">
        <v>42.16</v>
      </c>
      <c r="S673" s="7">
        <v>28.03</v>
      </c>
      <c r="T673" s="7">
        <v>16.48</v>
      </c>
      <c r="U673" s="7">
        <v>83.36</v>
      </c>
      <c r="V673" s="7">
        <v>43.19</v>
      </c>
      <c r="W673" s="7">
        <v>-3.5</v>
      </c>
      <c r="X673" s="7">
        <v>-5.13999999999999</v>
      </c>
      <c r="Y673" s="7">
        <v>-12.91</v>
      </c>
      <c r="Z673" s="9">
        <f>MAX($B$673:$Y$673)</f>
        <v>83.36</v>
      </c>
      <c r="AA673" s="9">
        <f>MIN($B$673:$Y$673)</f>
        <v>-12.91</v>
      </c>
      <c r="AB673" s="9">
        <f>AVERAGE($B$673:$Y$673)</f>
        <v>28.2654166666667</v>
      </c>
    </row>
    <row r="674" spans="1:28">
      <c r="A674" s="10">
        <v>45969</v>
      </c>
      <c r="B674" s="7">
        <v>-56.59</v>
      </c>
      <c r="C674" s="7">
        <v>-15.37</v>
      </c>
      <c r="D674" s="7">
        <v>-19.7</v>
      </c>
      <c r="E674" s="7">
        <v>-16.98</v>
      </c>
      <c r="F674" s="7">
        <v>-10.32</v>
      </c>
      <c r="G674" s="7">
        <v>-21.31</v>
      </c>
      <c r="H674" s="7">
        <v>-20.7</v>
      </c>
      <c r="I674" s="7">
        <v>-24.76</v>
      </c>
      <c r="J674" s="7">
        <v>-34.18</v>
      </c>
      <c r="K674" s="7">
        <v>-1.92000000000002</v>
      </c>
      <c r="L674" s="7">
        <v>2.75</v>
      </c>
      <c r="M674" s="7">
        <v>2.32999999999998</v>
      </c>
      <c r="N674" s="7">
        <v>31.13</v>
      </c>
      <c r="O674" s="7">
        <v>-0.949999999999989</v>
      </c>
      <c r="P674" s="7">
        <v>-12.51</v>
      </c>
      <c r="Q674" s="7">
        <v>-32.91</v>
      </c>
      <c r="R674" s="7">
        <v>-54.51</v>
      </c>
      <c r="S674" s="7">
        <v>-41.27</v>
      </c>
      <c r="T674" s="7">
        <v>-7.15999999999997</v>
      </c>
      <c r="U674" s="7">
        <v>10.11</v>
      </c>
      <c r="V674" s="7">
        <v>-13.96</v>
      </c>
      <c r="W674" s="7">
        <v>-0.129999999999995</v>
      </c>
      <c r="X674" s="7">
        <v>1.55000000000001</v>
      </c>
      <c r="Y674" s="7">
        <v>-3.81</v>
      </c>
      <c r="Z674" s="9">
        <f>MAX($B$674:$Y$674)</f>
        <v>31.13</v>
      </c>
      <c r="AA674" s="9">
        <f>MIN($B$674:$Y$674)</f>
        <v>-56.59</v>
      </c>
      <c r="AB674" s="9">
        <f>AVERAGE($B$674:$Y$674)</f>
        <v>-14.2154166666667</v>
      </c>
    </row>
    <row r="675" spans="1:28">
      <c r="A675" s="10">
        <v>45970</v>
      </c>
      <c r="B675" s="7">
        <v>-26.29</v>
      </c>
      <c r="C675" s="7">
        <v>-11.72</v>
      </c>
      <c r="D675" s="7">
        <v>-3.09999999999997</v>
      </c>
      <c r="E675" s="7">
        <v>-6.95999999999998</v>
      </c>
      <c r="F675" s="7">
        <v>-11.27</v>
      </c>
      <c r="G675" s="7">
        <v>-9.32000000000005</v>
      </c>
      <c r="H675" s="7">
        <v>-7.27999999999997</v>
      </c>
      <c r="I675" s="7">
        <v>-11.33</v>
      </c>
      <c r="J675" s="7">
        <v>8.65999999999997</v>
      </c>
      <c r="K675" s="7">
        <v>31.18</v>
      </c>
      <c r="L675" s="7">
        <v>56.1</v>
      </c>
      <c r="M675" s="7">
        <v>34.06</v>
      </c>
      <c r="N675" s="7">
        <v>35.79</v>
      </c>
      <c r="O675" s="7">
        <v>10.96</v>
      </c>
      <c r="P675" s="7">
        <v>1</v>
      </c>
      <c r="Q675" s="7">
        <v>-19.09</v>
      </c>
      <c r="R675" s="7">
        <v>-17.83</v>
      </c>
      <c r="S675" s="7">
        <v>11.3</v>
      </c>
      <c r="T675" s="7">
        <v>41.02</v>
      </c>
      <c r="U675" s="7">
        <v>38.5</v>
      </c>
      <c r="V675" s="7">
        <v>17.52</v>
      </c>
      <c r="W675" s="7">
        <v>19.55</v>
      </c>
      <c r="X675" s="7">
        <v>20.71</v>
      </c>
      <c r="Y675" s="7">
        <v>11.15</v>
      </c>
      <c r="Z675" s="9">
        <f>MAX($B$675:$Y$675)</f>
        <v>56.1</v>
      </c>
      <c r="AA675" s="9">
        <f>MIN($B$675:$Y$675)</f>
        <v>-26.29</v>
      </c>
      <c r="AB675" s="9">
        <f>AVERAGE($B$675:$Y$675)</f>
        <v>8.88791666666667</v>
      </c>
    </row>
    <row r="676" spans="1:28">
      <c r="A676" s="10">
        <v>45971</v>
      </c>
      <c r="B676" s="7">
        <v>2.92000000000002</v>
      </c>
      <c r="C676" s="7">
        <v>4.83000000000004</v>
      </c>
      <c r="D676" s="7">
        <v>16.17</v>
      </c>
      <c r="E676" s="7">
        <v>30.11</v>
      </c>
      <c r="F676" s="7">
        <v>52</v>
      </c>
      <c r="G676" s="7">
        <v>69.94</v>
      </c>
      <c r="H676" s="7">
        <v>28.57</v>
      </c>
      <c r="I676" s="7">
        <v>21.41</v>
      </c>
      <c r="J676" s="7">
        <v>52.25</v>
      </c>
      <c r="K676" s="7">
        <v>119.66</v>
      </c>
      <c r="L676" s="7">
        <v>33.23</v>
      </c>
      <c r="M676" s="7">
        <v>10.49</v>
      </c>
      <c r="N676" s="7">
        <v>46.02</v>
      </c>
      <c r="O676" s="7">
        <v>67.5</v>
      </c>
      <c r="P676" s="7">
        <v>84.17</v>
      </c>
      <c r="Q676" s="7">
        <v>27.49</v>
      </c>
      <c r="R676" s="7">
        <v>20.62</v>
      </c>
      <c r="S676" s="7">
        <v>11.97</v>
      </c>
      <c r="T676" s="7">
        <v>-1.54000000000002</v>
      </c>
      <c r="U676" s="7">
        <v>19.36</v>
      </c>
      <c r="V676" s="7">
        <v>17.34</v>
      </c>
      <c r="W676" s="7">
        <v>12.18</v>
      </c>
      <c r="X676" s="7">
        <v>13.68</v>
      </c>
      <c r="Y676" s="7">
        <v>11.72</v>
      </c>
      <c r="Z676" s="9">
        <f>MAX($B$676:$Y$676)</f>
        <v>119.66</v>
      </c>
      <c r="AA676" s="9">
        <f>MIN($B$676:$Y$676)</f>
        <v>-1.54000000000002</v>
      </c>
      <c r="AB676" s="9">
        <f>AVERAGE($B$676:$Y$676)</f>
        <v>32.1704166666667</v>
      </c>
    </row>
    <row r="677" spans="1:28">
      <c r="A677" s="10">
        <v>45972</v>
      </c>
      <c r="B677" s="7">
        <v>-0.0800000000000409</v>
      </c>
      <c r="C677" s="7">
        <v>0.589999999999975</v>
      </c>
      <c r="D677" s="7">
        <v>-3.29000000000002</v>
      </c>
      <c r="E677" s="7">
        <v>-2.02000000000001</v>
      </c>
      <c r="F677" s="7">
        <v>18.87</v>
      </c>
      <c r="G677" s="7">
        <v>4.22</v>
      </c>
      <c r="H677" s="7">
        <v>8.45999999999998</v>
      </c>
      <c r="I677" s="7">
        <v>10.43</v>
      </c>
      <c r="J677" s="7">
        <v>-4.51999999999998</v>
      </c>
      <c r="K677" s="7">
        <v>68.2</v>
      </c>
      <c r="L677" s="7">
        <v>31.53</v>
      </c>
      <c r="M677" s="7">
        <v>5.90000000000001</v>
      </c>
      <c r="N677" s="7">
        <v>49.25</v>
      </c>
      <c r="O677" s="7">
        <v>0.230000000000018</v>
      </c>
      <c r="P677" s="7">
        <v>-22.49</v>
      </c>
      <c r="Q677" s="7">
        <v>33.57</v>
      </c>
      <c r="R677" s="7">
        <v>4.16000000000003</v>
      </c>
      <c r="S677" s="7">
        <v>2.37</v>
      </c>
      <c r="T677" s="7">
        <v>-9.31999999999999</v>
      </c>
      <c r="U677" s="7">
        <v>0.96999999999997</v>
      </c>
      <c r="V677" s="7">
        <v>6.47999999999996</v>
      </c>
      <c r="W677" s="7">
        <v>8.61000000000001</v>
      </c>
      <c r="X677" s="7">
        <v>10.96</v>
      </c>
      <c r="Y677" s="7">
        <v>62.32</v>
      </c>
      <c r="Z677" s="9">
        <f>MAX($B$677:$Y$677)</f>
        <v>68.2</v>
      </c>
      <c r="AA677" s="9">
        <f>MIN($B$677:$Y$677)</f>
        <v>-22.49</v>
      </c>
      <c r="AB677" s="9">
        <f>AVERAGE($B$677:$Y$677)</f>
        <v>11.8916666666667</v>
      </c>
    </row>
    <row r="678" spans="1:28">
      <c r="A678" s="10">
        <v>45973</v>
      </c>
      <c r="B678" s="7">
        <v>42.27</v>
      </c>
      <c r="C678" s="7">
        <v>18</v>
      </c>
      <c r="D678" s="7">
        <v>53.38</v>
      </c>
      <c r="E678" s="7">
        <v>165.46</v>
      </c>
      <c r="F678" s="7">
        <v>109.35</v>
      </c>
      <c r="G678" s="7">
        <v>123.83</v>
      </c>
      <c r="H678" s="7">
        <v>56.61</v>
      </c>
      <c r="I678" s="7">
        <v>4.75</v>
      </c>
      <c r="J678" s="7">
        <v>50.23</v>
      </c>
      <c r="K678" s="7">
        <v>109.23</v>
      </c>
      <c r="L678" s="7">
        <v>142.18</v>
      </c>
      <c r="M678" s="7">
        <v>133.91</v>
      </c>
      <c r="N678" s="7">
        <v>51.16</v>
      </c>
      <c r="O678" s="7">
        <v>21.18</v>
      </c>
      <c r="P678" s="7">
        <v>58.58</v>
      </c>
      <c r="Q678" s="7">
        <v>0.849999999999994</v>
      </c>
      <c r="R678" s="7">
        <v>8.92000000000002</v>
      </c>
      <c r="S678" s="7">
        <v>-9.51000000000005</v>
      </c>
      <c r="T678" s="7">
        <v>-60.4</v>
      </c>
      <c r="U678" s="7">
        <v>-9.84999999999997</v>
      </c>
      <c r="V678" s="7">
        <v>2.23000000000002</v>
      </c>
      <c r="W678" s="7">
        <v>7.31</v>
      </c>
      <c r="X678" s="7">
        <v>16.66</v>
      </c>
      <c r="Y678" s="7">
        <v>38</v>
      </c>
      <c r="Z678" s="9">
        <f>MAX($B$678:$Y$678)</f>
        <v>165.46</v>
      </c>
      <c r="AA678" s="9">
        <f>MIN($B$678:$Y$678)</f>
        <v>-60.4</v>
      </c>
      <c r="AB678" s="9">
        <f>AVERAGE($B$678:$Y$678)</f>
        <v>47.26375</v>
      </c>
    </row>
    <row r="679" spans="1:28">
      <c r="A679" s="10">
        <v>45974</v>
      </c>
      <c r="B679" s="7">
        <v>10.76</v>
      </c>
      <c r="C679" s="7">
        <v>20.8</v>
      </c>
      <c r="D679" s="7">
        <v>49.5</v>
      </c>
      <c r="E679" s="7">
        <v>57.92</v>
      </c>
      <c r="F679" s="7">
        <v>104.84</v>
      </c>
      <c r="G679" s="7">
        <v>62.9</v>
      </c>
      <c r="H679" s="7">
        <v>15.93</v>
      </c>
      <c r="I679" s="7">
        <v>2.84999999999999</v>
      </c>
      <c r="J679" s="7">
        <v>-17.68</v>
      </c>
      <c r="K679" s="7">
        <v>18.16</v>
      </c>
      <c r="L679" s="7">
        <v>96.81</v>
      </c>
      <c r="M679" s="7">
        <v>21.81</v>
      </c>
      <c r="N679" s="7">
        <v>5.66</v>
      </c>
      <c r="O679" s="7">
        <v>6.09</v>
      </c>
      <c r="P679" s="7">
        <v>11.45</v>
      </c>
      <c r="Q679" s="7">
        <v>9.25999999999999</v>
      </c>
      <c r="R679" s="7">
        <v>13.49</v>
      </c>
      <c r="S679" s="7">
        <v>-32.57</v>
      </c>
      <c r="T679" s="7">
        <v>-61.72</v>
      </c>
      <c r="U679" s="7">
        <v>-1.36000000000001</v>
      </c>
      <c r="V679" s="7">
        <v>2.32999999999998</v>
      </c>
      <c r="W679" s="7">
        <v>1.5</v>
      </c>
      <c r="X679" s="7">
        <v>24.12</v>
      </c>
      <c r="Y679" s="7">
        <v>85.51</v>
      </c>
      <c r="Z679" s="9">
        <f>MAX($B$679:$Y$679)</f>
        <v>104.84</v>
      </c>
      <c r="AA679" s="9">
        <f>MIN($B$679:$Y$679)</f>
        <v>-61.72</v>
      </c>
      <c r="AB679" s="9">
        <f>AVERAGE($B$679:$Y$679)</f>
        <v>21.1816666666667</v>
      </c>
    </row>
    <row r="680" spans="1:28">
      <c r="A680" s="10">
        <v>45975</v>
      </c>
      <c r="B680" s="7">
        <v>9.25999999999999</v>
      </c>
      <c r="C680" s="7">
        <v>16.5</v>
      </c>
      <c r="D680" s="7">
        <v>71.8</v>
      </c>
      <c r="E680" s="7">
        <v>113.11</v>
      </c>
      <c r="F680" s="7">
        <v>117.15</v>
      </c>
      <c r="G680" s="7">
        <v>129.34</v>
      </c>
      <c r="H680" s="7">
        <v>19.56</v>
      </c>
      <c r="I680" s="7">
        <v>13.74</v>
      </c>
      <c r="J680" s="7">
        <v>-10.54</v>
      </c>
      <c r="K680" s="7">
        <v>30.51</v>
      </c>
      <c r="L680" s="7">
        <v>79</v>
      </c>
      <c r="M680" s="7">
        <v>122.45</v>
      </c>
      <c r="N680" s="7">
        <v>81.91</v>
      </c>
      <c r="O680" s="7">
        <v>89.35</v>
      </c>
      <c r="P680" s="7">
        <v>132.24</v>
      </c>
      <c r="Q680" s="7">
        <v>48.58</v>
      </c>
      <c r="R680" s="7">
        <v>-12.53</v>
      </c>
      <c r="S680" s="7">
        <v>-12.04</v>
      </c>
      <c r="T680" s="7">
        <v>-93.2</v>
      </c>
      <c r="U680" s="7">
        <v>-41.46</v>
      </c>
      <c r="V680" s="7">
        <v>-11.26</v>
      </c>
      <c r="W680" s="7">
        <v>0.640000000000043</v>
      </c>
      <c r="X680" s="7">
        <v>-16.8</v>
      </c>
      <c r="Y680" s="7">
        <v>-24.62</v>
      </c>
      <c r="Z680" s="9">
        <f>MAX($B$680:$Y$680)</f>
        <v>132.24</v>
      </c>
      <c r="AA680" s="9">
        <f>MIN($B$680:$Y$680)</f>
        <v>-93.2</v>
      </c>
      <c r="AB680" s="9">
        <f>AVERAGE($B$680:$Y$680)</f>
        <v>35.52875</v>
      </c>
    </row>
    <row r="681" spans="1:28">
      <c r="A681" s="10">
        <v>45976</v>
      </c>
      <c r="B681" s="7">
        <v>-16.66</v>
      </c>
      <c r="C681" s="7">
        <v>-7.59999999999997</v>
      </c>
      <c r="D681" s="7">
        <v>-9.84999999999999</v>
      </c>
      <c r="E681" s="7">
        <v>3.31</v>
      </c>
      <c r="F681" s="7">
        <v>30.43</v>
      </c>
      <c r="G681" s="7">
        <v>82</v>
      </c>
      <c r="H681" s="7">
        <v>8.63</v>
      </c>
      <c r="I681" s="7">
        <v>13.04</v>
      </c>
      <c r="J681" s="7">
        <v>46.21</v>
      </c>
      <c r="K681" s="7">
        <v>58.21</v>
      </c>
      <c r="L681" s="7">
        <v>46.37</v>
      </c>
      <c r="M681" s="7">
        <v>76.8</v>
      </c>
      <c r="N681" s="7">
        <v>21.69</v>
      </c>
      <c r="O681" s="7">
        <v>53.27</v>
      </c>
      <c r="P681" s="7">
        <v>83.98</v>
      </c>
      <c r="Q681" s="7">
        <v>71.74</v>
      </c>
      <c r="R681" s="7">
        <v>32.55</v>
      </c>
      <c r="S681" s="7">
        <v>-25.84</v>
      </c>
      <c r="T681" s="7">
        <v>-31.66</v>
      </c>
      <c r="U681" s="7">
        <v>-13.79</v>
      </c>
      <c r="V681" s="7">
        <v>-5.62</v>
      </c>
      <c r="W681" s="7">
        <v>-11.99</v>
      </c>
      <c r="X681" s="7">
        <v>-3.33000000000004</v>
      </c>
      <c r="Y681" s="7">
        <v>-2.81999999999999</v>
      </c>
      <c r="Z681" s="9">
        <f>MAX($B$681:$Y$681)</f>
        <v>83.98</v>
      </c>
      <c r="AA681" s="9">
        <f>MIN($B$681:$Y$681)</f>
        <v>-31.66</v>
      </c>
      <c r="AB681" s="9">
        <f>AVERAGE($B$681:$Y$681)</f>
        <v>20.7945833333333</v>
      </c>
    </row>
    <row r="682" spans="1:28">
      <c r="A682" s="10">
        <v>45977</v>
      </c>
      <c r="B682" s="7">
        <v>-4.99000000000001</v>
      </c>
      <c r="C682" s="7">
        <v>-8.76000000000002</v>
      </c>
      <c r="D682" s="7">
        <v>38.29</v>
      </c>
      <c r="E682" s="7">
        <v>72.32</v>
      </c>
      <c r="F682" s="7">
        <v>92.91</v>
      </c>
      <c r="G682" s="7">
        <v>104.13</v>
      </c>
      <c r="H682" s="7">
        <v>125.45</v>
      </c>
      <c r="I682" s="7">
        <v>151.68</v>
      </c>
      <c r="J682" s="7">
        <v>93.77</v>
      </c>
      <c r="K682" s="7">
        <v>55.13</v>
      </c>
      <c r="L682" s="7">
        <v>32.06</v>
      </c>
      <c r="M682" s="7">
        <v>15.41</v>
      </c>
      <c r="N682" s="7">
        <v>-4.32</v>
      </c>
      <c r="O682" s="7">
        <v>-4.49</v>
      </c>
      <c r="P682" s="7">
        <v>1.48</v>
      </c>
      <c r="Q682" s="7">
        <v>97.89</v>
      </c>
      <c r="R682" s="7">
        <v>97.37</v>
      </c>
      <c r="S682" s="7">
        <v>23.69</v>
      </c>
      <c r="T682" s="7">
        <v>-23.47</v>
      </c>
      <c r="U682" s="7">
        <v>-35.87</v>
      </c>
      <c r="V682" s="7">
        <v>-32.27</v>
      </c>
      <c r="W682" s="7">
        <v>-10.59</v>
      </c>
      <c r="X682" s="7">
        <v>5.14000000000004</v>
      </c>
      <c r="Y682" s="7">
        <v>-8.22</v>
      </c>
      <c r="Z682" s="9">
        <f>MAX($B$682:$Y$682)</f>
        <v>151.68</v>
      </c>
      <c r="AA682" s="9">
        <f>MIN($B$682:$Y$682)</f>
        <v>-35.87</v>
      </c>
      <c r="AB682" s="9">
        <f>AVERAGE($B$682:$Y$682)</f>
        <v>36.4058333333333</v>
      </c>
    </row>
    <row r="683" spans="1:28">
      <c r="A683" s="10">
        <v>45978</v>
      </c>
      <c r="B683" s="7">
        <v>-14.44</v>
      </c>
      <c r="C683" s="7">
        <v>-12.12</v>
      </c>
      <c r="D683" s="7">
        <v>-6.46000000000001</v>
      </c>
      <c r="E683" s="7">
        <v>-1.33000000000001</v>
      </c>
      <c r="F683" s="7">
        <v>-0.780000000000001</v>
      </c>
      <c r="G683" s="7">
        <v>-10.22</v>
      </c>
      <c r="H683" s="7">
        <v>-12.46</v>
      </c>
      <c r="I683" s="7">
        <v>-9.30000000000001</v>
      </c>
      <c r="J683" s="7">
        <v>-10.33</v>
      </c>
      <c r="K683" s="7">
        <v>8.03999999999999</v>
      </c>
      <c r="L683" s="7">
        <v>12.15</v>
      </c>
      <c r="M683" s="7">
        <v>-27.5</v>
      </c>
      <c r="N683" s="7">
        <v>-0.299999999999997</v>
      </c>
      <c r="O683" s="7">
        <v>2.69999999999999</v>
      </c>
      <c r="P683" s="7">
        <v>15.18</v>
      </c>
      <c r="Q683" s="7">
        <v>-3.74000000000001</v>
      </c>
      <c r="R683" s="7">
        <v>-15.26</v>
      </c>
      <c r="S683" s="7">
        <v>-27.46</v>
      </c>
      <c r="T683" s="7">
        <v>-50.24</v>
      </c>
      <c r="U683" s="7">
        <v>-21.73</v>
      </c>
      <c r="V683" s="7">
        <v>-19</v>
      </c>
      <c r="W683" s="7">
        <v>-19.68</v>
      </c>
      <c r="X683" s="7">
        <v>-18.57</v>
      </c>
      <c r="Y683" s="7">
        <v>-61.68</v>
      </c>
      <c r="Z683" s="9">
        <f>MAX($B$683:$Y$683)</f>
        <v>15.18</v>
      </c>
      <c r="AA683" s="9">
        <f>MIN($B$683:$Y$683)</f>
        <v>-61.68</v>
      </c>
      <c r="AB683" s="9">
        <f>AVERAGE($B$683:$Y$683)</f>
        <v>-12.68875</v>
      </c>
    </row>
    <row r="684" spans="1:28">
      <c r="A684" s="10">
        <v>45979</v>
      </c>
      <c r="B684" s="7">
        <v>-25.26</v>
      </c>
      <c r="C684" s="7">
        <v>-14.45</v>
      </c>
      <c r="D684" s="7">
        <v>-32.98</v>
      </c>
      <c r="E684" s="7">
        <v>-32.02</v>
      </c>
      <c r="F684" s="7">
        <v>-26.35</v>
      </c>
      <c r="G684" s="7">
        <v>-3.37</v>
      </c>
      <c r="H684" s="7">
        <v>-2.42999999999998</v>
      </c>
      <c r="I684" s="7">
        <v>14.15</v>
      </c>
      <c r="J684" s="7">
        <v>2.60999999999999</v>
      </c>
      <c r="K684" s="7">
        <v>36.3</v>
      </c>
      <c r="L684" s="7">
        <v>93.82</v>
      </c>
      <c r="M684" s="7">
        <v>31.01</v>
      </c>
      <c r="N684" s="7">
        <v>65.19</v>
      </c>
      <c r="O684" s="7">
        <v>60.93</v>
      </c>
      <c r="P684" s="7">
        <v>49.67</v>
      </c>
      <c r="Q684" s="7">
        <v>49.24</v>
      </c>
      <c r="R684" s="7">
        <v>21.65</v>
      </c>
      <c r="S684" s="7">
        <v>8.35000000000002</v>
      </c>
      <c r="T684" s="7">
        <v>13.19</v>
      </c>
      <c r="U684" s="7">
        <v>13.96</v>
      </c>
      <c r="V684" s="7">
        <v>10.64</v>
      </c>
      <c r="W684" s="7">
        <v>16.22</v>
      </c>
      <c r="X684" s="7">
        <v>39.43</v>
      </c>
      <c r="Y684" s="7">
        <v>60.84</v>
      </c>
      <c r="Z684" s="9">
        <f>MAX($B$684:$Y$684)</f>
        <v>93.82</v>
      </c>
      <c r="AA684" s="9">
        <f>MIN($B$684:$Y$684)</f>
        <v>-32.98</v>
      </c>
      <c r="AB684" s="9">
        <f>AVERAGE($B$684:$Y$684)</f>
        <v>18.7641666666667</v>
      </c>
    </row>
    <row r="685" spans="1:28">
      <c r="A685" s="10">
        <v>45980</v>
      </c>
      <c r="B685" s="7">
        <v>41.35</v>
      </c>
      <c r="C685" s="7">
        <v>112.22</v>
      </c>
      <c r="D685" s="7">
        <v>163.48</v>
      </c>
      <c r="E685" s="7">
        <v>110.51</v>
      </c>
      <c r="F685" s="7">
        <v>135.81</v>
      </c>
      <c r="G685" s="7">
        <v>128.9</v>
      </c>
      <c r="H685" s="7">
        <v>116.48</v>
      </c>
      <c r="I685" s="7">
        <v>72.33</v>
      </c>
      <c r="J685" s="7">
        <v>1.63</v>
      </c>
      <c r="K685" s="7">
        <v>19.95</v>
      </c>
      <c r="L685" s="7">
        <v>50.14</v>
      </c>
      <c r="M685" s="7">
        <v>73.52</v>
      </c>
      <c r="N685" s="7">
        <v>87.78</v>
      </c>
      <c r="O685" s="7">
        <v>7.66999999999999</v>
      </c>
      <c r="P685" s="7">
        <v>50.4</v>
      </c>
      <c r="Q685" s="7">
        <v>88.16</v>
      </c>
      <c r="R685" s="7">
        <v>53.7</v>
      </c>
      <c r="S685" s="7">
        <v>70.08</v>
      </c>
      <c r="T685" s="7">
        <v>106.81</v>
      </c>
      <c r="U685" s="7">
        <v>103.27</v>
      </c>
      <c r="V685" s="7">
        <v>66.43</v>
      </c>
      <c r="W685" s="7">
        <v>38.67</v>
      </c>
      <c r="X685" s="7">
        <v>28.51</v>
      </c>
      <c r="Y685" s="7">
        <v>82.89</v>
      </c>
      <c r="Z685" s="9">
        <f>MAX($B$685:$Y$685)</f>
        <v>163.48</v>
      </c>
      <c r="AA685" s="9">
        <f>MIN($B$685:$Y$685)</f>
        <v>1.63</v>
      </c>
      <c r="AB685" s="9">
        <f>AVERAGE($B$685:$Y$685)</f>
        <v>75.4454166666667</v>
      </c>
    </row>
    <row r="686" spans="1:28">
      <c r="A686" s="10">
        <v>45981</v>
      </c>
      <c r="B686" s="7">
        <v>2.56999999999999</v>
      </c>
      <c r="C686" s="7">
        <v>29.48</v>
      </c>
      <c r="D686" s="7">
        <v>27.84</v>
      </c>
      <c r="E686" s="7">
        <v>80.6</v>
      </c>
      <c r="F686" s="7">
        <v>112.54</v>
      </c>
      <c r="G686" s="7">
        <v>119.72</v>
      </c>
      <c r="H686" s="7">
        <v>67.71</v>
      </c>
      <c r="I686" s="7">
        <v>12.11</v>
      </c>
      <c r="J686" s="7">
        <v>3.25</v>
      </c>
      <c r="K686" s="7">
        <v>26.14</v>
      </c>
      <c r="L686" s="7">
        <v>50.59</v>
      </c>
      <c r="M686" s="7">
        <v>25.52</v>
      </c>
      <c r="N686" s="7">
        <v>80.58</v>
      </c>
      <c r="O686" s="7">
        <v>82.73</v>
      </c>
      <c r="P686" s="7">
        <v>100.94</v>
      </c>
      <c r="Q686" s="7">
        <v>126</v>
      </c>
      <c r="R686" s="7">
        <v>26.26</v>
      </c>
      <c r="S686" s="7">
        <v>-40.22</v>
      </c>
      <c r="T686" s="7">
        <v>35.72</v>
      </c>
      <c r="U686" s="7">
        <v>31.09</v>
      </c>
      <c r="V686" s="7">
        <v>1.14999999999998</v>
      </c>
      <c r="W686" s="7">
        <v>-21.23</v>
      </c>
      <c r="X686" s="7">
        <v>13.17</v>
      </c>
      <c r="Y686" s="7">
        <v>0.920000000000016</v>
      </c>
      <c r="Z686" s="9">
        <f>MAX($B$686:$Y$686)</f>
        <v>126</v>
      </c>
      <c r="AA686" s="9">
        <f>MIN($B$686:$Y$686)</f>
        <v>-40.22</v>
      </c>
      <c r="AB686" s="9">
        <f>AVERAGE($B$686:$Y$686)</f>
        <v>41.4658333333333</v>
      </c>
    </row>
    <row r="687" spans="1:28">
      <c r="A687" s="10">
        <v>45982</v>
      </c>
      <c r="B687" s="7">
        <v>-11.33</v>
      </c>
      <c r="C687" s="7">
        <v>-1.71000000000001</v>
      </c>
      <c r="D687" s="7">
        <v>34.94</v>
      </c>
      <c r="E687" s="7">
        <v>100.33</v>
      </c>
      <c r="F687" s="7">
        <v>42.34</v>
      </c>
      <c r="G687" s="7">
        <v>77.47</v>
      </c>
      <c r="H687" s="7">
        <v>11.78</v>
      </c>
      <c r="I687" s="7">
        <v>19.95</v>
      </c>
      <c r="J687" s="7">
        <v>31.42</v>
      </c>
      <c r="K687" s="7">
        <v>41.43</v>
      </c>
      <c r="L687" s="7">
        <v>124.57</v>
      </c>
      <c r="M687" s="7">
        <v>146.52</v>
      </c>
      <c r="N687" s="7">
        <v>70.48</v>
      </c>
      <c r="O687" s="7">
        <v>79.41</v>
      </c>
      <c r="P687" s="7">
        <v>135</v>
      </c>
      <c r="Q687" s="7">
        <v>147.63</v>
      </c>
      <c r="R687" s="7">
        <v>27.88</v>
      </c>
      <c r="S687" s="7">
        <v>10.62</v>
      </c>
      <c r="T687" s="7">
        <v>78.17</v>
      </c>
      <c r="U687" s="7">
        <v>104.72</v>
      </c>
      <c r="V687" s="7">
        <v>66.16</v>
      </c>
      <c r="W687" s="7">
        <v>31.3</v>
      </c>
      <c r="X687" s="7">
        <v>0.670000000000016</v>
      </c>
      <c r="Y687" s="7">
        <v>-0.359999999999957</v>
      </c>
      <c r="Z687" s="9">
        <f>MAX($B$687:$Y$687)</f>
        <v>147.63</v>
      </c>
      <c r="AA687" s="9">
        <f>MIN($B$687:$Y$687)</f>
        <v>-11.33</v>
      </c>
      <c r="AB687" s="9">
        <f>AVERAGE($B$687:$Y$687)</f>
        <v>57.0579166666667</v>
      </c>
    </row>
    <row r="688" spans="1:28">
      <c r="A688" s="10">
        <v>45983</v>
      </c>
      <c r="B688" s="7">
        <v>-8.25</v>
      </c>
      <c r="C688" s="7">
        <v>31.85</v>
      </c>
      <c r="D688" s="7">
        <v>51.69</v>
      </c>
      <c r="E688" s="7">
        <v>77.29</v>
      </c>
      <c r="F688" s="7">
        <v>55.34</v>
      </c>
      <c r="G688" s="7">
        <v>72.87</v>
      </c>
      <c r="H688" s="7">
        <v>70.03</v>
      </c>
      <c r="I688" s="7">
        <v>50.23</v>
      </c>
      <c r="J688" s="7">
        <v>31.61</v>
      </c>
      <c r="K688" s="7">
        <v>118.24</v>
      </c>
      <c r="L688" s="7">
        <v>101.88</v>
      </c>
      <c r="M688" s="7">
        <v>92.77</v>
      </c>
      <c r="N688" s="7">
        <v>3.63</v>
      </c>
      <c r="O688" s="7">
        <v>24.08</v>
      </c>
      <c r="P688" s="7">
        <v>125.28</v>
      </c>
      <c r="Q688" s="7">
        <v>42.46</v>
      </c>
      <c r="R688" s="7">
        <v>15.85</v>
      </c>
      <c r="S688" s="7">
        <v>-44.5700000000001</v>
      </c>
      <c r="T688" s="7">
        <v>104.3</v>
      </c>
      <c r="U688" s="7">
        <v>73.74</v>
      </c>
      <c r="V688" s="7">
        <v>66.65</v>
      </c>
      <c r="W688" s="7">
        <v>19.53</v>
      </c>
      <c r="X688" s="7">
        <v>-11.19</v>
      </c>
      <c r="Y688" s="7">
        <v>-0.890000000000043</v>
      </c>
      <c r="Z688" s="9">
        <f>MAX($B$688:$Y$688)</f>
        <v>125.28</v>
      </c>
      <c r="AA688" s="9">
        <f>MIN($B$688:$Y$688)</f>
        <v>-44.5700000000001</v>
      </c>
      <c r="AB688" s="9">
        <f>AVERAGE($B$688:$Y$688)</f>
        <v>48.5175</v>
      </c>
    </row>
    <row r="689" spans="1:28">
      <c r="A689" s="10">
        <v>45984</v>
      </c>
      <c r="B689" s="7">
        <v>-10.32</v>
      </c>
      <c r="C689" s="7">
        <v>-3.15999999999997</v>
      </c>
      <c r="D689" s="7">
        <v>1.61999999999995</v>
      </c>
      <c r="E689" s="7">
        <v>2.39999999999998</v>
      </c>
      <c r="F689" s="7">
        <v>12.95</v>
      </c>
      <c r="G689" s="7">
        <v>83.88</v>
      </c>
      <c r="H689" s="7">
        <v>32.72</v>
      </c>
      <c r="I689" s="7">
        <v>17.35</v>
      </c>
      <c r="J689" s="7">
        <v>66.54</v>
      </c>
      <c r="K689" s="7">
        <v>197.13</v>
      </c>
      <c r="L689" s="7">
        <v>82.9</v>
      </c>
      <c r="M689" s="7">
        <v>29.48</v>
      </c>
      <c r="N689" s="7">
        <v>4.01</v>
      </c>
      <c r="O689" s="7">
        <v>23.15</v>
      </c>
      <c r="P689" s="7">
        <v>93.21</v>
      </c>
      <c r="Q689" s="7">
        <v>175.5</v>
      </c>
      <c r="R689" s="7">
        <v>10.02</v>
      </c>
      <c r="S689" s="7">
        <v>-18.18</v>
      </c>
      <c r="T689" s="7">
        <v>-25.9</v>
      </c>
      <c r="U689" s="7">
        <v>-7.70999999999998</v>
      </c>
      <c r="V689" s="7">
        <v>-14.77</v>
      </c>
      <c r="W689" s="7">
        <v>-4.75</v>
      </c>
      <c r="X689" s="7">
        <v>5.61000000000001</v>
      </c>
      <c r="Y689" s="7">
        <v>-3.94999999999999</v>
      </c>
      <c r="Z689" s="9">
        <f>MAX($B$689:$Y$689)</f>
        <v>197.13</v>
      </c>
      <c r="AA689" s="9">
        <f>MIN($B$689:$Y$689)</f>
        <v>-25.9</v>
      </c>
      <c r="AB689" s="9">
        <f>AVERAGE($B$689:$Y$689)</f>
        <v>31.23875</v>
      </c>
    </row>
    <row r="690" spans="1:28">
      <c r="A690" s="10">
        <v>45985</v>
      </c>
      <c r="B690" s="7">
        <v>-12.07</v>
      </c>
      <c r="C690" s="7">
        <v>-5.50999999999999</v>
      </c>
      <c r="D690" s="7">
        <v>-0.110000000000014</v>
      </c>
      <c r="E690" s="7">
        <v>4.95999999999998</v>
      </c>
      <c r="F690" s="7">
        <v>31.03</v>
      </c>
      <c r="G690" s="7">
        <v>6.25</v>
      </c>
      <c r="H690" s="7">
        <v>0.740000000000009</v>
      </c>
      <c r="I690" s="7">
        <v>-4.79000000000002</v>
      </c>
      <c r="J690" s="7">
        <v>-0.409999999999968</v>
      </c>
      <c r="K690" s="7">
        <v>38.81</v>
      </c>
      <c r="L690" s="7">
        <v>105.05</v>
      </c>
      <c r="M690" s="7">
        <v>58.27</v>
      </c>
      <c r="N690" s="7">
        <v>58.71</v>
      </c>
      <c r="O690" s="7">
        <v>43.94</v>
      </c>
      <c r="P690" s="7">
        <v>84.53</v>
      </c>
      <c r="Q690" s="7">
        <v>98.08</v>
      </c>
      <c r="R690" s="7">
        <v>-4.54000000000002</v>
      </c>
      <c r="S690" s="7">
        <v>-14.74</v>
      </c>
      <c r="T690" s="7">
        <v>26.55</v>
      </c>
      <c r="U690" s="7">
        <v>35.8800000000001</v>
      </c>
      <c r="V690" s="7">
        <v>0.589999999999975</v>
      </c>
      <c r="W690" s="7">
        <v>-7.51000000000005</v>
      </c>
      <c r="X690" s="7">
        <v>19.23</v>
      </c>
      <c r="Y690" s="7">
        <v>3.65000000000001</v>
      </c>
      <c r="Z690" s="9">
        <f>MAX($B$690:$Y$690)</f>
        <v>105.05</v>
      </c>
      <c r="AA690" s="9">
        <f>MIN($B$690:$Y$690)</f>
        <v>-14.74</v>
      </c>
      <c r="AB690" s="9">
        <f>AVERAGE($B$690:$Y$690)</f>
        <v>23.6079166666667</v>
      </c>
    </row>
    <row r="691" spans="1:28">
      <c r="A691" s="10">
        <v>45986</v>
      </c>
      <c r="B691" s="7">
        <v>-45.23</v>
      </c>
      <c r="C691" s="7">
        <v>5.16000000000003</v>
      </c>
      <c r="D691" s="7">
        <v>135.47</v>
      </c>
      <c r="E691" s="7">
        <v>147.6</v>
      </c>
      <c r="F691" s="7">
        <v>154.17</v>
      </c>
      <c r="G691" s="7">
        <v>122.45</v>
      </c>
      <c r="H691" s="7">
        <v>75.29</v>
      </c>
      <c r="I691" s="7">
        <v>11.54</v>
      </c>
      <c r="J691" s="7">
        <v>28.99</v>
      </c>
      <c r="K691" s="7">
        <v>102.68</v>
      </c>
      <c r="L691" s="7">
        <v>62.83</v>
      </c>
      <c r="M691" s="7">
        <v>28.26</v>
      </c>
      <c r="N691" s="7">
        <v>16.37</v>
      </c>
      <c r="O691" s="7">
        <v>6.28</v>
      </c>
      <c r="P691" s="7">
        <v>58.35</v>
      </c>
      <c r="Q691" s="7">
        <v>51.75</v>
      </c>
      <c r="R691" s="7">
        <v>50.42</v>
      </c>
      <c r="S691" s="7">
        <v>-9.44</v>
      </c>
      <c r="T691" s="7">
        <v>107.17</v>
      </c>
      <c r="U691" s="7">
        <v>114.76</v>
      </c>
      <c r="V691" s="7">
        <v>64.99</v>
      </c>
      <c r="W691" s="7">
        <v>14.67</v>
      </c>
      <c r="X691" s="7">
        <v>11.2</v>
      </c>
      <c r="Y691" s="7">
        <v>45.81</v>
      </c>
      <c r="Z691" s="9">
        <f>MAX($B$691:$Y$691)</f>
        <v>154.17</v>
      </c>
      <c r="AA691" s="9">
        <f>MIN($B$691:$Y$691)</f>
        <v>-45.23</v>
      </c>
      <c r="AB691" s="9">
        <f>AVERAGE($B$691:$Y$691)</f>
        <v>56.7308333333333</v>
      </c>
    </row>
    <row r="692" spans="1:28">
      <c r="A692" s="10">
        <v>45987</v>
      </c>
      <c r="B692" s="7">
        <v>-2.88</v>
      </c>
      <c r="C692" s="7">
        <v>4.78999999999999</v>
      </c>
      <c r="D692" s="7">
        <v>35.87</v>
      </c>
      <c r="E692" s="7">
        <v>43.13</v>
      </c>
      <c r="F692" s="7">
        <v>158.58</v>
      </c>
      <c r="G692" s="7">
        <v>127.21</v>
      </c>
      <c r="H692" s="7">
        <v>58.45</v>
      </c>
      <c r="I692" s="7">
        <v>8.53999999999999</v>
      </c>
      <c r="J692" s="7">
        <v>58.2</v>
      </c>
      <c r="K692" s="7">
        <v>106.41</v>
      </c>
      <c r="L692" s="7">
        <v>-48.1</v>
      </c>
      <c r="M692" s="7">
        <v>-84.62</v>
      </c>
      <c r="N692" s="7">
        <v>-54.05</v>
      </c>
      <c r="O692" s="7">
        <v>-2.43</v>
      </c>
      <c r="P692" s="7">
        <v>92.58</v>
      </c>
      <c r="Q692" s="7">
        <v>152.55</v>
      </c>
      <c r="R692" s="7">
        <v>29.94</v>
      </c>
      <c r="S692" s="7">
        <v>9.13999999999999</v>
      </c>
      <c r="T692" s="7">
        <v>-23.29</v>
      </c>
      <c r="U692" s="7">
        <v>8.35999999999996</v>
      </c>
      <c r="V692" s="7">
        <v>17.69</v>
      </c>
      <c r="W692" s="7">
        <v>17.02</v>
      </c>
      <c r="X692" s="7">
        <v>25.33</v>
      </c>
      <c r="Y692" s="7">
        <v>118.89</v>
      </c>
      <c r="Z692" s="9">
        <f>MAX($B$692:$Y$692)</f>
        <v>158.58</v>
      </c>
      <c r="AA692" s="9">
        <f>MIN($B$692:$Y$692)</f>
        <v>-84.62</v>
      </c>
      <c r="AB692" s="9">
        <f>AVERAGE($B$692:$Y$692)</f>
        <v>35.72125</v>
      </c>
    </row>
    <row r="693" spans="1:28">
      <c r="A693" s="10">
        <v>45988</v>
      </c>
      <c r="B693" s="7">
        <v>30.81</v>
      </c>
      <c r="C693" s="7">
        <v>124.26</v>
      </c>
      <c r="D693" s="7">
        <v>26.47</v>
      </c>
      <c r="E693" s="7">
        <v>102.05</v>
      </c>
      <c r="F693" s="7">
        <v>146.4</v>
      </c>
      <c r="G693" s="7">
        <v>150.58</v>
      </c>
      <c r="H693" s="7">
        <v>114.86</v>
      </c>
      <c r="I693" s="7">
        <v>40.58</v>
      </c>
      <c r="J693" s="7">
        <v>42.38</v>
      </c>
      <c r="K693" s="7">
        <v>-18.19</v>
      </c>
      <c r="L693" s="7">
        <v>-36.46</v>
      </c>
      <c r="M693" s="7">
        <v>-69.68</v>
      </c>
      <c r="N693" s="7">
        <v>-51.06</v>
      </c>
      <c r="O693" s="7">
        <v>-31.94</v>
      </c>
      <c r="P693" s="7">
        <v>-72.78</v>
      </c>
      <c r="Q693" s="7">
        <v>-17.63</v>
      </c>
      <c r="R693" s="7">
        <v>20.69</v>
      </c>
      <c r="S693" s="7">
        <v>4.04000000000002</v>
      </c>
      <c r="T693" s="7">
        <v>-31.85</v>
      </c>
      <c r="U693" s="7">
        <v>31.84</v>
      </c>
      <c r="V693" s="7">
        <v>13.9</v>
      </c>
      <c r="W693" s="7">
        <v>13.96</v>
      </c>
      <c r="X693" s="7">
        <v>14.58</v>
      </c>
      <c r="Y693" s="7">
        <v>26.1</v>
      </c>
      <c r="Z693" s="9">
        <f>MAX($B$693:$Y$693)</f>
        <v>150.58</v>
      </c>
      <c r="AA693" s="9">
        <f>MIN($B$693:$Y$693)</f>
        <v>-72.78</v>
      </c>
      <c r="AB693" s="9">
        <f>AVERAGE($B$693:$Y$693)</f>
        <v>23.9129166666667</v>
      </c>
    </row>
    <row r="694" spans="1:28">
      <c r="A694" s="10">
        <v>45989</v>
      </c>
      <c r="B694" s="7">
        <v>12.58</v>
      </c>
      <c r="C694" s="7">
        <v>-0.089999999999975</v>
      </c>
      <c r="D694" s="7">
        <v>2.28999999999999</v>
      </c>
      <c r="E694" s="7">
        <v>6.41</v>
      </c>
      <c r="F694" s="7">
        <v>58.47</v>
      </c>
      <c r="G694" s="7">
        <v>41.68</v>
      </c>
      <c r="H694" s="7">
        <v>20.63</v>
      </c>
      <c r="I694" s="7">
        <v>19.97</v>
      </c>
      <c r="J694" s="7">
        <v>44.02</v>
      </c>
      <c r="K694" s="7">
        <v>102.18</v>
      </c>
      <c r="L694" s="7">
        <v>28.7</v>
      </c>
      <c r="M694" s="7">
        <v>40</v>
      </c>
      <c r="N694" s="7">
        <v>-7.62</v>
      </c>
      <c r="O694" s="7">
        <v>3.17</v>
      </c>
      <c r="P694" s="7">
        <v>102.32</v>
      </c>
      <c r="Q694" s="7">
        <v>175.09</v>
      </c>
      <c r="R694" s="7">
        <v>76.67</v>
      </c>
      <c r="S694" s="7">
        <v>-119.92</v>
      </c>
      <c r="T694" s="7">
        <v>33.28</v>
      </c>
      <c r="U694" s="7">
        <v>73.55</v>
      </c>
      <c r="V694" s="7">
        <v>23.67</v>
      </c>
      <c r="W694" s="7">
        <v>42.54</v>
      </c>
      <c r="X694" s="7">
        <v>4.39000000000004</v>
      </c>
      <c r="Y694" s="7">
        <v>-7.84000000000003</v>
      </c>
      <c r="Z694" s="9">
        <f>MAX($B$694:$Y$694)</f>
        <v>175.09</v>
      </c>
      <c r="AA694" s="9">
        <f>MIN($B$694:$Y$694)</f>
        <v>-119.92</v>
      </c>
      <c r="AB694" s="9">
        <f>AVERAGE($B$694:$Y$694)</f>
        <v>32.3391666666667</v>
      </c>
    </row>
    <row r="695" spans="1:28">
      <c r="A695" s="10">
        <v>45990</v>
      </c>
      <c r="B695" s="7">
        <v>-6.82999999999998</v>
      </c>
      <c r="C695" s="7">
        <v>-18.56</v>
      </c>
      <c r="D695" s="7">
        <v>-11.22</v>
      </c>
      <c r="E695" s="7">
        <v>-6.04000000000002</v>
      </c>
      <c r="F695" s="7">
        <v>13.29</v>
      </c>
      <c r="G695" s="7">
        <v>7.01999999999998</v>
      </c>
      <c r="H695" s="7">
        <v>17.77</v>
      </c>
      <c r="I695" s="7">
        <v>28.51</v>
      </c>
      <c r="J695" s="7">
        <v>48.54</v>
      </c>
      <c r="K695" s="7">
        <v>189.59</v>
      </c>
      <c r="L695" s="7">
        <v>132.87</v>
      </c>
      <c r="M695" s="7">
        <v>71.91</v>
      </c>
      <c r="N695" s="7">
        <v>54.81</v>
      </c>
      <c r="O695" s="7">
        <v>66.58</v>
      </c>
      <c r="P695" s="7">
        <v>84.38</v>
      </c>
      <c r="Q695" s="7">
        <v>158.31</v>
      </c>
      <c r="R695" s="7">
        <v>23.27</v>
      </c>
      <c r="S695" s="7">
        <v>19.12</v>
      </c>
      <c r="T695" s="7">
        <v>140.55</v>
      </c>
      <c r="U695" s="7">
        <v>160.27</v>
      </c>
      <c r="V695" s="7">
        <v>76.44</v>
      </c>
      <c r="W695" s="7">
        <v>17.74</v>
      </c>
      <c r="X695" s="7">
        <v>21.31</v>
      </c>
      <c r="Y695" s="7">
        <v>9.01999999999998</v>
      </c>
      <c r="Z695" s="9">
        <f>MAX($B$695:$Y$695)</f>
        <v>189.59</v>
      </c>
      <c r="AA695" s="9">
        <f>MIN($B$695:$Y$695)</f>
        <v>-18.56</v>
      </c>
      <c r="AB695" s="9">
        <f>AVERAGE($B$695:$Y$695)</f>
        <v>54.1104166666667</v>
      </c>
    </row>
    <row r="696" spans="1:28">
      <c r="A696" s="10">
        <v>45991</v>
      </c>
      <c r="B696" s="7">
        <v>27.62</v>
      </c>
      <c r="C696" s="7">
        <v>13.69</v>
      </c>
      <c r="D696" s="7">
        <v>20.42</v>
      </c>
      <c r="E696" s="7">
        <v>24.48</v>
      </c>
      <c r="F696" s="7">
        <v>24.23</v>
      </c>
      <c r="G696" s="7">
        <v>25.09</v>
      </c>
      <c r="H696" s="7">
        <v>29.64</v>
      </c>
      <c r="I696" s="7">
        <v>28.53</v>
      </c>
      <c r="J696" s="7">
        <v>57.76</v>
      </c>
      <c r="K696" s="7">
        <v>41.45</v>
      </c>
      <c r="L696" s="7">
        <v>112.75</v>
      </c>
      <c r="M696" s="7">
        <v>-46.68</v>
      </c>
      <c r="N696" s="7">
        <v>-18.86</v>
      </c>
      <c r="O696" s="7">
        <v>-55.51</v>
      </c>
      <c r="P696" s="7">
        <v>18.81</v>
      </c>
      <c r="Q696" s="7">
        <v>79.88</v>
      </c>
      <c r="R696" s="7">
        <v>6.61000000000001</v>
      </c>
      <c r="S696" s="7">
        <v>70.33</v>
      </c>
      <c r="T696" s="7">
        <v>184.51</v>
      </c>
      <c r="U696" s="7">
        <v>203.54</v>
      </c>
      <c r="V696" s="7">
        <v>196.34</v>
      </c>
      <c r="W696" s="7">
        <v>110.05</v>
      </c>
      <c r="X696" s="7">
        <v>50.98</v>
      </c>
      <c r="Y696" s="7">
        <v>16.71</v>
      </c>
      <c r="Z696" s="9">
        <f>MAX($B$696:$Y$696)</f>
        <v>203.54</v>
      </c>
      <c r="AA696" s="9">
        <f>MIN($B$696:$Y$696)</f>
        <v>-55.51</v>
      </c>
      <c r="AB696" s="9">
        <f>AVERAGE($B$696:$Y$696)</f>
        <v>50.9320833333333</v>
      </c>
    </row>
    <row r="697" spans="1:28">
      <c r="A697" s="10">
        <v>45992</v>
      </c>
      <c r="B697" s="7">
        <v>105.36</v>
      </c>
      <c r="C697" s="7">
        <v>63.74</v>
      </c>
      <c r="D697" s="7">
        <v>47.18</v>
      </c>
      <c r="E697" s="7">
        <v>39.11</v>
      </c>
      <c r="F697" s="7">
        <v>31.17</v>
      </c>
      <c r="G697" s="7">
        <v>29.2</v>
      </c>
      <c r="H697" s="7">
        <v>93.27</v>
      </c>
      <c r="I697" s="7">
        <v>122.12</v>
      </c>
      <c r="J697" s="7">
        <v>86.54</v>
      </c>
      <c r="K697" s="7">
        <v>67.23</v>
      </c>
      <c r="L697" s="7">
        <v>33.3</v>
      </c>
      <c r="M697" s="7">
        <v>84.91</v>
      </c>
      <c r="N697" s="7">
        <v>162.82</v>
      </c>
      <c r="O697" s="7">
        <v>189.01</v>
      </c>
      <c r="P697" s="7">
        <v>88.12</v>
      </c>
      <c r="Q697" s="7">
        <v>27.76</v>
      </c>
      <c r="R697" s="7">
        <v>118.43</v>
      </c>
      <c r="S697" s="7">
        <v>364.58</v>
      </c>
      <c r="T697" s="7">
        <v>366.61</v>
      </c>
      <c r="U697" s="7">
        <v>468.23</v>
      </c>
      <c r="V697" s="7">
        <v>322.97</v>
      </c>
      <c r="W697" s="7">
        <v>266.17</v>
      </c>
      <c r="X697" s="7">
        <v>157.7</v>
      </c>
      <c r="Y697" s="7">
        <v>72.6</v>
      </c>
      <c r="Z697" s="9">
        <f>MAX($B$697:$Y$697)</f>
        <v>468.23</v>
      </c>
      <c r="AA697" s="9">
        <f>MIN($B$697:$Y$697)</f>
        <v>27.76</v>
      </c>
      <c r="AB697" s="9">
        <f>AVERAGE($B$697:$Y$697)</f>
        <v>142.005416666667</v>
      </c>
    </row>
    <row r="698" spans="1:28">
      <c r="A698" s="10">
        <v>45993</v>
      </c>
      <c r="B698" s="7">
        <v>42.75</v>
      </c>
      <c r="C698" s="7">
        <v>33.62</v>
      </c>
      <c r="D698" s="7">
        <v>55.98</v>
      </c>
      <c r="E698" s="7">
        <v>59.1</v>
      </c>
      <c r="F698" s="7">
        <v>26.23</v>
      </c>
      <c r="G698" s="7">
        <v>42.75</v>
      </c>
      <c r="H698" s="7">
        <v>-8.43000000000001</v>
      </c>
      <c r="I698" s="7">
        <v>-24.06</v>
      </c>
      <c r="J698" s="7">
        <v>-271.49</v>
      </c>
      <c r="K698" s="7">
        <v>-92.16</v>
      </c>
      <c r="L698" s="7">
        <v>-89.0599999999999</v>
      </c>
      <c r="M698" s="7">
        <v>-99.65</v>
      </c>
      <c r="N698" s="7">
        <v>-47.71</v>
      </c>
      <c r="O698" s="7">
        <v>-94.46</v>
      </c>
      <c r="P698" s="7">
        <v>-42.66</v>
      </c>
      <c r="Q698" s="7">
        <v>-86.9</v>
      </c>
      <c r="R698" s="7">
        <v>-111.89</v>
      </c>
      <c r="S698" s="7">
        <v>-10.48</v>
      </c>
      <c r="T698" s="7">
        <v>275.53</v>
      </c>
      <c r="U698" s="7">
        <v>141.01</v>
      </c>
      <c r="V698" s="7">
        <v>152.8</v>
      </c>
      <c r="W698" s="7">
        <v>100.22</v>
      </c>
      <c r="X698" s="7">
        <v>23.22</v>
      </c>
      <c r="Y698" s="7">
        <v>12.04</v>
      </c>
      <c r="Z698" s="9">
        <f>MAX($B$698:$Y$698)</f>
        <v>275.53</v>
      </c>
      <c r="AA698" s="9">
        <f>MIN($B$698:$Y$698)</f>
        <v>-271.49</v>
      </c>
      <c r="AB698" s="9">
        <f>AVERAGE($B$698:$Y$698)</f>
        <v>-0.570833333333331</v>
      </c>
    </row>
    <row r="699" spans="1:28">
      <c r="A699" s="10">
        <v>45994</v>
      </c>
      <c r="B699" s="7">
        <v>-2.13</v>
      </c>
      <c r="C699" s="7">
        <v>4.60000000000002</v>
      </c>
      <c r="D699" s="7">
        <v>5.89000000000004</v>
      </c>
      <c r="E699" s="7">
        <v>6.64999999999998</v>
      </c>
      <c r="F699" s="7">
        <v>18.73</v>
      </c>
      <c r="G699" s="7">
        <v>22.46</v>
      </c>
      <c r="H699" s="7">
        <v>14.59</v>
      </c>
      <c r="I699" s="7">
        <v>-1.16000000000003</v>
      </c>
      <c r="J699" s="7">
        <v>8.21999999999997</v>
      </c>
      <c r="K699" s="7">
        <v>17.48</v>
      </c>
      <c r="L699" s="7">
        <v>62.52</v>
      </c>
      <c r="M699" s="7">
        <v>139.44</v>
      </c>
      <c r="N699" s="7">
        <v>246.21</v>
      </c>
      <c r="O699" s="7">
        <v>213.78</v>
      </c>
      <c r="P699" s="7">
        <v>129.74</v>
      </c>
      <c r="Q699" s="7">
        <v>27.38</v>
      </c>
      <c r="R699" s="7">
        <v>21.38</v>
      </c>
      <c r="S699" s="7">
        <v>70.57</v>
      </c>
      <c r="T699" s="7">
        <v>80.49</v>
      </c>
      <c r="U699" s="7">
        <v>76.76</v>
      </c>
      <c r="V699" s="7">
        <v>48.89</v>
      </c>
      <c r="W699" s="7">
        <v>31.47</v>
      </c>
      <c r="X699" s="7">
        <v>32.82</v>
      </c>
      <c r="Y699" s="7">
        <v>38.76</v>
      </c>
      <c r="Z699" s="9">
        <f>MAX($B$699:$Y$699)</f>
        <v>246.21</v>
      </c>
      <c r="AA699" s="9">
        <f>MIN($B$699:$Y$699)</f>
        <v>-2.13</v>
      </c>
      <c r="AB699" s="9">
        <f>AVERAGE($B$699:$Y$699)</f>
        <v>54.8141666666667</v>
      </c>
    </row>
    <row r="700" spans="1:28">
      <c r="A700" s="10">
        <v>45995</v>
      </c>
      <c r="B700" s="7">
        <v>21.53</v>
      </c>
      <c r="C700" s="7">
        <v>19.56</v>
      </c>
      <c r="D700" s="7">
        <v>28.86</v>
      </c>
      <c r="E700" s="7">
        <v>31.57</v>
      </c>
      <c r="F700" s="7">
        <v>29.99</v>
      </c>
      <c r="G700" s="7">
        <v>18.97</v>
      </c>
      <c r="H700" s="7">
        <v>19.98</v>
      </c>
      <c r="I700" s="7">
        <v>10.74</v>
      </c>
      <c r="J700" s="7">
        <v>-19.07</v>
      </c>
      <c r="K700" s="7">
        <v>-28</v>
      </c>
      <c r="L700" s="7">
        <v>-11.39</v>
      </c>
      <c r="M700" s="7">
        <v>50.85</v>
      </c>
      <c r="N700" s="7">
        <v>36.74</v>
      </c>
      <c r="O700" s="7">
        <v>107.12</v>
      </c>
      <c r="P700" s="7">
        <v>180.43</v>
      </c>
      <c r="Q700" s="7">
        <v>67.45</v>
      </c>
      <c r="R700" s="7">
        <v>10.09</v>
      </c>
      <c r="S700" s="7">
        <v>26.26</v>
      </c>
      <c r="T700" s="7">
        <v>102.65</v>
      </c>
      <c r="U700" s="7">
        <v>125.18</v>
      </c>
      <c r="V700" s="7">
        <v>55.42</v>
      </c>
      <c r="W700" s="7">
        <v>25.53</v>
      </c>
      <c r="X700" s="7">
        <v>34.9</v>
      </c>
      <c r="Y700" s="7">
        <v>20.02</v>
      </c>
      <c r="Z700" s="9">
        <f>MAX($B$700:$Y$700)</f>
        <v>180.43</v>
      </c>
      <c r="AA700" s="9">
        <f>MIN($B$700:$Y$700)</f>
        <v>-28</v>
      </c>
      <c r="AB700" s="9">
        <f>AVERAGE($B$700:$Y$700)</f>
        <v>40.2241666666667</v>
      </c>
    </row>
    <row r="701" spans="1:28">
      <c r="A701" s="10">
        <v>45996</v>
      </c>
      <c r="B701" s="7">
        <v>7.74000000000001</v>
      </c>
      <c r="C701" s="7">
        <v>16.44</v>
      </c>
      <c r="D701" s="7">
        <v>23.6</v>
      </c>
      <c r="E701" s="7">
        <v>15.42</v>
      </c>
      <c r="F701" s="7">
        <v>9.94999999999999</v>
      </c>
      <c r="G701" s="7">
        <v>2.88999999999999</v>
      </c>
      <c r="H701" s="7">
        <v>18.57</v>
      </c>
      <c r="I701" s="7">
        <v>14.9</v>
      </c>
      <c r="J701" s="7">
        <v>8.18000000000001</v>
      </c>
      <c r="K701" s="7">
        <v>36.0700000000001</v>
      </c>
      <c r="L701" s="7">
        <v>33.99</v>
      </c>
      <c r="M701" s="7">
        <v>72.21</v>
      </c>
      <c r="N701" s="7">
        <v>181.11</v>
      </c>
      <c r="O701" s="7">
        <v>294.2</v>
      </c>
      <c r="P701" s="7">
        <v>134.18</v>
      </c>
      <c r="Q701" s="7">
        <v>44.09</v>
      </c>
      <c r="R701" s="7">
        <v>23.26</v>
      </c>
      <c r="S701" s="7">
        <v>136.51</v>
      </c>
      <c r="T701" s="7">
        <v>162.79</v>
      </c>
      <c r="U701" s="7">
        <v>171.74</v>
      </c>
      <c r="V701" s="7">
        <v>169.84</v>
      </c>
      <c r="W701" s="7">
        <v>137.22</v>
      </c>
      <c r="X701" s="7">
        <v>35.09</v>
      </c>
      <c r="Y701" s="7">
        <v>7.75</v>
      </c>
      <c r="Z701" s="9">
        <f>MAX($B$701:$Y$701)</f>
        <v>294.2</v>
      </c>
      <c r="AA701" s="9">
        <f>MIN($B$701:$Y$701)</f>
        <v>2.88999999999999</v>
      </c>
      <c r="AB701" s="9">
        <f>AVERAGE($B$701:$Y$701)</f>
        <v>73.2391666666667</v>
      </c>
    </row>
    <row r="702" spans="1:28">
      <c r="A702" s="10">
        <v>45997</v>
      </c>
      <c r="B702" s="7">
        <v>-61.36</v>
      </c>
      <c r="C702" s="7">
        <v>-36.73</v>
      </c>
      <c r="D702" s="7">
        <v>-17.2</v>
      </c>
      <c r="E702" s="7">
        <v>-22.2</v>
      </c>
      <c r="F702" s="7">
        <v>-12.89</v>
      </c>
      <c r="G702" s="7">
        <v>-2.08000000000004</v>
      </c>
      <c r="H702" s="7">
        <v>0.239999999999952</v>
      </c>
      <c r="I702" s="7">
        <v>4.82000000000005</v>
      </c>
      <c r="J702" s="7">
        <v>-5.57999999999998</v>
      </c>
      <c r="K702" s="7">
        <v>-6.24000000000001</v>
      </c>
      <c r="L702" s="7">
        <v>0.269999999999982</v>
      </c>
      <c r="M702" s="7">
        <v>11.45</v>
      </c>
      <c r="N702" s="7">
        <v>7.65000000000001</v>
      </c>
      <c r="O702" s="7">
        <v>33.09</v>
      </c>
      <c r="P702" s="7">
        <v>48.8</v>
      </c>
      <c r="Q702" s="7">
        <v>16.07</v>
      </c>
      <c r="R702" s="7">
        <v>3.12</v>
      </c>
      <c r="S702" s="7">
        <v>-16.2</v>
      </c>
      <c r="T702" s="7">
        <v>-180.75</v>
      </c>
      <c r="U702" s="7">
        <v>-34.92</v>
      </c>
      <c r="V702" s="7">
        <v>17.74</v>
      </c>
      <c r="W702" s="7">
        <v>16.35</v>
      </c>
      <c r="X702" s="7">
        <v>5.98000000000002</v>
      </c>
      <c r="Y702" s="7">
        <v>2.25</v>
      </c>
      <c r="Z702" s="9">
        <f>MAX($B$702:$Y$702)</f>
        <v>48.8</v>
      </c>
      <c r="AA702" s="9">
        <f>MIN($B$702:$Y$702)</f>
        <v>-180.75</v>
      </c>
      <c r="AB702" s="9">
        <f>AVERAGE($B$702:$Y$702)</f>
        <v>-9.51333333333334</v>
      </c>
    </row>
    <row r="703" spans="1:28">
      <c r="A703" s="10">
        <v>45998</v>
      </c>
      <c r="B703" s="7">
        <v>-5.40999999999997</v>
      </c>
      <c r="C703" s="7">
        <v>6.06999999999999</v>
      </c>
      <c r="D703" s="7">
        <v>6.80000000000001</v>
      </c>
      <c r="E703" s="7">
        <v>7.00999999999999</v>
      </c>
      <c r="F703" s="7">
        <v>3.88</v>
      </c>
      <c r="G703" s="7">
        <v>6.14999999999998</v>
      </c>
      <c r="H703" s="7">
        <v>3.08999999999997</v>
      </c>
      <c r="I703" s="7">
        <v>2.05000000000001</v>
      </c>
      <c r="J703" s="7">
        <v>1.36000000000001</v>
      </c>
      <c r="K703" s="7">
        <v>37.19</v>
      </c>
      <c r="L703" s="7">
        <v>125.95</v>
      </c>
      <c r="M703" s="7">
        <v>145.11</v>
      </c>
      <c r="N703" s="7">
        <v>180.87</v>
      </c>
      <c r="O703" s="7">
        <v>156.07</v>
      </c>
      <c r="P703" s="7">
        <v>195.02</v>
      </c>
      <c r="Q703" s="7">
        <v>163.91</v>
      </c>
      <c r="R703" s="7">
        <v>10.54</v>
      </c>
      <c r="S703" s="7">
        <v>-30.21</v>
      </c>
      <c r="T703" s="7">
        <v>-386.7</v>
      </c>
      <c r="U703" s="7">
        <v>-237.88</v>
      </c>
      <c r="V703" s="7">
        <v>-25.94</v>
      </c>
      <c r="W703" s="7">
        <v>-54.14</v>
      </c>
      <c r="X703" s="7">
        <v>-5.5</v>
      </c>
      <c r="Y703" s="7">
        <v>-1.98000000000002</v>
      </c>
      <c r="Z703" s="9">
        <f>MAX($B$703:$Y$703)</f>
        <v>195.02</v>
      </c>
      <c r="AA703" s="9">
        <f>MIN($B$703:$Y$703)</f>
        <v>-386.7</v>
      </c>
      <c r="AB703" s="9">
        <f>AVERAGE($B$703:$Y$703)</f>
        <v>12.6379166666667</v>
      </c>
    </row>
    <row r="704" spans="1:28">
      <c r="A704" s="10">
        <v>45999</v>
      </c>
      <c r="B704" s="7">
        <v>1.37</v>
      </c>
      <c r="C704" s="7">
        <v>6.21999999999997</v>
      </c>
      <c r="D704" s="7">
        <v>4.53000000000003</v>
      </c>
      <c r="E704" s="7">
        <v>11.29</v>
      </c>
      <c r="F704" s="7">
        <v>19.31</v>
      </c>
      <c r="G704" s="7">
        <v>16.22</v>
      </c>
      <c r="H704" s="7">
        <v>2.98000000000002</v>
      </c>
      <c r="I704" s="7">
        <v>-0.149999999999977</v>
      </c>
      <c r="J704" s="7">
        <v>9.76999999999998</v>
      </c>
      <c r="K704" s="7">
        <v>82.47</v>
      </c>
      <c r="L704" s="7">
        <v>93.75</v>
      </c>
      <c r="M704" s="7">
        <v>51.83</v>
      </c>
      <c r="N704" s="7">
        <v>104.16</v>
      </c>
      <c r="O704" s="7">
        <v>84.95</v>
      </c>
      <c r="P704" s="7">
        <v>144.35</v>
      </c>
      <c r="Q704" s="7">
        <v>100.96</v>
      </c>
      <c r="R704" s="7">
        <v>1.19999999999999</v>
      </c>
      <c r="S704" s="7">
        <v>-130.46</v>
      </c>
      <c r="T704" s="7">
        <v>-650.05</v>
      </c>
      <c r="U704" s="7">
        <v>-13.86</v>
      </c>
      <c r="V704" s="7">
        <v>-22.99</v>
      </c>
      <c r="W704" s="7">
        <v>18.12</v>
      </c>
      <c r="X704" s="7">
        <v>7</v>
      </c>
      <c r="Y704" s="7">
        <v>-0.670000000000016</v>
      </c>
      <c r="Z704" s="9">
        <f>MAX($B$704:$Y$704)</f>
        <v>144.35</v>
      </c>
      <c r="AA704" s="9">
        <f>MIN($B$704:$Y$704)</f>
        <v>-650.05</v>
      </c>
      <c r="AB704" s="9">
        <f>AVERAGE($B$704:$Y$704)</f>
        <v>-2.40416666666667</v>
      </c>
    </row>
    <row r="705" spans="1:28">
      <c r="A705" s="10">
        <v>46000</v>
      </c>
      <c r="B705" s="7">
        <v>-5.19999999999999</v>
      </c>
      <c r="C705" s="7">
        <v>3.56999999999999</v>
      </c>
      <c r="D705" s="7">
        <v>7.62</v>
      </c>
      <c r="E705" s="7">
        <v>10.56</v>
      </c>
      <c r="F705" s="7">
        <v>11.89</v>
      </c>
      <c r="G705" s="7">
        <v>23.93</v>
      </c>
      <c r="H705" s="7">
        <v>0.389999999999986</v>
      </c>
      <c r="I705" s="7">
        <v>4.83000000000004</v>
      </c>
      <c r="J705" s="7">
        <v>9.63999999999999</v>
      </c>
      <c r="K705" s="7">
        <v>54.69</v>
      </c>
      <c r="L705" s="7">
        <v>80.81</v>
      </c>
      <c r="M705" s="7">
        <v>49.67</v>
      </c>
      <c r="N705" s="7">
        <v>106.56</v>
      </c>
      <c r="O705" s="7">
        <v>86.69</v>
      </c>
      <c r="P705" s="7">
        <v>102.37</v>
      </c>
      <c r="Q705" s="7">
        <v>70.95</v>
      </c>
      <c r="R705" s="7">
        <v>-14.81</v>
      </c>
      <c r="S705" s="7">
        <v>-105.24</v>
      </c>
      <c r="T705" s="7">
        <v>-277.96</v>
      </c>
      <c r="U705" s="7">
        <v>-89.48</v>
      </c>
      <c r="V705" s="7">
        <v>-28.87</v>
      </c>
      <c r="W705" s="7">
        <v>-16.78</v>
      </c>
      <c r="X705" s="7">
        <v>0.490000000000009</v>
      </c>
      <c r="Y705" s="7">
        <v>-2.46999999999997</v>
      </c>
      <c r="Z705" s="9">
        <f>MAX($B$705:$Y$705)</f>
        <v>106.56</v>
      </c>
      <c r="AA705" s="9">
        <f>MIN($B$705:$Y$705)</f>
        <v>-277.96</v>
      </c>
      <c r="AB705" s="9">
        <f>AVERAGE($B$705:$Y$705)</f>
        <v>3.49375</v>
      </c>
    </row>
    <row r="706" spans="1:28">
      <c r="A706" s="10">
        <v>46001</v>
      </c>
      <c r="B706" s="7">
        <v>6.68000000000001</v>
      </c>
      <c r="C706" s="7">
        <v>-9.87</v>
      </c>
      <c r="D706" s="7">
        <v>4.68000000000001</v>
      </c>
      <c r="E706" s="7">
        <v>-3.56999999999999</v>
      </c>
      <c r="F706" s="7">
        <v>10.35</v>
      </c>
      <c r="G706" s="7">
        <v>-0.5</v>
      </c>
      <c r="H706" s="7">
        <v>-5.97000000000003</v>
      </c>
      <c r="I706" s="7">
        <v>8.31999999999999</v>
      </c>
      <c r="J706" s="7">
        <v>-26.5</v>
      </c>
      <c r="K706" s="7">
        <v>-55.19</v>
      </c>
      <c r="L706" s="7">
        <v>-24.43</v>
      </c>
      <c r="M706" s="7">
        <v>-15.14</v>
      </c>
      <c r="N706" s="7">
        <v>-11.86</v>
      </c>
      <c r="O706" s="7">
        <v>-15.59</v>
      </c>
      <c r="P706" s="7">
        <v>-8.21999999999997</v>
      </c>
      <c r="Q706" s="7">
        <v>2.39999999999998</v>
      </c>
      <c r="R706" s="7">
        <v>-4.56999999999999</v>
      </c>
      <c r="S706" s="7">
        <v>-47.74</v>
      </c>
      <c r="T706" s="7">
        <v>-76.04</v>
      </c>
      <c r="U706" s="7">
        <v>-2.62</v>
      </c>
      <c r="V706" s="7">
        <v>-55.39</v>
      </c>
      <c r="W706" s="7">
        <v>-36.07</v>
      </c>
      <c r="X706" s="7">
        <v>-12.36</v>
      </c>
      <c r="Y706" s="7">
        <v>-9.58000000000004</v>
      </c>
      <c r="Z706" s="9">
        <f>MAX($B$706:$Y$706)</f>
        <v>10.35</v>
      </c>
      <c r="AA706" s="9">
        <f>MIN($B$706:$Y$706)</f>
        <v>-76.04</v>
      </c>
      <c r="AB706" s="9">
        <f>AVERAGE($B$706:$Y$706)</f>
        <v>-16.1991666666667</v>
      </c>
    </row>
    <row r="707" spans="1:28">
      <c r="A707" s="10">
        <v>46002</v>
      </c>
      <c r="B707" s="7">
        <v>28.96</v>
      </c>
      <c r="C707" s="7">
        <v>12.34</v>
      </c>
      <c r="D707" s="7">
        <v>13.62</v>
      </c>
      <c r="E707" s="7">
        <v>15.71</v>
      </c>
      <c r="F707" s="7">
        <v>16.62</v>
      </c>
      <c r="G707" s="7">
        <v>7.69999999999999</v>
      </c>
      <c r="H707" s="7">
        <v>11.02</v>
      </c>
      <c r="I707" s="7">
        <v>3.89999999999998</v>
      </c>
      <c r="J707" s="7">
        <v>-5.07999999999998</v>
      </c>
      <c r="K707" s="7">
        <v>-37.8</v>
      </c>
      <c r="L707" s="7">
        <v>-9.82999999999998</v>
      </c>
      <c r="M707" s="7">
        <v>9.84</v>
      </c>
      <c r="N707" s="7">
        <v>41.23</v>
      </c>
      <c r="O707" s="7">
        <v>33.76</v>
      </c>
      <c r="P707" s="7">
        <v>7.68000000000001</v>
      </c>
      <c r="Q707" s="7">
        <v>-2.05000000000001</v>
      </c>
      <c r="R707" s="7">
        <v>-9.57999999999998</v>
      </c>
      <c r="S707" s="7">
        <v>-23.24</v>
      </c>
      <c r="T707" s="7">
        <v>-43.29</v>
      </c>
      <c r="U707" s="7">
        <v>15.33</v>
      </c>
      <c r="V707" s="7">
        <v>-11.57</v>
      </c>
      <c r="W707" s="7">
        <v>-14.98</v>
      </c>
      <c r="X707" s="7">
        <v>5.40999999999997</v>
      </c>
      <c r="Y707" s="7">
        <v>2.65999999999997</v>
      </c>
      <c r="Z707" s="9">
        <f>MAX($B$707:$Y$707)</f>
        <v>41.23</v>
      </c>
      <c r="AA707" s="9">
        <f>MIN($B$707:$Y$707)</f>
        <v>-43.29</v>
      </c>
      <c r="AB707" s="9">
        <f>AVERAGE($B$707:$Y$707)</f>
        <v>2.84833333333333</v>
      </c>
    </row>
    <row r="708" spans="1:28">
      <c r="A708" s="10">
        <v>46003</v>
      </c>
      <c r="B708" s="7">
        <v>13.38</v>
      </c>
      <c r="C708" s="7">
        <v>12.63</v>
      </c>
      <c r="D708" s="7">
        <v>11.6</v>
      </c>
      <c r="E708" s="7">
        <v>8.99000000000001</v>
      </c>
      <c r="F708" s="7">
        <v>10.19</v>
      </c>
      <c r="G708" s="7">
        <v>6.12</v>
      </c>
      <c r="H708" s="7">
        <v>3.34999999999997</v>
      </c>
      <c r="I708" s="7">
        <v>-1.14999999999998</v>
      </c>
      <c r="J708" s="7">
        <v>8.37</v>
      </c>
      <c r="K708" s="7">
        <v>23.75</v>
      </c>
      <c r="L708" s="7">
        <v>35.89</v>
      </c>
      <c r="M708" s="7">
        <v>69.72</v>
      </c>
      <c r="N708" s="7">
        <v>170.89</v>
      </c>
      <c r="O708" s="7">
        <v>120.49</v>
      </c>
      <c r="P708" s="7">
        <v>51.6</v>
      </c>
      <c r="Q708" s="7">
        <v>15.3</v>
      </c>
      <c r="R708" s="7">
        <v>8.11000000000001</v>
      </c>
      <c r="S708" s="7">
        <v>4.30000000000001</v>
      </c>
      <c r="T708" s="7">
        <v>17.69</v>
      </c>
      <c r="U708" s="7">
        <v>15.03</v>
      </c>
      <c r="V708" s="7">
        <v>15.69</v>
      </c>
      <c r="W708" s="7">
        <v>31.86</v>
      </c>
      <c r="X708" s="7">
        <v>28.18</v>
      </c>
      <c r="Y708" s="7">
        <v>23.03</v>
      </c>
      <c r="Z708" s="9">
        <f>MAX($B$708:$Y$708)</f>
        <v>170.89</v>
      </c>
      <c r="AA708" s="9">
        <f>MIN($B$708:$Y$708)</f>
        <v>-1.14999999999998</v>
      </c>
      <c r="AB708" s="9">
        <f>AVERAGE($B$708:$Y$708)</f>
        <v>29.3754166666667</v>
      </c>
    </row>
    <row r="709" spans="1:28">
      <c r="A709" s="10">
        <v>46004</v>
      </c>
      <c r="B709" s="7">
        <v>-7.64000000000004</v>
      </c>
      <c r="C709" s="7">
        <v>-18.49</v>
      </c>
      <c r="D709" s="7">
        <v>-16.6</v>
      </c>
      <c r="E709" s="7">
        <v>-1.00999999999999</v>
      </c>
      <c r="F709" s="7">
        <v>-10.33</v>
      </c>
      <c r="G709" s="7">
        <v>-23.65</v>
      </c>
      <c r="H709" s="7">
        <v>-31.71</v>
      </c>
      <c r="I709" s="7">
        <v>-24.52</v>
      </c>
      <c r="J709" s="7">
        <v>-26.58</v>
      </c>
      <c r="K709" s="7">
        <v>3.67000000000002</v>
      </c>
      <c r="L709" s="7">
        <v>-15.33</v>
      </c>
      <c r="M709" s="7">
        <v>-37.93</v>
      </c>
      <c r="N709" s="7">
        <v>-12.77</v>
      </c>
      <c r="O709" s="7">
        <v>-58.84</v>
      </c>
      <c r="P709" s="7">
        <v>-28.75</v>
      </c>
      <c r="Q709" s="7">
        <v>-14.4</v>
      </c>
      <c r="R709" s="7">
        <v>2.14999999999998</v>
      </c>
      <c r="S709" s="7">
        <v>-21</v>
      </c>
      <c r="T709" s="7">
        <v>-38.03</v>
      </c>
      <c r="U709" s="7">
        <v>-19.91</v>
      </c>
      <c r="V709" s="7">
        <v>22.51</v>
      </c>
      <c r="W709" s="7">
        <v>29.75</v>
      </c>
      <c r="X709" s="7">
        <v>15.16</v>
      </c>
      <c r="Y709" s="7">
        <v>25.89</v>
      </c>
      <c r="Z709" s="9">
        <f>MAX($B$709:$Y$709)</f>
        <v>29.75</v>
      </c>
      <c r="AA709" s="9">
        <f>MIN($B$709:$Y$709)</f>
        <v>-58.84</v>
      </c>
      <c r="AB709" s="9">
        <f>AVERAGE($B$709:$Y$709)</f>
        <v>-12.8483333333333</v>
      </c>
    </row>
    <row r="710" spans="1:28">
      <c r="A710" s="10">
        <v>46005</v>
      </c>
      <c r="B710" s="7">
        <v>52.77</v>
      </c>
      <c r="C710" s="7">
        <v>42.28</v>
      </c>
      <c r="D710" s="7">
        <v>31.15</v>
      </c>
      <c r="E710" s="7">
        <v>21.39</v>
      </c>
      <c r="F710" s="7">
        <v>30.88</v>
      </c>
      <c r="G710" s="7">
        <v>24.51</v>
      </c>
      <c r="H710" s="7">
        <v>31.41</v>
      </c>
      <c r="I710" s="7">
        <v>40.98</v>
      </c>
      <c r="J710" s="7">
        <v>19.04</v>
      </c>
      <c r="K710" s="7">
        <v>24.02</v>
      </c>
      <c r="L710" s="7">
        <v>92.31</v>
      </c>
      <c r="M710" s="7">
        <v>79.11</v>
      </c>
      <c r="N710" s="7">
        <v>17.38</v>
      </c>
      <c r="O710" s="7">
        <v>23.86</v>
      </c>
      <c r="P710" s="7">
        <v>90.83</v>
      </c>
      <c r="Q710" s="7">
        <v>142.16</v>
      </c>
      <c r="R710" s="7">
        <v>27.83</v>
      </c>
      <c r="S710" s="7">
        <v>28.37</v>
      </c>
      <c r="T710" s="7">
        <v>30.85</v>
      </c>
      <c r="U710" s="7">
        <v>48.22</v>
      </c>
      <c r="V710" s="7">
        <v>45.15</v>
      </c>
      <c r="W710" s="7">
        <v>38.25</v>
      </c>
      <c r="X710" s="7">
        <v>37.27</v>
      </c>
      <c r="Y710" s="7">
        <v>24.31</v>
      </c>
      <c r="Z710" s="9">
        <f>MAX($B$710:$Y$710)</f>
        <v>142.16</v>
      </c>
      <c r="AA710" s="9">
        <f>MIN($B$710:$Y$710)</f>
        <v>17.38</v>
      </c>
      <c r="AB710" s="9">
        <f>AVERAGE($B$710:$Y$710)</f>
        <v>43.51375</v>
      </c>
    </row>
    <row r="711" spans="1:28">
      <c r="A711" s="10">
        <v>46006</v>
      </c>
      <c r="B711" s="7">
        <v>16.28</v>
      </c>
      <c r="C711" s="7">
        <v>10.62</v>
      </c>
      <c r="D711" s="7">
        <v>14.35</v>
      </c>
      <c r="E711" s="7">
        <v>16.71</v>
      </c>
      <c r="F711" s="7">
        <v>17.95</v>
      </c>
      <c r="G711" s="7">
        <v>9.15000000000003</v>
      </c>
      <c r="H711" s="7">
        <v>7.28000000000003</v>
      </c>
      <c r="I711" s="7">
        <v>10.9</v>
      </c>
      <c r="J711" s="7">
        <v>15.7</v>
      </c>
      <c r="K711" s="7">
        <v>55.78</v>
      </c>
      <c r="L711" s="7">
        <v>76.77</v>
      </c>
      <c r="M711" s="7">
        <v>129.68</v>
      </c>
      <c r="N711" s="7">
        <v>129.71</v>
      </c>
      <c r="O711" s="7">
        <v>98.29</v>
      </c>
      <c r="P711" s="7">
        <v>127.15</v>
      </c>
      <c r="Q711" s="7">
        <v>141.91</v>
      </c>
      <c r="R711" s="7">
        <v>20</v>
      </c>
      <c r="S711" s="7">
        <v>-4.10999999999996</v>
      </c>
      <c r="T711" s="7">
        <v>-75.51</v>
      </c>
      <c r="U711" s="7">
        <v>-82.08</v>
      </c>
      <c r="V711" s="7">
        <v>-24.35</v>
      </c>
      <c r="W711" s="7">
        <v>-50.76</v>
      </c>
      <c r="X711" s="7">
        <v>8.21000000000004</v>
      </c>
      <c r="Y711" s="7">
        <v>-0.199999999999989</v>
      </c>
      <c r="Z711" s="9">
        <f>MAX($B$711:$Y$711)</f>
        <v>141.91</v>
      </c>
      <c r="AA711" s="9">
        <f>MIN($B$711:$Y$711)</f>
        <v>-82.08</v>
      </c>
      <c r="AB711" s="9">
        <f>AVERAGE($B$711:$Y$711)</f>
        <v>27.8929166666667</v>
      </c>
    </row>
    <row r="712" spans="1:28">
      <c r="A712" s="10">
        <v>46007</v>
      </c>
      <c r="B712" s="7">
        <v>-3.75</v>
      </c>
      <c r="C712" s="7">
        <v>8.56999999999999</v>
      </c>
      <c r="D712" s="7">
        <v>9.10000000000002</v>
      </c>
      <c r="E712" s="7">
        <v>3.80000000000001</v>
      </c>
      <c r="F712" s="7">
        <v>1.84000000000003</v>
      </c>
      <c r="G712" s="7">
        <v>2.79000000000002</v>
      </c>
      <c r="H712" s="7">
        <v>-0.629999999999995</v>
      </c>
      <c r="I712" s="7">
        <v>1.69999999999999</v>
      </c>
      <c r="J712" s="7">
        <v>-8.86000000000001</v>
      </c>
      <c r="K712" s="7">
        <v>32</v>
      </c>
      <c r="L712" s="7">
        <v>20.44</v>
      </c>
      <c r="M712" s="7">
        <v>43.81</v>
      </c>
      <c r="N712" s="7">
        <v>54.9</v>
      </c>
      <c r="O712" s="7">
        <v>17.85</v>
      </c>
      <c r="P712" s="7">
        <v>33.95</v>
      </c>
      <c r="Q712" s="7">
        <v>25.57</v>
      </c>
      <c r="R712" s="7">
        <v>46.59</v>
      </c>
      <c r="S712" s="7">
        <v>-66.7</v>
      </c>
      <c r="T712" s="7">
        <v>-140.35</v>
      </c>
      <c r="U712" s="7">
        <v>14.63</v>
      </c>
      <c r="V712" s="7">
        <v>49.77</v>
      </c>
      <c r="W712" s="7">
        <v>27.16</v>
      </c>
      <c r="X712" s="7">
        <v>3.24000000000001</v>
      </c>
      <c r="Y712" s="7">
        <v>14.86</v>
      </c>
      <c r="Z712" s="9">
        <f>MAX($B$712:$Y$712)</f>
        <v>54.9</v>
      </c>
      <c r="AA712" s="9">
        <f>MIN($B$712:$Y$712)</f>
        <v>-140.35</v>
      </c>
      <c r="AB712" s="9">
        <f>AVERAGE($B$712:$Y$712)</f>
        <v>8.01166666666667</v>
      </c>
    </row>
    <row r="713" spans="1:28">
      <c r="A713" s="10">
        <v>46008</v>
      </c>
      <c r="B713" s="7">
        <v>-67.91</v>
      </c>
      <c r="C713" s="7">
        <v>-8.56</v>
      </c>
      <c r="D713" s="7">
        <v>-3</v>
      </c>
      <c r="E713" s="7">
        <v>4.40999999999997</v>
      </c>
      <c r="F713" s="7">
        <v>5.44999999999999</v>
      </c>
      <c r="G713" s="7">
        <v>2.60000000000002</v>
      </c>
      <c r="H713" s="7">
        <v>-5.85000000000002</v>
      </c>
      <c r="I713" s="7">
        <v>-18.84</v>
      </c>
      <c r="J713" s="7">
        <v>-22.53</v>
      </c>
      <c r="K713" s="7">
        <v>29.12</v>
      </c>
      <c r="L713" s="7">
        <v>74.4</v>
      </c>
      <c r="M713" s="7">
        <v>114.88</v>
      </c>
      <c r="N713" s="7">
        <v>190.15</v>
      </c>
      <c r="O713" s="7">
        <v>183.74</v>
      </c>
      <c r="P713" s="7">
        <v>206.49</v>
      </c>
      <c r="Q713" s="7">
        <v>91.19</v>
      </c>
      <c r="R713" s="7">
        <v>-19.83</v>
      </c>
      <c r="S713" s="7">
        <v>-381.4</v>
      </c>
      <c r="T713" s="7">
        <v>-250.6</v>
      </c>
      <c r="U713" s="7">
        <v>16.69</v>
      </c>
      <c r="V713" s="7">
        <v>-6.08999999999997</v>
      </c>
      <c r="W713" s="7">
        <v>6.78999999999996</v>
      </c>
      <c r="X713" s="7">
        <v>-4.53999999999996</v>
      </c>
      <c r="Y713" s="7">
        <v>8.43000000000001</v>
      </c>
      <c r="Z713" s="9">
        <f>MAX($B$713:$Y$713)</f>
        <v>206.49</v>
      </c>
      <c r="AA713" s="9">
        <f>MIN($B$713:$Y$713)</f>
        <v>-381.4</v>
      </c>
      <c r="AB713" s="9">
        <f>AVERAGE($B$713:$Y$713)</f>
        <v>6.04958333333334</v>
      </c>
    </row>
    <row r="714" spans="1:28">
      <c r="A714" s="10">
        <v>46009</v>
      </c>
      <c r="B714" s="7">
        <v>-125.02</v>
      </c>
      <c r="C714" s="7">
        <v>-160.68</v>
      </c>
      <c r="D714" s="7">
        <v>-65.64</v>
      </c>
      <c r="E714" s="7">
        <v>-36.51</v>
      </c>
      <c r="F714" s="7">
        <v>4.30000000000001</v>
      </c>
      <c r="G714" s="7">
        <v>-26.8699999999999</v>
      </c>
      <c r="H714" s="7">
        <v>-67.21</v>
      </c>
      <c r="I714" s="7">
        <v>-67.72</v>
      </c>
      <c r="J714" s="7">
        <v>-35.7</v>
      </c>
      <c r="K714" s="7">
        <v>27.12</v>
      </c>
      <c r="L714" s="7">
        <v>125.03</v>
      </c>
      <c r="M714" s="7">
        <v>81.59</v>
      </c>
      <c r="N714" s="7">
        <v>12.41</v>
      </c>
      <c r="O714" s="7">
        <v>72.33</v>
      </c>
      <c r="P714" s="7">
        <v>60.99</v>
      </c>
      <c r="Q714" s="7">
        <v>174.43</v>
      </c>
      <c r="R714" s="7">
        <v>22.79</v>
      </c>
      <c r="S714" s="7">
        <v>22.72</v>
      </c>
      <c r="T714" s="7">
        <v>55.45</v>
      </c>
      <c r="U714" s="7">
        <v>136.75</v>
      </c>
      <c r="V714" s="7">
        <v>80.22</v>
      </c>
      <c r="W714" s="7">
        <v>78.3699999999999</v>
      </c>
      <c r="X714" s="7">
        <v>32.66</v>
      </c>
      <c r="Y714" s="7">
        <v>2.78000000000003</v>
      </c>
      <c r="Z714" s="9">
        <f>MAX($B$714:$Y$714)</f>
        <v>174.43</v>
      </c>
      <c r="AA714" s="9">
        <f>MIN($B$714:$Y$714)</f>
        <v>-160.68</v>
      </c>
      <c r="AB714" s="9">
        <f>AVERAGE($B$714:$Y$714)</f>
        <v>16.8579166666667</v>
      </c>
    </row>
    <row r="715" spans="1:28">
      <c r="A715" s="10">
        <v>46010</v>
      </c>
      <c r="B715" s="7">
        <v>22.01</v>
      </c>
      <c r="C715" s="7">
        <v>24.09</v>
      </c>
      <c r="D715" s="7">
        <v>7.17000000000002</v>
      </c>
      <c r="E715" s="7">
        <v>25.31</v>
      </c>
      <c r="F715" s="7">
        <v>45.64</v>
      </c>
      <c r="G715" s="7">
        <v>24.51</v>
      </c>
      <c r="H715" s="7">
        <v>20.57</v>
      </c>
      <c r="I715" s="7">
        <v>11.07</v>
      </c>
      <c r="J715" s="7">
        <v>-34.15</v>
      </c>
      <c r="K715" s="7">
        <v>-12.78</v>
      </c>
      <c r="L715" s="7">
        <v>43.57</v>
      </c>
      <c r="M715" s="7">
        <v>64.54</v>
      </c>
      <c r="N715" s="7">
        <v>75.82</v>
      </c>
      <c r="O715" s="7">
        <v>16.25</v>
      </c>
      <c r="P715" s="7">
        <v>60.25</v>
      </c>
      <c r="Q715" s="7">
        <v>2.32999999999998</v>
      </c>
      <c r="R715" s="7">
        <v>20.41</v>
      </c>
      <c r="S715" s="7">
        <v>-25.98</v>
      </c>
      <c r="T715" s="7">
        <v>3.57999999999993</v>
      </c>
      <c r="U715" s="7">
        <v>25.2</v>
      </c>
      <c r="V715" s="7">
        <v>64.41</v>
      </c>
      <c r="W715" s="7">
        <v>78.34</v>
      </c>
      <c r="X715" s="7">
        <v>9.46999999999997</v>
      </c>
      <c r="Y715" s="7">
        <v>3.11000000000001</v>
      </c>
      <c r="Z715" s="9">
        <f>MAX($B$715:$Y$715)</f>
        <v>78.34</v>
      </c>
      <c r="AA715" s="9">
        <f>MIN($B$715:$Y$715)</f>
        <v>-34.15</v>
      </c>
      <c r="AB715" s="9">
        <f>AVERAGE($B$715:$Y$715)</f>
        <v>23.9475</v>
      </c>
    </row>
    <row r="716" spans="1:28">
      <c r="A716" s="10">
        <v>46011</v>
      </c>
      <c r="B716" s="7">
        <v>3.25</v>
      </c>
      <c r="C716" s="7">
        <v>-2.93000000000001</v>
      </c>
      <c r="D716" s="7">
        <v>10.75</v>
      </c>
      <c r="E716" s="7">
        <v>-1.48999999999995</v>
      </c>
      <c r="F716" s="7">
        <v>-5.10000000000002</v>
      </c>
      <c r="G716" s="7">
        <v>-4.47000000000003</v>
      </c>
      <c r="H716" s="7">
        <v>9.42000000000002</v>
      </c>
      <c r="I716" s="7">
        <v>5.07999999999998</v>
      </c>
      <c r="J716" s="7">
        <v>-7.55000000000001</v>
      </c>
      <c r="K716" s="7">
        <v>26.89</v>
      </c>
      <c r="L716" s="7">
        <v>8.63999999999999</v>
      </c>
      <c r="M716" s="7">
        <v>-2.75</v>
      </c>
      <c r="N716" s="7">
        <v>11.05</v>
      </c>
      <c r="O716" s="7">
        <v>-13.35</v>
      </c>
      <c r="P716" s="7">
        <v>10.08</v>
      </c>
      <c r="Q716" s="7">
        <v>27.36</v>
      </c>
      <c r="R716" s="7">
        <v>40.79</v>
      </c>
      <c r="S716" s="7">
        <v>53.03</v>
      </c>
      <c r="T716" s="7">
        <v>-16.04</v>
      </c>
      <c r="U716" s="7">
        <v>53.91</v>
      </c>
      <c r="V716" s="7">
        <v>95.91</v>
      </c>
      <c r="W716" s="7">
        <v>94.78</v>
      </c>
      <c r="X716" s="7">
        <v>54.4299999999999</v>
      </c>
      <c r="Y716" s="7">
        <v>15.32</v>
      </c>
      <c r="Z716" s="9">
        <f>MAX($B$716:$Y$716)</f>
        <v>95.91</v>
      </c>
      <c r="AA716" s="9">
        <f>MIN($B$716:$Y$716)</f>
        <v>-16.04</v>
      </c>
      <c r="AB716" s="9">
        <f>AVERAGE($B$716:$Y$716)</f>
        <v>19.45875</v>
      </c>
    </row>
    <row r="717" spans="1:28">
      <c r="A717" s="10">
        <v>46012</v>
      </c>
      <c r="B717" s="7">
        <v>-8.67000000000002</v>
      </c>
      <c r="C717" s="7">
        <v>-10.44</v>
      </c>
      <c r="D717" s="7">
        <v>4.43000000000001</v>
      </c>
      <c r="E717" s="7">
        <v>2.93000000000001</v>
      </c>
      <c r="F717" s="7">
        <v>9.26999999999998</v>
      </c>
      <c r="G717" s="7">
        <v>12.62</v>
      </c>
      <c r="H717" s="7">
        <v>6.58999999999997</v>
      </c>
      <c r="I717" s="7">
        <v>-2.87</v>
      </c>
      <c r="J717" s="7">
        <v>5.31</v>
      </c>
      <c r="K717" s="7">
        <v>218.19</v>
      </c>
      <c r="L717" s="7">
        <v>150.06</v>
      </c>
      <c r="M717" s="7">
        <v>49.83</v>
      </c>
      <c r="N717" s="7">
        <v>5.77</v>
      </c>
      <c r="O717" s="7">
        <v>21.19</v>
      </c>
      <c r="P717" s="7">
        <v>31.3</v>
      </c>
      <c r="Q717" s="7">
        <v>111.12</v>
      </c>
      <c r="R717" s="7">
        <v>135.43</v>
      </c>
      <c r="S717" s="7">
        <v>-13.81</v>
      </c>
      <c r="T717" s="7">
        <v>22.53</v>
      </c>
      <c r="U717" s="7">
        <v>35.99</v>
      </c>
      <c r="V717" s="7">
        <v>15.1</v>
      </c>
      <c r="W717" s="7">
        <v>25.65</v>
      </c>
      <c r="X717" s="7">
        <v>33.91</v>
      </c>
      <c r="Y717" s="7">
        <v>51.94</v>
      </c>
      <c r="Z717" s="9">
        <f>MAX($B$717:$Y$717)</f>
        <v>218.19</v>
      </c>
      <c r="AA717" s="9">
        <f>MIN($B$717:$Y$717)</f>
        <v>-13.81</v>
      </c>
      <c r="AB717" s="9">
        <f>AVERAGE($B$717:$Y$717)</f>
        <v>38.0570833333333</v>
      </c>
    </row>
    <row r="718" spans="1:28">
      <c r="A718" s="10">
        <v>46013</v>
      </c>
      <c r="B718" s="7">
        <v>36.89</v>
      </c>
      <c r="C718" s="7">
        <v>40.35</v>
      </c>
      <c r="D718" s="7">
        <v>36.44</v>
      </c>
      <c r="E718" s="7">
        <v>48.51</v>
      </c>
      <c r="F718" s="7">
        <v>43.32</v>
      </c>
      <c r="G718" s="7">
        <v>65.3</v>
      </c>
      <c r="H718" s="7">
        <v>52.6</v>
      </c>
      <c r="I718" s="7">
        <v>51.78</v>
      </c>
      <c r="J718" s="7">
        <v>1.43000000000001</v>
      </c>
      <c r="K718" s="7">
        <v>-15.2</v>
      </c>
      <c r="L718" s="7">
        <v>18.27</v>
      </c>
      <c r="M718" s="7">
        <v>66.94</v>
      </c>
      <c r="N718" s="7">
        <v>-62.64</v>
      </c>
      <c r="O718" s="7">
        <v>-58.57</v>
      </c>
      <c r="P718" s="7">
        <v>4.58</v>
      </c>
      <c r="Q718" s="7">
        <v>59.8</v>
      </c>
      <c r="R718" s="7">
        <v>77.43</v>
      </c>
      <c r="S718" s="7">
        <v>77.94</v>
      </c>
      <c r="T718" s="7">
        <v>48.24</v>
      </c>
      <c r="U718" s="7">
        <v>61.15</v>
      </c>
      <c r="V718" s="7">
        <v>74.5</v>
      </c>
      <c r="W718" s="7">
        <v>92.75</v>
      </c>
      <c r="X718" s="7">
        <v>90.6</v>
      </c>
      <c r="Y718" s="7">
        <v>58.89</v>
      </c>
      <c r="Z718" s="9">
        <f>MAX($B$718:$Y$718)</f>
        <v>92.75</v>
      </c>
      <c r="AA718" s="9">
        <f>MIN($B$718:$Y$718)</f>
        <v>-62.64</v>
      </c>
      <c r="AB718" s="9">
        <f>AVERAGE($B$718:$Y$718)</f>
        <v>40.4708333333333</v>
      </c>
    </row>
    <row r="719" spans="1:28">
      <c r="A719" s="10">
        <v>46014</v>
      </c>
      <c r="B719" s="7">
        <v>52.7</v>
      </c>
      <c r="C719" s="7">
        <v>34.93</v>
      </c>
      <c r="D719" s="7">
        <v>7.78999999999996</v>
      </c>
      <c r="E719" s="7">
        <v>19.62</v>
      </c>
      <c r="F719" s="7">
        <v>27.81</v>
      </c>
      <c r="G719" s="7">
        <v>23.54</v>
      </c>
      <c r="H719" s="7">
        <v>5.44999999999999</v>
      </c>
      <c r="I719" s="7">
        <v>-24.88</v>
      </c>
      <c r="J719" s="7">
        <v>-1.22999999999996</v>
      </c>
      <c r="K719" s="7">
        <v>86.06</v>
      </c>
      <c r="L719" s="7">
        <v>-9.01999999999998</v>
      </c>
      <c r="M719" s="7">
        <v>-39</v>
      </c>
      <c r="N719" s="7">
        <v>46.43</v>
      </c>
      <c r="O719" s="7">
        <v>16.6</v>
      </c>
      <c r="P719" s="7">
        <v>12.44</v>
      </c>
      <c r="Q719" s="7">
        <v>-8.63</v>
      </c>
      <c r="R719" s="7">
        <v>-7.88999999999999</v>
      </c>
      <c r="S719" s="7">
        <v>-50.71</v>
      </c>
      <c r="T719" s="7">
        <v>-439.91</v>
      </c>
      <c r="U719" s="7">
        <v>-63.9400000000001</v>
      </c>
      <c r="V719" s="7">
        <v>4.91000000000003</v>
      </c>
      <c r="W719" s="7">
        <v>69.79</v>
      </c>
      <c r="X719" s="7">
        <v>75.34</v>
      </c>
      <c r="Y719" s="7">
        <v>28.44</v>
      </c>
      <c r="Z719" s="9">
        <f>MAX($B$719:$Y$719)</f>
        <v>86.06</v>
      </c>
      <c r="AA719" s="9">
        <f>MIN($B$719:$Y$719)</f>
        <v>-439.91</v>
      </c>
      <c r="AB719" s="9">
        <f>AVERAGE($B$719:$Y$719)</f>
        <v>-5.55666666666667</v>
      </c>
    </row>
    <row r="720" spans="1:28">
      <c r="A720" s="10">
        <v>46015</v>
      </c>
      <c r="B720" s="7">
        <v>28.34</v>
      </c>
      <c r="C720" s="7">
        <v>16.72</v>
      </c>
      <c r="D720" s="7">
        <v>19.94</v>
      </c>
      <c r="E720" s="7">
        <v>3.52999999999997</v>
      </c>
      <c r="F720" s="7">
        <v>11.14</v>
      </c>
      <c r="G720" s="7">
        <v>15.96</v>
      </c>
      <c r="H720" s="7">
        <v>3.65999999999997</v>
      </c>
      <c r="I720" s="7">
        <v>-1.04999999999995</v>
      </c>
      <c r="J720" s="7">
        <v>11.92</v>
      </c>
      <c r="K720" s="7">
        <v>30.91</v>
      </c>
      <c r="L720" s="7">
        <v>20.5</v>
      </c>
      <c r="M720" s="7">
        <v>26.23</v>
      </c>
      <c r="N720" s="7">
        <v>64.03</v>
      </c>
      <c r="O720" s="7">
        <v>7.39999999999998</v>
      </c>
      <c r="P720" s="7">
        <v>11.97</v>
      </c>
      <c r="Q720" s="7">
        <v>13.53</v>
      </c>
      <c r="R720" s="7">
        <v>28.48</v>
      </c>
      <c r="S720" s="7">
        <v>28.53</v>
      </c>
      <c r="T720" s="7">
        <v>35.03</v>
      </c>
      <c r="U720" s="7">
        <v>63.81</v>
      </c>
      <c r="V720" s="7">
        <v>28.06</v>
      </c>
      <c r="W720" s="7">
        <v>102.61</v>
      </c>
      <c r="X720" s="7">
        <v>52.23</v>
      </c>
      <c r="Y720" s="7">
        <v>7.39999999999998</v>
      </c>
      <c r="Z720" s="9">
        <f>MAX($B$720:$Y$720)</f>
        <v>102.61</v>
      </c>
      <c r="AA720" s="9">
        <f>MIN($B$720:$Y$720)</f>
        <v>-1.04999999999995</v>
      </c>
      <c r="AB720" s="9">
        <f>AVERAGE($B$720:$Y$720)</f>
        <v>26.2866666666667</v>
      </c>
    </row>
    <row r="721" spans="1:28">
      <c r="A721" s="10">
        <v>46016</v>
      </c>
      <c r="B721" s="7">
        <v>5.11000000000001</v>
      </c>
      <c r="C721" s="7">
        <v>-22.24</v>
      </c>
      <c r="D721" s="7">
        <v>1.85000000000002</v>
      </c>
      <c r="E721" s="7">
        <v>5.09000000000003</v>
      </c>
      <c r="F721" s="7">
        <v>3.51999999999998</v>
      </c>
      <c r="G721" s="7">
        <v>-5.04000000000002</v>
      </c>
      <c r="H721" s="7">
        <v>-2.96999999999997</v>
      </c>
      <c r="I721" s="7">
        <v>2.60999999999996</v>
      </c>
      <c r="J721" s="7">
        <v>-27.27</v>
      </c>
      <c r="K721" s="7">
        <v>-7.62</v>
      </c>
      <c r="L721" s="7">
        <v>-28.4</v>
      </c>
      <c r="M721" s="7">
        <v>10.23</v>
      </c>
      <c r="N721" s="7">
        <v>69.5</v>
      </c>
      <c r="O721" s="7">
        <v>-1.66</v>
      </c>
      <c r="P721" s="7">
        <v>4.66</v>
      </c>
      <c r="Q721" s="7">
        <v>43.89</v>
      </c>
      <c r="R721" s="7">
        <v>17.24</v>
      </c>
      <c r="S721" s="7">
        <v>51.1</v>
      </c>
      <c r="T721" s="7">
        <v>91.28</v>
      </c>
      <c r="U721" s="7">
        <v>84.08</v>
      </c>
      <c r="V721" s="7">
        <v>88.75</v>
      </c>
      <c r="W721" s="7">
        <v>83.37</v>
      </c>
      <c r="X721" s="7">
        <v>39.78</v>
      </c>
      <c r="Y721" s="7">
        <v>32.5</v>
      </c>
      <c r="Z721" s="9">
        <f>MAX($B$721:$Y$721)</f>
        <v>91.28</v>
      </c>
      <c r="AA721" s="9">
        <f>MIN($B$721:$Y$721)</f>
        <v>-28.4</v>
      </c>
      <c r="AB721" s="9">
        <f>AVERAGE($B$721:$Y$721)</f>
        <v>22.4733333333333</v>
      </c>
    </row>
    <row r="722" spans="1:28">
      <c r="A722" s="10">
        <v>46017</v>
      </c>
      <c r="B722" s="7">
        <v>15</v>
      </c>
      <c r="C722" s="7">
        <v>24.79</v>
      </c>
      <c r="D722" s="7">
        <v>33.78</v>
      </c>
      <c r="E722" s="7">
        <v>35</v>
      </c>
      <c r="F722" s="7">
        <v>28.3</v>
      </c>
      <c r="G722" s="7">
        <v>14.96</v>
      </c>
      <c r="H722" s="7">
        <v>0.169999999999959</v>
      </c>
      <c r="I722" s="7">
        <v>-5.52999999999997</v>
      </c>
      <c r="J722" s="7">
        <v>-114.53</v>
      </c>
      <c r="K722" s="7">
        <v>-167.36</v>
      </c>
      <c r="L722" s="7">
        <v>-99.99</v>
      </c>
      <c r="M722" s="7">
        <v>-79.25</v>
      </c>
      <c r="N722" s="7">
        <v>-201.27</v>
      </c>
      <c r="O722" s="7">
        <v>-159.19</v>
      </c>
      <c r="P722" s="7">
        <v>-59.3</v>
      </c>
      <c r="Q722" s="7">
        <v>-57.18</v>
      </c>
      <c r="R722" s="7">
        <v>4.5</v>
      </c>
      <c r="S722" s="7">
        <v>-5.29999999999995</v>
      </c>
      <c r="T722" s="7">
        <v>13.45</v>
      </c>
      <c r="U722" s="7">
        <v>-264.44</v>
      </c>
      <c r="V722" s="7">
        <v>-178.2</v>
      </c>
      <c r="W722" s="7">
        <v>-28.29</v>
      </c>
      <c r="X722" s="7">
        <v>-26.95</v>
      </c>
      <c r="Y722" s="7">
        <v>3.93000000000001</v>
      </c>
      <c r="Z722" s="9">
        <f>MAX($B$722:$Y$722)</f>
        <v>35</v>
      </c>
      <c r="AA722" s="9">
        <f>MIN($B$722:$Y$722)</f>
        <v>-264.44</v>
      </c>
      <c r="AB722" s="9">
        <f>AVERAGE($B$722:$Y$722)</f>
        <v>-53.0375</v>
      </c>
    </row>
    <row r="723" spans="1:28">
      <c r="A723" s="10">
        <v>46018</v>
      </c>
      <c r="B723" s="7">
        <v>-24.87</v>
      </c>
      <c r="C723" s="7">
        <v>-35.08</v>
      </c>
      <c r="D723" s="7">
        <v>-31.84</v>
      </c>
      <c r="E723" s="7">
        <v>-3.38</v>
      </c>
      <c r="F723" s="7">
        <v>-2.16000000000002</v>
      </c>
      <c r="G723" s="7">
        <v>-3.70999999999998</v>
      </c>
      <c r="H723" s="7">
        <v>6.83999999999997</v>
      </c>
      <c r="I723" s="7">
        <v>4.38000000000005</v>
      </c>
      <c r="J723" s="7">
        <v>-2.81</v>
      </c>
      <c r="K723" s="7">
        <v>54.53</v>
      </c>
      <c r="L723" s="7">
        <v>76.86</v>
      </c>
      <c r="M723" s="7">
        <v>125.45</v>
      </c>
      <c r="N723" s="7">
        <v>107.34</v>
      </c>
      <c r="O723" s="7">
        <v>103.27</v>
      </c>
      <c r="P723" s="7">
        <v>159.36</v>
      </c>
      <c r="Q723" s="7">
        <v>74.14</v>
      </c>
      <c r="R723" s="7">
        <v>-97.27</v>
      </c>
      <c r="S723" s="7">
        <v>-57.8</v>
      </c>
      <c r="T723" s="7">
        <v>-168.35</v>
      </c>
      <c r="U723" s="7">
        <v>91.3199999999999</v>
      </c>
      <c r="V723" s="7">
        <v>15.24</v>
      </c>
      <c r="W723" s="7">
        <v>41.5</v>
      </c>
      <c r="X723" s="7">
        <v>-20.5</v>
      </c>
      <c r="Y723" s="7">
        <v>-28.13</v>
      </c>
      <c r="Z723" s="9">
        <f>MAX($B$723:$Y$723)</f>
        <v>159.36</v>
      </c>
      <c r="AA723" s="9">
        <f>MIN($B$723:$Y$723)</f>
        <v>-168.35</v>
      </c>
      <c r="AB723" s="9">
        <f>AVERAGE($B$723:$Y$723)</f>
        <v>16.01375</v>
      </c>
    </row>
    <row r="724" spans="1:28">
      <c r="A724" s="10">
        <v>46019</v>
      </c>
      <c r="B724" s="7">
        <v>-134.19</v>
      </c>
      <c r="C724" s="7">
        <v>-24.05</v>
      </c>
      <c r="D724" s="7">
        <v>-13.79</v>
      </c>
      <c r="E724" s="7">
        <v>14.72</v>
      </c>
      <c r="F724" s="7">
        <v>8.86000000000001</v>
      </c>
      <c r="G724" s="7">
        <v>1.5</v>
      </c>
      <c r="H724" s="7">
        <v>14.45</v>
      </c>
      <c r="I724" s="7">
        <v>17.93</v>
      </c>
      <c r="J724" s="7">
        <v>2.94999999999999</v>
      </c>
      <c r="K724" s="7">
        <v>40.91</v>
      </c>
      <c r="L724" s="7">
        <v>13.98</v>
      </c>
      <c r="M724" s="7">
        <v>95.7</v>
      </c>
      <c r="N724" s="7">
        <v>108.91</v>
      </c>
      <c r="O724" s="7">
        <v>-2.16999999999999</v>
      </c>
      <c r="P724" s="7">
        <v>137.28</v>
      </c>
      <c r="Q724" s="7">
        <v>79.67</v>
      </c>
      <c r="R724" s="7">
        <v>-64.58</v>
      </c>
      <c r="S724" s="7">
        <v>-183.53</v>
      </c>
      <c r="T724" s="7">
        <v>-275.69</v>
      </c>
      <c r="U724" s="7">
        <v>-127.03</v>
      </c>
      <c r="V724" s="7">
        <v>-495.03</v>
      </c>
      <c r="W724" s="7">
        <v>-240.8</v>
      </c>
      <c r="X724" s="7">
        <v>-20.5</v>
      </c>
      <c r="Y724" s="7">
        <v>-25.44</v>
      </c>
      <c r="Z724" s="9">
        <f>MAX($B$724:$Y$724)</f>
        <v>137.28</v>
      </c>
      <c r="AA724" s="9">
        <f>MIN($B$724:$Y$724)</f>
        <v>-495.03</v>
      </c>
      <c r="AB724" s="9">
        <f>AVERAGE($B$724:$Y$724)</f>
        <v>-44.5808333333333</v>
      </c>
    </row>
    <row r="725" spans="1:28">
      <c r="A725" s="10">
        <v>46020</v>
      </c>
      <c r="B725" s="7">
        <v>-27.96</v>
      </c>
      <c r="C725" s="7">
        <v>9.70000000000005</v>
      </c>
      <c r="D725" s="7">
        <v>8.14999999999998</v>
      </c>
      <c r="E725" s="7">
        <v>3.33000000000004</v>
      </c>
      <c r="F725" s="7">
        <v>13.19</v>
      </c>
      <c r="G725" s="7">
        <v>13.42</v>
      </c>
      <c r="H725" s="7">
        <v>1.65999999999997</v>
      </c>
      <c r="I725" s="7">
        <v>4.96999999999997</v>
      </c>
      <c r="J725" s="7">
        <v>-14.2</v>
      </c>
      <c r="K725" s="7">
        <v>29.31</v>
      </c>
      <c r="L725" s="7">
        <v>19.88</v>
      </c>
      <c r="M725" s="7">
        <v>54.34</v>
      </c>
      <c r="N725" s="7">
        <v>165.93</v>
      </c>
      <c r="O725" s="7">
        <v>113.66</v>
      </c>
      <c r="P725" s="7">
        <v>40.61</v>
      </c>
      <c r="Q725" s="7">
        <v>16.49</v>
      </c>
      <c r="R725" s="7">
        <v>21.76</v>
      </c>
      <c r="S725" s="7">
        <v>13.68</v>
      </c>
      <c r="T725" s="7">
        <v>88.52</v>
      </c>
      <c r="U725" s="7">
        <v>211.63</v>
      </c>
      <c r="V725" s="7">
        <v>138.26</v>
      </c>
      <c r="W725" s="7">
        <v>-7.13999999999999</v>
      </c>
      <c r="X725" s="7">
        <v>49.3</v>
      </c>
      <c r="Y725" s="7">
        <v>26.59</v>
      </c>
      <c r="Z725" s="9">
        <f>MAX($B$725:$Y$725)</f>
        <v>211.63</v>
      </c>
      <c r="AA725" s="9">
        <f>MIN($B$725:$Y$725)</f>
        <v>-27.96</v>
      </c>
      <c r="AB725" s="9">
        <f>AVERAGE($B$725:$Y$725)</f>
        <v>41.4616666666667</v>
      </c>
    </row>
    <row r="726" spans="1:28">
      <c r="A726" s="10">
        <v>46021</v>
      </c>
      <c r="B726" s="7">
        <v>10.77</v>
      </c>
      <c r="C726" s="7">
        <v>23.68</v>
      </c>
      <c r="D726" s="7">
        <v>26.43</v>
      </c>
      <c r="E726" s="7">
        <v>9.96000000000004</v>
      </c>
      <c r="F726" s="7">
        <v>-2.25</v>
      </c>
      <c r="G726" s="7">
        <v>2.11000000000001</v>
      </c>
      <c r="H726" s="7">
        <v>0.769999999999982</v>
      </c>
      <c r="I726" s="7">
        <v>-8.21000000000004</v>
      </c>
      <c r="J726" s="7">
        <v>19.2</v>
      </c>
      <c r="K726" s="7">
        <v>39.5</v>
      </c>
      <c r="L726" s="7">
        <v>72.58</v>
      </c>
      <c r="M726" s="7">
        <v>110.65</v>
      </c>
      <c r="N726" s="7">
        <v>183.13</v>
      </c>
      <c r="O726" s="7">
        <v>250.37</v>
      </c>
      <c r="P726" s="7">
        <v>240</v>
      </c>
      <c r="Q726" s="7">
        <v>90.28</v>
      </c>
      <c r="R726" s="7">
        <v>29.07</v>
      </c>
      <c r="S726" s="7">
        <v>18.76</v>
      </c>
      <c r="T726" s="7">
        <v>101.28</v>
      </c>
      <c r="U726" s="7">
        <v>232.57</v>
      </c>
      <c r="V726" s="7">
        <v>128.89</v>
      </c>
      <c r="W726" s="7">
        <v>70.06</v>
      </c>
      <c r="X726" s="7">
        <v>42.79</v>
      </c>
      <c r="Y726" s="7">
        <v>21.73</v>
      </c>
      <c r="Z726" s="9">
        <f>MAX($B$726:$Y$726)</f>
        <v>250.37</v>
      </c>
      <c r="AA726" s="9">
        <f>MIN($B$726:$Y$726)</f>
        <v>-8.21000000000004</v>
      </c>
      <c r="AB726" s="9">
        <f>AVERAGE($B$726:$Y$726)</f>
        <v>71.4216666666667</v>
      </c>
    </row>
    <row r="727" spans="1:28">
      <c r="A727" s="10">
        <v>46022</v>
      </c>
      <c r="B727" s="7">
        <v>-1.26999999999998</v>
      </c>
      <c r="C727" s="7">
        <v>1.25</v>
      </c>
      <c r="D727" s="7">
        <v>10</v>
      </c>
      <c r="E727" s="7">
        <v>12.5</v>
      </c>
      <c r="F727" s="7">
        <v>13.58</v>
      </c>
      <c r="G727" s="7">
        <v>16.29</v>
      </c>
      <c r="H727" s="7">
        <v>8.18000000000001</v>
      </c>
      <c r="I727" s="7">
        <v>4.75</v>
      </c>
      <c r="J727" s="7">
        <v>2.42000000000002</v>
      </c>
      <c r="K727" s="7">
        <v>23.05</v>
      </c>
      <c r="L727" s="7">
        <v>74.43</v>
      </c>
      <c r="M727" s="7">
        <v>77.64</v>
      </c>
      <c r="N727" s="7">
        <v>57.01</v>
      </c>
      <c r="O727" s="7">
        <v>111.3</v>
      </c>
      <c r="P727" s="7">
        <v>183.12</v>
      </c>
      <c r="Q727" s="7">
        <v>160.88</v>
      </c>
      <c r="R727" s="7">
        <v>28.11</v>
      </c>
      <c r="S727" s="7">
        <v>20.75</v>
      </c>
      <c r="T727" s="7">
        <v>34.08</v>
      </c>
      <c r="U727" s="7">
        <v>38.1</v>
      </c>
      <c r="V727" s="7">
        <v>34.96</v>
      </c>
      <c r="W727" s="7">
        <v>36.59</v>
      </c>
      <c r="X727" s="7">
        <v>31.7</v>
      </c>
      <c r="Y727" s="7">
        <v>19.99</v>
      </c>
      <c r="Z727" s="9">
        <f>MAX($B$727:$Y$727)</f>
        <v>183.12</v>
      </c>
      <c r="AA727" s="9">
        <f>MIN($B$727:$Y$727)</f>
        <v>-1.26999999999998</v>
      </c>
      <c r="AB727" s="9">
        <f>AVERAGE($B$727:$Y$727)</f>
        <v>41.6420833333333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3"/>
  <sheetViews>
    <sheetView workbookViewId="0">
      <selection activeCell="B2" sqref="B2"/>
    </sheetView>
  </sheetViews>
  <sheetFormatPr defaultColWidth="8.75454545454545" defaultRowHeight="14" outlineLevelRow="2"/>
  <cols>
    <col min="1" max="1" width="11.8727272727273" customWidth="1"/>
    <col min="2" max="2" width="12.8727272727273"/>
  </cols>
  <sheetData>
    <row r="1" s="1" customFormat="1" spans="1:2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4" t="s">
        <v>63</v>
      </c>
      <c r="AA1" s="4" t="s">
        <v>64</v>
      </c>
      <c r="AB1" s="4" t="s">
        <v>29</v>
      </c>
    </row>
    <row r="2" spans="1:28">
      <c r="A2" t="s">
        <v>65</v>
      </c>
      <c r="B2" s="5">
        <f>ROUND(AVERAGE(日前电价!B368:B895),3)</f>
        <v>329.58</v>
      </c>
      <c r="C2" s="5">
        <f>ROUND(AVERAGE(日前电价!C368:C895),3)</f>
        <v>320.169</v>
      </c>
      <c r="D2" s="5">
        <f>ROUND(AVERAGE(日前电价!D368:D895),3)</f>
        <v>307.131</v>
      </c>
      <c r="E2" s="5">
        <f>ROUND(AVERAGE(日前电价!E368:E895),3)</f>
        <v>294.135</v>
      </c>
      <c r="F2" s="5">
        <f>ROUND(AVERAGE(日前电价!F368:F895),3)</f>
        <v>279.575</v>
      </c>
      <c r="G2" s="5">
        <f>ROUND(AVERAGE(日前电价!G368:G895),3)</f>
        <v>276.117</v>
      </c>
      <c r="H2" s="5">
        <f>ROUND(AVERAGE(日前电价!H368:H895),3)</f>
        <v>290.015</v>
      </c>
      <c r="I2" s="5">
        <f>ROUND(AVERAGE(日前电价!I368:I895),3)</f>
        <v>288.595</v>
      </c>
      <c r="J2" s="5">
        <f>ROUND(AVERAGE(日前电价!J368:J895),3)</f>
        <v>303.197</v>
      </c>
      <c r="K2" s="5">
        <f>ROUND(AVERAGE(日前电价!K368:K895),3)</f>
        <v>315.22</v>
      </c>
      <c r="L2" s="5">
        <f>ROUND(AVERAGE(日前电价!L368:L895),3)</f>
        <v>288.748</v>
      </c>
      <c r="M2" s="5">
        <f>ROUND(AVERAGE(日前电价!M368:M895),3)</f>
        <v>286.456</v>
      </c>
      <c r="N2" s="5">
        <f>ROUND(AVERAGE(日前电价!N368:N895),3)</f>
        <v>238.5</v>
      </c>
      <c r="O2" s="5">
        <f>ROUND(AVERAGE(日前电价!O368:O895),3)</f>
        <v>271.971</v>
      </c>
      <c r="P2" s="5">
        <f>ROUND(AVERAGE(日前电价!P368:P895),3)</f>
        <v>285.207</v>
      </c>
      <c r="Q2" s="5">
        <f>ROUND(AVERAGE(日前电价!Q368:Q895),3)</f>
        <v>299.859</v>
      </c>
      <c r="R2" s="5">
        <f>ROUND(AVERAGE(日前电价!R368:R895),3)</f>
        <v>336.92</v>
      </c>
      <c r="S2" s="5">
        <f>ROUND(AVERAGE(日前电价!S368:S895),3)</f>
        <v>357.408</v>
      </c>
      <c r="T2" s="5">
        <f>ROUND(AVERAGE(日前电价!T368:T895),3)</f>
        <v>354.572</v>
      </c>
      <c r="U2" s="5">
        <f>ROUND(AVERAGE(日前电价!U368:U895),3)</f>
        <v>388.456</v>
      </c>
      <c r="V2" s="5">
        <f>ROUND(AVERAGE(日前电价!V368:V895),3)</f>
        <v>363.989</v>
      </c>
      <c r="W2" s="5">
        <f>ROUND(AVERAGE(日前电价!W368:W895),3)</f>
        <v>356.241</v>
      </c>
      <c r="X2" s="5">
        <f>ROUND(AVERAGE(日前电价!X368:X895),3)</f>
        <v>339.261</v>
      </c>
      <c r="Y2" s="5">
        <f>ROUND(AVERAGE(日前电价!Y368:Y895),3)</f>
        <v>302.344</v>
      </c>
    </row>
    <row r="3" spans="1:28">
      <c r="A3" t="s">
        <v>66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日前电价</vt:lpstr>
      <vt:lpstr>实时电价</vt:lpstr>
      <vt:lpstr>日前实时价差</vt:lpstr>
      <vt:lpstr>现货均价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李俊明</dc:creator>
  <cp:lastModifiedBy>李海</cp:lastModifiedBy>
  <dcterms:created xsi:type="dcterms:W3CDTF">2023-05-12T11:15:00Z</dcterms:created>
  <dcterms:modified xsi:type="dcterms:W3CDTF">2026-01-14T06:19:51Z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2052-12.1.0.24034</vt:lpwstr>
  </property>
  <property fmtid="{D5CDD505-2E9C-101B-9397-08002B2CF9AE}" pid="3" name="ICV">
    <vt:lpwstr>38AC6F76CE5B4B4985746F7D4EE9F070_13</vt:lpwstr>
  </property>
  <property fmtid="{D5CDD505-2E9C-101B-9397-08002B2CF9AE}" pid="4" name="CalculationRule">
    <vt:i4>0</vt:i4>
  </property>
</Properties>
</file>