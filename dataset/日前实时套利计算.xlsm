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0916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/Users/ym/Desktop/"/>
    </mc:Choice>
  </mc:AlternateContent>
  <xr:revisionPtr revIDLastSave="0" documentId="13_ncr:1_{B1FBEE6F-894C-F44C-A0EC-71C1FE9AAF12}" xr6:coauthVersionLast="47" xr6:coauthVersionMax="47" xr10:uidLastSave="{00000000-0000-0000-0000-000000000000}"/>
  <bookViews>
    <workbookView xWindow="0" yWindow="600" windowWidth="25600" windowHeight="10480" activeTab="2" xr2:uid="{00000000-000D-0000-FFFF-FFFF00000000}"/>
  </bookViews>
  <sheets>
    <sheet name="日前电价" sheetId="2" r:id="rId1"/>
    <sheet name="实时电价" sheetId="3" r:id="rId2"/>
    <sheet name="日前实时价差" sheetId="5" r:id="rId3"/>
    <sheet name="现货均价" sheetId="7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Y2" i="7" l="1"/>
  <c r="X2" i="7"/>
  <c r="W2" i="7"/>
  <c r="V2" i="7"/>
  <c r="U2" i="7"/>
  <c r="T2" i="7"/>
  <c r="S2" i="7"/>
  <c r="R2" i="7"/>
  <c r="Q2" i="7"/>
  <c r="P2" i="7"/>
  <c r="O2" i="7"/>
  <c r="N2" i="7"/>
  <c r="M2" i="7"/>
  <c r="L2" i="7"/>
  <c r="K2" i="7"/>
  <c r="J2" i="7"/>
  <c r="I2" i="7"/>
  <c r="H2" i="7"/>
  <c r="G2" i="7"/>
  <c r="F2" i="7"/>
  <c r="E2" i="7"/>
  <c r="D2" i="7"/>
  <c r="C2" i="7"/>
  <c r="B2" i="7"/>
  <c r="AB727" i="5"/>
  <c r="AA727" i="5"/>
  <c r="Z727" i="5"/>
  <c r="AB726" i="5"/>
  <c r="AA726" i="5"/>
  <c r="Z726" i="5"/>
  <c r="AB725" i="5"/>
  <c r="AA725" i="5"/>
  <c r="Z725" i="5"/>
  <c r="AB724" i="5"/>
  <c r="AA724" i="5"/>
  <c r="Z724" i="5"/>
  <c r="AB723" i="5"/>
  <c r="AA723" i="5"/>
  <c r="Z723" i="5"/>
  <c r="AB722" i="5"/>
  <c r="AA722" i="5"/>
  <c r="Z722" i="5"/>
  <c r="AB721" i="5"/>
  <c r="AA721" i="5"/>
  <c r="Z721" i="5"/>
  <c r="AB720" i="5"/>
  <c r="AA720" i="5"/>
  <c r="Z720" i="5"/>
  <c r="AB719" i="5"/>
  <c r="AA719" i="5"/>
  <c r="Z719" i="5"/>
  <c r="AB718" i="5"/>
  <c r="AA718" i="5"/>
  <c r="Z718" i="5"/>
  <c r="AB717" i="5"/>
  <c r="AA717" i="5"/>
  <c r="Z717" i="5"/>
  <c r="AB716" i="5"/>
  <c r="AA716" i="5"/>
  <c r="Z716" i="5"/>
  <c r="AB715" i="5"/>
  <c r="AA715" i="5"/>
  <c r="Z715" i="5"/>
  <c r="AB714" i="5"/>
  <c r="AA714" i="5"/>
  <c r="Z714" i="5"/>
  <c r="AB713" i="5"/>
  <c r="AA713" i="5"/>
  <c r="Z713" i="5"/>
  <c r="AB712" i="5"/>
  <c r="AA712" i="5"/>
  <c r="Z712" i="5"/>
  <c r="AB711" i="5"/>
  <c r="AA711" i="5"/>
  <c r="Z711" i="5"/>
  <c r="AB710" i="5"/>
  <c r="AA710" i="5"/>
  <c r="Z710" i="5"/>
  <c r="AB709" i="5"/>
  <c r="AA709" i="5"/>
  <c r="Z709" i="5"/>
  <c r="AB708" i="5"/>
  <c r="AA708" i="5"/>
  <c r="Z708" i="5"/>
  <c r="AB707" i="5"/>
  <c r="AA707" i="5"/>
  <c r="Z707" i="5"/>
  <c r="AB706" i="5"/>
  <c r="AA706" i="5"/>
  <c r="Z706" i="5"/>
  <c r="AB705" i="5"/>
  <c r="AA705" i="5"/>
  <c r="Z705" i="5"/>
  <c r="AB704" i="5"/>
  <c r="AA704" i="5"/>
  <c r="Z704" i="5"/>
  <c r="AB703" i="5"/>
  <c r="AA703" i="5"/>
  <c r="Z703" i="5"/>
  <c r="AB702" i="5"/>
  <c r="AA702" i="5"/>
  <c r="Z702" i="5"/>
  <c r="AB701" i="5"/>
  <c r="AA701" i="5"/>
  <c r="Z701" i="5"/>
  <c r="AB700" i="5"/>
  <c r="AA700" i="5"/>
  <c r="Z700" i="5"/>
  <c r="AB699" i="5"/>
  <c r="AA699" i="5"/>
  <c r="Z699" i="5"/>
  <c r="AB698" i="5"/>
  <c r="AA698" i="5"/>
  <c r="Z698" i="5"/>
  <c r="AB697" i="5"/>
  <c r="AA697" i="5"/>
  <c r="Z697" i="5"/>
  <c r="AB696" i="5"/>
  <c r="AA696" i="5"/>
  <c r="Z696" i="5"/>
  <c r="AB695" i="5"/>
  <c r="AA695" i="5"/>
  <c r="Z695" i="5"/>
  <c r="AB694" i="5"/>
  <c r="AA694" i="5"/>
  <c r="Z694" i="5"/>
  <c r="AB693" i="5"/>
  <c r="AA693" i="5"/>
  <c r="Z693" i="5"/>
  <c r="AB692" i="5"/>
  <c r="AA692" i="5"/>
  <c r="Z692" i="5"/>
  <c r="AB691" i="5"/>
  <c r="AA691" i="5"/>
  <c r="Z691" i="5"/>
  <c r="AB690" i="5"/>
  <c r="AA690" i="5"/>
  <c r="Z690" i="5"/>
  <c r="AB689" i="5"/>
  <c r="AA689" i="5"/>
  <c r="Z689" i="5"/>
  <c r="AB688" i="5"/>
  <c r="AA688" i="5"/>
  <c r="Z688" i="5"/>
  <c r="AB687" i="5"/>
  <c r="AA687" i="5"/>
  <c r="Z687" i="5"/>
  <c r="AB686" i="5"/>
  <c r="AA686" i="5"/>
  <c r="Z686" i="5"/>
  <c r="AB685" i="5"/>
  <c r="AA685" i="5"/>
  <c r="Z685" i="5"/>
  <c r="AB684" i="5"/>
  <c r="AA684" i="5"/>
  <c r="Z684" i="5"/>
  <c r="AB683" i="5"/>
  <c r="AA683" i="5"/>
  <c r="Z683" i="5"/>
  <c r="AB682" i="5"/>
  <c r="AA682" i="5"/>
  <c r="Z682" i="5"/>
  <c r="AB681" i="5"/>
  <c r="AA681" i="5"/>
  <c r="Z681" i="5"/>
  <c r="AB680" i="5"/>
  <c r="AA680" i="5"/>
  <c r="Z680" i="5"/>
  <c r="AB679" i="5"/>
  <c r="AA679" i="5"/>
  <c r="Z679" i="5"/>
  <c r="AB678" i="5"/>
  <c r="AA678" i="5"/>
  <c r="Z678" i="5"/>
  <c r="AB677" i="5"/>
  <c r="AA677" i="5"/>
  <c r="Z677" i="5"/>
  <c r="AB676" i="5"/>
  <c r="AA676" i="5"/>
  <c r="Z676" i="5"/>
  <c r="AB675" i="5"/>
  <c r="AA675" i="5"/>
  <c r="Z675" i="5"/>
  <c r="AB674" i="5"/>
  <c r="AA674" i="5"/>
  <c r="Z674" i="5"/>
  <c r="AB673" i="5"/>
  <c r="AA673" i="5"/>
  <c r="Z673" i="5"/>
  <c r="AB672" i="5"/>
  <c r="AA672" i="5"/>
  <c r="Z672" i="5"/>
  <c r="AB671" i="5"/>
  <c r="AA671" i="5"/>
  <c r="Z671" i="5"/>
  <c r="AB670" i="5"/>
  <c r="AA670" i="5"/>
  <c r="Z670" i="5"/>
  <c r="AB669" i="5"/>
  <c r="AA669" i="5"/>
  <c r="Z669" i="5"/>
  <c r="AB668" i="5"/>
  <c r="AA668" i="5"/>
  <c r="Z668" i="5"/>
  <c r="AB667" i="5"/>
  <c r="AA667" i="5"/>
  <c r="Z667" i="5"/>
  <c r="AB666" i="5"/>
  <c r="AA666" i="5"/>
  <c r="Z666" i="5"/>
  <c r="AB665" i="5"/>
  <c r="AA665" i="5"/>
  <c r="Z665" i="5"/>
  <c r="AB664" i="5"/>
  <c r="AA664" i="5"/>
  <c r="Z664" i="5"/>
  <c r="AB663" i="5"/>
  <c r="AA663" i="5"/>
  <c r="Z663" i="5"/>
  <c r="AB662" i="5"/>
  <c r="AA662" i="5"/>
  <c r="Z662" i="5"/>
  <c r="AB661" i="5"/>
  <c r="AA661" i="5"/>
  <c r="Z661" i="5"/>
  <c r="AB660" i="5"/>
  <c r="AA660" i="5"/>
  <c r="Z660" i="5"/>
  <c r="AB659" i="5"/>
  <c r="AA659" i="5"/>
  <c r="Z659" i="5"/>
  <c r="AB658" i="5"/>
  <c r="AA658" i="5"/>
  <c r="Z658" i="5"/>
  <c r="AB657" i="5"/>
  <c r="AA657" i="5"/>
  <c r="Z657" i="5"/>
  <c r="AB656" i="5"/>
  <c r="AA656" i="5"/>
  <c r="Z656" i="5"/>
  <c r="AB655" i="5"/>
  <c r="AA655" i="5"/>
  <c r="Z655" i="5"/>
  <c r="AB654" i="5"/>
  <c r="AA654" i="5"/>
  <c r="Z654" i="5"/>
  <c r="AB653" i="5"/>
  <c r="AA653" i="5"/>
  <c r="Z653" i="5"/>
  <c r="AB652" i="5"/>
  <c r="AA652" i="5"/>
  <c r="Z652" i="5"/>
  <c r="AB651" i="5"/>
  <c r="AA651" i="5"/>
  <c r="Z651" i="5"/>
  <c r="AB650" i="5"/>
  <c r="AA650" i="5"/>
  <c r="Z650" i="5"/>
  <c r="AB649" i="5"/>
  <c r="AA649" i="5"/>
  <c r="Z649" i="5"/>
  <c r="AB648" i="5"/>
  <c r="AA648" i="5"/>
  <c r="Z648" i="5"/>
  <c r="AB647" i="5"/>
  <c r="AA647" i="5"/>
  <c r="Z647" i="5"/>
  <c r="AB646" i="5"/>
  <c r="AA646" i="5"/>
  <c r="Z646" i="5"/>
  <c r="AB645" i="5"/>
  <c r="AA645" i="5"/>
  <c r="Z645" i="5"/>
  <c r="AB644" i="5"/>
  <c r="AA644" i="5"/>
  <c r="Z644" i="5"/>
  <c r="AB643" i="5"/>
  <c r="AA643" i="5"/>
  <c r="Z643" i="5"/>
  <c r="AB642" i="5"/>
  <c r="AA642" i="5"/>
  <c r="Z642" i="5"/>
  <c r="AB641" i="5"/>
  <c r="AA641" i="5"/>
  <c r="Z641" i="5"/>
  <c r="AB640" i="5"/>
  <c r="AA640" i="5"/>
  <c r="Z640" i="5"/>
  <c r="AB639" i="5"/>
  <c r="AA639" i="5"/>
  <c r="Z639" i="5"/>
  <c r="AB638" i="5"/>
  <c r="AA638" i="5"/>
  <c r="Z638" i="5"/>
  <c r="AB637" i="5"/>
  <c r="AA637" i="5"/>
  <c r="Z637" i="5"/>
  <c r="AB636" i="5"/>
  <c r="AA636" i="5"/>
  <c r="Z636" i="5"/>
  <c r="AB635" i="5"/>
  <c r="AA635" i="5"/>
  <c r="Z635" i="5"/>
  <c r="AB634" i="5"/>
  <c r="AA634" i="5"/>
  <c r="Z634" i="5"/>
  <c r="AB633" i="5"/>
  <c r="AA633" i="5"/>
  <c r="Z633" i="5"/>
  <c r="AB632" i="5"/>
  <c r="AA632" i="5"/>
  <c r="Z632" i="5"/>
  <c r="AB631" i="5"/>
  <c r="AA631" i="5"/>
  <c r="Z631" i="5"/>
  <c r="AB630" i="5"/>
  <c r="AA630" i="5"/>
  <c r="Z630" i="5"/>
  <c r="AB629" i="5"/>
  <c r="AA629" i="5"/>
  <c r="Z629" i="5"/>
  <c r="AB628" i="5"/>
  <c r="AA628" i="5"/>
  <c r="Z628" i="5"/>
  <c r="AB627" i="5"/>
  <c r="AA627" i="5"/>
  <c r="Z627" i="5"/>
  <c r="AB626" i="5"/>
  <c r="AA626" i="5"/>
  <c r="Z626" i="5"/>
  <c r="AB625" i="5"/>
  <c r="AA625" i="5"/>
  <c r="Z625" i="5"/>
  <c r="AB624" i="5"/>
  <c r="AA624" i="5"/>
  <c r="Z624" i="5"/>
  <c r="AB623" i="5"/>
  <c r="AA623" i="5"/>
  <c r="Z623" i="5"/>
  <c r="AB622" i="5"/>
  <c r="AA622" i="5"/>
  <c r="Z622" i="5"/>
  <c r="AB621" i="5"/>
  <c r="AA621" i="5"/>
  <c r="Z621" i="5"/>
  <c r="Y620" i="5"/>
  <c r="X620" i="5"/>
  <c r="W620" i="5"/>
  <c r="V620" i="5"/>
  <c r="U620" i="5"/>
  <c r="T620" i="5"/>
  <c r="S620" i="5"/>
  <c r="R620" i="5"/>
  <c r="Q620" i="5"/>
  <c r="P620" i="5"/>
  <c r="O620" i="5"/>
  <c r="N620" i="5"/>
  <c r="M620" i="5"/>
  <c r="L620" i="5"/>
  <c r="K620" i="5"/>
  <c r="J620" i="5"/>
  <c r="I620" i="5"/>
  <c r="H620" i="5"/>
  <c r="G620" i="5"/>
  <c r="F620" i="5"/>
  <c r="E620" i="5"/>
  <c r="D620" i="5"/>
  <c r="C620" i="5"/>
  <c r="B620" i="5"/>
  <c r="AB619" i="5"/>
  <c r="AA619" i="5"/>
  <c r="Z619" i="5"/>
  <c r="AB618" i="5"/>
  <c r="AA618" i="5"/>
  <c r="Z618" i="5"/>
  <c r="AB617" i="5"/>
  <c r="AA617" i="5"/>
  <c r="Z617" i="5"/>
  <c r="AB616" i="5"/>
  <c r="AA616" i="5"/>
  <c r="Z616" i="5"/>
  <c r="AB615" i="5"/>
  <c r="AA615" i="5"/>
  <c r="Z615" i="5"/>
  <c r="AB614" i="5"/>
  <c r="AA614" i="5"/>
  <c r="Z614" i="5"/>
  <c r="AB613" i="5"/>
  <c r="AA613" i="5"/>
  <c r="Z613" i="5"/>
  <c r="AB612" i="5"/>
  <c r="AA612" i="5"/>
  <c r="Z612" i="5"/>
  <c r="AB611" i="5"/>
  <c r="AA611" i="5"/>
  <c r="Z611" i="5"/>
  <c r="Y610" i="5"/>
  <c r="X610" i="5"/>
  <c r="W610" i="5"/>
  <c r="V610" i="5"/>
  <c r="U610" i="5"/>
  <c r="T610" i="5"/>
  <c r="S610" i="5"/>
  <c r="R610" i="5"/>
  <c r="Q610" i="5"/>
  <c r="P610" i="5"/>
  <c r="O610" i="5"/>
  <c r="N610" i="5"/>
  <c r="M610" i="5"/>
  <c r="L610" i="5"/>
  <c r="K610" i="5"/>
  <c r="J610" i="5"/>
  <c r="I610" i="5"/>
  <c r="H610" i="5"/>
  <c r="G610" i="5"/>
  <c r="F610" i="5"/>
  <c r="E610" i="5"/>
  <c r="D610" i="5"/>
  <c r="C610" i="5"/>
  <c r="B610" i="5"/>
  <c r="AB609" i="5"/>
  <c r="AA609" i="5"/>
  <c r="Z609" i="5"/>
  <c r="AB608" i="5"/>
  <c r="AA608" i="5"/>
  <c r="Z608" i="5"/>
  <c r="AB607" i="5"/>
  <c r="AA607" i="5"/>
  <c r="Z607" i="5"/>
  <c r="AB606" i="5"/>
  <c r="AA606" i="5"/>
  <c r="Z606" i="5"/>
  <c r="AB605" i="5"/>
  <c r="AA605" i="5"/>
  <c r="Z605" i="5"/>
  <c r="AB604" i="5"/>
  <c r="AA604" i="5"/>
  <c r="Z604" i="5"/>
  <c r="AB603" i="5"/>
  <c r="AA603" i="5"/>
  <c r="Z603" i="5"/>
  <c r="AB602" i="5"/>
  <c r="AA602" i="5"/>
  <c r="Z602" i="5"/>
  <c r="AB601" i="5"/>
  <c r="AA601" i="5"/>
  <c r="Z601" i="5"/>
  <c r="AB600" i="5"/>
  <c r="AA600" i="5"/>
  <c r="Z600" i="5"/>
  <c r="AB599" i="5"/>
  <c r="AA599" i="5"/>
  <c r="Z599" i="5"/>
  <c r="AB598" i="5"/>
  <c r="AA598" i="5"/>
  <c r="Z598" i="5"/>
  <c r="AB597" i="5"/>
  <c r="AA597" i="5"/>
  <c r="Z597" i="5"/>
  <c r="AB596" i="5"/>
  <c r="AA596" i="5"/>
  <c r="Z596" i="5"/>
  <c r="AB595" i="5"/>
  <c r="AA595" i="5"/>
  <c r="Z595" i="5"/>
  <c r="AB594" i="5"/>
  <c r="AA594" i="5"/>
  <c r="Z594" i="5"/>
  <c r="AB593" i="5"/>
  <c r="AA593" i="5"/>
  <c r="Z593" i="5"/>
  <c r="AB592" i="5"/>
  <c r="AA592" i="5"/>
  <c r="Z592" i="5"/>
  <c r="AB591" i="5"/>
  <c r="AA591" i="5"/>
  <c r="Z591" i="5"/>
  <c r="AB590" i="5"/>
  <c r="AA590" i="5"/>
  <c r="Z590" i="5"/>
  <c r="AB589" i="5"/>
  <c r="AA589" i="5"/>
  <c r="Z589" i="5"/>
  <c r="AB588" i="5"/>
  <c r="AA588" i="5"/>
  <c r="Z588" i="5"/>
  <c r="AB587" i="5"/>
  <c r="AA587" i="5"/>
  <c r="Z587" i="5"/>
  <c r="AB586" i="5"/>
  <c r="AA586" i="5"/>
  <c r="Z586" i="5"/>
  <c r="AB585" i="5"/>
  <c r="AA585" i="5"/>
  <c r="Z585" i="5"/>
  <c r="AB584" i="5"/>
  <c r="AA584" i="5"/>
  <c r="Z584" i="5"/>
  <c r="AB583" i="5"/>
  <c r="AA583" i="5"/>
  <c r="Z583" i="5"/>
  <c r="AB582" i="5"/>
  <c r="AA582" i="5"/>
  <c r="Z582" i="5"/>
  <c r="AB581" i="5"/>
  <c r="AA581" i="5"/>
  <c r="Z581" i="5"/>
  <c r="AB580" i="5"/>
  <c r="AA580" i="5"/>
  <c r="Z580" i="5"/>
  <c r="AB579" i="5"/>
  <c r="AA579" i="5"/>
  <c r="Z579" i="5"/>
  <c r="AB578" i="5"/>
  <c r="AA578" i="5"/>
  <c r="Z578" i="5"/>
  <c r="AB577" i="5"/>
  <c r="AA577" i="5"/>
  <c r="Z577" i="5"/>
  <c r="AB576" i="5"/>
  <c r="AA576" i="5"/>
  <c r="Z576" i="5"/>
  <c r="AB575" i="5"/>
  <c r="AA575" i="5"/>
  <c r="Z575" i="5"/>
  <c r="AB574" i="5"/>
  <c r="AA574" i="5"/>
  <c r="Z574" i="5"/>
  <c r="AB573" i="5"/>
  <c r="AA573" i="5"/>
  <c r="Z573" i="5"/>
  <c r="AB572" i="5"/>
  <c r="AA572" i="5"/>
  <c r="Z572" i="5"/>
  <c r="AB571" i="5"/>
  <c r="AA571" i="5"/>
  <c r="Z571" i="5"/>
  <c r="AB570" i="5"/>
  <c r="AA570" i="5"/>
  <c r="Z570" i="5"/>
  <c r="AB569" i="5"/>
  <c r="AA569" i="5"/>
  <c r="Z569" i="5"/>
  <c r="AB568" i="5"/>
  <c r="AA568" i="5"/>
  <c r="Z568" i="5"/>
  <c r="AB567" i="5"/>
  <c r="AA567" i="5"/>
  <c r="Z567" i="5"/>
  <c r="AB566" i="5"/>
  <c r="AA566" i="5"/>
  <c r="Z566" i="5"/>
  <c r="AB565" i="5"/>
  <c r="AA565" i="5"/>
  <c r="Z565" i="5"/>
  <c r="AB564" i="5"/>
  <c r="AA564" i="5"/>
  <c r="Z564" i="5"/>
  <c r="AB563" i="5"/>
  <c r="AA563" i="5"/>
  <c r="Z563" i="5"/>
  <c r="AB562" i="5"/>
  <c r="AA562" i="5"/>
  <c r="Z562" i="5"/>
  <c r="AB561" i="5"/>
  <c r="AA561" i="5"/>
  <c r="Z561" i="5"/>
  <c r="AB560" i="5"/>
  <c r="AA560" i="5"/>
  <c r="Z560" i="5"/>
  <c r="AB559" i="5"/>
  <c r="AA559" i="5"/>
  <c r="Z559" i="5"/>
  <c r="AB558" i="5"/>
  <c r="AA558" i="5"/>
  <c r="Z558" i="5"/>
  <c r="AB557" i="5"/>
  <c r="AA557" i="5"/>
  <c r="Z557" i="5"/>
  <c r="AB556" i="5"/>
  <c r="AA556" i="5"/>
  <c r="Z556" i="5"/>
  <c r="AB555" i="5"/>
  <c r="AA555" i="5"/>
  <c r="Z555" i="5"/>
  <c r="AB554" i="5"/>
  <c r="AA554" i="5"/>
  <c r="Z554" i="5"/>
  <c r="AB553" i="5"/>
  <c r="AA553" i="5"/>
  <c r="Z553" i="5"/>
  <c r="AB552" i="5"/>
  <c r="AA552" i="5"/>
  <c r="Z552" i="5"/>
  <c r="AB551" i="5"/>
  <c r="AA551" i="5"/>
  <c r="Z551" i="5"/>
  <c r="AB550" i="5"/>
  <c r="AA550" i="5"/>
  <c r="Z550" i="5"/>
  <c r="AB549" i="5"/>
  <c r="AA549" i="5"/>
  <c r="Z549" i="5"/>
  <c r="AB548" i="5"/>
  <c r="AA548" i="5"/>
  <c r="Z548" i="5"/>
  <c r="AB547" i="5"/>
  <c r="AA547" i="5"/>
  <c r="Z547" i="5"/>
  <c r="AB546" i="5"/>
  <c r="AA546" i="5"/>
  <c r="Z546" i="5"/>
  <c r="AB545" i="5"/>
  <c r="AA545" i="5"/>
  <c r="Z545" i="5"/>
  <c r="AB544" i="5"/>
  <c r="AA544" i="5"/>
  <c r="Z544" i="5"/>
  <c r="AB543" i="5"/>
  <c r="AA543" i="5"/>
  <c r="Z543" i="5"/>
  <c r="AB542" i="5"/>
  <c r="AA542" i="5"/>
  <c r="Z542" i="5"/>
  <c r="AB541" i="5"/>
  <c r="AA541" i="5"/>
  <c r="Z541" i="5"/>
  <c r="AB540" i="5"/>
  <c r="AA540" i="5"/>
  <c r="Z540" i="5"/>
  <c r="AB539" i="5"/>
  <c r="AA539" i="5"/>
  <c r="Z539" i="5"/>
  <c r="AB538" i="5"/>
  <c r="AA538" i="5"/>
  <c r="Z538" i="5"/>
  <c r="AB537" i="5"/>
  <c r="AA537" i="5"/>
  <c r="Z537" i="5"/>
  <c r="AB536" i="5"/>
  <c r="AA536" i="5"/>
  <c r="Z536" i="5"/>
  <c r="AB535" i="5"/>
  <c r="AA535" i="5"/>
  <c r="Z535" i="5"/>
  <c r="AB534" i="5"/>
  <c r="AA534" i="5"/>
  <c r="Z534" i="5"/>
  <c r="AB533" i="5"/>
  <c r="AA533" i="5"/>
  <c r="Z533" i="5"/>
  <c r="AB532" i="5"/>
  <c r="AA532" i="5"/>
  <c r="Z532" i="5"/>
  <c r="AB531" i="5"/>
  <c r="AA531" i="5"/>
  <c r="Z531" i="5"/>
  <c r="AB530" i="5"/>
  <c r="AA530" i="5"/>
  <c r="Z530" i="5"/>
  <c r="AB529" i="5"/>
  <c r="AA529" i="5"/>
  <c r="Z529" i="5"/>
  <c r="AB528" i="5"/>
  <c r="AA528" i="5"/>
  <c r="Z528" i="5"/>
  <c r="AB527" i="5"/>
  <c r="AA527" i="5"/>
  <c r="Z527" i="5"/>
  <c r="AB526" i="5"/>
  <c r="AA526" i="5"/>
  <c r="Z526" i="5"/>
  <c r="AB525" i="5"/>
  <c r="AA525" i="5"/>
  <c r="Z525" i="5"/>
  <c r="AB524" i="5"/>
  <c r="AA524" i="5"/>
  <c r="Z524" i="5"/>
  <c r="AB523" i="5"/>
  <c r="AA523" i="5"/>
  <c r="Z523" i="5"/>
  <c r="AB522" i="5"/>
  <c r="AA522" i="5"/>
  <c r="Z522" i="5"/>
  <c r="AB521" i="5"/>
  <c r="AA521" i="5"/>
  <c r="Z521" i="5"/>
  <c r="AB520" i="5"/>
  <c r="AA520" i="5"/>
  <c r="Z520" i="5"/>
  <c r="AB519" i="5"/>
  <c r="AA519" i="5"/>
  <c r="Z519" i="5"/>
  <c r="AB518" i="5"/>
  <c r="AA518" i="5"/>
  <c r="Z518" i="5"/>
  <c r="AB517" i="5"/>
  <c r="AA517" i="5"/>
  <c r="Z517" i="5"/>
  <c r="AB516" i="5"/>
  <c r="AA516" i="5"/>
  <c r="Z516" i="5"/>
  <c r="AB515" i="5"/>
  <c r="AA515" i="5"/>
  <c r="Z515" i="5"/>
  <c r="AB514" i="5"/>
  <c r="AA514" i="5"/>
  <c r="Z514" i="5"/>
  <c r="AB513" i="5"/>
  <c r="AA513" i="5"/>
  <c r="Z513" i="5"/>
  <c r="AB512" i="5"/>
  <c r="AA512" i="5"/>
  <c r="Z512" i="5"/>
  <c r="AB511" i="5"/>
  <c r="AA511" i="5"/>
  <c r="Z511" i="5"/>
  <c r="AB510" i="5"/>
  <c r="AA510" i="5"/>
  <c r="Z510" i="5"/>
  <c r="AB509" i="5"/>
  <c r="AA509" i="5"/>
  <c r="Z509" i="5"/>
  <c r="AB508" i="5"/>
  <c r="AA508" i="5"/>
  <c r="Z508" i="5"/>
  <c r="AB507" i="5"/>
  <c r="AA507" i="5"/>
  <c r="Z507" i="5"/>
  <c r="AB506" i="5"/>
  <c r="AA506" i="5"/>
  <c r="Z506" i="5"/>
  <c r="AB505" i="5"/>
  <c r="AA505" i="5"/>
  <c r="Z505" i="5"/>
  <c r="AB504" i="5"/>
  <c r="AA504" i="5"/>
  <c r="Z504" i="5"/>
  <c r="AB503" i="5"/>
  <c r="AA503" i="5"/>
  <c r="Z503" i="5"/>
  <c r="AB502" i="5"/>
  <c r="AA502" i="5"/>
  <c r="Z502" i="5"/>
  <c r="AB501" i="5"/>
  <c r="AA501" i="5"/>
  <c r="Z501" i="5"/>
  <c r="AB500" i="5"/>
  <c r="AA500" i="5"/>
  <c r="Z500" i="5"/>
  <c r="AB499" i="5"/>
  <c r="AA499" i="5"/>
  <c r="Z499" i="5"/>
  <c r="AB498" i="5"/>
  <c r="AA498" i="5"/>
  <c r="Z498" i="5"/>
  <c r="AB497" i="5"/>
  <c r="AA497" i="5"/>
  <c r="Z497" i="5"/>
  <c r="AB496" i="5"/>
  <c r="AA496" i="5"/>
  <c r="Z496" i="5"/>
  <c r="AB495" i="5"/>
  <c r="AA495" i="5"/>
  <c r="Z495" i="5"/>
  <c r="AB494" i="5"/>
  <c r="AA494" i="5"/>
  <c r="Z494" i="5"/>
  <c r="AB493" i="5"/>
  <c r="AA493" i="5"/>
  <c r="Z493" i="5"/>
  <c r="AB492" i="5"/>
  <c r="AA492" i="5"/>
  <c r="Z492" i="5"/>
  <c r="AB491" i="5"/>
  <c r="AA491" i="5"/>
  <c r="Z491" i="5"/>
  <c r="AB490" i="5"/>
  <c r="AA490" i="5"/>
  <c r="Z490" i="5"/>
  <c r="AB489" i="5"/>
  <c r="AA489" i="5"/>
  <c r="Z489" i="5"/>
  <c r="AB488" i="5"/>
  <c r="AA488" i="5"/>
  <c r="Z488" i="5"/>
  <c r="AB487" i="5"/>
  <c r="AA487" i="5"/>
  <c r="Z487" i="5"/>
  <c r="AB486" i="5"/>
  <c r="AA486" i="5"/>
  <c r="Z486" i="5"/>
  <c r="AB485" i="5"/>
  <c r="AA485" i="5"/>
  <c r="Z485" i="5"/>
  <c r="AB484" i="5"/>
  <c r="AA484" i="5"/>
  <c r="Z484" i="5"/>
  <c r="AB483" i="5"/>
  <c r="AA483" i="5"/>
  <c r="Z483" i="5"/>
  <c r="AB482" i="5"/>
  <c r="AA482" i="5"/>
  <c r="Z482" i="5"/>
  <c r="AB481" i="5"/>
  <c r="AA481" i="5"/>
  <c r="Z481" i="5"/>
  <c r="AB480" i="5"/>
  <c r="AA480" i="5"/>
  <c r="Z480" i="5"/>
  <c r="AB479" i="5"/>
  <c r="AA479" i="5"/>
  <c r="Z479" i="5"/>
  <c r="AB478" i="5"/>
  <c r="AA478" i="5"/>
  <c r="Z478" i="5"/>
  <c r="AB477" i="5"/>
  <c r="AA477" i="5"/>
  <c r="Z477" i="5"/>
  <c r="AB476" i="5"/>
  <c r="AA476" i="5"/>
  <c r="Z476" i="5"/>
  <c r="AB475" i="5"/>
  <c r="AA475" i="5"/>
  <c r="Z475" i="5"/>
  <c r="AB474" i="5"/>
  <c r="AA474" i="5"/>
  <c r="Z474" i="5"/>
  <c r="AB473" i="5"/>
  <c r="AA473" i="5"/>
  <c r="Z473" i="5"/>
  <c r="AB472" i="5"/>
  <c r="AA472" i="5"/>
  <c r="Z472" i="5"/>
  <c r="AB471" i="5"/>
  <c r="AA471" i="5"/>
  <c r="Z471" i="5"/>
  <c r="AB470" i="5"/>
  <c r="AA470" i="5"/>
  <c r="Z470" i="5"/>
  <c r="AB469" i="5"/>
  <c r="AA469" i="5"/>
  <c r="Z469" i="5"/>
  <c r="AB468" i="5"/>
  <c r="AA468" i="5"/>
  <c r="Z468" i="5"/>
  <c r="AB467" i="5"/>
  <c r="AA467" i="5"/>
  <c r="Z467" i="5"/>
  <c r="AB466" i="5"/>
  <c r="AA466" i="5"/>
  <c r="Z466" i="5"/>
  <c r="AB465" i="5"/>
  <c r="AA465" i="5"/>
  <c r="Z465" i="5"/>
  <c r="AB464" i="5"/>
  <c r="AA464" i="5"/>
  <c r="Z464" i="5"/>
  <c r="AB463" i="5"/>
  <c r="AA463" i="5"/>
  <c r="Z463" i="5"/>
  <c r="AB462" i="5"/>
  <c r="AA462" i="5"/>
  <c r="Z462" i="5"/>
  <c r="AB461" i="5"/>
  <c r="AA461" i="5"/>
  <c r="Z461" i="5"/>
  <c r="AB460" i="5"/>
  <c r="AA460" i="5"/>
  <c r="Z460" i="5"/>
  <c r="AB459" i="5"/>
  <c r="AA459" i="5"/>
  <c r="Z459" i="5"/>
  <c r="AB458" i="5"/>
  <c r="AA458" i="5"/>
  <c r="Z458" i="5"/>
  <c r="AB457" i="5"/>
  <c r="AA457" i="5"/>
  <c r="Z457" i="5"/>
  <c r="AB456" i="5"/>
  <c r="AA456" i="5"/>
  <c r="Z456" i="5"/>
  <c r="AB455" i="5"/>
  <c r="AA455" i="5"/>
  <c r="Z455" i="5"/>
  <c r="AB454" i="5"/>
  <c r="AA454" i="5"/>
  <c r="Z454" i="5"/>
  <c r="AB453" i="5"/>
  <c r="AA453" i="5"/>
  <c r="Z453" i="5"/>
  <c r="AB452" i="5"/>
  <c r="AA452" i="5"/>
  <c r="Z452" i="5"/>
  <c r="AB451" i="5"/>
  <c r="AA451" i="5"/>
  <c r="Z451" i="5"/>
  <c r="AB450" i="5"/>
  <c r="AA450" i="5"/>
  <c r="Z450" i="5"/>
  <c r="AB449" i="5"/>
  <c r="AA449" i="5"/>
  <c r="Z449" i="5"/>
  <c r="AB448" i="5"/>
  <c r="AA448" i="5"/>
  <c r="Z448" i="5"/>
  <c r="AB447" i="5"/>
  <c r="AA447" i="5"/>
  <c r="Z447" i="5"/>
  <c r="AB446" i="5"/>
  <c r="AA446" i="5"/>
  <c r="Z446" i="5"/>
  <c r="AB445" i="5"/>
  <c r="AA445" i="5"/>
  <c r="Z445" i="5"/>
  <c r="AB444" i="5"/>
  <c r="AA444" i="5"/>
  <c r="Z444" i="5"/>
  <c r="AB443" i="5"/>
  <c r="AA443" i="5"/>
  <c r="Z443" i="5"/>
  <c r="AB442" i="5"/>
  <c r="AA442" i="5"/>
  <c r="Z442" i="5"/>
  <c r="AB441" i="5"/>
  <c r="AA441" i="5"/>
  <c r="Z441" i="5"/>
  <c r="AB440" i="5"/>
  <c r="AA440" i="5"/>
  <c r="Z440" i="5"/>
  <c r="AB439" i="5"/>
  <c r="AA439" i="5"/>
  <c r="Z439" i="5"/>
  <c r="AB438" i="5"/>
  <c r="AA438" i="5"/>
  <c r="Z438" i="5"/>
  <c r="AB437" i="5"/>
  <c r="AA437" i="5"/>
  <c r="Z437" i="5"/>
  <c r="AB436" i="5"/>
  <c r="AA436" i="5"/>
  <c r="Z436" i="5"/>
  <c r="AB435" i="5"/>
  <c r="AA435" i="5"/>
  <c r="Z435" i="5"/>
  <c r="AB434" i="5"/>
  <c r="AA434" i="5"/>
  <c r="Z434" i="5"/>
  <c r="AB433" i="5"/>
  <c r="AA433" i="5"/>
  <c r="Z433" i="5"/>
  <c r="AB432" i="5"/>
  <c r="AA432" i="5"/>
  <c r="Z432" i="5"/>
  <c r="AB431" i="5"/>
  <c r="AA431" i="5"/>
  <c r="Z431" i="5"/>
  <c r="AB430" i="5"/>
  <c r="AA430" i="5"/>
  <c r="Z430" i="5"/>
  <c r="AB429" i="5"/>
  <c r="AA429" i="5"/>
  <c r="Z429" i="5"/>
  <c r="AB428" i="5"/>
  <c r="AA428" i="5"/>
  <c r="Z428" i="5"/>
  <c r="AB427" i="5"/>
  <c r="AA427" i="5"/>
  <c r="Z427" i="5"/>
  <c r="AB426" i="5"/>
  <c r="AA426" i="5"/>
  <c r="Z426" i="5"/>
  <c r="AB425" i="5"/>
  <c r="AA425" i="5"/>
  <c r="Z425" i="5"/>
  <c r="AB424" i="5"/>
  <c r="AA424" i="5"/>
  <c r="Z424" i="5"/>
  <c r="AB423" i="5"/>
  <c r="AA423" i="5"/>
  <c r="Z423" i="5"/>
  <c r="AB422" i="5"/>
  <c r="AA422" i="5"/>
  <c r="Z422" i="5"/>
  <c r="AB421" i="5"/>
  <c r="AA421" i="5"/>
  <c r="Z421" i="5"/>
  <c r="AB420" i="5"/>
  <c r="AA420" i="5"/>
  <c r="Z420" i="5"/>
  <c r="AB419" i="5"/>
  <c r="AA419" i="5"/>
  <c r="Z419" i="5"/>
  <c r="AB418" i="5"/>
  <c r="AA418" i="5"/>
  <c r="Z418" i="5"/>
  <c r="AB417" i="5"/>
  <c r="AA417" i="5"/>
  <c r="Z417" i="5"/>
  <c r="AB416" i="5"/>
  <c r="AA416" i="5"/>
  <c r="Z416" i="5"/>
  <c r="AB415" i="5"/>
  <c r="AA415" i="5"/>
  <c r="Z415" i="5"/>
  <c r="AB414" i="5"/>
  <c r="AA414" i="5"/>
  <c r="Z414" i="5"/>
  <c r="AB413" i="5"/>
  <c r="AA413" i="5"/>
  <c r="Z413" i="5"/>
  <c r="AB412" i="5"/>
  <c r="AA412" i="5"/>
  <c r="Z412" i="5"/>
  <c r="AB411" i="5"/>
  <c r="AA411" i="5"/>
  <c r="Z411" i="5"/>
  <c r="AB410" i="5"/>
  <c r="AA410" i="5"/>
  <c r="Z410" i="5"/>
  <c r="AB409" i="5"/>
  <c r="AA409" i="5"/>
  <c r="Z409" i="5"/>
  <c r="AB408" i="5"/>
  <c r="AA408" i="5"/>
  <c r="Z408" i="5"/>
  <c r="AB407" i="5"/>
  <c r="AA407" i="5"/>
  <c r="Z407" i="5"/>
  <c r="AB406" i="5"/>
  <c r="AA406" i="5"/>
  <c r="Z406" i="5"/>
  <c r="AB405" i="5"/>
  <c r="AA405" i="5"/>
  <c r="Z405" i="5"/>
  <c r="AB404" i="5"/>
  <c r="AA404" i="5"/>
  <c r="Z404" i="5"/>
  <c r="AB403" i="5"/>
  <c r="AA403" i="5"/>
  <c r="Z403" i="5"/>
  <c r="AB402" i="5"/>
  <c r="AA402" i="5"/>
  <c r="Z402" i="5"/>
  <c r="AB401" i="5"/>
  <c r="AA401" i="5"/>
  <c r="Z401" i="5"/>
  <c r="AB400" i="5"/>
  <c r="AA400" i="5"/>
  <c r="Z400" i="5"/>
  <c r="AB399" i="5"/>
  <c r="AA399" i="5"/>
  <c r="Z399" i="5"/>
  <c r="AB398" i="5"/>
  <c r="AA398" i="5"/>
  <c r="Z398" i="5"/>
  <c r="AB397" i="5"/>
  <c r="AA397" i="5"/>
  <c r="Z397" i="5"/>
  <c r="AB396" i="5"/>
  <c r="AA396" i="5"/>
  <c r="Z396" i="5"/>
  <c r="AB395" i="5"/>
  <c r="AA395" i="5"/>
  <c r="Z395" i="5"/>
  <c r="AB394" i="5"/>
  <c r="AA394" i="5"/>
  <c r="Z394" i="5"/>
  <c r="AB393" i="5"/>
  <c r="AA393" i="5"/>
  <c r="Z393" i="5"/>
  <c r="AB392" i="5"/>
  <c r="AA392" i="5"/>
  <c r="Z392" i="5"/>
  <c r="AB391" i="5"/>
  <c r="AA391" i="5"/>
  <c r="Z391" i="5"/>
  <c r="AB390" i="5"/>
  <c r="AA390" i="5"/>
  <c r="Z390" i="5"/>
  <c r="AB389" i="5"/>
  <c r="AA389" i="5"/>
  <c r="Z389" i="5"/>
  <c r="AB388" i="5"/>
  <c r="AA388" i="5"/>
  <c r="Z388" i="5"/>
  <c r="AB387" i="5"/>
  <c r="AA387" i="5"/>
  <c r="Z387" i="5"/>
  <c r="AB386" i="5"/>
  <c r="AA386" i="5"/>
  <c r="Z386" i="5"/>
  <c r="AB385" i="5"/>
  <c r="AA385" i="5"/>
  <c r="Z385" i="5"/>
  <c r="AB384" i="5"/>
  <c r="AA384" i="5"/>
  <c r="Z384" i="5"/>
  <c r="AB383" i="5"/>
  <c r="AA383" i="5"/>
  <c r="Z383" i="5"/>
  <c r="AB382" i="5"/>
  <c r="AA382" i="5"/>
  <c r="Z382" i="5"/>
  <c r="AB381" i="5"/>
  <c r="AA381" i="5"/>
  <c r="Z381" i="5"/>
  <c r="AB380" i="5"/>
  <c r="AA380" i="5"/>
  <c r="Z380" i="5"/>
  <c r="AB379" i="5"/>
  <c r="AA379" i="5"/>
  <c r="Z379" i="5"/>
  <c r="AB378" i="5"/>
  <c r="AA378" i="5"/>
  <c r="Z378" i="5"/>
  <c r="AB377" i="5"/>
  <c r="AA377" i="5"/>
  <c r="Z377" i="5"/>
  <c r="AB376" i="5"/>
  <c r="AA376" i="5"/>
  <c r="Z376" i="5"/>
  <c r="AB375" i="5"/>
  <c r="AA375" i="5"/>
  <c r="Z375" i="5"/>
  <c r="AB374" i="5"/>
  <c r="AA374" i="5"/>
  <c r="Z374" i="5"/>
  <c r="AB373" i="5"/>
  <c r="AA373" i="5"/>
  <c r="Z373" i="5"/>
  <c r="AB372" i="5"/>
  <c r="AA372" i="5"/>
  <c r="Z372" i="5"/>
  <c r="AB371" i="5"/>
  <c r="AA371" i="5"/>
  <c r="Z371" i="5"/>
  <c r="AB370" i="5"/>
  <c r="AA370" i="5"/>
  <c r="Z370" i="5"/>
  <c r="AB369" i="5"/>
  <c r="AA369" i="5"/>
  <c r="Z369" i="5"/>
  <c r="AB368" i="5"/>
  <c r="AA368" i="5"/>
  <c r="Z368" i="5"/>
  <c r="AB367" i="5"/>
  <c r="AA367" i="5"/>
  <c r="Z367" i="5"/>
  <c r="Y367" i="5"/>
  <c r="X367" i="5"/>
  <c r="W367" i="5"/>
  <c r="V367" i="5"/>
  <c r="U367" i="5"/>
  <c r="T367" i="5"/>
  <c r="S367" i="5"/>
  <c r="R367" i="5"/>
  <c r="Q367" i="5"/>
  <c r="P367" i="5"/>
  <c r="O367" i="5"/>
  <c r="N367" i="5"/>
  <c r="M367" i="5"/>
  <c r="L367" i="5"/>
  <c r="K367" i="5"/>
  <c r="J367" i="5"/>
  <c r="I367" i="5"/>
  <c r="H367" i="5"/>
  <c r="G367" i="5"/>
  <c r="F367" i="5"/>
  <c r="E367" i="5"/>
  <c r="D367" i="5"/>
  <c r="C367" i="5"/>
  <c r="B367" i="5"/>
  <c r="AB366" i="5"/>
  <c r="AA366" i="5"/>
  <c r="Z366" i="5"/>
  <c r="Y366" i="5"/>
  <c r="X366" i="5"/>
  <c r="W366" i="5"/>
  <c r="V366" i="5"/>
  <c r="U366" i="5"/>
  <c r="T366" i="5"/>
  <c r="S366" i="5"/>
  <c r="R366" i="5"/>
  <c r="Q366" i="5"/>
  <c r="P366" i="5"/>
  <c r="O366" i="5"/>
  <c r="N366" i="5"/>
  <c r="M366" i="5"/>
  <c r="L366" i="5"/>
  <c r="K366" i="5"/>
  <c r="J366" i="5"/>
  <c r="I366" i="5"/>
  <c r="H366" i="5"/>
  <c r="G366" i="5"/>
  <c r="F366" i="5"/>
  <c r="E366" i="5"/>
  <c r="D366" i="5"/>
  <c r="C366" i="5"/>
  <c r="B366" i="5"/>
  <c r="AB365" i="5"/>
  <c r="AA365" i="5"/>
  <c r="Z365" i="5"/>
  <c r="Y365" i="5"/>
  <c r="X365" i="5"/>
  <c r="W365" i="5"/>
  <c r="V365" i="5"/>
  <c r="U365" i="5"/>
  <c r="T365" i="5"/>
  <c r="S365" i="5"/>
  <c r="R365" i="5"/>
  <c r="Q365" i="5"/>
  <c r="P365" i="5"/>
  <c r="O365" i="5"/>
  <c r="N365" i="5"/>
  <c r="M365" i="5"/>
  <c r="L365" i="5"/>
  <c r="K365" i="5"/>
  <c r="J365" i="5"/>
  <c r="I365" i="5"/>
  <c r="H365" i="5"/>
  <c r="G365" i="5"/>
  <c r="F365" i="5"/>
  <c r="E365" i="5"/>
  <c r="D365" i="5"/>
  <c r="C365" i="5"/>
  <c r="B365" i="5"/>
  <c r="AB364" i="5"/>
  <c r="AA364" i="5"/>
  <c r="Z364" i="5"/>
  <c r="Y364" i="5"/>
  <c r="X364" i="5"/>
  <c r="W364" i="5"/>
  <c r="V364" i="5"/>
  <c r="U364" i="5"/>
  <c r="T364" i="5"/>
  <c r="S364" i="5"/>
  <c r="R364" i="5"/>
  <c r="Q364" i="5"/>
  <c r="P364" i="5"/>
  <c r="O364" i="5"/>
  <c r="N364" i="5"/>
  <c r="M364" i="5"/>
  <c r="L364" i="5"/>
  <c r="K364" i="5"/>
  <c r="J364" i="5"/>
  <c r="I364" i="5"/>
  <c r="H364" i="5"/>
  <c r="G364" i="5"/>
  <c r="F364" i="5"/>
  <c r="E364" i="5"/>
  <c r="D364" i="5"/>
  <c r="C364" i="5"/>
  <c r="B364" i="5"/>
  <c r="AB363" i="5"/>
  <c r="AA363" i="5"/>
  <c r="Z363" i="5"/>
  <c r="Y363" i="5"/>
  <c r="X363" i="5"/>
  <c r="W363" i="5"/>
  <c r="V363" i="5"/>
  <c r="U363" i="5"/>
  <c r="T363" i="5"/>
  <c r="S363" i="5"/>
  <c r="R363" i="5"/>
  <c r="Q363" i="5"/>
  <c r="P363" i="5"/>
  <c r="O363" i="5"/>
  <c r="N363" i="5"/>
  <c r="M363" i="5"/>
  <c r="L363" i="5"/>
  <c r="K363" i="5"/>
  <c r="J363" i="5"/>
  <c r="I363" i="5"/>
  <c r="H363" i="5"/>
  <c r="G363" i="5"/>
  <c r="F363" i="5"/>
  <c r="E363" i="5"/>
  <c r="D363" i="5"/>
  <c r="C363" i="5"/>
  <c r="B363" i="5"/>
  <c r="AB362" i="5"/>
  <c r="AA362" i="5"/>
  <c r="Z362" i="5"/>
  <c r="Y362" i="5"/>
  <c r="X362" i="5"/>
  <c r="W362" i="5"/>
  <c r="V362" i="5"/>
  <c r="U362" i="5"/>
  <c r="T362" i="5"/>
  <c r="S362" i="5"/>
  <c r="R362" i="5"/>
  <c r="Q362" i="5"/>
  <c r="P362" i="5"/>
  <c r="O362" i="5"/>
  <c r="N362" i="5"/>
  <c r="M362" i="5"/>
  <c r="L362" i="5"/>
  <c r="K362" i="5"/>
  <c r="J362" i="5"/>
  <c r="I362" i="5"/>
  <c r="H362" i="5"/>
  <c r="G362" i="5"/>
  <c r="F362" i="5"/>
  <c r="E362" i="5"/>
  <c r="D362" i="5"/>
  <c r="C362" i="5"/>
  <c r="B362" i="5"/>
  <c r="AB361" i="5"/>
  <c r="AA361" i="5"/>
  <c r="Z361" i="5"/>
  <c r="Y361" i="5"/>
  <c r="X361" i="5"/>
  <c r="W361" i="5"/>
  <c r="V361" i="5"/>
  <c r="U361" i="5"/>
  <c r="T361" i="5"/>
  <c r="S361" i="5"/>
  <c r="R361" i="5"/>
  <c r="Q361" i="5"/>
  <c r="P361" i="5"/>
  <c r="O361" i="5"/>
  <c r="N361" i="5"/>
  <c r="M361" i="5"/>
  <c r="L361" i="5"/>
  <c r="K361" i="5"/>
  <c r="J361" i="5"/>
  <c r="I361" i="5"/>
  <c r="H361" i="5"/>
  <c r="G361" i="5"/>
  <c r="F361" i="5"/>
  <c r="E361" i="5"/>
  <c r="D361" i="5"/>
  <c r="C361" i="5"/>
  <c r="B361" i="5"/>
  <c r="AB360" i="5"/>
  <c r="AA360" i="5"/>
  <c r="Z360" i="5"/>
  <c r="Y360" i="5"/>
  <c r="X360" i="5"/>
  <c r="W360" i="5"/>
  <c r="V360" i="5"/>
  <c r="U360" i="5"/>
  <c r="T360" i="5"/>
  <c r="S360" i="5"/>
  <c r="R360" i="5"/>
  <c r="Q360" i="5"/>
  <c r="P360" i="5"/>
  <c r="O360" i="5"/>
  <c r="N360" i="5"/>
  <c r="M360" i="5"/>
  <c r="L360" i="5"/>
  <c r="K360" i="5"/>
  <c r="J360" i="5"/>
  <c r="I360" i="5"/>
  <c r="H360" i="5"/>
  <c r="G360" i="5"/>
  <c r="F360" i="5"/>
  <c r="E360" i="5"/>
  <c r="D360" i="5"/>
  <c r="C360" i="5"/>
  <c r="B360" i="5"/>
  <c r="AB359" i="5"/>
  <c r="AA359" i="5"/>
  <c r="Z359" i="5"/>
  <c r="Y359" i="5"/>
  <c r="X359" i="5"/>
  <c r="W359" i="5"/>
  <c r="V359" i="5"/>
  <c r="U359" i="5"/>
  <c r="T359" i="5"/>
  <c r="S359" i="5"/>
  <c r="R359" i="5"/>
  <c r="Q359" i="5"/>
  <c r="P359" i="5"/>
  <c r="O359" i="5"/>
  <c r="N359" i="5"/>
  <c r="M359" i="5"/>
  <c r="L359" i="5"/>
  <c r="K359" i="5"/>
  <c r="J359" i="5"/>
  <c r="I359" i="5"/>
  <c r="H359" i="5"/>
  <c r="G359" i="5"/>
  <c r="F359" i="5"/>
  <c r="E359" i="5"/>
  <c r="D359" i="5"/>
  <c r="C359" i="5"/>
  <c r="B359" i="5"/>
  <c r="AB358" i="5"/>
  <c r="AA358" i="5"/>
  <c r="Z358" i="5"/>
  <c r="Y358" i="5"/>
  <c r="X358" i="5"/>
  <c r="W358" i="5"/>
  <c r="V358" i="5"/>
  <c r="U358" i="5"/>
  <c r="T358" i="5"/>
  <c r="S358" i="5"/>
  <c r="R358" i="5"/>
  <c r="Q358" i="5"/>
  <c r="P358" i="5"/>
  <c r="O358" i="5"/>
  <c r="N358" i="5"/>
  <c r="M358" i="5"/>
  <c r="L358" i="5"/>
  <c r="K358" i="5"/>
  <c r="J358" i="5"/>
  <c r="I358" i="5"/>
  <c r="H358" i="5"/>
  <c r="G358" i="5"/>
  <c r="F358" i="5"/>
  <c r="E358" i="5"/>
  <c r="D358" i="5"/>
  <c r="C358" i="5"/>
  <c r="B358" i="5"/>
  <c r="AB357" i="5"/>
  <c r="AA357" i="5"/>
  <c r="Z357" i="5"/>
  <c r="Y357" i="5"/>
  <c r="X357" i="5"/>
  <c r="W357" i="5"/>
  <c r="V357" i="5"/>
  <c r="U357" i="5"/>
  <c r="T357" i="5"/>
  <c r="S357" i="5"/>
  <c r="R357" i="5"/>
  <c r="Q357" i="5"/>
  <c r="P357" i="5"/>
  <c r="O357" i="5"/>
  <c r="N357" i="5"/>
  <c r="M357" i="5"/>
  <c r="L357" i="5"/>
  <c r="K357" i="5"/>
  <c r="J357" i="5"/>
  <c r="I357" i="5"/>
  <c r="H357" i="5"/>
  <c r="G357" i="5"/>
  <c r="F357" i="5"/>
  <c r="E357" i="5"/>
  <c r="D357" i="5"/>
  <c r="C357" i="5"/>
  <c r="B357" i="5"/>
  <c r="AB356" i="5"/>
  <c r="AA356" i="5"/>
  <c r="Z356" i="5"/>
  <c r="Y356" i="5"/>
  <c r="X356" i="5"/>
  <c r="W356" i="5"/>
  <c r="V356" i="5"/>
  <c r="U356" i="5"/>
  <c r="T356" i="5"/>
  <c r="S356" i="5"/>
  <c r="R356" i="5"/>
  <c r="Q356" i="5"/>
  <c r="P356" i="5"/>
  <c r="O356" i="5"/>
  <c r="N356" i="5"/>
  <c r="M356" i="5"/>
  <c r="L356" i="5"/>
  <c r="K356" i="5"/>
  <c r="J356" i="5"/>
  <c r="I356" i="5"/>
  <c r="H356" i="5"/>
  <c r="G356" i="5"/>
  <c r="F356" i="5"/>
  <c r="E356" i="5"/>
  <c r="D356" i="5"/>
  <c r="C356" i="5"/>
  <c r="B356" i="5"/>
  <c r="AB355" i="5"/>
  <c r="AA355" i="5"/>
  <c r="Z355" i="5"/>
  <c r="Y355" i="5"/>
  <c r="X355" i="5"/>
  <c r="W355" i="5"/>
  <c r="V355" i="5"/>
  <c r="U355" i="5"/>
  <c r="T355" i="5"/>
  <c r="S355" i="5"/>
  <c r="R355" i="5"/>
  <c r="Q355" i="5"/>
  <c r="P355" i="5"/>
  <c r="O355" i="5"/>
  <c r="N355" i="5"/>
  <c r="M355" i="5"/>
  <c r="L355" i="5"/>
  <c r="K355" i="5"/>
  <c r="J355" i="5"/>
  <c r="I355" i="5"/>
  <c r="H355" i="5"/>
  <c r="G355" i="5"/>
  <c r="F355" i="5"/>
  <c r="E355" i="5"/>
  <c r="D355" i="5"/>
  <c r="C355" i="5"/>
  <c r="B355" i="5"/>
  <c r="AB354" i="5"/>
  <c r="AA354" i="5"/>
  <c r="Z354" i="5"/>
  <c r="Y354" i="5"/>
  <c r="X354" i="5"/>
  <c r="W354" i="5"/>
  <c r="V354" i="5"/>
  <c r="U354" i="5"/>
  <c r="T354" i="5"/>
  <c r="S354" i="5"/>
  <c r="R354" i="5"/>
  <c r="Q354" i="5"/>
  <c r="P354" i="5"/>
  <c r="O354" i="5"/>
  <c r="N354" i="5"/>
  <c r="M354" i="5"/>
  <c r="L354" i="5"/>
  <c r="K354" i="5"/>
  <c r="J354" i="5"/>
  <c r="I354" i="5"/>
  <c r="H354" i="5"/>
  <c r="G354" i="5"/>
  <c r="F354" i="5"/>
  <c r="E354" i="5"/>
  <c r="D354" i="5"/>
  <c r="C354" i="5"/>
  <c r="B354" i="5"/>
  <c r="AB353" i="5"/>
  <c r="AA353" i="5"/>
  <c r="Z353" i="5"/>
  <c r="Y353" i="5"/>
  <c r="X353" i="5"/>
  <c r="W353" i="5"/>
  <c r="V353" i="5"/>
  <c r="U353" i="5"/>
  <c r="T353" i="5"/>
  <c r="S353" i="5"/>
  <c r="R353" i="5"/>
  <c r="Q353" i="5"/>
  <c r="P353" i="5"/>
  <c r="O353" i="5"/>
  <c r="N353" i="5"/>
  <c r="M353" i="5"/>
  <c r="L353" i="5"/>
  <c r="K353" i="5"/>
  <c r="J353" i="5"/>
  <c r="I353" i="5"/>
  <c r="H353" i="5"/>
  <c r="G353" i="5"/>
  <c r="F353" i="5"/>
  <c r="E353" i="5"/>
  <c r="D353" i="5"/>
  <c r="C353" i="5"/>
  <c r="B353" i="5"/>
  <c r="AB352" i="5"/>
  <c r="AA352" i="5"/>
  <c r="Z352" i="5"/>
  <c r="Y352" i="5"/>
  <c r="X352" i="5"/>
  <c r="W352" i="5"/>
  <c r="V352" i="5"/>
  <c r="U352" i="5"/>
  <c r="T352" i="5"/>
  <c r="S352" i="5"/>
  <c r="R352" i="5"/>
  <c r="Q352" i="5"/>
  <c r="P352" i="5"/>
  <c r="O352" i="5"/>
  <c r="N352" i="5"/>
  <c r="M352" i="5"/>
  <c r="L352" i="5"/>
  <c r="K352" i="5"/>
  <c r="J352" i="5"/>
  <c r="I352" i="5"/>
  <c r="H352" i="5"/>
  <c r="G352" i="5"/>
  <c r="F352" i="5"/>
  <c r="E352" i="5"/>
  <c r="D352" i="5"/>
  <c r="C352" i="5"/>
  <c r="B352" i="5"/>
  <c r="AB351" i="5"/>
  <c r="AA351" i="5"/>
  <c r="Z351" i="5"/>
  <c r="Y351" i="5"/>
  <c r="X351" i="5"/>
  <c r="W351" i="5"/>
  <c r="V351" i="5"/>
  <c r="U351" i="5"/>
  <c r="T351" i="5"/>
  <c r="S351" i="5"/>
  <c r="R351" i="5"/>
  <c r="Q351" i="5"/>
  <c r="P351" i="5"/>
  <c r="O351" i="5"/>
  <c r="N351" i="5"/>
  <c r="M351" i="5"/>
  <c r="L351" i="5"/>
  <c r="K351" i="5"/>
  <c r="J351" i="5"/>
  <c r="I351" i="5"/>
  <c r="H351" i="5"/>
  <c r="G351" i="5"/>
  <c r="F351" i="5"/>
  <c r="E351" i="5"/>
  <c r="D351" i="5"/>
  <c r="C351" i="5"/>
  <c r="B351" i="5"/>
  <c r="AB350" i="5"/>
  <c r="AA350" i="5"/>
  <c r="Z350" i="5"/>
  <c r="Y350" i="5"/>
  <c r="X350" i="5"/>
  <c r="W350" i="5"/>
  <c r="V350" i="5"/>
  <c r="U350" i="5"/>
  <c r="T350" i="5"/>
  <c r="S350" i="5"/>
  <c r="R350" i="5"/>
  <c r="Q350" i="5"/>
  <c r="P350" i="5"/>
  <c r="O350" i="5"/>
  <c r="N350" i="5"/>
  <c r="M350" i="5"/>
  <c r="L350" i="5"/>
  <c r="K350" i="5"/>
  <c r="J350" i="5"/>
  <c r="I350" i="5"/>
  <c r="H350" i="5"/>
  <c r="G350" i="5"/>
  <c r="F350" i="5"/>
  <c r="E350" i="5"/>
  <c r="D350" i="5"/>
  <c r="C350" i="5"/>
  <c r="B350" i="5"/>
  <c r="AB349" i="5"/>
  <c r="AA349" i="5"/>
  <c r="Z349" i="5"/>
  <c r="Y349" i="5"/>
  <c r="X349" i="5"/>
  <c r="W349" i="5"/>
  <c r="V349" i="5"/>
  <c r="U349" i="5"/>
  <c r="T349" i="5"/>
  <c r="S349" i="5"/>
  <c r="R349" i="5"/>
  <c r="Q349" i="5"/>
  <c r="P349" i="5"/>
  <c r="O349" i="5"/>
  <c r="N349" i="5"/>
  <c r="M349" i="5"/>
  <c r="L349" i="5"/>
  <c r="K349" i="5"/>
  <c r="J349" i="5"/>
  <c r="I349" i="5"/>
  <c r="H349" i="5"/>
  <c r="G349" i="5"/>
  <c r="F349" i="5"/>
  <c r="E349" i="5"/>
  <c r="D349" i="5"/>
  <c r="C349" i="5"/>
  <c r="B349" i="5"/>
  <c r="AB348" i="5"/>
  <c r="AA348" i="5"/>
  <c r="Z348" i="5"/>
  <c r="Y348" i="5"/>
  <c r="X348" i="5"/>
  <c r="W348" i="5"/>
  <c r="V348" i="5"/>
  <c r="U348" i="5"/>
  <c r="T348" i="5"/>
  <c r="S348" i="5"/>
  <c r="R348" i="5"/>
  <c r="Q348" i="5"/>
  <c r="P348" i="5"/>
  <c r="O348" i="5"/>
  <c r="N348" i="5"/>
  <c r="M348" i="5"/>
  <c r="L348" i="5"/>
  <c r="K348" i="5"/>
  <c r="J348" i="5"/>
  <c r="I348" i="5"/>
  <c r="H348" i="5"/>
  <c r="G348" i="5"/>
  <c r="F348" i="5"/>
  <c r="E348" i="5"/>
  <c r="D348" i="5"/>
  <c r="C348" i="5"/>
  <c r="B348" i="5"/>
  <c r="AB347" i="5"/>
  <c r="AA347" i="5"/>
  <c r="Z347" i="5"/>
  <c r="Y347" i="5"/>
  <c r="X347" i="5"/>
  <c r="W347" i="5"/>
  <c r="V347" i="5"/>
  <c r="U347" i="5"/>
  <c r="T347" i="5"/>
  <c r="S347" i="5"/>
  <c r="R347" i="5"/>
  <c r="Q347" i="5"/>
  <c r="P347" i="5"/>
  <c r="O347" i="5"/>
  <c r="N347" i="5"/>
  <c r="M347" i="5"/>
  <c r="L347" i="5"/>
  <c r="K347" i="5"/>
  <c r="J347" i="5"/>
  <c r="I347" i="5"/>
  <c r="H347" i="5"/>
  <c r="G347" i="5"/>
  <c r="F347" i="5"/>
  <c r="E347" i="5"/>
  <c r="D347" i="5"/>
  <c r="C347" i="5"/>
  <c r="B347" i="5"/>
  <c r="AB346" i="5"/>
  <c r="AA346" i="5"/>
  <c r="Z346" i="5"/>
  <c r="Y346" i="5"/>
  <c r="X346" i="5"/>
  <c r="W346" i="5"/>
  <c r="V346" i="5"/>
  <c r="U346" i="5"/>
  <c r="T346" i="5"/>
  <c r="S346" i="5"/>
  <c r="R346" i="5"/>
  <c r="Q346" i="5"/>
  <c r="P346" i="5"/>
  <c r="O346" i="5"/>
  <c r="N346" i="5"/>
  <c r="M346" i="5"/>
  <c r="L346" i="5"/>
  <c r="K346" i="5"/>
  <c r="J346" i="5"/>
  <c r="I346" i="5"/>
  <c r="H346" i="5"/>
  <c r="G346" i="5"/>
  <c r="F346" i="5"/>
  <c r="E346" i="5"/>
  <c r="D346" i="5"/>
  <c r="C346" i="5"/>
  <c r="B346" i="5"/>
  <c r="AB345" i="5"/>
  <c r="AA345" i="5"/>
  <c r="Z345" i="5"/>
  <c r="Y345" i="5"/>
  <c r="X345" i="5"/>
  <c r="W345" i="5"/>
  <c r="V345" i="5"/>
  <c r="U345" i="5"/>
  <c r="T345" i="5"/>
  <c r="S345" i="5"/>
  <c r="R345" i="5"/>
  <c r="Q345" i="5"/>
  <c r="P345" i="5"/>
  <c r="O345" i="5"/>
  <c r="N345" i="5"/>
  <c r="M345" i="5"/>
  <c r="L345" i="5"/>
  <c r="K345" i="5"/>
  <c r="J345" i="5"/>
  <c r="I345" i="5"/>
  <c r="H345" i="5"/>
  <c r="G345" i="5"/>
  <c r="F345" i="5"/>
  <c r="E345" i="5"/>
  <c r="D345" i="5"/>
  <c r="C345" i="5"/>
  <c r="B345" i="5"/>
  <c r="AB344" i="5"/>
  <c r="AA344" i="5"/>
  <c r="Z344" i="5"/>
  <c r="Y344" i="5"/>
  <c r="X344" i="5"/>
  <c r="W344" i="5"/>
  <c r="V344" i="5"/>
  <c r="U344" i="5"/>
  <c r="T344" i="5"/>
  <c r="S344" i="5"/>
  <c r="R344" i="5"/>
  <c r="Q344" i="5"/>
  <c r="P344" i="5"/>
  <c r="O344" i="5"/>
  <c r="N344" i="5"/>
  <c r="M344" i="5"/>
  <c r="L344" i="5"/>
  <c r="K344" i="5"/>
  <c r="J344" i="5"/>
  <c r="I344" i="5"/>
  <c r="H344" i="5"/>
  <c r="G344" i="5"/>
  <c r="F344" i="5"/>
  <c r="E344" i="5"/>
  <c r="D344" i="5"/>
  <c r="C344" i="5"/>
  <c r="B344" i="5"/>
  <c r="AB343" i="5"/>
  <c r="AA343" i="5"/>
  <c r="Z343" i="5"/>
  <c r="Y343" i="5"/>
  <c r="X343" i="5"/>
  <c r="W343" i="5"/>
  <c r="V343" i="5"/>
  <c r="U343" i="5"/>
  <c r="T343" i="5"/>
  <c r="S343" i="5"/>
  <c r="R343" i="5"/>
  <c r="Q343" i="5"/>
  <c r="P343" i="5"/>
  <c r="O343" i="5"/>
  <c r="N343" i="5"/>
  <c r="M343" i="5"/>
  <c r="L343" i="5"/>
  <c r="K343" i="5"/>
  <c r="J343" i="5"/>
  <c r="I343" i="5"/>
  <c r="H343" i="5"/>
  <c r="G343" i="5"/>
  <c r="F343" i="5"/>
  <c r="E343" i="5"/>
  <c r="D343" i="5"/>
  <c r="C343" i="5"/>
  <c r="B343" i="5"/>
  <c r="AB342" i="5"/>
  <c r="AA342" i="5"/>
  <c r="Z342" i="5"/>
  <c r="Y342" i="5"/>
  <c r="X342" i="5"/>
  <c r="W342" i="5"/>
  <c r="V342" i="5"/>
  <c r="U342" i="5"/>
  <c r="T342" i="5"/>
  <c r="S342" i="5"/>
  <c r="R342" i="5"/>
  <c r="Q342" i="5"/>
  <c r="P342" i="5"/>
  <c r="O342" i="5"/>
  <c r="N342" i="5"/>
  <c r="M342" i="5"/>
  <c r="L342" i="5"/>
  <c r="K342" i="5"/>
  <c r="J342" i="5"/>
  <c r="I342" i="5"/>
  <c r="H342" i="5"/>
  <c r="G342" i="5"/>
  <c r="F342" i="5"/>
  <c r="E342" i="5"/>
  <c r="D342" i="5"/>
  <c r="C342" i="5"/>
  <c r="B342" i="5"/>
  <c r="AB341" i="5"/>
  <c r="AA341" i="5"/>
  <c r="Z341" i="5"/>
  <c r="Y341" i="5"/>
  <c r="X341" i="5"/>
  <c r="W341" i="5"/>
  <c r="V341" i="5"/>
  <c r="U341" i="5"/>
  <c r="T341" i="5"/>
  <c r="S341" i="5"/>
  <c r="R341" i="5"/>
  <c r="Q341" i="5"/>
  <c r="P341" i="5"/>
  <c r="O341" i="5"/>
  <c r="N341" i="5"/>
  <c r="M341" i="5"/>
  <c r="L341" i="5"/>
  <c r="K341" i="5"/>
  <c r="J341" i="5"/>
  <c r="I341" i="5"/>
  <c r="H341" i="5"/>
  <c r="G341" i="5"/>
  <c r="F341" i="5"/>
  <c r="E341" i="5"/>
  <c r="D341" i="5"/>
  <c r="C341" i="5"/>
  <c r="B341" i="5"/>
  <c r="AB340" i="5"/>
  <c r="AA340" i="5"/>
  <c r="Z340" i="5"/>
  <c r="Y340" i="5"/>
  <c r="X340" i="5"/>
  <c r="W340" i="5"/>
  <c r="V340" i="5"/>
  <c r="U340" i="5"/>
  <c r="T340" i="5"/>
  <c r="S340" i="5"/>
  <c r="R340" i="5"/>
  <c r="Q340" i="5"/>
  <c r="P340" i="5"/>
  <c r="O340" i="5"/>
  <c r="N340" i="5"/>
  <c r="M340" i="5"/>
  <c r="L340" i="5"/>
  <c r="K340" i="5"/>
  <c r="J340" i="5"/>
  <c r="I340" i="5"/>
  <c r="H340" i="5"/>
  <c r="G340" i="5"/>
  <c r="F340" i="5"/>
  <c r="E340" i="5"/>
  <c r="D340" i="5"/>
  <c r="C340" i="5"/>
  <c r="B340" i="5"/>
  <c r="AB339" i="5"/>
  <c r="AA339" i="5"/>
  <c r="Z339" i="5"/>
  <c r="Y339" i="5"/>
  <c r="X339" i="5"/>
  <c r="W339" i="5"/>
  <c r="V339" i="5"/>
  <c r="U339" i="5"/>
  <c r="T339" i="5"/>
  <c r="S339" i="5"/>
  <c r="R339" i="5"/>
  <c r="Q339" i="5"/>
  <c r="P339" i="5"/>
  <c r="O339" i="5"/>
  <c r="N339" i="5"/>
  <c r="M339" i="5"/>
  <c r="L339" i="5"/>
  <c r="K339" i="5"/>
  <c r="J339" i="5"/>
  <c r="I339" i="5"/>
  <c r="H339" i="5"/>
  <c r="G339" i="5"/>
  <c r="F339" i="5"/>
  <c r="E339" i="5"/>
  <c r="D339" i="5"/>
  <c r="C339" i="5"/>
  <c r="B339" i="5"/>
  <c r="AB338" i="5"/>
  <c r="AA338" i="5"/>
  <c r="Z338" i="5"/>
  <c r="Y338" i="5"/>
  <c r="X338" i="5"/>
  <c r="W338" i="5"/>
  <c r="V338" i="5"/>
  <c r="U338" i="5"/>
  <c r="T338" i="5"/>
  <c r="S338" i="5"/>
  <c r="R338" i="5"/>
  <c r="Q338" i="5"/>
  <c r="P338" i="5"/>
  <c r="O338" i="5"/>
  <c r="N338" i="5"/>
  <c r="M338" i="5"/>
  <c r="L338" i="5"/>
  <c r="K338" i="5"/>
  <c r="J338" i="5"/>
  <c r="I338" i="5"/>
  <c r="H338" i="5"/>
  <c r="G338" i="5"/>
  <c r="F338" i="5"/>
  <c r="E338" i="5"/>
  <c r="D338" i="5"/>
  <c r="C338" i="5"/>
  <c r="B338" i="5"/>
  <c r="AB337" i="5"/>
  <c r="AA337" i="5"/>
  <c r="Z337" i="5"/>
  <c r="Y337" i="5"/>
  <c r="X337" i="5"/>
  <c r="W337" i="5"/>
  <c r="V337" i="5"/>
  <c r="U337" i="5"/>
  <c r="T337" i="5"/>
  <c r="S337" i="5"/>
  <c r="R337" i="5"/>
  <c r="Q337" i="5"/>
  <c r="P337" i="5"/>
  <c r="O337" i="5"/>
  <c r="N337" i="5"/>
  <c r="M337" i="5"/>
  <c r="L337" i="5"/>
  <c r="K337" i="5"/>
  <c r="J337" i="5"/>
  <c r="I337" i="5"/>
  <c r="H337" i="5"/>
  <c r="G337" i="5"/>
  <c r="F337" i="5"/>
  <c r="E337" i="5"/>
  <c r="D337" i="5"/>
  <c r="C337" i="5"/>
  <c r="B337" i="5"/>
  <c r="AB336" i="5"/>
  <c r="AA336" i="5"/>
  <c r="Z336" i="5"/>
  <c r="Y336" i="5"/>
  <c r="X336" i="5"/>
  <c r="W336" i="5"/>
  <c r="V336" i="5"/>
  <c r="U336" i="5"/>
  <c r="T336" i="5"/>
  <c r="S336" i="5"/>
  <c r="R336" i="5"/>
  <c r="Q336" i="5"/>
  <c r="P336" i="5"/>
  <c r="O336" i="5"/>
  <c r="N336" i="5"/>
  <c r="M336" i="5"/>
  <c r="L336" i="5"/>
  <c r="K336" i="5"/>
  <c r="J336" i="5"/>
  <c r="I336" i="5"/>
  <c r="H336" i="5"/>
  <c r="G336" i="5"/>
  <c r="F336" i="5"/>
  <c r="E336" i="5"/>
  <c r="D336" i="5"/>
  <c r="C336" i="5"/>
  <c r="B336" i="5"/>
  <c r="AB335" i="5"/>
  <c r="AA335" i="5"/>
  <c r="Z335" i="5"/>
  <c r="Y335" i="5"/>
  <c r="X335" i="5"/>
  <c r="W335" i="5"/>
  <c r="V335" i="5"/>
  <c r="U335" i="5"/>
  <c r="T335" i="5"/>
  <c r="S335" i="5"/>
  <c r="R335" i="5"/>
  <c r="Q335" i="5"/>
  <c r="P335" i="5"/>
  <c r="O335" i="5"/>
  <c r="N335" i="5"/>
  <c r="M335" i="5"/>
  <c r="L335" i="5"/>
  <c r="K335" i="5"/>
  <c r="J335" i="5"/>
  <c r="I335" i="5"/>
  <c r="H335" i="5"/>
  <c r="G335" i="5"/>
  <c r="F335" i="5"/>
  <c r="E335" i="5"/>
  <c r="D335" i="5"/>
  <c r="C335" i="5"/>
  <c r="B335" i="5"/>
  <c r="AB334" i="5"/>
  <c r="AA334" i="5"/>
  <c r="Z334" i="5"/>
  <c r="Y334" i="5"/>
  <c r="X334" i="5"/>
  <c r="W334" i="5"/>
  <c r="V334" i="5"/>
  <c r="U334" i="5"/>
  <c r="T334" i="5"/>
  <c r="S334" i="5"/>
  <c r="R334" i="5"/>
  <c r="Q334" i="5"/>
  <c r="P334" i="5"/>
  <c r="O334" i="5"/>
  <c r="N334" i="5"/>
  <c r="M334" i="5"/>
  <c r="L334" i="5"/>
  <c r="K334" i="5"/>
  <c r="J334" i="5"/>
  <c r="I334" i="5"/>
  <c r="H334" i="5"/>
  <c r="G334" i="5"/>
  <c r="F334" i="5"/>
  <c r="E334" i="5"/>
  <c r="D334" i="5"/>
  <c r="C334" i="5"/>
  <c r="B334" i="5"/>
  <c r="AB333" i="5"/>
  <c r="AA333" i="5"/>
  <c r="Z333" i="5"/>
  <c r="Y333" i="5"/>
  <c r="X333" i="5"/>
  <c r="W333" i="5"/>
  <c r="V333" i="5"/>
  <c r="U333" i="5"/>
  <c r="T333" i="5"/>
  <c r="S333" i="5"/>
  <c r="R333" i="5"/>
  <c r="Q333" i="5"/>
  <c r="P333" i="5"/>
  <c r="O333" i="5"/>
  <c r="N333" i="5"/>
  <c r="M333" i="5"/>
  <c r="L333" i="5"/>
  <c r="K333" i="5"/>
  <c r="J333" i="5"/>
  <c r="I333" i="5"/>
  <c r="H333" i="5"/>
  <c r="G333" i="5"/>
  <c r="F333" i="5"/>
  <c r="E333" i="5"/>
  <c r="D333" i="5"/>
  <c r="C333" i="5"/>
  <c r="B333" i="5"/>
  <c r="AB332" i="5"/>
  <c r="AA332" i="5"/>
  <c r="Z332" i="5"/>
  <c r="Y332" i="5"/>
  <c r="X332" i="5"/>
  <c r="W332" i="5"/>
  <c r="V332" i="5"/>
  <c r="U332" i="5"/>
  <c r="T332" i="5"/>
  <c r="S332" i="5"/>
  <c r="R332" i="5"/>
  <c r="Q332" i="5"/>
  <c r="P332" i="5"/>
  <c r="O332" i="5"/>
  <c r="N332" i="5"/>
  <c r="M332" i="5"/>
  <c r="L332" i="5"/>
  <c r="K332" i="5"/>
  <c r="J332" i="5"/>
  <c r="I332" i="5"/>
  <c r="H332" i="5"/>
  <c r="G332" i="5"/>
  <c r="F332" i="5"/>
  <c r="E332" i="5"/>
  <c r="D332" i="5"/>
  <c r="C332" i="5"/>
  <c r="B332" i="5"/>
  <c r="AB331" i="5"/>
  <c r="AA331" i="5"/>
  <c r="Z331" i="5"/>
  <c r="Y331" i="5"/>
  <c r="X331" i="5"/>
  <c r="W331" i="5"/>
  <c r="V331" i="5"/>
  <c r="U331" i="5"/>
  <c r="T331" i="5"/>
  <c r="S331" i="5"/>
  <c r="R331" i="5"/>
  <c r="Q331" i="5"/>
  <c r="P331" i="5"/>
  <c r="O331" i="5"/>
  <c r="N331" i="5"/>
  <c r="M331" i="5"/>
  <c r="L331" i="5"/>
  <c r="K331" i="5"/>
  <c r="J331" i="5"/>
  <c r="I331" i="5"/>
  <c r="H331" i="5"/>
  <c r="G331" i="5"/>
  <c r="F331" i="5"/>
  <c r="E331" i="5"/>
  <c r="D331" i="5"/>
  <c r="C331" i="5"/>
  <c r="B331" i="5"/>
  <c r="AB330" i="5"/>
  <c r="AA330" i="5"/>
  <c r="Z330" i="5"/>
  <c r="Y330" i="5"/>
  <c r="X330" i="5"/>
  <c r="W330" i="5"/>
  <c r="V330" i="5"/>
  <c r="U330" i="5"/>
  <c r="T330" i="5"/>
  <c r="S330" i="5"/>
  <c r="R330" i="5"/>
  <c r="Q330" i="5"/>
  <c r="P330" i="5"/>
  <c r="O330" i="5"/>
  <c r="N330" i="5"/>
  <c r="M330" i="5"/>
  <c r="L330" i="5"/>
  <c r="K330" i="5"/>
  <c r="J330" i="5"/>
  <c r="I330" i="5"/>
  <c r="H330" i="5"/>
  <c r="G330" i="5"/>
  <c r="F330" i="5"/>
  <c r="E330" i="5"/>
  <c r="D330" i="5"/>
  <c r="C330" i="5"/>
  <c r="B330" i="5"/>
  <c r="AB329" i="5"/>
  <c r="AA329" i="5"/>
  <c r="Z329" i="5"/>
  <c r="Y329" i="5"/>
  <c r="X329" i="5"/>
  <c r="W329" i="5"/>
  <c r="V329" i="5"/>
  <c r="U329" i="5"/>
  <c r="T329" i="5"/>
  <c r="S329" i="5"/>
  <c r="R329" i="5"/>
  <c r="Q329" i="5"/>
  <c r="P329" i="5"/>
  <c r="O329" i="5"/>
  <c r="N329" i="5"/>
  <c r="M329" i="5"/>
  <c r="L329" i="5"/>
  <c r="K329" i="5"/>
  <c r="J329" i="5"/>
  <c r="I329" i="5"/>
  <c r="H329" i="5"/>
  <c r="G329" i="5"/>
  <c r="F329" i="5"/>
  <c r="E329" i="5"/>
  <c r="D329" i="5"/>
  <c r="C329" i="5"/>
  <c r="B329" i="5"/>
  <c r="AB328" i="5"/>
  <c r="AA328" i="5"/>
  <c r="Z328" i="5"/>
  <c r="Y328" i="5"/>
  <c r="X328" i="5"/>
  <c r="W328" i="5"/>
  <c r="V328" i="5"/>
  <c r="U328" i="5"/>
  <c r="T328" i="5"/>
  <c r="S328" i="5"/>
  <c r="R328" i="5"/>
  <c r="Q328" i="5"/>
  <c r="P328" i="5"/>
  <c r="O328" i="5"/>
  <c r="N328" i="5"/>
  <c r="M328" i="5"/>
  <c r="L328" i="5"/>
  <c r="K328" i="5"/>
  <c r="J328" i="5"/>
  <c r="I328" i="5"/>
  <c r="H328" i="5"/>
  <c r="G328" i="5"/>
  <c r="F328" i="5"/>
  <c r="E328" i="5"/>
  <c r="D328" i="5"/>
  <c r="C328" i="5"/>
  <c r="B328" i="5"/>
  <c r="AB327" i="5"/>
  <c r="AA327" i="5"/>
  <c r="Z327" i="5"/>
  <c r="Y327" i="5"/>
  <c r="X327" i="5"/>
  <c r="W327" i="5"/>
  <c r="V327" i="5"/>
  <c r="U327" i="5"/>
  <c r="T327" i="5"/>
  <c r="S327" i="5"/>
  <c r="R327" i="5"/>
  <c r="Q327" i="5"/>
  <c r="P327" i="5"/>
  <c r="O327" i="5"/>
  <c r="N327" i="5"/>
  <c r="M327" i="5"/>
  <c r="L327" i="5"/>
  <c r="K327" i="5"/>
  <c r="J327" i="5"/>
  <c r="I327" i="5"/>
  <c r="H327" i="5"/>
  <c r="G327" i="5"/>
  <c r="F327" i="5"/>
  <c r="E327" i="5"/>
  <c r="D327" i="5"/>
  <c r="C327" i="5"/>
  <c r="B327" i="5"/>
  <c r="AB326" i="5"/>
  <c r="AA326" i="5"/>
  <c r="Z326" i="5"/>
  <c r="Y326" i="5"/>
  <c r="X326" i="5"/>
  <c r="W326" i="5"/>
  <c r="V326" i="5"/>
  <c r="U326" i="5"/>
  <c r="T326" i="5"/>
  <c r="S326" i="5"/>
  <c r="R326" i="5"/>
  <c r="Q326" i="5"/>
  <c r="P326" i="5"/>
  <c r="O326" i="5"/>
  <c r="N326" i="5"/>
  <c r="M326" i="5"/>
  <c r="L326" i="5"/>
  <c r="K326" i="5"/>
  <c r="J326" i="5"/>
  <c r="I326" i="5"/>
  <c r="H326" i="5"/>
  <c r="G326" i="5"/>
  <c r="F326" i="5"/>
  <c r="E326" i="5"/>
  <c r="D326" i="5"/>
  <c r="C326" i="5"/>
  <c r="B326" i="5"/>
  <c r="AB325" i="5"/>
  <c r="AA325" i="5"/>
  <c r="Z325" i="5"/>
  <c r="Y325" i="5"/>
  <c r="X325" i="5"/>
  <c r="W325" i="5"/>
  <c r="V325" i="5"/>
  <c r="U325" i="5"/>
  <c r="T325" i="5"/>
  <c r="S325" i="5"/>
  <c r="R325" i="5"/>
  <c r="Q325" i="5"/>
  <c r="P325" i="5"/>
  <c r="O325" i="5"/>
  <c r="N325" i="5"/>
  <c r="M325" i="5"/>
  <c r="L325" i="5"/>
  <c r="K325" i="5"/>
  <c r="J325" i="5"/>
  <c r="I325" i="5"/>
  <c r="H325" i="5"/>
  <c r="G325" i="5"/>
  <c r="F325" i="5"/>
  <c r="E325" i="5"/>
  <c r="D325" i="5"/>
  <c r="C325" i="5"/>
  <c r="B325" i="5"/>
  <c r="AB324" i="5"/>
  <c r="AA324" i="5"/>
  <c r="Z324" i="5"/>
  <c r="Y324" i="5"/>
  <c r="X324" i="5"/>
  <c r="W324" i="5"/>
  <c r="V324" i="5"/>
  <c r="U324" i="5"/>
  <c r="T324" i="5"/>
  <c r="S324" i="5"/>
  <c r="R324" i="5"/>
  <c r="Q324" i="5"/>
  <c r="P324" i="5"/>
  <c r="O324" i="5"/>
  <c r="N324" i="5"/>
  <c r="M324" i="5"/>
  <c r="L324" i="5"/>
  <c r="K324" i="5"/>
  <c r="J324" i="5"/>
  <c r="I324" i="5"/>
  <c r="H324" i="5"/>
  <c r="G324" i="5"/>
  <c r="F324" i="5"/>
  <c r="E324" i="5"/>
  <c r="D324" i="5"/>
  <c r="C324" i="5"/>
  <c r="B324" i="5"/>
  <c r="AB323" i="5"/>
  <c r="AA323" i="5"/>
  <c r="Z323" i="5"/>
  <c r="Y323" i="5"/>
  <c r="X323" i="5"/>
  <c r="W323" i="5"/>
  <c r="V323" i="5"/>
  <c r="U323" i="5"/>
  <c r="T323" i="5"/>
  <c r="S323" i="5"/>
  <c r="R323" i="5"/>
  <c r="Q323" i="5"/>
  <c r="P323" i="5"/>
  <c r="O323" i="5"/>
  <c r="N323" i="5"/>
  <c r="M323" i="5"/>
  <c r="L323" i="5"/>
  <c r="K323" i="5"/>
  <c r="J323" i="5"/>
  <c r="I323" i="5"/>
  <c r="H323" i="5"/>
  <c r="G323" i="5"/>
  <c r="F323" i="5"/>
  <c r="E323" i="5"/>
  <c r="D323" i="5"/>
  <c r="C323" i="5"/>
  <c r="B323" i="5"/>
  <c r="AB322" i="5"/>
  <c r="AA322" i="5"/>
  <c r="Z322" i="5"/>
  <c r="Y322" i="5"/>
  <c r="X322" i="5"/>
  <c r="W322" i="5"/>
  <c r="V322" i="5"/>
  <c r="U322" i="5"/>
  <c r="T322" i="5"/>
  <c r="S322" i="5"/>
  <c r="R322" i="5"/>
  <c r="Q322" i="5"/>
  <c r="P322" i="5"/>
  <c r="O322" i="5"/>
  <c r="N322" i="5"/>
  <c r="M322" i="5"/>
  <c r="L322" i="5"/>
  <c r="K322" i="5"/>
  <c r="J322" i="5"/>
  <c r="I322" i="5"/>
  <c r="H322" i="5"/>
  <c r="G322" i="5"/>
  <c r="F322" i="5"/>
  <c r="E322" i="5"/>
  <c r="D322" i="5"/>
  <c r="C322" i="5"/>
  <c r="B322" i="5"/>
  <c r="AB321" i="5"/>
  <c r="AA321" i="5"/>
  <c r="Z321" i="5"/>
  <c r="Y321" i="5"/>
  <c r="X321" i="5"/>
  <c r="W321" i="5"/>
  <c r="V321" i="5"/>
  <c r="U321" i="5"/>
  <c r="T321" i="5"/>
  <c r="S321" i="5"/>
  <c r="R321" i="5"/>
  <c r="Q321" i="5"/>
  <c r="P321" i="5"/>
  <c r="O321" i="5"/>
  <c r="N321" i="5"/>
  <c r="M321" i="5"/>
  <c r="L321" i="5"/>
  <c r="K321" i="5"/>
  <c r="J321" i="5"/>
  <c r="I321" i="5"/>
  <c r="H321" i="5"/>
  <c r="G321" i="5"/>
  <c r="F321" i="5"/>
  <c r="E321" i="5"/>
  <c r="D321" i="5"/>
  <c r="C321" i="5"/>
  <c r="B321" i="5"/>
  <c r="AB320" i="5"/>
  <c r="AA320" i="5"/>
  <c r="Z320" i="5"/>
  <c r="Y320" i="5"/>
  <c r="X320" i="5"/>
  <c r="W320" i="5"/>
  <c r="V320" i="5"/>
  <c r="U320" i="5"/>
  <c r="T320" i="5"/>
  <c r="S320" i="5"/>
  <c r="R320" i="5"/>
  <c r="Q320" i="5"/>
  <c r="P320" i="5"/>
  <c r="O320" i="5"/>
  <c r="N320" i="5"/>
  <c r="M320" i="5"/>
  <c r="L320" i="5"/>
  <c r="K320" i="5"/>
  <c r="J320" i="5"/>
  <c r="I320" i="5"/>
  <c r="H320" i="5"/>
  <c r="G320" i="5"/>
  <c r="F320" i="5"/>
  <c r="E320" i="5"/>
  <c r="D320" i="5"/>
  <c r="C320" i="5"/>
  <c r="B320" i="5"/>
  <c r="AB319" i="5"/>
  <c r="AA319" i="5"/>
  <c r="Z319" i="5"/>
  <c r="Y319" i="5"/>
  <c r="X319" i="5"/>
  <c r="W319" i="5"/>
  <c r="V319" i="5"/>
  <c r="U319" i="5"/>
  <c r="T319" i="5"/>
  <c r="S319" i="5"/>
  <c r="R319" i="5"/>
  <c r="Q319" i="5"/>
  <c r="P319" i="5"/>
  <c r="O319" i="5"/>
  <c r="N319" i="5"/>
  <c r="M319" i="5"/>
  <c r="L319" i="5"/>
  <c r="K319" i="5"/>
  <c r="J319" i="5"/>
  <c r="I319" i="5"/>
  <c r="H319" i="5"/>
  <c r="G319" i="5"/>
  <c r="F319" i="5"/>
  <c r="E319" i="5"/>
  <c r="D319" i="5"/>
  <c r="C319" i="5"/>
  <c r="B319" i="5"/>
  <c r="AB318" i="5"/>
  <c r="AA318" i="5"/>
  <c r="Z318" i="5"/>
  <c r="Y318" i="5"/>
  <c r="X318" i="5"/>
  <c r="W318" i="5"/>
  <c r="V318" i="5"/>
  <c r="U318" i="5"/>
  <c r="T318" i="5"/>
  <c r="S318" i="5"/>
  <c r="R318" i="5"/>
  <c r="Q318" i="5"/>
  <c r="P318" i="5"/>
  <c r="O318" i="5"/>
  <c r="N318" i="5"/>
  <c r="M318" i="5"/>
  <c r="L318" i="5"/>
  <c r="K318" i="5"/>
  <c r="J318" i="5"/>
  <c r="I318" i="5"/>
  <c r="H318" i="5"/>
  <c r="G318" i="5"/>
  <c r="F318" i="5"/>
  <c r="E318" i="5"/>
  <c r="D318" i="5"/>
  <c r="C318" i="5"/>
  <c r="B318" i="5"/>
  <c r="AB317" i="5"/>
  <c r="AA317" i="5"/>
  <c r="Z317" i="5"/>
  <c r="Y317" i="5"/>
  <c r="X317" i="5"/>
  <c r="W317" i="5"/>
  <c r="V317" i="5"/>
  <c r="U317" i="5"/>
  <c r="T317" i="5"/>
  <c r="S317" i="5"/>
  <c r="R317" i="5"/>
  <c r="Q317" i="5"/>
  <c r="P317" i="5"/>
  <c r="O317" i="5"/>
  <c r="N317" i="5"/>
  <c r="M317" i="5"/>
  <c r="L317" i="5"/>
  <c r="K317" i="5"/>
  <c r="J317" i="5"/>
  <c r="I317" i="5"/>
  <c r="H317" i="5"/>
  <c r="G317" i="5"/>
  <c r="F317" i="5"/>
  <c r="E317" i="5"/>
  <c r="D317" i="5"/>
  <c r="C317" i="5"/>
  <c r="B317" i="5"/>
  <c r="AB316" i="5"/>
  <c r="AA316" i="5"/>
  <c r="Z316" i="5"/>
  <c r="Y316" i="5"/>
  <c r="X316" i="5"/>
  <c r="W316" i="5"/>
  <c r="V316" i="5"/>
  <c r="U316" i="5"/>
  <c r="T316" i="5"/>
  <c r="S316" i="5"/>
  <c r="R316" i="5"/>
  <c r="Q316" i="5"/>
  <c r="P316" i="5"/>
  <c r="O316" i="5"/>
  <c r="N316" i="5"/>
  <c r="M316" i="5"/>
  <c r="L316" i="5"/>
  <c r="K316" i="5"/>
  <c r="J316" i="5"/>
  <c r="I316" i="5"/>
  <c r="H316" i="5"/>
  <c r="G316" i="5"/>
  <c r="F316" i="5"/>
  <c r="E316" i="5"/>
  <c r="D316" i="5"/>
  <c r="C316" i="5"/>
  <c r="B316" i="5"/>
  <c r="AB315" i="5"/>
  <c r="AA315" i="5"/>
  <c r="Z315" i="5"/>
  <c r="Y315" i="5"/>
  <c r="X315" i="5"/>
  <c r="W315" i="5"/>
  <c r="V315" i="5"/>
  <c r="U315" i="5"/>
  <c r="T315" i="5"/>
  <c r="S315" i="5"/>
  <c r="R315" i="5"/>
  <c r="Q315" i="5"/>
  <c r="P315" i="5"/>
  <c r="O315" i="5"/>
  <c r="N315" i="5"/>
  <c r="M315" i="5"/>
  <c r="L315" i="5"/>
  <c r="K315" i="5"/>
  <c r="J315" i="5"/>
  <c r="I315" i="5"/>
  <c r="H315" i="5"/>
  <c r="G315" i="5"/>
  <c r="F315" i="5"/>
  <c r="E315" i="5"/>
  <c r="D315" i="5"/>
  <c r="C315" i="5"/>
  <c r="B315" i="5"/>
  <c r="AB314" i="5"/>
  <c r="AA314" i="5"/>
  <c r="Z314" i="5"/>
  <c r="Y314" i="5"/>
  <c r="X314" i="5"/>
  <c r="W314" i="5"/>
  <c r="V314" i="5"/>
  <c r="U314" i="5"/>
  <c r="T314" i="5"/>
  <c r="S314" i="5"/>
  <c r="R314" i="5"/>
  <c r="Q314" i="5"/>
  <c r="P314" i="5"/>
  <c r="O314" i="5"/>
  <c r="N314" i="5"/>
  <c r="M314" i="5"/>
  <c r="L314" i="5"/>
  <c r="K314" i="5"/>
  <c r="J314" i="5"/>
  <c r="I314" i="5"/>
  <c r="H314" i="5"/>
  <c r="G314" i="5"/>
  <c r="F314" i="5"/>
  <c r="E314" i="5"/>
  <c r="D314" i="5"/>
  <c r="C314" i="5"/>
  <c r="B314" i="5"/>
  <c r="AB313" i="5"/>
  <c r="AA313" i="5"/>
  <c r="Z313" i="5"/>
  <c r="Y313" i="5"/>
  <c r="X313" i="5"/>
  <c r="W313" i="5"/>
  <c r="V313" i="5"/>
  <c r="U313" i="5"/>
  <c r="T313" i="5"/>
  <c r="S313" i="5"/>
  <c r="R313" i="5"/>
  <c r="Q313" i="5"/>
  <c r="P313" i="5"/>
  <c r="O313" i="5"/>
  <c r="N313" i="5"/>
  <c r="M313" i="5"/>
  <c r="L313" i="5"/>
  <c r="K313" i="5"/>
  <c r="J313" i="5"/>
  <c r="I313" i="5"/>
  <c r="H313" i="5"/>
  <c r="G313" i="5"/>
  <c r="F313" i="5"/>
  <c r="E313" i="5"/>
  <c r="D313" i="5"/>
  <c r="C313" i="5"/>
  <c r="B313" i="5"/>
  <c r="AB312" i="5"/>
  <c r="AA312" i="5"/>
  <c r="Z312" i="5"/>
  <c r="Y312" i="5"/>
  <c r="X312" i="5"/>
  <c r="W312" i="5"/>
  <c r="V312" i="5"/>
  <c r="U312" i="5"/>
  <c r="T312" i="5"/>
  <c r="S312" i="5"/>
  <c r="R312" i="5"/>
  <c r="Q312" i="5"/>
  <c r="P312" i="5"/>
  <c r="O312" i="5"/>
  <c r="N312" i="5"/>
  <c r="M312" i="5"/>
  <c r="L312" i="5"/>
  <c r="K312" i="5"/>
  <c r="J312" i="5"/>
  <c r="I312" i="5"/>
  <c r="H312" i="5"/>
  <c r="G312" i="5"/>
  <c r="F312" i="5"/>
  <c r="E312" i="5"/>
  <c r="D312" i="5"/>
  <c r="C312" i="5"/>
  <c r="B312" i="5"/>
  <c r="AB311" i="5"/>
  <c r="AA311" i="5"/>
  <c r="Z311" i="5"/>
  <c r="Y311" i="5"/>
  <c r="X311" i="5"/>
  <c r="W311" i="5"/>
  <c r="V311" i="5"/>
  <c r="U311" i="5"/>
  <c r="T311" i="5"/>
  <c r="S311" i="5"/>
  <c r="R311" i="5"/>
  <c r="Q311" i="5"/>
  <c r="P311" i="5"/>
  <c r="O311" i="5"/>
  <c r="N311" i="5"/>
  <c r="M311" i="5"/>
  <c r="L311" i="5"/>
  <c r="K311" i="5"/>
  <c r="J311" i="5"/>
  <c r="I311" i="5"/>
  <c r="H311" i="5"/>
  <c r="G311" i="5"/>
  <c r="F311" i="5"/>
  <c r="E311" i="5"/>
  <c r="D311" i="5"/>
  <c r="C311" i="5"/>
  <c r="B311" i="5"/>
  <c r="AB310" i="5"/>
  <c r="AA310" i="5"/>
  <c r="Z310" i="5"/>
  <c r="Y310" i="5"/>
  <c r="X310" i="5"/>
  <c r="W310" i="5"/>
  <c r="V310" i="5"/>
  <c r="U310" i="5"/>
  <c r="T310" i="5"/>
  <c r="S310" i="5"/>
  <c r="R310" i="5"/>
  <c r="Q310" i="5"/>
  <c r="P310" i="5"/>
  <c r="O310" i="5"/>
  <c r="N310" i="5"/>
  <c r="M310" i="5"/>
  <c r="L310" i="5"/>
  <c r="K310" i="5"/>
  <c r="J310" i="5"/>
  <c r="I310" i="5"/>
  <c r="H310" i="5"/>
  <c r="G310" i="5"/>
  <c r="F310" i="5"/>
  <c r="E310" i="5"/>
  <c r="D310" i="5"/>
  <c r="C310" i="5"/>
  <c r="B310" i="5"/>
  <c r="AB309" i="5"/>
  <c r="AA309" i="5"/>
  <c r="Z309" i="5"/>
  <c r="Y309" i="5"/>
  <c r="X309" i="5"/>
  <c r="W309" i="5"/>
  <c r="V309" i="5"/>
  <c r="U309" i="5"/>
  <c r="T309" i="5"/>
  <c r="S309" i="5"/>
  <c r="R309" i="5"/>
  <c r="Q309" i="5"/>
  <c r="P309" i="5"/>
  <c r="O309" i="5"/>
  <c r="N309" i="5"/>
  <c r="M309" i="5"/>
  <c r="L309" i="5"/>
  <c r="K309" i="5"/>
  <c r="J309" i="5"/>
  <c r="I309" i="5"/>
  <c r="H309" i="5"/>
  <c r="G309" i="5"/>
  <c r="F309" i="5"/>
  <c r="E309" i="5"/>
  <c r="D309" i="5"/>
  <c r="C309" i="5"/>
  <c r="B309" i="5"/>
  <c r="AB308" i="5"/>
  <c r="AA308" i="5"/>
  <c r="Z308" i="5"/>
  <c r="Y308" i="5"/>
  <c r="X308" i="5"/>
  <c r="W308" i="5"/>
  <c r="V308" i="5"/>
  <c r="U308" i="5"/>
  <c r="T308" i="5"/>
  <c r="S308" i="5"/>
  <c r="R308" i="5"/>
  <c r="Q308" i="5"/>
  <c r="P308" i="5"/>
  <c r="O308" i="5"/>
  <c r="N308" i="5"/>
  <c r="M308" i="5"/>
  <c r="L308" i="5"/>
  <c r="K308" i="5"/>
  <c r="J308" i="5"/>
  <c r="I308" i="5"/>
  <c r="H308" i="5"/>
  <c r="G308" i="5"/>
  <c r="F308" i="5"/>
  <c r="E308" i="5"/>
  <c r="D308" i="5"/>
  <c r="C308" i="5"/>
  <c r="B308" i="5"/>
  <c r="AB307" i="5"/>
  <c r="AA307" i="5"/>
  <c r="Z307" i="5"/>
  <c r="Y307" i="5"/>
  <c r="X307" i="5"/>
  <c r="W307" i="5"/>
  <c r="V307" i="5"/>
  <c r="U307" i="5"/>
  <c r="T307" i="5"/>
  <c r="S307" i="5"/>
  <c r="R307" i="5"/>
  <c r="Q307" i="5"/>
  <c r="P307" i="5"/>
  <c r="O307" i="5"/>
  <c r="N307" i="5"/>
  <c r="M307" i="5"/>
  <c r="L307" i="5"/>
  <c r="K307" i="5"/>
  <c r="J307" i="5"/>
  <c r="I307" i="5"/>
  <c r="H307" i="5"/>
  <c r="G307" i="5"/>
  <c r="F307" i="5"/>
  <c r="E307" i="5"/>
  <c r="D307" i="5"/>
  <c r="C307" i="5"/>
  <c r="B307" i="5"/>
  <c r="AB306" i="5"/>
  <c r="AA306" i="5"/>
  <c r="Z306" i="5"/>
  <c r="Y306" i="5"/>
  <c r="X306" i="5"/>
  <c r="W306" i="5"/>
  <c r="V306" i="5"/>
  <c r="U306" i="5"/>
  <c r="T306" i="5"/>
  <c r="S306" i="5"/>
  <c r="R306" i="5"/>
  <c r="Q306" i="5"/>
  <c r="P306" i="5"/>
  <c r="O306" i="5"/>
  <c r="N306" i="5"/>
  <c r="M306" i="5"/>
  <c r="L306" i="5"/>
  <c r="K306" i="5"/>
  <c r="J306" i="5"/>
  <c r="I306" i="5"/>
  <c r="H306" i="5"/>
  <c r="G306" i="5"/>
  <c r="F306" i="5"/>
  <c r="E306" i="5"/>
  <c r="D306" i="5"/>
  <c r="C306" i="5"/>
  <c r="B306" i="5"/>
  <c r="AB305" i="5"/>
  <c r="AA305" i="5"/>
  <c r="Z305" i="5"/>
  <c r="Y305" i="5"/>
  <c r="X305" i="5"/>
  <c r="W305" i="5"/>
  <c r="V305" i="5"/>
  <c r="U305" i="5"/>
  <c r="T305" i="5"/>
  <c r="S305" i="5"/>
  <c r="R305" i="5"/>
  <c r="Q305" i="5"/>
  <c r="P305" i="5"/>
  <c r="O305" i="5"/>
  <c r="N305" i="5"/>
  <c r="M305" i="5"/>
  <c r="L305" i="5"/>
  <c r="K305" i="5"/>
  <c r="J305" i="5"/>
  <c r="I305" i="5"/>
  <c r="H305" i="5"/>
  <c r="G305" i="5"/>
  <c r="F305" i="5"/>
  <c r="E305" i="5"/>
  <c r="D305" i="5"/>
  <c r="C305" i="5"/>
  <c r="B305" i="5"/>
  <c r="AB304" i="5"/>
  <c r="AA304" i="5"/>
  <c r="Z304" i="5"/>
  <c r="Y304" i="5"/>
  <c r="X304" i="5"/>
  <c r="W304" i="5"/>
  <c r="V304" i="5"/>
  <c r="U304" i="5"/>
  <c r="T304" i="5"/>
  <c r="S304" i="5"/>
  <c r="R304" i="5"/>
  <c r="Q304" i="5"/>
  <c r="P304" i="5"/>
  <c r="O304" i="5"/>
  <c r="N304" i="5"/>
  <c r="M304" i="5"/>
  <c r="L304" i="5"/>
  <c r="K304" i="5"/>
  <c r="J304" i="5"/>
  <c r="I304" i="5"/>
  <c r="H304" i="5"/>
  <c r="G304" i="5"/>
  <c r="F304" i="5"/>
  <c r="E304" i="5"/>
  <c r="D304" i="5"/>
  <c r="C304" i="5"/>
  <c r="B304" i="5"/>
  <c r="AB303" i="5"/>
  <c r="AA303" i="5"/>
  <c r="Z303" i="5"/>
  <c r="Y303" i="5"/>
  <c r="X303" i="5"/>
  <c r="W303" i="5"/>
  <c r="V303" i="5"/>
  <c r="U303" i="5"/>
  <c r="T303" i="5"/>
  <c r="S303" i="5"/>
  <c r="R303" i="5"/>
  <c r="Q303" i="5"/>
  <c r="P303" i="5"/>
  <c r="O303" i="5"/>
  <c r="N303" i="5"/>
  <c r="M303" i="5"/>
  <c r="L303" i="5"/>
  <c r="K303" i="5"/>
  <c r="J303" i="5"/>
  <c r="I303" i="5"/>
  <c r="H303" i="5"/>
  <c r="G303" i="5"/>
  <c r="F303" i="5"/>
  <c r="E303" i="5"/>
  <c r="D303" i="5"/>
  <c r="C303" i="5"/>
  <c r="B303" i="5"/>
  <c r="AB302" i="5"/>
  <c r="AA302" i="5"/>
  <c r="Z302" i="5"/>
  <c r="Y302" i="5"/>
  <c r="X302" i="5"/>
  <c r="W302" i="5"/>
  <c r="V302" i="5"/>
  <c r="U302" i="5"/>
  <c r="T302" i="5"/>
  <c r="S302" i="5"/>
  <c r="R302" i="5"/>
  <c r="Q302" i="5"/>
  <c r="P302" i="5"/>
  <c r="O302" i="5"/>
  <c r="N302" i="5"/>
  <c r="M302" i="5"/>
  <c r="L302" i="5"/>
  <c r="K302" i="5"/>
  <c r="J302" i="5"/>
  <c r="I302" i="5"/>
  <c r="H302" i="5"/>
  <c r="G302" i="5"/>
  <c r="F302" i="5"/>
  <c r="E302" i="5"/>
  <c r="D302" i="5"/>
  <c r="C302" i="5"/>
  <c r="B302" i="5"/>
  <c r="AB301" i="5"/>
  <c r="AA301" i="5"/>
  <c r="Z301" i="5"/>
  <c r="Y301" i="5"/>
  <c r="X301" i="5"/>
  <c r="W301" i="5"/>
  <c r="V301" i="5"/>
  <c r="U301" i="5"/>
  <c r="T301" i="5"/>
  <c r="S301" i="5"/>
  <c r="R301" i="5"/>
  <c r="Q301" i="5"/>
  <c r="P301" i="5"/>
  <c r="O301" i="5"/>
  <c r="N301" i="5"/>
  <c r="M301" i="5"/>
  <c r="L301" i="5"/>
  <c r="K301" i="5"/>
  <c r="J301" i="5"/>
  <c r="I301" i="5"/>
  <c r="H301" i="5"/>
  <c r="G301" i="5"/>
  <c r="F301" i="5"/>
  <c r="E301" i="5"/>
  <c r="D301" i="5"/>
  <c r="C301" i="5"/>
  <c r="B301" i="5"/>
  <c r="AB300" i="5"/>
  <c r="AA300" i="5"/>
  <c r="Z300" i="5"/>
  <c r="Y300" i="5"/>
  <c r="X300" i="5"/>
  <c r="W300" i="5"/>
  <c r="V300" i="5"/>
  <c r="U300" i="5"/>
  <c r="T300" i="5"/>
  <c r="S300" i="5"/>
  <c r="R300" i="5"/>
  <c r="Q300" i="5"/>
  <c r="P300" i="5"/>
  <c r="O300" i="5"/>
  <c r="N300" i="5"/>
  <c r="M300" i="5"/>
  <c r="L300" i="5"/>
  <c r="K300" i="5"/>
  <c r="J300" i="5"/>
  <c r="I300" i="5"/>
  <c r="H300" i="5"/>
  <c r="G300" i="5"/>
  <c r="F300" i="5"/>
  <c r="E300" i="5"/>
  <c r="D300" i="5"/>
  <c r="C300" i="5"/>
  <c r="B300" i="5"/>
  <c r="AB299" i="5"/>
  <c r="AA299" i="5"/>
  <c r="Z299" i="5"/>
  <c r="Y299" i="5"/>
  <c r="X299" i="5"/>
  <c r="W299" i="5"/>
  <c r="V299" i="5"/>
  <c r="U299" i="5"/>
  <c r="T299" i="5"/>
  <c r="S299" i="5"/>
  <c r="R299" i="5"/>
  <c r="Q299" i="5"/>
  <c r="P299" i="5"/>
  <c r="O299" i="5"/>
  <c r="N299" i="5"/>
  <c r="M299" i="5"/>
  <c r="L299" i="5"/>
  <c r="K299" i="5"/>
  <c r="J299" i="5"/>
  <c r="I299" i="5"/>
  <c r="H299" i="5"/>
  <c r="G299" i="5"/>
  <c r="F299" i="5"/>
  <c r="E299" i="5"/>
  <c r="D299" i="5"/>
  <c r="C299" i="5"/>
  <c r="B299" i="5"/>
  <c r="AB298" i="5"/>
  <c r="AA298" i="5"/>
  <c r="Z298" i="5"/>
  <c r="Y298" i="5"/>
  <c r="X298" i="5"/>
  <c r="W298" i="5"/>
  <c r="V298" i="5"/>
  <c r="U298" i="5"/>
  <c r="T298" i="5"/>
  <c r="S298" i="5"/>
  <c r="R298" i="5"/>
  <c r="Q298" i="5"/>
  <c r="P298" i="5"/>
  <c r="O298" i="5"/>
  <c r="N298" i="5"/>
  <c r="M298" i="5"/>
  <c r="L298" i="5"/>
  <c r="K298" i="5"/>
  <c r="J298" i="5"/>
  <c r="I298" i="5"/>
  <c r="H298" i="5"/>
  <c r="G298" i="5"/>
  <c r="F298" i="5"/>
  <c r="E298" i="5"/>
  <c r="D298" i="5"/>
  <c r="C298" i="5"/>
  <c r="B298" i="5"/>
  <c r="AB297" i="5"/>
  <c r="AA297" i="5"/>
  <c r="Z297" i="5"/>
  <c r="Y297" i="5"/>
  <c r="X297" i="5"/>
  <c r="W297" i="5"/>
  <c r="V297" i="5"/>
  <c r="U297" i="5"/>
  <c r="T297" i="5"/>
  <c r="S297" i="5"/>
  <c r="R297" i="5"/>
  <c r="Q297" i="5"/>
  <c r="P297" i="5"/>
  <c r="O297" i="5"/>
  <c r="N297" i="5"/>
  <c r="M297" i="5"/>
  <c r="L297" i="5"/>
  <c r="K297" i="5"/>
  <c r="J297" i="5"/>
  <c r="I297" i="5"/>
  <c r="H297" i="5"/>
  <c r="G297" i="5"/>
  <c r="F297" i="5"/>
  <c r="E297" i="5"/>
  <c r="D297" i="5"/>
  <c r="C297" i="5"/>
  <c r="B297" i="5"/>
  <c r="AB296" i="5"/>
  <c r="AA296" i="5"/>
  <c r="Z296" i="5"/>
  <c r="Y296" i="5"/>
  <c r="X296" i="5"/>
  <c r="W296" i="5"/>
  <c r="V296" i="5"/>
  <c r="U296" i="5"/>
  <c r="T296" i="5"/>
  <c r="S296" i="5"/>
  <c r="R296" i="5"/>
  <c r="Q296" i="5"/>
  <c r="P296" i="5"/>
  <c r="O296" i="5"/>
  <c r="N296" i="5"/>
  <c r="M296" i="5"/>
  <c r="L296" i="5"/>
  <c r="K296" i="5"/>
  <c r="J296" i="5"/>
  <c r="I296" i="5"/>
  <c r="H296" i="5"/>
  <c r="G296" i="5"/>
  <c r="F296" i="5"/>
  <c r="E296" i="5"/>
  <c r="D296" i="5"/>
  <c r="C296" i="5"/>
  <c r="B296" i="5"/>
  <c r="AB295" i="5"/>
  <c r="AA295" i="5"/>
  <c r="Z295" i="5"/>
  <c r="Y295" i="5"/>
  <c r="X295" i="5"/>
  <c r="W295" i="5"/>
  <c r="V295" i="5"/>
  <c r="U295" i="5"/>
  <c r="T295" i="5"/>
  <c r="S295" i="5"/>
  <c r="R295" i="5"/>
  <c r="Q295" i="5"/>
  <c r="P295" i="5"/>
  <c r="O295" i="5"/>
  <c r="N295" i="5"/>
  <c r="M295" i="5"/>
  <c r="L295" i="5"/>
  <c r="K295" i="5"/>
  <c r="J295" i="5"/>
  <c r="I295" i="5"/>
  <c r="H295" i="5"/>
  <c r="G295" i="5"/>
  <c r="F295" i="5"/>
  <c r="E295" i="5"/>
  <c r="D295" i="5"/>
  <c r="C295" i="5"/>
  <c r="B295" i="5"/>
  <c r="AB294" i="5"/>
  <c r="AA294" i="5"/>
  <c r="Z294" i="5"/>
  <c r="Y294" i="5"/>
  <c r="X294" i="5"/>
  <c r="W294" i="5"/>
  <c r="V294" i="5"/>
  <c r="U294" i="5"/>
  <c r="T294" i="5"/>
  <c r="S294" i="5"/>
  <c r="R294" i="5"/>
  <c r="Q294" i="5"/>
  <c r="P294" i="5"/>
  <c r="O294" i="5"/>
  <c r="N294" i="5"/>
  <c r="M294" i="5"/>
  <c r="L294" i="5"/>
  <c r="K294" i="5"/>
  <c r="J294" i="5"/>
  <c r="I294" i="5"/>
  <c r="H294" i="5"/>
  <c r="G294" i="5"/>
  <c r="F294" i="5"/>
  <c r="E294" i="5"/>
  <c r="D294" i="5"/>
  <c r="C294" i="5"/>
  <c r="B294" i="5"/>
  <c r="AB293" i="5"/>
  <c r="AA293" i="5"/>
  <c r="Z293" i="5"/>
  <c r="Y293" i="5"/>
  <c r="X293" i="5"/>
  <c r="W293" i="5"/>
  <c r="V293" i="5"/>
  <c r="U293" i="5"/>
  <c r="T293" i="5"/>
  <c r="S293" i="5"/>
  <c r="R293" i="5"/>
  <c r="Q293" i="5"/>
  <c r="P293" i="5"/>
  <c r="O293" i="5"/>
  <c r="N293" i="5"/>
  <c r="M293" i="5"/>
  <c r="L293" i="5"/>
  <c r="K293" i="5"/>
  <c r="J293" i="5"/>
  <c r="I293" i="5"/>
  <c r="H293" i="5"/>
  <c r="G293" i="5"/>
  <c r="F293" i="5"/>
  <c r="E293" i="5"/>
  <c r="D293" i="5"/>
  <c r="C293" i="5"/>
  <c r="B293" i="5"/>
  <c r="AB292" i="5"/>
  <c r="AA292" i="5"/>
  <c r="Z292" i="5"/>
  <c r="Y292" i="5"/>
  <c r="X292" i="5"/>
  <c r="W292" i="5"/>
  <c r="V292" i="5"/>
  <c r="U292" i="5"/>
  <c r="T292" i="5"/>
  <c r="S292" i="5"/>
  <c r="R292" i="5"/>
  <c r="Q292" i="5"/>
  <c r="P292" i="5"/>
  <c r="O292" i="5"/>
  <c r="N292" i="5"/>
  <c r="M292" i="5"/>
  <c r="L292" i="5"/>
  <c r="K292" i="5"/>
  <c r="J292" i="5"/>
  <c r="I292" i="5"/>
  <c r="H292" i="5"/>
  <c r="G292" i="5"/>
  <c r="F292" i="5"/>
  <c r="E292" i="5"/>
  <c r="D292" i="5"/>
  <c r="C292" i="5"/>
  <c r="B292" i="5"/>
  <c r="AB291" i="5"/>
  <c r="AA291" i="5"/>
  <c r="Z291" i="5"/>
  <c r="Y291" i="5"/>
  <c r="X291" i="5"/>
  <c r="W291" i="5"/>
  <c r="V291" i="5"/>
  <c r="U291" i="5"/>
  <c r="T291" i="5"/>
  <c r="S291" i="5"/>
  <c r="R291" i="5"/>
  <c r="Q291" i="5"/>
  <c r="P291" i="5"/>
  <c r="O291" i="5"/>
  <c r="N291" i="5"/>
  <c r="M291" i="5"/>
  <c r="L291" i="5"/>
  <c r="K291" i="5"/>
  <c r="J291" i="5"/>
  <c r="I291" i="5"/>
  <c r="H291" i="5"/>
  <c r="G291" i="5"/>
  <c r="F291" i="5"/>
  <c r="E291" i="5"/>
  <c r="D291" i="5"/>
  <c r="C291" i="5"/>
  <c r="B291" i="5"/>
  <c r="AB290" i="5"/>
  <c r="AA290" i="5"/>
  <c r="Z290" i="5"/>
  <c r="Y290" i="5"/>
  <c r="X290" i="5"/>
  <c r="W290" i="5"/>
  <c r="V290" i="5"/>
  <c r="U290" i="5"/>
  <c r="T290" i="5"/>
  <c r="S290" i="5"/>
  <c r="R290" i="5"/>
  <c r="Q290" i="5"/>
  <c r="P290" i="5"/>
  <c r="O290" i="5"/>
  <c r="N290" i="5"/>
  <c r="M290" i="5"/>
  <c r="L290" i="5"/>
  <c r="K290" i="5"/>
  <c r="J290" i="5"/>
  <c r="I290" i="5"/>
  <c r="H290" i="5"/>
  <c r="G290" i="5"/>
  <c r="F290" i="5"/>
  <c r="E290" i="5"/>
  <c r="D290" i="5"/>
  <c r="C290" i="5"/>
  <c r="B290" i="5"/>
  <c r="AB289" i="5"/>
  <c r="AA289" i="5"/>
  <c r="Z289" i="5"/>
  <c r="Y289" i="5"/>
  <c r="X289" i="5"/>
  <c r="W289" i="5"/>
  <c r="V289" i="5"/>
  <c r="U289" i="5"/>
  <c r="T289" i="5"/>
  <c r="S289" i="5"/>
  <c r="R289" i="5"/>
  <c r="Q289" i="5"/>
  <c r="P289" i="5"/>
  <c r="O289" i="5"/>
  <c r="N289" i="5"/>
  <c r="M289" i="5"/>
  <c r="L289" i="5"/>
  <c r="K289" i="5"/>
  <c r="J289" i="5"/>
  <c r="I289" i="5"/>
  <c r="H289" i="5"/>
  <c r="G289" i="5"/>
  <c r="F289" i="5"/>
  <c r="E289" i="5"/>
  <c r="D289" i="5"/>
  <c r="C289" i="5"/>
  <c r="B289" i="5"/>
  <c r="AB288" i="5"/>
  <c r="AA288" i="5"/>
  <c r="Z288" i="5"/>
  <c r="Y288" i="5"/>
  <c r="X288" i="5"/>
  <c r="W288" i="5"/>
  <c r="V288" i="5"/>
  <c r="U288" i="5"/>
  <c r="T288" i="5"/>
  <c r="S288" i="5"/>
  <c r="R288" i="5"/>
  <c r="Q288" i="5"/>
  <c r="P288" i="5"/>
  <c r="O288" i="5"/>
  <c r="N288" i="5"/>
  <c r="M288" i="5"/>
  <c r="L288" i="5"/>
  <c r="K288" i="5"/>
  <c r="J288" i="5"/>
  <c r="I288" i="5"/>
  <c r="H288" i="5"/>
  <c r="G288" i="5"/>
  <c r="F288" i="5"/>
  <c r="E288" i="5"/>
  <c r="D288" i="5"/>
  <c r="C288" i="5"/>
  <c r="B288" i="5"/>
  <c r="AB287" i="5"/>
  <c r="AA287" i="5"/>
  <c r="Z287" i="5"/>
  <c r="Y287" i="5"/>
  <c r="X287" i="5"/>
  <c r="W287" i="5"/>
  <c r="V287" i="5"/>
  <c r="U287" i="5"/>
  <c r="T287" i="5"/>
  <c r="S287" i="5"/>
  <c r="R287" i="5"/>
  <c r="Q287" i="5"/>
  <c r="P287" i="5"/>
  <c r="O287" i="5"/>
  <c r="N287" i="5"/>
  <c r="M287" i="5"/>
  <c r="L287" i="5"/>
  <c r="K287" i="5"/>
  <c r="J287" i="5"/>
  <c r="I287" i="5"/>
  <c r="H287" i="5"/>
  <c r="G287" i="5"/>
  <c r="F287" i="5"/>
  <c r="E287" i="5"/>
  <c r="D287" i="5"/>
  <c r="C287" i="5"/>
  <c r="B287" i="5"/>
  <c r="AB286" i="5"/>
  <c r="AA286" i="5"/>
  <c r="Z286" i="5"/>
  <c r="Y286" i="5"/>
  <c r="X286" i="5"/>
  <c r="W286" i="5"/>
  <c r="V286" i="5"/>
  <c r="U286" i="5"/>
  <c r="T286" i="5"/>
  <c r="S286" i="5"/>
  <c r="R286" i="5"/>
  <c r="Q286" i="5"/>
  <c r="P286" i="5"/>
  <c r="O286" i="5"/>
  <c r="N286" i="5"/>
  <c r="M286" i="5"/>
  <c r="L286" i="5"/>
  <c r="K286" i="5"/>
  <c r="J286" i="5"/>
  <c r="I286" i="5"/>
  <c r="H286" i="5"/>
  <c r="G286" i="5"/>
  <c r="F286" i="5"/>
  <c r="E286" i="5"/>
  <c r="D286" i="5"/>
  <c r="C286" i="5"/>
  <c r="B286" i="5"/>
  <c r="AB285" i="5"/>
  <c r="AA285" i="5"/>
  <c r="Z285" i="5"/>
  <c r="Y285" i="5"/>
  <c r="X285" i="5"/>
  <c r="W285" i="5"/>
  <c r="V285" i="5"/>
  <c r="U285" i="5"/>
  <c r="T285" i="5"/>
  <c r="S285" i="5"/>
  <c r="R285" i="5"/>
  <c r="Q285" i="5"/>
  <c r="P285" i="5"/>
  <c r="O285" i="5"/>
  <c r="N285" i="5"/>
  <c r="M285" i="5"/>
  <c r="L285" i="5"/>
  <c r="K285" i="5"/>
  <c r="J285" i="5"/>
  <c r="I285" i="5"/>
  <c r="H285" i="5"/>
  <c r="G285" i="5"/>
  <c r="F285" i="5"/>
  <c r="E285" i="5"/>
  <c r="D285" i="5"/>
  <c r="C285" i="5"/>
  <c r="B285" i="5"/>
  <c r="AB284" i="5"/>
  <c r="AA284" i="5"/>
  <c r="Z284" i="5"/>
  <c r="Y284" i="5"/>
  <c r="X284" i="5"/>
  <c r="W284" i="5"/>
  <c r="V284" i="5"/>
  <c r="U284" i="5"/>
  <c r="T284" i="5"/>
  <c r="S284" i="5"/>
  <c r="R284" i="5"/>
  <c r="Q284" i="5"/>
  <c r="P284" i="5"/>
  <c r="O284" i="5"/>
  <c r="N284" i="5"/>
  <c r="M284" i="5"/>
  <c r="L284" i="5"/>
  <c r="K284" i="5"/>
  <c r="J284" i="5"/>
  <c r="I284" i="5"/>
  <c r="H284" i="5"/>
  <c r="G284" i="5"/>
  <c r="F284" i="5"/>
  <c r="E284" i="5"/>
  <c r="D284" i="5"/>
  <c r="C284" i="5"/>
  <c r="B284" i="5"/>
  <c r="AB283" i="5"/>
  <c r="AA283" i="5"/>
  <c r="Z283" i="5"/>
  <c r="Y283" i="5"/>
  <c r="X283" i="5"/>
  <c r="W283" i="5"/>
  <c r="V283" i="5"/>
  <c r="U283" i="5"/>
  <c r="T283" i="5"/>
  <c r="S283" i="5"/>
  <c r="R283" i="5"/>
  <c r="Q283" i="5"/>
  <c r="P283" i="5"/>
  <c r="O283" i="5"/>
  <c r="N283" i="5"/>
  <c r="M283" i="5"/>
  <c r="L283" i="5"/>
  <c r="K283" i="5"/>
  <c r="J283" i="5"/>
  <c r="I283" i="5"/>
  <c r="H283" i="5"/>
  <c r="G283" i="5"/>
  <c r="F283" i="5"/>
  <c r="E283" i="5"/>
  <c r="D283" i="5"/>
  <c r="C283" i="5"/>
  <c r="B283" i="5"/>
  <c r="AB282" i="5"/>
  <c r="AA282" i="5"/>
  <c r="Z282" i="5"/>
  <c r="Y282" i="5"/>
  <c r="X282" i="5"/>
  <c r="W282" i="5"/>
  <c r="V282" i="5"/>
  <c r="U282" i="5"/>
  <c r="T282" i="5"/>
  <c r="S282" i="5"/>
  <c r="R282" i="5"/>
  <c r="Q282" i="5"/>
  <c r="P282" i="5"/>
  <c r="O282" i="5"/>
  <c r="N282" i="5"/>
  <c r="M282" i="5"/>
  <c r="L282" i="5"/>
  <c r="K282" i="5"/>
  <c r="J282" i="5"/>
  <c r="I282" i="5"/>
  <c r="H282" i="5"/>
  <c r="G282" i="5"/>
  <c r="F282" i="5"/>
  <c r="E282" i="5"/>
  <c r="D282" i="5"/>
  <c r="C282" i="5"/>
  <c r="B282" i="5"/>
  <c r="AB281" i="5"/>
  <c r="AA281" i="5"/>
  <c r="Z281" i="5"/>
  <c r="Y281" i="5"/>
  <c r="X281" i="5"/>
  <c r="W281" i="5"/>
  <c r="V281" i="5"/>
  <c r="U281" i="5"/>
  <c r="T281" i="5"/>
  <c r="S281" i="5"/>
  <c r="R281" i="5"/>
  <c r="Q281" i="5"/>
  <c r="P281" i="5"/>
  <c r="O281" i="5"/>
  <c r="N281" i="5"/>
  <c r="M281" i="5"/>
  <c r="L281" i="5"/>
  <c r="K281" i="5"/>
  <c r="J281" i="5"/>
  <c r="I281" i="5"/>
  <c r="H281" i="5"/>
  <c r="G281" i="5"/>
  <c r="F281" i="5"/>
  <c r="E281" i="5"/>
  <c r="D281" i="5"/>
  <c r="C281" i="5"/>
  <c r="B281" i="5"/>
  <c r="AB280" i="5"/>
  <c r="AA280" i="5"/>
  <c r="Z280" i="5"/>
  <c r="Y280" i="5"/>
  <c r="X280" i="5"/>
  <c r="W280" i="5"/>
  <c r="V280" i="5"/>
  <c r="U280" i="5"/>
  <c r="T280" i="5"/>
  <c r="S280" i="5"/>
  <c r="R280" i="5"/>
  <c r="Q280" i="5"/>
  <c r="P280" i="5"/>
  <c r="O280" i="5"/>
  <c r="N280" i="5"/>
  <c r="M280" i="5"/>
  <c r="L280" i="5"/>
  <c r="K280" i="5"/>
  <c r="J280" i="5"/>
  <c r="I280" i="5"/>
  <c r="H280" i="5"/>
  <c r="G280" i="5"/>
  <c r="F280" i="5"/>
  <c r="E280" i="5"/>
  <c r="D280" i="5"/>
  <c r="C280" i="5"/>
  <c r="B280" i="5"/>
  <c r="AB279" i="5"/>
  <c r="AA279" i="5"/>
  <c r="Z279" i="5"/>
  <c r="Y279" i="5"/>
  <c r="X279" i="5"/>
  <c r="W279" i="5"/>
  <c r="V279" i="5"/>
  <c r="U279" i="5"/>
  <c r="T279" i="5"/>
  <c r="S279" i="5"/>
  <c r="R279" i="5"/>
  <c r="Q279" i="5"/>
  <c r="P279" i="5"/>
  <c r="O279" i="5"/>
  <c r="N279" i="5"/>
  <c r="M279" i="5"/>
  <c r="L279" i="5"/>
  <c r="K279" i="5"/>
  <c r="J279" i="5"/>
  <c r="I279" i="5"/>
  <c r="H279" i="5"/>
  <c r="G279" i="5"/>
  <c r="F279" i="5"/>
  <c r="E279" i="5"/>
  <c r="D279" i="5"/>
  <c r="C279" i="5"/>
  <c r="B279" i="5"/>
  <c r="AB278" i="5"/>
  <c r="AA278" i="5"/>
  <c r="Z278" i="5"/>
  <c r="Y278" i="5"/>
  <c r="X278" i="5"/>
  <c r="W278" i="5"/>
  <c r="V278" i="5"/>
  <c r="U278" i="5"/>
  <c r="T278" i="5"/>
  <c r="S278" i="5"/>
  <c r="R278" i="5"/>
  <c r="Q278" i="5"/>
  <c r="P278" i="5"/>
  <c r="O278" i="5"/>
  <c r="N278" i="5"/>
  <c r="M278" i="5"/>
  <c r="L278" i="5"/>
  <c r="K278" i="5"/>
  <c r="J278" i="5"/>
  <c r="I278" i="5"/>
  <c r="H278" i="5"/>
  <c r="G278" i="5"/>
  <c r="F278" i="5"/>
  <c r="E278" i="5"/>
  <c r="D278" i="5"/>
  <c r="C278" i="5"/>
  <c r="B278" i="5"/>
  <c r="AB277" i="5"/>
  <c r="AA277" i="5"/>
  <c r="Z277" i="5"/>
  <c r="Y277" i="5"/>
  <c r="X277" i="5"/>
  <c r="W277" i="5"/>
  <c r="V277" i="5"/>
  <c r="U277" i="5"/>
  <c r="T277" i="5"/>
  <c r="S277" i="5"/>
  <c r="R277" i="5"/>
  <c r="Q277" i="5"/>
  <c r="P277" i="5"/>
  <c r="O277" i="5"/>
  <c r="N277" i="5"/>
  <c r="M277" i="5"/>
  <c r="L277" i="5"/>
  <c r="K277" i="5"/>
  <c r="J277" i="5"/>
  <c r="I277" i="5"/>
  <c r="H277" i="5"/>
  <c r="G277" i="5"/>
  <c r="F277" i="5"/>
  <c r="E277" i="5"/>
  <c r="D277" i="5"/>
  <c r="C277" i="5"/>
  <c r="B277" i="5"/>
  <c r="AB276" i="5"/>
  <c r="AA276" i="5"/>
  <c r="Z276" i="5"/>
  <c r="Y276" i="5"/>
  <c r="X276" i="5"/>
  <c r="W276" i="5"/>
  <c r="V276" i="5"/>
  <c r="U276" i="5"/>
  <c r="T276" i="5"/>
  <c r="S276" i="5"/>
  <c r="R276" i="5"/>
  <c r="Q276" i="5"/>
  <c r="P276" i="5"/>
  <c r="O276" i="5"/>
  <c r="N276" i="5"/>
  <c r="M276" i="5"/>
  <c r="L276" i="5"/>
  <c r="K276" i="5"/>
  <c r="J276" i="5"/>
  <c r="I276" i="5"/>
  <c r="H276" i="5"/>
  <c r="G276" i="5"/>
  <c r="F276" i="5"/>
  <c r="E276" i="5"/>
  <c r="D276" i="5"/>
  <c r="C276" i="5"/>
  <c r="B276" i="5"/>
  <c r="AB275" i="5"/>
  <c r="AA275" i="5"/>
  <c r="Z275" i="5"/>
  <c r="Y275" i="5"/>
  <c r="X275" i="5"/>
  <c r="W275" i="5"/>
  <c r="V275" i="5"/>
  <c r="U275" i="5"/>
  <c r="T275" i="5"/>
  <c r="S275" i="5"/>
  <c r="R275" i="5"/>
  <c r="Q275" i="5"/>
  <c r="P275" i="5"/>
  <c r="O275" i="5"/>
  <c r="N275" i="5"/>
  <c r="M275" i="5"/>
  <c r="L275" i="5"/>
  <c r="K275" i="5"/>
  <c r="J275" i="5"/>
  <c r="I275" i="5"/>
  <c r="H275" i="5"/>
  <c r="G275" i="5"/>
  <c r="F275" i="5"/>
  <c r="E275" i="5"/>
  <c r="D275" i="5"/>
  <c r="C275" i="5"/>
  <c r="B275" i="5"/>
  <c r="AB274" i="5"/>
  <c r="AA274" i="5"/>
  <c r="Z274" i="5"/>
  <c r="Y274" i="5"/>
  <c r="X274" i="5"/>
  <c r="W274" i="5"/>
  <c r="V274" i="5"/>
  <c r="U274" i="5"/>
  <c r="T274" i="5"/>
  <c r="S274" i="5"/>
  <c r="R274" i="5"/>
  <c r="Q274" i="5"/>
  <c r="P274" i="5"/>
  <c r="O274" i="5"/>
  <c r="N274" i="5"/>
  <c r="M274" i="5"/>
  <c r="L274" i="5"/>
  <c r="K274" i="5"/>
  <c r="J274" i="5"/>
  <c r="I274" i="5"/>
  <c r="H274" i="5"/>
  <c r="G274" i="5"/>
  <c r="F274" i="5"/>
  <c r="E274" i="5"/>
  <c r="D274" i="5"/>
  <c r="C274" i="5"/>
  <c r="B274" i="5"/>
  <c r="AB273" i="5"/>
  <c r="AA273" i="5"/>
  <c r="Z273" i="5"/>
  <c r="Y273" i="5"/>
  <c r="X273" i="5"/>
  <c r="W273" i="5"/>
  <c r="V273" i="5"/>
  <c r="U273" i="5"/>
  <c r="T273" i="5"/>
  <c r="S273" i="5"/>
  <c r="R273" i="5"/>
  <c r="Q273" i="5"/>
  <c r="P273" i="5"/>
  <c r="O273" i="5"/>
  <c r="N273" i="5"/>
  <c r="M273" i="5"/>
  <c r="L273" i="5"/>
  <c r="K273" i="5"/>
  <c r="J273" i="5"/>
  <c r="I273" i="5"/>
  <c r="H273" i="5"/>
  <c r="G273" i="5"/>
  <c r="F273" i="5"/>
  <c r="E273" i="5"/>
  <c r="D273" i="5"/>
  <c r="C273" i="5"/>
  <c r="B273" i="5"/>
  <c r="AB272" i="5"/>
  <c r="AA272" i="5"/>
  <c r="Z272" i="5"/>
  <c r="Y272" i="5"/>
  <c r="X272" i="5"/>
  <c r="W272" i="5"/>
  <c r="V272" i="5"/>
  <c r="U272" i="5"/>
  <c r="T272" i="5"/>
  <c r="S272" i="5"/>
  <c r="R272" i="5"/>
  <c r="Q272" i="5"/>
  <c r="P272" i="5"/>
  <c r="O272" i="5"/>
  <c r="N272" i="5"/>
  <c r="M272" i="5"/>
  <c r="L272" i="5"/>
  <c r="K272" i="5"/>
  <c r="J272" i="5"/>
  <c r="I272" i="5"/>
  <c r="H272" i="5"/>
  <c r="G272" i="5"/>
  <c r="F272" i="5"/>
  <c r="E272" i="5"/>
  <c r="D272" i="5"/>
  <c r="C272" i="5"/>
  <c r="B272" i="5"/>
  <c r="AB271" i="5"/>
  <c r="AA271" i="5"/>
  <c r="Z271" i="5"/>
  <c r="Y271" i="5"/>
  <c r="X271" i="5"/>
  <c r="W271" i="5"/>
  <c r="V271" i="5"/>
  <c r="U271" i="5"/>
  <c r="T271" i="5"/>
  <c r="S271" i="5"/>
  <c r="R271" i="5"/>
  <c r="Q271" i="5"/>
  <c r="P271" i="5"/>
  <c r="O271" i="5"/>
  <c r="N271" i="5"/>
  <c r="M271" i="5"/>
  <c r="L271" i="5"/>
  <c r="K271" i="5"/>
  <c r="J271" i="5"/>
  <c r="I271" i="5"/>
  <c r="H271" i="5"/>
  <c r="G271" i="5"/>
  <c r="F271" i="5"/>
  <c r="E271" i="5"/>
  <c r="D271" i="5"/>
  <c r="C271" i="5"/>
  <c r="B271" i="5"/>
  <c r="AB270" i="5"/>
  <c r="AA270" i="5"/>
  <c r="Z270" i="5"/>
  <c r="Y270" i="5"/>
  <c r="X270" i="5"/>
  <c r="W270" i="5"/>
  <c r="V270" i="5"/>
  <c r="U270" i="5"/>
  <c r="T270" i="5"/>
  <c r="S270" i="5"/>
  <c r="R270" i="5"/>
  <c r="Q270" i="5"/>
  <c r="P270" i="5"/>
  <c r="O270" i="5"/>
  <c r="N270" i="5"/>
  <c r="M270" i="5"/>
  <c r="L270" i="5"/>
  <c r="K270" i="5"/>
  <c r="J270" i="5"/>
  <c r="I270" i="5"/>
  <c r="H270" i="5"/>
  <c r="G270" i="5"/>
  <c r="F270" i="5"/>
  <c r="E270" i="5"/>
  <c r="D270" i="5"/>
  <c r="C270" i="5"/>
  <c r="B270" i="5"/>
  <c r="AB269" i="5"/>
  <c r="AA269" i="5"/>
  <c r="Z269" i="5"/>
  <c r="Y269" i="5"/>
  <c r="X269" i="5"/>
  <c r="W269" i="5"/>
  <c r="V269" i="5"/>
  <c r="U269" i="5"/>
  <c r="T269" i="5"/>
  <c r="S269" i="5"/>
  <c r="R269" i="5"/>
  <c r="Q269" i="5"/>
  <c r="P269" i="5"/>
  <c r="O269" i="5"/>
  <c r="N269" i="5"/>
  <c r="M269" i="5"/>
  <c r="L269" i="5"/>
  <c r="K269" i="5"/>
  <c r="J269" i="5"/>
  <c r="I269" i="5"/>
  <c r="H269" i="5"/>
  <c r="G269" i="5"/>
  <c r="F269" i="5"/>
  <c r="E269" i="5"/>
  <c r="D269" i="5"/>
  <c r="C269" i="5"/>
  <c r="B269" i="5"/>
  <c r="AB268" i="5"/>
  <c r="AA268" i="5"/>
  <c r="Z268" i="5"/>
  <c r="Y268" i="5"/>
  <c r="X268" i="5"/>
  <c r="W268" i="5"/>
  <c r="V268" i="5"/>
  <c r="U268" i="5"/>
  <c r="T268" i="5"/>
  <c r="S268" i="5"/>
  <c r="R268" i="5"/>
  <c r="Q268" i="5"/>
  <c r="P268" i="5"/>
  <c r="O268" i="5"/>
  <c r="N268" i="5"/>
  <c r="M268" i="5"/>
  <c r="L268" i="5"/>
  <c r="K268" i="5"/>
  <c r="J268" i="5"/>
  <c r="I268" i="5"/>
  <c r="H268" i="5"/>
  <c r="G268" i="5"/>
  <c r="F268" i="5"/>
  <c r="E268" i="5"/>
  <c r="D268" i="5"/>
  <c r="C268" i="5"/>
  <c r="B268" i="5"/>
  <c r="AB267" i="5"/>
  <c r="AA267" i="5"/>
  <c r="Z267" i="5"/>
  <c r="Y267" i="5"/>
  <c r="X267" i="5"/>
  <c r="W267" i="5"/>
  <c r="V267" i="5"/>
  <c r="U267" i="5"/>
  <c r="T267" i="5"/>
  <c r="S267" i="5"/>
  <c r="R267" i="5"/>
  <c r="Q267" i="5"/>
  <c r="P267" i="5"/>
  <c r="O267" i="5"/>
  <c r="N267" i="5"/>
  <c r="M267" i="5"/>
  <c r="L267" i="5"/>
  <c r="K267" i="5"/>
  <c r="J267" i="5"/>
  <c r="I267" i="5"/>
  <c r="H267" i="5"/>
  <c r="G267" i="5"/>
  <c r="F267" i="5"/>
  <c r="E267" i="5"/>
  <c r="D267" i="5"/>
  <c r="C267" i="5"/>
  <c r="B267" i="5"/>
  <c r="AB266" i="5"/>
  <c r="AA266" i="5"/>
  <c r="Z266" i="5"/>
  <c r="Y266" i="5"/>
  <c r="X266" i="5"/>
  <c r="W266" i="5"/>
  <c r="V266" i="5"/>
  <c r="U266" i="5"/>
  <c r="T266" i="5"/>
  <c r="S266" i="5"/>
  <c r="R266" i="5"/>
  <c r="Q266" i="5"/>
  <c r="P266" i="5"/>
  <c r="O266" i="5"/>
  <c r="N266" i="5"/>
  <c r="M266" i="5"/>
  <c r="L266" i="5"/>
  <c r="K266" i="5"/>
  <c r="J266" i="5"/>
  <c r="I266" i="5"/>
  <c r="H266" i="5"/>
  <c r="G266" i="5"/>
  <c r="F266" i="5"/>
  <c r="E266" i="5"/>
  <c r="D266" i="5"/>
  <c r="C266" i="5"/>
  <c r="B266" i="5"/>
  <c r="AB265" i="5"/>
  <c r="AA265" i="5"/>
  <c r="Z265" i="5"/>
  <c r="Y265" i="5"/>
  <c r="X265" i="5"/>
  <c r="W265" i="5"/>
  <c r="V265" i="5"/>
  <c r="U265" i="5"/>
  <c r="T265" i="5"/>
  <c r="S265" i="5"/>
  <c r="R265" i="5"/>
  <c r="Q265" i="5"/>
  <c r="P265" i="5"/>
  <c r="O265" i="5"/>
  <c r="N265" i="5"/>
  <c r="M265" i="5"/>
  <c r="L265" i="5"/>
  <c r="K265" i="5"/>
  <c r="J265" i="5"/>
  <c r="I265" i="5"/>
  <c r="H265" i="5"/>
  <c r="G265" i="5"/>
  <c r="F265" i="5"/>
  <c r="E265" i="5"/>
  <c r="D265" i="5"/>
  <c r="C265" i="5"/>
  <c r="B265" i="5"/>
  <c r="AB264" i="5"/>
  <c r="AA264" i="5"/>
  <c r="Z264" i="5"/>
  <c r="Y264" i="5"/>
  <c r="X264" i="5"/>
  <c r="W264" i="5"/>
  <c r="V264" i="5"/>
  <c r="U264" i="5"/>
  <c r="T264" i="5"/>
  <c r="S264" i="5"/>
  <c r="R264" i="5"/>
  <c r="Q264" i="5"/>
  <c r="P264" i="5"/>
  <c r="O264" i="5"/>
  <c r="N264" i="5"/>
  <c r="M264" i="5"/>
  <c r="L264" i="5"/>
  <c r="K264" i="5"/>
  <c r="J264" i="5"/>
  <c r="I264" i="5"/>
  <c r="H264" i="5"/>
  <c r="G264" i="5"/>
  <c r="F264" i="5"/>
  <c r="E264" i="5"/>
  <c r="D264" i="5"/>
  <c r="C264" i="5"/>
  <c r="B264" i="5"/>
  <c r="AB263" i="5"/>
  <c r="AA263" i="5"/>
  <c r="Z263" i="5"/>
  <c r="Y263" i="5"/>
  <c r="X263" i="5"/>
  <c r="W263" i="5"/>
  <c r="V263" i="5"/>
  <c r="U263" i="5"/>
  <c r="T263" i="5"/>
  <c r="S263" i="5"/>
  <c r="R263" i="5"/>
  <c r="Q263" i="5"/>
  <c r="P263" i="5"/>
  <c r="O263" i="5"/>
  <c r="N263" i="5"/>
  <c r="M263" i="5"/>
  <c r="L263" i="5"/>
  <c r="K263" i="5"/>
  <c r="J263" i="5"/>
  <c r="I263" i="5"/>
  <c r="H263" i="5"/>
  <c r="G263" i="5"/>
  <c r="F263" i="5"/>
  <c r="E263" i="5"/>
  <c r="D263" i="5"/>
  <c r="C263" i="5"/>
  <c r="B263" i="5"/>
  <c r="AB262" i="5"/>
  <c r="AA262" i="5"/>
  <c r="Z262" i="5"/>
  <c r="Y262" i="5"/>
  <c r="X262" i="5"/>
  <c r="W262" i="5"/>
  <c r="V262" i="5"/>
  <c r="U262" i="5"/>
  <c r="T262" i="5"/>
  <c r="S262" i="5"/>
  <c r="R262" i="5"/>
  <c r="Q262" i="5"/>
  <c r="P262" i="5"/>
  <c r="O262" i="5"/>
  <c r="N262" i="5"/>
  <c r="M262" i="5"/>
  <c r="L262" i="5"/>
  <c r="K262" i="5"/>
  <c r="J262" i="5"/>
  <c r="I262" i="5"/>
  <c r="H262" i="5"/>
  <c r="G262" i="5"/>
  <c r="F262" i="5"/>
  <c r="E262" i="5"/>
  <c r="D262" i="5"/>
  <c r="C262" i="5"/>
  <c r="B262" i="5"/>
  <c r="AB261" i="5"/>
  <c r="AA261" i="5"/>
  <c r="Z261" i="5"/>
  <c r="Y261" i="5"/>
  <c r="X261" i="5"/>
  <c r="W261" i="5"/>
  <c r="V261" i="5"/>
  <c r="U261" i="5"/>
  <c r="T261" i="5"/>
  <c r="S261" i="5"/>
  <c r="R261" i="5"/>
  <c r="Q261" i="5"/>
  <c r="P261" i="5"/>
  <c r="O261" i="5"/>
  <c r="N261" i="5"/>
  <c r="M261" i="5"/>
  <c r="L261" i="5"/>
  <c r="K261" i="5"/>
  <c r="J261" i="5"/>
  <c r="I261" i="5"/>
  <c r="H261" i="5"/>
  <c r="G261" i="5"/>
  <c r="F261" i="5"/>
  <c r="E261" i="5"/>
  <c r="D261" i="5"/>
  <c r="C261" i="5"/>
  <c r="B261" i="5"/>
  <c r="AB260" i="5"/>
  <c r="AA260" i="5"/>
  <c r="Z260" i="5"/>
  <c r="Y260" i="5"/>
  <c r="X260" i="5"/>
  <c r="W260" i="5"/>
  <c r="V260" i="5"/>
  <c r="U260" i="5"/>
  <c r="T260" i="5"/>
  <c r="S260" i="5"/>
  <c r="R260" i="5"/>
  <c r="Q260" i="5"/>
  <c r="P260" i="5"/>
  <c r="O260" i="5"/>
  <c r="N260" i="5"/>
  <c r="M260" i="5"/>
  <c r="L260" i="5"/>
  <c r="K260" i="5"/>
  <c r="J260" i="5"/>
  <c r="I260" i="5"/>
  <c r="H260" i="5"/>
  <c r="G260" i="5"/>
  <c r="F260" i="5"/>
  <c r="E260" i="5"/>
  <c r="D260" i="5"/>
  <c r="C260" i="5"/>
  <c r="B260" i="5"/>
  <c r="AB259" i="5"/>
  <c r="AA259" i="5"/>
  <c r="Z259" i="5"/>
  <c r="Y259" i="5"/>
  <c r="X259" i="5"/>
  <c r="W259" i="5"/>
  <c r="V259" i="5"/>
  <c r="U259" i="5"/>
  <c r="T259" i="5"/>
  <c r="S259" i="5"/>
  <c r="R259" i="5"/>
  <c r="Q259" i="5"/>
  <c r="P259" i="5"/>
  <c r="O259" i="5"/>
  <c r="N259" i="5"/>
  <c r="M259" i="5"/>
  <c r="L259" i="5"/>
  <c r="K259" i="5"/>
  <c r="J259" i="5"/>
  <c r="I259" i="5"/>
  <c r="H259" i="5"/>
  <c r="G259" i="5"/>
  <c r="F259" i="5"/>
  <c r="E259" i="5"/>
  <c r="D259" i="5"/>
  <c r="C259" i="5"/>
  <c r="B259" i="5"/>
  <c r="AB258" i="5"/>
  <c r="AA258" i="5"/>
  <c r="Z258" i="5"/>
  <c r="Y258" i="5"/>
  <c r="X258" i="5"/>
  <c r="W258" i="5"/>
  <c r="V258" i="5"/>
  <c r="U258" i="5"/>
  <c r="T258" i="5"/>
  <c r="S258" i="5"/>
  <c r="R258" i="5"/>
  <c r="Q258" i="5"/>
  <c r="P258" i="5"/>
  <c r="O258" i="5"/>
  <c r="N258" i="5"/>
  <c r="M258" i="5"/>
  <c r="L258" i="5"/>
  <c r="K258" i="5"/>
  <c r="J258" i="5"/>
  <c r="I258" i="5"/>
  <c r="H258" i="5"/>
  <c r="G258" i="5"/>
  <c r="F258" i="5"/>
  <c r="E258" i="5"/>
  <c r="D258" i="5"/>
  <c r="C258" i="5"/>
  <c r="B258" i="5"/>
  <c r="AB257" i="5"/>
  <c r="AA257" i="5"/>
  <c r="Z257" i="5"/>
  <c r="Y257" i="5"/>
  <c r="X257" i="5"/>
  <c r="W257" i="5"/>
  <c r="V257" i="5"/>
  <c r="U257" i="5"/>
  <c r="T257" i="5"/>
  <c r="S257" i="5"/>
  <c r="R257" i="5"/>
  <c r="Q257" i="5"/>
  <c r="P257" i="5"/>
  <c r="O257" i="5"/>
  <c r="N257" i="5"/>
  <c r="M257" i="5"/>
  <c r="L257" i="5"/>
  <c r="K257" i="5"/>
  <c r="J257" i="5"/>
  <c r="I257" i="5"/>
  <c r="H257" i="5"/>
  <c r="G257" i="5"/>
  <c r="F257" i="5"/>
  <c r="E257" i="5"/>
  <c r="D257" i="5"/>
  <c r="C257" i="5"/>
  <c r="B257" i="5"/>
  <c r="AB256" i="5"/>
  <c r="AA256" i="5"/>
  <c r="Z256" i="5"/>
  <c r="Y256" i="5"/>
  <c r="X256" i="5"/>
  <c r="W256" i="5"/>
  <c r="V256" i="5"/>
  <c r="U256" i="5"/>
  <c r="T256" i="5"/>
  <c r="S256" i="5"/>
  <c r="R256" i="5"/>
  <c r="Q256" i="5"/>
  <c r="P256" i="5"/>
  <c r="O256" i="5"/>
  <c r="N256" i="5"/>
  <c r="M256" i="5"/>
  <c r="L256" i="5"/>
  <c r="K256" i="5"/>
  <c r="J256" i="5"/>
  <c r="I256" i="5"/>
  <c r="H256" i="5"/>
  <c r="G256" i="5"/>
  <c r="F256" i="5"/>
  <c r="E256" i="5"/>
  <c r="D256" i="5"/>
  <c r="C256" i="5"/>
  <c r="B256" i="5"/>
  <c r="AB255" i="5"/>
  <c r="AA255" i="5"/>
  <c r="Z255" i="5"/>
  <c r="Y255" i="5"/>
  <c r="X255" i="5"/>
  <c r="W255" i="5"/>
  <c r="V255" i="5"/>
  <c r="U255" i="5"/>
  <c r="T255" i="5"/>
  <c r="S255" i="5"/>
  <c r="R255" i="5"/>
  <c r="Q255" i="5"/>
  <c r="P255" i="5"/>
  <c r="O255" i="5"/>
  <c r="N255" i="5"/>
  <c r="M255" i="5"/>
  <c r="L255" i="5"/>
  <c r="K255" i="5"/>
  <c r="J255" i="5"/>
  <c r="I255" i="5"/>
  <c r="H255" i="5"/>
  <c r="G255" i="5"/>
  <c r="F255" i="5"/>
  <c r="E255" i="5"/>
  <c r="D255" i="5"/>
  <c r="C255" i="5"/>
  <c r="B255" i="5"/>
  <c r="AB254" i="5"/>
  <c r="AA254" i="5"/>
  <c r="Z254" i="5"/>
  <c r="Y254" i="5"/>
  <c r="X254" i="5"/>
  <c r="W254" i="5"/>
  <c r="V254" i="5"/>
  <c r="U254" i="5"/>
  <c r="T254" i="5"/>
  <c r="S254" i="5"/>
  <c r="R254" i="5"/>
  <c r="Q254" i="5"/>
  <c r="P254" i="5"/>
  <c r="O254" i="5"/>
  <c r="N254" i="5"/>
  <c r="M254" i="5"/>
  <c r="L254" i="5"/>
  <c r="K254" i="5"/>
  <c r="J254" i="5"/>
  <c r="I254" i="5"/>
  <c r="H254" i="5"/>
  <c r="G254" i="5"/>
  <c r="F254" i="5"/>
  <c r="E254" i="5"/>
  <c r="D254" i="5"/>
  <c r="C254" i="5"/>
  <c r="B254" i="5"/>
  <c r="AB253" i="5"/>
  <c r="AA253" i="5"/>
  <c r="Z253" i="5"/>
  <c r="Y253" i="5"/>
  <c r="X253" i="5"/>
  <c r="W253" i="5"/>
  <c r="V253" i="5"/>
  <c r="U253" i="5"/>
  <c r="T253" i="5"/>
  <c r="S253" i="5"/>
  <c r="R253" i="5"/>
  <c r="Q253" i="5"/>
  <c r="P253" i="5"/>
  <c r="O253" i="5"/>
  <c r="N253" i="5"/>
  <c r="M253" i="5"/>
  <c r="L253" i="5"/>
  <c r="K253" i="5"/>
  <c r="J253" i="5"/>
  <c r="I253" i="5"/>
  <c r="H253" i="5"/>
  <c r="G253" i="5"/>
  <c r="F253" i="5"/>
  <c r="E253" i="5"/>
  <c r="D253" i="5"/>
  <c r="C253" i="5"/>
  <c r="B253" i="5"/>
  <c r="AB252" i="5"/>
  <c r="AA252" i="5"/>
  <c r="Z252" i="5"/>
  <c r="Y252" i="5"/>
  <c r="X252" i="5"/>
  <c r="W252" i="5"/>
  <c r="V252" i="5"/>
  <c r="U252" i="5"/>
  <c r="T252" i="5"/>
  <c r="S252" i="5"/>
  <c r="R252" i="5"/>
  <c r="Q252" i="5"/>
  <c r="P252" i="5"/>
  <c r="O252" i="5"/>
  <c r="N252" i="5"/>
  <c r="M252" i="5"/>
  <c r="L252" i="5"/>
  <c r="K252" i="5"/>
  <c r="J252" i="5"/>
  <c r="I252" i="5"/>
  <c r="H252" i="5"/>
  <c r="G252" i="5"/>
  <c r="F252" i="5"/>
  <c r="E252" i="5"/>
  <c r="D252" i="5"/>
  <c r="C252" i="5"/>
  <c r="B252" i="5"/>
  <c r="AB251" i="5"/>
  <c r="AA251" i="5"/>
  <c r="Z251" i="5"/>
  <c r="Y251" i="5"/>
  <c r="X251" i="5"/>
  <c r="W251" i="5"/>
  <c r="V251" i="5"/>
  <c r="U251" i="5"/>
  <c r="T251" i="5"/>
  <c r="S251" i="5"/>
  <c r="R251" i="5"/>
  <c r="Q251" i="5"/>
  <c r="P251" i="5"/>
  <c r="O251" i="5"/>
  <c r="N251" i="5"/>
  <c r="M251" i="5"/>
  <c r="L251" i="5"/>
  <c r="K251" i="5"/>
  <c r="J251" i="5"/>
  <c r="I251" i="5"/>
  <c r="H251" i="5"/>
  <c r="G251" i="5"/>
  <c r="F251" i="5"/>
  <c r="E251" i="5"/>
  <c r="D251" i="5"/>
  <c r="C251" i="5"/>
  <c r="B251" i="5"/>
  <c r="AB250" i="5"/>
  <c r="AA250" i="5"/>
  <c r="Z250" i="5"/>
  <c r="Y250" i="5"/>
  <c r="X250" i="5"/>
  <c r="W250" i="5"/>
  <c r="V250" i="5"/>
  <c r="U250" i="5"/>
  <c r="T250" i="5"/>
  <c r="S250" i="5"/>
  <c r="R250" i="5"/>
  <c r="Q250" i="5"/>
  <c r="P250" i="5"/>
  <c r="O250" i="5"/>
  <c r="N250" i="5"/>
  <c r="M250" i="5"/>
  <c r="L250" i="5"/>
  <c r="K250" i="5"/>
  <c r="J250" i="5"/>
  <c r="I250" i="5"/>
  <c r="H250" i="5"/>
  <c r="G250" i="5"/>
  <c r="F250" i="5"/>
  <c r="E250" i="5"/>
  <c r="D250" i="5"/>
  <c r="C250" i="5"/>
  <c r="B250" i="5"/>
  <c r="AB249" i="5"/>
  <c r="AA249" i="5"/>
  <c r="Z249" i="5"/>
  <c r="Y249" i="5"/>
  <c r="X249" i="5"/>
  <c r="W249" i="5"/>
  <c r="V249" i="5"/>
  <c r="U249" i="5"/>
  <c r="T249" i="5"/>
  <c r="S249" i="5"/>
  <c r="R249" i="5"/>
  <c r="Q249" i="5"/>
  <c r="P249" i="5"/>
  <c r="O249" i="5"/>
  <c r="N249" i="5"/>
  <c r="M249" i="5"/>
  <c r="L249" i="5"/>
  <c r="K249" i="5"/>
  <c r="J249" i="5"/>
  <c r="I249" i="5"/>
  <c r="H249" i="5"/>
  <c r="G249" i="5"/>
  <c r="F249" i="5"/>
  <c r="E249" i="5"/>
  <c r="D249" i="5"/>
  <c r="C249" i="5"/>
  <c r="B249" i="5"/>
  <c r="AB248" i="5"/>
  <c r="AA248" i="5"/>
  <c r="Z248" i="5"/>
  <c r="Y248" i="5"/>
  <c r="X248" i="5"/>
  <c r="W248" i="5"/>
  <c r="V248" i="5"/>
  <c r="U248" i="5"/>
  <c r="T248" i="5"/>
  <c r="S248" i="5"/>
  <c r="R248" i="5"/>
  <c r="Q248" i="5"/>
  <c r="P248" i="5"/>
  <c r="O248" i="5"/>
  <c r="N248" i="5"/>
  <c r="M248" i="5"/>
  <c r="L248" i="5"/>
  <c r="K248" i="5"/>
  <c r="J248" i="5"/>
  <c r="I248" i="5"/>
  <c r="H248" i="5"/>
  <c r="G248" i="5"/>
  <c r="F248" i="5"/>
  <c r="E248" i="5"/>
  <c r="D248" i="5"/>
  <c r="C248" i="5"/>
  <c r="B248" i="5"/>
  <c r="AB247" i="5"/>
  <c r="AA247" i="5"/>
  <c r="Z247" i="5"/>
  <c r="Y247" i="5"/>
  <c r="X247" i="5"/>
  <c r="W247" i="5"/>
  <c r="V247" i="5"/>
  <c r="U247" i="5"/>
  <c r="T247" i="5"/>
  <c r="S247" i="5"/>
  <c r="R247" i="5"/>
  <c r="Q247" i="5"/>
  <c r="P247" i="5"/>
  <c r="O247" i="5"/>
  <c r="N247" i="5"/>
  <c r="M247" i="5"/>
  <c r="L247" i="5"/>
  <c r="K247" i="5"/>
  <c r="J247" i="5"/>
  <c r="I247" i="5"/>
  <c r="H247" i="5"/>
  <c r="G247" i="5"/>
  <c r="F247" i="5"/>
  <c r="E247" i="5"/>
  <c r="D247" i="5"/>
  <c r="C247" i="5"/>
  <c r="B247" i="5"/>
  <c r="AB246" i="5"/>
  <c r="AA246" i="5"/>
  <c r="Z246" i="5"/>
  <c r="Y246" i="5"/>
  <c r="X246" i="5"/>
  <c r="W246" i="5"/>
  <c r="V246" i="5"/>
  <c r="U246" i="5"/>
  <c r="T246" i="5"/>
  <c r="S246" i="5"/>
  <c r="R246" i="5"/>
  <c r="Q246" i="5"/>
  <c r="P246" i="5"/>
  <c r="O246" i="5"/>
  <c r="N246" i="5"/>
  <c r="M246" i="5"/>
  <c r="L246" i="5"/>
  <c r="K246" i="5"/>
  <c r="J246" i="5"/>
  <c r="I246" i="5"/>
  <c r="H246" i="5"/>
  <c r="G246" i="5"/>
  <c r="F246" i="5"/>
  <c r="E246" i="5"/>
  <c r="D246" i="5"/>
  <c r="C246" i="5"/>
  <c r="B246" i="5"/>
  <c r="AB245" i="5"/>
  <c r="AA245" i="5"/>
  <c r="Z245" i="5"/>
  <c r="Y245" i="5"/>
  <c r="X245" i="5"/>
  <c r="W245" i="5"/>
  <c r="V245" i="5"/>
  <c r="U245" i="5"/>
  <c r="T245" i="5"/>
  <c r="S245" i="5"/>
  <c r="R245" i="5"/>
  <c r="Q245" i="5"/>
  <c r="P245" i="5"/>
  <c r="O245" i="5"/>
  <c r="N245" i="5"/>
  <c r="M245" i="5"/>
  <c r="L245" i="5"/>
  <c r="K245" i="5"/>
  <c r="J245" i="5"/>
  <c r="I245" i="5"/>
  <c r="H245" i="5"/>
  <c r="G245" i="5"/>
  <c r="F245" i="5"/>
  <c r="E245" i="5"/>
  <c r="D245" i="5"/>
  <c r="C245" i="5"/>
  <c r="B245" i="5"/>
  <c r="AB244" i="5"/>
  <c r="AA244" i="5"/>
  <c r="Z244" i="5"/>
  <c r="Y244" i="5"/>
  <c r="X244" i="5"/>
  <c r="W244" i="5"/>
  <c r="V244" i="5"/>
  <c r="U244" i="5"/>
  <c r="T244" i="5"/>
  <c r="S244" i="5"/>
  <c r="R244" i="5"/>
  <c r="Q244" i="5"/>
  <c r="P244" i="5"/>
  <c r="O244" i="5"/>
  <c r="N244" i="5"/>
  <c r="M244" i="5"/>
  <c r="L244" i="5"/>
  <c r="K244" i="5"/>
  <c r="J244" i="5"/>
  <c r="I244" i="5"/>
  <c r="H244" i="5"/>
  <c r="G244" i="5"/>
  <c r="F244" i="5"/>
  <c r="E244" i="5"/>
  <c r="D244" i="5"/>
  <c r="C244" i="5"/>
  <c r="B244" i="5"/>
  <c r="AB243" i="5"/>
  <c r="AA243" i="5"/>
  <c r="Z243" i="5"/>
  <c r="Y243" i="5"/>
  <c r="X243" i="5"/>
  <c r="W243" i="5"/>
  <c r="V243" i="5"/>
  <c r="U243" i="5"/>
  <c r="T243" i="5"/>
  <c r="S243" i="5"/>
  <c r="R243" i="5"/>
  <c r="Q243" i="5"/>
  <c r="P243" i="5"/>
  <c r="O243" i="5"/>
  <c r="N243" i="5"/>
  <c r="M243" i="5"/>
  <c r="L243" i="5"/>
  <c r="K243" i="5"/>
  <c r="J243" i="5"/>
  <c r="I243" i="5"/>
  <c r="H243" i="5"/>
  <c r="G243" i="5"/>
  <c r="F243" i="5"/>
  <c r="E243" i="5"/>
  <c r="D243" i="5"/>
  <c r="C243" i="5"/>
  <c r="B243" i="5"/>
  <c r="AB242" i="5"/>
  <c r="AA242" i="5"/>
  <c r="Z242" i="5"/>
  <c r="Y242" i="5"/>
  <c r="X242" i="5"/>
  <c r="W242" i="5"/>
  <c r="V242" i="5"/>
  <c r="U242" i="5"/>
  <c r="T242" i="5"/>
  <c r="S242" i="5"/>
  <c r="R242" i="5"/>
  <c r="Q242" i="5"/>
  <c r="P242" i="5"/>
  <c r="O242" i="5"/>
  <c r="N242" i="5"/>
  <c r="M242" i="5"/>
  <c r="L242" i="5"/>
  <c r="K242" i="5"/>
  <c r="J242" i="5"/>
  <c r="I242" i="5"/>
  <c r="H242" i="5"/>
  <c r="G242" i="5"/>
  <c r="F242" i="5"/>
  <c r="E242" i="5"/>
  <c r="D242" i="5"/>
  <c r="C242" i="5"/>
  <c r="B242" i="5"/>
  <c r="AB241" i="5"/>
  <c r="AA241" i="5"/>
  <c r="Z241" i="5"/>
  <c r="Y241" i="5"/>
  <c r="X241" i="5"/>
  <c r="W241" i="5"/>
  <c r="V241" i="5"/>
  <c r="U241" i="5"/>
  <c r="T241" i="5"/>
  <c r="S241" i="5"/>
  <c r="R241" i="5"/>
  <c r="Q241" i="5"/>
  <c r="P241" i="5"/>
  <c r="O241" i="5"/>
  <c r="N241" i="5"/>
  <c r="M241" i="5"/>
  <c r="L241" i="5"/>
  <c r="K241" i="5"/>
  <c r="J241" i="5"/>
  <c r="I241" i="5"/>
  <c r="H241" i="5"/>
  <c r="G241" i="5"/>
  <c r="F241" i="5"/>
  <c r="E241" i="5"/>
  <c r="D241" i="5"/>
  <c r="C241" i="5"/>
  <c r="B241" i="5"/>
  <c r="AB240" i="5"/>
  <c r="AA240" i="5"/>
  <c r="Z240" i="5"/>
  <c r="Y240" i="5"/>
  <c r="X240" i="5"/>
  <c r="W240" i="5"/>
  <c r="V240" i="5"/>
  <c r="U240" i="5"/>
  <c r="T240" i="5"/>
  <c r="S240" i="5"/>
  <c r="R240" i="5"/>
  <c r="Q240" i="5"/>
  <c r="P240" i="5"/>
  <c r="O240" i="5"/>
  <c r="N240" i="5"/>
  <c r="M240" i="5"/>
  <c r="L240" i="5"/>
  <c r="K240" i="5"/>
  <c r="J240" i="5"/>
  <c r="I240" i="5"/>
  <c r="H240" i="5"/>
  <c r="G240" i="5"/>
  <c r="F240" i="5"/>
  <c r="E240" i="5"/>
  <c r="D240" i="5"/>
  <c r="C240" i="5"/>
  <c r="B240" i="5"/>
  <c r="AB239" i="5"/>
  <c r="AA239" i="5"/>
  <c r="Z239" i="5"/>
  <c r="Y239" i="5"/>
  <c r="X239" i="5"/>
  <c r="W239" i="5"/>
  <c r="V239" i="5"/>
  <c r="U239" i="5"/>
  <c r="T239" i="5"/>
  <c r="S239" i="5"/>
  <c r="R239" i="5"/>
  <c r="Q239" i="5"/>
  <c r="P239" i="5"/>
  <c r="O239" i="5"/>
  <c r="N239" i="5"/>
  <c r="M239" i="5"/>
  <c r="L239" i="5"/>
  <c r="K239" i="5"/>
  <c r="J239" i="5"/>
  <c r="I239" i="5"/>
  <c r="H239" i="5"/>
  <c r="G239" i="5"/>
  <c r="F239" i="5"/>
  <c r="E239" i="5"/>
  <c r="D239" i="5"/>
  <c r="C239" i="5"/>
  <c r="B239" i="5"/>
  <c r="AB238" i="5"/>
  <c r="AA238" i="5"/>
  <c r="Z238" i="5"/>
  <c r="Y238" i="5"/>
  <c r="X238" i="5"/>
  <c r="W238" i="5"/>
  <c r="V238" i="5"/>
  <c r="U238" i="5"/>
  <c r="T238" i="5"/>
  <c r="S238" i="5"/>
  <c r="R238" i="5"/>
  <c r="Q238" i="5"/>
  <c r="P238" i="5"/>
  <c r="O238" i="5"/>
  <c r="N238" i="5"/>
  <c r="M238" i="5"/>
  <c r="L238" i="5"/>
  <c r="K238" i="5"/>
  <c r="J238" i="5"/>
  <c r="I238" i="5"/>
  <c r="H238" i="5"/>
  <c r="G238" i="5"/>
  <c r="F238" i="5"/>
  <c r="E238" i="5"/>
  <c r="D238" i="5"/>
  <c r="C238" i="5"/>
  <c r="B238" i="5"/>
  <c r="AB237" i="5"/>
  <c r="AA237" i="5"/>
  <c r="Z237" i="5"/>
  <c r="Y237" i="5"/>
  <c r="X237" i="5"/>
  <c r="W237" i="5"/>
  <c r="V237" i="5"/>
  <c r="U237" i="5"/>
  <c r="T237" i="5"/>
  <c r="S237" i="5"/>
  <c r="R237" i="5"/>
  <c r="Q237" i="5"/>
  <c r="P237" i="5"/>
  <c r="O237" i="5"/>
  <c r="N237" i="5"/>
  <c r="M237" i="5"/>
  <c r="L237" i="5"/>
  <c r="K237" i="5"/>
  <c r="J237" i="5"/>
  <c r="I237" i="5"/>
  <c r="H237" i="5"/>
  <c r="G237" i="5"/>
  <c r="F237" i="5"/>
  <c r="E237" i="5"/>
  <c r="D237" i="5"/>
  <c r="C237" i="5"/>
  <c r="B237" i="5"/>
  <c r="AB236" i="5"/>
  <c r="AA236" i="5"/>
  <c r="Z236" i="5"/>
  <c r="Y236" i="5"/>
  <c r="X236" i="5"/>
  <c r="W236" i="5"/>
  <c r="V236" i="5"/>
  <c r="U236" i="5"/>
  <c r="T236" i="5"/>
  <c r="S236" i="5"/>
  <c r="R236" i="5"/>
  <c r="Q236" i="5"/>
  <c r="P236" i="5"/>
  <c r="O236" i="5"/>
  <c r="N236" i="5"/>
  <c r="M236" i="5"/>
  <c r="L236" i="5"/>
  <c r="K236" i="5"/>
  <c r="J236" i="5"/>
  <c r="I236" i="5"/>
  <c r="H236" i="5"/>
  <c r="G236" i="5"/>
  <c r="F236" i="5"/>
  <c r="E236" i="5"/>
  <c r="D236" i="5"/>
  <c r="C236" i="5"/>
  <c r="B236" i="5"/>
  <c r="AB235" i="5"/>
  <c r="AA235" i="5"/>
  <c r="Z235" i="5"/>
  <c r="Y235" i="5"/>
  <c r="X235" i="5"/>
  <c r="W235" i="5"/>
  <c r="V235" i="5"/>
  <c r="U235" i="5"/>
  <c r="T235" i="5"/>
  <c r="S235" i="5"/>
  <c r="R235" i="5"/>
  <c r="Q235" i="5"/>
  <c r="P235" i="5"/>
  <c r="O235" i="5"/>
  <c r="N235" i="5"/>
  <c r="M235" i="5"/>
  <c r="L235" i="5"/>
  <c r="K235" i="5"/>
  <c r="J235" i="5"/>
  <c r="I235" i="5"/>
  <c r="H235" i="5"/>
  <c r="G235" i="5"/>
  <c r="F235" i="5"/>
  <c r="E235" i="5"/>
  <c r="D235" i="5"/>
  <c r="C235" i="5"/>
  <c r="B235" i="5"/>
  <c r="AB234" i="5"/>
  <c r="AA234" i="5"/>
  <c r="Z234" i="5"/>
  <c r="Y234" i="5"/>
  <c r="X234" i="5"/>
  <c r="W234" i="5"/>
  <c r="V234" i="5"/>
  <c r="U234" i="5"/>
  <c r="T234" i="5"/>
  <c r="S234" i="5"/>
  <c r="R234" i="5"/>
  <c r="Q234" i="5"/>
  <c r="P234" i="5"/>
  <c r="O234" i="5"/>
  <c r="N234" i="5"/>
  <c r="M234" i="5"/>
  <c r="L234" i="5"/>
  <c r="K234" i="5"/>
  <c r="J234" i="5"/>
  <c r="I234" i="5"/>
  <c r="H234" i="5"/>
  <c r="G234" i="5"/>
  <c r="F234" i="5"/>
  <c r="E234" i="5"/>
  <c r="D234" i="5"/>
  <c r="C234" i="5"/>
  <c r="B234" i="5"/>
  <c r="AB233" i="5"/>
  <c r="AA233" i="5"/>
  <c r="Z233" i="5"/>
  <c r="Y233" i="5"/>
  <c r="X233" i="5"/>
  <c r="W233" i="5"/>
  <c r="V233" i="5"/>
  <c r="U233" i="5"/>
  <c r="T233" i="5"/>
  <c r="S233" i="5"/>
  <c r="R233" i="5"/>
  <c r="Q233" i="5"/>
  <c r="P233" i="5"/>
  <c r="O233" i="5"/>
  <c r="N233" i="5"/>
  <c r="M233" i="5"/>
  <c r="L233" i="5"/>
  <c r="K233" i="5"/>
  <c r="J233" i="5"/>
  <c r="I233" i="5"/>
  <c r="H233" i="5"/>
  <c r="G233" i="5"/>
  <c r="F233" i="5"/>
  <c r="E233" i="5"/>
  <c r="D233" i="5"/>
  <c r="C233" i="5"/>
  <c r="B233" i="5"/>
  <c r="AB232" i="5"/>
  <c r="AA232" i="5"/>
  <c r="Z232" i="5"/>
  <c r="Y232" i="5"/>
  <c r="X232" i="5"/>
  <c r="W232" i="5"/>
  <c r="V232" i="5"/>
  <c r="U232" i="5"/>
  <c r="T232" i="5"/>
  <c r="S232" i="5"/>
  <c r="R232" i="5"/>
  <c r="Q232" i="5"/>
  <c r="P232" i="5"/>
  <c r="O232" i="5"/>
  <c r="N232" i="5"/>
  <c r="M232" i="5"/>
  <c r="L232" i="5"/>
  <c r="K232" i="5"/>
  <c r="J232" i="5"/>
  <c r="I232" i="5"/>
  <c r="H232" i="5"/>
  <c r="G232" i="5"/>
  <c r="F232" i="5"/>
  <c r="E232" i="5"/>
  <c r="D232" i="5"/>
  <c r="C232" i="5"/>
  <c r="B232" i="5"/>
  <c r="AB231" i="5"/>
  <c r="AA231" i="5"/>
  <c r="Z231" i="5"/>
  <c r="Y231" i="5"/>
  <c r="X231" i="5"/>
  <c r="W231" i="5"/>
  <c r="V231" i="5"/>
  <c r="U231" i="5"/>
  <c r="T231" i="5"/>
  <c r="S231" i="5"/>
  <c r="R231" i="5"/>
  <c r="Q231" i="5"/>
  <c r="P231" i="5"/>
  <c r="O231" i="5"/>
  <c r="N231" i="5"/>
  <c r="M231" i="5"/>
  <c r="L231" i="5"/>
  <c r="K231" i="5"/>
  <c r="J231" i="5"/>
  <c r="I231" i="5"/>
  <c r="H231" i="5"/>
  <c r="G231" i="5"/>
  <c r="F231" i="5"/>
  <c r="E231" i="5"/>
  <c r="D231" i="5"/>
  <c r="C231" i="5"/>
  <c r="B231" i="5"/>
  <c r="AB230" i="5"/>
  <c r="AA230" i="5"/>
  <c r="Z230" i="5"/>
  <c r="Y230" i="5"/>
  <c r="X230" i="5"/>
  <c r="W230" i="5"/>
  <c r="V230" i="5"/>
  <c r="U230" i="5"/>
  <c r="T230" i="5"/>
  <c r="S230" i="5"/>
  <c r="R230" i="5"/>
  <c r="Q230" i="5"/>
  <c r="P230" i="5"/>
  <c r="O230" i="5"/>
  <c r="N230" i="5"/>
  <c r="M230" i="5"/>
  <c r="L230" i="5"/>
  <c r="K230" i="5"/>
  <c r="J230" i="5"/>
  <c r="I230" i="5"/>
  <c r="H230" i="5"/>
  <c r="G230" i="5"/>
  <c r="F230" i="5"/>
  <c r="E230" i="5"/>
  <c r="D230" i="5"/>
  <c r="C230" i="5"/>
  <c r="B230" i="5"/>
  <c r="AB229" i="5"/>
  <c r="AA229" i="5"/>
  <c r="Z229" i="5"/>
  <c r="Y229" i="5"/>
  <c r="X229" i="5"/>
  <c r="W229" i="5"/>
  <c r="V229" i="5"/>
  <c r="U229" i="5"/>
  <c r="T229" i="5"/>
  <c r="S229" i="5"/>
  <c r="R229" i="5"/>
  <c r="Q229" i="5"/>
  <c r="P229" i="5"/>
  <c r="O229" i="5"/>
  <c r="N229" i="5"/>
  <c r="M229" i="5"/>
  <c r="L229" i="5"/>
  <c r="K229" i="5"/>
  <c r="J229" i="5"/>
  <c r="I229" i="5"/>
  <c r="H229" i="5"/>
  <c r="G229" i="5"/>
  <c r="F229" i="5"/>
  <c r="E229" i="5"/>
  <c r="D229" i="5"/>
  <c r="C229" i="5"/>
  <c r="B229" i="5"/>
  <c r="AB228" i="5"/>
  <c r="AA228" i="5"/>
  <c r="Z228" i="5"/>
  <c r="Y228" i="5"/>
  <c r="X228" i="5"/>
  <c r="W228" i="5"/>
  <c r="V228" i="5"/>
  <c r="U228" i="5"/>
  <c r="T228" i="5"/>
  <c r="S228" i="5"/>
  <c r="R228" i="5"/>
  <c r="Q228" i="5"/>
  <c r="P228" i="5"/>
  <c r="O228" i="5"/>
  <c r="N228" i="5"/>
  <c r="M228" i="5"/>
  <c r="L228" i="5"/>
  <c r="K228" i="5"/>
  <c r="J228" i="5"/>
  <c r="I228" i="5"/>
  <c r="H228" i="5"/>
  <c r="G228" i="5"/>
  <c r="F228" i="5"/>
  <c r="E228" i="5"/>
  <c r="D228" i="5"/>
  <c r="C228" i="5"/>
  <c r="B228" i="5"/>
  <c r="AB227" i="5"/>
  <c r="AA227" i="5"/>
  <c r="Z227" i="5"/>
  <c r="Y227" i="5"/>
  <c r="X227" i="5"/>
  <c r="W227" i="5"/>
  <c r="V227" i="5"/>
  <c r="U227" i="5"/>
  <c r="T227" i="5"/>
  <c r="S227" i="5"/>
  <c r="R227" i="5"/>
  <c r="Q227" i="5"/>
  <c r="P227" i="5"/>
  <c r="O227" i="5"/>
  <c r="N227" i="5"/>
  <c r="M227" i="5"/>
  <c r="L227" i="5"/>
  <c r="K227" i="5"/>
  <c r="J227" i="5"/>
  <c r="I227" i="5"/>
  <c r="H227" i="5"/>
  <c r="G227" i="5"/>
  <c r="F227" i="5"/>
  <c r="E227" i="5"/>
  <c r="D227" i="5"/>
  <c r="C227" i="5"/>
  <c r="B227" i="5"/>
  <c r="AB226" i="5"/>
  <c r="AA226" i="5"/>
  <c r="Z226" i="5"/>
  <c r="Y226" i="5"/>
  <c r="X226" i="5"/>
  <c r="W226" i="5"/>
  <c r="V226" i="5"/>
  <c r="U226" i="5"/>
  <c r="T226" i="5"/>
  <c r="S226" i="5"/>
  <c r="R226" i="5"/>
  <c r="Q226" i="5"/>
  <c r="P226" i="5"/>
  <c r="O226" i="5"/>
  <c r="N226" i="5"/>
  <c r="M226" i="5"/>
  <c r="L226" i="5"/>
  <c r="K226" i="5"/>
  <c r="J226" i="5"/>
  <c r="I226" i="5"/>
  <c r="H226" i="5"/>
  <c r="G226" i="5"/>
  <c r="F226" i="5"/>
  <c r="E226" i="5"/>
  <c r="D226" i="5"/>
  <c r="C226" i="5"/>
  <c r="B226" i="5"/>
  <c r="AB225" i="5"/>
  <c r="AA225" i="5"/>
  <c r="Z225" i="5"/>
  <c r="Y225" i="5"/>
  <c r="X225" i="5"/>
  <c r="W225" i="5"/>
  <c r="V225" i="5"/>
  <c r="U225" i="5"/>
  <c r="T225" i="5"/>
  <c r="S225" i="5"/>
  <c r="R225" i="5"/>
  <c r="Q225" i="5"/>
  <c r="P225" i="5"/>
  <c r="O225" i="5"/>
  <c r="N225" i="5"/>
  <c r="M225" i="5"/>
  <c r="L225" i="5"/>
  <c r="K225" i="5"/>
  <c r="J225" i="5"/>
  <c r="I225" i="5"/>
  <c r="H225" i="5"/>
  <c r="G225" i="5"/>
  <c r="F225" i="5"/>
  <c r="E225" i="5"/>
  <c r="D225" i="5"/>
  <c r="C225" i="5"/>
  <c r="B225" i="5"/>
  <c r="AB224" i="5"/>
  <c r="AA224" i="5"/>
  <c r="Z224" i="5"/>
  <c r="Y224" i="5"/>
  <c r="X224" i="5"/>
  <c r="W224" i="5"/>
  <c r="V224" i="5"/>
  <c r="U224" i="5"/>
  <c r="T224" i="5"/>
  <c r="S224" i="5"/>
  <c r="R224" i="5"/>
  <c r="Q224" i="5"/>
  <c r="P224" i="5"/>
  <c r="O224" i="5"/>
  <c r="N224" i="5"/>
  <c r="M224" i="5"/>
  <c r="L224" i="5"/>
  <c r="K224" i="5"/>
  <c r="J224" i="5"/>
  <c r="I224" i="5"/>
  <c r="H224" i="5"/>
  <c r="G224" i="5"/>
  <c r="F224" i="5"/>
  <c r="E224" i="5"/>
  <c r="D224" i="5"/>
  <c r="C224" i="5"/>
  <c r="B224" i="5"/>
  <c r="AB223" i="5"/>
  <c r="AA223" i="5"/>
  <c r="Z223" i="5"/>
  <c r="Y223" i="5"/>
  <c r="X223" i="5"/>
  <c r="W223" i="5"/>
  <c r="V223" i="5"/>
  <c r="U223" i="5"/>
  <c r="T223" i="5"/>
  <c r="S223" i="5"/>
  <c r="R223" i="5"/>
  <c r="Q223" i="5"/>
  <c r="P223" i="5"/>
  <c r="O223" i="5"/>
  <c r="N223" i="5"/>
  <c r="M223" i="5"/>
  <c r="L223" i="5"/>
  <c r="K223" i="5"/>
  <c r="J223" i="5"/>
  <c r="I223" i="5"/>
  <c r="H223" i="5"/>
  <c r="G223" i="5"/>
  <c r="F223" i="5"/>
  <c r="E223" i="5"/>
  <c r="D223" i="5"/>
  <c r="C223" i="5"/>
  <c r="B223" i="5"/>
  <c r="AB222" i="5"/>
  <c r="AA222" i="5"/>
  <c r="Z222" i="5"/>
  <c r="Y222" i="5"/>
  <c r="X222" i="5"/>
  <c r="W222" i="5"/>
  <c r="V222" i="5"/>
  <c r="U222" i="5"/>
  <c r="T222" i="5"/>
  <c r="S222" i="5"/>
  <c r="R222" i="5"/>
  <c r="Q222" i="5"/>
  <c r="P222" i="5"/>
  <c r="O222" i="5"/>
  <c r="N222" i="5"/>
  <c r="M222" i="5"/>
  <c r="L222" i="5"/>
  <c r="K222" i="5"/>
  <c r="J222" i="5"/>
  <c r="I222" i="5"/>
  <c r="H222" i="5"/>
  <c r="G222" i="5"/>
  <c r="F222" i="5"/>
  <c r="E222" i="5"/>
  <c r="D222" i="5"/>
  <c r="C222" i="5"/>
  <c r="B222" i="5"/>
  <c r="AB221" i="5"/>
  <c r="AA221" i="5"/>
  <c r="Z221" i="5"/>
  <c r="Y221" i="5"/>
  <c r="X221" i="5"/>
  <c r="W221" i="5"/>
  <c r="V221" i="5"/>
  <c r="U221" i="5"/>
  <c r="T221" i="5"/>
  <c r="S221" i="5"/>
  <c r="R221" i="5"/>
  <c r="Q221" i="5"/>
  <c r="P221" i="5"/>
  <c r="O221" i="5"/>
  <c r="N221" i="5"/>
  <c r="M221" i="5"/>
  <c r="L221" i="5"/>
  <c r="K221" i="5"/>
  <c r="J221" i="5"/>
  <c r="I221" i="5"/>
  <c r="H221" i="5"/>
  <c r="G221" i="5"/>
  <c r="F221" i="5"/>
  <c r="E221" i="5"/>
  <c r="D221" i="5"/>
  <c r="C221" i="5"/>
  <c r="B221" i="5"/>
  <c r="AB220" i="5"/>
  <c r="AA220" i="5"/>
  <c r="Z220" i="5"/>
  <c r="Y220" i="5"/>
  <c r="X220" i="5"/>
  <c r="W220" i="5"/>
  <c r="V220" i="5"/>
  <c r="U220" i="5"/>
  <c r="T220" i="5"/>
  <c r="S220" i="5"/>
  <c r="R220" i="5"/>
  <c r="Q220" i="5"/>
  <c r="P220" i="5"/>
  <c r="O220" i="5"/>
  <c r="N220" i="5"/>
  <c r="M220" i="5"/>
  <c r="L220" i="5"/>
  <c r="K220" i="5"/>
  <c r="J220" i="5"/>
  <c r="I220" i="5"/>
  <c r="H220" i="5"/>
  <c r="G220" i="5"/>
  <c r="F220" i="5"/>
  <c r="E220" i="5"/>
  <c r="D220" i="5"/>
  <c r="C220" i="5"/>
  <c r="B220" i="5"/>
  <c r="AB219" i="5"/>
  <c r="AA219" i="5"/>
  <c r="Z219" i="5"/>
  <c r="Y219" i="5"/>
  <c r="X219" i="5"/>
  <c r="W219" i="5"/>
  <c r="V219" i="5"/>
  <c r="U219" i="5"/>
  <c r="T219" i="5"/>
  <c r="S219" i="5"/>
  <c r="R219" i="5"/>
  <c r="Q219" i="5"/>
  <c r="P219" i="5"/>
  <c r="O219" i="5"/>
  <c r="N219" i="5"/>
  <c r="M219" i="5"/>
  <c r="L219" i="5"/>
  <c r="K219" i="5"/>
  <c r="J219" i="5"/>
  <c r="I219" i="5"/>
  <c r="H219" i="5"/>
  <c r="G219" i="5"/>
  <c r="F219" i="5"/>
  <c r="E219" i="5"/>
  <c r="D219" i="5"/>
  <c r="C219" i="5"/>
  <c r="B219" i="5"/>
  <c r="AB218" i="5"/>
  <c r="AA218" i="5"/>
  <c r="Z218" i="5"/>
  <c r="Y218" i="5"/>
  <c r="X218" i="5"/>
  <c r="W218" i="5"/>
  <c r="V218" i="5"/>
  <c r="U218" i="5"/>
  <c r="T218" i="5"/>
  <c r="S218" i="5"/>
  <c r="R218" i="5"/>
  <c r="Q218" i="5"/>
  <c r="P218" i="5"/>
  <c r="O218" i="5"/>
  <c r="N218" i="5"/>
  <c r="M218" i="5"/>
  <c r="L218" i="5"/>
  <c r="K218" i="5"/>
  <c r="J218" i="5"/>
  <c r="I218" i="5"/>
  <c r="H218" i="5"/>
  <c r="G218" i="5"/>
  <c r="F218" i="5"/>
  <c r="E218" i="5"/>
  <c r="D218" i="5"/>
  <c r="C218" i="5"/>
  <c r="B218" i="5"/>
  <c r="AB217" i="5"/>
  <c r="AA217" i="5"/>
  <c r="Z217" i="5"/>
  <c r="Y217" i="5"/>
  <c r="X217" i="5"/>
  <c r="W217" i="5"/>
  <c r="V217" i="5"/>
  <c r="U217" i="5"/>
  <c r="T217" i="5"/>
  <c r="S217" i="5"/>
  <c r="R217" i="5"/>
  <c r="Q217" i="5"/>
  <c r="P217" i="5"/>
  <c r="O217" i="5"/>
  <c r="N217" i="5"/>
  <c r="M217" i="5"/>
  <c r="L217" i="5"/>
  <c r="K217" i="5"/>
  <c r="J217" i="5"/>
  <c r="I217" i="5"/>
  <c r="H217" i="5"/>
  <c r="G217" i="5"/>
  <c r="F217" i="5"/>
  <c r="E217" i="5"/>
  <c r="D217" i="5"/>
  <c r="C217" i="5"/>
  <c r="B217" i="5"/>
  <c r="AB216" i="5"/>
  <c r="AA216" i="5"/>
  <c r="Z216" i="5"/>
  <c r="Y216" i="5"/>
  <c r="X216" i="5"/>
  <c r="W216" i="5"/>
  <c r="V216" i="5"/>
  <c r="U216" i="5"/>
  <c r="T216" i="5"/>
  <c r="S216" i="5"/>
  <c r="R216" i="5"/>
  <c r="Q216" i="5"/>
  <c r="P216" i="5"/>
  <c r="O216" i="5"/>
  <c r="N216" i="5"/>
  <c r="M216" i="5"/>
  <c r="L216" i="5"/>
  <c r="K216" i="5"/>
  <c r="J216" i="5"/>
  <c r="I216" i="5"/>
  <c r="H216" i="5"/>
  <c r="G216" i="5"/>
  <c r="F216" i="5"/>
  <c r="E216" i="5"/>
  <c r="D216" i="5"/>
  <c r="C216" i="5"/>
  <c r="B216" i="5"/>
  <c r="AB215" i="5"/>
  <c r="AA215" i="5"/>
  <c r="Z215" i="5"/>
  <c r="Y215" i="5"/>
  <c r="X215" i="5"/>
  <c r="W215" i="5"/>
  <c r="V215" i="5"/>
  <c r="U215" i="5"/>
  <c r="T215" i="5"/>
  <c r="S215" i="5"/>
  <c r="R215" i="5"/>
  <c r="Q215" i="5"/>
  <c r="P215" i="5"/>
  <c r="O215" i="5"/>
  <c r="N215" i="5"/>
  <c r="M215" i="5"/>
  <c r="L215" i="5"/>
  <c r="K215" i="5"/>
  <c r="J215" i="5"/>
  <c r="I215" i="5"/>
  <c r="H215" i="5"/>
  <c r="G215" i="5"/>
  <c r="F215" i="5"/>
  <c r="E215" i="5"/>
  <c r="D215" i="5"/>
  <c r="C215" i="5"/>
  <c r="B215" i="5"/>
  <c r="AB214" i="5"/>
  <c r="AA214" i="5"/>
  <c r="Z214" i="5"/>
  <c r="Y214" i="5"/>
  <c r="X214" i="5"/>
  <c r="W214" i="5"/>
  <c r="V214" i="5"/>
  <c r="U214" i="5"/>
  <c r="T214" i="5"/>
  <c r="S214" i="5"/>
  <c r="R214" i="5"/>
  <c r="Q214" i="5"/>
  <c r="P214" i="5"/>
  <c r="O214" i="5"/>
  <c r="N214" i="5"/>
  <c r="M214" i="5"/>
  <c r="L214" i="5"/>
  <c r="K214" i="5"/>
  <c r="J214" i="5"/>
  <c r="I214" i="5"/>
  <c r="H214" i="5"/>
  <c r="G214" i="5"/>
  <c r="F214" i="5"/>
  <c r="E214" i="5"/>
  <c r="D214" i="5"/>
  <c r="C214" i="5"/>
  <c r="B214" i="5"/>
  <c r="AB213" i="5"/>
  <c r="AA213" i="5"/>
  <c r="Z213" i="5"/>
  <c r="Y213" i="5"/>
  <c r="X213" i="5"/>
  <c r="W213" i="5"/>
  <c r="V213" i="5"/>
  <c r="U213" i="5"/>
  <c r="T213" i="5"/>
  <c r="S213" i="5"/>
  <c r="R213" i="5"/>
  <c r="Q213" i="5"/>
  <c r="P213" i="5"/>
  <c r="O213" i="5"/>
  <c r="N213" i="5"/>
  <c r="M213" i="5"/>
  <c r="L213" i="5"/>
  <c r="K213" i="5"/>
  <c r="J213" i="5"/>
  <c r="I213" i="5"/>
  <c r="H213" i="5"/>
  <c r="G213" i="5"/>
  <c r="F213" i="5"/>
  <c r="E213" i="5"/>
  <c r="D213" i="5"/>
  <c r="C213" i="5"/>
  <c r="B213" i="5"/>
  <c r="AB212" i="5"/>
  <c r="AA212" i="5"/>
  <c r="Z212" i="5"/>
  <c r="Y212" i="5"/>
  <c r="X212" i="5"/>
  <c r="W212" i="5"/>
  <c r="V212" i="5"/>
  <c r="U212" i="5"/>
  <c r="T212" i="5"/>
  <c r="S212" i="5"/>
  <c r="R212" i="5"/>
  <c r="Q212" i="5"/>
  <c r="P212" i="5"/>
  <c r="O212" i="5"/>
  <c r="N212" i="5"/>
  <c r="M212" i="5"/>
  <c r="L212" i="5"/>
  <c r="K212" i="5"/>
  <c r="J212" i="5"/>
  <c r="I212" i="5"/>
  <c r="H212" i="5"/>
  <c r="G212" i="5"/>
  <c r="F212" i="5"/>
  <c r="E212" i="5"/>
  <c r="D212" i="5"/>
  <c r="C212" i="5"/>
  <c r="B212" i="5"/>
  <c r="AB211" i="5"/>
  <c r="AA211" i="5"/>
  <c r="Z211" i="5"/>
  <c r="Y211" i="5"/>
  <c r="X211" i="5"/>
  <c r="W211" i="5"/>
  <c r="V211" i="5"/>
  <c r="U211" i="5"/>
  <c r="T211" i="5"/>
  <c r="S211" i="5"/>
  <c r="R211" i="5"/>
  <c r="Q211" i="5"/>
  <c r="P211" i="5"/>
  <c r="O211" i="5"/>
  <c r="N211" i="5"/>
  <c r="M211" i="5"/>
  <c r="L211" i="5"/>
  <c r="K211" i="5"/>
  <c r="J211" i="5"/>
  <c r="I211" i="5"/>
  <c r="H211" i="5"/>
  <c r="G211" i="5"/>
  <c r="F211" i="5"/>
  <c r="E211" i="5"/>
  <c r="D211" i="5"/>
  <c r="C211" i="5"/>
  <c r="B211" i="5"/>
  <c r="AB210" i="5"/>
  <c r="AA210" i="5"/>
  <c r="Z210" i="5"/>
  <c r="Y210" i="5"/>
  <c r="X210" i="5"/>
  <c r="W210" i="5"/>
  <c r="V210" i="5"/>
  <c r="U210" i="5"/>
  <c r="T210" i="5"/>
  <c r="S210" i="5"/>
  <c r="R210" i="5"/>
  <c r="Q210" i="5"/>
  <c r="P210" i="5"/>
  <c r="O210" i="5"/>
  <c r="N210" i="5"/>
  <c r="M210" i="5"/>
  <c r="L210" i="5"/>
  <c r="K210" i="5"/>
  <c r="J210" i="5"/>
  <c r="I210" i="5"/>
  <c r="H210" i="5"/>
  <c r="G210" i="5"/>
  <c r="F210" i="5"/>
  <c r="E210" i="5"/>
  <c r="D210" i="5"/>
  <c r="C210" i="5"/>
  <c r="B210" i="5"/>
  <c r="AB209" i="5"/>
  <c r="AA209" i="5"/>
  <c r="Z209" i="5"/>
  <c r="Y209" i="5"/>
  <c r="X209" i="5"/>
  <c r="W209" i="5"/>
  <c r="V209" i="5"/>
  <c r="U209" i="5"/>
  <c r="T209" i="5"/>
  <c r="S209" i="5"/>
  <c r="R209" i="5"/>
  <c r="Q209" i="5"/>
  <c r="P209" i="5"/>
  <c r="O209" i="5"/>
  <c r="N209" i="5"/>
  <c r="M209" i="5"/>
  <c r="L209" i="5"/>
  <c r="K209" i="5"/>
  <c r="J209" i="5"/>
  <c r="I209" i="5"/>
  <c r="H209" i="5"/>
  <c r="G209" i="5"/>
  <c r="F209" i="5"/>
  <c r="E209" i="5"/>
  <c r="D209" i="5"/>
  <c r="C209" i="5"/>
  <c r="B209" i="5"/>
  <c r="AB208" i="5"/>
  <c r="AA208" i="5"/>
  <c r="Z208" i="5"/>
  <c r="Y208" i="5"/>
  <c r="X208" i="5"/>
  <c r="W208" i="5"/>
  <c r="V208" i="5"/>
  <c r="U208" i="5"/>
  <c r="T208" i="5"/>
  <c r="S208" i="5"/>
  <c r="R208" i="5"/>
  <c r="Q208" i="5"/>
  <c r="P208" i="5"/>
  <c r="O208" i="5"/>
  <c r="N208" i="5"/>
  <c r="M208" i="5"/>
  <c r="L208" i="5"/>
  <c r="K208" i="5"/>
  <c r="J208" i="5"/>
  <c r="I208" i="5"/>
  <c r="H208" i="5"/>
  <c r="G208" i="5"/>
  <c r="F208" i="5"/>
  <c r="E208" i="5"/>
  <c r="D208" i="5"/>
  <c r="C208" i="5"/>
  <c r="B208" i="5"/>
  <c r="AB207" i="5"/>
  <c r="AA207" i="5"/>
  <c r="Z207" i="5"/>
  <c r="Y207" i="5"/>
  <c r="X207" i="5"/>
  <c r="W207" i="5"/>
  <c r="V207" i="5"/>
  <c r="U207" i="5"/>
  <c r="T207" i="5"/>
  <c r="S207" i="5"/>
  <c r="R207" i="5"/>
  <c r="Q207" i="5"/>
  <c r="P207" i="5"/>
  <c r="O207" i="5"/>
  <c r="N207" i="5"/>
  <c r="M207" i="5"/>
  <c r="L207" i="5"/>
  <c r="K207" i="5"/>
  <c r="J207" i="5"/>
  <c r="I207" i="5"/>
  <c r="H207" i="5"/>
  <c r="G207" i="5"/>
  <c r="F207" i="5"/>
  <c r="E207" i="5"/>
  <c r="D207" i="5"/>
  <c r="C207" i="5"/>
  <c r="B207" i="5"/>
  <c r="AB206" i="5"/>
  <c r="AA206" i="5"/>
  <c r="Z206" i="5"/>
  <c r="Y206" i="5"/>
  <c r="X206" i="5"/>
  <c r="W206" i="5"/>
  <c r="V206" i="5"/>
  <c r="U206" i="5"/>
  <c r="T206" i="5"/>
  <c r="S206" i="5"/>
  <c r="R206" i="5"/>
  <c r="Q206" i="5"/>
  <c r="P206" i="5"/>
  <c r="O206" i="5"/>
  <c r="N206" i="5"/>
  <c r="M206" i="5"/>
  <c r="L206" i="5"/>
  <c r="K206" i="5"/>
  <c r="J206" i="5"/>
  <c r="I206" i="5"/>
  <c r="H206" i="5"/>
  <c r="G206" i="5"/>
  <c r="F206" i="5"/>
  <c r="E206" i="5"/>
  <c r="D206" i="5"/>
  <c r="C206" i="5"/>
  <c r="B206" i="5"/>
  <c r="AB205" i="5"/>
  <c r="AA205" i="5"/>
  <c r="Z205" i="5"/>
  <c r="Y205" i="5"/>
  <c r="X205" i="5"/>
  <c r="W205" i="5"/>
  <c r="V205" i="5"/>
  <c r="U205" i="5"/>
  <c r="T205" i="5"/>
  <c r="S205" i="5"/>
  <c r="R205" i="5"/>
  <c r="Q205" i="5"/>
  <c r="P205" i="5"/>
  <c r="O205" i="5"/>
  <c r="N205" i="5"/>
  <c r="M205" i="5"/>
  <c r="L205" i="5"/>
  <c r="K205" i="5"/>
  <c r="J205" i="5"/>
  <c r="I205" i="5"/>
  <c r="H205" i="5"/>
  <c r="G205" i="5"/>
  <c r="F205" i="5"/>
  <c r="E205" i="5"/>
  <c r="D205" i="5"/>
  <c r="C205" i="5"/>
  <c r="B205" i="5"/>
  <c r="AB204" i="5"/>
  <c r="AA204" i="5"/>
  <c r="Z204" i="5"/>
  <c r="Y204" i="5"/>
  <c r="X204" i="5"/>
  <c r="W204" i="5"/>
  <c r="V204" i="5"/>
  <c r="U204" i="5"/>
  <c r="T204" i="5"/>
  <c r="S204" i="5"/>
  <c r="R204" i="5"/>
  <c r="Q204" i="5"/>
  <c r="P204" i="5"/>
  <c r="O204" i="5"/>
  <c r="N204" i="5"/>
  <c r="M204" i="5"/>
  <c r="L204" i="5"/>
  <c r="K204" i="5"/>
  <c r="J204" i="5"/>
  <c r="I204" i="5"/>
  <c r="H204" i="5"/>
  <c r="G204" i="5"/>
  <c r="F204" i="5"/>
  <c r="E204" i="5"/>
  <c r="D204" i="5"/>
  <c r="C204" i="5"/>
  <c r="B204" i="5"/>
  <c r="AB203" i="5"/>
  <c r="AA203" i="5"/>
  <c r="Z203" i="5"/>
  <c r="Y203" i="5"/>
  <c r="X203" i="5"/>
  <c r="W203" i="5"/>
  <c r="V203" i="5"/>
  <c r="U203" i="5"/>
  <c r="T203" i="5"/>
  <c r="S203" i="5"/>
  <c r="R203" i="5"/>
  <c r="Q203" i="5"/>
  <c r="P203" i="5"/>
  <c r="O203" i="5"/>
  <c r="N203" i="5"/>
  <c r="M203" i="5"/>
  <c r="L203" i="5"/>
  <c r="K203" i="5"/>
  <c r="J203" i="5"/>
  <c r="I203" i="5"/>
  <c r="H203" i="5"/>
  <c r="G203" i="5"/>
  <c r="F203" i="5"/>
  <c r="E203" i="5"/>
  <c r="D203" i="5"/>
  <c r="C203" i="5"/>
  <c r="B203" i="5"/>
  <c r="AB202" i="5"/>
  <c r="AA202" i="5"/>
  <c r="Z202" i="5"/>
  <c r="Y202" i="5"/>
  <c r="X202" i="5"/>
  <c r="W202" i="5"/>
  <c r="V202" i="5"/>
  <c r="U202" i="5"/>
  <c r="T202" i="5"/>
  <c r="S202" i="5"/>
  <c r="R202" i="5"/>
  <c r="Q202" i="5"/>
  <c r="P202" i="5"/>
  <c r="O202" i="5"/>
  <c r="N202" i="5"/>
  <c r="M202" i="5"/>
  <c r="L202" i="5"/>
  <c r="K202" i="5"/>
  <c r="J202" i="5"/>
  <c r="I202" i="5"/>
  <c r="H202" i="5"/>
  <c r="G202" i="5"/>
  <c r="F202" i="5"/>
  <c r="E202" i="5"/>
  <c r="D202" i="5"/>
  <c r="C202" i="5"/>
  <c r="B202" i="5"/>
  <c r="AB201" i="5"/>
  <c r="AA201" i="5"/>
  <c r="Z201" i="5"/>
  <c r="Y201" i="5"/>
  <c r="X201" i="5"/>
  <c r="W201" i="5"/>
  <c r="V201" i="5"/>
  <c r="U201" i="5"/>
  <c r="T201" i="5"/>
  <c r="S201" i="5"/>
  <c r="R201" i="5"/>
  <c r="Q201" i="5"/>
  <c r="P201" i="5"/>
  <c r="O201" i="5"/>
  <c r="N201" i="5"/>
  <c r="M201" i="5"/>
  <c r="L201" i="5"/>
  <c r="K201" i="5"/>
  <c r="J201" i="5"/>
  <c r="I201" i="5"/>
  <c r="H201" i="5"/>
  <c r="G201" i="5"/>
  <c r="F201" i="5"/>
  <c r="E201" i="5"/>
  <c r="D201" i="5"/>
  <c r="C201" i="5"/>
  <c r="B201" i="5"/>
  <c r="AB200" i="5"/>
  <c r="AA200" i="5"/>
  <c r="Z200" i="5"/>
  <c r="Y200" i="5"/>
  <c r="X200" i="5"/>
  <c r="W200" i="5"/>
  <c r="V200" i="5"/>
  <c r="U200" i="5"/>
  <c r="T200" i="5"/>
  <c r="S200" i="5"/>
  <c r="R200" i="5"/>
  <c r="Q200" i="5"/>
  <c r="P200" i="5"/>
  <c r="O200" i="5"/>
  <c r="N200" i="5"/>
  <c r="M200" i="5"/>
  <c r="L200" i="5"/>
  <c r="K200" i="5"/>
  <c r="J200" i="5"/>
  <c r="I200" i="5"/>
  <c r="H200" i="5"/>
  <c r="G200" i="5"/>
  <c r="F200" i="5"/>
  <c r="E200" i="5"/>
  <c r="D200" i="5"/>
  <c r="C200" i="5"/>
  <c r="B200" i="5"/>
  <c r="AB199" i="5"/>
  <c r="AA199" i="5"/>
  <c r="Z199" i="5"/>
  <c r="Y199" i="5"/>
  <c r="X199" i="5"/>
  <c r="W199" i="5"/>
  <c r="V199" i="5"/>
  <c r="U199" i="5"/>
  <c r="T199" i="5"/>
  <c r="S199" i="5"/>
  <c r="R199" i="5"/>
  <c r="Q199" i="5"/>
  <c r="P199" i="5"/>
  <c r="O199" i="5"/>
  <c r="N199" i="5"/>
  <c r="M199" i="5"/>
  <c r="L199" i="5"/>
  <c r="K199" i="5"/>
  <c r="J199" i="5"/>
  <c r="I199" i="5"/>
  <c r="H199" i="5"/>
  <c r="G199" i="5"/>
  <c r="F199" i="5"/>
  <c r="E199" i="5"/>
  <c r="D199" i="5"/>
  <c r="C199" i="5"/>
  <c r="B199" i="5"/>
  <c r="AB198" i="5"/>
  <c r="AA198" i="5"/>
  <c r="Z198" i="5"/>
  <c r="Y198" i="5"/>
  <c r="X198" i="5"/>
  <c r="W198" i="5"/>
  <c r="V198" i="5"/>
  <c r="U198" i="5"/>
  <c r="T198" i="5"/>
  <c r="S198" i="5"/>
  <c r="R198" i="5"/>
  <c r="Q198" i="5"/>
  <c r="P198" i="5"/>
  <c r="O198" i="5"/>
  <c r="N198" i="5"/>
  <c r="M198" i="5"/>
  <c r="L198" i="5"/>
  <c r="K198" i="5"/>
  <c r="J198" i="5"/>
  <c r="I198" i="5"/>
  <c r="H198" i="5"/>
  <c r="G198" i="5"/>
  <c r="F198" i="5"/>
  <c r="E198" i="5"/>
  <c r="D198" i="5"/>
  <c r="C198" i="5"/>
  <c r="B198" i="5"/>
  <c r="AB197" i="5"/>
  <c r="AA197" i="5"/>
  <c r="Z197" i="5"/>
  <c r="Y197" i="5"/>
  <c r="X197" i="5"/>
  <c r="W197" i="5"/>
  <c r="V197" i="5"/>
  <c r="U197" i="5"/>
  <c r="T197" i="5"/>
  <c r="S197" i="5"/>
  <c r="R197" i="5"/>
  <c r="Q197" i="5"/>
  <c r="P197" i="5"/>
  <c r="O197" i="5"/>
  <c r="N197" i="5"/>
  <c r="M197" i="5"/>
  <c r="L197" i="5"/>
  <c r="K197" i="5"/>
  <c r="J197" i="5"/>
  <c r="I197" i="5"/>
  <c r="H197" i="5"/>
  <c r="G197" i="5"/>
  <c r="F197" i="5"/>
  <c r="E197" i="5"/>
  <c r="D197" i="5"/>
  <c r="C197" i="5"/>
  <c r="B197" i="5"/>
  <c r="AB196" i="5"/>
  <c r="AA196" i="5"/>
  <c r="Z196" i="5"/>
  <c r="Y196" i="5"/>
  <c r="X196" i="5"/>
  <c r="W196" i="5"/>
  <c r="V196" i="5"/>
  <c r="U196" i="5"/>
  <c r="T196" i="5"/>
  <c r="S196" i="5"/>
  <c r="R196" i="5"/>
  <c r="Q196" i="5"/>
  <c r="P196" i="5"/>
  <c r="O196" i="5"/>
  <c r="N196" i="5"/>
  <c r="M196" i="5"/>
  <c r="L196" i="5"/>
  <c r="K196" i="5"/>
  <c r="J196" i="5"/>
  <c r="I196" i="5"/>
  <c r="H196" i="5"/>
  <c r="G196" i="5"/>
  <c r="F196" i="5"/>
  <c r="E196" i="5"/>
  <c r="D196" i="5"/>
  <c r="C196" i="5"/>
  <c r="B196" i="5"/>
  <c r="AB195" i="5"/>
  <c r="AA195" i="5"/>
  <c r="Z195" i="5"/>
  <c r="Y195" i="5"/>
  <c r="X195" i="5"/>
  <c r="W195" i="5"/>
  <c r="V195" i="5"/>
  <c r="U195" i="5"/>
  <c r="T195" i="5"/>
  <c r="S195" i="5"/>
  <c r="R195" i="5"/>
  <c r="Q195" i="5"/>
  <c r="P195" i="5"/>
  <c r="O195" i="5"/>
  <c r="N195" i="5"/>
  <c r="M195" i="5"/>
  <c r="L195" i="5"/>
  <c r="K195" i="5"/>
  <c r="J195" i="5"/>
  <c r="I195" i="5"/>
  <c r="H195" i="5"/>
  <c r="G195" i="5"/>
  <c r="F195" i="5"/>
  <c r="E195" i="5"/>
  <c r="D195" i="5"/>
  <c r="C195" i="5"/>
  <c r="B195" i="5"/>
  <c r="AB194" i="5"/>
  <c r="AA194" i="5"/>
  <c r="Z194" i="5"/>
  <c r="Y194" i="5"/>
  <c r="X194" i="5"/>
  <c r="W194" i="5"/>
  <c r="V194" i="5"/>
  <c r="U194" i="5"/>
  <c r="T194" i="5"/>
  <c r="S194" i="5"/>
  <c r="R194" i="5"/>
  <c r="Q194" i="5"/>
  <c r="P194" i="5"/>
  <c r="O194" i="5"/>
  <c r="N194" i="5"/>
  <c r="M194" i="5"/>
  <c r="L194" i="5"/>
  <c r="K194" i="5"/>
  <c r="J194" i="5"/>
  <c r="I194" i="5"/>
  <c r="H194" i="5"/>
  <c r="G194" i="5"/>
  <c r="F194" i="5"/>
  <c r="E194" i="5"/>
  <c r="D194" i="5"/>
  <c r="C194" i="5"/>
  <c r="B194" i="5"/>
  <c r="AB193" i="5"/>
  <c r="AA193" i="5"/>
  <c r="Z193" i="5"/>
  <c r="Y193" i="5"/>
  <c r="X193" i="5"/>
  <c r="W193" i="5"/>
  <c r="V193" i="5"/>
  <c r="U193" i="5"/>
  <c r="T193" i="5"/>
  <c r="S193" i="5"/>
  <c r="R193" i="5"/>
  <c r="Q193" i="5"/>
  <c r="P193" i="5"/>
  <c r="O193" i="5"/>
  <c r="N193" i="5"/>
  <c r="M193" i="5"/>
  <c r="L193" i="5"/>
  <c r="K193" i="5"/>
  <c r="J193" i="5"/>
  <c r="I193" i="5"/>
  <c r="H193" i="5"/>
  <c r="G193" i="5"/>
  <c r="F193" i="5"/>
  <c r="E193" i="5"/>
  <c r="D193" i="5"/>
  <c r="C193" i="5"/>
  <c r="B193" i="5"/>
  <c r="AB192" i="5"/>
  <c r="AA192" i="5"/>
  <c r="Z192" i="5"/>
  <c r="Y192" i="5"/>
  <c r="X192" i="5"/>
  <c r="W192" i="5"/>
  <c r="V192" i="5"/>
  <c r="U192" i="5"/>
  <c r="T192" i="5"/>
  <c r="S192" i="5"/>
  <c r="R192" i="5"/>
  <c r="Q192" i="5"/>
  <c r="P192" i="5"/>
  <c r="O192" i="5"/>
  <c r="N192" i="5"/>
  <c r="M192" i="5"/>
  <c r="L192" i="5"/>
  <c r="K192" i="5"/>
  <c r="J192" i="5"/>
  <c r="I192" i="5"/>
  <c r="H192" i="5"/>
  <c r="G192" i="5"/>
  <c r="F192" i="5"/>
  <c r="E192" i="5"/>
  <c r="D192" i="5"/>
  <c r="C192" i="5"/>
  <c r="B192" i="5"/>
  <c r="AB191" i="5"/>
  <c r="AA191" i="5"/>
  <c r="Z191" i="5"/>
  <c r="Y191" i="5"/>
  <c r="X191" i="5"/>
  <c r="W191" i="5"/>
  <c r="V191" i="5"/>
  <c r="U191" i="5"/>
  <c r="T191" i="5"/>
  <c r="S191" i="5"/>
  <c r="R191" i="5"/>
  <c r="Q191" i="5"/>
  <c r="P191" i="5"/>
  <c r="O191" i="5"/>
  <c r="N191" i="5"/>
  <c r="M191" i="5"/>
  <c r="L191" i="5"/>
  <c r="K191" i="5"/>
  <c r="J191" i="5"/>
  <c r="I191" i="5"/>
  <c r="H191" i="5"/>
  <c r="G191" i="5"/>
  <c r="F191" i="5"/>
  <c r="E191" i="5"/>
  <c r="D191" i="5"/>
  <c r="C191" i="5"/>
  <c r="B191" i="5"/>
  <c r="AB190" i="5"/>
  <c r="AA190" i="5"/>
  <c r="Z190" i="5"/>
  <c r="Y190" i="5"/>
  <c r="X190" i="5"/>
  <c r="W190" i="5"/>
  <c r="V190" i="5"/>
  <c r="U190" i="5"/>
  <c r="T190" i="5"/>
  <c r="S190" i="5"/>
  <c r="R190" i="5"/>
  <c r="Q190" i="5"/>
  <c r="P190" i="5"/>
  <c r="O190" i="5"/>
  <c r="N190" i="5"/>
  <c r="M190" i="5"/>
  <c r="L190" i="5"/>
  <c r="K190" i="5"/>
  <c r="J190" i="5"/>
  <c r="I190" i="5"/>
  <c r="H190" i="5"/>
  <c r="G190" i="5"/>
  <c r="F190" i="5"/>
  <c r="E190" i="5"/>
  <c r="D190" i="5"/>
  <c r="C190" i="5"/>
  <c r="B190" i="5"/>
  <c r="AB189" i="5"/>
  <c r="AA189" i="5"/>
  <c r="Z189" i="5"/>
  <c r="Y189" i="5"/>
  <c r="X189" i="5"/>
  <c r="W189" i="5"/>
  <c r="V189" i="5"/>
  <c r="U189" i="5"/>
  <c r="T189" i="5"/>
  <c r="S189" i="5"/>
  <c r="R189" i="5"/>
  <c r="Q189" i="5"/>
  <c r="P189" i="5"/>
  <c r="O189" i="5"/>
  <c r="N189" i="5"/>
  <c r="M189" i="5"/>
  <c r="L189" i="5"/>
  <c r="K189" i="5"/>
  <c r="J189" i="5"/>
  <c r="I189" i="5"/>
  <c r="H189" i="5"/>
  <c r="G189" i="5"/>
  <c r="F189" i="5"/>
  <c r="E189" i="5"/>
  <c r="D189" i="5"/>
  <c r="C189" i="5"/>
  <c r="B189" i="5"/>
  <c r="AB188" i="5"/>
  <c r="AA188" i="5"/>
  <c r="Z188" i="5"/>
  <c r="Y188" i="5"/>
  <c r="X188" i="5"/>
  <c r="W188" i="5"/>
  <c r="V188" i="5"/>
  <c r="U188" i="5"/>
  <c r="T188" i="5"/>
  <c r="S188" i="5"/>
  <c r="R188" i="5"/>
  <c r="Q188" i="5"/>
  <c r="P188" i="5"/>
  <c r="O188" i="5"/>
  <c r="N188" i="5"/>
  <c r="M188" i="5"/>
  <c r="L188" i="5"/>
  <c r="K188" i="5"/>
  <c r="J188" i="5"/>
  <c r="I188" i="5"/>
  <c r="H188" i="5"/>
  <c r="G188" i="5"/>
  <c r="F188" i="5"/>
  <c r="E188" i="5"/>
  <c r="D188" i="5"/>
  <c r="C188" i="5"/>
  <c r="B188" i="5"/>
  <c r="AB187" i="5"/>
  <c r="AA187" i="5"/>
  <c r="Z187" i="5"/>
  <c r="Y187" i="5"/>
  <c r="X187" i="5"/>
  <c r="W187" i="5"/>
  <c r="V187" i="5"/>
  <c r="U187" i="5"/>
  <c r="T187" i="5"/>
  <c r="S187" i="5"/>
  <c r="R187" i="5"/>
  <c r="Q187" i="5"/>
  <c r="P187" i="5"/>
  <c r="O187" i="5"/>
  <c r="N187" i="5"/>
  <c r="M187" i="5"/>
  <c r="L187" i="5"/>
  <c r="K187" i="5"/>
  <c r="J187" i="5"/>
  <c r="I187" i="5"/>
  <c r="H187" i="5"/>
  <c r="G187" i="5"/>
  <c r="F187" i="5"/>
  <c r="E187" i="5"/>
  <c r="D187" i="5"/>
  <c r="C187" i="5"/>
  <c r="B187" i="5"/>
  <c r="AB186" i="5"/>
  <c r="AA186" i="5"/>
  <c r="Z186" i="5"/>
  <c r="Y186" i="5"/>
  <c r="X186" i="5"/>
  <c r="W186" i="5"/>
  <c r="V186" i="5"/>
  <c r="U186" i="5"/>
  <c r="T186" i="5"/>
  <c r="S186" i="5"/>
  <c r="R186" i="5"/>
  <c r="Q186" i="5"/>
  <c r="P186" i="5"/>
  <c r="O186" i="5"/>
  <c r="N186" i="5"/>
  <c r="M186" i="5"/>
  <c r="L186" i="5"/>
  <c r="K186" i="5"/>
  <c r="J186" i="5"/>
  <c r="I186" i="5"/>
  <c r="H186" i="5"/>
  <c r="G186" i="5"/>
  <c r="F186" i="5"/>
  <c r="E186" i="5"/>
  <c r="D186" i="5"/>
  <c r="C186" i="5"/>
  <c r="B186" i="5"/>
  <c r="AB185" i="5"/>
  <c r="AA185" i="5"/>
  <c r="Z185" i="5"/>
  <c r="Y185" i="5"/>
  <c r="X185" i="5"/>
  <c r="W185" i="5"/>
  <c r="V185" i="5"/>
  <c r="U185" i="5"/>
  <c r="T185" i="5"/>
  <c r="S185" i="5"/>
  <c r="R185" i="5"/>
  <c r="Q185" i="5"/>
  <c r="P185" i="5"/>
  <c r="O185" i="5"/>
  <c r="N185" i="5"/>
  <c r="M185" i="5"/>
  <c r="L185" i="5"/>
  <c r="K185" i="5"/>
  <c r="J185" i="5"/>
  <c r="I185" i="5"/>
  <c r="H185" i="5"/>
  <c r="G185" i="5"/>
  <c r="F185" i="5"/>
  <c r="E185" i="5"/>
  <c r="D185" i="5"/>
  <c r="C185" i="5"/>
  <c r="B185" i="5"/>
  <c r="AB184" i="5"/>
  <c r="AA184" i="5"/>
  <c r="Z184" i="5"/>
  <c r="Y184" i="5"/>
  <c r="X184" i="5"/>
  <c r="W184" i="5"/>
  <c r="V184" i="5"/>
  <c r="U184" i="5"/>
  <c r="T184" i="5"/>
  <c r="S184" i="5"/>
  <c r="R184" i="5"/>
  <c r="Q184" i="5"/>
  <c r="P184" i="5"/>
  <c r="O184" i="5"/>
  <c r="N184" i="5"/>
  <c r="M184" i="5"/>
  <c r="L184" i="5"/>
  <c r="K184" i="5"/>
  <c r="J184" i="5"/>
  <c r="I184" i="5"/>
  <c r="H184" i="5"/>
  <c r="G184" i="5"/>
  <c r="F184" i="5"/>
  <c r="E184" i="5"/>
  <c r="D184" i="5"/>
  <c r="C184" i="5"/>
  <c r="B184" i="5"/>
  <c r="AB183" i="5"/>
  <c r="AA183" i="5"/>
  <c r="Z183" i="5"/>
  <c r="Y183" i="5"/>
  <c r="X183" i="5"/>
  <c r="W183" i="5"/>
  <c r="V183" i="5"/>
  <c r="U183" i="5"/>
  <c r="T183" i="5"/>
  <c r="S183" i="5"/>
  <c r="R183" i="5"/>
  <c r="Q183" i="5"/>
  <c r="P183" i="5"/>
  <c r="O183" i="5"/>
  <c r="N183" i="5"/>
  <c r="M183" i="5"/>
  <c r="L183" i="5"/>
  <c r="K183" i="5"/>
  <c r="J183" i="5"/>
  <c r="I183" i="5"/>
  <c r="H183" i="5"/>
  <c r="G183" i="5"/>
  <c r="F183" i="5"/>
  <c r="E183" i="5"/>
  <c r="D183" i="5"/>
  <c r="C183" i="5"/>
  <c r="B183" i="5"/>
  <c r="AB182" i="5"/>
  <c r="AA182" i="5"/>
  <c r="Z182" i="5"/>
  <c r="Y182" i="5"/>
  <c r="X182" i="5"/>
  <c r="W182" i="5"/>
  <c r="V182" i="5"/>
  <c r="U182" i="5"/>
  <c r="T182" i="5"/>
  <c r="S182" i="5"/>
  <c r="R182" i="5"/>
  <c r="Q182" i="5"/>
  <c r="P182" i="5"/>
  <c r="O182" i="5"/>
  <c r="N182" i="5"/>
  <c r="M182" i="5"/>
  <c r="L182" i="5"/>
  <c r="K182" i="5"/>
  <c r="J182" i="5"/>
  <c r="I182" i="5"/>
  <c r="H182" i="5"/>
  <c r="G182" i="5"/>
  <c r="F182" i="5"/>
  <c r="E182" i="5"/>
  <c r="D182" i="5"/>
  <c r="C182" i="5"/>
  <c r="B182" i="5"/>
  <c r="AB181" i="5"/>
  <c r="AA181" i="5"/>
  <c r="Z181" i="5"/>
  <c r="Y181" i="5"/>
  <c r="X181" i="5"/>
  <c r="W181" i="5"/>
  <c r="V181" i="5"/>
  <c r="U181" i="5"/>
  <c r="T181" i="5"/>
  <c r="S181" i="5"/>
  <c r="R181" i="5"/>
  <c r="Q181" i="5"/>
  <c r="P181" i="5"/>
  <c r="O181" i="5"/>
  <c r="N181" i="5"/>
  <c r="M181" i="5"/>
  <c r="L181" i="5"/>
  <c r="K181" i="5"/>
  <c r="J181" i="5"/>
  <c r="I181" i="5"/>
  <c r="H181" i="5"/>
  <c r="G181" i="5"/>
  <c r="F181" i="5"/>
  <c r="E181" i="5"/>
  <c r="D181" i="5"/>
  <c r="C181" i="5"/>
  <c r="B181" i="5"/>
  <c r="AB180" i="5"/>
  <c r="AA180" i="5"/>
  <c r="Z180" i="5"/>
  <c r="Y180" i="5"/>
  <c r="X180" i="5"/>
  <c r="W180" i="5"/>
  <c r="V180" i="5"/>
  <c r="U180" i="5"/>
  <c r="T180" i="5"/>
  <c r="S180" i="5"/>
  <c r="R180" i="5"/>
  <c r="Q180" i="5"/>
  <c r="P180" i="5"/>
  <c r="O180" i="5"/>
  <c r="N180" i="5"/>
  <c r="M180" i="5"/>
  <c r="L180" i="5"/>
  <c r="K180" i="5"/>
  <c r="J180" i="5"/>
  <c r="I180" i="5"/>
  <c r="H180" i="5"/>
  <c r="G180" i="5"/>
  <c r="F180" i="5"/>
  <c r="E180" i="5"/>
  <c r="D180" i="5"/>
  <c r="C180" i="5"/>
  <c r="B180" i="5"/>
  <c r="AB179" i="5"/>
  <c r="AA179" i="5"/>
  <c r="Z179" i="5"/>
  <c r="Y179" i="5"/>
  <c r="X179" i="5"/>
  <c r="W179" i="5"/>
  <c r="V179" i="5"/>
  <c r="U179" i="5"/>
  <c r="T179" i="5"/>
  <c r="S179" i="5"/>
  <c r="R179" i="5"/>
  <c r="Q179" i="5"/>
  <c r="P179" i="5"/>
  <c r="O179" i="5"/>
  <c r="N179" i="5"/>
  <c r="M179" i="5"/>
  <c r="L179" i="5"/>
  <c r="K179" i="5"/>
  <c r="J179" i="5"/>
  <c r="I179" i="5"/>
  <c r="H179" i="5"/>
  <c r="G179" i="5"/>
  <c r="F179" i="5"/>
  <c r="E179" i="5"/>
  <c r="D179" i="5"/>
  <c r="C179" i="5"/>
  <c r="B179" i="5"/>
  <c r="AB178" i="5"/>
  <c r="AA178" i="5"/>
  <c r="Z178" i="5"/>
  <c r="Y178" i="5"/>
  <c r="X178" i="5"/>
  <c r="W178" i="5"/>
  <c r="V178" i="5"/>
  <c r="U178" i="5"/>
  <c r="T178" i="5"/>
  <c r="S178" i="5"/>
  <c r="R178" i="5"/>
  <c r="Q178" i="5"/>
  <c r="P178" i="5"/>
  <c r="O178" i="5"/>
  <c r="N178" i="5"/>
  <c r="M178" i="5"/>
  <c r="L178" i="5"/>
  <c r="K178" i="5"/>
  <c r="J178" i="5"/>
  <c r="I178" i="5"/>
  <c r="H178" i="5"/>
  <c r="G178" i="5"/>
  <c r="F178" i="5"/>
  <c r="E178" i="5"/>
  <c r="D178" i="5"/>
  <c r="C178" i="5"/>
  <c r="B178" i="5"/>
  <c r="AB177" i="5"/>
  <c r="AA177" i="5"/>
  <c r="Z177" i="5"/>
  <c r="Y177" i="5"/>
  <c r="X177" i="5"/>
  <c r="W177" i="5"/>
  <c r="V177" i="5"/>
  <c r="U177" i="5"/>
  <c r="T177" i="5"/>
  <c r="S177" i="5"/>
  <c r="R177" i="5"/>
  <c r="Q177" i="5"/>
  <c r="P177" i="5"/>
  <c r="O177" i="5"/>
  <c r="N177" i="5"/>
  <c r="M177" i="5"/>
  <c r="L177" i="5"/>
  <c r="K177" i="5"/>
  <c r="J177" i="5"/>
  <c r="I177" i="5"/>
  <c r="H177" i="5"/>
  <c r="G177" i="5"/>
  <c r="F177" i="5"/>
  <c r="E177" i="5"/>
  <c r="D177" i="5"/>
  <c r="C177" i="5"/>
  <c r="B177" i="5"/>
  <c r="AB176" i="5"/>
  <c r="AA176" i="5"/>
  <c r="Z176" i="5"/>
  <c r="Y176" i="5"/>
  <c r="X176" i="5"/>
  <c r="W176" i="5"/>
  <c r="V176" i="5"/>
  <c r="U176" i="5"/>
  <c r="T176" i="5"/>
  <c r="S176" i="5"/>
  <c r="R176" i="5"/>
  <c r="Q176" i="5"/>
  <c r="P176" i="5"/>
  <c r="O176" i="5"/>
  <c r="N176" i="5"/>
  <c r="M176" i="5"/>
  <c r="L176" i="5"/>
  <c r="K176" i="5"/>
  <c r="J176" i="5"/>
  <c r="I176" i="5"/>
  <c r="H176" i="5"/>
  <c r="G176" i="5"/>
  <c r="F176" i="5"/>
  <c r="E176" i="5"/>
  <c r="D176" i="5"/>
  <c r="C176" i="5"/>
  <c r="B176" i="5"/>
  <c r="AB175" i="5"/>
  <c r="AA175" i="5"/>
  <c r="Z175" i="5"/>
  <c r="Y175" i="5"/>
  <c r="X175" i="5"/>
  <c r="W175" i="5"/>
  <c r="V175" i="5"/>
  <c r="U175" i="5"/>
  <c r="T175" i="5"/>
  <c r="S175" i="5"/>
  <c r="R175" i="5"/>
  <c r="Q175" i="5"/>
  <c r="P175" i="5"/>
  <c r="O175" i="5"/>
  <c r="N175" i="5"/>
  <c r="M175" i="5"/>
  <c r="L175" i="5"/>
  <c r="K175" i="5"/>
  <c r="J175" i="5"/>
  <c r="I175" i="5"/>
  <c r="H175" i="5"/>
  <c r="G175" i="5"/>
  <c r="F175" i="5"/>
  <c r="E175" i="5"/>
  <c r="D175" i="5"/>
  <c r="C175" i="5"/>
  <c r="B175" i="5"/>
  <c r="AB174" i="5"/>
  <c r="AA174" i="5"/>
  <c r="Z174" i="5"/>
  <c r="Y174" i="5"/>
  <c r="X174" i="5"/>
  <c r="W174" i="5"/>
  <c r="V174" i="5"/>
  <c r="U174" i="5"/>
  <c r="T174" i="5"/>
  <c r="S174" i="5"/>
  <c r="R174" i="5"/>
  <c r="Q174" i="5"/>
  <c r="P174" i="5"/>
  <c r="O174" i="5"/>
  <c r="N174" i="5"/>
  <c r="M174" i="5"/>
  <c r="L174" i="5"/>
  <c r="K174" i="5"/>
  <c r="J174" i="5"/>
  <c r="I174" i="5"/>
  <c r="H174" i="5"/>
  <c r="G174" i="5"/>
  <c r="F174" i="5"/>
  <c r="E174" i="5"/>
  <c r="D174" i="5"/>
  <c r="C174" i="5"/>
  <c r="B174" i="5"/>
  <c r="AB173" i="5"/>
  <c r="AA173" i="5"/>
  <c r="Z173" i="5"/>
  <c r="Y173" i="5"/>
  <c r="X173" i="5"/>
  <c r="W173" i="5"/>
  <c r="V173" i="5"/>
  <c r="U173" i="5"/>
  <c r="T173" i="5"/>
  <c r="S173" i="5"/>
  <c r="R173" i="5"/>
  <c r="Q173" i="5"/>
  <c r="P173" i="5"/>
  <c r="O173" i="5"/>
  <c r="N173" i="5"/>
  <c r="M173" i="5"/>
  <c r="L173" i="5"/>
  <c r="K173" i="5"/>
  <c r="J173" i="5"/>
  <c r="I173" i="5"/>
  <c r="H173" i="5"/>
  <c r="G173" i="5"/>
  <c r="F173" i="5"/>
  <c r="E173" i="5"/>
  <c r="D173" i="5"/>
  <c r="C173" i="5"/>
  <c r="B173" i="5"/>
  <c r="AB172" i="5"/>
  <c r="AA172" i="5"/>
  <c r="Z172" i="5"/>
  <c r="Y172" i="5"/>
  <c r="X172" i="5"/>
  <c r="W172" i="5"/>
  <c r="V172" i="5"/>
  <c r="U172" i="5"/>
  <c r="T172" i="5"/>
  <c r="S172" i="5"/>
  <c r="R172" i="5"/>
  <c r="Q172" i="5"/>
  <c r="P172" i="5"/>
  <c r="O172" i="5"/>
  <c r="N172" i="5"/>
  <c r="M172" i="5"/>
  <c r="L172" i="5"/>
  <c r="K172" i="5"/>
  <c r="J172" i="5"/>
  <c r="I172" i="5"/>
  <c r="H172" i="5"/>
  <c r="G172" i="5"/>
  <c r="F172" i="5"/>
  <c r="E172" i="5"/>
  <c r="D172" i="5"/>
  <c r="C172" i="5"/>
  <c r="B172" i="5"/>
  <c r="AB171" i="5"/>
  <c r="AA171" i="5"/>
  <c r="Z171" i="5"/>
  <c r="Y171" i="5"/>
  <c r="X171" i="5"/>
  <c r="W171" i="5"/>
  <c r="V171" i="5"/>
  <c r="U171" i="5"/>
  <c r="T171" i="5"/>
  <c r="S171" i="5"/>
  <c r="R171" i="5"/>
  <c r="Q171" i="5"/>
  <c r="P171" i="5"/>
  <c r="O171" i="5"/>
  <c r="N171" i="5"/>
  <c r="M171" i="5"/>
  <c r="L171" i="5"/>
  <c r="K171" i="5"/>
  <c r="J171" i="5"/>
  <c r="I171" i="5"/>
  <c r="H171" i="5"/>
  <c r="G171" i="5"/>
  <c r="F171" i="5"/>
  <c r="E171" i="5"/>
  <c r="D171" i="5"/>
  <c r="C171" i="5"/>
  <c r="B171" i="5"/>
  <c r="AB170" i="5"/>
  <c r="AA170" i="5"/>
  <c r="Z170" i="5"/>
  <c r="Y170" i="5"/>
  <c r="X170" i="5"/>
  <c r="W170" i="5"/>
  <c r="V170" i="5"/>
  <c r="U170" i="5"/>
  <c r="T170" i="5"/>
  <c r="S170" i="5"/>
  <c r="R170" i="5"/>
  <c r="Q170" i="5"/>
  <c r="P170" i="5"/>
  <c r="O170" i="5"/>
  <c r="N170" i="5"/>
  <c r="M170" i="5"/>
  <c r="L170" i="5"/>
  <c r="K170" i="5"/>
  <c r="J170" i="5"/>
  <c r="I170" i="5"/>
  <c r="H170" i="5"/>
  <c r="G170" i="5"/>
  <c r="F170" i="5"/>
  <c r="E170" i="5"/>
  <c r="D170" i="5"/>
  <c r="C170" i="5"/>
  <c r="B170" i="5"/>
  <c r="AB169" i="5"/>
  <c r="AA169" i="5"/>
  <c r="Z169" i="5"/>
  <c r="Y169" i="5"/>
  <c r="X169" i="5"/>
  <c r="W169" i="5"/>
  <c r="V169" i="5"/>
  <c r="U169" i="5"/>
  <c r="T169" i="5"/>
  <c r="S169" i="5"/>
  <c r="R169" i="5"/>
  <c r="Q169" i="5"/>
  <c r="P169" i="5"/>
  <c r="O169" i="5"/>
  <c r="N169" i="5"/>
  <c r="M169" i="5"/>
  <c r="L169" i="5"/>
  <c r="K169" i="5"/>
  <c r="J169" i="5"/>
  <c r="I169" i="5"/>
  <c r="H169" i="5"/>
  <c r="G169" i="5"/>
  <c r="F169" i="5"/>
  <c r="E169" i="5"/>
  <c r="D169" i="5"/>
  <c r="C169" i="5"/>
  <c r="B169" i="5"/>
  <c r="AB168" i="5"/>
  <c r="AA168" i="5"/>
  <c r="Z168" i="5"/>
  <c r="Y168" i="5"/>
  <c r="X168" i="5"/>
  <c r="W168" i="5"/>
  <c r="V168" i="5"/>
  <c r="U168" i="5"/>
  <c r="T168" i="5"/>
  <c r="S168" i="5"/>
  <c r="R168" i="5"/>
  <c r="Q168" i="5"/>
  <c r="P168" i="5"/>
  <c r="O168" i="5"/>
  <c r="N168" i="5"/>
  <c r="M168" i="5"/>
  <c r="L168" i="5"/>
  <c r="K168" i="5"/>
  <c r="J168" i="5"/>
  <c r="I168" i="5"/>
  <c r="H168" i="5"/>
  <c r="G168" i="5"/>
  <c r="F168" i="5"/>
  <c r="E168" i="5"/>
  <c r="D168" i="5"/>
  <c r="C168" i="5"/>
  <c r="B168" i="5"/>
  <c r="AB167" i="5"/>
  <c r="AA167" i="5"/>
  <c r="Z167" i="5"/>
  <c r="Y167" i="5"/>
  <c r="X167" i="5"/>
  <c r="W167" i="5"/>
  <c r="V167" i="5"/>
  <c r="U167" i="5"/>
  <c r="T167" i="5"/>
  <c r="S167" i="5"/>
  <c r="R167" i="5"/>
  <c r="Q167" i="5"/>
  <c r="P167" i="5"/>
  <c r="O167" i="5"/>
  <c r="N167" i="5"/>
  <c r="M167" i="5"/>
  <c r="L167" i="5"/>
  <c r="K167" i="5"/>
  <c r="J167" i="5"/>
  <c r="I167" i="5"/>
  <c r="H167" i="5"/>
  <c r="G167" i="5"/>
  <c r="F167" i="5"/>
  <c r="E167" i="5"/>
  <c r="D167" i="5"/>
  <c r="C167" i="5"/>
  <c r="B167" i="5"/>
  <c r="AB166" i="5"/>
  <c r="AA166" i="5"/>
  <c r="Z166" i="5"/>
  <c r="Y166" i="5"/>
  <c r="X166" i="5"/>
  <c r="W166" i="5"/>
  <c r="V166" i="5"/>
  <c r="U166" i="5"/>
  <c r="T166" i="5"/>
  <c r="S166" i="5"/>
  <c r="R166" i="5"/>
  <c r="Q166" i="5"/>
  <c r="P166" i="5"/>
  <c r="O166" i="5"/>
  <c r="N166" i="5"/>
  <c r="M166" i="5"/>
  <c r="L166" i="5"/>
  <c r="K166" i="5"/>
  <c r="J166" i="5"/>
  <c r="I166" i="5"/>
  <c r="H166" i="5"/>
  <c r="G166" i="5"/>
  <c r="F166" i="5"/>
  <c r="E166" i="5"/>
  <c r="D166" i="5"/>
  <c r="C166" i="5"/>
  <c r="B166" i="5"/>
  <c r="AB165" i="5"/>
  <c r="AA165" i="5"/>
  <c r="Z165" i="5"/>
  <c r="Y165" i="5"/>
  <c r="X165" i="5"/>
  <c r="W165" i="5"/>
  <c r="V165" i="5"/>
  <c r="U165" i="5"/>
  <c r="T165" i="5"/>
  <c r="S165" i="5"/>
  <c r="R165" i="5"/>
  <c r="Q165" i="5"/>
  <c r="P165" i="5"/>
  <c r="O165" i="5"/>
  <c r="N165" i="5"/>
  <c r="M165" i="5"/>
  <c r="L165" i="5"/>
  <c r="K165" i="5"/>
  <c r="J165" i="5"/>
  <c r="I165" i="5"/>
  <c r="H165" i="5"/>
  <c r="G165" i="5"/>
  <c r="F165" i="5"/>
  <c r="E165" i="5"/>
  <c r="D165" i="5"/>
  <c r="C165" i="5"/>
  <c r="B165" i="5"/>
  <c r="AB164" i="5"/>
  <c r="AA164" i="5"/>
  <c r="Z164" i="5"/>
  <c r="Y164" i="5"/>
  <c r="X164" i="5"/>
  <c r="W164" i="5"/>
  <c r="V164" i="5"/>
  <c r="U164" i="5"/>
  <c r="T164" i="5"/>
  <c r="S164" i="5"/>
  <c r="R164" i="5"/>
  <c r="Q164" i="5"/>
  <c r="P164" i="5"/>
  <c r="O164" i="5"/>
  <c r="N164" i="5"/>
  <c r="M164" i="5"/>
  <c r="L164" i="5"/>
  <c r="K164" i="5"/>
  <c r="J164" i="5"/>
  <c r="I164" i="5"/>
  <c r="H164" i="5"/>
  <c r="G164" i="5"/>
  <c r="F164" i="5"/>
  <c r="E164" i="5"/>
  <c r="D164" i="5"/>
  <c r="C164" i="5"/>
  <c r="B164" i="5"/>
  <c r="AB163" i="5"/>
  <c r="AA163" i="5"/>
  <c r="Z163" i="5"/>
  <c r="Y163" i="5"/>
  <c r="X163" i="5"/>
  <c r="W163" i="5"/>
  <c r="V163" i="5"/>
  <c r="U163" i="5"/>
  <c r="T163" i="5"/>
  <c r="S163" i="5"/>
  <c r="R163" i="5"/>
  <c r="Q163" i="5"/>
  <c r="P163" i="5"/>
  <c r="O163" i="5"/>
  <c r="N163" i="5"/>
  <c r="M163" i="5"/>
  <c r="L163" i="5"/>
  <c r="K163" i="5"/>
  <c r="J163" i="5"/>
  <c r="I163" i="5"/>
  <c r="H163" i="5"/>
  <c r="G163" i="5"/>
  <c r="F163" i="5"/>
  <c r="E163" i="5"/>
  <c r="D163" i="5"/>
  <c r="C163" i="5"/>
  <c r="B163" i="5"/>
  <c r="AB162" i="5"/>
  <c r="AA162" i="5"/>
  <c r="Z162" i="5"/>
  <c r="Y162" i="5"/>
  <c r="X162" i="5"/>
  <c r="W162" i="5"/>
  <c r="V162" i="5"/>
  <c r="U162" i="5"/>
  <c r="T162" i="5"/>
  <c r="S162" i="5"/>
  <c r="R162" i="5"/>
  <c r="Q162" i="5"/>
  <c r="P162" i="5"/>
  <c r="O162" i="5"/>
  <c r="N162" i="5"/>
  <c r="M162" i="5"/>
  <c r="L162" i="5"/>
  <c r="K162" i="5"/>
  <c r="J162" i="5"/>
  <c r="I162" i="5"/>
  <c r="H162" i="5"/>
  <c r="G162" i="5"/>
  <c r="F162" i="5"/>
  <c r="E162" i="5"/>
  <c r="D162" i="5"/>
  <c r="C162" i="5"/>
  <c r="B162" i="5"/>
  <c r="AB161" i="5"/>
  <c r="AA161" i="5"/>
  <c r="Z161" i="5"/>
  <c r="Y161" i="5"/>
  <c r="X161" i="5"/>
  <c r="W161" i="5"/>
  <c r="V161" i="5"/>
  <c r="U161" i="5"/>
  <c r="T161" i="5"/>
  <c r="S161" i="5"/>
  <c r="R161" i="5"/>
  <c r="Q161" i="5"/>
  <c r="P161" i="5"/>
  <c r="O161" i="5"/>
  <c r="N161" i="5"/>
  <c r="M161" i="5"/>
  <c r="L161" i="5"/>
  <c r="K161" i="5"/>
  <c r="J161" i="5"/>
  <c r="I161" i="5"/>
  <c r="H161" i="5"/>
  <c r="G161" i="5"/>
  <c r="F161" i="5"/>
  <c r="E161" i="5"/>
  <c r="D161" i="5"/>
  <c r="C161" i="5"/>
  <c r="B161" i="5"/>
  <c r="AB160" i="5"/>
  <c r="AA160" i="5"/>
  <c r="Z160" i="5"/>
  <c r="Y160" i="5"/>
  <c r="X160" i="5"/>
  <c r="W160" i="5"/>
  <c r="V160" i="5"/>
  <c r="U160" i="5"/>
  <c r="T160" i="5"/>
  <c r="S160" i="5"/>
  <c r="R160" i="5"/>
  <c r="Q160" i="5"/>
  <c r="P160" i="5"/>
  <c r="O160" i="5"/>
  <c r="N160" i="5"/>
  <c r="M160" i="5"/>
  <c r="L160" i="5"/>
  <c r="K160" i="5"/>
  <c r="J160" i="5"/>
  <c r="I160" i="5"/>
  <c r="H160" i="5"/>
  <c r="G160" i="5"/>
  <c r="F160" i="5"/>
  <c r="E160" i="5"/>
  <c r="D160" i="5"/>
  <c r="C160" i="5"/>
  <c r="B160" i="5"/>
  <c r="AB159" i="5"/>
  <c r="AA159" i="5"/>
  <c r="Z159" i="5"/>
  <c r="Y159" i="5"/>
  <c r="X159" i="5"/>
  <c r="W159" i="5"/>
  <c r="V159" i="5"/>
  <c r="U159" i="5"/>
  <c r="T159" i="5"/>
  <c r="S159" i="5"/>
  <c r="R159" i="5"/>
  <c r="Q159" i="5"/>
  <c r="P159" i="5"/>
  <c r="O159" i="5"/>
  <c r="N159" i="5"/>
  <c r="M159" i="5"/>
  <c r="L159" i="5"/>
  <c r="K159" i="5"/>
  <c r="J159" i="5"/>
  <c r="I159" i="5"/>
  <c r="H159" i="5"/>
  <c r="G159" i="5"/>
  <c r="F159" i="5"/>
  <c r="E159" i="5"/>
  <c r="D159" i="5"/>
  <c r="C159" i="5"/>
  <c r="B159" i="5"/>
  <c r="AB158" i="5"/>
  <c r="AA158" i="5"/>
  <c r="Z158" i="5"/>
  <c r="Y158" i="5"/>
  <c r="X158" i="5"/>
  <c r="W158" i="5"/>
  <c r="V158" i="5"/>
  <c r="U158" i="5"/>
  <c r="T158" i="5"/>
  <c r="S158" i="5"/>
  <c r="R158" i="5"/>
  <c r="Q158" i="5"/>
  <c r="P158" i="5"/>
  <c r="O158" i="5"/>
  <c r="N158" i="5"/>
  <c r="M158" i="5"/>
  <c r="L158" i="5"/>
  <c r="K158" i="5"/>
  <c r="J158" i="5"/>
  <c r="I158" i="5"/>
  <c r="H158" i="5"/>
  <c r="G158" i="5"/>
  <c r="F158" i="5"/>
  <c r="E158" i="5"/>
  <c r="D158" i="5"/>
  <c r="C158" i="5"/>
  <c r="B158" i="5"/>
  <c r="AB157" i="5"/>
  <c r="AA157" i="5"/>
  <c r="Z157" i="5"/>
  <c r="Y157" i="5"/>
  <c r="X157" i="5"/>
  <c r="W157" i="5"/>
  <c r="V157" i="5"/>
  <c r="U157" i="5"/>
  <c r="T157" i="5"/>
  <c r="S157" i="5"/>
  <c r="R157" i="5"/>
  <c r="Q157" i="5"/>
  <c r="P157" i="5"/>
  <c r="O157" i="5"/>
  <c r="N157" i="5"/>
  <c r="M157" i="5"/>
  <c r="L157" i="5"/>
  <c r="K157" i="5"/>
  <c r="J157" i="5"/>
  <c r="I157" i="5"/>
  <c r="H157" i="5"/>
  <c r="G157" i="5"/>
  <c r="F157" i="5"/>
  <c r="E157" i="5"/>
  <c r="D157" i="5"/>
  <c r="C157" i="5"/>
  <c r="B157" i="5"/>
  <c r="AB156" i="5"/>
  <c r="AA156" i="5"/>
  <c r="Z156" i="5"/>
  <c r="Y156" i="5"/>
  <c r="X156" i="5"/>
  <c r="W156" i="5"/>
  <c r="V156" i="5"/>
  <c r="U156" i="5"/>
  <c r="T156" i="5"/>
  <c r="S156" i="5"/>
  <c r="R156" i="5"/>
  <c r="Q156" i="5"/>
  <c r="P156" i="5"/>
  <c r="O156" i="5"/>
  <c r="N156" i="5"/>
  <c r="M156" i="5"/>
  <c r="L156" i="5"/>
  <c r="K156" i="5"/>
  <c r="J156" i="5"/>
  <c r="I156" i="5"/>
  <c r="H156" i="5"/>
  <c r="G156" i="5"/>
  <c r="F156" i="5"/>
  <c r="E156" i="5"/>
  <c r="D156" i="5"/>
  <c r="C156" i="5"/>
  <c r="B156" i="5"/>
  <c r="AB155" i="5"/>
  <c r="AA155" i="5"/>
  <c r="Z155" i="5"/>
  <c r="Y155" i="5"/>
  <c r="X155" i="5"/>
  <c r="W155" i="5"/>
  <c r="V155" i="5"/>
  <c r="U155" i="5"/>
  <c r="T155" i="5"/>
  <c r="S155" i="5"/>
  <c r="R155" i="5"/>
  <c r="Q155" i="5"/>
  <c r="P155" i="5"/>
  <c r="O155" i="5"/>
  <c r="N155" i="5"/>
  <c r="M155" i="5"/>
  <c r="L155" i="5"/>
  <c r="K155" i="5"/>
  <c r="J155" i="5"/>
  <c r="I155" i="5"/>
  <c r="H155" i="5"/>
  <c r="G155" i="5"/>
  <c r="F155" i="5"/>
  <c r="E155" i="5"/>
  <c r="D155" i="5"/>
  <c r="C155" i="5"/>
  <c r="B155" i="5"/>
  <c r="AB154" i="5"/>
  <c r="AA154" i="5"/>
  <c r="Z154" i="5"/>
  <c r="Y154" i="5"/>
  <c r="X154" i="5"/>
  <c r="W154" i="5"/>
  <c r="V154" i="5"/>
  <c r="U154" i="5"/>
  <c r="T154" i="5"/>
  <c r="S154" i="5"/>
  <c r="R154" i="5"/>
  <c r="Q154" i="5"/>
  <c r="P154" i="5"/>
  <c r="O154" i="5"/>
  <c r="N154" i="5"/>
  <c r="M154" i="5"/>
  <c r="L154" i="5"/>
  <c r="K154" i="5"/>
  <c r="J154" i="5"/>
  <c r="I154" i="5"/>
  <c r="H154" i="5"/>
  <c r="G154" i="5"/>
  <c r="F154" i="5"/>
  <c r="E154" i="5"/>
  <c r="D154" i="5"/>
  <c r="C154" i="5"/>
  <c r="B154" i="5"/>
  <c r="AB153" i="5"/>
  <c r="AA153" i="5"/>
  <c r="Z153" i="5"/>
  <c r="Y153" i="5"/>
  <c r="X153" i="5"/>
  <c r="W153" i="5"/>
  <c r="V153" i="5"/>
  <c r="U153" i="5"/>
  <c r="T153" i="5"/>
  <c r="S153" i="5"/>
  <c r="R153" i="5"/>
  <c r="Q153" i="5"/>
  <c r="P153" i="5"/>
  <c r="O153" i="5"/>
  <c r="N153" i="5"/>
  <c r="M153" i="5"/>
  <c r="L153" i="5"/>
  <c r="K153" i="5"/>
  <c r="J153" i="5"/>
  <c r="I153" i="5"/>
  <c r="H153" i="5"/>
  <c r="G153" i="5"/>
  <c r="F153" i="5"/>
  <c r="E153" i="5"/>
  <c r="D153" i="5"/>
  <c r="C153" i="5"/>
  <c r="B153" i="5"/>
  <c r="AB152" i="5"/>
  <c r="AA152" i="5"/>
  <c r="Z152" i="5"/>
  <c r="Y152" i="5"/>
  <c r="X152" i="5"/>
  <c r="W152" i="5"/>
  <c r="V152" i="5"/>
  <c r="U152" i="5"/>
  <c r="T152" i="5"/>
  <c r="S152" i="5"/>
  <c r="R152" i="5"/>
  <c r="Q152" i="5"/>
  <c r="P152" i="5"/>
  <c r="O152" i="5"/>
  <c r="N152" i="5"/>
  <c r="M152" i="5"/>
  <c r="L152" i="5"/>
  <c r="K152" i="5"/>
  <c r="J152" i="5"/>
  <c r="I152" i="5"/>
  <c r="H152" i="5"/>
  <c r="G152" i="5"/>
  <c r="F152" i="5"/>
  <c r="E152" i="5"/>
  <c r="D152" i="5"/>
  <c r="C152" i="5"/>
  <c r="B152" i="5"/>
  <c r="AB151" i="5"/>
  <c r="AA151" i="5"/>
  <c r="Z151" i="5"/>
  <c r="Y151" i="5"/>
  <c r="X151" i="5"/>
  <c r="W151" i="5"/>
  <c r="V151" i="5"/>
  <c r="U151" i="5"/>
  <c r="T151" i="5"/>
  <c r="S151" i="5"/>
  <c r="R151" i="5"/>
  <c r="Q151" i="5"/>
  <c r="P151" i="5"/>
  <c r="O151" i="5"/>
  <c r="N151" i="5"/>
  <c r="M151" i="5"/>
  <c r="L151" i="5"/>
  <c r="K151" i="5"/>
  <c r="J151" i="5"/>
  <c r="I151" i="5"/>
  <c r="H151" i="5"/>
  <c r="G151" i="5"/>
  <c r="F151" i="5"/>
  <c r="E151" i="5"/>
  <c r="D151" i="5"/>
  <c r="C151" i="5"/>
  <c r="B151" i="5"/>
  <c r="AB150" i="5"/>
  <c r="AA150" i="5"/>
  <c r="Z150" i="5"/>
  <c r="Y150" i="5"/>
  <c r="X150" i="5"/>
  <c r="W150" i="5"/>
  <c r="V150" i="5"/>
  <c r="U150" i="5"/>
  <c r="T150" i="5"/>
  <c r="S150" i="5"/>
  <c r="R150" i="5"/>
  <c r="Q150" i="5"/>
  <c r="P150" i="5"/>
  <c r="O150" i="5"/>
  <c r="N150" i="5"/>
  <c r="M150" i="5"/>
  <c r="L150" i="5"/>
  <c r="K150" i="5"/>
  <c r="J150" i="5"/>
  <c r="I150" i="5"/>
  <c r="H150" i="5"/>
  <c r="G150" i="5"/>
  <c r="F150" i="5"/>
  <c r="E150" i="5"/>
  <c r="D150" i="5"/>
  <c r="C150" i="5"/>
  <c r="B150" i="5"/>
  <c r="AB149" i="5"/>
  <c r="AA149" i="5"/>
  <c r="Z149" i="5"/>
  <c r="Y149" i="5"/>
  <c r="X149" i="5"/>
  <c r="W149" i="5"/>
  <c r="V149" i="5"/>
  <c r="U149" i="5"/>
  <c r="T149" i="5"/>
  <c r="S149" i="5"/>
  <c r="R149" i="5"/>
  <c r="Q149" i="5"/>
  <c r="P149" i="5"/>
  <c r="O149" i="5"/>
  <c r="N149" i="5"/>
  <c r="M149" i="5"/>
  <c r="L149" i="5"/>
  <c r="K149" i="5"/>
  <c r="J149" i="5"/>
  <c r="I149" i="5"/>
  <c r="H149" i="5"/>
  <c r="G149" i="5"/>
  <c r="F149" i="5"/>
  <c r="E149" i="5"/>
  <c r="D149" i="5"/>
  <c r="C149" i="5"/>
  <c r="B149" i="5"/>
  <c r="AB148" i="5"/>
  <c r="AA148" i="5"/>
  <c r="Z148" i="5"/>
  <c r="Y148" i="5"/>
  <c r="X148" i="5"/>
  <c r="W148" i="5"/>
  <c r="V148" i="5"/>
  <c r="U148" i="5"/>
  <c r="T148" i="5"/>
  <c r="S148" i="5"/>
  <c r="R148" i="5"/>
  <c r="Q148" i="5"/>
  <c r="P148" i="5"/>
  <c r="O148" i="5"/>
  <c r="N148" i="5"/>
  <c r="M148" i="5"/>
  <c r="L148" i="5"/>
  <c r="K148" i="5"/>
  <c r="J148" i="5"/>
  <c r="I148" i="5"/>
  <c r="H148" i="5"/>
  <c r="G148" i="5"/>
  <c r="F148" i="5"/>
  <c r="E148" i="5"/>
  <c r="D148" i="5"/>
  <c r="C148" i="5"/>
  <c r="B148" i="5"/>
  <c r="AB147" i="5"/>
  <c r="AA147" i="5"/>
  <c r="Z147" i="5"/>
  <c r="Y147" i="5"/>
  <c r="X147" i="5"/>
  <c r="W147" i="5"/>
  <c r="V147" i="5"/>
  <c r="U147" i="5"/>
  <c r="T147" i="5"/>
  <c r="S147" i="5"/>
  <c r="R147" i="5"/>
  <c r="Q147" i="5"/>
  <c r="P147" i="5"/>
  <c r="O147" i="5"/>
  <c r="N147" i="5"/>
  <c r="M147" i="5"/>
  <c r="L147" i="5"/>
  <c r="K147" i="5"/>
  <c r="J147" i="5"/>
  <c r="I147" i="5"/>
  <c r="H147" i="5"/>
  <c r="G147" i="5"/>
  <c r="F147" i="5"/>
  <c r="E147" i="5"/>
  <c r="D147" i="5"/>
  <c r="C147" i="5"/>
  <c r="B147" i="5"/>
  <c r="AB146" i="5"/>
  <c r="AA146" i="5"/>
  <c r="Z146" i="5"/>
  <c r="Y146" i="5"/>
  <c r="X146" i="5"/>
  <c r="W146" i="5"/>
  <c r="V146" i="5"/>
  <c r="U146" i="5"/>
  <c r="T146" i="5"/>
  <c r="S146" i="5"/>
  <c r="R146" i="5"/>
  <c r="Q146" i="5"/>
  <c r="P146" i="5"/>
  <c r="O146" i="5"/>
  <c r="N146" i="5"/>
  <c r="M146" i="5"/>
  <c r="L146" i="5"/>
  <c r="K146" i="5"/>
  <c r="J146" i="5"/>
  <c r="I146" i="5"/>
  <c r="H146" i="5"/>
  <c r="G146" i="5"/>
  <c r="F146" i="5"/>
  <c r="E146" i="5"/>
  <c r="D146" i="5"/>
  <c r="C146" i="5"/>
  <c r="B146" i="5"/>
  <c r="AB145" i="5"/>
  <c r="AA145" i="5"/>
  <c r="Z145" i="5"/>
  <c r="Y145" i="5"/>
  <c r="X145" i="5"/>
  <c r="W145" i="5"/>
  <c r="V145" i="5"/>
  <c r="U145" i="5"/>
  <c r="T145" i="5"/>
  <c r="S145" i="5"/>
  <c r="R145" i="5"/>
  <c r="Q145" i="5"/>
  <c r="P145" i="5"/>
  <c r="O145" i="5"/>
  <c r="N145" i="5"/>
  <c r="M145" i="5"/>
  <c r="L145" i="5"/>
  <c r="K145" i="5"/>
  <c r="J145" i="5"/>
  <c r="I145" i="5"/>
  <c r="H145" i="5"/>
  <c r="G145" i="5"/>
  <c r="F145" i="5"/>
  <c r="E145" i="5"/>
  <c r="D145" i="5"/>
  <c r="C145" i="5"/>
  <c r="B145" i="5"/>
  <c r="AB144" i="5"/>
  <c r="AA144" i="5"/>
  <c r="Z144" i="5"/>
  <c r="Y144" i="5"/>
  <c r="X144" i="5"/>
  <c r="W144" i="5"/>
  <c r="V144" i="5"/>
  <c r="U144" i="5"/>
  <c r="T144" i="5"/>
  <c r="S144" i="5"/>
  <c r="R144" i="5"/>
  <c r="Q144" i="5"/>
  <c r="P144" i="5"/>
  <c r="O144" i="5"/>
  <c r="N144" i="5"/>
  <c r="M144" i="5"/>
  <c r="L144" i="5"/>
  <c r="K144" i="5"/>
  <c r="J144" i="5"/>
  <c r="I144" i="5"/>
  <c r="H144" i="5"/>
  <c r="G144" i="5"/>
  <c r="F144" i="5"/>
  <c r="E144" i="5"/>
  <c r="D144" i="5"/>
  <c r="C144" i="5"/>
  <c r="B144" i="5"/>
  <c r="AB143" i="5"/>
  <c r="AA143" i="5"/>
  <c r="Z143" i="5"/>
  <c r="Y143" i="5"/>
  <c r="X143" i="5"/>
  <c r="W143" i="5"/>
  <c r="V143" i="5"/>
  <c r="U143" i="5"/>
  <c r="T143" i="5"/>
  <c r="S143" i="5"/>
  <c r="R143" i="5"/>
  <c r="Q143" i="5"/>
  <c r="P143" i="5"/>
  <c r="O143" i="5"/>
  <c r="N143" i="5"/>
  <c r="M143" i="5"/>
  <c r="L143" i="5"/>
  <c r="K143" i="5"/>
  <c r="J143" i="5"/>
  <c r="I143" i="5"/>
  <c r="H143" i="5"/>
  <c r="G143" i="5"/>
  <c r="F143" i="5"/>
  <c r="E143" i="5"/>
  <c r="D143" i="5"/>
  <c r="C143" i="5"/>
  <c r="B143" i="5"/>
  <c r="AB142" i="5"/>
  <c r="AA142" i="5"/>
  <c r="Z142" i="5"/>
  <c r="Y142" i="5"/>
  <c r="X142" i="5"/>
  <c r="W142" i="5"/>
  <c r="V142" i="5"/>
  <c r="U142" i="5"/>
  <c r="T142" i="5"/>
  <c r="S142" i="5"/>
  <c r="R142" i="5"/>
  <c r="Q142" i="5"/>
  <c r="P142" i="5"/>
  <c r="O142" i="5"/>
  <c r="N142" i="5"/>
  <c r="M142" i="5"/>
  <c r="L142" i="5"/>
  <c r="K142" i="5"/>
  <c r="J142" i="5"/>
  <c r="I142" i="5"/>
  <c r="H142" i="5"/>
  <c r="G142" i="5"/>
  <c r="F142" i="5"/>
  <c r="E142" i="5"/>
  <c r="D142" i="5"/>
  <c r="C142" i="5"/>
  <c r="B142" i="5"/>
  <c r="AB141" i="5"/>
  <c r="AA141" i="5"/>
  <c r="Z141" i="5"/>
  <c r="Y141" i="5"/>
  <c r="X141" i="5"/>
  <c r="W141" i="5"/>
  <c r="V141" i="5"/>
  <c r="U141" i="5"/>
  <c r="T141" i="5"/>
  <c r="S141" i="5"/>
  <c r="R141" i="5"/>
  <c r="Q141" i="5"/>
  <c r="P141" i="5"/>
  <c r="O141" i="5"/>
  <c r="N141" i="5"/>
  <c r="M141" i="5"/>
  <c r="L141" i="5"/>
  <c r="K141" i="5"/>
  <c r="J141" i="5"/>
  <c r="I141" i="5"/>
  <c r="H141" i="5"/>
  <c r="G141" i="5"/>
  <c r="F141" i="5"/>
  <c r="E141" i="5"/>
  <c r="D141" i="5"/>
  <c r="C141" i="5"/>
  <c r="B141" i="5"/>
  <c r="AB140" i="5"/>
  <c r="AA140" i="5"/>
  <c r="Z140" i="5"/>
  <c r="Y140" i="5"/>
  <c r="X140" i="5"/>
  <c r="W140" i="5"/>
  <c r="V140" i="5"/>
  <c r="U140" i="5"/>
  <c r="T140" i="5"/>
  <c r="S140" i="5"/>
  <c r="R140" i="5"/>
  <c r="Q140" i="5"/>
  <c r="P140" i="5"/>
  <c r="O140" i="5"/>
  <c r="N140" i="5"/>
  <c r="M140" i="5"/>
  <c r="L140" i="5"/>
  <c r="K140" i="5"/>
  <c r="J140" i="5"/>
  <c r="I140" i="5"/>
  <c r="H140" i="5"/>
  <c r="G140" i="5"/>
  <c r="F140" i="5"/>
  <c r="E140" i="5"/>
  <c r="D140" i="5"/>
  <c r="C140" i="5"/>
  <c r="B140" i="5"/>
  <c r="AB139" i="5"/>
  <c r="AA139" i="5"/>
  <c r="Z139" i="5"/>
  <c r="Y139" i="5"/>
  <c r="X139" i="5"/>
  <c r="W139" i="5"/>
  <c r="V139" i="5"/>
  <c r="U139" i="5"/>
  <c r="T139" i="5"/>
  <c r="S139" i="5"/>
  <c r="R139" i="5"/>
  <c r="Q139" i="5"/>
  <c r="P139" i="5"/>
  <c r="O139" i="5"/>
  <c r="N139" i="5"/>
  <c r="M139" i="5"/>
  <c r="L139" i="5"/>
  <c r="K139" i="5"/>
  <c r="J139" i="5"/>
  <c r="I139" i="5"/>
  <c r="H139" i="5"/>
  <c r="G139" i="5"/>
  <c r="F139" i="5"/>
  <c r="E139" i="5"/>
  <c r="D139" i="5"/>
  <c r="C139" i="5"/>
  <c r="B139" i="5"/>
  <c r="AB138" i="5"/>
  <c r="AA138" i="5"/>
  <c r="Z138" i="5"/>
  <c r="Y138" i="5"/>
  <c r="X138" i="5"/>
  <c r="W138" i="5"/>
  <c r="V138" i="5"/>
  <c r="U138" i="5"/>
  <c r="T138" i="5"/>
  <c r="S138" i="5"/>
  <c r="R138" i="5"/>
  <c r="Q138" i="5"/>
  <c r="P138" i="5"/>
  <c r="O138" i="5"/>
  <c r="N138" i="5"/>
  <c r="M138" i="5"/>
  <c r="L138" i="5"/>
  <c r="K138" i="5"/>
  <c r="J138" i="5"/>
  <c r="I138" i="5"/>
  <c r="H138" i="5"/>
  <c r="G138" i="5"/>
  <c r="F138" i="5"/>
  <c r="E138" i="5"/>
  <c r="D138" i="5"/>
  <c r="C138" i="5"/>
  <c r="B138" i="5"/>
  <c r="AB137" i="5"/>
  <c r="AA137" i="5"/>
  <c r="Z137" i="5"/>
  <c r="Y137" i="5"/>
  <c r="X137" i="5"/>
  <c r="W137" i="5"/>
  <c r="V137" i="5"/>
  <c r="U137" i="5"/>
  <c r="T137" i="5"/>
  <c r="S137" i="5"/>
  <c r="R137" i="5"/>
  <c r="Q137" i="5"/>
  <c r="P137" i="5"/>
  <c r="O137" i="5"/>
  <c r="N137" i="5"/>
  <c r="M137" i="5"/>
  <c r="L137" i="5"/>
  <c r="K137" i="5"/>
  <c r="J137" i="5"/>
  <c r="I137" i="5"/>
  <c r="H137" i="5"/>
  <c r="G137" i="5"/>
  <c r="F137" i="5"/>
  <c r="E137" i="5"/>
  <c r="D137" i="5"/>
  <c r="C137" i="5"/>
  <c r="B137" i="5"/>
  <c r="AB136" i="5"/>
  <c r="AA136" i="5"/>
  <c r="Z136" i="5"/>
  <c r="Y136" i="5"/>
  <c r="X136" i="5"/>
  <c r="W136" i="5"/>
  <c r="V136" i="5"/>
  <c r="U136" i="5"/>
  <c r="T136" i="5"/>
  <c r="S136" i="5"/>
  <c r="R136" i="5"/>
  <c r="Q136" i="5"/>
  <c r="P136" i="5"/>
  <c r="O136" i="5"/>
  <c r="N136" i="5"/>
  <c r="M136" i="5"/>
  <c r="L136" i="5"/>
  <c r="K136" i="5"/>
  <c r="J136" i="5"/>
  <c r="I136" i="5"/>
  <c r="H136" i="5"/>
  <c r="G136" i="5"/>
  <c r="F136" i="5"/>
  <c r="E136" i="5"/>
  <c r="D136" i="5"/>
  <c r="C136" i="5"/>
  <c r="B136" i="5"/>
  <c r="AB135" i="5"/>
  <c r="AA135" i="5"/>
  <c r="Z135" i="5"/>
  <c r="Y135" i="5"/>
  <c r="X135" i="5"/>
  <c r="W135" i="5"/>
  <c r="V135" i="5"/>
  <c r="U135" i="5"/>
  <c r="T135" i="5"/>
  <c r="S135" i="5"/>
  <c r="R135" i="5"/>
  <c r="Q135" i="5"/>
  <c r="P135" i="5"/>
  <c r="O135" i="5"/>
  <c r="N135" i="5"/>
  <c r="M135" i="5"/>
  <c r="L135" i="5"/>
  <c r="K135" i="5"/>
  <c r="J135" i="5"/>
  <c r="I135" i="5"/>
  <c r="H135" i="5"/>
  <c r="G135" i="5"/>
  <c r="F135" i="5"/>
  <c r="E135" i="5"/>
  <c r="D135" i="5"/>
  <c r="C135" i="5"/>
  <c r="B135" i="5"/>
  <c r="AB134" i="5"/>
  <c r="AA134" i="5"/>
  <c r="Z134" i="5"/>
  <c r="Y134" i="5"/>
  <c r="X134" i="5"/>
  <c r="W134" i="5"/>
  <c r="V134" i="5"/>
  <c r="U134" i="5"/>
  <c r="T134" i="5"/>
  <c r="S134" i="5"/>
  <c r="R134" i="5"/>
  <c r="Q134" i="5"/>
  <c r="P134" i="5"/>
  <c r="O134" i="5"/>
  <c r="N134" i="5"/>
  <c r="M134" i="5"/>
  <c r="L134" i="5"/>
  <c r="K134" i="5"/>
  <c r="J134" i="5"/>
  <c r="I134" i="5"/>
  <c r="H134" i="5"/>
  <c r="G134" i="5"/>
  <c r="F134" i="5"/>
  <c r="E134" i="5"/>
  <c r="D134" i="5"/>
  <c r="C134" i="5"/>
  <c r="B134" i="5"/>
  <c r="AB133" i="5"/>
  <c r="AA133" i="5"/>
  <c r="Z133" i="5"/>
  <c r="Y133" i="5"/>
  <c r="X133" i="5"/>
  <c r="W133" i="5"/>
  <c r="V133" i="5"/>
  <c r="U133" i="5"/>
  <c r="T133" i="5"/>
  <c r="S133" i="5"/>
  <c r="R133" i="5"/>
  <c r="Q133" i="5"/>
  <c r="P133" i="5"/>
  <c r="O133" i="5"/>
  <c r="N133" i="5"/>
  <c r="M133" i="5"/>
  <c r="L133" i="5"/>
  <c r="K133" i="5"/>
  <c r="J133" i="5"/>
  <c r="I133" i="5"/>
  <c r="H133" i="5"/>
  <c r="G133" i="5"/>
  <c r="F133" i="5"/>
  <c r="E133" i="5"/>
  <c r="D133" i="5"/>
  <c r="C133" i="5"/>
  <c r="B133" i="5"/>
  <c r="AB132" i="5"/>
  <c r="AA132" i="5"/>
  <c r="Z132" i="5"/>
  <c r="Y132" i="5"/>
  <c r="X132" i="5"/>
  <c r="W132" i="5"/>
  <c r="V132" i="5"/>
  <c r="U132" i="5"/>
  <c r="T132" i="5"/>
  <c r="S132" i="5"/>
  <c r="R132" i="5"/>
  <c r="Q132" i="5"/>
  <c r="P132" i="5"/>
  <c r="O132" i="5"/>
  <c r="N132" i="5"/>
  <c r="M132" i="5"/>
  <c r="L132" i="5"/>
  <c r="K132" i="5"/>
  <c r="J132" i="5"/>
  <c r="I132" i="5"/>
  <c r="H132" i="5"/>
  <c r="G132" i="5"/>
  <c r="F132" i="5"/>
  <c r="E132" i="5"/>
  <c r="D132" i="5"/>
  <c r="C132" i="5"/>
  <c r="B132" i="5"/>
  <c r="AB131" i="5"/>
  <c r="AA131" i="5"/>
  <c r="Z131" i="5"/>
  <c r="Y131" i="5"/>
  <c r="X131" i="5"/>
  <c r="W131" i="5"/>
  <c r="V131" i="5"/>
  <c r="U131" i="5"/>
  <c r="T131" i="5"/>
  <c r="S131" i="5"/>
  <c r="R131" i="5"/>
  <c r="Q131" i="5"/>
  <c r="P131" i="5"/>
  <c r="O131" i="5"/>
  <c r="N131" i="5"/>
  <c r="M131" i="5"/>
  <c r="L131" i="5"/>
  <c r="K131" i="5"/>
  <c r="J131" i="5"/>
  <c r="I131" i="5"/>
  <c r="H131" i="5"/>
  <c r="G131" i="5"/>
  <c r="F131" i="5"/>
  <c r="E131" i="5"/>
  <c r="D131" i="5"/>
  <c r="C131" i="5"/>
  <c r="B131" i="5"/>
  <c r="AB130" i="5"/>
  <c r="AA130" i="5"/>
  <c r="Z130" i="5"/>
  <c r="Y130" i="5"/>
  <c r="X130" i="5"/>
  <c r="W130" i="5"/>
  <c r="V130" i="5"/>
  <c r="U130" i="5"/>
  <c r="T130" i="5"/>
  <c r="S130" i="5"/>
  <c r="R130" i="5"/>
  <c r="Q130" i="5"/>
  <c r="P130" i="5"/>
  <c r="O130" i="5"/>
  <c r="N130" i="5"/>
  <c r="M130" i="5"/>
  <c r="L130" i="5"/>
  <c r="K130" i="5"/>
  <c r="J130" i="5"/>
  <c r="I130" i="5"/>
  <c r="H130" i="5"/>
  <c r="G130" i="5"/>
  <c r="F130" i="5"/>
  <c r="E130" i="5"/>
  <c r="D130" i="5"/>
  <c r="C130" i="5"/>
  <c r="B130" i="5"/>
  <c r="AB129" i="5"/>
  <c r="AA129" i="5"/>
  <c r="Z129" i="5"/>
  <c r="Y129" i="5"/>
  <c r="X129" i="5"/>
  <c r="W129" i="5"/>
  <c r="V129" i="5"/>
  <c r="U129" i="5"/>
  <c r="T129" i="5"/>
  <c r="S129" i="5"/>
  <c r="R129" i="5"/>
  <c r="Q129" i="5"/>
  <c r="P129" i="5"/>
  <c r="O129" i="5"/>
  <c r="N129" i="5"/>
  <c r="M129" i="5"/>
  <c r="L129" i="5"/>
  <c r="K129" i="5"/>
  <c r="J129" i="5"/>
  <c r="I129" i="5"/>
  <c r="H129" i="5"/>
  <c r="G129" i="5"/>
  <c r="F129" i="5"/>
  <c r="E129" i="5"/>
  <c r="D129" i="5"/>
  <c r="C129" i="5"/>
  <c r="B129" i="5"/>
  <c r="AB128" i="5"/>
  <c r="AA128" i="5"/>
  <c r="Z128" i="5"/>
  <c r="Y128" i="5"/>
  <c r="X128" i="5"/>
  <c r="W128" i="5"/>
  <c r="V128" i="5"/>
  <c r="U128" i="5"/>
  <c r="T128" i="5"/>
  <c r="S128" i="5"/>
  <c r="R128" i="5"/>
  <c r="Q128" i="5"/>
  <c r="P128" i="5"/>
  <c r="O128" i="5"/>
  <c r="N128" i="5"/>
  <c r="M128" i="5"/>
  <c r="L128" i="5"/>
  <c r="K128" i="5"/>
  <c r="J128" i="5"/>
  <c r="I128" i="5"/>
  <c r="H128" i="5"/>
  <c r="G128" i="5"/>
  <c r="F128" i="5"/>
  <c r="E128" i="5"/>
  <c r="D128" i="5"/>
  <c r="C128" i="5"/>
  <c r="B128" i="5"/>
  <c r="AB127" i="5"/>
  <c r="AA127" i="5"/>
  <c r="Z127" i="5"/>
  <c r="Y127" i="5"/>
  <c r="X127" i="5"/>
  <c r="W127" i="5"/>
  <c r="V127" i="5"/>
  <c r="U127" i="5"/>
  <c r="T127" i="5"/>
  <c r="S127" i="5"/>
  <c r="R127" i="5"/>
  <c r="Q127" i="5"/>
  <c r="P127" i="5"/>
  <c r="O127" i="5"/>
  <c r="N127" i="5"/>
  <c r="M127" i="5"/>
  <c r="L127" i="5"/>
  <c r="K127" i="5"/>
  <c r="J127" i="5"/>
  <c r="I127" i="5"/>
  <c r="H127" i="5"/>
  <c r="G127" i="5"/>
  <c r="F127" i="5"/>
  <c r="E127" i="5"/>
  <c r="D127" i="5"/>
  <c r="C127" i="5"/>
  <c r="B127" i="5"/>
  <c r="AB126" i="5"/>
  <c r="AA126" i="5"/>
  <c r="Z126" i="5"/>
  <c r="Y126" i="5"/>
  <c r="X126" i="5"/>
  <c r="W126" i="5"/>
  <c r="V126" i="5"/>
  <c r="U126" i="5"/>
  <c r="T126" i="5"/>
  <c r="S126" i="5"/>
  <c r="R126" i="5"/>
  <c r="Q126" i="5"/>
  <c r="P126" i="5"/>
  <c r="O126" i="5"/>
  <c r="N126" i="5"/>
  <c r="M126" i="5"/>
  <c r="L126" i="5"/>
  <c r="K126" i="5"/>
  <c r="J126" i="5"/>
  <c r="I126" i="5"/>
  <c r="H126" i="5"/>
  <c r="G126" i="5"/>
  <c r="F126" i="5"/>
  <c r="E126" i="5"/>
  <c r="D126" i="5"/>
  <c r="C126" i="5"/>
  <c r="B126" i="5"/>
  <c r="AB125" i="5"/>
  <c r="AA125" i="5"/>
  <c r="Z125" i="5"/>
  <c r="Y125" i="5"/>
  <c r="X125" i="5"/>
  <c r="W125" i="5"/>
  <c r="V125" i="5"/>
  <c r="U125" i="5"/>
  <c r="T125" i="5"/>
  <c r="S125" i="5"/>
  <c r="R125" i="5"/>
  <c r="Q125" i="5"/>
  <c r="P125" i="5"/>
  <c r="O125" i="5"/>
  <c r="N125" i="5"/>
  <c r="M125" i="5"/>
  <c r="L125" i="5"/>
  <c r="K125" i="5"/>
  <c r="J125" i="5"/>
  <c r="I125" i="5"/>
  <c r="H125" i="5"/>
  <c r="G125" i="5"/>
  <c r="F125" i="5"/>
  <c r="E125" i="5"/>
  <c r="D125" i="5"/>
  <c r="C125" i="5"/>
  <c r="B125" i="5"/>
  <c r="AB124" i="5"/>
  <c r="AA124" i="5"/>
  <c r="Z124" i="5"/>
  <c r="Y124" i="5"/>
  <c r="X124" i="5"/>
  <c r="W124" i="5"/>
  <c r="V124" i="5"/>
  <c r="U124" i="5"/>
  <c r="T124" i="5"/>
  <c r="S124" i="5"/>
  <c r="R124" i="5"/>
  <c r="Q124" i="5"/>
  <c r="P124" i="5"/>
  <c r="O124" i="5"/>
  <c r="N124" i="5"/>
  <c r="M124" i="5"/>
  <c r="L124" i="5"/>
  <c r="K124" i="5"/>
  <c r="J124" i="5"/>
  <c r="I124" i="5"/>
  <c r="H124" i="5"/>
  <c r="G124" i="5"/>
  <c r="F124" i="5"/>
  <c r="E124" i="5"/>
  <c r="D124" i="5"/>
  <c r="C124" i="5"/>
  <c r="B124" i="5"/>
  <c r="AB123" i="5"/>
  <c r="AA123" i="5"/>
  <c r="Z123" i="5"/>
  <c r="Y123" i="5"/>
  <c r="X123" i="5"/>
  <c r="W123" i="5"/>
  <c r="V123" i="5"/>
  <c r="U123" i="5"/>
  <c r="T123" i="5"/>
  <c r="S123" i="5"/>
  <c r="R123" i="5"/>
  <c r="Q123" i="5"/>
  <c r="P123" i="5"/>
  <c r="O123" i="5"/>
  <c r="N123" i="5"/>
  <c r="M123" i="5"/>
  <c r="L123" i="5"/>
  <c r="K123" i="5"/>
  <c r="J123" i="5"/>
  <c r="I123" i="5"/>
  <c r="H123" i="5"/>
  <c r="G123" i="5"/>
  <c r="F123" i="5"/>
  <c r="E123" i="5"/>
  <c r="D123" i="5"/>
  <c r="C123" i="5"/>
  <c r="B123" i="5"/>
  <c r="AB122" i="5"/>
  <c r="AA122" i="5"/>
  <c r="Z122" i="5"/>
  <c r="Y122" i="5"/>
  <c r="X122" i="5"/>
  <c r="W122" i="5"/>
  <c r="V122" i="5"/>
  <c r="U122" i="5"/>
  <c r="T122" i="5"/>
  <c r="S122" i="5"/>
  <c r="R122" i="5"/>
  <c r="Q122" i="5"/>
  <c r="P122" i="5"/>
  <c r="O122" i="5"/>
  <c r="N122" i="5"/>
  <c r="M122" i="5"/>
  <c r="L122" i="5"/>
  <c r="K122" i="5"/>
  <c r="J122" i="5"/>
  <c r="I122" i="5"/>
  <c r="H122" i="5"/>
  <c r="G122" i="5"/>
  <c r="F122" i="5"/>
  <c r="E122" i="5"/>
  <c r="D122" i="5"/>
  <c r="C122" i="5"/>
  <c r="B122" i="5"/>
  <c r="AB121" i="5"/>
  <c r="AA121" i="5"/>
  <c r="Z121" i="5"/>
  <c r="Y121" i="5"/>
  <c r="X121" i="5"/>
  <c r="W121" i="5"/>
  <c r="V121" i="5"/>
  <c r="U121" i="5"/>
  <c r="T121" i="5"/>
  <c r="S121" i="5"/>
  <c r="R121" i="5"/>
  <c r="Q121" i="5"/>
  <c r="P121" i="5"/>
  <c r="O121" i="5"/>
  <c r="N121" i="5"/>
  <c r="M121" i="5"/>
  <c r="L121" i="5"/>
  <c r="K121" i="5"/>
  <c r="J121" i="5"/>
  <c r="I121" i="5"/>
  <c r="H121" i="5"/>
  <c r="G121" i="5"/>
  <c r="F121" i="5"/>
  <c r="E121" i="5"/>
  <c r="D121" i="5"/>
  <c r="C121" i="5"/>
  <c r="B121" i="5"/>
  <c r="AB120" i="5"/>
  <c r="AA120" i="5"/>
  <c r="Z120" i="5"/>
  <c r="Y120" i="5"/>
  <c r="X120" i="5"/>
  <c r="W120" i="5"/>
  <c r="V120" i="5"/>
  <c r="U120" i="5"/>
  <c r="T120" i="5"/>
  <c r="S120" i="5"/>
  <c r="R120" i="5"/>
  <c r="Q120" i="5"/>
  <c r="P120" i="5"/>
  <c r="O120" i="5"/>
  <c r="N120" i="5"/>
  <c r="M120" i="5"/>
  <c r="L120" i="5"/>
  <c r="K120" i="5"/>
  <c r="J120" i="5"/>
  <c r="I120" i="5"/>
  <c r="H120" i="5"/>
  <c r="G120" i="5"/>
  <c r="F120" i="5"/>
  <c r="E120" i="5"/>
  <c r="D120" i="5"/>
  <c r="C120" i="5"/>
  <c r="B120" i="5"/>
  <c r="AB119" i="5"/>
  <c r="AA119" i="5"/>
  <c r="Z119" i="5"/>
  <c r="Y119" i="5"/>
  <c r="X119" i="5"/>
  <c r="W119" i="5"/>
  <c r="V119" i="5"/>
  <c r="U119" i="5"/>
  <c r="T119" i="5"/>
  <c r="S119" i="5"/>
  <c r="R119" i="5"/>
  <c r="Q119" i="5"/>
  <c r="P119" i="5"/>
  <c r="O119" i="5"/>
  <c r="N119" i="5"/>
  <c r="M119" i="5"/>
  <c r="L119" i="5"/>
  <c r="K119" i="5"/>
  <c r="J119" i="5"/>
  <c r="I119" i="5"/>
  <c r="H119" i="5"/>
  <c r="G119" i="5"/>
  <c r="F119" i="5"/>
  <c r="E119" i="5"/>
  <c r="D119" i="5"/>
  <c r="C119" i="5"/>
  <c r="B119" i="5"/>
  <c r="AB118" i="5"/>
  <c r="AA118" i="5"/>
  <c r="Z118" i="5"/>
  <c r="Y118" i="5"/>
  <c r="X118" i="5"/>
  <c r="W118" i="5"/>
  <c r="V118" i="5"/>
  <c r="U118" i="5"/>
  <c r="T118" i="5"/>
  <c r="S118" i="5"/>
  <c r="R118" i="5"/>
  <c r="Q118" i="5"/>
  <c r="P118" i="5"/>
  <c r="O118" i="5"/>
  <c r="N118" i="5"/>
  <c r="M118" i="5"/>
  <c r="L118" i="5"/>
  <c r="K118" i="5"/>
  <c r="J118" i="5"/>
  <c r="I118" i="5"/>
  <c r="H118" i="5"/>
  <c r="G118" i="5"/>
  <c r="F118" i="5"/>
  <c r="E118" i="5"/>
  <c r="D118" i="5"/>
  <c r="C118" i="5"/>
  <c r="B118" i="5"/>
  <c r="AB117" i="5"/>
  <c r="AA117" i="5"/>
  <c r="Z117" i="5"/>
  <c r="Y117" i="5"/>
  <c r="X117" i="5"/>
  <c r="W117" i="5"/>
  <c r="V117" i="5"/>
  <c r="U117" i="5"/>
  <c r="T117" i="5"/>
  <c r="S117" i="5"/>
  <c r="R117" i="5"/>
  <c r="Q117" i="5"/>
  <c r="P117" i="5"/>
  <c r="O117" i="5"/>
  <c r="N117" i="5"/>
  <c r="M117" i="5"/>
  <c r="L117" i="5"/>
  <c r="K117" i="5"/>
  <c r="J117" i="5"/>
  <c r="I117" i="5"/>
  <c r="H117" i="5"/>
  <c r="G117" i="5"/>
  <c r="F117" i="5"/>
  <c r="E117" i="5"/>
  <c r="D117" i="5"/>
  <c r="C117" i="5"/>
  <c r="B117" i="5"/>
  <c r="AB116" i="5"/>
  <c r="AA116" i="5"/>
  <c r="Z116" i="5"/>
  <c r="Y116" i="5"/>
  <c r="X116" i="5"/>
  <c r="W116" i="5"/>
  <c r="V116" i="5"/>
  <c r="U116" i="5"/>
  <c r="T116" i="5"/>
  <c r="S116" i="5"/>
  <c r="R116" i="5"/>
  <c r="Q116" i="5"/>
  <c r="P116" i="5"/>
  <c r="O116" i="5"/>
  <c r="N116" i="5"/>
  <c r="M116" i="5"/>
  <c r="L116" i="5"/>
  <c r="K116" i="5"/>
  <c r="J116" i="5"/>
  <c r="I116" i="5"/>
  <c r="H116" i="5"/>
  <c r="G116" i="5"/>
  <c r="F116" i="5"/>
  <c r="E116" i="5"/>
  <c r="D116" i="5"/>
  <c r="C116" i="5"/>
  <c r="B116" i="5"/>
  <c r="AB115" i="5"/>
  <c r="AA115" i="5"/>
  <c r="Z115" i="5"/>
  <c r="Y115" i="5"/>
  <c r="X115" i="5"/>
  <c r="W115" i="5"/>
  <c r="V115" i="5"/>
  <c r="U115" i="5"/>
  <c r="T115" i="5"/>
  <c r="S115" i="5"/>
  <c r="R115" i="5"/>
  <c r="Q115" i="5"/>
  <c r="P115" i="5"/>
  <c r="O115" i="5"/>
  <c r="N115" i="5"/>
  <c r="M115" i="5"/>
  <c r="L115" i="5"/>
  <c r="K115" i="5"/>
  <c r="J115" i="5"/>
  <c r="I115" i="5"/>
  <c r="H115" i="5"/>
  <c r="G115" i="5"/>
  <c r="F115" i="5"/>
  <c r="E115" i="5"/>
  <c r="D115" i="5"/>
  <c r="C115" i="5"/>
  <c r="B115" i="5"/>
  <c r="AB114" i="5"/>
  <c r="AA114" i="5"/>
  <c r="Z114" i="5"/>
  <c r="Y114" i="5"/>
  <c r="X114" i="5"/>
  <c r="W114" i="5"/>
  <c r="V114" i="5"/>
  <c r="U114" i="5"/>
  <c r="T114" i="5"/>
  <c r="S114" i="5"/>
  <c r="R114" i="5"/>
  <c r="Q114" i="5"/>
  <c r="P114" i="5"/>
  <c r="O114" i="5"/>
  <c r="N114" i="5"/>
  <c r="M114" i="5"/>
  <c r="L114" i="5"/>
  <c r="K114" i="5"/>
  <c r="J114" i="5"/>
  <c r="I114" i="5"/>
  <c r="H114" i="5"/>
  <c r="G114" i="5"/>
  <c r="F114" i="5"/>
  <c r="E114" i="5"/>
  <c r="D114" i="5"/>
  <c r="C114" i="5"/>
  <c r="B114" i="5"/>
  <c r="AB113" i="5"/>
  <c r="AA113" i="5"/>
  <c r="Z113" i="5"/>
  <c r="Y113" i="5"/>
  <c r="X113" i="5"/>
  <c r="W113" i="5"/>
  <c r="V113" i="5"/>
  <c r="U113" i="5"/>
  <c r="T113" i="5"/>
  <c r="S113" i="5"/>
  <c r="R113" i="5"/>
  <c r="Q113" i="5"/>
  <c r="P113" i="5"/>
  <c r="O113" i="5"/>
  <c r="N113" i="5"/>
  <c r="M113" i="5"/>
  <c r="L113" i="5"/>
  <c r="K113" i="5"/>
  <c r="J113" i="5"/>
  <c r="I113" i="5"/>
  <c r="H113" i="5"/>
  <c r="G113" i="5"/>
  <c r="F113" i="5"/>
  <c r="E113" i="5"/>
  <c r="D113" i="5"/>
  <c r="C113" i="5"/>
  <c r="B113" i="5"/>
  <c r="AB112" i="5"/>
  <c r="AA112" i="5"/>
  <c r="Z112" i="5"/>
  <c r="Y112" i="5"/>
  <c r="X112" i="5"/>
  <c r="W112" i="5"/>
  <c r="V112" i="5"/>
  <c r="U112" i="5"/>
  <c r="T112" i="5"/>
  <c r="S112" i="5"/>
  <c r="R112" i="5"/>
  <c r="Q112" i="5"/>
  <c r="P112" i="5"/>
  <c r="O112" i="5"/>
  <c r="N112" i="5"/>
  <c r="M112" i="5"/>
  <c r="L112" i="5"/>
  <c r="K112" i="5"/>
  <c r="J112" i="5"/>
  <c r="I112" i="5"/>
  <c r="H112" i="5"/>
  <c r="G112" i="5"/>
  <c r="F112" i="5"/>
  <c r="E112" i="5"/>
  <c r="D112" i="5"/>
  <c r="C112" i="5"/>
  <c r="B112" i="5"/>
  <c r="AB111" i="5"/>
  <c r="AA111" i="5"/>
  <c r="Z111" i="5"/>
  <c r="Y111" i="5"/>
  <c r="X111" i="5"/>
  <c r="W111" i="5"/>
  <c r="V111" i="5"/>
  <c r="U111" i="5"/>
  <c r="T111" i="5"/>
  <c r="S111" i="5"/>
  <c r="R111" i="5"/>
  <c r="Q111" i="5"/>
  <c r="P111" i="5"/>
  <c r="O111" i="5"/>
  <c r="N111" i="5"/>
  <c r="M111" i="5"/>
  <c r="L111" i="5"/>
  <c r="K111" i="5"/>
  <c r="J111" i="5"/>
  <c r="I111" i="5"/>
  <c r="H111" i="5"/>
  <c r="G111" i="5"/>
  <c r="F111" i="5"/>
  <c r="E111" i="5"/>
  <c r="D111" i="5"/>
  <c r="C111" i="5"/>
  <c r="B111" i="5"/>
  <c r="AB110" i="5"/>
  <c r="AA110" i="5"/>
  <c r="Z110" i="5"/>
  <c r="Y110" i="5"/>
  <c r="X110" i="5"/>
  <c r="W110" i="5"/>
  <c r="V110" i="5"/>
  <c r="U110" i="5"/>
  <c r="T110" i="5"/>
  <c r="S110" i="5"/>
  <c r="R110" i="5"/>
  <c r="Q110" i="5"/>
  <c r="P110" i="5"/>
  <c r="O110" i="5"/>
  <c r="N110" i="5"/>
  <c r="M110" i="5"/>
  <c r="L110" i="5"/>
  <c r="K110" i="5"/>
  <c r="J110" i="5"/>
  <c r="I110" i="5"/>
  <c r="H110" i="5"/>
  <c r="G110" i="5"/>
  <c r="F110" i="5"/>
  <c r="E110" i="5"/>
  <c r="D110" i="5"/>
  <c r="C110" i="5"/>
  <c r="B110" i="5"/>
  <c r="AB109" i="5"/>
  <c r="AA109" i="5"/>
  <c r="Z109" i="5"/>
  <c r="Y109" i="5"/>
  <c r="X109" i="5"/>
  <c r="W109" i="5"/>
  <c r="V109" i="5"/>
  <c r="U109" i="5"/>
  <c r="T109" i="5"/>
  <c r="S109" i="5"/>
  <c r="R109" i="5"/>
  <c r="Q109" i="5"/>
  <c r="P109" i="5"/>
  <c r="O109" i="5"/>
  <c r="N109" i="5"/>
  <c r="M109" i="5"/>
  <c r="L109" i="5"/>
  <c r="K109" i="5"/>
  <c r="J109" i="5"/>
  <c r="I109" i="5"/>
  <c r="H109" i="5"/>
  <c r="G109" i="5"/>
  <c r="F109" i="5"/>
  <c r="E109" i="5"/>
  <c r="D109" i="5"/>
  <c r="C109" i="5"/>
  <c r="B109" i="5"/>
  <c r="AB108" i="5"/>
  <c r="AA108" i="5"/>
  <c r="Z108" i="5"/>
  <c r="Y108" i="5"/>
  <c r="X108" i="5"/>
  <c r="W108" i="5"/>
  <c r="V108" i="5"/>
  <c r="U108" i="5"/>
  <c r="T108" i="5"/>
  <c r="S108" i="5"/>
  <c r="R108" i="5"/>
  <c r="Q108" i="5"/>
  <c r="P108" i="5"/>
  <c r="O108" i="5"/>
  <c r="N108" i="5"/>
  <c r="M108" i="5"/>
  <c r="L108" i="5"/>
  <c r="K108" i="5"/>
  <c r="J108" i="5"/>
  <c r="I108" i="5"/>
  <c r="H108" i="5"/>
  <c r="G108" i="5"/>
  <c r="F108" i="5"/>
  <c r="E108" i="5"/>
  <c r="D108" i="5"/>
  <c r="C108" i="5"/>
  <c r="B108" i="5"/>
  <c r="AB107" i="5"/>
  <c r="AA107" i="5"/>
  <c r="Z107" i="5"/>
  <c r="Y107" i="5"/>
  <c r="X107" i="5"/>
  <c r="W107" i="5"/>
  <c r="V107" i="5"/>
  <c r="U107" i="5"/>
  <c r="T107" i="5"/>
  <c r="S107" i="5"/>
  <c r="R107" i="5"/>
  <c r="Q107" i="5"/>
  <c r="P107" i="5"/>
  <c r="O107" i="5"/>
  <c r="N107" i="5"/>
  <c r="M107" i="5"/>
  <c r="L107" i="5"/>
  <c r="K107" i="5"/>
  <c r="J107" i="5"/>
  <c r="I107" i="5"/>
  <c r="H107" i="5"/>
  <c r="G107" i="5"/>
  <c r="F107" i="5"/>
  <c r="E107" i="5"/>
  <c r="D107" i="5"/>
  <c r="C107" i="5"/>
  <c r="B107" i="5"/>
  <c r="AB106" i="5"/>
  <c r="AA106" i="5"/>
  <c r="Z106" i="5"/>
  <c r="Y106" i="5"/>
  <c r="X106" i="5"/>
  <c r="W106" i="5"/>
  <c r="V106" i="5"/>
  <c r="U106" i="5"/>
  <c r="T106" i="5"/>
  <c r="S106" i="5"/>
  <c r="R106" i="5"/>
  <c r="Q106" i="5"/>
  <c r="P106" i="5"/>
  <c r="O106" i="5"/>
  <c r="N106" i="5"/>
  <c r="M106" i="5"/>
  <c r="L106" i="5"/>
  <c r="K106" i="5"/>
  <c r="J106" i="5"/>
  <c r="I106" i="5"/>
  <c r="H106" i="5"/>
  <c r="G106" i="5"/>
  <c r="F106" i="5"/>
  <c r="E106" i="5"/>
  <c r="D106" i="5"/>
  <c r="C106" i="5"/>
  <c r="B106" i="5"/>
  <c r="AB105" i="5"/>
  <c r="AA105" i="5"/>
  <c r="Z105" i="5"/>
  <c r="Y105" i="5"/>
  <c r="X105" i="5"/>
  <c r="W105" i="5"/>
  <c r="V105" i="5"/>
  <c r="U105" i="5"/>
  <c r="T105" i="5"/>
  <c r="S105" i="5"/>
  <c r="R105" i="5"/>
  <c r="Q105" i="5"/>
  <c r="P105" i="5"/>
  <c r="O105" i="5"/>
  <c r="N105" i="5"/>
  <c r="M105" i="5"/>
  <c r="L105" i="5"/>
  <c r="K105" i="5"/>
  <c r="J105" i="5"/>
  <c r="I105" i="5"/>
  <c r="H105" i="5"/>
  <c r="G105" i="5"/>
  <c r="F105" i="5"/>
  <c r="E105" i="5"/>
  <c r="D105" i="5"/>
  <c r="C105" i="5"/>
  <c r="B105" i="5"/>
  <c r="AB104" i="5"/>
  <c r="AA104" i="5"/>
  <c r="Z104" i="5"/>
  <c r="Y104" i="5"/>
  <c r="X104" i="5"/>
  <c r="W104" i="5"/>
  <c r="V104" i="5"/>
  <c r="U104" i="5"/>
  <c r="T104" i="5"/>
  <c r="S104" i="5"/>
  <c r="R104" i="5"/>
  <c r="Q104" i="5"/>
  <c r="P104" i="5"/>
  <c r="O104" i="5"/>
  <c r="N104" i="5"/>
  <c r="M104" i="5"/>
  <c r="L104" i="5"/>
  <c r="K104" i="5"/>
  <c r="J104" i="5"/>
  <c r="I104" i="5"/>
  <c r="H104" i="5"/>
  <c r="G104" i="5"/>
  <c r="F104" i="5"/>
  <c r="E104" i="5"/>
  <c r="D104" i="5"/>
  <c r="C104" i="5"/>
  <c r="B104" i="5"/>
  <c r="AB103" i="5"/>
  <c r="AA103" i="5"/>
  <c r="Z103" i="5"/>
  <c r="Y103" i="5"/>
  <c r="X103" i="5"/>
  <c r="W103" i="5"/>
  <c r="V103" i="5"/>
  <c r="U103" i="5"/>
  <c r="T103" i="5"/>
  <c r="S103" i="5"/>
  <c r="R103" i="5"/>
  <c r="Q103" i="5"/>
  <c r="P103" i="5"/>
  <c r="O103" i="5"/>
  <c r="N103" i="5"/>
  <c r="M103" i="5"/>
  <c r="L103" i="5"/>
  <c r="K103" i="5"/>
  <c r="J103" i="5"/>
  <c r="I103" i="5"/>
  <c r="H103" i="5"/>
  <c r="G103" i="5"/>
  <c r="F103" i="5"/>
  <c r="E103" i="5"/>
  <c r="D103" i="5"/>
  <c r="C103" i="5"/>
  <c r="B103" i="5"/>
  <c r="AB102" i="5"/>
  <c r="AA102" i="5"/>
  <c r="Z102" i="5"/>
  <c r="Y102" i="5"/>
  <c r="X102" i="5"/>
  <c r="W102" i="5"/>
  <c r="V102" i="5"/>
  <c r="U102" i="5"/>
  <c r="T102" i="5"/>
  <c r="S102" i="5"/>
  <c r="R102" i="5"/>
  <c r="Q102" i="5"/>
  <c r="P102" i="5"/>
  <c r="O102" i="5"/>
  <c r="N102" i="5"/>
  <c r="M102" i="5"/>
  <c r="L102" i="5"/>
  <c r="K102" i="5"/>
  <c r="J102" i="5"/>
  <c r="I102" i="5"/>
  <c r="H102" i="5"/>
  <c r="G102" i="5"/>
  <c r="F102" i="5"/>
  <c r="E102" i="5"/>
  <c r="D102" i="5"/>
  <c r="C102" i="5"/>
  <c r="B102" i="5"/>
  <c r="AB101" i="5"/>
  <c r="AA101" i="5"/>
  <c r="Z101" i="5"/>
  <c r="Y101" i="5"/>
  <c r="X101" i="5"/>
  <c r="W101" i="5"/>
  <c r="V101" i="5"/>
  <c r="U101" i="5"/>
  <c r="T101" i="5"/>
  <c r="S101" i="5"/>
  <c r="R101" i="5"/>
  <c r="Q101" i="5"/>
  <c r="P101" i="5"/>
  <c r="O101" i="5"/>
  <c r="N101" i="5"/>
  <c r="M101" i="5"/>
  <c r="L101" i="5"/>
  <c r="K101" i="5"/>
  <c r="J101" i="5"/>
  <c r="I101" i="5"/>
  <c r="H101" i="5"/>
  <c r="G101" i="5"/>
  <c r="F101" i="5"/>
  <c r="E101" i="5"/>
  <c r="D101" i="5"/>
  <c r="C101" i="5"/>
  <c r="B101" i="5"/>
  <c r="AB100" i="5"/>
  <c r="AA100" i="5"/>
  <c r="Z100" i="5"/>
  <c r="Y100" i="5"/>
  <c r="X100" i="5"/>
  <c r="W100" i="5"/>
  <c r="V100" i="5"/>
  <c r="U100" i="5"/>
  <c r="T100" i="5"/>
  <c r="S100" i="5"/>
  <c r="R100" i="5"/>
  <c r="Q100" i="5"/>
  <c r="P100" i="5"/>
  <c r="O100" i="5"/>
  <c r="N100" i="5"/>
  <c r="M100" i="5"/>
  <c r="L100" i="5"/>
  <c r="K100" i="5"/>
  <c r="J100" i="5"/>
  <c r="I100" i="5"/>
  <c r="H100" i="5"/>
  <c r="G100" i="5"/>
  <c r="F100" i="5"/>
  <c r="E100" i="5"/>
  <c r="D100" i="5"/>
  <c r="C100" i="5"/>
  <c r="B100" i="5"/>
  <c r="AB99" i="5"/>
  <c r="AA99" i="5"/>
  <c r="Z99" i="5"/>
  <c r="Y99" i="5"/>
  <c r="X99" i="5"/>
  <c r="W99" i="5"/>
  <c r="V99" i="5"/>
  <c r="U99" i="5"/>
  <c r="T99" i="5"/>
  <c r="S99" i="5"/>
  <c r="R99" i="5"/>
  <c r="Q99" i="5"/>
  <c r="P99" i="5"/>
  <c r="O99" i="5"/>
  <c r="N99" i="5"/>
  <c r="M99" i="5"/>
  <c r="L99" i="5"/>
  <c r="K99" i="5"/>
  <c r="J99" i="5"/>
  <c r="I99" i="5"/>
  <c r="H99" i="5"/>
  <c r="G99" i="5"/>
  <c r="F99" i="5"/>
  <c r="E99" i="5"/>
  <c r="D99" i="5"/>
  <c r="C99" i="5"/>
  <c r="B99" i="5"/>
  <c r="AB98" i="5"/>
  <c r="AA98" i="5"/>
  <c r="Z98" i="5"/>
  <c r="Y98" i="5"/>
  <c r="X98" i="5"/>
  <c r="W98" i="5"/>
  <c r="V98" i="5"/>
  <c r="U98" i="5"/>
  <c r="T98" i="5"/>
  <c r="S98" i="5"/>
  <c r="R98" i="5"/>
  <c r="Q98" i="5"/>
  <c r="P98" i="5"/>
  <c r="O98" i="5"/>
  <c r="N98" i="5"/>
  <c r="M98" i="5"/>
  <c r="L98" i="5"/>
  <c r="K98" i="5"/>
  <c r="J98" i="5"/>
  <c r="I98" i="5"/>
  <c r="H98" i="5"/>
  <c r="G98" i="5"/>
  <c r="F98" i="5"/>
  <c r="E98" i="5"/>
  <c r="D98" i="5"/>
  <c r="C98" i="5"/>
  <c r="B98" i="5"/>
  <c r="AB97" i="5"/>
  <c r="AA97" i="5"/>
  <c r="Z97" i="5"/>
  <c r="Y97" i="5"/>
  <c r="X97" i="5"/>
  <c r="W97" i="5"/>
  <c r="V97" i="5"/>
  <c r="U97" i="5"/>
  <c r="T97" i="5"/>
  <c r="S97" i="5"/>
  <c r="R97" i="5"/>
  <c r="Q97" i="5"/>
  <c r="P97" i="5"/>
  <c r="O97" i="5"/>
  <c r="N97" i="5"/>
  <c r="M97" i="5"/>
  <c r="L97" i="5"/>
  <c r="K97" i="5"/>
  <c r="J97" i="5"/>
  <c r="I97" i="5"/>
  <c r="H97" i="5"/>
  <c r="G97" i="5"/>
  <c r="F97" i="5"/>
  <c r="E97" i="5"/>
  <c r="D97" i="5"/>
  <c r="C97" i="5"/>
  <c r="B97" i="5"/>
  <c r="AB96" i="5"/>
  <c r="AA96" i="5"/>
  <c r="Z96" i="5"/>
  <c r="Y96" i="5"/>
  <c r="X96" i="5"/>
  <c r="W96" i="5"/>
  <c r="V96" i="5"/>
  <c r="U96" i="5"/>
  <c r="T96" i="5"/>
  <c r="S96" i="5"/>
  <c r="R96" i="5"/>
  <c r="Q96" i="5"/>
  <c r="P96" i="5"/>
  <c r="O96" i="5"/>
  <c r="N96" i="5"/>
  <c r="M96" i="5"/>
  <c r="L96" i="5"/>
  <c r="K96" i="5"/>
  <c r="J96" i="5"/>
  <c r="I96" i="5"/>
  <c r="H96" i="5"/>
  <c r="G96" i="5"/>
  <c r="F96" i="5"/>
  <c r="E96" i="5"/>
  <c r="D96" i="5"/>
  <c r="C96" i="5"/>
  <c r="B96" i="5"/>
  <c r="AB95" i="5"/>
  <c r="AA95" i="5"/>
  <c r="Z95" i="5"/>
  <c r="Y95" i="5"/>
  <c r="X95" i="5"/>
  <c r="W95" i="5"/>
  <c r="V95" i="5"/>
  <c r="U95" i="5"/>
  <c r="T95" i="5"/>
  <c r="S95" i="5"/>
  <c r="R95" i="5"/>
  <c r="Q95" i="5"/>
  <c r="P95" i="5"/>
  <c r="O95" i="5"/>
  <c r="N95" i="5"/>
  <c r="M95" i="5"/>
  <c r="L95" i="5"/>
  <c r="K95" i="5"/>
  <c r="J95" i="5"/>
  <c r="I95" i="5"/>
  <c r="H95" i="5"/>
  <c r="G95" i="5"/>
  <c r="F95" i="5"/>
  <c r="E95" i="5"/>
  <c r="D95" i="5"/>
  <c r="C95" i="5"/>
  <c r="B95" i="5"/>
  <c r="AB94" i="5"/>
  <c r="AA94" i="5"/>
  <c r="Z94" i="5"/>
  <c r="Y94" i="5"/>
  <c r="X94" i="5"/>
  <c r="W94" i="5"/>
  <c r="V94" i="5"/>
  <c r="U94" i="5"/>
  <c r="T94" i="5"/>
  <c r="S94" i="5"/>
  <c r="R94" i="5"/>
  <c r="Q94" i="5"/>
  <c r="P94" i="5"/>
  <c r="O94" i="5"/>
  <c r="N94" i="5"/>
  <c r="M94" i="5"/>
  <c r="L94" i="5"/>
  <c r="K94" i="5"/>
  <c r="J94" i="5"/>
  <c r="I94" i="5"/>
  <c r="H94" i="5"/>
  <c r="G94" i="5"/>
  <c r="F94" i="5"/>
  <c r="E94" i="5"/>
  <c r="D94" i="5"/>
  <c r="C94" i="5"/>
  <c r="B94" i="5"/>
  <c r="AB93" i="5"/>
  <c r="AA93" i="5"/>
  <c r="Z93" i="5"/>
  <c r="Y93" i="5"/>
  <c r="X93" i="5"/>
  <c r="W93" i="5"/>
  <c r="V93" i="5"/>
  <c r="U93" i="5"/>
  <c r="T93" i="5"/>
  <c r="S93" i="5"/>
  <c r="R93" i="5"/>
  <c r="Q93" i="5"/>
  <c r="P93" i="5"/>
  <c r="O93" i="5"/>
  <c r="N93" i="5"/>
  <c r="M93" i="5"/>
  <c r="L93" i="5"/>
  <c r="K93" i="5"/>
  <c r="J93" i="5"/>
  <c r="I93" i="5"/>
  <c r="H93" i="5"/>
  <c r="G93" i="5"/>
  <c r="F93" i="5"/>
  <c r="E93" i="5"/>
  <c r="D93" i="5"/>
  <c r="C93" i="5"/>
  <c r="B93" i="5"/>
  <c r="AB92" i="5"/>
  <c r="AA92" i="5"/>
  <c r="Z92" i="5"/>
  <c r="Y92" i="5"/>
  <c r="X92" i="5"/>
  <c r="W92" i="5"/>
  <c r="V92" i="5"/>
  <c r="U92" i="5"/>
  <c r="T92" i="5"/>
  <c r="S92" i="5"/>
  <c r="R92" i="5"/>
  <c r="Q92" i="5"/>
  <c r="P92" i="5"/>
  <c r="O92" i="5"/>
  <c r="N92" i="5"/>
  <c r="M92" i="5"/>
  <c r="L92" i="5"/>
  <c r="K92" i="5"/>
  <c r="J92" i="5"/>
  <c r="I92" i="5"/>
  <c r="H92" i="5"/>
  <c r="G92" i="5"/>
  <c r="F92" i="5"/>
  <c r="E92" i="5"/>
  <c r="D92" i="5"/>
  <c r="C92" i="5"/>
  <c r="B92" i="5"/>
  <c r="AB91" i="5"/>
  <c r="AA91" i="5"/>
  <c r="Z91" i="5"/>
  <c r="Y91" i="5"/>
  <c r="X91" i="5"/>
  <c r="W91" i="5"/>
  <c r="V91" i="5"/>
  <c r="U91" i="5"/>
  <c r="T91" i="5"/>
  <c r="S91" i="5"/>
  <c r="R91" i="5"/>
  <c r="Q91" i="5"/>
  <c r="P91" i="5"/>
  <c r="O91" i="5"/>
  <c r="N91" i="5"/>
  <c r="M91" i="5"/>
  <c r="L91" i="5"/>
  <c r="K91" i="5"/>
  <c r="J91" i="5"/>
  <c r="I91" i="5"/>
  <c r="H91" i="5"/>
  <c r="G91" i="5"/>
  <c r="F91" i="5"/>
  <c r="E91" i="5"/>
  <c r="D91" i="5"/>
  <c r="C91" i="5"/>
  <c r="B91" i="5"/>
  <c r="AB90" i="5"/>
  <c r="AA90" i="5"/>
  <c r="Z90" i="5"/>
  <c r="Y90" i="5"/>
  <c r="X90" i="5"/>
  <c r="W90" i="5"/>
  <c r="V90" i="5"/>
  <c r="U90" i="5"/>
  <c r="T90" i="5"/>
  <c r="S90" i="5"/>
  <c r="R90" i="5"/>
  <c r="Q90" i="5"/>
  <c r="P90" i="5"/>
  <c r="O90" i="5"/>
  <c r="N90" i="5"/>
  <c r="M90" i="5"/>
  <c r="L90" i="5"/>
  <c r="K90" i="5"/>
  <c r="J90" i="5"/>
  <c r="I90" i="5"/>
  <c r="H90" i="5"/>
  <c r="G90" i="5"/>
  <c r="F90" i="5"/>
  <c r="E90" i="5"/>
  <c r="D90" i="5"/>
  <c r="C90" i="5"/>
  <c r="B90" i="5"/>
  <c r="AB89" i="5"/>
  <c r="AA89" i="5"/>
  <c r="Z89" i="5"/>
  <c r="Y89" i="5"/>
  <c r="X89" i="5"/>
  <c r="W89" i="5"/>
  <c r="V89" i="5"/>
  <c r="U89" i="5"/>
  <c r="T89" i="5"/>
  <c r="S89" i="5"/>
  <c r="R89" i="5"/>
  <c r="Q89" i="5"/>
  <c r="P89" i="5"/>
  <c r="O89" i="5"/>
  <c r="N89" i="5"/>
  <c r="M89" i="5"/>
  <c r="L89" i="5"/>
  <c r="K89" i="5"/>
  <c r="J89" i="5"/>
  <c r="I89" i="5"/>
  <c r="H89" i="5"/>
  <c r="G89" i="5"/>
  <c r="F89" i="5"/>
  <c r="E89" i="5"/>
  <c r="D89" i="5"/>
  <c r="C89" i="5"/>
  <c r="B89" i="5"/>
  <c r="AB88" i="5"/>
  <c r="AA88" i="5"/>
  <c r="Z88" i="5"/>
  <c r="Y88" i="5"/>
  <c r="X88" i="5"/>
  <c r="W88" i="5"/>
  <c r="V88" i="5"/>
  <c r="U88" i="5"/>
  <c r="T88" i="5"/>
  <c r="S88" i="5"/>
  <c r="R88" i="5"/>
  <c r="Q88" i="5"/>
  <c r="P88" i="5"/>
  <c r="O88" i="5"/>
  <c r="N88" i="5"/>
  <c r="M88" i="5"/>
  <c r="L88" i="5"/>
  <c r="K88" i="5"/>
  <c r="J88" i="5"/>
  <c r="I88" i="5"/>
  <c r="H88" i="5"/>
  <c r="G88" i="5"/>
  <c r="F88" i="5"/>
  <c r="E88" i="5"/>
  <c r="D88" i="5"/>
  <c r="C88" i="5"/>
  <c r="B88" i="5"/>
  <c r="AB87" i="5"/>
  <c r="AA87" i="5"/>
  <c r="Z87" i="5"/>
  <c r="Y87" i="5"/>
  <c r="X87" i="5"/>
  <c r="W87" i="5"/>
  <c r="V87" i="5"/>
  <c r="U87" i="5"/>
  <c r="T87" i="5"/>
  <c r="S87" i="5"/>
  <c r="R87" i="5"/>
  <c r="Q87" i="5"/>
  <c r="P87" i="5"/>
  <c r="O87" i="5"/>
  <c r="N87" i="5"/>
  <c r="M87" i="5"/>
  <c r="L87" i="5"/>
  <c r="K87" i="5"/>
  <c r="J87" i="5"/>
  <c r="I87" i="5"/>
  <c r="H87" i="5"/>
  <c r="G87" i="5"/>
  <c r="F87" i="5"/>
  <c r="E87" i="5"/>
  <c r="D87" i="5"/>
  <c r="C87" i="5"/>
  <c r="B87" i="5"/>
  <c r="AB86" i="5"/>
  <c r="AA86" i="5"/>
  <c r="Z86" i="5"/>
  <c r="Y86" i="5"/>
  <c r="X86" i="5"/>
  <c r="W86" i="5"/>
  <c r="V86" i="5"/>
  <c r="U86" i="5"/>
  <c r="T86" i="5"/>
  <c r="S86" i="5"/>
  <c r="R86" i="5"/>
  <c r="Q86" i="5"/>
  <c r="P86" i="5"/>
  <c r="O86" i="5"/>
  <c r="N86" i="5"/>
  <c r="M86" i="5"/>
  <c r="L86" i="5"/>
  <c r="K86" i="5"/>
  <c r="J86" i="5"/>
  <c r="I86" i="5"/>
  <c r="H86" i="5"/>
  <c r="G86" i="5"/>
  <c r="F86" i="5"/>
  <c r="E86" i="5"/>
  <c r="D86" i="5"/>
  <c r="C86" i="5"/>
  <c r="B86" i="5"/>
  <c r="AB85" i="5"/>
  <c r="AA85" i="5"/>
  <c r="Z85" i="5"/>
  <c r="Y85" i="5"/>
  <c r="X85" i="5"/>
  <c r="W85" i="5"/>
  <c r="V85" i="5"/>
  <c r="U85" i="5"/>
  <c r="T85" i="5"/>
  <c r="S85" i="5"/>
  <c r="R85" i="5"/>
  <c r="Q85" i="5"/>
  <c r="P85" i="5"/>
  <c r="O85" i="5"/>
  <c r="N85" i="5"/>
  <c r="M85" i="5"/>
  <c r="L85" i="5"/>
  <c r="K85" i="5"/>
  <c r="J85" i="5"/>
  <c r="I85" i="5"/>
  <c r="H85" i="5"/>
  <c r="G85" i="5"/>
  <c r="F85" i="5"/>
  <c r="E85" i="5"/>
  <c r="D85" i="5"/>
  <c r="C85" i="5"/>
  <c r="B85" i="5"/>
  <c r="AB84" i="5"/>
  <c r="AA84" i="5"/>
  <c r="Z84" i="5"/>
  <c r="Y84" i="5"/>
  <c r="X84" i="5"/>
  <c r="W84" i="5"/>
  <c r="V84" i="5"/>
  <c r="U84" i="5"/>
  <c r="T84" i="5"/>
  <c r="S84" i="5"/>
  <c r="R84" i="5"/>
  <c r="Q84" i="5"/>
  <c r="P84" i="5"/>
  <c r="O84" i="5"/>
  <c r="N84" i="5"/>
  <c r="M84" i="5"/>
  <c r="L84" i="5"/>
  <c r="K84" i="5"/>
  <c r="J84" i="5"/>
  <c r="I84" i="5"/>
  <c r="H84" i="5"/>
  <c r="G84" i="5"/>
  <c r="F84" i="5"/>
  <c r="E84" i="5"/>
  <c r="D84" i="5"/>
  <c r="C84" i="5"/>
  <c r="B84" i="5"/>
  <c r="AB83" i="5"/>
  <c r="AA83" i="5"/>
  <c r="Z83" i="5"/>
  <c r="Y83" i="5"/>
  <c r="X83" i="5"/>
  <c r="W83" i="5"/>
  <c r="V83" i="5"/>
  <c r="U83" i="5"/>
  <c r="T83" i="5"/>
  <c r="S83" i="5"/>
  <c r="R83" i="5"/>
  <c r="Q83" i="5"/>
  <c r="P83" i="5"/>
  <c r="O83" i="5"/>
  <c r="N83" i="5"/>
  <c r="M83" i="5"/>
  <c r="L83" i="5"/>
  <c r="K83" i="5"/>
  <c r="J83" i="5"/>
  <c r="I83" i="5"/>
  <c r="H83" i="5"/>
  <c r="G83" i="5"/>
  <c r="F83" i="5"/>
  <c r="E83" i="5"/>
  <c r="D83" i="5"/>
  <c r="C83" i="5"/>
  <c r="B83" i="5"/>
  <c r="AB82" i="5"/>
  <c r="AA82" i="5"/>
  <c r="Z82" i="5"/>
  <c r="Y82" i="5"/>
  <c r="X82" i="5"/>
  <c r="W82" i="5"/>
  <c r="V82" i="5"/>
  <c r="U82" i="5"/>
  <c r="T82" i="5"/>
  <c r="S82" i="5"/>
  <c r="R82" i="5"/>
  <c r="Q82" i="5"/>
  <c r="P82" i="5"/>
  <c r="O82" i="5"/>
  <c r="N82" i="5"/>
  <c r="M82" i="5"/>
  <c r="L82" i="5"/>
  <c r="K82" i="5"/>
  <c r="J82" i="5"/>
  <c r="I82" i="5"/>
  <c r="H82" i="5"/>
  <c r="G82" i="5"/>
  <c r="F82" i="5"/>
  <c r="E82" i="5"/>
  <c r="D82" i="5"/>
  <c r="C82" i="5"/>
  <c r="B82" i="5"/>
  <c r="AB81" i="5"/>
  <c r="AA81" i="5"/>
  <c r="Z81" i="5"/>
  <c r="Y81" i="5"/>
  <c r="X81" i="5"/>
  <c r="W81" i="5"/>
  <c r="V81" i="5"/>
  <c r="U81" i="5"/>
  <c r="T81" i="5"/>
  <c r="S81" i="5"/>
  <c r="R81" i="5"/>
  <c r="Q81" i="5"/>
  <c r="P81" i="5"/>
  <c r="O81" i="5"/>
  <c r="N81" i="5"/>
  <c r="M81" i="5"/>
  <c r="L81" i="5"/>
  <c r="K81" i="5"/>
  <c r="J81" i="5"/>
  <c r="I81" i="5"/>
  <c r="H81" i="5"/>
  <c r="G81" i="5"/>
  <c r="F81" i="5"/>
  <c r="E81" i="5"/>
  <c r="D81" i="5"/>
  <c r="C81" i="5"/>
  <c r="B81" i="5"/>
  <c r="AB80" i="5"/>
  <c r="AA80" i="5"/>
  <c r="Z80" i="5"/>
  <c r="Y80" i="5"/>
  <c r="X80" i="5"/>
  <c r="W80" i="5"/>
  <c r="V80" i="5"/>
  <c r="U80" i="5"/>
  <c r="T80" i="5"/>
  <c r="S80" i="5"/>
  <c r="R80" i="5"/>
  <c r="Q80" i="5"/>
  <c r="P80" i="5"/>
  <c r="O80" i="5"/>
  <c r="N80" i="5"/>
  <c r="M80" i="5"/>
  <c r="L80" i="5"/>
  <c r="K80" i="5"/>
  <c r="J80" i="5"/>
  <c r="I80" i="5"/>
  <c r="H80" i="5"/>
  <c r="G80" i="5"/>
  <c r="F80" i="5"/>
  <c r="E80" i="5"/>
  <c r="D80" i="5"/>
  <c r="C80" i="5"/>
  <c r="B80" i="5"/>
  <c r="AB79" i="5"/>
  <c r="AA79" i="5"/>
  <c r="Z79" i="5"/>
  <c r="Y79" i="5"/>
  <c r="X79" i="5"/>
  <c r="W79" i="5"/>
  <c r="V79" i="5"/>
  <c r="U79" i="5"/>
  <c r="T79" i="5"/>
  <c r="S79" i="5"/>
  <c r="R79" i="5"/>
  <c r="Q79" i="5"/>
  <c r="P79" i="5"/>
  <c r="O79" i="5"/>
  <c r="N79" i="5"/>
  <c r="M79" i="5"/>
  <c r="L79" i="5"/>
  <c r="K79" i="5"/>
  <c r="J79" i="5"/>
  <c r="I79" i="5"/>
  <c r="H79" i="5"/>
  <c r="G79" i="5"/>
  <c r="F79" i="5"/>
  <c r="E79" i="5"/>
  <c r="D79" i="5"/>
  <c r="C79" i="5"/>
  <c r="B79" i="5"/>
  <c r="AB78" i="5"/>
  <c r="AA78" i="5"/>
  <c r="Z78" i="5"/>
  <c r="Y78" i="5"/>
  <c r="X78" i="5"/>
  <c r="W78" i="5"/>
  <c r="V78" i="5"/>
  <c r="U78" i="5"/>
  <c r="T78" i="5"/>
  <c r="S78" i="5"/>
  <c r="R78" i="5"/>
  <c r="Q78" i="5"/>
  <c r="P78" i="5"/>
  <c r="O78" i="5"/>
  <c r="N78" i="5"/>
  <c r="M78" i="5"/>
  <c r="L78" i="5"/>
  <c r="K78" i="5"/>
  <c r="J78" i="5"/>
  <c r="I78" i="5"/>
  <c r="H78" i="5"/>
  <c r="G78" i="5"/>
  <c r="F78" i="5"/>
  <c r="E78" i="5"/>
  <c r="D78" i="5"/>
  <c r="C78" i="5"/>
  <c r="B78" i="5"/>
  <c r="AB77" i="5"/>
  <c r="AA77" i="5"/>
  <c r="Z77" i="5"/>
  <c r="Y77" i="5"/>
  <c r="X77" i="5"/>
  <c r="W77" i="5"/>
  <c r="V77" i="5"/>
  <c r="U77" i="5"/>
  <c r="T77" i="5"/>
  <c r="S77" i="5"/>
  <c r="R77" i="5"/>
  <c r="Q77" i="5"/>
  <c r="P77" i="5"/>
  <c r="O77" i="5"/>
  <c r="N77" i="5"/>
  <c r="M77" i="5"/>
  <c r="L77" i="5"/>
  <c r="K77" i="5"/>
  <c r="J77" i="5"/>
  <c r="I77" i="5"/>
  <c r="H77" i="5"/>
  <c r="G77" i="5"/>
  <c r="F77" i="5"/>
  <c r="E77" i="5"/>
  <c r="D77" i="5"/>
  <c r="C77" i="5"/>
  <c r="B77" i="5"/>
  <c r="AB76" i="5"/>
  <c r="AA76" i="5"/>
  <c r="Z76" i="5"/>
  <c r="Y76" i="5"/>
  <c r="X76" i="5"/>
  <c r="W76" i="5"/>
  <c r="V76" i="5"/>
  <c r="U76" i="5"/>
  <c r="T76" i="5"/>
  <c r="S76" i="5"/>
  <c r="R76" i="5"/>
  <c r="Q76" i="5"/>
  <c r="P76" i="5"/>
  <c r="O76" i="5"/>
  <c r="N76" i="5"/>
  <c r="M76" i="5"/>
  <c r="L76" i="5"/>
  <c r="K76" i="5"/>
  <c r="J76" i="5"/>
  <c r="I76" i="5"/>
  <c r="H76" i="5"/>
  <c r="G76" i="5"/>
  <c r="F76" i="5"/>
  <c r="E76" i="5"/>
  <c r="D76" i="5"/>
  <c r="C76" i="5"/>
  <c r="B76" i="5"/>
  <c r="AB75" i="5"/>
  <c r="AA75" i="5"/>
  <c r="Z75" i="5"/>
  <c r="Y75" i="5"/>
  <c r="X75" i="5"/>
  <c r="W75" i="5"/>
  <c r="V75" i="5"/>
  <c r="U75" i="5"/>
  <c r="T75" i="5"/>
  <c r="S75" i="5"/>
  <c r="R75" i="5"/>
  <c r="Q75" i="5"/>
  <c r="P75" i="5"/>
  <c r="O75" i="5"/>
  <c r="N75" i="5"/>
  <c r="M75" i="5"/>
  <c r="L75" i="5"/>
  <c r="K75" i="5"/>
  <c r="J75" i="5"/>
  <c r="I75" i="5"/>
  <c r="H75" i="5"/>
  <c r="G75" i="5"/>
  <c r="F75" i="5"/>
  <c r="E75" i="5"/>
  <c r="D75" i="5"/>
  <c r="C75" i="5"/>
  <c r="B75" i="5"/>
  <c r="AB74" i="5"/>
  <c r="AA74" i="5"/>
  <c r="Z74" i="5"/>
  <c r="Y74" i="5"/>
  <c r="X74" i="5"/>
  <c r="W74" i="5"/>
  <c r="V74" i="5"/>
  <c r="U74" i="5"/>
  <c r="T74" i="5"/>
  <c r="S74" i="5"/>
  <c r="R74" i="5"/>
  <c r="Q74" i="5"/>
  <c r="P74" i="5"/>
  <c r="O74" i="5"/>
  <c r="N74" i="5"/>
  <c r="M74" i="5"/>
  <c r="L74" i="5"/>
  <c r="K74" i="5"/>
  <c r="J74" i="5"/>
  <c r="I74" i="5"/>
  <c r="H74" i="5"/>
  <c r="G74" i="5"/>
  <c r="F74" i="5"/>
  <c r="E74" i="5"/>
  <c r="D74" i="5"/>
  <c r="C74" i="5"/>
  <c r="B74" i="5"/>
  <c r="AB73" i="5"/>
  <c r="AA73" i="5"/>
  <c r="Z73" i="5"/>
  <c r="Y73" i="5"/>
  <c r="X73" i="5"/>
  <c r="W73" i="5"/>
  <c r="V73" i="5"/>
  <c r="U73" i="5"/>
  <c r="T73" i="5"/>
  <c r="S73" i="5"/>
  <c r="R73" i="5"/>
  <c r="Q73" i="5"/>
  <c r="P73" i="5"/>
  <c r="O73" i="5"/>
  <c r="N73" i="5"/>
  <c r="M73" i="5"/>
  <c r="L73" i="5"/>
  <c r="K73" i="5"/>
  <c r="J73" i="5"/>
  <c r="I73" i="5"/>
  <c r="H73" i="5"/>
  <c r="G73" i="5"/>
  <c r="F73" i="5"/>
  <c r="E73" i="5"/>
  <c r="D73" i="5"/>
  <c r="C73" i="5"/>
  <c r="B73" i="5"/>
  <c r="AB72" i="5"/>
  <c r="AA72" i="5"/>
  <c r="Z72" i="5"/>
  <c r="Y72" i="5"/>
  <c r="X72" i="5"/>
  <c r="W72" i="5"/>
  <c r="V72" i="5"/>
  <c r="U72" i="5"/>
  <c r="T72" i="5"/>
  <c r="S72" i="5"/>
  <c r="R72" i="5"/>
  <c r="Q72" i="5"/>
  <c r="P72" i="5"/>
  <c r="O72" i="5"/>
  <c r="N72" i="5"/>
  <c r="M72" i="5"/>
  <c r="L72" i="5"/>
  <c r="K72" i="5"/>
  <c r="J72" i="5"/>
  <c r="I72" i="5"/>
  <c r="H72" i="5"/>
  <c r="G72" i="5"/>
  <c r="F72" i="5"/>
  <c r="E72" i="5"/>
  <c r="D72" i="5"/>
  <c r="C72" i="5"/>
  <c r="B72" i="5"/>
  <c r="AB71" i="5"/>
  <c r="AA71" i="5"/>
  <c r="Z71" i="5"/>
  <c r="Y71" i="5"/>
  <c r="X71" i="5"/>
  <c r="W71" i="5"/>
  <c r="V71" i="5"/>
  <c r="U71" i="5"/>
  <c r="T71" i="5"/>
  <c r="S71" i="5"/>
  <c r="R71" i="5"/>
  <c r="Q71" i="5"/>
  <c r="P71" i="5"/>
  <c r="O71" i="5"/>
  <c r="N71" i="5"/>
  <c r="M71" i="5"/>
  <c r="L71" i="5"/>
  <c r="K71" i="5"/>
  <c r="J71" i="5"/>
  <c r="I71" i="5"/>
  <c r="H71" i="5"/>
  <c r="G71" i="5"/>
  <c r="F71" i="5"/>
  <c r="E71" i="5"/>
  <c r="D71" i="5"/>
  <c r="C71" i="5"/>
  <c r="B71" i="5"/>
  <c r="AB70" i="5"/>
  <c r="AA70" i="5"/>
  <c r="Z70" i="5"/>
  <c r="Y70" i="5"/>
  <c r="X70" i="5"/>
  <c r="W70" i="5"/>
  <c r="V70" i="5"/>
  <c r="U70" i="5"/>
  <c r="T70" i="5"/>
  <c r="S70" i="5"/>
  <c r="R70" i="5"/>
  <c r="Q70" i="5"/>
  <c r="P70" i="5"/>
  <c r="O70" i="5"/>
  <c r="N70" i="5"/>
  <c r="M70" i="5"/>
  <c r="L70" i="5"/>
  <c r="K70" i="5"/>
  <c r="J70" i="5"/>
  <c r="I70" i="5"/>
  <c r="H70" i="5"/>
  <c r="G70" i="5"/>
  <c r="F70" i="5"/>
  <c r="E70" i="5"/>
  <c r="D70" i="5"/>
  <c r="C70" i="5"/>
  <c r="B70" i="5"/>
  <c r="AB69" i="5"/>
  <c r="AA69" i="5"/>
  <c r="Z69" i="5"/>
  <c r="Y69" i="5"/>
  <c r="X69" i="5"/>
  <c r="W69" i="5"/>
  <c r="V69" i="5"/>
  <c r="U69" i="5"/>
  <c r="T69" i="5"/>
  <c r="S69" i="5"/>
  <c r="R69" i="5"/>
  <c r="Q69" i="5"/>
  <c r="P69" i="5"/>
  <c r="O69" i="5"/>
  <c r="N69" i="5"/>
  <c r="M69" i="5"/>
  <c r="L69" i="5"/>
  <c r="K69" i="5"/>
  <c r="J69" i="5"/>
  <c r="I69" i="5"/>
  <c r="H69" i="5"/>
  <c r="G69" i="5"/>
  <c r="F69" i="5"/>
  <c r="E69" i="5"/>
  <c r="D69" i="5"/>
  <c r="C69" i="5"/>
  <c r="B69" i="5"/>
  <c r="AB68" i="5"/>
  <c r="AA68" i="5"/>
  <c r="Z68" i="5"/>
  <c r="Y68" i="5"/>
  <c r="X68" i="5"/>
  <c r="W68" i="5"/>
  <c r="V68" i="5"/>
  <c r="U68" i="5"/>
  <c r="T68" i="5"/>
  <c r="S68" i="5"/>
  <c r="R68" i="5"/>
  <c r="Q68" i="5"/>
  <c r="P68" i="5"/>
  <c r="O68" i="5"/>
  <c r="N68" i="5"/>
  <c r="M68" i="5"/>
  <c r="L68" i="5"/>
  <c r="K68" i="5"/>
  <c r="J68" i="5"/>
  <c r="I68" i="5"/>
  <c r="H68" i="5"/>
  <c r="G68" i="5"/>
  <c r="F68" i="5"/>
  <c r="E68" i="5"/>
  <c r="D68" i="5"/>
  <c r="C68" i="5"/>
  <c r="B68" i="5"/>
  <c r="AB67" i="5"/>
  <c r="AA67" i="5"/>
  <c r="Z67" i="5"/>
  <c r="Y67" i="5"/>
  <c r="X67" i="5"/>
  <c r="W67" i="5"/>
  <c r="V67" i="5"/>
  <c r="U67" i="5"/>
  <c r="T67" i="5"/>
  <c r="S67" i="5"/>
  <c r="R67" i="5"/>
  <c r="Q67" i="5"/>
  <c r="P67" i="5"/>
  <c r="O67" i="5"/>
  <c r="N67" i="5"/>
  <c r="M67" i="5"/>
  <c r="L67" i="5"/>
  <c r="K67" i="5"/>
  <c r="J67" i="5"/>
  <c r="I67" i="5"/>
  <c r="H67" i="5"/>
  <c r="G67" i="5"/>
  <c r="F67" i="5"/>
  <c r="E67" i="5"/>
  <c r="D67" i="5"/>
  <c r="C67" i="5"/>
  <c r="B67" i="5"/>
  <c r="AB66" i="5"/>
  <c r="AA66" i="5"/>
  <c r="Z66" i="5"/>
  <c r="Y66" i="5"/>
  <c r="X66" i="5"/>
  <c r="W66" i="5"/>
  <c r="V66" i="5"/>
  <c r="U66" i="5"/>
  <c r="T66" i="5"/>
  <c r="S66" i="5"/>
  <c r="R66" i="5"/>
  <c r="Q66" i="5"/>
  <c r="P66" i="5"/>
  <c r="O66" i="5"/>
  <c r="N66" i="5"/>
  <c r="M66" i="5"/>
  <c r="L66" i="5"/>
  <c r="K66" i="5"/>
  <c r="J66" i="5"/>
  <c r="I66" i="5"/>
  <c r="H66" i="5"/>
  <c r="G66" i="5"/>
  <c r="F66" i="5"/>
  <c r="E66" i="5"/>
  <c r="D66" i="5"/>
  <c r="C66" i="5"/>
  <c r="B66" i="5"/>
  <c r="AB65" i="5"/>
  <c r="AA65" i="5"/>
  <c r="Z65" i="5"/>
  <c r="Y65" i="5"/>
  <c r="X65" i="5"/>
  <c r="W65" i="5"/>
  <c r="V65" i="5"/>
  <c r="U65" i="5"/>
  <c r="T65" i="5"/>
  <c r="S65" i="5"/>
  <c r="R65" i="5"/>
  <c r="Q65" i="5"/>
  <c r="P65" i="5"/>
  <c r="O65" i="5"/>
  <c r="N65" i="5"/>
  <c r="M65" i="5"/>
  <c r="L65" i="5"/>
  <c r="K65" i="5"/>
  <c r="J65" i="5"/>
  <c r="I65" i="5"/>
  <c r="H65" i="5"/>
  <c r="G65" i="5"/>
  <c r="F65" i="5"/>
  <c r="E65" i="5"/>
  <c r="D65" i="5"/>
  <c r="C65" i="5"/>
  <c r="B65" i="5"/>
  <c r="AB64" i="5"/>
  <c r="AA64" i="5"/>
  <c r="Z64" i="5"/>
  <c r="Y64" i="5"/>
  <c r="X64" i="5"/>
  <c r="W64" i="5"/>
  <c r="V64" i="5"/>
  <c r="U64" i="5"/>
  <c r="T64" i="5"/>
  <c r="S64" i="5"/>
  <c r="R64" i="5"/>
  <c r="Q64" i="5"/>
  <c r="P64" i="5"/>
  <c r="O64" i="5"/>
  <c r="N64" i="5"/>
  <c r="M64" i="5"/>
  <c r="L64" i="5"/>
  <c r="K64" i="5"/>
  <c r="J64" i="5"/>
  <c r="I64" i="5"/>
  <c r="H64" i="5"/>
  <c r="G64" i="5"/>
  <c r="F64" i="5"/>
  <c r="E64" i="5"/>
  <c r="D64" i="5"/>
  <c r="C64" i="5"/>
  <c r="B64" i="5"/>
  <c r="AB63" i="5"/>
  <c r="AA63" i="5"/>
  <c r="Z63" i="5"/>
  <c r="Y63" i="5"/>
  <c r="X63" i="5"/>
  <c r="W63" i="5"/>
  <c r="V63" i="5"/>
  <c r="U63" i="5"/>
  <c r="T63" i="5"/>
  <c r="S63" i="5"/>
  <c r="R63" i="5"/>
  <c r="Q63" i="5"/>
  <c r="P63" i="5"/>
  <c r="O63" i="5"/>
  <c r="N63" i="5"/>
  <c r="M63" i="5"/>
  <c r="L63" i="5"/>
  <c r="K63" i="5"/>
  <c r="J63" i="5"/>
  <c r="I63" i="5"/>
  <c r="H63" i="5"/>
  <c r="G63" i="5"/>
  <c r="F63" i="5"/>
  <c r="E63" i="5"/>
  <c r="D63" i="5"/>
  <c r="C63" i="5"/>
  <c r="B63" i="5"/>
  <c r="AB62" i="5"/>
  <c r="AA62" i="5"/>
  <c r="Z62" i="5"/>
  <c r="Y62" i="5"/>
  <c r="X62" i="5"/>
  <c r="W62" i="5"/>
  <c r="V62" i="5"/>
  <c r="U62" i="5"/>
  <c r="T62" i="5"/>
  <c r="S62" i="5"/>
  <c r="R62" i="5"/>
  <c r="Q62" i="5"/>
  <c r="P62" i="5"/>
  <c r="O62" i="5"/>
  <c r="N62" i="5"/>
  <c r="M62" i="5"/>
  <c r="L62" i="5"/>
  <c r="K62" i="5"/>
  <c r="J62" i="5"/>
  <c r="I62" i="5"/>
  <c r="H62" i="5"/>
  <c r="G62" i="5"/>
  <c r="F62" i="5"/>
  <c r="E62" i="5"/>
  <c r="D62" i="5"/>
  <c r="C62" i="5"/>
  <c r="B62" i="5"/>
  <c r="AB61" i="5"/>
  <c r="AA61" i="5"/>
  <c r="Z61" i="5"/>
  <c r="Y61" i="5"/>
  <c r="X61" i="5"/>
  <c r="W61" i="5"/>
  <c r="V61" i="5"/>
  <c r="U61" i="5"/>
  <c r="T61" i="5"/>
  <c r="S61" i="5"/>
  <c r="R61" i="5"/>
  <c r="Q61" i="5"/>
  <c r="P61" i="5"/>
  <c r="O61" i="5"/>
  <c r="N61" i="5"/>
  <c r="M61" i="5"/>
  <c r="L61" i="5"/>
  <c r="K61" i="5"/>
  <c r="J61" i="5"/>
  <c r="I61" i="5"/>
  <c r="H61" i="5"/>
  <c r="G61" i="5"/>
  <c r="F61" i="5"/>
  <c r="E61" i="5"/>
  <c r="D61" i="5"/>
  <c r="C61" i="5"/>
  <c r="B61" i="5"/>
  <c r="AB60" i="5"/>
  <c r="AA60" i="5"/>
  <c r="Z60" i="5"/>
  <c r="Y60" i="5"/>
  <c r="X60" i="5"/>
  <c r="W60" i="5"/>
  <c r="V60" i="5"/>
  <c r="U60" i="5"/>
  <c r="T60" i="5"/>
  <c r="S60" i="5"/>
  <c r="R60" i="5"/>
  <c r="Q60" i="5"/>
  <c r="P60" i="5"/>
  <c r="O60" i="5"/>
  <c r="N60" i="5"/>
  <c r="M60" i="5"/>
  <c r="L60" i="5"/>
  <c r="K60" i="5"/>
  <c r="J60" i="5"/>
  <c r="I60" i="5"/>
  <c r="H60" i="5"/>
  <c r="G60" i="5"/>
  <c r="F60" i="5"/>
  <c r="E60" i="5"/>
  <c r="D60" i="5"/>
  <c r="C60" i="5"/>
  <c r="B60" i="5"/>
  <c r="AB59" i="5"/>
  <c r="AA59" i="5"/>
  <c r="Z59" i="5"/>
  <c r="Y59" i="5"/>
  <c r="X59" i="5"/>
  <c r="W59" i="5"/>
  <c r="V59" i="5"/>
  <c r="U59" i="5"/>
  <c r="T59" i="5"/>
  <c r="S59" i="5"/>
  <c r="R59" i="5"/>
  <c r="Q59" i="5"/>
  <c r="P59" i="5"/>
  <c r="O59" i="5"/>
  <c r="N59" i="5"/>
  <c r="M59" i="5"/>
  <c r="L59" i="5"/>
  <c r="K59" i="5"/>
  <c r="J59" i="5"/>
  <c r="I59" i="5"/>
  <c r="H59" i="5"/>
  <c r="G59" i="5"/>
  <c r="F59" i="5"/>
  <c r="E59" i="5"/>
  <c r="D59" i="5"/>
  <c r="C59" i="5"/>
  <c r="B59" i="5"/>
  <c r="AB58" i="5"/>
  <c r="AA58" i="5"/>
  <c r="Z58" i="5"/>
  <c r="Y58" i="5"/>
  <c r="X58" i="5"/>
  <c r="W58" i="5"/>
  <c r="V58" i="5"/>
  <c r="U58" i="5"/>
  <c r="T58" i="5"/>
  <c r="S58" i="5"/>
  <c r="R58" i="5"/>
  <c r="Q58" i="5"/>
  <c r="P58" i="5"/>
  <c r="O58" i="5"/>
  <c r="N58" i="5"/>
  <c r="M58" i="5"/>
  <c r="L58" i="5"/>
  <c r="K58" i="5"/>
  <c r="J58" i="5"/>
  <c r="I58" i="5"/>
  <c r="H58" i="5"/>
  <c r="G58" i="5"/>
  <c r="F58" i="5"/>
  <c r="E58" i="5"/>
  <c r="D58" i="5"/>
  <c r="C58" i="5"/>
  <c r="B58" i="5"/>
  <c r="AB57" i="5"/>
  <c r="AA57" i="5"/>
  <c r="Z57" i="5"/>
  <c r="Y57" i="5"/>
  <c r="X57" i="5"/>
  <c r="W57" i="5"/>
  <c r="V57" i="5"/>
  <c r="U57" i="5"/>
  <c r="T57" i="5"/>
  <c r="S57" i="5"/>
  <c r="R57" i="5"/>
  <c r="Q57" i="5"/>
  <c r="P57" i="5"/>
  <c r="O57" i="5"/>
  <c r="N57" i="5"/>
  <c r="M57" i="5"/>
  <c r="L57" i="5"/>
  <c r="K57" i="5"/>
  <c r="J57" i="5"/>
  <c r="I57" i="5"/>
  <c r="H57" i="5"/>
  <c r="G57" i="5"/>
  <c r="F57" i="5"/>
  <c r="E57" i="5"/>
  <c r="D57" i="5"/>
  <c r="C57" i="5"/>
  <c r="B57" i="5"/>
  <c r="AB56" i="5"/>
  <c r="AA56" i="5"/>
  <c r="Z56" i="5"/>
  <c r="Y56" i="5"/>
  <c r="X56" i="5"/>
  <c r="W56" i="5"/>
  <c r="V56" i="5"/>
  <c r="U56" i="5"/>
  <c r="T56" i="5"/>
  <c r="S56" i="5"/>
  <c r="R56" i="5"/>
  <c r="Q56" i="5"/>
  <c r="P56" i="5"/>
  <c r="O56" i="5"/>
  <c r="N56" i="5"/>
  <c r="M56" i="5"/>
  <c r="L56" i="5"/>
  <c r="K56" i="5"/>
  <c r="J56" i="5"/>
  <c r="I56" i="5"/>
  <c r="H56" i="5"/>
  <c r="G56" i="5"/>
  <c r="F56" i="5"/>
  <c r="E56" i="5"/>
  <c r="D56" i="5"/>
  <c r="C56" i="5"/>
  <c r="B56" i="5"/>
  <c r="AB55" i="5"/>
  <c r="AA55" i="5"/>
  <c r="Z55" i="5"/>
  <c r="Y55" i="5"/>
  <c r="X55" i="5"/>
  <c r="W55" i="5"/>
  <c r="V55" i="5"/>
  <c r="U55" i="5"/>
  <c r="T55" i="5"/>
  <c r="S55" i="5"/>
  <c r="R55" i="5"/>
  <c r="Q55" i="5"/>
  <c r="P55" i="5"/>
  <c r="O55" i="5"/>
  <c r="N55" i="5"/>
  <c r="M55" i="5"/>
  <c r="L55" i="5"/>
  <c r="K55" i="5"/>
  <c r="J55" i="5"/>
  <c r="I55" i="5"/>
  <c r="H55" i="5"/>
  <c r="G55" i="5"/>
  <c r="F55" i="5"/>
  <c r="E55" i="5"/>
  <c r="D55" i="5"/>
  <c r="C55" i="5"/>
  <c r="B55" i="5"/>
  <c r="AB54" i="5"/>
  <c r="AA54" i="5"/>
  <c r="Z54" i="5"/>
  <c r="Y54" i="5"/>
  <c r="X54" i="5"/>
  <c r="W54" i="5"/>
  <c r="V54" i="5"/>
  <c r="U54" i="5"/>
  <c r="T54" i="5"/>
  <c r="S54" i="5"/>
  <c r="R54" i="5"/>
  <c r="Q54" i="5"/>
  <c r="P54" i="5"/>
  <c r="O54" i="5"/>
  <c r="N54" i="5"/>
  <c r="M54" i="5"/>
  <c r="L54" i="5"/>
  <c r="K54" i="5"/>
  <c r="J54" i="5"/>
  <c r="I54" i="5"/>
  <c r="H54" i="5"/>
  <c r="G54" i="5"/>
  <c r="F54" i="5"/>
  <c r="E54" i="5"/>
  <c r="D54" i="5"/>
  <c r="C54" i="5"/>
  <c r="B54" i="5"/>
  <c r="AB53" i="5"/>
  <c r="AA53" i="5"/>
  <c r="Z53" i="5"/>
  <c r="Y53" i="5"/>
  <c r="X53" i="5"/>
  <c r="W53" i="5"/>
  <c r="V53" i="5"/>
  <c r="U53" i="5"/>
  <c r="T53" i="5"/>
  <c r="S53" i="5"/>
  <c r="R53" i="5"/>
  <c r="Q53" i="5"/>
  <c r="P53" i="5"/>
  <c r="O53" i="5"/>
  <c r="N53" i="5"/>
  <c r="M53" i="5"/>
  <c r="L53" i="5"/>
  <c r="K53" i="5"/>
  <c r="J53" i="5"/>
  <c r="I53" i="5"/>
  <c r="H53" i="5"/>
  <c r="G53" i="5"/>
  <c r="F53" i="5"/>
  <c r="E53" i="5"/>
  <c r="D53" i="5"/>
  <c r="C53" i="5"/>
  <c r="B53" i="5"/>
  <c r="AB52" i="5"/>
  <c r="AA52" i="5"/>
  <c r="Z52" i="5"/>
  <c r="Y52" i="5"/>
  <c r="X52" i="5"/>
  <c r="W52" i="5"/>
  <c r="V52" i="5"/>
  <c r="U52" i="5"/>
  <c r="T52" i="5"/>
  <c r="S52" i="5"/>
  <c r="R52" i="5"/>
  <c r="Q52" i="5"/>
  <c r="P52" i="5"/>
  <c r="O52" i="5"/>
  <c r="N52" i="5"/>
  <c r="M52" i="5"/>
  <c r="L52" i="5"/>
  <c r="K52" i="5"/>
  <c r="J52" i="5"/>
  <c r="I52" i="5"/>
  <c r="H52" i="5"/>
  <c r="G52" i="5"/>
  <c r="F52" i="5"/>
  <c r="E52" i="5"/>
  <c r="D52" i="5"/>
  <c r="C52" i="5"/>
  <c r="B52" i="5"/>
  <c r="AB51" i="5"/>
  <c r="AA51" i="5"/>
  <c r="Z51" i="5"/>
  <c r="Y51" i="5"/>
  <c r="X51" i="5"/>
  <c r="W51" i="5"/>
  <c r="V51" i="5"/>
  <c r="U51" i="5"/>
  <c r="T51" i="5"/>
  <c r="S51" i="5"/>
  <c r="R51" i="5"/>
  <c r="Q51" i="5"/>
  <c r="P51" i="5"/>
  <c r="O51" i="5"/>
  <c r="N51" i="5"/>
  <c r="M51" i="5"/>
  <c r="L51" i="5"/>
  <c r="K51" i="5"/>
  <c r="J51" i="5"/>
  <c r="I51" i="5"/>
  <c r="H51" i="5"/>
  <c r="G51" i="5"/>
  <c r="F51" i="5"/>
  <c r="E51" i="5"/>
  <c r="D51" i="5"/>
  <c r="C51" i="5"/>
  <c r="B51" i="5"/>
  <c r="AB50" i="5"/>
  <c r="AA50" i="5"/>
  <c r="Z50" i="5"/>
  <c r="Y50" i="5"/>
  <c r="X50" i="5"/>
  <c r="W50" i="5"/>
  <c r="V50" i="5"/>
  <c r="U50" i="5"/>
  <c r="T50" i="5"/>
  <c r="S50" i="5"/>
  <c r="R50" i="5"/>
  <c r="Q50" i="5"/>
  <c r="P50" i="5"/>
  <c r="O50" i="5"/>
  <c r="N50" i="5"/>
  <c r="M50" i="5"/>
  <c r="L50" i="5"/>
  <c r="K50" i="5"/>
  <c r="J50" i="5"/>
  <c r="I50" i="5"/>
  <c r="H50" i="5"/>
  <c r="G50" i="5"/>
  <c r="F50" i="5"/>
  <c r="E50" i="5"/>
  <c r="D50" i="5"/>
  <c r="C50" i="5"/>
  <c r="B50" i="5"/>
  <c r="AB49" i="5"/>
  <c r="AA49" i="5"/>
  <c r="Z49" i="5"/>
  <c r="Y49" i="5"/>
  <c r="X49" i="5"/>
  <c r="W49" i="5"/>
  <c r="V49" i="5"/>
  <c r="U49" i="5"/>
  <c r="T49" i="5"/>
  <c r="S49" i="5"/>
  <c r="R49" i="5"/>
  <c r="Q49" i="5"/>
  <c r="P49" i="5"/>
  <c r="O49" i="5"/>
  <c r="N49" i="5"/>
  <c r="M49" i="5"/>
  <c r="L49" i="5"/>
  <c r="K49" i="5"/>
  <c r="J49" i="5"/>
  <c r="I49" i="5"/>
  <c r="H49" i="5"/>
  <c r="G49" i="5"/>
  <c r="F49" i="5"/>
  <c r="E49" i="5"/>
  <c r="D49" i="5"/>
  <c r="C49" i="5"/>
  <c r="B49" i="5"/>
  <c r="AB48" i="5"/>
  <c r="AA48" i="5"/>
  <c r="Z48" i="5"/>
  <c r="Y48" i="5"/>
  <c r="X48" i="5"/>
  <c r="W48" i="5"/>
  <c r="V48" i="5"/>
  <c r="U48" i="5"/>
  <c r="T48" i="5"/>
  <c r="S48" i="5"/>
  <c r="R48" i="5"/>
  <c r="Q48" i="5"/>
  <c r="P48" i="5"/>
  <c r="O48" i="5"/>
  <c r="N48" i="5"/>
  <c r="M48" i="5"/>
  <c r="L48" i="5"/>
  <c r="K48" i="5"/>
  <c r="J48" i="5"/>
  <c r="I48" i="5"/>
  <c r="H48" i="5"/>
  <c r="G48" i="5"/>
  <c r="F48" i="5"/>
  <c r="E48" i="5"/>
  <c r="D48" i="5"/>
  <c r="C48" i="5"/>
  <c r="B48" i="5"/>
  <c r="AB47" i="5"/>
  <c r="AA47" i="5"/>
  <c r="Z47" i="5"/>
  <c r="Y47" i="5"/>
  <c r="X47" i="5"/>
  <c r="W47" i="5"/>
  <c r="V47" i="5"/>
  <c r="U47" i="5"/>
  <c r="T47" i="5"/>
  <c r="S47" i="5"/>
  <c r="R47" i="5"/>
  <c r="Q47" i="5"/>
  <c r="P47" i="5"/>
  <c r="O47" i="5"/>
  <c r="N47" i="5"/>
  <c r="M47" i="5"/>
  <c r="L47" i="5"/>
  <c r="K47" i="5"/>
  <c r="J47" i="5"/>
  <c r="I47" i="5"/>
  <c r="H47" i="5"/>
  <c r="G47" i="5"/>
  <c r="F47" i="5"/>
  <c r="E47" i="5"/>
  <c r="D47" i="5"/>
  <c r="C47" i="5"/>
  <c r="B47" i="5"/>
  <c r="AB46" i="5"/>
  <c r="AA46" i="5"/>
  <c r="Z46" i="5"/>
  <c r="Y46" i="5"/>
  <c r="X46" i="5"/>
  <c r="W46" i="5"/>
  <c r="V46" i="5"/>
  <c r="U46" i="5"/>
  <c r="T46" i="5"/>
  <c r="S46" i="5"/>
  <c r="R46" i="5"/>
  <c r="Q46" i="5"/>
  <c r="P46" i="5"/>
  <c r="O46" i="5"/>
  <c r="N46" i="5"/>
  <c r="M46" i="5"/>
  <c r="L46" i="5"/>
  <c r="K46" i="5"/>
  <c r="J46" i="5"/>
  <c r="I46" i="5"/>
  <c r="H46" i="5"/>
  <c r="G46" i="5"/>
  <c r="F46" i="5"/>
  <c r="E46" i="5"/>
  <c r="D46" i="5"/>
  <c r="C46" i="5"/>
  <c r="B46" i="5"/>
  <c r="AB45" i="5"/>
  <c r="AA45" i="5"/>
  <c r="Z45" i="5"/>
  <c r="Y45" i="5"/>
  <c r="X45" i="5"/>
  <c r="W45" i="5"/>
  <c r="V45" i="5"/>
  <c r="U45" i="5"/>
  <c r="T45" i="5"/>
  <c r="S45" i="5"/>
  <c r="R45" i="5"/>
  <c r="Q45" i="5"/>
  <c r="P45" i="5"/>
  <c r="O45" i="5"/>
  <c r="N45" i="5"/>
  <c r="M45" i="5"/>
  <c r="L45" i="5"/>
  <c r="K45" i="5"/>
  <c r="J45" i="5"/>
  <c r="I45" i="5"/>
  <c r="H45" i="5"/>
  <c r="G45" i="5"/>
  <c r="F45" i="5"/>
  <c r="E45" i="5"/>
  <c r="D45" i="5"/>
  <c r="C45" i="5"/>
  <c r="B45" i="5"/>
  <c r="AB44" i="5"/>
  <c r="AA44" i="5"/>
  <c r="Z44" i="5"/>
  <c r="Y44" i="5"/>
  <c r="X44" i="5"/>
  <c r="W44" i="5"/>
  <c r="V44" i="5"/>
  <c r="U44" i="5"/>
  <c r="T44" i="5"/>
  <c r="S44" i="5"/>
  <c r="R44" i="5"/>
  <c r="Q44" i="5"/>
  <c r="P44" i="5"/>
  <c r="O44" i="5"/>
  <c r="N44" i="5"/>
  <c r="M44" i="5"/>
  <c r="L44" i="5"/>
  <c r="K44" i="5"/>
  <c r="J44" i="5"/>
  <c r="I44" i="5"/>
  <c r="H44" i="5"/>
  <c r="G44" i="5"/>
  <c r="F44" i="5"/>
  <c r="E44" i="5"/>
  <c r="D44" i="5"/>
  <c r="C44" i="5"/>
  <c r="B44" i="5"/>
  <c r="AB43" i="5"/>
  <c r="AA43" i="5"/>
  <c r="Z43" i="5"/>
  <c r="Y43" i="5"/>
  <c r="X43" i="5"/>
  <c r="W43" i="5"/>
  <c r="V43" i="5"/>
  <c r="U43" i="5"/>
  <c r="T43" i="5"/>
  <c r="S43" i="5"/>
  <c r="R43" i="5"/>
  <c r="Q43" i="5"/>
  <c r="P43" i="5"/>
  <c r="O43" i="5"/>
  <c r="N43" i="5"/>
  <c r="M43" i="5"/>
  <c r="L43" i="5"/>
  <c r="K43" i="5"/>
  <c r="J43" i="5"/>
  <c r="I43" i="5"/>
  <c r="H43" i="5"/>
  <c r="G43" i="5"/>
  <c r="F43" i="5"/>
  <c r="E43" i="5"/>
  <c r="D43" i="5"/>
  <c r="C43" i="5"/>
  <c r="B43" i="5"/>
  <c r="AB42" i="5"/>
  <c r="AA42" i="5"/>
  <c r="Z42" i="5"/>
  <c r="Y42" i="5"/>
  <c r="X42" i="5"/>
  <c r="W42" i="5"/>
  <c r="V42" i="5"/>
  <c r="U42" i="5"/>
  <c r="T42" i="5"/>
  <c r="S42" i="5"/>
  <c r="R42" i="5"/>
  <c r="Q42" i="5"/>
  <c r="P42" i="5"/>
  <c r="O42" i="5"/>
  <c r="N42" i="5"/>
  <c r="M42" i="5"/>
  <c r="L42" i="5"/>
  <c r="K42" i="5"/>
  <c r="J42" i="5"/>
  <c r="I42" i="5"/>
  <c r="H42" i="5"/>
  <c r="G42" i="5"/>
  <c r="F42" i="5"/>
  <c r="E42" i="5"/>
  <c r="D42" i="5"/>
  <c r="C42" i="5"/>
  <c r="B42" i="5"/>
  <c r="AB41" i="5"/>
  <c r="AA41" i="5"/>
  <c r="Z41" i="5"/>
  <c r="Y41" i="5"/>
  <c r="X41" i="5"/>
  <c r="W41" i="5"/>
  <c r="V41" i="5"/>
  <c r="U41" i="5"/>
  <c r="T41" i="5"/>
  <c r="S41" i="5"/>
  <c r="R41" i="5"/>
  <c r="Q41" i="5"/>
  <c r="P41" i="5"/>
  <c r="O41" i="5"/>
  <c r="N41" i="5"/>
  <c r="M41" i="5"/>
  <c r="L41" i="5"/>
  <c r="K41" i="5"/>
  <c r="J41" i="5"/>
  <c r="I41" i="5"/>
  <c r="H41" i="5"/>
  <c r="G41" i="5"/>
  <c r="F41" i="5"/>
  <c r="E41" i="5"/>
  <c r="D41" i="5"/>
  <c r="C41" i="5"/>
  <c r="B41" i="5"/>
  <c r="AB40" i="5"/>
  <c r="AA40" i="5"/>
  <c r="Z40" i="5"/>
  <c r="Y40" i="5"/>
  <c r="X40" i="5"/>
  <c r="W40" i="5"/>
  <c r="V40" i="5"/>
  <c r="U40" i="5"/>
  <c r="T40" i="5"/>
  <c r="S40" i="5"/>
  <c r="R40" i="5"/>
  <c r="Q40" i="5"/>
  <c r="P40" i="5"/>
  <c r="O40" i="5"/>
  <c r="N40" i="5"/>
  <c r="M40" i="5"/>
  <c r="L40" i="5"/>
  <c r="K40" i="5"/>
  <c r="J40" i="5"/>
  <c r="I40" i="5"/>
  <c r="H40" i="5"/>
  <c r="G40" i="5"/>
  <c r="F40" i="5"/>
  <c r="E40" i="5"/>
  <c r="D40" i="5"/>
  <c r="C40" i="5"/>
  <c r="B40" i="5"/>
  <c r="AB39" i="5"/>
  <c r="AA39" i="5"/>
  <c r="Z39" i="5"/>
  <c r="Y39" i="5"/>
  <c r="X39" i="5"/>
  <c r="W39" i="5"/>
  <c r="V39" i="5"/>
  <c r="U39" i="5"/>
  <c r="T39" i="5"/>
  <c r="S39" i="5"/>
  <c r="R39" i="5"/>
  <c r="Q39" i="5"/>
  <c r="P39" i="5"/>
  <c r="O39" i="5"/>
  <c r="N39" i="5"/>
  <c r="M39" i="5"/>
  <c r="L39" i="5"/>
  <c r="K39" i="5"/>
  <c r="J39" i="5"/>
  <c r="I39" i="5"/>
  <c r="H39" i="5"/>
  <c r="G39" i="5"/>
  <c r="F39" i="5"/>
  <c r="E39" i="5"/>
  <c r="D39" i="5"/>
  <c r="C39" i="5"/>
  <c r="B39" i="5"/>
  <c r="AB38" i="5"/>
  <c r="AA38" i="5"/>
  <c r="Z38" i="5"/>
  <c r="Y38" i="5"/>
  <c r="X38" i="5"/>
  <c r="W38" i="5"/>
  <c r="V38" i="5"/>
  <c r="U38" i="5"/>
  <c r="T38" i="5"/>
  <c r="S38" i="5"/>
  <c r="R38" i="5"/>
  <c r="Q38" i="5"/>
  <c r="P38" i="5"/>
  <c r="O38" i="5"/>
  <c r="N38" i="5"/>
  <c r="M38" i="5"/>
  <c r="L38" i="5"/>
  <c r="K38" i="5"/>
  <c r="J38" i="5"/>
  <c r="I38" i="5"/>
  <c r="H38" i="5"/>
  <c r="G38" i="5"/>
  <c r="F38" i="5"/>
  <c r="E38" i="5"/>
  <c r="D38" i="5"/>
  <c r="C38" i="5"/>
  <c r="B38" i="5"/>
  <c r="AB37" i="5"/>
  <c r="AA37" i="5"/>
  <c r="Z37" i="5"/>
  <c r="Y37" i="5"/>
  <c r="X37" i="5"/>
  <c r="W37" i="5"/>
  <c r="V37" i="5"/>
  <c r="U37" i="5"/>
  <c r="T37" i="5"/>
  <c r="S37" i="5"/>
  <c r="R37" i="5"/>
  <c r="Q37" i="5"/>
  <c r="P37" i="5"/>
  <c r="O37" i="5"/>
  <c r="N37" i="5"/>
  <c r="M37" i="5"/>
  <c r="L37" i="5"/>
  <c r="K37" i="5"/>
  <c r="J37" i="5"/>
  <c r="I37" i="5"/>
  <c r="H37" i="5"/>
  <c r="G37" i="5"/>
  <c r="F37" i="5"/>
  <c r="E37" i="5"/>
  <c r="D37" i="5"/>
  <c r="C37" i="5"/>
  <c r="B37" i="5"/>
  <c r="AB36" i="5"/>
  <c r="AA36" i="5"/>
  <c r="Z36" i="5"/>
  <c r="Y36" i="5"/>
  <c r="X36" i="5"/>
  <c r="W36" i="5"/>
  <c r="V36" i="5"/>
  <c r="U36" i="5"/>
  <c r="T36" i="5"/>
  <c r="S36" i="5"/>
  <c r="R36" i="5"/>
  <c r="Q36" i="5"/>
  <c r="P36" i="5"/>
  <c r="O36" i="5"/>
  <c r="N36" i="5"/>
  <c r="M36" i="5"/>
  <c r="L36" i="5"/>
  <c r="K36" i="5"/>
  <c r="J36" i="5"/>
  <c r="I36" i="5"/>
  <c r="H36" i="5"/>
  <c r="G36" i="5"/>
  <c r="F36" i="5"/>
  <c r="E36" i="5"/>
  <c r="D36" i="5"/>
  <c r="C36" i="5"/>
  <c r="B36" i="5"/>
  <c r="AB35" i="5"/>
  <c r="AA35" i="5"/>
  <c r="Z35" i="5"/>
  <c r="Y35" i="5"/>
  <c r="X35" i="5"/>
  <c r="W35" i="5"/>
  <c r="V35" i="5"/>
  <c r="U35" i="5"/>
  <c r="T35" i="5"/>
  <c r="S35" i="5"/>
  <c r="R35" i="5"/>
  <c r="Q35" i="5"/>
  <c r="P35" i="5"/>
  <c r="O35" i="5"/>
  <c r="N35" i="5"/>
  <c r="M35" i="5"/>
  <c r="L35" i="5"/>
  <c r="K35" i="5"/>
  <c r="J35" i="5"/>
  <c r="I35" i="5"/>
  <c r="H35" i="5"/>
  <c r="G35" i="5"/>
  <c r="F35" i="5"/>
  <c r="E35" i="5"/>
  <c r="D35" i="5"/>
  <c r="C35" i="5"/>
  <c r="B35" i="5"/>
  <c r="AB34" i="5"/>
  <c r="AA34" i="5"/>
  <c r="Z34" i="5"/>
  <c r="Y34" i="5"/>
  <c r="X34" i="5"/>
  <c r="W34" i="5"/>
  <c r="V34" i="5"/>
  <c r="U34" i="5"/>
  <c r="T34" i="5"/>
  <c r="S34" i="5"/>
  <c r="R34" i="5"/>
  <c r="Q34" i="5"/>
  <c r="P34" i="5"/>
  <c r="O34" i="5"/>
  <c r="N34" i="5"/>
  <c r="M34" i="5"/>
  <c r="L34" i="5"/>
  <c r="K34" i="5"/>
  <c r="J34" i="5"/>
  <c r="I34" i="5"/>
  <c r="H34" i="5"/>
  <c r="G34" i="5"/>
  <c r="F34" i="5"/>
  <c r="E34" i="5"/>
  <c r="D34" i="5"/>
  <c r="C34" i="5"/>
  <c r="B34" i="5"/>
  <c r="AB33" i="5"/>
  <c r="AA33" i="5"/>
  <c r="Z33" i="5"/>
  <c r="Y33" i="5"/>
  <c r="X33" i="5"/>
  <c r="W33" i="5"/>
  <c r="V33" i="5"/>
  <c r="U33" i="5"/>
  <c r="T33" i="5"/>
  <c r="S33" i="5"/>
  <c r="R33" i="5"/>
  <c r="Q33" i="5"/>
  <c r="P33" i="5"/>
  <c r="O33" i="5"/>
  <c r="N33" i="5"/>
  <c r="M33" i="5"/>
  <c r="L33" i="5"/>
  <c r="K33" i="5"/>
  <c r="J33" i="5"/>
  <c r="I33" i="5"/>
  <c r="H33" i="5"/>
  <c r="G33" i="5"/>
  <c r="F33" i="5"/>
  <c r="E33" i="5"/>
  <c r="D33" i="5"/>
  <c r="C33" i="5"/>
  <c r="B33" i="5"/>
  <c r="AB32" i="5"/>
  <c r="AA32" i="5"/>
  <c r="Z32" i="5"/>
  <c r="Y32" i="5"/>
  <c r="X32" i="5"/>
  <c r="W32" i="5"/>
  <c r="V32" i="5"/>
  <c r="U32" i="5"/>
  <c r="T32" i="5"/>
  <c r="S32" i="5"/>
  <c r="R32" i="5"/>
  <c r="Q32" i="5"/>
  <c r="P32" i="5"/>
  <c r="O32" i="5"/>
  <c r="N32" i="5"/>
  <c r="M32" i="5"/>
  <c r="L32" i="5"/>
  <c r="K32" i="5"/>
  <c r="J32" i="5"/>
  <c r="I32" i="5"/>
  <c r="H32" i="5"/>
  <c r="G32" i="5"/>
  <c r="F32" i="5"/>
  <c r="E32" i="5"/>
  <c r="D32" i="5"/>
  <c r="C32" i="5"/>
  <c r="B32" i="5"/>
  <c r="AB31" i="5"/>
  <c r="AA31" i="5"/>
  <c r="Z31" i="5"/>
  <c r="Y31" i="5"/>
  <c r="X31" i="5"/>
  <c r="W31" i="5"/>
  <c r="V31" i="5"/>
  <c r="U31" i="5"/>
  <c r="T31" i="5"/>
  <c r="S31" i="5"/>
  <c r="R31" i="5"/>
  <c r="Q31" i="5"/>
  <c r="P31" i="5"/>
  <c r="O31" i="5"/>
  <c r="N31" i="5"/>
  <c r="M31" i="5"/>
  <c r="L31" i="5"/>
  <c r="K31" i="5"/>
  <c r="J31" i="5"/>
  <c r="I31" i="5"/>
  <c r="H31" i="5"/>
  <c r="G31" i="5"/>
  <c r="F31" i="5"/>
  <c r="E31" i="5"/>
  <c r="D31" i="5"/>
  <c r="C31" i="5"/>
  <c r="B31" i="5"/>
  <c r="AB30" i="5"/>
  <c r="AA30" i="5"/>
  <c r="Z30" i="5"/>
  <c r="Y30" i="5"/>
  <c r="X30" i="5"/>
  <c r="W30" i="5"/>
  <c r="V30" i="5"/>
  <c r="U30" i="5"/>
  <c r="T30" i="5"/>
  <c r="S30" i="5"/>
  <c r="R30" i="5"/>
  <c r="Q30" i="5"/>
  <c r="P30" i="5"/>
  <c r="O30" i="5"/>
  <c r="N30" i="5"/>
  <c r="M30" i="5"/>
  <c r="L30" i="5"/>
  <c r="K30" i="5"/>
  <c r="J30" i="5"/>
  <c r="I30" i="5"/>
  <c r="H30" i="5"/>
  <c r="G30" i="5"/>
  <c r="F30" i="5"/>
  <c r="E30" i="5"/>
  <c r="D30" i="5"/>
  <c r="C30" i="5"/>
  <c r="B30" i="5"/>
  <c r="AB29" i="5"/>
  <c r="AA29" i="5"/>
  <c r="Z29" i="5"/>
  <c r="Y29" i="5"/>
  <c r="X29" i="5"/>
  <c r="W29" i="5"/>
  <c r="V29" i="5"/>
  <c r="U29" i="5"/>
  <c r="T29" i="5"/>
  <c r="S29" i="5"/>
  <c r="R29" i="5"/>
  <c r="Q29" i="5"/>
  <c r="P29" i="5"/>
  <c r="O29" i="5"/>
  <c r="N29" i="5"/>
  <c r="M29" i="5"/>
  <c r="L29" i="5"/>
  <c r="K29" i="5"/>
  <c r="J29" i="5"/>
  <c r="I29" i="5"/>
  <c r="H29" i="5"/>
  <c r="G29" i="5"/>
  <c r="F29" i="5"/>
  <c r="E29" i="5"/>
  <c r="D29" i="5"/>
  <c r="C29" i="5"/>
  <c r="B29" i="5"/>
  <c r="AB28" i="5"/>
  <c r="AA28" i="5"/>
  <c r="Z28" i="5"/>
  <c r="Y28" i="5"/>
  <c r="X28" i="5"/>
  <c r="W28" i="5"/>
  <c r="V28" i="5"/>
  <c r="U28" i="5"/>
  <c r="T28" i="5"/>
  <c r="S28" i="5"/>
  <c r="R28" i="5"/>
  <c r="Q28" i="5"/>
  <c r="P28" i="5"/>
  <c r="O28" i="5"/>
  <c r="N28" i="5"/>
  <c r="M28" i="5"/>
  <c r="L28" i="5"/>
  <c r="K28" i="5"/>
  <c r="J28" i="5"/>
  <c r="I28" i="5"/>
  <c r="H28" i="5"/>
  <c r="G28" i="5"/>
  <c r="F28" i="5"/>
  <c r="E28" i="5"/>
  <c r="D28" i="5"/>
  <c r="C28" i="5"/>
  <c r="B28" i="5"/>
  <c r="AB27" i="5"/>
  <c r="AA27" i="5"/>
  <c r="Z27" i="5"/>
  <c r="Y27" i="5"/>
  <c r="X27" i="5"/>
  <c r="W27" i="5"/>
  <c r="V27" i="5"/>
  <c r="U27" i="5"/>
  <c r="T27" i="5"/>
  <c r="S27" i="5"/>
  <c r="R27" i="5"/>
  <c r="Q27" i="5"/>
  <c r="P27" i="5"/>
  <c r="O27" i="5"/>
  <c r="N27" i="5"/>
  <c r="M27" i="5"/>
  <c r="L27" i="5"/>
  <c r="K27" i="5"/>
  <c r="J27" i="5"/>
  <c r="I27" i="5"/>
  <c r="H27" i="5"/>
  <c r="G27" i="5"/>
  <c r="F27" i="5"/>
  <c r="E27" i="5"/>
  <c r="D27" i="5"/>
  <c r="C27" i="5"/>
  <c r="B27" i="5"/>
  <c r="AB26" i="5"/>
  <c r="AA26" i="5"/>
  <c r="Z26" i="5"/>
  <c r="Y26" i="5"/>
  <c r="X26" i="5"/>
  <c r="W26" i="5"/>
  <c r="V26" i="5"/>
  <c r="U26" i="5"/>
  <c r="T26" i="5"/>
  <c r="S26" i="5"/>
  <c r="R26" i="5"/>
  <c r="Q26" i="5"/>
  <c r="P26" i="5"/>
  <c r="O26" i="5"/>
  <c r="N26" i="5"/>
  <c r="M26" i="5"/>
  <c r="L26" i="5"/>
  <c r="K26" i="5"/>
  <c r="J26" i="5"/>
  <c r="I26" i="5"/>
  <c r="H26" i="5"/>
  <c r="G26" i="5"/>
  <c r="F26" i="5"/>
  <c r="E26" i="5"/>
  <c r="D26" i="5"/>
  <c r="C26" i="5"/>
  <c r="B26" i="5"/>
  <c r="AB25" i="5"/>
  <c r="AA25" i="5"/>
  <c r="Z25" i="5"/>
  <c r="Y25" i="5"/>
  <c r="X25" i="5"/>
  <c r="W25" i="5"/>
  <c r="V25" i="5"/>
  <c r="U25" i="5"/>
  <c r="T25" i="5"/>
  <c r="S25" i="5"/>
  <c r="R25" i="5"/>
  <c r="Q25" i="5"/>
  <c r="P25" i="5"/>
  <c r="O25" i="5"/>
  <c r="N25" i="5"/>
  <c r="M25" i="5"/>
  <c r="L25" i="5"/>
  <c r="K25" i="5"/>
  <c r="J25" i="5"/>
  <c r="I25" i="5"/>
  <c r="H25" i="5"/>
  <c r="G25" i="5"/>
  <c r="F25" i="5"/>
  <c r="E25" i="5"/>
  <c r="D25" i="5"/>
  <c r="C25" i="5"/>
  <c r="B25" i="5"/>
  <c r="AB24" i="5"/>
  <c r="AA24" i="5"/>
  <c r="Z24" i="5"/>
  <c r="Y24" i="5"/>
  <c r="X24" i="5"/>
  <c r="W24" i="5"/>
  <c r="V24" i="5"/>
  <c r="U24" i="5"/>
  <c r="T24" i="5"/>
  <c r="S24" i="5"/>
  <c r="R24" i="5"/>
  <c r="Q24" i="5"/>
  <c r="P24" i="5"/>
  <c r="O24" i="5"/>
  <c r="N24" i="5"/>
  <c r="M24" i="5"/>
  <c r="L24" i="5"/>
  <c r="K24" i="5"/>
  <c r="J24" i="5"/>
  <c r="I24" i="5"/>
  <c r="H24" i="5"/>
  <c r="G24" i="5"/>
  <c r="F24" i="5"/>
  <c r="E24" i="5"/>
  <c r="D24" i="5"/>
  <c r="C24" i="5"/>
  <c r="B24" i="5"/>
  <c r="AB23" i="5"/>
  <c r="AA23" i="5"/>
  <c r="Z23" i="5"/>
  <c r="Y23" i="5"/>
  <c r="X23" i="5"/>
  <c r="W23" i="5"/>
  <c r="V23" i="5"/>
  <c r="U23" i="5"/>
  <c r="T23" i="5"/>
  <c r="S23" i="5"/>
  <c r="R23" i="5"/>
  <c r="Q23" i="5"/>
  <c r="P23" i="5"/>
  <c r="O23" i="5"/>
  <c r="N23" i="5"/>
  <c r="M23" i="5"/>
  <c r="L23" i="5"/>
  <c r="K23" i="5"/>
  <c r="J23" i="5"/>
  <c r="I23" i="5"/>
  <c r="H23" i="5"/>
  <c r="G23" i="5"/>
  <c r="F23" i="5"/>
  <c r="E23" i="5"/>
  <c r="D23" i="5"/>
  <c r="C23" i="5"/>
  <c r="B23" i="5"/>
  <c r="AB22" i="5"/>
  <c r="AA22" i="5"/>
  <c r="Z22" i="5"/>
  <c r="Y22" i="5"/>
  <c r="X22" i="5"/>
  <c r="W22" i="5"/>
  <c r="V22" i="5"/>
  <c r="U22" i="5"/>
  <c r="T22" i="5"/>
  <c r="S22" i="5"/>
  <c r="R22" i="5"/>
  <c r="Q22" i="5"/>
  <c r="P22" i="5"/>
  <c r="O22" i="5"/>
  <c r="N22" i="5"/>
  <c r="M22" i="5"/>
  <c r="L22" i="5"/>
  <c r="K22" i="5"/>
  <c r="J22" i="5"/>
  <c r="I22" i="5"/>
  <c r="H22" i="5"/>
  <c r="G22" i="5"/>
  <c r="F22" i="5"/>
  <c r="E22" i="5"/>
  <c r="D22" i="5"/>
  <c r="C22" i="5"/>
  <c r="B22" i="5"/>
  <c r="AB21" i="5"/>
  <c r="AA21" i="5"/>
  <c r="Z21" i="5"/>
  <c r="Y21" i="5"/>
  <c r="X21" i="5"/>
  <c r="W21" i="5"/>
  <c r="V21" i="5"/>
  <c r="U21" i="5"/>
  <c r="T21" i="5"/>
  <c r="S21" i="5"/>
  <c r="R21" i="5"/>
  <c r="Q21" i="5"/>
  <c r="P21" i="5"/>
  <c r="O21" i="5"/>
  <c r="N21" i="5"/>
  <c r="M21" i="5"/>
  <c r="L21" i="5"/>
  <c r="K21" i="5"/>
  <c r="J21" i="5"/>
  <c r="I21" i="5"/>
  <c r="H21" i="5"/>
  <c r="G21" i="5"/>
  <c r="F21" i="5"/>
  <c r="E21" i="5"/>
  <c r="D21" i="5"/>
  <c r="C21" i="5"/>
  <c r="B21" i="5"/>
  <c r="AB20" i="5"/>
  <c r="AA20" i="5"/>
  <c r="Z20" i="5"/>
  <c r="Y20" i="5"/>
  <c r="X20" i="5"/>
  <c r="W20" i="5"/>
  <c r="V20" i="5"/>
  <c r="U20" i="5"/>
  <c r="T20" i="5"/>
  <c r="S20" i="5"/>
  <c r="R20" i="5"/>
  <c r="Q20" i="5"/>
  <c r="P20" i="5"/>
  <c r="O20" i="5"/>
  <c r="N20" i="5"/>
  <c r="M20" i="5"/>
  <c r="L20" i="5"/>
  <c r="K20" i="5"/>
  <c r="J20" i="5"/>
  <c r="I20" i="5"/>
  <c r="H20" i="5"/>
  <c r="G20" i="5"/>
  <c r="F20" i="5"/>
  <c r="E20" i="5"/>
  <c r="D20" i="5"/>
  <c r="C20" i="5"/>
  <c r="B20" i="5"/>
  <c r="AB19" i="5"/>
  <c r="AA19" i="5"/>
  <c r="Z19" i="5"/>
  <c r="Y19" i="5"/>
  <c r="X19" i="5"/>
  <c r="W19" i="5"/>
  <c r="V19" i="5"/>
  <c r="U19" i="5"/>
  <c r="T19" i="5"/>
  <c r="S19" i="5"/>
  <c r="R19" i="5"/>
  <c r="Q19" i="5"/>
  <c r="P19" i="5"/>
  <c r="O19" i="5"/>
  <c r="N19" i="5"/>
  <c r="M19" i="5"/>
  <c r="L19" i="5"/>
  <c r="K19" i="5"/>
  <c r="J19" i="5"/>
  <c r="I19" i="5"/>
  <c r="H19" i="5"/>
  <c r="G19" i="5"/>
  <c r="F19" i="5"/>
  <c r="E19" i="5"/>
  <c r="D19" i="5"/>
  <c r="C19" i="5"/>
  <c r="B19" i="5"/>
  <c r="AB18" i="5"/>
  <c r="AA18" i="5"/>
  <c r="Z18" i="5"/>
  <c r="Y18" i="5"/>
  <c r="X18" i="5"/>
  <c r="W18" i="5"/>
  <c r="V18" i="5"/>
  <c r="U18" i="5"/>
  <c r="T18" i="5"/>
  <c r="S18" i="5"/>
  <c r="R18" i="5"/>
  <c r="Q18" i="5"/>
  <c r="P18" i="5"/>
  <c r="O18" i="5"/>
  <c r="N18" i="5"/>
  <c r="M18" i="5"/>
  <c r="L18" i="5"/>
  <c r="K18" i="5"/>
  <c r="J18" i="5"/>
  <c r="I18" i="5"/>
  <c r="H18" i="5"/>
  <c r="G18" i="5"/>
  <c r="F18" i="5"/>
  <c r="E18" i="5"/>
  <c r="D18" i="5"/>
  <c r="C18" i="5"/>
  <c r="B18" i="5"/>
  <c r="AB17" i="5"/>
  <c r="AA17" i="5"/>
  <c r="Z17" i="5"/>
  <c r="Y17" i="5"/>
  <c r="X17" i="5"/>
  <c r="W17" i="5"/>
  <c r="V17" i="5"/>
  <c r="U17" i="5"/>
  <c r="T17" i="5"/>
  <c r="S17" i="5"/>
  <c r="R17" i="5"/>
  <c r="Q17" i="5"/>
  <c r="P17" i="5"/>
  <c r="O17" i="5"/>
  <c r="N17" i="5"/>
  <c r="M17" i="5"/>
  <c r="L17" i="5"/>
  <c r="K17" i="5"/>
  <c r="J17" i="5"/>
  <c r="I17" i="5"/>
  <c r="H17" i="5"/>
  <c r="G17" i="5"/>
  <c r="F17" i="5"/>
  <c r="E17" i="5"/>
  <c r="D17" i="5"/>
  <c r="C17" i="5"/>
  <c r="B17" i="5"/>
  <c r="AB16" i="5"/>
  <c r="AA16" i="5"/>
  <c r="Z16" i="5"/>
  <c r="Y16" i="5"/>
  <c r="X16" i="5"/>
  <c r="W16" i="5"/>
  <c r="V16" i="5"/>
  <c r="U16" i="5"/>
  <c r="T16" i="5"/>
  <c r="S16" i="5"/>
  <c r="R16" i="5"/>
  <c r="Q16" i="5"/>
  <c r="P16" i="5"/>
  <c r="O16" i="5"/>
  <c r="N16" i="5"/>
  <c r="M16" i="5"/>
  <c r="L16" i="5"/>
  <c r="K16" i="5"/>
  <c r="J16" i="5"/>
  <c r="I16" i="5"/>
  <c r="H16" i="5"/>
  <c r="G16" i="5"/>
  <c r="F16" i="5"/>
  <c r="E16" i="5"/>
  <c r="D16" i="5"/>
  <c r="C16" i="5"/>
  <c r="B16" i="5"/>
  <c r="AB15" i="5"/>
  <c r="AA15" i="5"/>
  <c r="Z15" i="5"/>
  <c r="Y15" i="5"/>
  <c r="X15" i="5"/>
  <c r="W15" i="5"/>
  <c r="V15" i="5"/>
  <c r="U15" i="5"/>
  <c r="T15" i="5"/>
  <c r="S15" i="5"/>
  <c r="R15" i="5"/>
  <c r="Q15" i="5"/>
  <c r="P15" i="5"/>
  <c r="O15" i="5"/>
  <c r="N15" i="5"/>
  <c r="M15" i="5"/>
  <c r="L15" i="5"/>
  <c r="K15" i="5"/>
  <c r="J15" i="5"/>
  <c r="I15" i="5"/>
  <c r="H15" i="5"/>
  <c r="G15" i="5"/>
  <c r="F15" i="5"/>
  <c r="E15" i="5"/>
  <c r="D15" i="5"/>
  <c r="C15" i="5"/>
  <c r="B15" i="5"/>
  <c r="AB14" i="5"/>
  <c r="AA14" i="5"/>
  <c r="Z14" i="5"/>
  <c r="Y14" i="5"/>
  <c r="X14" i="5"/>
  <c r="W14" i="5"/>
  <c r="V14" i="5"/>
  <c r="U14" i="5"/>
  <c r="T14" i="5"/>
  <c r="S14" i="5"/>
  <c r="R14" i="5"/>
  <c r="Q14" i="5"/>
  <c r="P14" i="5"/>
  <c r="O14" i="5"/>
  <c r="N14" i="5"/>
  <c r="M14" i="5"/>
  <c r="L14" i="5"/>
  <c r="K14" i="5"/>
  <c r="J14" i="5"/>
  <c r="I14" i="5"/>
  <c r="H14" i="5"/>
  <c r="G14" i="5"/>
  <c r="F14" i="5"/>
  <c r="E14" i="5"/>
  <c r="D14" i="5"/>
  <c r="C14" i="5"/>
  <c r="B14" i="5"/>
  <c r="AB13" i="5"/>
  <c r="AA13" i="5"/>
  <c r="Z13" i="5"/>
  <c r="Y13" i="5"/>
  <c r="X13" i="5"/>
  <c r="W13" i="5"/>
  <c r="V13" i="5"/>
  <c r="U13" i="5"/>
  <c r="T13" i="5"/>
  <c r="S13" i="5"/>
  <c r="R13" i="5"/>
  <c r="Q13" i="5"/>
  <c r="P13" i="5"/>
  <c r="O13" i="5"/>
  <c r="N13" i="5"/>
  <c r="M13" i="5"/>
  <c r="L13" i="5"/>
  <c r="K13" i="5"/>
  <c r="J13" i="5"/>
  <c r="I13" i="5"/>
  <c r="H13" i="5"/>
  <c r="G13" i="5"/>
  <c r="F13" i="5"/>
  <c r="E13" i="5"/>
  <c r="D13" i="5"/>
  <c r="C13" i="5"/>
  <c r="B13" i="5"/>
  <c r="AB12" i="5"/>
  <c r="AA12" i="5"/>
  <c r="Z12" i="5"/>
  <c r="Y12" i="5"/>
  <c r="X12" i="5"/>
  <c r="W12" i="5"/>
  <c r="V12" i="5"/>
  <c r="U12" i="5"/>
  <c r="T12" i="5"/>
  <c r="S12" i="5"/>
  <c r="R12" i="5"/>
  <c r="Q12" i="5"/>
  <c r="P12" i="5"/>
  <c r="O12" i="5"/>
  <c r="N12" i="5"/>
  <c r="M12" i="5"/>
  <c r="L12" i="5"/>
  <c r="K12" i="5"/>
  <c r="J12" i="5"/>
  <c r="I12" i="5"/>
  <c r="H12" i="5"/>
  <c r="G12" i="5"/>
  <c r="F12" i="5"/>
  <c r="E12" i="5"/>
  <c r="D12" i="5"/>
  <c r="C12" i="5"/>
  <c r="B12" i="5"/>
  <c r="AB11" i="5"/>
  <c r="AA11" i="5"/>
  <c r="Z11" i="5"/>
  <c r="Y11" i="5"/>
  <c r="X11" i="5"/>
  <c r="W11" i="5"/>
  <c r="V11" i="5"/>
  <c r="U11" i="5"/>
  <c r="T11" i="5"/>
  <c r="S11" i="5"/>
  <c r="R11" i="5"/>
  <c r="Q11" i="5"/>
  <c r="P11" i="5"/>
  <c r="O11" i="5"/>
  <c r="N11" i="5"/>
  <c r="M11" i="5"/>
  <c r="L11" i="5"/>
  <c r="K11" i="5"/>
  <c r="J11" i="5"/>
  <c r="I11" i="5"/>
  <c r="H11" i="5"/>
  <c r="G11" i="5"/>
  <c r="F11" i="5"/>
  <c r="E11" i="5"/>
  <c r="D11" i="5"/>
  <c r="C11" i="5"/>
  <c r="B11" i="5"/>
  <c r="AB10" i="5"/>
  <c r="AA10" i="5"/>
  <c r="Z10" i="5"/>
  <c r="Y10" i="5"/>
  <c r="X10" i="5"/>
  <c r="W10" i="5"/>
  <c r="V10" i="5"/>
  <c r="U10" i="5"/>
  <c r="T10" i="5"/>
  <c r="S10" i="5"/>
  <c r="R10" i="5"/>
  <c r="Q10" i="5"/>
  <c r="P10" i="5"/>
  <c r="O10" i="5"/>
  <c r="N10" i="5"/>
  <c r="M10" i="5"/>
  <c r="L10" i="5"/>
  <c r="K10" i="5"/>
  <c r="J10" i="5"/>
  <c r="I10" i="5"/>
  <c r="H10" i="5"/>
  <c r="G10" i="5"/>
  <c r="F10" i="5"/>
  <c r="E10" i="5"/>
  <c r="D10" i="5"/>
  <c r="C10" i="5"/>
  <c r="B10" i="5"/>
  <c r="AB9" i="5"/>
  <c r="AA9" i="5"/>
  <c r="Z9" i="5"/>
  <c r="Y9" i="5"/>
  <c r="X9" i="5"/>
  <c r="W9" i="5"/>
  <c r="V9" i="5"/>
  <c r="U9" i="5"/>
  <c r="T9" i="5"/>
  <c r="S9" i="5"/>
  <c r="R9" i="5"/>
  <c r="Q9" i="5"/>
  <c r="P9" i="5"/>
  <c r="O9" i="5"/>
  <c r="N9" i="5"/>
  <c r="M9" i="5"/>
  <c r="L9" i="5"/>
  <c r="K9" i="5"/>
  <c r="J9" i="5"/>
  <c r="I9" i="5"/>
  <c r="H9" i="5"/>
  <c r="G9" i="5"/>
  <c r="F9" i="5"/>
  <c r="E9" i="5"/>
  <c r="D9" i="5"/>
  <c r="C9" i="5"/>
  <c r="B9" i="5"/>
  <c r="AB8" i="5"/>
  <c r="AA8" i="5"/>
  <c r="Z8" i="5"/>
  <c r="Y8" i="5"/>
  <c r="X8" i="5"/>
  <c r="W8" i="5"/>
  <c r="V8" i="5"/>
  <c r="U8" i="5"/>
  <c r="T8" i="5"/>
  <c r="S8" i="5"/>
  <c r="R8" i="5"/>
  <c r="Q8" i="5"/>
  <c r="P8" i="5"/>
  <c r="O8" i="5"/>
  <c r="N8" i="5"/>
  <c r="M8" i="5"/>
  <c r="L8" i="5"/>
  <c r="K8" i="5"/>
  <c r="J8" i="5"/>
  <c r="I8" i="5"/>
  <c r="H8" i="5"/>
  <c r="G8" i="5"/>
  <c r="F8" i="5"/>
  <c r="E8" i="5"/>
  <c r="D8" i="5"/>
  <c r="C8" i="5"/>
  <c r="B8" i="5"/>
  <c r="AB7" i="5"/>
  <c r="AA7" i="5"/>
  <c r="Z7" i="5"/>
  <c r="Y7" i="5"/>
  <c r="X7" i="5"/>
  <c r="W7" i="5"/>
  <c r="V7" i="5"/>
  <c r="U7" i="5"/>
  <c r="T7" i="5"/>
  <c r="S7" i="5"/>
  <c r="R7" i="5"/>
  <c r="Q7" i="5"/>
  <c r="P7" i="5"/>
  <c r="O7" i="5"/>
  <c r="N7" i="5"/>
  <c r="M7" i="5"/>
  <c r="L7" i="5"/>
  <c r="K7" i="5"/>
  <c r="J7" i="5"/>
  <c r="I7" i="5"/>
  <c r="H7" i="5"/>
  <c r="G7" i="5"/>
  <c r="F7" i="5"/>
  <c r="E7" i="5"/>
  <c r="D7" i="5"/>
  <c r="C7" i="5"/>
  <c r="B7" i="5"/>
  <c r="AB6" i="5"/>
  <c r="AA6" i="5"/>
  <c r="Z6" i="5"/>
  <c r="Y6" i="5"/>
  <c r="X6" i="5"/>
  <c r="W6" i="5"/>
  <c r="V6" i="5"/>
  <c r="U6" i="5"/>
  <c r="T6" i="5"/>
  <c r="S6" i="5"/>
  <c r="R6" i="5"/>
  <c r="Q6" i="5"/>
  <c r="P6" i="5"/>
  <c r="O6" i="5"/>
  <c r="N6" i="5"/>
  <c r="M6" i="5"/>
  <c r="L6" i="5"/>
  <c r="K6" i="5"/>
  <c r="J6" i="5"/>
  <c r="I6" i="5"/>
  <c r="H6" i="5"/>
  <c r="G6" i="5"/>
  <c r="F6" i="5"/>
  <c r="E6" i="5"/>
  <c r="D6" i="5"/>
  <c r="C6" i="5"/>
  <c r="B6" i="5"/>
  <c r="AB5" i="5"/>
  <c r="AA5" i="5"/>
  <c r="Z5" i="5"/>
  <c r="Y5" i="5"/>
  <c r="X5" i="5"/>
  <c r="W5" i="5"/>
  <c r="V5" i="5"/>
  <c r="U5" i="5"/>
  <c r="T5" i="5"/>
  <c r="S5" i="5"/>
  <c r="R5" i="5"/>
  <c r="Q5" i="5"/>
  <c r="P5" i="5"/>
  <c r="O5" i="5"/>
  <c r="N5" i="5"/>
  <c r="M5" i="5"/>
  <c r="L5" i="5"/>
  <c r="K5" i="5"/>
  <c r="J5" i="5"/>
  <c r="I5" i="5"/>
  <c r="H5" i="5"/>
  <c r="G5" i="5"/>
  <c r="F5" i="5"/>
  <c r="E5" i="5"/>
  <c r="D5" i="5"/>
  <c r="C5" i="5"/>
  <c r="B5" i="5"/>
  <c r="AB4" i="5"/>
  <c r="AA4" i="5"/>
  <c r="Z4" i="5"/>
  <c r="Y4" i="5"/>
  <c r="X4" i="5"/>
  <c r="W4" i="5"/>
  <c r="V4" i="5"/>
  <c r="U4" i="5"/>
  <c r="T4" i="5"/>
  <c r="S4" i="5"/>
  <c r="R4" i="5"/>
  <c r="Q4" i="5"/>
  <c r="P4" i="5"/>
  <c r="O4" i="5"/>
  <c r="N4" i="5"/>
  <c r="M4" i="5"/>
  <c r="L4" i="5"/>
  <c r="K4" i="5"/>
  <c r="J4" i="5"/>
  <c r="I4" i="5"/>
  <c r="H4" i="5"/>
  <c r="G4" i="5"/>
  <c r="F4" i="5"/>
  <c r="E4" i="5"/>
  <c r="D4" i="5"/>
  <c r="C4" i="5"/>
  <c r="B4" i="5"/>
  <c r="AB3" i="5"/>
  <c r="AA3" i="5"/>
  <c r="Z3" i="5"/>
  <c r="Y3" i="5"/>
  <c r="X3" i="5"/>
  <c r="W3" i="5"/>
  <c r="V3" i="5"/>
  <c r="U3" i="5"/>
  <c r="T3" i="5"/>
  <c r="S3" i="5"/>
  <c r="R3" i="5"/>
  <c r="Q3" i="5"/>
  <c r="P3" i="5"/>
  <c r="O3" i="5"/>
  <c r="N3" i="5"/>
  <c r="M3" i="5"/>
  <c r="L3" i="5"/>
  <c r="K3" i="5"/>
  <c r="J3" i="5"/>
  <c r="I3" i="5"/>
  <c r="H3" i="5"/>
  <c r="G3" i="5"/>
  <c r="F3" i="5"/>
  <c r="E3" i="5"/>
  <c r="D3" i="5"/>
  <c r="C3" i="5"/>
  <c r="B3" i="5"/>
  <c r="AB2" i="5"/>
  <c r="AA2" i="5"/>
  <c r="Z2" i="5"/>
  <c r="Y2" i="5"/>
  <c r="X2" i="5"/>
  <c r="W2" i="5"/>
  <c r="V2" i="5"/>
  <c r="U2" i="5"/>
  <c r="T2" i="5"/>
  <c r="S2" i="5"/>
  <c r="R2" i="5"/>
  <c r="Q2" i="5"/>
  <c r="P2" i="5"/>
  <c r="O2" i="5"/>
  <c r="N2" i="5"/>
  <c r="M2" i="5"/>
  <c r="L2" i="5"/>
  <c r="K2" i="5"/>
  <c r="J2" i="5"/>
  <c r="I2" i="5"/>
  <c r="H2" i="5"/>
  <c r="G2" i="5"/>
  <c r="F2" i="5"/>
  <c r="E2" i="5"/>
  <c r="D2" i="5"/>
  <c r="C2" i="5"/>
  <c r="B2" i="5"/>
  <c r="AC727" i="3"/>
  <c r="AB727" i="3"/>
  <c r="AA727" i="3"/>
  <c r="AC726" i="3"/>
  <c r="AB726" i="3"/>
  <c r="AA726" i="3"/>
  <c r="AC725" i="3"/>
  <c r="AB725" i="3"/>
  <c r="AA725" i="3"/>
  <c r="AC724" i="3"/>
  <c r="AB724" i="3"/>
  <c r="AA724" i="3"/>
  <c r="AC723" i="3"/>
  <c r="AB723" i="3"/>
  <c r="AA723" i="3"/>
  <c r="AC722" i="3"/>
  <c r="AB722" i="3"/>
  <c r="AA722" i="3"/>
  <c r="AC721" i="3"/>
  <c r="AB721" i="3"/>
  <c r="AA721" i="3"/>
  <c r="AC720" i="3"/>
  <c r="AB720" i="3"/>
  <c r="AA720" i="3"/>
  <c r="AC719" i="3"/>
  <c r="AB719" i="3"/>
  <c r="AA719" i="3"/>
  <c r="AC718" i="3"/>
  <c r="AB718" i="3"/>
  <c r="AA718" i="3"/>
  <c r="AC717" i="3"/>
  <c r="AB717" i="3"/>
  <c r="AA717" i="3"/>
  <c r="AC716" i="3"/>
  <c r="AB716" i="3"/>
  <c r="AA716" i="3"/>
  <c r="AC715" i="3"/>
  <c r="AB715" i="3"/>
  <c r="AA715" i="3"/>
  <c r="AC714" i="3"/>
  <c r="AB714" i="3"/>
  <c r="AA714" i="3"/>
  <c r="AC713" i="3"/>
  <c r="AB713" i="3"/>
  <c r="AA713" i="3"/>
  <c r="AC712" i="3"/>
  <c r="AB712" i="3"/>
  <c r="AA712" i="3"/>
  <c r="AC711" i="3"/>
  <c r="AB711" i="3"/>
  <c r="AA711" i="3"/>
  <c r="AC710" i="3"/>
  <c r="AB710" i="3"/>
  <c r="AA710" i="3"/>
  <c r="AC709" i="3"/>
  <c r="AB709" i="3"/>
  <c r="AA709" i="3"/>
  <c r="AC708" i="3"/>
  <c r="AB708" i="3"/>
  <c r="AA708" i="3"/>
  <c r="AC707" i="3"/>
  <c r="AB707" i="3"/>
  <c r="AA707" i="3"/>
  <c r="AC706" i="3"/>
  <c r="AB706" i="3"/>
  <c r="AA706" i="3"/>
  <c r="AC705" i="3"/>
  <c r="AB705" i="3"/>
  <c r="AA705" i="3"/>
  <c r="AC704" i="3"/>
  <c r="AB704" i="3"/>
  <c r="AA704" i="3"/>
  <c r="AC703" i="3"/>
  <c r="AB703" i="3"/>
  <c r="AA703" i="3"/>
  <c r="AC702" i="3"/>
  <c r="AB702" i="3"/>
  <c r="AA702" i="3"/>
  <c r="AC701" i="3"/>
  <c r="AB701" i="3"/>
  <c r="AA701" i="3"/>
  <c r="AC700" i="3"/>
  <c r="AB700" i="3"/>
  <c r="AA700" i="3"/>
  <c r="AC699" i="3"/>
  <c r="AB699" i="3"/>
  <c r="AA699" i="3"/>
  <c r="AC698" i="3"/>
  <c r="AB698" i="3"/>
  <c r="AA698" i="3"/>
  <c r="AC697" i="3"/>
  <c r="AB697" i="3"/>
  <c r="AA697" i="3"/>
  <c r="AC696" i="3"/>
  <c r="AB696" i="3"/>
  <c r="AA696" i="3"/>
  <c r="AC695" i="3"/>
  <c r="AB695" i="3"/>
  <c r="AA695" i="3"/>
  <c r="AC694" i="3"/>
  <c r="AB694" i="3"/>
  <c r="AA694" i="3"/>
  <c r="AC693" i="3"/>
  <c r="AB693" i="3"/>
  <c r="AA693" i="3"/>
  <c r="AC692" i="3"/>
  <c r="AB692" i="3"/>
  <c r="AA692" i="3"/>
  <c r="AC691" i="3"/>
  <c r="AB691" i="3"/>
  <c r="AA691" i="3"/>
  <c r="AC690" i="3"/>
  <c r="AB690" i="3"/>
  <c r="AA690" i="3"/>
  <c r="AC689" i="3"/>
  <c r="AB689" i="3"/>
  <c r="AA689" i="3"/>
  <c r="AC688" i="3"/>
  <c r="AB688" i="3"/>
  <c r="AA688" i="3"/>
  <c r="AC687" i="3"/>
  <c r="AB687" i="3"/>
  <c r="AA687" i="3"/>
  <c r="AC686" i="3"/>
  <c r="AB686" i="3"/>
  <c r="AA686" i="3"/>
  <c r="AC685" i="3"/>
  <c r="AB685" i="3"/>
  <c r="AA685" i="3"/>
  <c r="AC684" i="3"/>
  <c r="AB684" i="3"/>
  <c r="AA684" i="3"/>
  <c r="AC683" i="3"/>
  <c r="AB683" i="3"/>
  <c r="AA683" i="3"/>
  <c r="AC682" i="3"/>
  <c r="AB682" i="3"/>
  <c r="AA682" i="3"/>
  <c r="AC681" i="3"/>
  <c r="AB681" i="3"/>
  <c r="AA681" i="3"/>
  <c r="AC680" i="3"/>
  <c r="AB680" i="3"/>
  <c r="AA680" i="3"/>
  <c r="AC679" i="3"/>
  <c r="AB679" i="3"/>
  <c r="AA679" i="3"/>
  <c r="AC678" i="3"/>
  <c r="AB678" i="3"/>
  <c r="AA678" i="3"/>
  <c r="AC677" i="3"/>
  <c r="AB677" i="3"/>
  <c r="AA677" i="3"/>
  <c r="AC676" i="3"/>
  <c r="AB676" i="3"/>
  <c r="AA676" i="3"/>
  <c r="AC675" i="3"/>
  <c r="AB675" i="3"/>
  <c r="AA675" i="3"/>
  <c r="AC674" i="3"/>
  <c r="AB674" i="3"/>
  <c r="AA674" i="3"/>
  <c r="AC673" i="3"/>
  <c r="AB673" i="3"/>
  <c r="AA673" i="3"/>
  <c r="AC672" i="3"/>
  <c r="AB672" i="3"/>
  <c r="AA672" i="3"/>
  <c r="AC671" i="3"/>
  <c r="AB671" i="3"/>
  <c r="AA671" i="3"/>
  <c r="AC670" i="3"/>
  <c r="AB670" i="3"/>
  <c r="AA670" i="3"/>
  <c r="AC669" i="3"/>
  <c r="AB669" i="3"/>
  <c r="AA669" i="3"/>
  <c r="AC668" i="3"/>
  <c r="AB668" i="3"/>
  <c r="AA668" i="3"/>
  <c r="AC667" i="3"/>
  <c r="AB667" i="3"/>
  <c r="AA667" i="3"/>
  <c r="AC666" i="3"/>
  <c r="AB666" i="3"/>
  <c r="AA666" i="3"/>
  <c r="AC665" i="3"/>
  <c r="AB665" i="3"/>
  <c r="AA665" i="3"/>
  <c r="AC664" i="3"/>
  <c r="AB664" i="3"/>
  <c r="AA664" i="3"/>
  <c r="AC663" i="3"/>
  <c r="AB663" i="3"/>
  <c r="AA663" i="3"/>
  <c r="AC662" i="3"/>
  <c r="AB662" i="3"/>
  <c r="AA662" i="3"/>
  <c r="AC661" i="3"/>
  <c r="AB661" i="3"/>
  <c r="AA661" i="3"/>
  <c r="AC660" i="3"/>
  <c r="AB660" i="3"/>
  <c r="AA660" i="3"/>
  <c r="AC659" i="3"/>
  <c r="AB659" i="3"/>
  <c r="AA659" i="3"/>
  <c r="AC658" i="3"/>
  <c r="AB658" i="3"/>
  <c r="AA658" i="3"/>
  <c r="AC657" i="3"/>
  <c r="AB657" i="3"/>
  <c r="AA657" i="3"/>
  <c r="AC656" i="3"/>
  <c r="AB656" i="3"/>
  <c r="AA656" i="3"/>
  <c r="AC655" i="3"/>
  <c r="AB655" i="3"/>
  <c r="AA655" i="3"/>
  <c r="AC654" i="3"/>
  <c r="AB654" i="3"/>
  <c r="AA654" i="3"/>
  <c r="AC653" i="3"/>
  <c r="AB653" i="3"/>
  <c r="AA653" i="3"/>
  <c r="AC652" i="3"/>
  <c r="AB652" i="3"/>
  <c r="AA652" i="3"/>
  <c r="AC651" i="3"/>
  <c r="AB651" i="3"/>
  <c r="AA651" i="3"/>
  <c r="AC650" i="3"/>
  <c r="AB650" i="3"/>
  <c r="AA650" i="3"/>
  <c r="AC649" i="3"/>
  <c r="AB649" i="3"/>
  <c r="AA649" i="3"/>
  <c r="AC648" i="3"/>
  <c r="AB648" i="3"/>
  <c r="AA648" i="3"/>
  <c r="AC647" i="3"/>
  <c r="AB647" i="3"/>
  <c r="AA647" i="3"/>
  <c r="AC646" i="3"/>
  <c r="AB646" i="3"/>
  <c r="AA646" i="3"/>
  <c r="AC645" i="3"/>
  <c r="AB645" i="3"/>
  <c r="AA645" i="3"/>
  <c r="AC644" i="3"/>
  <c r="AB644" i="3"/>
  <c r="AA644" i="3"/>
  <c r="AC643" i="3"/>
  <c r="AB643" i="3"/>
  <c r="AA643" i="3"/>
  <c r="AC642" i="3"/>
  <c r="AB642" i="3"/>
  <c r="AA642" i="3"/>
  <c r="AC641" i="3"/>
  <c r="AB641" i="3"/>
  <c r="AA641" i="3"/>
  <c r="AC640" i="3"/>
  <c r="AB640" i="3"/>
  <c r="AA640" i="3"/>
  <c r="AC639" i="3"/>
  <c r="AB639" i="3"/>
  <c r="AA639" i="3"/>
  <c r="AC638" i="3"/>
  <c r="AB638" i="3"/>
  <c r="AA638" i="3"/>
  <c r="AC637" i="3"/>
  <c r="AB637" i="3"/>
  <c r="AA637" i="3"/>
  <c r="AC636" i="3"/>
  <c r="AB636" i="3"/>
  <c r="AA636" i="3"/>
  <c r="AC635" i="3"/>
  <c r="AB635" i="3"/>
  <c r="AA635" i="3"/>
  <c r="AC634" i="3"/>
  <c r="AB634" i="3"/>
  <c r="AA634" i="3"/>
  <c r="AC633" i="3"/>
  <c r="AB633" i="3"/>
  <c r="AA633" i="3"/>
  <c r="AC632" i="3"/>
  <c r="AB632" i="3"/>
  <c r="AA632" i="3"/>
  <c r="AC631" i="3"/>
  <c r="AB631" i="3"/>
  <c r="AA631" i="3"/>
  <c r="AC630" i="3"/>
  <c r="AB630" i="3"/>
  <c r="AA630" i="3"/>
  <c r="AC629" i="3"/>
  <c r="AB629" i="3"/>
  <c r="AA629" i="3"/>
  <c r="AC628" i="3"/>
  <c r="AB628" i="3"/>
  <c r="AA628" i="3"/>
  <c r="AC627" i="3"/>
  <c r="AB627" i="3"/>
  <c r="AA627" i="3"/>
  <c r="AC626" i="3"/>
  <c r="AB626" i="3"/>
  <c r="AA626" i="3"/>
  <c r="AC625" i="3"/>
  <c r="AB625" i="3"/>
  <c r="AA625" i="3"/>
  <c r="AC624" i="3"/>
  <c r="AB624" i="3"/>
  <c r="AA624" i="3"/>
  <c r="AC623" i="3"/>
  <c r="AB623" i="3"/>
  <c r="AA623" i="3"/>
  <c r="AC622" i="3"/>
  <c r="AB622" i="3"/>
  <c r="AA622" i="3"/>
  <c r="AC621" i="3"/>
  <c r="AB621" i="3"/>
  <c r="AA621" i="3"/>
  <c r="AC619" i="3"/>
  <c r="AB619" i="3"/>
  <c r="AA619" i="3"/>
  <c r="AC618" i="3"/>
  <c r="AB618" i="3"/>
  <c r="AA618" i="3"/>
  <c r="AC617" i="3"/>
  <c r="AB617" i="3"/>
  <c r="AA617" i="3"/>
  <c r="AC616" i="3"/>
  <c r="AB616" i="3"/>
  <c r="AA616" i="3"/>
  <c r="AC615" i="3"/>
  <c r="AB615" i="3"/>
  <c r="AA615" i="3"/>
  <c r="AC614" i="3"/>
  <c r="AB614" i="3"/>
  <c r="AA614" i="3"/>
  <c r="AC613" i="3"/>
  <c r="AB613" i="3"/>
  <c r="AA613" i="3"/>
  <c r="AC612" i="3"/>
  <c r="AB612" i="3"/>
  <c r="AA612" i="3"/>
  <c r="AC611" i="3"/>
  <c r="AB611" i="3"/>
  <c r="AA611" i="3"/>
  <c r="AC609" i="3"/>
  <c r="AB609" i="3"/>
  <c r="AA609" i="3"/>
  <c r="AC608" i="3"/>
  <c r="AB608" i="3"/>
  <c r="AA608" i="3"/>
  <c r="AC607" i="3"/>
  <c r="AB607" i="3"/>
  <c r="AA607" i="3"/>
  <c r="AC606" i="3"/>
  <c r="AB606" i="3"/>
  <c r="AA606" i="3"/>
  <c r="AC605" i="3"/>
  <c r="AB605" i="3"/>
  <c r="AA605" i="3"/>
  <c r="AC604" i="3"/>
  <c r="AB604" i="3"/>
  <c r="AA604" i="3"/>
  <c r="AC603" i="3"/>
  <c r="AB603" i="3"/>
  <c r="AA603" i="3"/>
  <c r="AC602" i="3"/>
  <c r="AB602" i="3"/>
  <c r="AA602" i="3"/>
  <c r="AC601" i="3"/>
  <c r="AB601" i="3"/>
  <c r="AA601" i="3"/>
  <c r="AC600" i="3"/>
  <c r="AB600" i="3"/>
  <c r="AA600" i="3"/>
  <c r="AC599" i="3"/>
  <c r="AB599" i="3"/>
  <c r="AA599" i="3"/>
  <c r="AC598" i="3"/>
  <c r="AB598" i="3"/>
  <c r="AA598" i="3"/>
  <c r="AC597" i="3"/>
  <c r="AB597" i="3"/>
  <c r="AA597" i="3"/>
  <c r="AC596" i="3"/>
  <c r="AB596" i="3"/>
  <c r="AA596" i="3"/>
  <c r="AC595" i="3"/>
  <c r="AB595" i="3"/>
  <c r="AA595" i="3"/>
  <c r="AC594" i="3"/>
  <c r="AB594" i="3"/>
  <c r="AA594" i="3"/>
  <c r="AC593" i="3"/>
  <c r="AB593" i="3"/>
  <c r="AA593" i="3"/>
  <c r="AC592" i="3"/>
  <c r="AB592" i="3"/>
  <c r="AA592" i="3"/>
  <c r="AC591" i="3"/>
  <c r="AB591" i="3"/>
  <c r="AA591" i="3"/>
  <c r="AC590" i="3"/>
  <c r="AB590" i="3"/>
  <c r="AA590" i="3"/>
  <c r="AC589" i="3"/>
  <c r="AB589" i="3"/>
  <c r="AA589" i="3"/>
  <c r="AC588" i="3"/>
  <c r="AB588" i="3"/>
  <c r="AA588" i="3"/>
  <c r="AC587" i="3"/>
  <c r="AB587" i="3"/>
  <c r="AA587" i="3"/>
  <c r="AC586" i="3"/>
  <c r="AB586" i="3"/>
  <c r="AA586" i="3"/>
  <c r="AC585" i="3"/>
  <c r="AB585" i="3"/>
  <c r="AA585" i="3"/>
  <c r="AC584" i="3"/>
  <c r="AB584" i="3"/>
  <c r="AA584" i="3"/>
  <c r="AC583" i="3"/>
  <c r="AB583" i="3"/>
  <c r="AA583" i="3"/>
  <c r="AC582" i="3"/>
  <c r="AB582" i="3"/>
  <c r="AA582" i="3"/>
  <c r="AC581" i="3"/>
  <c r="AB581" i="3"/>
  <c r="AA581" i="3"/>
  <c r="AC580" i="3"/>
  <c r="AB580" i="3"/>
  <c r="AA580" i="3"/>
  <c r="AC579" i="3"/>
  <c r="AB579" i="3"/>
  <c r="AA579" i="3"/>
  <c r="AC578" i="3"/>
  <c r="AB578" i="3"/>
  <c r="AA578" i="3"/>
  <c r="AC577" i="3"/>
  <c r="AB577" i="3"/>
  <c r="AA577" i="3"/>
  <c r="AC576" i="3"/>
  <c r="AB576" i="3"/>
  <c r="AA576" i="3"/>
  <c r="AC575" i="3"/>
  <c r="AB575" i="3"/>
  <c r="AA575" i="3"/>
  <c r="AC574" i="3"/>
  <c r="AB574" i="3"/>
  <c r="AA574" i="3"/>
  <c r="AC573" i="3"/>
  <c r="AB573" i="3"/>
  <c r="AA573" i="3"/>
  <c r="AC572" i="3"/>
  <c r="AB572" i="3"/>
  <c r="AA572" i="3"/>
  <c r="AC571" i="3"/>
  <c r="AB571" i="3"/>
  <c r="AA571" i="3"/>
  <c r="AC570" i="3"/>
  <c r="AB570" i="3"/>
  <c r="AA570" i="3"/>
  <c r="AC569" i="3"/>
  <c r="AB569" i="3"/>
  <c r="AA569" i="3"/>
  <c r="AC568" i="3"/>
  <c r="AB568" i="3"/>
  <c r="AA568" i="3"/>
  <c r="AC567" i="3"/>
  <c r="AB567" i="3"/>
  <c r="AA567" i="3"/>
  <c r="AC566" i="3"/>
  <c r="AB566" i="3"/>
  <c r="AA566" i="3"/>
  <c r="AC565" i="3"/>
  <c r="AB565" i="3"/>
  <c r="AA565" i="3"/>
  <c r="AC564" i="3"/>
  <c r="AB564" i="3"/>
  <c r="AA564" i="3"/>
  <c r="AC563" i="3"/>
  <c r="AB563" i="3"/>
  <c r="AA563" i="3"/>
  <c r="AC562" i="3"/>
  <c r="AB562" i="3"/>
  <c r="AA562" i="3"/>
  <c r="AC561" i="3"/>
  <c r="AB561" i="3"/>
  <c r="AA561" i="3"/>
  <c r="AC560" i="3"/>
  <c r="AB560" i="3"/>
  <c r="AA560" i="3"/>
  <c r="AC559" i="3"/>
  <c r="AB559" i="3"/>
  <c r="AA559" i="3"/>
  <c r="AC558" i="3"/>
  <c r="AB558" i="3"/>
  <c r="AA558" i="3"/>
  <c r="AC557" i="3"/>
  <c r="AB557" i="3"/>
  <c r="AA557" i="3"/>
  <c r="AC556" i="3"/>
  <c r="AB556" i="3"/>
  <c r="AA556" i="3"/>
  <c r="AC555" i="3"/>
  <c r="AB555" i="3"/>
  <c r="AA555" i="3"/>
  <c r="AC554" i="3"/>
  <c r="AB554" i="3"/>
  <c r="AA554" i="3"/>
  <c r="AC553" i="3"/>
  <c r="AB553" i="3"/>
  <c r="AA553" i="3"/>
  <c r="AC552" i="3"/>
  <c r="AB552" i="3"/>
  <c r="AA552" i="3"/>
  <c r="AC551" i="3"/>
  <c r="AB551" i="3"/>
  <c r="AA551" i="3"/>
  <c r="AC550" i="3"/>
  <c r="AB550" i="3"/>
  <c r="AA550" i="3"/>
  <c r="AC549" i="3"/>
  <c r="AB549" i="3"/>
  <c r="AA549" i="3"/>
  <c r="AC548" i="3"/>
  <c r="AB548" i="3"/>
  <c r="AA548" i="3"/>
  <c r="AC547" i="3"/>
  <c r="AB547" i="3"/>
  <c r="AA547" i="3"/>
  <c r="AC546" i="3"/>
  <c r="AB546" i="3"/>
  <c r="AA546" i="3"/>
  <c r="AC545" i="3"/>
  <c r="AB545" i="3"/>
  <c r="AA545" i="3"/>
  <c r="AC544" i="3"/>
  <c r="AB544" i="3"/>
  <c r="AA544" i="3"/>
  <c r="AC543" i="3"/>
  <c r="AB543" i="3"/>
  <c r="AA543" i="3"/>
  <c r="AC542" i="3"/>
  <c r="AB542" i="3"/>
  <c r="AA542" i="3"/>
  <c r="AC541" i="3"/>
  <c r="AB541" i="3"/>
  <c r="AA541" i="3"/>
  <c r="AC540" i="3"/>
  <c r="AB540" i="3"/>
  <c r="AA540" i="3"/>
  <c r="AC539" i="3"/>
  <c r="AB539" i="3"/>
  <c r="AA539" i="3"/>
  <c r="AC538" i="3"/>
  <c r="AB538" i="3"/>
  <c r="AA538" i="3"/>
  <c r="AC537" i="3"/>
  <c r="AB537" i="3"/>
  <c r="AA537" i="3"/>
  <c r="AC536" i="3"/>
  <c r="AB536" i="3"/>
  <c r="AA536" i="3"/>
  <c r="AC535" i="3"/>
  <c r="AB535" i="3"/>
  <c r="AA535" i="3"/>
  <c r="AC534" i="3"/>
  <c r="AB534" i="3"/>
  <c r="AA534" i="3"/>
  <c r="AC533" i="3"/>
  <c r="AB533" i="3"/>
  <c r="AA533" i="3"/>
  <c r="AC532" i="3"/>
  <c r="AB532" i="3"/>
  <c r="AA532" i="3"/>
  <c r="AC531" i="3"/>
  <c r="AB531" i="3"/>
  <c r="AA531" i="3"/>
  <c r="AC530" i="3"/>
  <c r="AB530" i="3"/>
  <c r="AA530" i="3"/>
  <c r="AC529" i="3"/>
  <c r="AB529" i="3"/>
  <c r="AA529" i="3"/>
  <c r="AC528" i="3"/>
  <c r="AB528" i="3"/>
  <c r="AA528" i="3"/>
  <c r="AC527" i="3"/>
  <c r="AB527" i="3"/>
  <c r="AA527" i="3"/>
  <c r="AC526" i="3"/>
  <c r="AB526" i="3"/>
  <c r="AA526" i="3"/>
  <c r="AC525" i="3"/>
  <c r="AB525" i="3"/>
  <c r="AA525" i="3"/>
  <c r="AC524" i="3"/>
  <c r="AB524" i="3"/>
  <c r="AA524" i="3"/>
  <c r="AC523" i="3"/>
  <c r="AB523" i="3"/>
  <c r="AA523" i="3"/>
  <c r="AC522" i="3"/>
  <c r="AB522" i="3"/>
  <c r="AA522" i="3"/>
  <c r="AC521" i="3"/>
  <c r="AB521" i="3"/>
  <c r="AA521" i="3"/>
  <c r="AC520" i="3"/>
  <c r="AB520" i="3"/>
  <c r="AA520" i="3"/>
  <c r="AC519" i="3"/>
  <c r="AB519" i="3"/>
  <c r="AA519" i="3"/>
  <c r="AC518" i="3"/>
  <c r="AB518" i="3"/>
  <c r="AA518" i="3"/>
  <c r="AC517" i="3"/>
  <c r="AB517" i="3"/>
  <c r="AA517" i="3"/>
  <c r="AC516" i="3"/>
  <c r="AB516" i="3"/>
  <c r="AA516" i="3"/>
  <c r="AC515" i="3"/>
  <c r="AB515" i="3"/>
  <c r="AA515" i="3"/>
  <c r="AC514" i="3"/>
  <c r="AB514" i="3"/>
  <c r="AA514" i="3"/>
  <c r="AC513" i="3"/>
  <c r="AB513" i="3"/>
  <c r="AA513" i="3"/>
  <c r="AC512" i="3"/>
  <c r="AB512" i="3"/>
  <c r="AA512" i="3"/>
  <c r="AC511" i="3"/>
  <c r="AB511" i="3"/>
  <c r="AA511" i="3"/>
  <c r="AC510" i="3"/>
  <c r="AB510" i="3"/>
  <c r="AA510" i="3"/>
  <c r="AC509" i="3"/>
  <c r="AB509" i="3"/>
  <c r="AA509" i="3"/>
  <c r="AC508" i="3"/>
  <c r="AB508" i="3"/>
  <c r="AA508" i="3"/>
  <c r="AC507" i="3"/>
  <c r="AB507" i="3"/>
  <c r="AA507" i="3"/>
  <c r="AC506" i="3"/>
  <c r="AB506" i="3"/>
  <c r="AA506" i="3"/>
  <c r="AC505" i="3"/>
  <c r="AB505" i="3"/>
  <c r="AA505" i="3"/>
  <c r="AC504" i="3"/>
  <c r="AB504" i="3"/>
  <c r="AA504" i="3"/>
  <c r="AC503" i="3"/>
  <c r="AB503" i="3"/>
  <c r="AA503" i="3"/>
  <c r="AC502" i="3"/>
  <c r="AB502" i="3"/>
  <c r="AA502" i="3"/>
  <c r="AC501" i="3"/>
  <c r="AB501" i="3"/>
  <c r="AA501" i="3"/>
  <c r="AC500" i="3"/>
  <c r="AB500" i="3"/>
  <c r="AA500" i="3"/>
  <c r="AC499" i="3"/>
  <c r="AB499" i="3"/>
  <c r="AA499" i="3"/>
  <c r="AC498" i="3"/>
  <c r="AB498" i="3"/>
  <c r="AA498" i="3"/>
  <c r="AC497" i="3"/>
  <c r="AB497" i="3"/>
  <c r="AA497" i="3"/>
  <c r="AC496" i="3"/>
  <c r="AB496" i="3"/>
  <c r="AA496" i="3"/>
  <c r="AC495" i="3"/>
  <c r="AB495" i="3"/>
  <c r="AA495" i="3"/>
  <c r="AC494" i="3"/>
  <c r="AB494" i="3"/>
  <c r="AA494" i="3"/>
  <c r="AC493" i="3"/>
  <c r="AB493" i="3"/>
  <c r="AA493" i="3"/>
  <c r="AC492" i="3"/>
  <c r="AB492" i="3"/>
  <c r="AA492" i="3"/>
  <c r="AC491" i="3"/>
  <c r="AB491" i="3"/>
  <c r="AA491" i="3"/>
  <c r="AC490" i="3"/>
  <c r="AB490" i="3"/>
  <c r="AA490" i="3"/>
  <c r="AC489" i="3"/>
  <c r="AB489" i="3"/>
  <c r="AA489" i="3"/>
  <c r="AC488" i="3"/>
  <c r="AB488" i="3"/>
  <c r="AA488" i="3"/>
  <c r="AC487" i="3"/>
  <c r="AB487" i="3"/>
  <c r="AA487" i="3"/>
  <c r="AC486" i="3"/>
  <c r="AB486" i="3"/>
  <c r="AA486" i="3"/>
  <c r="AC485" i="3"/>
  <c r="AB485" i="3"/>
  <c r="AA485" i="3"/>
  <c r="AC484" i="3"/>
  <c r="AB484" i="3"/>
  <c r="AA484" i="3"/>
  <c r="AC483" i="3"/>
  <c r="AB483" i="3"/>
  <c r="AA483" i="3"/>
  <c r="AC482" i="3"/>
  <c r="AB482" i="3"/>
  <c r="AA482" i="3"/>
  <c r="AC481" i="3"/>
  <c r="AB481" i="3"/>
  <c r="AA481" i="3"/>
  <c r="AC480" i="3"/>
  <c r="AB480" i="3"/>
  <c r="AA480" i="3"/>
  <c r="AC479" i="3"/>
  <c r="AB479" i="3"/>
  <c r="AA479" i="3"/>
  <c r="AC478" i="3"/>
  <c r="AB478" i="3"/>
  <c r="AA478" i="3"/>
  <c r="AC477" i="3"/>
  <c r="AB477" i="3"/>
  <c r="AA477" i="3"/>
  <c r="AC476" i="3"/>
  <c r="AB476" i="3"/>
  <c r="AA476" i="3"/>
  <c r="AC475" i="3"/>
  <c r="AB475" i="3"/>
  <c r="AA475" i="3"/>
  <c r="AC474" i="3"/>
  <c r="AB474" i="3"/>
  <c r="AA474" i="3"/>
  <c r="AC473" i="3"/>
  <c r="AB473" i="3"/>
  <c r="AA473" i="3"/>
  <c r="AC472" i="3"/>
  <c r="AB472" i="3"/>
  <c r="AA472" i="3"/>
  <c r="AC471" i="3"/>
  <c r="AB471" i="3"/>
  <c r="AA471" i="3"/>
  <c r="AC470" i="3"/>
  <c r="AB470" i="3"/>
  <c r="AA470" i="3"/>
  <c r="AC469" i="3"/>
  <c r="AB469" i="3"/>
  <c r="AA469" i="3"/>
  <c r="AC468" i="3"/>
  <c r="AB468" i="3"/>
  <c r="AA468" i="3"/>
  <c r="AC467" i="3"/>
  <c r="AB467" i="3"/>
  <c r="AA467" i="3"/>
  <c r="AC466" i="3"/>
  <c r="AB466" i="3"/>
  <c r="AA466" i="3"/>
  <c r="AC465" i="3"/>
  <c r="AB465" i="3"/>
  <c r="AA465" i="3"/>
  <c r="AC464" i="3"/>
  <c r="AB464" i="3"/>
  <c r="AA464" i="3"/>
  <c r="AC463" i="3"/>
  <c r="AB463" i="3"/>
  <c r="AA463" i="3"/>
  <c r="AC462" i="3"/>
  <c r="AB462" i="3"/>
  <c r="AA462" i="3"/>
  <c r="AC461" i="3"/>
  <c r="AB461" i="3"/>
  <c r="AA461" i="3"/>
  <c r="AC460" i="3"/>
  <c r="AB460" i="3"/>
  <c r="AA460" i="3"/>
  <c r="AC459" i="3"/>
  <c r="AB459" i="3"/>
  <c r="AA459" i="3"/>
  <c r="AC458" i="3"/>
  <c r="AB458" i="3"/>
  <c r="AA458" i="3"/>
  <c r="AC457" i="3"/>
  <c r="AB457" i="3"/>
  <c r="AA457" i="3"/>
  <c r="AC456" i="3"/>
  <c r="AB456" i="3"/>
  <c r="AA456" i="3"/>
  <c r="AC455" i="3"/>
  <c r="AB455" i="3"/>
  <c r="AA455" i="3"/>
  <c r="AC454" i="3"/>
  <c r="AB454" i="3"/>
  <c r="AA454" i="3"/>
  <c r="AC453" i="3"/>
  <c r="AB453" i="3"/>
  <c r="AA453" i="3"/>
  <c r="AC452" i="3"/>
  <c r="AB452" i="3"/>
  <c r="AA452" i="3"/>
  <c r="AC451" i="3"/>
  <c r="AB451" i="3"/>
  <c r="AA451" i="3"/>
  <c r="AC450" i="3"/>
  <c r="AB450" i="3"/>
  <c r="AA450" i="3"/>
  <c r="AC449" i="3"/>
  <c r="AB449" i="3"/>
  <c r="AA449" i="3"/>
  <c r="AC448" i="3"/>
  <c r="AB448" i="3"/>
  <c r="AA448" i="3"/>
  <c r="AC447" i="3"/>
  <c r="AB447" i="3"/>
  <c r="AA447" i="3"/>
  <c r="AC446" i="3"/>
  <c r="AB446" i="3"/>
  <c r="AA446" i="3"/>
  <c r="AC445" i="3"/>
  <c r="AB445" i="3"/>
  <c r="AA445" i="3"/>
  <c r="AC444" i="3"/>
  <c r="AB444" i="3"/>
  <c r="AA444" i="3"/>
  <c r="AC443" i="3"/>
  <c r="AB443" i="3"/>
  <c r="AA443" i="3"/>
  <c r="AC442" i="3"/>
  <c r="AB442" i="3"/>
  <c r="AA442" i="3"/>
  <c r="AC441" i="3"/>
  <c r="AB441" i="3"/>
  <c r="AA441" i="3"/>
  <c r="AC440" i="3"/>
  <c r="AB440" i="3"/>
  <c r="AA440" i="3"/>
  <c r="AC439" i="3"/>
  <c r="AB439" i="3"/>
  <c r="AA439" i="3"/>
  <c r="AC438" i="3"/>
  <c r="AB438" i="3"/>
  <c r="AA438" i="3"/>
  <c r="AC437" i="3"/>
  <c r="AB437" i="3"/>
  <c r="AA437" i="3"/>
  <c r="AC436" i="3"/>
  <c r="AB436" i="3"/>
  <c r="AA436" i="3"/>
  <c r="AC435" i="3"/>
  <c r="AB435" i="3"/>
  <c r="AA435" i="3"/>
  <c r="AC434" i="3"/>
  <c r="AB434" i="3"/>
  <c r="AA434" i="3"/>
  <c r="AC433" i="3"/>
  <c r="AB433" i="3"/>
  <c r="AA433" i="3"/>
  <c r="AC432" i="3"/>
  <c r="AB432" i="3"/>
  <c r="AA432" i="3"/>
  <c r="AC431" i="3"/>
  <c r="AB431" i="3"/>
  <c r="AA431" i="3"/>
  <c r="AC430" i="3"/>
  <c r="AB430" i="3"/>
  <c r="AA430" i="3"/>
  <c r="AC429" i="3"/>
  <c r="AB429" i="3"/>
  <c r="AA429" i="3"/>
  <c r="AC428" i="3"/>
  <c r="AB428" i="3"/>
  <c r="AA428" i="3"/>
  <c r="AC427" i="3"/>
  <c r="AB427" i="3"/>
  <c r="AA427" i="3"/>
  <c r="AC426" i="3"/>
  <c r="AB426" i="3"/>
  <c r="AA426" i="3"/>
  <c r="AC425" i="3"/>
  <c r="AB425" i="3"/>
  <c r="AA425" i="3"/>
  <c r="AC424" i="3"/>
  <c r="AB424" i="3"/>
  <c r="AA424" i="3"/>
  <c r="AC423" i="3"/>
  <c r="AB423" i="3"/>
  <c r="AA423" i="3"/>
  <c r="AC422" i="3"/>
  <c r="AB422" i="3"/>
  <c r="AA422" i="3"/>
  <c r="AC421" i="3"/>
  <c r="AB421" i="3"/>
  <c r="AA421" i="3"/>
  <c r="AC420" i="3"/>
  <c r="AB420" i="3"/>
  <c r="AA420" i="3"/>
  <c r="AC419" i="3"/>
  <c r="AB419" i="3"/>
  <c r="AA419" i="3"/>
  <c r="AC418" i="3"/>
  <c r="AB418" i="3"/>
  <c r="AA418" i="3"/>
  <c r="AC417" i="3"/>
  <c r="AB417" i="3"/>
  <c r="AA417" i="3"/>
  <c r="AC416" i="3"/>
  <c r="AB416" i="3"/>
  <c r="AA416" i="3"/>
  <c r="AC415" i="3"/>
  <c r="AB415" i="3"/>
  <c r="AA415" i="3"/>
  <c r="AC414" i="3"/>
  <c r="AB414" i="3"/>
  <c r="AA414" i="3"/>
  <c r="AC413" i="3"/>
  <c r="AB413" i="3"/>
  <c r="AA413" i="3"/>
  <c r="AC412" i="3"/>
  <c r="AB412" i="3"/>
  <c r="AA412" i="3"/>
  <c r="AC411" i="3"/>
  <c r="AB411" i="3"/>
  <c r="AA411" i="3"/>
  <c r="AC410" i="3"/>
  <c r="AB410" i="3"/>
  <c r="AA410" i="3"/>
  <c r="AC409" i="3"/>
  <c r="AB409" i="3"/>
  <c r="AA409" i="3"/>
  <c r="AC408" i="3"/>
  <c r="AB408" i="3"/>
  <c r="AA408" i="3"/>
  <c r="AC407" i="3"/>
  <c r="AB407" i="3"/>
  <c r="AA407" i="3"/>
  <c r="AC406" i="3"/>
  <c r="AB406" i="3"/>
  <c r="AA406" i="3"/>
  <c r="AC405" i="3"/>
  <c r="AB405" i="3"/>
  <c r="AA405" i="3"/>
  <c r="AC404" i="3"/>
  <c r="AB404" i="3"/>
  <c r="AA404" i="3"/>
  <c r="AC403" i="3"/>
  <c r="AB403" i="3"/>
  <c r="AA403" i="3"/>
  <c r="AC402" i="3"/>
  <c r="AB402" i="3"/>
  <c r="AA402" i="3"/>
  <c r="AC401" i="3"/>
  <c r="AB401" i="3"/>
  <c r="AA401" i="3"/>
  <c r="AC400" i="3"/>
  <c r="AB400" i="3"/>
  <c r="AA400" i="3"/>
  <c r="AC399" i="3"/>
  <c r="AB399" i="3"/>
  <c r="AA399" i="3"/>
  <c r="AC398" i="3"/>
  <c r="AB398" i="3"/>
  <c r="AA398" i="3"/>
  <c r="AC397" i="3"/>
  <c r="AB397" i="3"/>
  <c r="AA397" i="3"/>
  <c r="AC396" i="3"/>
  <c r="AB396" i="3"/>
  <c r="AA396" i="3"/>
  <c r="AC395" i="3"/>
  <c r="AB395" i="3"/>
  <c r="AA395" i="3"/>
  <c r="AC394" i="3"/>
  <c r="AB394" i="3"/>
  <c r="AA394" i="3"/>
  <c r="AC393" i="3"/>
  <c r="AB393" i="3"/>
  <c r="AA393" i="3"/>
  <c r="AC392" i="3"/>
  <c r="AB392" i="3"/>
  <c r="AA392" i="3"/>
  <c r="AC391" i="3"/>
  <c r="AB391" i="3"/>
  <c r="AA391" i="3"/>
  <c r="AC390" i="3"/>
  <c r="AB390" i="3"/>
  <c r="AA390" i="3"/>
  <c r="AC389" i="3"/>
  <c r="AB389" i="3"/>
  <c r="AA389" i="3"/>
  <c r="AC388" i="3"/>
  <c r="AB388" i="3"/>
  <c r="AA388" i="3"/>
  <c r="AC387" i="3"/>
  <c r="AB387" i="3"/>
  <c r="AA387" i="3"/>
  <c r="AC386" i="3"/>
  <c r="AB386" i="3"/>
  <c r="AA386" i="3"/>
  <c r="AC385" i="3"/>
  <c r="AB385" i="3"/>
  <c r="AA385" i="3"/>
  <c r="AC384" i="3"/>
  <c r="AB384" i="3"/>
  <c r="AA384" i="3"/>
  <c r="AC383" i="3"/>
  <c r="AB383" i="3"/>
  <c r="AA383" i="3"/>
  <c r="AC382" i="3"/>
  <c r="AB382" i="3"/>
  <c r="AA382" i="3"/>
  <c r="AC381" i="3"/>
  <c r="AB381" i="3"/>
  <c r="AA381" i="3"/>
  <c r="AC380" i="3"/>
  <c r="AB380" i="3"/>
  <c r="AA380" i="3"/>
  <c r="AC379" i="3"/>
  <c r="AB379" i="3"/>
  <c r="AA379" i="3"/>
  <c r="AC378" i="3"/>
  <c r="AB378" i="3"/>
  <c r="AA378" i="3"/>
  <c r="AC377" i="3"/>
  <c r="AB377" i="3"/>
  <c r="AA377" i="3"/>
  <c r="AC376" i="3"/>
  <c r="AB376" i="3"/>
  <c r="AA376" i="3"/>
  <c r="AC375" i="3"/>
  <c r="AB375" i="3"/>
  <c r="AA375" i="3"/>
  <c r="AC374" i="3"/>
  <c r="AB374" i="3"/>
  <c r="AA374" i="3"/>
  <c r="AC373" i="3"/>
  <c r="AB373" i="3"/>
  <c r="AA373" i="3"/>
  <c r="AC372" i="3"/>
  <c r="AB372" i="3"/>
  <c r="AA372" i="3"/>
  <c r="AC371" i="3"/>
  <c r="AB371" i="3"/>
  <c r="AA371" i="3"/>
  <c r="AC370" i="3"/>
  <c r="AB370" i="3"/>
  <c r="AA370" i="3"/>
  <c r="AC369" i="3"/>
  <c r="AB369" i="3"/>
  <c r="AA369" i="3"/>
  <c r="AC368" i="3"/>
  <c r="AB368" i="3"/>
  <c r="AA368" i="3"/>
  <c r="AC367" i="3"/>
  <c r="AB367" i="3"/>
  <c r="AA367" i="3"/>
  <c r="AC366" i="3"/>
  <c r="AB366" i="3"/>
  <c r="AA366" i="3"/>
  <c r="AC365" i="3"/>
  <c r="AB365" i="3"/>
  <c r="AA365" i="3"/>
  <c r="AC364" i="3"/>
  <c r="AB364" i="3"/>
  <c r="AA364" i="3"/>
  <c r="AC363" i="3"/>
  <c r="AB363" i="3"/>
  <c r="AA363" i="3"/>
  <c r="AC362" i="3"/>
  <c r="AB362" i="3"/>
  <c r="AA362" i="3"/>
  <c r="AC361" i="3"/>
  <c r="AB361" i="3"/>
  <c r="AA361" i="3"/>
  <c r="AC360" i="3"/>
  <c r="AB360" i="3"/>
  <c r="AA360" i="3"/>
  <c r="AC359" i="3"/>
  <c r="AB359" i="3"/>
  <c r="AA359" i="3"/>
  <c r="AC358" i="3"/>
  <c r="AB358" i="3"/>
  <c r="AA358" i="3"/>
  <c r="AC357" i="3"/>
  <c r="AB357" i="3"/>
  <c r="AA357" i="3"/>
  <c r="AC356" i="3"/>
  <c r="AB356" i="3"/>
  <c r="AA356" i="3"/>
  <c r="AC355" i="3"/>
  <c r="AB355" i="3"/>
  <c r="AA355" i="3"/>
  <c r="AC354" i="3"/>
  <c r="AB354" i="3"/>
  <c r="AA354" i="3"/>
  <c r="AC353" i="3"/>
  <c r="AB353" i="3"/>
  <c r="AA353" i="3"/>
  <c r="AC352" i="3"/>
  <c r="AB352" i="3"/>
  <c r="AA352" i="3"/>
  <c r="AC351" i="3"/>
  <c r="AB351" i="3"/>
  <c r="AA351" i="3"/>
  <c r="AC350" i="3"/>
  <c r="AB350" i="3"/>
  <c r="AA350" i="3"/>
  <c r="AC349" i="3"/>
  <c r="AB349" i="3"/>
  <c r="AA349" i="3"/>
  <c r="AC348" i="3"/>
  <c r="AB348" i="3"/>
  <c r="AA348" i="3"/>
  <c r="AC347" i="3"/>
  <c r="AB347" i="3"/>
  <c r="AA347" i="3"/>
  <c r="AC346" i="3"/>
  <c r="AB346" i="3"/>
  <c r="AA346" i="3"/>
  <c r="AC345" i="3"/>
  <c r="AB345" i="3"/>
  <c r="AA345" i="3"/>
  <c r="AC344" i="3"/>
  <c r="AB344" i="3"/>
  <c r="AA344" i="3"/>
  <c r="AC343" i="3"/>
  <c r="AB343" i="3"/>
  <c r="AA343" i="3"/>
  <c r="AC342" i="3"/>
  <c r="AB342" i="3"/>
  <c r="AA342" i="3"/>
  <c r="AC341" i="3"/>
  <c r="AB341" i="3"/>
  <c r="AA341" i="3"/>
  <c r="AC340" i="3"/>
  <c r="AB340" i="3"/>
  <c r="AA340" i="3"/>
  <c r="AC339" i="3"/>
  <c r="AB339" i="3"/>
  <c r="AA339" i="3"/>
  <c r="AC338" i="3"/>
  <c r="AB338" i="3"/>
  <c r="AA338" i="3"/>
  <c r="AC337" i="3"/>
  <c r="AB337" i="3"/>
  <c r="AA337" i="3"/>
  <c r="AC336" i="3"/>
  <c r="AB336" i="3"/>
  <c r="AA336" i="3"/>
  <c r="AC335" i="3"/>
  <c r="AB335" i="3"/>
  <c r="AA335" i="3"/>
  <c r="AC334" i="3"/>
  <c r="AB334" i="3"/>
  <c r="AA334" i="3"/>
  <c r="AC333" i="3"/>
  <c r="AB333" i="3"/>
  <c r="AA333" i="3"/>
  <c r="AC332" i="3"/>
  <c r="AB332" i="3"/>
  <c r="AA332" i="3"/>
  <c r="AC331" i="3"/>
  <c r="AB331" i="3"/>
  <c r="AA331" i="3"/>
  <c r="AC330" i="3"/>
  <c r="AB330" i="3"/>
  <c r="AA330" i="3"/>
  <c r="AC329" i="3"/>
  <c r="AB329" i="3"/>
  <c r="AA329" i="3"/>
  <c r="AC328" i="3"/>
  <c r="AB328" i="3"/>
  <c r="AA328" i="3"/>
  <c r="AC327" i="3"/>
  <c r="AB327" i="3"/>
  <c r="AA327" i="3"/>
  <c r="AC326" i="3"/>
  <c r="AB326" i="3"/>
  <c r="AA326" i="3"/>
  <c r="AC325" i="3"/>
  <c r="AB325" i="3"/>
  <c r="AA325" i="3"/>
  <c r="AC324" i="3"/>
  <c r="AB324" i="3"/>
  <c r="AA324" i="3"/>
  <c r="AC323" i="3"/>
  <c r="AB323" i="3"/>
  <c r="AA323" i="3"/>
  <c r="AC322" i="3"/>
  <c r="AB322" i="3"/>
  <c r="AA322" i="3"/>
  <c r="AC321" i="3"/>
  <c r="AB321" i="3"/>
  <c r="AA321" i="3"/>
  <c r="AC320" i="3"/>
  <c r="AB320" i="3"/>
  <c r="AA320" i="3"/>
  <c r="AC319" i="3"/>
  <c r="AB319" i="3"/>
  <c r="AA319" i="3"/>
  <c r="AC318" i="3"/>
  <c r="AB318" i="3"/>
  <c r="AA318" i="3"/>
  <c r="AC317" i="3"/>
  <c r="AB317" i="3"/>
  <c r="AA317" i="3"/>
  <c r="AC316" i="3"/>
  <c r="AB316" i="3"/>
  <c r="AA316" i="3"/>
  <c r="AC315" i="3"/>
  <c r="AB315" i="3"/>
  <c r="AA315" i="3"/>
  <c r="AC314" i="3"/>
  <c r="AB314" i="3"/>
  <c r="AA314" i="3"/>
  <c r="AC313" i="3"/>
  <c r="AB313" i="3"/>
  <c r="AA313" i="3"/>
  <c r="AC312" i="3"/>
  <c r="AB312" i="3"/>
  <c r="AA312" i="3"/>
  <c r="AC311" i="3"/>
  <c r="AB311" i="3"/>
  <c r="AA311" i="3"/>
  <c r="AC310" i="3"/>
  <c r="AB310" i="3"/>
  <c r="AA310" i="3"/>
  <c r="AC309" i="3"/>
  <c r="AB309" i="3"/>
  <c r="AA309" i="3"/>
  <c r="AC308" i="3"/>
  <c r="AB308" i="3"/>
  <c r="AA308" i="3"/>
  <c r="AC307" i="3"/>
  <c r="AB307" i="3"/>
  <c r="AA307" i="3"/>
  <c r="AC306" i="3"/>
  <c r="AB306" i="3"/>
  <c r="AA306" i="3"/>
  <c r="AC305" i="3"/>
  <c r="AB305" i="3"/>
  <c r="AA305" i="3"/>
  <c r="AC304" i="3"/>
  <c r="AB304" i="3"/>
  <c r="AA304" i="3"/>
  <c r="AC303" i="3"/>
  <c r="AB303" i="3"/>
  <c r="AA303" i="3"/>
  <c r="AC302" i="3"/>
  <c r="AB302" i="3"/>
  <c r="AA302" i="3"/>
  <c r="AC301" i="3"/>
  <c r="AB301" i="3"/>
  <c r="AA301" i="3"/>
  <c r="AC300" i="3"/>
  <c r="AB300" i="3"/>
  <c r="AA300" i="3"/>
  <c r="AC299" i="3"/>
  <c r="AB299" i="3"/>
  <c r="AA299" i="3"/>
  <c r="AC298" i="3"/>
  <c r="AB298" i="3"/>
  <c r="AA298" i="3"/>
  <c r="AC297" i="3"/>
  <c r="AB297" i="3"/>
  <c r="AA297" i="3"/>
  <c r="AC296" i="3"/>
  <c r="AB296" i="3"/>
  <c r="AA296" i="3"/>
  <c r="AC295" i="3"/>
  <c r="AB295" i="3"/>
  <c r="AA295" i="3"/>
  <c r="AC294" i="3"/>
  <c r="AB294" i="3"/>
  <c r="AA294" i="3"/>
  <c r="AC293" i="3"/>
  <c r="AB293" i="3"/>
  <c r="AA293" i="3"/>
  <c r="AC292" i="3"/>
  <c r="AB292" i="3"/>
  <c r="AA292" i="3"/>
  <c r="AC291" i="3"/>
  <c r="AB291" i="3"/>
  <c r="AA291" i="3"/>
  <c r="AC290" i="3"/>
  <c r="AB290" i="3"/>
  <c r="AA290" i="3"/>
  <c r="AC289" i="3"/>
  <c r="AB289" i="3"/>
  <c r="AA289" i="3"/>
  <c r="AC288" i="3"/>
  <c r="AB288" i="3"/>
  <c r="AA288" i="3"/>
  <c r="AC287" i="3"/>
  <c r="AB287" i="3"/>
  <c r="AA287" i="3"/>
  <c r="AC286" i="3"/>
  <c r="AB286" i="3"/>
  <c r="AA286" i="3"/>
  <c r="AC285" i="3"/>
  <c r="AB285" i="3"/>
  <c r="AA285" i="3"/>
  <c r="AC284" i="3"/>
  <c r="AB284" i="3"/>
  <c r="AA284" i="3"/>
  <c r="AC283" i="3"/>
  <c r="AB283" i="3"/>
  <c r="AA283" i="3"/>
  <c r="AC282" i="3"/>
  <c r="AB282" i="3"/>
  <c r="AA282" i="3"/>
  <c r="AC281" i="3"/>
  <c r="AB281" i="3"/>
  <c r="AA281" i="3"/>
  <c r="AC280" i="3"/>
  <c r="AB280" i="3"/>
  <c r="AA280" i="3"/>
  <c r="AC279" i="3"/>
  <c r="AB279" i="3"/>
  <c r="AA279" i="3"/>
  <c r="AC278" i="3"/>
  <c r="AB278" i="3"/>
  <c r="AA278" i="3"/>
  <c r="AC277" i="3"/>
  <c r="AB277" i="3"/>
  <c r="AA277" i="3"/>
  <c r="AC276" i="3"/>
  <c r="AB276" i="3"/>
  <c r="AA276" i="3"/>
  <c r="AC275" i="3"/>
  <c r="AB275" i="3"/>
  <c r="AA275" i="3"/>
  <c r="AC274" i="3"/>
  <c r="AB274" i="3"/>
  <c r="AA274" i="3"/>
  <c r="AC273" i="3"/>
  <c r="AB273" i="3"/>
  <c r="AA273" i="3"/>
  <c r="AC272" i="3"/>
  <c r="AB272" i="3"/>
  <c r="AA272" i="3"/>
  <c r="AC271" i="3"/>
  <c r="AB271" i="3"/>
  <c r="AA271" i="3"/>
  <c r="AC270" i="3"/>
  <c r="AB270" i="3"/>
  <c r="AA270" i="3"/>
  <c r="AC269" i="3"/>
  <c r="AB269" i="3"/>
  <c r="AA269" i="3"/>
  <c r="AC268" i="3"/>
  <c r="AB268" i="3"/>
  <c r="AA268" i="3"/>
  <c r="AC267" i="3"/>
  <c r="AB267" i="3"/>
  <c r="AA267" i="3"/>
  <c r="AC266" i="3"/>
  <c r="AB266" i="3"/>
  <c r="AA266" i="3"/>
  <c r="AC265" i="3"/>
  <c r="AB265" i="3"/>
  <c r="AA265" i="3"/>
  <c r="AC264" i="3"/>
  <c r="AB264" i="3"/>
  <c r="AA264" i="3"/>
  <c r="AC263" i="3"/>
  <c r="AB263" i="3"/>
  <c r="AA263" i="3"/>
  <c r="AC262" i="3"/>
  <c r="AB262" i="3"/>
  <c r="AA262" i="3"/>
  <c r="AC261" i="3"/>
  <c r="AB261" i="3"/>
  <c r="AA261" i="3"/>
  <c r="AC260" i="3"/>
  <c r="AB260" i="3"/>
  <c r="AA260" i="3"/>
  <c r="AC259" i="3"/>
  <c r="AB259" i="3"/>
  <c r="AA259" i="3"/>
  <c r="AC258" i="3"/>
  <c r="AB258" i="3"/>
  <c r="AA258" i="3"/>
  <c r="AC257" i="3"/>
  <c r="AB257" i="3"/>
  <c r="AA257" i="3"/>
  <c r="AC256" i="3"/>
  <c r="AB256" i="3"/>
  <c r="AA256" i="3"/>
  <c r="AC255" i="3"/>
  <c r="AB255" i="3"/>
  <c r="AA255" i="3"/>
  <c r="AC254" i="3"/>
  <c r="AB254" i="3"/>
  <c r="AA254" i="3"/>
  <c r="AC253" i="3"/>
  <c r="AB253" i="3"/>
  <c r="AA253" i="3"/>
  <c r="AC252" i="3"/>
  <c r="AB252" i="3"/>
  <c r="AA252" i="3"/>
  <c r="AC251" i="3"/>
  <c r="AB251" i="3"/>
  <c r="AA251" i="3"/>
  <c r="AC250" i="3"/>
  <c r="AB250" i="3"/>
  <c r="AA250" i="3"/>
  <c r="AC249" i="3"/>
  <c r="AB249" i="3"/>
  <c r="AA249" i="3"/>
  <c r="AC248" i="3"/>
  <c r="AB248" i="3"/>
  <c r="AA248" i="3"/>
  <c r="AC247" i="3"/>
  <c r="AB247" i="3"/>
  <c r="AA247" i="3"/>
  <c r="AC246" i="3"/>
  <c r="AB246" i="3"/>
  <c r="AA246" i="3"/>
  <c r="AC245" i="3"/>
  <c r="AB245" i="3"/>
  <c r="AA245" i="3"/>
  <c r="AC244" i="3"/>
  <c r="AB244" i="3"/>
  <c r="AA244" i="3"/>
  <c r="AC243" i="3"/>
  <c r="AB243" i="3"/>
  <c r="AA243" i="3"/>
  <c r="AC242" i="3"/>
  <c r="AB242" i="3"/>
  <c r="AA242" i="3"/>
  <c r="AC241" i="3"/>
  <c r="AB241" i="3"/>
  <c r="AA241" i="3"/>
  <c r="AC240" i="3"/>
  <c r="AB240" i="3"/>
  <c r="AA240" i="3"/>
  <c r="AC239" i="3"/>
  <c r="AB239" i="3"/>
  <c r="AA239" i="3"/>
  <c r="AC238" i="3"/>
  <c r="AB238" i="3"/>
  <c r="AA238" i="3"/>
  <c r="AC237" i="3"/>
  <c r="AB237" i="3"/>
  <c r="AA237" i="3"/>
  <c r="AC236" i="3"/>
  <c r="AB236" i="3"/>
  <c r="AA236" i="3"/>
  <c r="AC235" i="3"/>
  <c r="AB235" i="3"/>
  <c r="AA235" i="3"/>
  <c r="AC234" i="3"/>
  <c r="AB234" i="3"/>
  <c r="AA234" i="3"/>
  <c r="AC233" i="3"/>
  <c r="AB233" i="3"/>
  <c r="AA233" i="3"/>
  <c r="AC232" i="3"/>
  <c r="AB232" i="3"/>
  <c r="AA232" i="3"/>
  <c r="AC231" i="3"/>
  <c r="AB231" i="3"/>
  <c r="AA231" i="3"/>
  <c r="AC230" i="3"/>
  <c r="AB230" i="3"/>
  <c r="AA230" i="3"/>
  <c r="AC229" i="3"/>
  <c r="AB229" i="3"/>
  <c r="AA229" i="3"/>
  <c r="AC228" i="3"/>
  <c r="AB228" i="3"/>
  <c r="AA228" i="3"/>
  <c r="AC227" i="3"/>
  <c r="AB227" i="3"/>
  <c r="AA227" i="3"/>
  <c r="AC226" i="3"/>
  <c r="AB226" i="3"/>
  <c r="AA226" i="3"/>
  <c r="AC225" i="3"/>
  <c r="AB225" i="3"/>
  <c r="AA225" i="3"/>
  <c r="AC224" i="3"/>
  <c r="AB224" i="3"/>
  <c r="AA224" i="3"/>
  <c r="AC223" i="3"/>
  <c r="AB223" i="3"/>
  <c r="AA223" i="3"/>
  <c r="AC222" i="3"/>
  <c r="AB222" i="3"/>
  <c r="AA222" i="3"/>
  <c r="AC221" i="3"/>
  <c r="AB221" i="3"/>
  <c r="AA221" i="3"/>
  <c r="AC220" i="3"/>
  <c r="AB220" i="3"/>
  <c r="AA220" i="3"/>
  <c r="AC219" i="3"/>
  <c r="AB219" i="3"/>
  <c r="AA219" i="3"/>
  <c r="AC218" i="3"/>
  <c r="AB218" i="3"/>
  <c r="AA218" i="3"/>
  <c r="AC217" i="3"/>
  <c r="AB217" i="3"/>
  <c r="AA217" i="3"/>
  <c r="AC216" i="3"/>
  <c r="AB216" i="3"/>
  <c r="AA216" i="3"/>
  <c r="AC215" i="3"/>
  <c r="AB215" i="3"/>
  <c r="AA215" i="3"/>
  <c r="AC214" i="3"/>
  <c r="AB214" i="3"/>
  <c r="AA214" i="3"/>
  <c r="AC213" i="3"/>
  <c r="AB213" i="3"/>
  <c r="AA213" i="3"/>
  <c r="AC212" i="3"/>
  <c r="AB212" i="3"/>
  <c r="AA212" i="3"/>
  <c r="AC211" i="3"/>
  <c r="AB211" i="3"/>
  <c r="AA211" i="3"/>
  <c r="AC210" i="3"/>
  <c r="AB210" i="3"/>
  <c r="AA210" i="3"/>
  <c r="AC209" i="3"/>
  <c r="AB209" i="3"/>
  <c r="AA209" i="3"/>
  <c r="AC208" i="3"/>
  <c r="AB208" i="3"/>
  <c r="AA208" i="3"/>
  <c r="AC207" i="3"/>
  <c r="AB207" i="3"/>
  <c r="AA207" i="3"/>
  <c r="AC206" i="3"/>
  <c r="AB206" i="3"/>
  <c r="AA206" i="3"/>
  <c r="AC205" i="3"/>
  <c r="AB205" i="3"/>
  <c r="AA205" i="3"/>
  <c r="AC204" i="3"/>
  <c r="AB204" i="3"/>
  <c r="AA204" i="3"/>
  <c r="AC203" i="3"/>
  <c r="AB203" i="3"/>
  <c r="AA203" i="3"/>
  <c r="AC202" i="3"/>
  <c r="AB202" i="3"/>
  <c r="AA202" i="3"/>
  <c r="AC201" i="3"/>
  <c r="AB201" i="3"/>
  <c r="AA201" i="3"/>
  <c r="AC200" i="3"/>
  <c r="AB200" i="3"/>
  <c r="AA200" i="3"/>
  <c r="AC199" i="3"/>
  <c r="AB199" i="3"/>
  <c r="AA199" i="3"/>
  <c r="AC198" i="3"/>
  <c r="AB198" i="3"/>
  <c r="AA198" i="3"/>
  <c r="AC197" i="3"/>
  <c r="AB197" i="3"/>
  <c r="AA197" i="3"/>
  <c r="AC196" i="3"/>
  <c r="AB196" i="3"/>
  <c r="AA196" i="3"/>
  <c r="AC195" i="3"/>
  <c r="AB195" i="3"/>
  <c r="AA195" i="3"/>
  <c r="AC194" i="3"/>
  <c r="AB194" i="3"/>
  <c r="AA194" i="3"/>
  <c r="AC193" i="3"/>
  <c r="AB193" i="3"/>
  <c r="AA193" i="3"/>
  <c r="AC192" i="3"/>
  <c r="AB192" i="3"/>
  <c r="AA192" i="3"/>
  <c r="AC191" i="3"/>
  <c r="AB191" i="3"/>
  <c r="AA191" i="3"/>
  <c r="AC190" i="3"/>
  <c r="AB190" i="3"/>
  <c r="AA190" i="3"/>
  <c r="AC189" i="3"/>
  <c r="AB189" i="3"/>
  <c r="AA189" i="3"/>
  <c r="AC188" i="3"/>
  <c r="AB188" i="3"/>
  <c r="AA188" i="3"/>
  <c r="AC187" i="3"/>
  <c r="AB187" i="3"/>
  <c r="AA187" i="3"/>
  <c r="AC186" i="3"/>
  <c r="AB186" i="3"/>
  <c r="AA186" i="3"/>
  <c r="AC185" i="3"/>
  <c r="AB185" i="3"/>
  <c r="AA185" i="3"/>
  <c r="AC184" i="3"/>
  <c r="AB184" i="3"/>
  <c r="AA184" i="3"/>
  <c r="AC183" i="3"/>
  <c r="AB183" i="3"/>
  <c r="AA183" i="3"/>
  <c r="AC182" i="3"/>
  <c r="AB182" i="3"/>
  <c r="AA182" i="3"/>
  <c r="AC181" i="3"/>
  <c r="AB181" i="3"/>
  <c r="AA181" i="3"/>
  <c r="AC180" i="3"/>
  <c r="AB180" i="3"/>
  <c r="AA180" i="3"/>
  <c r="AC179" i="3"/>
  <c r="AB179" i="3"/>
  <c r="AA179" i="3"/>
  <c r="AC178" i="3"/>
  <c r="AB178" i="3"/>
  <c r="AA178" i="3"/>
  <c r="AC177" i="3"/>
  <c r="AB177" i="3"/>
  <c r="AA177" i="3"/>
  <c r="AC176" i="3"/>
  <c r="AB176" i="3"/>
  <c r="AA176" i="3"/>
  <c r="AC175" i="3"/>
  <c r="AB175" i="3"/>
  <c r="AA175" i="3"/>
  <c r="AC174" i="3"/>
  <c r="AB174" i="3"/>
  <c r="AA174" i="3"/>
  <c r="AC173" i="3"/>
  <c r="AB173" i="3"/>
  <c r="AA173" i="3"/>
  <c r="AC172" i="3"/>
  <c r="AB172" i="3"/>
  <c r="AA172" i="3"/>
  <c r="AC171" i="3"/>
  <c r="AB171" i="3"/>
  <c r="AA171" i="3"/>
  <c r="AC170" i="3"/>
  <c r="AB170" i="3"/>
  <c r="AA170" i="3"/>
  <c r="AC169" i="3"/>
  <c r="AB169" i="3"/>
  <c r="AA169" i="3"/>
  <c r="AC168" i="3"/>
  <c r="AB168" i="3"/>
  <c r="AA168" i="3"/>
  <c r="AC167" i="3"/>
  <c r="AB167" i="3"/>
  <c r="AA167" i="3"/>
  <c r="AC166" i="3"/>
  <c r="AB166" i="3"/>
  <c r="AA166" i="3"/>
  <c r="AC165" i="3"/>
  <c r="AB165" i="3"/>
  <c r="AA165" i="3"/>
  <c r="AC164" i="3"/>
  <c r="AB164" i="3"/>
  <c r="AA164" i="3"/>
  <c r="AC163" i="3"/>
  <c r="AB163" i="3"/>
  <c r="AA163" i="3"/>
  <c r="AC162" i="3"/>
  <c r="AB162" i="3"/>
  <c r="AA162" i="3"/>
  <c r="AC161" i="3"/>
  <c r="AB161" i="3"/>
  <c r="AA161" i="3"/>
  <c r="AC160" i="3"/>
  <c r="AB160" i="3"/>
  <c r="AA160" i="3"/>
  <c r="AC159" i="3"/>
  <c r="AB159" i="3"/>
  <c r="AA159" i="3"/>
  <c r="AC158" i="3"/>
  <c r="AB158" i="3"/>
  <c r="AA158" i="3"/>
  <c r="AC157" i="3"/>
  <c r="AB157" i="3"/>
  <c r="AA157" i="3"/>
  <c r="AC156" i="3"/>
  <c r="AB156" i="3"/>
  <c r="AA156" i="3"/>
  <c r="AC155" i="3"/>
  <c r="AB155" i="3"/>
  <c r="AA155" i="3"/>
  <c r="AC154" i="3"/>
  <c r="AB154" i="3"/>
  <c r="AA154" i="3"/>
  <c r="AC153" i="3"/>
  <c r="AB153" i="3"/>
  <c r="AA153" i="3"/>
  <c r="AC152" i="3"/>
  <c r="AB152" i="3"/>
  <c r="AA152" i="3"/>
  <c r="AC151" i="3"/>
  <c r="AB151" i="3"/>
  <c r="AA151" i="3"/>
  <c r="AC150" i="3"/>
  <c r="AB150" i="3"/>
  <c r="AA150" i="3"/>
  <c r="AC149" i="3"/>
  <c r="AB149" i="3"/>
  <c r="AA149" i="3"/>
  <c r="AC148" i="3"/>
  <c r="AB148" i="3"/>
  <c r="AA148" i="3"/>
  <c r="AC147" i="3"/>
  <c r="AB147" i="3"/>
  <c r="AA147" i="3"/>
  <c r="AC146" i="3"/>
  <c r="AB146" i="3"/>
  <c r="AA146" i="3"/>
  <c r="AC145" i="3"/>
  <c r="AB145" i="3"/>
  <c r="AA145" i="3"/>
  <c r="AC144" i="3"/>
  <c r="AB144" i="3"/>
  <c r="AA144" i="3"/>
  <c r="AC143" i="3"/>
  <c r="AB143" i="3"/>
  <c r="AA143" i="3"/>
  <c r="AC142" i="3"/>
  <c r="AB142" i="3"/>
  <c r="AA142" i="3"/>
  <c r="AC141" i="3"/>
  <c r="AB141" i="3"/>
  <c r="AA141" i="3"/>
  <c r="AC140" i="3"/>
  <c r="AB140" i="3"/>
  <c r="AA140" i="3"/>
  <c r="AC139" i="3"/>
  <c r="AB139" i="3"/>
  <c r="AA139" i="3"/>
  <c r="AC138" i="3"/>
  <c r="AB138" i="3"/>
  <c r="AA138" i="3"/>
  <c r="AC137" i="3"/>
  <c r="AB137" i="3"/>
  <c r="AA137" i="3"/>
  <c r="AC136" i="3"/>
  <c r="AB136" i="3"/>
  <c r="AA136" i="3"/>
  <c r="AC135" i="3"/>
  <c r="AB135" i="3"/>
  <c r="AA135" i="3"/>
  <c r="AC134" i="3"/>
  <c r="AB134" i="3"/>
  <c r="AA134" i="3"/>
  <c r="AC133" i="3"/>
  <c r="AB133" i="3"/>
  <c r="AA133" i="3"/>
  <c r="AC132" i="3"/>
  <c r="AB132" i="3"/>
  <c r="AA132" i="3"/>
  <c r="AC131" i="3"/>
  <c r="AB131" i="3"/>
  <c r="AA131" i="3"/>
  <c r="AC130" i="3"/>
  <c r="AB130" i="3"/>
  <c r="AA130" i="3"/>
  <c r="AC129" i="3"/>
  <c r="AB129" i="3"/>
  <c r="AA129" i="3"/>
  <c r="AC128" i="3"/>
  <c r="AB128" i="3"/>
  <c r="AA128" i="3"/>
  <c r="AC127" i="3"/>
  <c r="AB127" i="3"/>
  <c r="AA127" i="3"/>
  <c r="AC126" i="3"/>
  <c r="AB126" i="3"/>
  <c r="AA126" i="3"/>
  <c r="AC125" i="3"/>
  <c r="AB125" i="3"/>
  <c r="AA125" i="3"/>
  <c r="AC124" i="3"/>
  <c r="AB124" i="3"/>
  <c r="AA124" i="3"/>
  <c r="AC123" i="3"/>
  <c r="AB123" i="3"/>
  <c r="AA123" i="3"/>
  <c r="AC122" i="3"/>
  <c r="AB122" i="3"/>
  <c r="AA122" i="3"/>
  <c r="AC121" i="3"/>
  <c r="AB121" i="3"/>
  <c r="AA121" i="3"/>
  <c r="AC120" i="3"/>
  <c r="AB120" i="3"/>
  <c r="AA120" i="3"/>
  <c r="AC119" i="3"/>
  <c r="AB119" i="3"/>
  <c r="AA119" i="3"/>
  <c r="AC118" i="3"/>
  <c r="AB118" i="3"/>
  <c r="AA118" i="3"/>
  <c r="AC117" i="3"/>
  <c r="AB117" i="3"/>
  <c r="AA117" i="3"/>
  <c r="AC116" i="3"/>
  <c r="AB116" i="3"/>
  <c r="AA116" i="3"/>
  <c r="AC115" i="3"/>
  <c r="AB115" i="3"/>
  <c r="AA115" i="3"/>
  <c r="AC114" i="3"/>
  <c r="AB114" i="3"/>
  <c r="AA114" i="3"/>
  <c r="AC113" i="3"/>
  <c r="AB113" i="3"/>
  <c r="AA113" i="3"/>
  <c r="AC112" i="3"/>
  <c r="AB112" i="3"/>
  <c r="AA112" i="3"/>
  <c r="AC111" i="3"/>
  <c r="AB111" i="3"/>
  <c r="AA111" i="3"/>
  <c r="AC110" i="3"/>
  <c r="AB110" i="3"/>
  <c r="AA110" i="3"/>
  <c r="AC109" i="3"/>
  <c r="AB109" i="3"/>
  <c r="AA109" i="3"/>
  <c r="AC108" i="3"/>
  <c r="AB108" i="3"/>
  <c r="AA108" i="3"/>
  <c r="AC107" i="3"/>
  <c r="AB107" i="3"/>
  <c r="AA107" i="3"/>
  <c r="AC106" i="3"/>
  <c r="AB106" i="3"/>
  <c r="AA106" i="3"/>
  <c r="AC105" i="3"/>
  <c r="AB105" i="3"/>
  <c r="AA105" i="3"/>
  <c r="AC104" i="3"/>
  <c r="AB104" i="3"/>
  <c r="AA104" i="3"/>
  <c r="AC103" i="3"/>
  <c r="AB103" i="3"/>
  <c r="AA103" i="3"/>
  <c r="AC102" i="3"/>
  <c r="AB102" i="3"/>
  <c r="AA102" i="3"/>
  <c r="AC101" i="3"/>
  <c r="AB101" i="3"/>
  <c r="AA101" i="3"/>
  <c r="AC100" i="3"/>
  <c r="AB100" i="3"/>
  <c r="AA100" i="3"/>
  <c r="AC99" i="3"/>
  <c r="AB99" i="3"/>
  <c r="AA99" i="3"/>
  <c r="AC98" i="3"/>
  <c r="AB98" i="3"/>
  <c r="AA98" i="3"/>
  <c r="AC97" i="3"/>
  <c r="AB97" i="3"/>
  <c r="AA97" i="3"/>
  <c r="AC96" i="3"/>
  <c r="AB96" i="3"/>
  <c r="AA96" i="3"/>
  <c r="AC95" i="3"/>
  <c r="AB95" i="3"/>
  <c r="AA95" i="3"/>
  <c r="AC94" i="3"/>
  <c r="AB94" i="3"/>
  <c r="AA94" i="3"/>
  <c r="AC93" i="3"/>
  <c r="AB93" i="3"/>
  <c r="AA93" i="3"/>
  <c r="AC92" i="3"/>
  <c r="AB92" i="3"/>
  <c r="AA92" i="3"/>
  <c r="AC91" i="3"/>
  <c r="AB91" i="3"/>
  <c r="AA91" i="3"/>
  <c r="AC90" i="3"/>
  <c r="AB90" i="3"/>
  <c r="AA90" i="3"/>
  <c r="AC89" i="3"/>
  <c r="AB89" i="3"/>
  <c r="AA89" i="3"/>
  <c r="AC88" i="3"/>
  <c r="AB88" i="3"/>
  <c r="AA88" i="3"/>
  <c r="AC87" i="3"/>
  <c r="AB87" i="3"/>
  <c r="AA87" i="3"/>
  <c r="AC86" i="3"/>
  <c r="AB86" i="3"/>
  <c r="AA86" i="3"/>
  <c r="AC85" i="3"/>
  <c r="AB85" i="3"/>
  <c r="AA85" i="3"/>
  <c r="AC84" i="3"/>
  <c r="AB84" i="3"/>
  <c r="AA84" i="3"/>
  <c r="AC83" i="3"/>
  <c r="AB83" i="3"/>
  <c r="AA83" i="3"/>
  <c r="AC82" i="3"/>
  <c r="AB82" i="3"/>
  <c r="AA82" i="3"/>
  <c r="AC81" i="3"/>
  <c r="AB81" i="3"/>
  <c r="AA81" i="3"/>
  <c r="AC80" i="3"/>
  <c r="AB80" i="3"/>
  <c r="AA80" i="3"/>
  <c r="AC79" i="3"/>
  <c r="AB79" i="3"/>
  <c r="AA79" i="3"/>
  <c r="AC78" i="3"/>
  <c r="AB78" i="3"/>
  <c r="AA78" i="3"/>
  <c r="AC77" i="3"/>
  <c r="AB77" i="3"/>
  <c r="AA77" i="3"/>
  <c r="AC76" i="3"/>
  <c r="AB76" i="3"/>
  <c r="AA76" i="3"/>
  <c r="AC75" i="3"/>
  <c r="AB75" i="3"/>
  <c r="AA75" i="3"/>
  <c r="AC74" i="3"/>
  <c r="AB74" i="3"/>
  <c r="AA74" i="3"/>
  <c r="AC73" i="3"/>
  <c r="AB73" i="3"/>
  <c r="AA73" i="3"/>
  <c r="AC72" i="3"/>
  <c r="AB72" i="3"/>
  <c r="AA72" i="3"/>
  <c r="AC71" i="3"/>
  <c r="AB71" i="3"/>
  <c r="AA71" i="3"/>
  <c r="AC70" i="3"/>
  <c r="AB70" i="3"/>
  <c r="AA70" i="3"/>
  <c r="AC69" i="3"/>
  <c r="AB69" i="3"/>
  <c r="AA69" i="3"/>
  <c r="AC68" i="3"/>
  <c r="AB68" i="3"/>
  <c r="AA68" i="3"/>
  <c r="AC67" i="3"/>
  <c r="AB67" i="3"/>
  <c r="AA67" i="3"/>
  <c r="AC66" i="3"/>
  <c r="AB66" i="3"/>
  <c r="AA66" i="3"/>
  <c r="AC65" i="3"/>
  <c r="AB65" i="3"/>
  <c r="AA65" i="3"/>
  <c r="AC64" i="3"/>
  <c r="AB64" i="3"/>
  <c r="AA64" i="3"/>
  <c r="AC63" i="3"/>
  <c r="AB63" i="3"/>
  <c r="AA63" i="3"/>
  <c r="AC62" i="3"/>
  <c r="AB62" i="3"/>
  <c r="AA62" i="3"/>
  <c r="AC61" i="3"/>
  <c r="AB61" i="3"/>
  <c r="AA61" i="3"/>
  <c r="AC60" i="3"/>
  <c r="AB60" i="3"/>
  <c r="AA60" i="3"/>
  <c r="AC59" i="3"/>
  <c r="AB59" i="3"/>
  <c r="AA59" i="3"/>
  <c r="AC58" i="3"/>
  <c r="AB58" i="3"/>
  <c r="AA58" i="3"/>
  <c r="AC57" i="3"/>
  <c r="AB57" i="3"/>
  <c r="AA57" i="3"/>
  <c r="AC56" i="3"/>
  <c r="AB56" i="3"/>
  <c r="AA56" i="3"/>
  <c r="AC55" i="3"/>
  <c r="AB55" i="3"/>
  <c r="AA55" i="3"/>
  <c r="AC54" i="3"/>
  <c r="AB54" i="3"/>
  <c r="AA54" i="3"/>
  <c r="AC53" i="3"/>
  <c r="AB53" i="3"/>
  <c r="AA53" i="3"/>
  <c r="AC52" i="3"/>
  <c r="AB52" i="3"/>
  <c r="AA52" i="3"/>
  <c r="AC51" i="3"/>
  <c r="AB51" i="3"/>
  <c r="AA51" i="3"/>
  <c r="AC50" i="3"/>
  <c r="AB50" i="3"/>
  <c r="AA50" i="3"/>
  <c r="AC49" i="3"/>
  <c r="AB49" i="3"/>
  <c r="AA49" i="3"/>
  <c r="AC48" i="3"/>
  <c r="AB48" i="3"/>
  <c r="AA48" i="3"/>
  <c r="AC47" i="3"/>
  <c r="AB47" i="3"/>
  <c r="AA47" i="3"/>
  <c r="AC46" i="3"/>
  <c r="AB46" i="3"/>
  <c r="AA46" i="3"/>
  <c r="AC45" i="3"/>
  <c r="AB45" i="3"/>
  <c r="AA45" i="3"/>
  <c r="AC44" i="3"/>
  <c r="AB44" i="3"/>
  <c r="AA44" i="3"/>
  <c r="AC43" i="3"/>
  <c r="AB43" i="3"/>
  <c r="AA43" i="3"/>
  <c r="AC42" i="3"/>
  <c r="AB42" i="3"/>
  <c r="AA42" i="3"/>
  <c r="AC41" i="3"/>
  <c r="AB41" i="3"/>
  <c r="AA41" i="3"/>
  <c r="AC40" i="3"/>
  <c r="AB40" i="3"/>
  <c r="AA40" i="3"/>
  <c r="AC39" i="3"/>
  <c r="AB39" i="3"/>
  <c r="AA39" i="3"/>
  <c r="AC38" i="3"/>
  <c r="AB38" i="3"/>
  <c r="AA38" i="3"/>
  <c r="AC37" i="3"/>
  <c r="AB37" i="3"/>
  <c r="AA37" i="3"/>
  <c r="AC36" i="3"/>
  <c r="AB36" i="3"/>
  <c r="AA36" i="3"/>
  <c r="AC35" i="3"/>
  <c r="AB35" i="3"/>
  <c r="AA35" i="3"/>
  <c r="AC34" i="3"/>
  <c r="AB34" i="3"/>
  <c r="AA34" i="3"/>
  <c r="AC33" i="3"/>
  <c r="AB33" i="3"/>
  <c r="AA33" i="3"/>
  <c r="AC32" i="3"/>
  <c r="AB32" i="3"/>
  <c r="AA32" i="3"/>
  <c r="AC31" i="3"/>
  <c r="AB31" i="3"/>
  <c r="AA31" i="3"/>
  <c r="AC30" i="3"/>
  <c r="AB30" i="3"/>
  <c r="AA30" i="3"/>
  <c r="AC29" i="3"/>
  <c r="AB29" i="3"/>
  <c r="AA29" i="3"/>
  <c r="AC28" i="3"/>
  <c r="AB28" i="3"/>
  <c r="AA28" i="3"/>
  <c r="AC27" i="3"/>
  <c r="AB27" i="3"/>
  <c r="AA27" i="3"/>
  <c r="AC26" i="3"/>
  <c r="AB26" i="3"/>
  <c r="AA26" i="3"/>
  <c r="AC25" i="3"/>
  <c r="AB25" i="3"/>
  <c r="AA25" i="3"/>
  <c r="AC24" i="3"/>
  <c r="AB24" i="3"/>
  <c r="AA24" i="3"/>
  <c r="AC23" i="3"/>
  <c r="AB23" i="3"/>
  <c r="AA23" i="3"/>
  <c r="AC22" i="3"/>
  <c r="AB22" i="3"/>
  <c r="AA22" i="3"/>
  <c r="AC21" i="3"/>
  <c r="AB21" i="3"/>
  <c r="AA21" i="3"/>
  <c r="AC20" i="3"/>
  <c r="AB20" i="3"/>
  <c r="AA20" i="3"/>
  <c r="AC19" i="3"/>
  <c r="AB19" i="3"/>
  <c r="AA19" i="3"/>
  <c r="AC18" i="3"/>
  <c r="AB18" i="3"/>
  <c r="AA18" i="3"/>
  <c r="AC17" i="3"/>
  <c r="AB17" i="3"/>
  <c r="AA17" i="3"/>
  <c r="AC16" i="3"/>
  <c r="AB16" i="3"/>
  <c r="AA16" i="3"/>
  <c r="AC15" i="3"/>
  <c r="AB15" i="3"/>
  <c r="AA15" i="3"/>
  <c r="AC14" i="3"/>
  <c r="AB14" i="3"/>
  <c r="AA14" i="3"/>
  <c r="AC13" i="3"/>
  <c r="AB13" i="3"/>
  <c r="AA13" i="3"/>
  <c r="AC12" i="3"/>
  <c r="AB12" i="3"/>
  <c r="AA12" i="3"/>
  <c r="AC11" i="3"/>
  <c r="AB11" i="3"/>
  <c r="AA11" i="3"/>
  <c r="AC10" i="3"/>
  <c r="AB10" i="3"/>
  <c r="AA10" i="3"/>
  <c r="AC9" i="3"/>
  <c r="AB9" i="3"/>
  <c r="AA9" i="3"/>
  <c r="AC8" i="3"/>
  <c r="AB8" i="3"/>
  <c r="AA8" i="3"/>
  <c r="AC7" i="3"/>
  <c r="AB7" i="3"/>
  <c r="AA7" i="3"/>
  <c r="AC6" i="3"/>
  <c r="AB6" i="3"/>
  <c r="AA6" i="3"/>
  <c r="AC5" i="3"/>
  <c r="AB5" i="3"/>
  <c r="AA5" i="3"/>
  <c r="AC4" i="3"/>
  <c r="AB4" i="3"/>
  <c r="AA4" i="3"/>
  <c r="AC3" i="3"/>
  <c r="AB3" i="3"/>
  <c r="AA3" i="3"/>
  <c r="AC2" i="3"/>
  <c r="AB2" i="3"/>
  <c r="AA2" i="3"/>
  <c r="AH727" i="2"/>
  <c r="AG727" i="2"/>
  <c r="AF727" i="2"/>
  <c r="AB727" i="2"/>
  <c r="AA727" i="2"/>
  <c r="AH726" i="2"/>
  <c r="AG726" i="2"/>
  <c r="AF726" i="2"/>
  <c r="AB726" i="2"/>
  <c r="AA726" i="2"/>
  <c r="AH725" i="2"/>
  <c r="AG725" i="2"/>
  <c r="AF725" i="2"/>
  <c r="AB725" i="2"/>
  <c r="AA725" i="2"/>
  <c r="AH724" i="2"/>
  <c r="AG724" i="2"/>
  <c r="AF724" i="2"/>
  <c r="AB724" i="2"/>
  <c r="AA724" i="2"/>
  <c r="AH723" i="2"/>
  <c r="AG723" i="2"/>
  <c r="AF723" i="2"/>
  <c r="AB723" i="2"/>
  <c r="AA723" i="2"/>
  <c r="AH722" i="2"/>
  <c r="AG722" i="2"/>
  <c r="AF722" i="2"/>
  <c r="AB722" i="2"/>
  <c r="AA722" i="2"/>
  <c r="AH721" i="2"/>
  <c r="AG721" i="2"/>
  <c r="AF721" i="2"/>
  <c r="AB721" i="2"/>
  <c r="AA721" i="2"/>
  <c r="AH720" i="2"/>
  <c r="AG720" i="2"/>
  <c r="AF720" i="2"/>
  <c r="AB720" i="2"/>
  <c r="AA720" i="2"/>
  <c r="AH719" i="2"/>
  <c r="AG719" i="2"/>
  <c r="AF719" i="2"/>
  <c r="AB719" i="2"/>
  <c r="AA719" i="2"/>
  <c r="AH718" i="2"/>
  <c r="AG718" i="2"/>
  <c r="AF718" i="2"/>
  <c r="AB718" i="2"/>
  <c r="AA718" i="2"/>
  <c r="AH717" i="2"/>
  <c r="AG717" i="2"/>
  <c r="AF717" i="2"/>
  <c r="AB717" i="2"/>
  <c r="AA717" i="2"/>
  <c r="AH716" i="2"/>
  <c r="AG716" i="2"/>
  <c r="AF716" i="2"/>
  <c r="AB716" i="2"/>
  <c r="AA716" i="2"/>
  <c r="AH715" i="2"/>
  <c r="AG715" i="2"/>
  <c r="AF715" i="2"/>
  <c r="AB715" i="2"/>
  <c r="AA715" i="2"/>
  <c r="AH714" i="2"/>
  <c r="AG714" i="2"/>
  <c r="AF714" i="2"/>
  <c r="AB714" i="2"/>
  <c r="AA714" i="2"/>
  <c r="AH713" i="2"/>
  <c r="AG713" i="2"/>
  <c r="AF713" i="2"/>
  <c r="AB713" i="2"/>
  <c r="AA713" i="2"/>
  <c r="AH712" i="2"/>
  <c r="AG712" i="2"/>
  <c r="AF712" i="2"/>
  <c r="AB712" i="2"/>
  <c r="AA712" i="2"/>
  <c r="AH711" i="2"/>
  <c r="AG711" i="2"/>
  <c r="AF711" i="2"/>
  <c r="AB711" i="2"/>
  <c r="AA711" i="2"/>
  <c r="AH710" i="2"/>
  <c r="AG710" i="2"/>
  <c r="AF710" i="2"/>
  <c r="AB710" i="2"/>
  <c r="AA710" i="2"/>
  <c r="AH709" i="2"/>
  <c r="AG709" i="2"/>
  <c r="AF709" i="2"/>
  <c r="AB709" i="2"/>
  <c r="AA709" i="2"/>
  <c r="AH708" i="2"/>
  <c r="AG708" i="2"/>
  <c r="AF708" i="2"/>
  <c r="AB708" i="2"/>
  <c r="AA708" i="2"/>
  <c r="AH707" i="2"/>
  <c r="AG707" i="2"/>
  <c r="AF707" i="2"/>
  <c r="AB707" i="2"/>
  <c r="AA707" i="2"/>
  <c r="AH706" i="2"/>
  <c r="AG706" i="2"/>
  <c r="AF706" i="2"/>
  <c r="AB706" i="2"/>
  <c r="AA706" i="2"/>
  <c r="AH705" i="2"/>
  <c r="AG705" i="2"/>
  <c r="AF705" i="2"/>
  <c r="AB705" i="2"/>
  <c r="AA705" i="2"/>
  <c r="AH704" i="2"/>
  <c r="AG704" i="2"/>
  <c r="AF704" i="2"/>
  <c r="AB704" i="2"/>
  <c r="AA704" i="2"/>
  <c r="AH703" i="2"/>
  <c r="AG703" i="2"/>
  <c r="AF703" i="2"/>
  <c r="AB703" i="2"/>
  <c r="AA703" i="2"/>
  <c r="AH702" i="2"/>
  <c r="AG702" i="2"/>
  <c r="AF702" i="2"/>
  <c r="AB702" i="2"/>
  <c r="AA702" i="2"/>
  <c r="AH701" i="2"/>
  <c r="AG701" i="2"/>
  <c r="AF701" i="2"/>
  <c r="AB701" i="2"/>
  <c r="AA701" i="2"/>
  <c r="AH700" i="2"/>
  <c r="AG700" i="2"/>
  <c r="AF700" i="2"/>
  <c r="AB700" i="2"/>
  <c r="AA700" i="2"/>
  <c r="AH699" i="2"/>
  <c r="AG699" i="2"/>
  <c r="AF699" i="2"/>
  <c r="AB699" i="2"/>
  <c r="AA699" i="2"/>
  <c r="AH698" i="2"/>
  <c r="AG698" i="2"/>
  <c r="AF698" i="2"/>
  <c r="AB698" i="2"/>
  <c r="AA698" i="2"/>
  <c r="AH697" i="2"/>
  <c r="AG697" i="2"/>
  <c r="AF697" i="2"/>
  <c r="AB697" i="2"/>
  <c r="AA697" i="2"/>
  <c r="AH696" i="2"/>
  <c r="AG696" i="2"/>
  <c r="AF696" i="2"/>
  <c r="AB696" i="2"/>
  <c r="AA696" i="2"/>
  <c r="AH695" i="2"/>
  <c r="AG695" i="2"/>
  <c r="AF695" i="2"/>
  <c r="AB695" i="2"/>
  <c r="AA695" i="2"/>
  <c r="AH694" i="2"/>
  <c r="AG694" i="2"/>
  <c r="AF694" i="2"/>
  <c r="AB694" i="2"/>
  <c r="AA694" i="2"/>
  <c r="AH693" i="2"/>
  <c r="AG693" i="2"/>
  <c r="AF693" i="2"/>
  <c r="AB693" i="2"/>
  <c r="AA693" i="2"/>
  <c r="AH692" i="2"/>
  <c r="AG692" i="2"/>
  <c r="AF692" i="2"/>
  <c r="AB692" i="2"/>
  <c r="AA692" i="2"/>
  <c r="AH691" i="2"/>
  <c r="AG691" i="2"/>
  <c r="AF691" i="2"/>
  <c r="AB691" i="2"/>
  <c r="AA691" i="2"/>
  <c r="AH690" i="2"/>
  <c r="AG690" i="2"/>
  <c r="AF690" i="2"/>
  <c r="AB690" i="2"/>
  <c r="AA690" i="2"/>
  <c r="AH689" i="2"/>
  <c r="AG689" i="2"/>
  <c r="AF689" i="2"/>
  <c r="AB689" i="2"/>
  <c r="AA689" i="2"/>
  <c r="AH688" i="2"/>
  <c r="AG688" i="2"/>
  <c r="AF688" i="2"/>
  <c r="AB688" i="2"/>
  <c r="AA688" i="2"/>
  <c r="AH687" i="2"/>
  <c r="AG687" i="2"/>
  <c r="AF687" i="2"/>
  <c r="AB687" i="2"/>
  <c r="AA687" i="2"/>
  <c r="AH686" i="2"/>
  <c r="AG686" i="2"/>
  <c r="AF686" i="2"/>
  <c r="AB686" i="2"/>
  <c r="AA686" i="2"/>
  <c r="AH685" i="2"/>
  <c r="AG685" i="2"/>
  <c r="AF685" i="2"/>
  <c r="AB685" i="2"/>
  <c r="AA685" i="2"/>
  <c r="AH684" i="2"/>
  <c r="AG684" i="2"/>
  <c r="AF684" i="2"/>
  <c r="AB684" i="2"/>
  <c r="AA684" i="2"/>
  <c r="AH683" i="2"/>
  <c r="AG683" i="2"/>
  <c r="AF683" i="2"/>
  <c r="AB683" i="2"/>
  <c r="AA683" i="2"/>
  <c r="AH682" i="2"/>
  <c r="AG682" i="2"/>
  <c r="AF682" i="2"/>
  <c r="AB682" i="2"/>
  <c r="AA682" i="2"/>
  <c r="AH681" i="2"/>
  <c r="AG681" i="2"/>
  <c r="AF681" i="2"/>
  <c r="AB681" i="2"/>
  <c r="AA681" i="2"/>
  <c r="AH680" i="2"/>
  <c r="AG680" i="2"/>
  <c r="AF680" i="2"/>
  <c r="AB680" i="2"/>
  <c r="AA680" i="2"/>
  <c r="AH679" i="2"/>
  <c r="AG679" i="2"/>
  <c r="AF679" i="2"/>
  <c r="AB679" i="2"/>
  <c r="AA679" i="2"/>
  <c r="AH678" i="2"/>
  <c r="AG678" i="2"/>
  <c r="AF678" i="2"/>
  <c r="AB678" i="2"/>
  <c r="AA678" i="2"/>
  <c r="AH677" i="2"/>
  <c r="AG677" i="2"/>
  <c r="AF677" i="2"/>
  <c r="AB677" i="2"/>
  <c r="AA677" i="2"/>
  <c r="AH676" i="2"/>
  <c r="AG676" i="2"/>
  <c r="AF676" i="2"/>
  <c r="AB676" i="2"/>
  <c r="AA676" i="2"/>
  <c r="AH675" i="2"/>
  <c r="AG675" i="2"/>
  <c r="AF675" i="2"/>
  <c r="AB675" i="2"/>
  <c r="AA675" i="2"/>
  <c r="AH674" i="2"/>
  <c r="AG674" i="2"/>
  <c r="AF674" i="2"/>
  <c r="AB674" i="2"/>
  <c r="AA674" i="2"/>
  <c r="AH673" i="2"/>
  <c r="AG673" i="2"/>
  <c r="AF673" i="2"/>
  <c r="AB673" i="2"/>
  <c r="AA673" i="2"/>
  <c r="AH672" i="2"/>
  <c r="AG672" i="2"/>
  <c r="AF672" i="2"/>
  <c r="AB672" i="2"/>
  <c r="AA672" i="2"/>
  <c r="AH671" i="2"/>
  <c r="AG671" i="2"/>
  <c r="AF671" i="2"/>
  <c r="AB671" i="2"/>
  <c r="AA671" i="2"/>
  <c r="AH670" i="2"/>
  <c r="AG670" i="2"/>
  <c r="AF670" i="2"/>
  <c r="AB670" i="2"/>
  <c r="AA670" i="2"/>
  <c r="AH669" i="2"/>
  <c r="AG669" i="2"/>
  <c r="AF669" i="2"/>
  <c r="AB669" i="2"/>
  <c r="AA669" i="2"/>
  <c r="AH668" i="2"/>
  <c r="AG668" i="2"/>
  <c r="AF668" i="2"/>
  <c r="AB668" i="2"/>
  <c r="AA668" i="2"/>
  <c r="AH667" i="2"/>
  <c r="AG667" i="2"/>
  <c r="AF667" i="2"/>
  <c r="AB667" i="2"/>
  <c r="AA667" i="2"/>
  <c r="AB666" i="2"/>
  <c r="AA666" i="2"/>
  <c r="AB665" i="2"/>
  <c r="AA665" i="2"/>
  <c r="AB664" i="2"/>
  <c r="AA664" i="2"/>
  <c r="AB663" i="2"/>
  <c r="AA663" i="2"/>
  <c r="AB662" i="2"/>
  <c r="AA662" i="2"/>
  <c r="AB661" i="2"/>
  <c r="AA661" i="2"/>
  <c r="AB660" i="2"/>
  <c r="AA660" i="2"/>
  <c r="AB659" i="2"/>
  <c r="AA659" i="2"/>
  <c r="AB658" i="2"/>
  <c r="AA658" i="2"/>
  <c r="AB657" i="2"/>
  <c r="AA657" i="2"/>
  <c r="AB656" i="2"/>
  <c r="AA656" i="2"/>
  <c r="AB655" i="2"/>
  <c r="AA655" i="2"/>
  <c r="AB654" i="2"/>
  <c r="AA654" i="2"/>
  <c r="AB653" i="2"/>
  <c r="AA653" i="2"/>
  <c r="AB652" i="2"/>
  <c r="AA652" i="2"/>
  <c r="AB651" i="2"/>
  <c r="AA651" i="2"/>
  <c r="AB650" i="2"/>
  <c r="AA650" i="2"/>
  <c r="AB649" i="2"/>
  <c r="AA649" i="2"/>
  <c r="AB648" i="2"/>
  <c r="AA648" i="2"/>
  <c r="AB647" i="2"/>
  <c r="AA647" i="2"/>
  <c r="AB646" i="2"/>
  <c r="AA646" i="2"/>
  <c r="AB645" i="2"/>
  <c r="AA645" i="2"/>
  <c r="AB644" i="2"/>
  <c r="AA644" i="2"/>
  <c r="AB643" i="2"/>
  <c r="AA643" i="2"/>
  <c r="AB642" i="2"/>
  <c r="AA642" i="2"/>
  <c r="AB641" i="2"/>
  <c r="AA641" i="2"/>
  <c r="AB640" i="2"/>
  <c r="AA640" i="2"/>
  <c r="AB639" i="2"/>
  <c r="AA639" i="2"/>
  <c r="AB638" i="2"/>
  <c r="AA638" i="2"/>
  <c r="AB637" i="2"/>
  <c r="AA637" i="2"/>
  <c r="AB636" i="2"/>
  <c r="AA636" i="2"/>
  <c r="AB635" i="2"/>
  <c r="AA635" i="2"/>
  <c r="AB634" i="2"/>
  <c r="AA634" i="2"/>
  <c r="AB633" i="2"/>
  <c r="AA633" i="2"/>
  <c r="AB632" i="2"/>
  <c r="AA632" i="2"/>
  <c r="AB631" i="2"/>
  <c r="AA631" i="2"/>
  <c r="AB630" i="2"/>
  <c r="AA630" i="2"/>
  <c r="AB629" i="2"/>
  <c r="AA629" i="2"/>
  <c r="AB628" i="2"/>
  <c r="AA628" i="2"/>
  <c r="AB627" i="2"/>
  <c r="AA627" i="2"/>
  <c r="AB626" i="2"/>
  <c r="AA626" i="2"/>
  <c r="AB625" i="2"/>
  <c r="AA625" i="2"/>
  <c r="AB624" i="2"/>
  <c r="AA624" i="2"/>
  <c r="AB623" i="2"/>
  <c r="AA623" i="2"/>
  <c r="AB622" i="2"/>
  <c r="AA622" i="2"/>
  <c r="AB621" i="2"/>
  <c r="AA621" i="2"/>
  <c r="AB620" i="2"/>
  <c r="AA620" i="2"/>
  <c r="AB619" i="2"/>
  <c r="AA619" i="2"/>
  <c r="AB618" i="2"/>
  <c r="AA618" i="2"/>
  <c r="AB617" i="2"/>
  <c r="AA617" i="2"/>
  <c r="AB616" i="2"/>
  <c r="AA616" i="2"/>
  <c r="AB615" i="2"/>
  <c r="AA615" i="2"/>
  <c r="AB614" i="2"/>
  <c r="AA614" i="2"/>
  <c r="AB613" i="2"/>
  <c r="AA613" i="2"/>
  <c r="AB612" i="2"/>
  <c r="AA612" i="2"/>
  <c r="AB611" i="2"/>
  <c r="AA611" i="2"/>
  <c r="AB610" i="2"/>
  <c r="AA610" i="2"/>
  <c r="AB609" i="2"/>
  <c r="AA609" i="2"/>
  <c r="AB608" i="2"/>
  <c r="AA608" i="2"/>
  <c r="AB607" i="2"/>
  <c r="AA607" i="2"/>
  <c r="AB606" i="2"/>
  <c r="AA606" i="2"/>
  <c r="AB605" i="2"/>
  <c r="AA605" i="2"/>
  <c r="AB604" i="2"/>
  <c r="AA604" i="2"/>
  <c r="AB603" i="2"/>
  <c r="AA603" i="2"/>
  <c r="AB602" i="2"/>
  <c r="AA602" i="2"/>
  <c r="AB601" i="2"/>
  <c r="AA601" i="2"/>
  <c r="AB600" i="2"/>
  <c r="AA600" i="2"/>
  <c r="AB599" i="2"/>
  <c r="AA599" i="2"/>
  <c r="AB598" i="2"/>
  <c r="AA598" i="2"/>
  <c r="AB597" i="2"/>
  <c r="AA597" i="2"/>
  <c r="AB596" i="2"/>
  <c r="AA596" i="2"/>
  <c r="AB595" i="2"/>
  <c r="AA595" i="2"/>
  <c r="AB594" i="2"/>
  <c r="AA594" i="2"/>
  <c r="AB593" i="2"/>
  <c r="AA593" i="2"/>
  <c r="AB592" i="2"/>
  <c r="AA592" i="2"/>
  <c r="AB591" i="2"/>
  <c r="AA591" i="2"/>
  <c r="AB590" i="2"/>
  <c r="AA590" i="2"/>
  <c r="AB589" i="2"/>
  <c r="AA589" i="2"/>
  <c r="AB588" i="2"/>
  <c r="AA588" i="2"/>
  <c r="AB587" i="2"/>
  <c r="AA587" i="2"/>
  <c r="AB586" i="2"/>
  <c r="AA586" i="2"/>
  <c r="AB585" i="2"/>
  <c r="AA585" i="2"/>
  <c r="AB584" i="2"/>
  <c r="AA584" i="2"/>
  <c r="AB583" i="2"/>
  <c r="AA583" i="2"/>
  <c r="AB582" i="2"/>
  <c r="AA582" i="2"/>
  <c r="AB581" i="2"/>
  <c r="AA581" i="2"/>
  <c r="AB580" i="2"/>
  <c r="AA580" i="2"/>
  <c r="AB579" i="2"/>
  <c r="AA579" i="2"/>
  <c r="AB578" i="2"/>
  <c r="AA578" i="2"/>
  <c r="AB577" i="2"/>
  <c r="AA577" i="2"/>
  <c r="AB576" i="2"/>
  <c r="AA576" i="2"/>
  <c r="AB575" i="2"/>
  <c r="AA575" i="2"/>
  <c r="AB574" i="2"/>
  <c r="AA574" i="2"/>
  <c r="AB573" i="2"/>
  <c r="AA573" i="2"/>
  <c r="AB572" i="2"/>
  <c r="AA572" i="2"/>
  <c r="AB571" i="2"/>
  <c r="AA571" i="2"/>
  <c r="AB570" i="2"/>
  <c r="AA570" i="2"/>
  <c r="AB569" i="2"/>
  <c r="AA569" i="2"/>
  <c r="AB568" i="2"/>
  <c r="AA568" i="2"/>
  <c r="AB567" i="2"/>
  <c r="AA567" i="2"/>
  <c r="AB566" i="2"/>
  <c r="AA566" i="2"/>
  <c r="AB565" i="2"/>
  <c r="AA565" i="2"/>
  <c r="AB564" i="2"/>
  <c r="AA564" i="2"/>
  <c r="AB563" i="2"/>
  <c r="AA563" i="2"/>
  <c r="AB562" i="2"/>
  <c r="AA562" i="2"/>
  <c r="AB561" i="2"/>
  <c r="AA561" i="2"/>
  <c r="AB560" i="2"/>
  <c r="AA560" i="2"/>
  <c r="AB559" i="2"/>
  <c r="AA559" i="2"/>
  <c r="AB558" i="2"/>
  <c r="AA558" i="2"/>
  <c r="AB557" i="2"/>
  <c r="AA557" i="2"/>
  <c r="AB556" i="2"/>
  <c r="AA556" i="2"/>
  <c r="AB555" i="2"/>
  <c r="AA555" i="2"/>
  <c r="AB554" i="2"/>
  <c r="AA554" i="2"/>
  <c r="AB553" i="2"/>
  <c r="AA553" i="2"/>
  <c r="AB552" i="2"/>
  <c r="AA552" i="2"/>
  <c r="AB551" i="2"/>
  <c r="AA551" i="2"/>
  <c r="AB550" i="2"/>
  <c r="AA550" i="2"/>
  <c r="AB549" i="2"/>
  <c r="AA549" i="2"/>
  <c r="AB548" i="2"/>
  <c r="AA548" i="2"/>
  <c r="AB547" i="2"/>
  <c r="AA547" i="2"/>
  <c r="AB546" i="2"/>
  <c r="AA546" i="2"/>
  <c r="AB545" i="2"/>
  <c r="AA545" i="2"/>
  <c r="AB544" i="2"/>
  <c r="AA544" i="2"/>
  <c r="AB543" i="2"/>
  <c r="AA543" i="2"/>
  <c r="AB542" i="2"/>
  <c r="AA542" i="2"/>
  <c r="AA541" i="2"/>
  <c r="AB540" i="2"/>
  <c r="AA540" i="2"/>
  <c r="AB539" i="2"/>
  <c r="AA539" i="2"/>
  <c r="AB538" i="2"/>
  <c r="AA538" i="2"/>
  <c r="AB537" i="2"/>
  <c r="AA537" i="2"/>
  <c r="AB536" i="2"/>
  <c r="AA536" i="2"/>
  <c r="AB535" i="2"/>
  <c r="AA535" i="2"/>
  <c r="AB534" i="2"/>
  <c r="AA534" i="2"/>
  <c r="AB533" i="2"/>
  <c r="AA533" i="2"/>
  <c r="AB532" i="2"/>
  <c r="AA532" i="2"/>
  <c r="AB531" i="2"/>
  <c r="AA531" i="2"/>
  <c r="AB530" i="2"/>
  <c r="AA530" i="2"/>
  <c r="AB529" i="2"/>
  <c r="AA529" i="2"/>
  <c r="AB528" i="2"/>
  <c r="AA528" i="2"/>
  <c r="AB527" i="2"/>
  <c r="AA527" i="2"/>
  <c r="AB526" i="2"/>
  <c r="AA526" i="2"/>
  <c r="AB525" i="2"/>
  <c r="AA525" i="2"/>
  <c r="AB524" i="2"/>
  <c r="AA524" i="2"/>
  <c r="AB523" i="2"/>
  <c r="AA523" i="2"/>
  <c r="AB522" i="2"/>
  <c r="AA522" i="2"/>
  <c r="AB521" i="2"/>
  <c r="AA521" i="2"/>
  <c r="AB520" i="2"/>
  <c r="AA520" i="2"/>
  <c r="AB519" i="2"/>
  <c r="AA519" i="2"/>
  <c r="AB518" i="2"/>
  <c r="AA518" i="2"/>
  <c r="AB517" i="2"/>
  <c r="AA517" i="2"/>
  <c r="AB516" i="2"/>
  <c r="AA516" i="2"/>
  <c r="AB515" i="2"/>
  <c r="AA515" i="2"/>
  <c r="AB514" i="2"/>
  <c r="AA514" i="2"/>
  <c r="AB513" i="2"/>
  <c r="AA513" i="2"/>
  <c r="AB512" i="2"/>
  <c r="AA512" i="2"/>
  <c r="AB511" i="2"/>
  <c r="AA511" i="2"/>
  <c r="AB510" i="2"/>
  <c r="AA510" i="2"/>
  <c r="AB509" i="2"/>
  <c r="AA509" i="2"/>
  <c r="AB508" i="2"/>
  <c r="AA508" i="2"/>
  <c r="AB507" i="2"/>
  <c r="AA507" i="2"/>
  <c r="AB506" i="2"/>
  <c r="AA506" i="2"/>
  <c r="AB505" i="2"/>
  <c r="AA505" i="2"/>
  <c r="AB504" i="2"/>
  <c r="AA504" i="2"/>
  <c r="AB503" i="2"/>
  <c r="AA503" i="2"/>
  <c r="AB502" i="2"/>
  <c r="AA502" i="2"/>
  <c r="AB501" i="2"/>
  <c r="AA501" i="2"/>
  <c r="AB500" i="2"/>
  <c r="AA500" i="2"/>
  <c r="AB499" i="2"/>
  <c r="AA499" i="2"/>
  <c r="AB498" i="2"/>
  <c r="AA498" i="2"/>
  <c r="AB497" i="2"/>
  <c r="AA497" i="2"/>
  <c r="AB496" i="2"/>
  <c r="AA496" i="2"/>
  <c r="AB495" i="2"/>
  <c r="AA495" i="2"/>
  <c r="AB494" i="2"/>
  <c r="AA494" i="2"/>
  <c r="AB493" i="2"/>
  <c r="AA493" i="2"/>
  <c r="AB492" i="2"/>
  <c r="AA492" i="2"/>
  <c r="AB491" i="2"/>
  <c r="AA491" i="2"/>
  <c r="AB490" i="2"/>
  <c r="AA490" i="2"/>
  <c r="AB489" i="2"/>
  <c r="AA489" i="2"/>
  <c r="AB488" i="2"/>
  <c r="AA488" i="2"/>
  <c r="AB487" i="2"/>
  <c r="AA487" i="2"/>
  <c r="AB486" i="2"/>
  <c r="AA486" i="2"/>
  <c r="AB485" i="2"/>
  <c r="AA485" i="2"/>
  <c r="AB484" i="2"/>
  <c r="AA484" i="2"/>
  <c r="AB483" i="2"/>
  <c r="AA483" i="2"/>
  <c r="AB482" i="2"/>
  <c r="AA482" i="2"/>
  <c r="AB481" i="2"/>
  <c r="AA481" i="2"/>
  <c r="AB480" i="2"/>
  <c r="AA480" i="2"/>
  <c r="AB479" i="2"/>
  <c r="AA479" i="2"/>
  <c r="AB478" i="2"/>
  <c r="AA478" i="2"/>
  <c r="AB477" i="2"/>
  <c r="AA477" i="2"/>
  <c r="AB476" i="2"/>
  <c r="AA476" i="2"/>
  <c r="AB475" i="2"/>
  <c r="AA475" i="2"/>
  <c r="AB474" i="2"/>
  <c r="AA474" i="2"/>
  <c r="AB473" i="2"/>
  <c r="AA473" i="2"/>
  <c r="AB472" i="2"/>
  <c r="AA472" i="2"/>
  <c r="AB471" i="2"/>
  <c r="AA471" i="2"/>
  <c r="AB470" i="2"/>
  <c r="AA470" i="2"/>
  <c r="AB469" i="2"/>
  <c r="AA469" i="2"/>
  <c r="AB468" i="2"/>
  <c r="AA468" i="2"/>
  <c r="AB467" i="2"/>
  <c r="AA467" i="2"/>
  <c r="AB466" i="2"/>
  <c r="AA466" i="2"/>
  <c r="AB465" i="2"/>
  <c r="AA465" i="2"/>
  <c r="AB464" i="2"/>
  <c r="AA464" i="2"/>
  <c r="AB463" i="2"/>
  <c r="AA463" i="2"/>
  <c r="AB462" i="2"/>
  <c r="AA462" i="2"/>
  <c r="AB461" i="2"/>
  <c r="AA461" i="2"/>
  <c r="AB460" i="2"/>
  <c r="AA460" i="2"/>
  <c r="AB459" i="2"/>
  <c r="AA459" i="2"/>
  <c r="AB458" i="2"/>
  <c r="AA458" i="2"/>
  <c r="AB457" i="2"/>
  <c r="AA457" i="2"/>
  <c r="AB456" i="2"/>
  <c r="AA456" i="2"/>
  <c r="AB455" i="2"/>
  <c r="AA455" i="2"/>
  <c r="AB454" i="2"/>
  <c r="AA454" i="2"/>
  <c r="AB453" i="2"/>
  <c r="AA453" i="2"/>
  <c r="AB452" i="2"/>
  <c r="AA452" i="2"/>
  <c r="AB451" i="2"/>
  <c r="AA451" i="2"/>
  <c r="AB450" i="2"/>
  <c r="AA450" i="2"/>
  <c r="AB449" i="2"/>
  <c r="AA449" i="2"/>
  <c r="AB448" i="2"/>
  <c r="AA448" i="2"/>
  <c r="AB447" i="2"/>
  <c r="AA447" i="2"/>
  <c r="AB446" i="2"/>
  <c r="AA446" i="2"/>
  <c r="AB445" i="2"/>
  <c r="AA445" i="2"/>
  <c r="AB444" i="2"/>
  <c r="AA444" i="2"/>
  <c r="AB443" i="2"/>
  <c r="AA443" i="2"/>
  <c r="AB442" i="2"/>
  <c r="AA442" i="2"/>
  <c r="AB441" i="2"/>
  <c r="AA441" i="2"/>
  <c r="AB440" i="2"/>
  <c r="AA440" i="2"/>
  <c r="AB439" i="2"/>
  <c r="AA439" i="2"/>
  <c r="AB438" i="2"/>
  <c r="AA438" i="2"/>
  <c r="AB437" i="2"/>
  <c r="AA437" i="2"/>
  <c r="AB436" i="2"/>
  <c r="AA436" i="2"/>
  <c r="AB435" i="2"/>
  <c r="AA435" i="2"/>
  <c r="AB434" i="2"/>
  <c r="AA434" i="2"/>
  <c r="AB433" i="2"/>
  <c r="AA433" i="2"/>
  <c r="AB432" i="2"/>
  <c r="AA432" i="2"/>
  <c r="AB431" i="2"/>
  <c r="AA431" i="2"/>
  <c r="AB430" i="2"/>
  <c r="AA430" i="2"/>
  <c r="AB429" i="2"/>
  <c r="AA429" i="2"/>
  <c r="AB428" i="2"/>
  <c r="AA428" i="2"/>
  <c r="AB427" i="2"/>
  <c r="AA427" i="2"/>
  <c r="AB426" i="2"/>
  <c r="AA426" i="2"/>
  <c r="AB425" i="2"/>
  <c r="AA425" i="2"/>
  <c r="AB424" i="2"/>
  <c r="AA424" i="2"/>
  <c r="AB423" i="2"/>
  <c r="AA423" i="2"/>
  <c r="AB422" i="2"/>
  <c r="AA422" i="2"/>
  <c r="AB421" i="2"/>
  <c r="AA421" i="2"/>
  <c r="AB420" i="2"/>
  <c r="AA420" i="2"/>
  <c r="AB419" i="2"/>
  <c r="AA419" i="2"/>
  <c r="AB418" i="2"/>
  <c r="AA418" i="2"/>
  <c r="AB417" i="2"/>
  <c r="AA417" i="2"/>
  <c r="AB416" i="2"/>
  <c r="AA416" i="2"/>
  <c r="AB415" i="2"/>
  <c r="AA415" i="2"/>
  <c r="AB414" i="2"/>
  <c r="AA414" i="2"/>
  <c r="AB413" i="2"/>
  <c r="AA413" i="2"/>
  <c r="AB412" i="2"/>
  <c r="AA412" i="2"/>
  <c r="AB411" i="2"/>
  <c r="AA411" i="2"/>
  <c r="AB410" i="2"/>
  <c r="AA410" i="2"/>
  <c r="AB409" i="2"/>
  <c r="AA409" i="2"/>
  <c r="AB408" i="2"/>
  <c r="AA408" i="2"/>
  <c r="AB407" i="2"/>
  <c r="AA407" i="2"/>
  <c r="AB406" i="2"/>
  <c r="AA406" i="2"/>
  <c r="AB405" i="2"/>
  <c r="AA405" i="2"/>
  <c r="AB404" i="2"/>
  <c r="AA404" i="2"/>
  <c r="AB403" i="2"/>
  <c r="AA403" i="2"/>
  <c r="AB402" i="2"/>
  <c r="AA402" i="2"/>
  <c r="AB401" i="2"/>
  <c r="AA401" i="2"/>
  <c r="AB400" i="2"/>
  <c r="AA400" i="2"/>
  <c r="AB399" i="2"/>
  <c r="AA399" i="2"/>
  <c r="AB398" i="2"/>
  <c r="AA398" i="2"/>
  <c r="AB397" i="2"/>
  <c r="AA397" i="2"/>
  <c r="AB396" i="2"/>
  <c r="AA396" i="2"/>
  <c r="AB395" i="2"/>
  <c r="AA395" i="2"/>
  <c r="AB394" i="2"/>
  <c r="AA394" i="2"/>
  <c r="AB393" i="2"/>
  <c r="AA393" i="2"/>
  <c r="AB392" i="2"/>
  <c r="AA392" i="2"/>
  <c r="AB391" i="2"/>
  <c r="AA391" i="2"/>
  <c r="AB390" i="2"/>
  <c r="AA390" i="2"/>
  <c r="AB389" i="2"/>
  <c r="AA389" i="2"/>
  <c r="AB388" i="2"/>
  <c r="AA388" i="2"/>
  <c r="AB387" i="2"/>
  <c r="AA387" i="2"/>
  <c r="AB386" i="2"/>
  <c r="AA386" i="2"/>
  <c r="AB385" i="2"/>
  <c r="AA385" i="2"/>
  <c r="AB384" i="2"/>
  <c r="AA384" i="2"/>
  <c r="AB383" i="2"/>
  <c r="AA383" i="2"/>
  <c r="AB382" i="2"/>
  <c r="AA382" i="2"/>
  <c r="AB381" i="2"/>
  <c r="AA381" i="2"/>
  <c r="AB380" i="2"/>
  <c r="AA380" i="2"/>
  <c r="AB379" i="2"/>
  <c r="AA379" i="2"/>
  <c r="AB378" i="2"/>
  <c r="AA378" i="2"/>
  <c r="AB377" i="2"/>
  <c r="AA377" i="2"/>
  <c r="AB376" i="2"/>
  <c r="AA376" i="2"/>
  <c r="AB375" i="2"/>
  <c r="AA375" i="2"/>
  <c r="AB374" i="2"/>
  <c r="AA374" i="2"/>
  <c r="AB373" i="2"/>
  <c r="AA373" i="2"/>
  <c r="AB372" i="2"/>
  <c r="AA372" i="2"/>
  <c r="AB371" i="2"/>
  <c r="AA371" i="2"/>
  <c r="AB370" i="2"/>
  <c r="AA370" i="2"/>
  <c r="AB369" i="2"/>
  <c r="AA369" i="2"/>
  <c r="AB368" i="2"/>
  <c r="AA368" i="2"/>
  <c r="AB367" i="2"/>
  <c r="AA367" i="2"/>
  <c r="AB366" i="2"/>
  <c r="AA366" i="2"/>
  <c r="AB365" i="2"/>
  <c r="AA365" i="2"/>
  <c r="AB364" i="2"/>
  <c r="AA364" i="2"/>
  <c r="AB363" i="2"/>
  <c r="AA363" i="2"/>
  <c r="AB362" i="2"/>
  <c r="AA362" i="2"/>
  <c r="AB361" i="2"/>
  <c r="AA361" i="2"/>
  <c r="AB360" i="2"/>
  <c r="AA360" i="2"/>
  <c r="AB359" i="2"/>
  <c r="AA359" i="2"/>
  <c r="AB358" i="2"/>
  <c r="AA358" i="2"/>
  <c r="AB357" i="2"/>
  <c r="AA357" i="2"/>
  <c r="AB356" i="2"/>
  <c r="AA356" i="2"/>
  <c r="AB355" i="2"/>
  <c r="AA355" i="2"/>
  <c r="AB354" i="2"/>
  <c r="AA354" i="2"/>
  <c r="AB353" i="2"/>
  <c r="AA353" i="2"/>
  <c r="AB352" i="2"/>
  <c r="AA352" i="2"/>
  <c r="AB351" i="2"/>
  <c r="AA351" i="2"/>
  <c r="AB350" i="2"/>
  <c r="AA350" i="2"/>
  <c r="AB349" i="2"/>
  <c r="AA349" i="2"/>
  <c r="AB348" i="2"/>
  <c r="AA348" i="2"/>
  <c r="AB347" i="2"/>
  <c r="AA347" i="2"/>
  <c r="AB346" i="2"/>
  <c r="AA346" i="2"/>
  <c r="AB345" i="2"/>
  <c r="AA345" i="2"/>
  <c r="AB344" i="2"/>
  <c r="AA344" i="2"/>
  <c r="AB343" i="2"/>
  <c r="AA343" i="2"/>
  <c r="AB342" i="2"/>
  <c r="AA342" i="2"/>
  <c r="AB341" i="2"/>
  <c r="AA341" i="2"/>
  <c r="AB340" i="2"/>
  <c r="AA340" i="2"/>
  <c r="AB339" i="2"/>
  <c r="AA339" i="2"/>
  <c r="AB338" i="2"/>
  <c r="AA338" i="2"/>
  <c r="AB337" i="2"/>
  <c r="AA337" i="2"/>
  <c r="AB336" i="2"/>
  <c r="AA336" i="2"/>
  <c r="AB335" i="2"/>
  <c r="AA335" i="2"/>
  <c r="AB334" i="2"/>
  <c r="AA334" i="2"/>
  <c r="AB333" i="2"/>
  <c r="AA333" i="2"/>
  <c r="AB332" i="2"/>
  <c r="AA332" i="2"/>
  <c r="AB331" i="2"/>
  <c r="AA331" i="2"/>
  <c r="AB330" i="2"/>
  <c r="AA330" i="2"/>
  <c r="AB329" i="2"/>
  <c r="AA329" i="2"/>
  <c r="AB328" i="2"/>
  <c r="AA328" i="2"/>
  <c r="AB327" i="2"/>
  <c r="AA327" i="2"/>
  <c r="AB326" i="2"/>
  <c r="AA326" i="2"/>
  <c r="AB325" i="2"/>
  <c r="AA325" i="2"/>
  <c r="AB324" i="2"/>
  <c r="AA324" i="2"/>
  <c r="AB323" i="2"/>
  <c r="AA323" i="2"/>
  <c r="AB322" i="2"/>
  <c r="AA322" i="2"/>
  <c r="AB321" i="2"/>
  <c r="AA321" i="2"/>
  <c r="AB320" i="2"/>
  <c r="AA320" i="2"/>
  <c r="AB319" i="2"/>
  <c r="AA319" i="2"/>
  <c r="AB318" i="2"/>
  <c r="AA318" i="2"/>
  <c r="AB317" i="2"/>
  <c r="AA317" i="2"/>
  <c r="AB316" i="2"/>
  <c r="AA316" i="2"/>
  <c r="AB315" i="2"/>
  <c r="AA315" i="2"/>
  <c r="AB314" i="2"/>
  <c r="AA314" i="2"/>
  <c r="AB313" i="2"/>
  <c r="AA313" i="2"/>
  <c r="AB312" i="2"/>
  <c r="AA312" i="2"/>
  <c r="AB311" i="2"/>
  <c r="AA311" i="2"/>
  <c r="AB310" i="2"/>
  <c r="AA310" i="2"/>
  <c r="AB309" i="2"/>
  <c r="AA309" i="2"/>
  <c r="AB308" i="2"/>
  <c r="AA308" i="2"/>
  <c r="AB307" i="2"/>
  <c r="AA307" i="2"/>
  <c r="AB306" i="2"/>
  <c r="AA306" i="2"/>
  <c r="AB305" i="2"/>
  <c r="AA305" i="2"/>
  <c r="AB304" i="2"/>
  <c r="AA304" i="2"/>
  <c r="AB303" i="2"/>
  <c r="AA303" i="2"/>
  <c r="AB302" i="2"/>
  <c r="AA302" i="2"/>
  <c r="AB301" i="2"/>
  <c r="AA301" i="2"/>
  <c r="AB300" i="2"/>
  <c r="AA300" i="2"/>
  <c r="AB299" i="2"/>
  <c r="AA299" i="2"/>
  <c r="AB298" i="2"/>
  <c r="AA298" i="2"/>
  <c r="AB297" i="2"/>
  <c r="AA297" i="2"/>
  <c r="AB296" i="2"/>
  <c r="AA296" i="2"/>
  <c r="AB295" i="2"/>
  <c r="AA295" i="2"/>
  <c r="AB294" i="2"/>
  <c r="AA294" i="2"/>
  <c r="AB293" i="2"/>
  <c r="AA293" i="2"/>
  <c r="AB292" i="2"/>
  <c r="AA292" i="2"/>
  <c r="AB291" i="2"/>
  <c r="AA291" i="2"/>
  <c r="AB290" i="2"/>
  <c r="AA290" i="2"/>
  <c r="AB289" i="2"/>
  <c r="AA289" i="2"/>
  <c r="AB288" i="2"/>
  <c r="AA288" i="2"/>
  <c r="AB287" i="2"/>
  <c r="AA287" i="2"/>
  <c r="AB286" i="2"/>
  <c r="AA286" i="2"/>
  <c r="AB285" i="2"/>
  <c r="AA285" i="2"/>
  <c r="AB284" i="2"/>
  <c r="AA284" i="2"/>
  <c r="AB283" i="2"/>
  <c r="AA283" i="2"/>
  <c r="AB282" i="2"/>
  <c r="AA282" i="2"/>
  <c r="AB281" i="2"/>
  <c r="AA281" i="2"/>
  <c r="AB280" i="2"/>
  <c r="AA280" i="2"/>
  <c r="AB279" i="2"/>
  <c r="AA279" i="2"/>
  <c r="AB278" i="2"/>
  <c r="AA278" i="2"/>
  <c r="AB277" i="2"/>
  <c r="AA277" i="2"/>
  <c r="AB276" i="2"/>
  <c r="AA276" i="2"/>
  <c r="AB275" i="2"/>
  <c r="AA275" i="2"/>
  <c r="AB274" i="2"/>
  <c r="AA274" i="2"/>
  <c r="AB273" i="2"/>
  <c r="AA273" i="2"/>
  <c r="AB272" i="2"/>
  <c r="AA272" i="2"/>
  <c r="AB271" i="2"/>
  <c r="AA271" i="2"/>
  <c r="AB270" i="2"/>
  <c r="AA270" i="2"/>
  <c r="AB269" i="2"/>
  <c r="AA269" i="2"/>
  <c r="AB268" i="2"/>
  <c r="AA268" i="2"/>
  <c r="AB267" i="2"/>
  <c r="AA267" i="2"/>
  <c r="AB266" i="2"/>
  <c r="AA266" i="2"/>
  <c r="AB265" i="2"/>
  <c r="AA265" i="2"/>
  <c r="AB264" i="2"/>
  <c r="AA264" i="2"/>
  <c r="AB263" i="2"/>
  <c r="AA263" i="2"/>
  <c r="AB262" i="2"/>
  <c r="AA262" i="2"/>
  <c r="AB261" i="2"/>
  <c r="AA261" i="2"/>
  <c r="AB260" i="2"/>
  <c r="AA260" i="2"/>
  <c r="AB259" i="2"/>
  <c r="AA259" i="2"/>
  <c r="AB258" i="2"/>
  <c r="AA258" i="2"/>
  <c r="AB257" i="2"/>
  <c r="AA257" i="2"/>
  <c r="AB256" i="2"/>
  <c r="AA256" i="2"/>
  <c r="AB255" i="2"/>
  <c r="AA255" i="2"/>
  <c r="AB254" i="2"/>
  <c r="AA254" i="2"/>
  <c r="AB253" i="2"/>
  <c r="AA253" i="2"/>
  <c r="AB252" i="2"/>
  <c r="AA252" i="2"/>
  <c r="AB251" i="2"/>
  <c r="AA251" i="2"/>
  <c r="AB250" i="2"/>
  <c r="AA250" i="2"/>
  <c r="AB249" i="2"/>
  <c r="AA249" i="2"/>
  <c r="AB248" i="2"/>
  <c r="AA248" i="2"/>
  <c r="AB247" i="2"/>
  <c r="AA247" i="2"/>
  <c r="AB246" i="2"/>
  <c r="AA246" i="2"/>
  <c r="AB245" i="2"/>
  <c r="AA245" i="2"/>
  <c r="AB244" i="2"/>
  <c r="AA244" i="2"/>
  <c r="AB243" i="2"/>
  <c r="AA243" i="2"/>
  <c r="AB242" i="2"/>
  <c r="AA242" i="2"/>
  <c r="AB241" i="2"/>
  <c r="AA241" i="2"/>
  <c r="AB240" i="2"/>
  <c r="AA240" i="2"/>
  <c r="AB239" i="2"/>
  <c r="AA239" i="2"/>
  <c r="AB238" i="2"/>
  <c r="AA238" i="2"/>
  <c r="AB237" i="2"/>
  <c r="AA237" i="2"/>
  <c r="AB236" i="2"/>
  <c r="AA236" i="2"/>
  <c r="AB235" i="2"/>
  <c r="AA235" i="2"/>
  <c r="AB234" i="2"/>
  <c r="AA234" i="2"/>
  <c r="AB233" i="2"/>
  <c r="AA233" i="2"/>
  <c r="AB232" i="2"/>
  <c r="AA232" i="2"/>
  <c r="AB231" i="2"/>
  <c r="AA231" i="2"/>
  <c r="AB230" i="2"/>
  <c r="AA230" i="2"/>
  <c r="AB229" i="2"/>
  <c r="AA229" i="2"/>
  <c r="AB228" i="2"/>
  <c r="AA228" i="2"/>
  <c r="AB227" i="2"/>
  <c r="AA227" i="2"/>
  <c r="AB226" i="2"/>
  <c r="AA226" i="2"/>
  <c r="AB225" i="2"/>
  <c r="AA225" i="2"/>
  <c r="AB224" i="2"/>
  <c r="AA224" i="2"/>
  <c r="AB223" i="2"/>
  <c r="AA223" i="2"/>
  <c r="AB222" i="2"/>
  <c r="AA222" i="2"/>
  <c r="AB221" i="2"/>
  <c r="AA221" i="2"/>
  <c r="AB220" i="2"/>
  <c r="AA220" i="2"/>
  <c r="AB219" i="2"/>
  <c r="AA219" i="2"/>
  <c r="AB218" i="2"/>
  <c r="AA218" i="2"/>
  <c r="AB217" i="2"/>
  <c r="AA217" i="2"/>
  <c r="AB216" i="2"/>
  <c r="AA216" i="2"/>
  <c r="AB215" i="2"/>
  <c r="AA215" i="2"/>
  <c r="AB214" i="2"/>
  <c r="AA214" i="2"/>
  <c r="AB213" i="2"/>
  <c r="AA213" i="2"/>
  <c r="AB212" i="2"/>
  <c r="AA212" i="2"/>
  <c r="AB211" i="2"/>
  <c r="AA211" i="2"/>
  <c r="AB210" i="2"/>
  <c r="AA210" i="2"/>
  <c r="AB209" i="2"/>
  <c r="AA209" i="2"/>
  <c r="AB208" i="2"/>
  <c r="AA208" i="2"/>
  <c r="AB207" i="2"/>
  <c r="AA207" i="2"/>
  <c r="AB206" i="2"/>
  <c r="AA206" i="2"/>
  <c r="AB205" i="2"/>
  <c r="AA205" i="2"/>
  <c r="AB204" i="2"/>
  <c r="AA204" i="2"/>
  <c r="AB203" i="2"/>
  <c r="AA203" i="2"/>
  <c r="AB202" i="2"/>
  <c r="AA202" i="2"/>
  <c r="AB201" i="2"/>
  <c r="AA201" i="2"/>
  <c r="AB200" i="2"/>
  <c r="AA200" i="2"/>
  <c r="AB199" i="2"/>
  <c r="AA199" i="2"/>
  <c r="AB198" i="2"/>
  <c r="AA198" i="2"/>
  <c r="AB197" i="2"/>
  <c r="AA197" i="2"/>
  <c r="AB196" i="2"/>
  <c r="AA196" i="2"/>
  <c r="AB195" i="2"/>
  <c r="AA195" i="2"/>
  <c r="AB194" i="2"/>
  <c r="AA194" i="2"/>
  <c r="AB193" i="2"/>
  <c r="AA193" i="2"/>
  <c r="AB192" i="2"/>
  <c r="AA192" i="2"/>
  <c r="AB191" i="2"/>
  <c r="AA191" i="2"/>
  <c r="AB190" i="2"/>
  <c r="AA190" i="2"/>
  <c r="AB189" i="2"/>
  <c r="AA189" i="2"/>
  <c r="AB188" i="2"/>
  <c r="AA188" i="2"/>
  <c r="AB187" i="2"/>
  <c r="AA187" i="2"/>
  <c r="AB186" i="2"/>
  <c r="AA186" i="2"/>
  <c r="AB185" i="2"/>
  <c r="AA185" i="2"/>
  <c r="AB184" i="2"/>
  <c r="AA184" i="2"/>
  <c r="AB183" i="2"/>
  <c r="AA183" i="2"/>
  <c r="AB182" i="2"/>
  <c r="AA182" i="2"/>
  <c r="AB181" i="2"/>
  <c r="AA181" i="2"/>
  <c r="AB180" i="2"/>
  <c r="AA180" i="2"/>
  <c r="AB179" i="2"/>
  <c r="AA179" i="2"/>
  <c r="AB178" i="2"/>
  <c r="AA178" i="2"/>
  <c r="AB177" i="2"/>
  <c r="AA177" i="2"/>
  <c r="AB176" i="2"/>
  <c r="AA176" i="2"/>
  <c r="AB175" i="2"/>
  <c r="AA175" i="2"/>
  <c r="AB174" i="2"/>
  <c r="AA174" i="2"/>
  <c r="AB173" i="2"/>
  <c r="AA173" i="2"/>
  <c r="AB172" i="2"/>
  <c r="AA172" i="2"/>
  <c r="AB171" i="2"/>
  <c r="AA171" i="2"/>
  <c r="AB170" i="2"/>
  <c r="AA170" i="2"/>
  <c r="AB169" i="2"/>
  <c r="AA169" i="2"/>
  <c r="AB168" i="2"/>
  <c r="AA168" i="2"/>
  <c r="AB167" i="2"/>
  <c r="AA167" i="2"/>
  <c r="AB166" i="2"/>
  <c r="AA166" i="2"/>
  <c r="AB165" i="2"/>
  <c r="AA165" i="2"/>
  <c r="AB164" i="2"/>
  <c r="AA164" i="2"/>
  <c r="AB163" i="2"/>
  <c r="AA163" i="2"/>
  <c r="AB162" i="2"/>
  <c r="AA162" i="2"/>
  <c r="AB161" i="2"/>
  <c r="AA161" i="2"/>
  <c r="AB160" i="2"/>
  <c r="AA160" i="2"/>
  <c r="AB159" i="2"/>
  <c r="AA159" i="2"/>
  <c r="AB158" i="2"/>
  <c r="AA158" i="2"/>
  <c r="AB157" i="2"/>
  <c r="AA157" i="2"/>
  <c r="AB156" i="2"/>
  <c r="AA156" i="2"/>
  <c r="AB155" i="2"/>
  <c r="AA155" i="2"/>
  <c r="AB154" i="2"/>
  <c r="AA154" i="2"/>
  <c r="AB153" i="2"/>
  <c r="AA153" i="2"/>
  <c r="AB152" i="2"/>
  <c r="AA152" i="2"/>
  <c r="AB151" i="2"/>
  <c r="AA151" i="2"/>
  <c r="AB150" i="2"/>
  <c r="AA150" i="2"/>
  <c r="AB149" i="2"/>
  <c r="AA149" i="2"/>
  <c r="AB148" i="2"/>
  <c r="AA148" i="2"/>
  <c r="AB147" i="2"/>
  <c r="AA147" i="2"/>
  <c r="AB146" i="2"/>
  <c r="AA146" i="2"/>
  <c r="AB145" i="2"/>
  <c r="AA145" i="2"/>
  <c r="AB144" i="2"/>
  <c r="AA144" i="2"/>
  <c r="AB143" i="2"/>
  <c r="AA143" i="2"/>
  <c r="AB142" i="2"/>
  <c r="AA142" i="2"/>
  <c r="AB141" i="2"/>
  <c r="AA141" i="2"/>
  <c r="AB140" i="2"/>
  <c r="AA140" i="2"/>
  <c r="AB139" i="2"/>
  <c r="AA139" i="2"/>
  <c r="AB138" i="2"/>
  <c r="AA138" i="2"/>
  <c r="AB137" i="2"/>
  <c r="AA137" i="2"/>
  <c r="AB136" i="2"/>
  <c r="AA136" i="2"/>
  <c r="AB135" i="2"/>
  <c r="AA135" i="2"/>
  <c r="AB134" i="2"/>
  <c r="AA134" i="2"/>
  <c r="AB133" i="2"/>
  <c r="AA133" i="2"/>
  <c r="AB132" i="2"/>
  <c r="AA132" i="2"/>
  <c r="AB131" i="2"/>
  <c r="AA131" i="2"/>
  <c r="AB130" i="2"/>
  <c r="AA130" i="2"/>
  <c r="AB129" i="2"/>
  <c r="AA129" i="2"/>
  <c r="AB128" i="2"/>
  <c r="AA128" i="2"/>
  <c r="AB127" i="2"/>
  <c r="AA127" i="2"/>
  <c r="AB126" i="2"/>
  <c r="AA126" i="2"/>
  <c r="AB125" i="2"/>
  <c r="AA125" i="2"/>
  <c r="AB124" i="2"/>
  <c r="AA124" i="2"/>
  <c r="AB123" i="2"/>
  <c r="AA123" i="2"/>
  <c r="AB122" i="2"/>
  <c r="AA122" i="2"/>
  <c r="AB121" i="2"/>
  <c r="AA121" i="2"/>
  <c r="AB120" i="2"/>
  <c r="AA120" i="2"/>
  <c r="AB119" i="2"/>
  <c r="AA119" i="2"/>
  <c r="AB118" i="2"/>
  <c r="AA118" i="2"/>
  <c r="AB117" i="2"/>
  <c r="AA117" i="2"/>
  <c r="AB116" i="2"/>
  <c r="AA116" i="2"/>
  <c r="AB115" i="2"/>
  <c r="AA115" i="2"/>
  <c r="AB114" i="2"/>
  <c r="AA114" i="2"/>
  <c r="AB113" i="2"/>
  <c r="AA113" i="2"/>
  <c r="AB112" i="2"/>
  <c r="AA112" i="2"/>
  <c r="AB111" i="2"/>
  <c r="AA111" i="2"/>
  <c r="AB110" i="2"/>
  <c r="AA110" i="2"/>
  <c r="AB109" i="2"/>
  <c r="AA109" i="2"/>
  <c r="AB108" i="2"/>
  <c r="AA108" i="2"/>
  <c r="AB107" i="2"/>
  <c r="AA107" i="2"/>
  <c r="AB106" i="2"/>
  <c r="AA106" i="2"/>
  <c r="AB105" i="2"/>
  <c r="AA105" i="2"/>
  <c r="AB104" i="2"/>
  <c r="AA104" i="2"/>
  <c r="AB103" i="2"/>
  <c r="AA103" i="2"/>
  <c r="AB102" i="2"/>
  <c r="AA102" i="2"/>
  <c r="AB101" i="2"/>
  <c r="AA101" i="2"/>
  <c r="AB100" i="2"/>
  <c r="AA100" i="2"/>
  <c r="AB99" i="2"/>
  <c r="AA99" i="2"/>
  <c r="AB98" i="2"/>
  <c r="AA98" i="2"/>
  <c r="AB97" i="2"/>
  <c r="AA97" i="2"/>
  <c r="AB96" i="2"/>
  <c r="AA96" i="2"/>
  <c r="AB95" i="2"/>
  <c r="AA95" i="2"/>
  <c r="AB94" i="2"/>
  <c r="AA94" i="2"/>
  <c r="AB93" i="2"/>
  <c r="AA93" i="2"/>
  <c r="AB92" i="2"/>
  <c r="AA92" i="2"/>
  <c r="AB91" i="2"/>
  <c r="AA91" i="2"/>
  <c r="AB90" i="2"/>
  <c r="AA90" i="2"/>
  <c r="AB89" i="2"/>
  <c r="AA89" i="2"/>
  <c r="AB88" i="2"/>
  <c r="AA88" i="2"/>
  <c r="AB87" i="2"/>
  <c r="AA87" i="2"/>
  <c r="AB86" i="2"/>
  <c r="AA86" i="2"/>
  <c r="AB85" i="2"/>
  <c r="AA85" i="2"/>
  <c r="AB84" i="2"/>
  <c r="AA84" i="2"/>
  <c r="AB83" i="2"/>
  <c r="AA83" i="2"/>
  <c r="AB82" i="2"/>
  <c r="AA82" i="2"/>
  <c r="AB81" i="2"/>
  <c r="AA81" i="2"/>
  <c r="AB80" i="2"/>
  <c r="AA80" i="2"/>
  <c r="AB79" i="2"/>
  <c r="AA79" i="2"/>
  <c r="AB78" i="2"/>
  <c r="AA78" i="2"/>
  <c r="AB77" i="2"/>
  <c r="AA77" i="2"/>
  <c r="AB76" i="2"/>
  <c r="AA76" i="2"/>
  <c r="AB75" i="2"/>
  <c r="AA75" i="2"/>
  <c r="AB74" i="2"/>
  <c r="AA74" i="2"/>
  <c r="AB73" i="2"/>
  <c r="AA73" i="2"/>
  <c r="AB72" i="2"/>
  <c r="AA72" i="2"/>
  <c r="AB71" i="2"/>
  <c r="AA71" i="2"/>
  <c r="AB70" i="2"/>
  <c r="AA70" i="2"/>
  <c r="AB69" i="2"/>
  <c r="AA69" i="2"/>
  <c r="AB68" i="2"/>
  <c r="AA68" i="2"/>
  <c r="AB67" i="2"/>
  <c r="AA67" i="2"/>
  <c r="AB66" i="2"/>
  <c r="AA66" i="2"/>
  <c r="AB65" i="2"/>
  <c r="AA65" i="2"/>
  <c r="AB64" i="2"/>
  <c r="AA64" i="2"/>
  <c r="AB63" i="2"/>
  <c r="AA63" i="2"/>
  <c r="AB62" i="2"/>
  <c r="AA62" i="2"/>
  <c r="AB61" i="2"/>
  <c r="AA61" i="2"/>
  <c r="AB60" i="2"/>
  <c r="AA60" i="2"/>
  <c r="AB59" i="2"/>
  <c r="AA59" i="2"/>
  <c r="AB58" i="2"/>
  <c r="AA58" i="2"/>
  <c r="AB57" i="2"/>
  <c r="AA57" i="2"/>
  <c r="AB56" i="2"/>
  <c r="AA56" i="2"/>
  <c r="AB55" i="2"/>
  <c r="AA55" i="2"/>
  <c r="AB54" i="2"/>
  <c r="AA54" i="2"/>
  <c r="AB53" i="2"/>
  <c r="AA53" i="2"/>
  <c r="AB52" i="2"/>
  <c r="AA52" i="2"/>
  <c r="AB51" i="2"/>
  <c r="AA51" i="2"/>
  <c r="AB50" i="2"/>
  <c r="AA50" i="2"/>
  <c r="AB49" i="2"/>
  <c r="AA49" i="2"/>
  <c r="AB48" i="2"/>
  <c r="AA48" i="2"/>
  <c r="AB47" i="2"/>
  <c r="AA47" i="2"/>
  <c r="AB46" i="2"/>
  <c r="AA46" i="2"/>
  <c r="AB45" i="2"/>
  <c r="AA45" i="2"/>
  <c r="AB44" i="2"/>
  <c r="AA44" i="2"/>
  <c r="AB43" i="2"/>
  <c r="AA43" i="2"/>
  <c r="AB42" i="2"/>
  <c r="AA42" i="2"/>
  <c r="AB41" i="2"/>
  <c r="AA41" i="2"/>
  <c r="AB40" i="2"/>
  <c r="AA40" i="2"/>
  <c r="AB39" i="2"/>
  <c r="AA39" i="2"/>
  <c r="AB38" i="2"/>
  <c r="AA38" i="2"/>
  <c r="AB37" i="2"/>
  <c r="AA37" i="2"/>
  <c r="AB36" i="2"/>
  <c r="AA36" i="2"/>
  <c r="AB35" i="2"/>
  <c r="AA35" i="2"/>
  <c r="AB34" i="2"/>
  <c r="AA34" i="2"/>
  <c r="AB33" i="2"/>
  <c r="AA33" i="2"/>
  <c r="AB32" i="2"/>
  <c r="AA32" i="2"/>
  <c r="AB31" i="2"/>
  <c r="AA31" i="2"/>
  <c r="AB30" i="2"/>
  <c r="AA30" i="2"/>
  <c r="AB29" i="2"/>
  <c r="AA29" i="2"/>
  <c r="AB28" i="2"/>
  <c r="AA28" i="2"/>
  <c r="AB27" i="2"/>
  <c r="AA27" i="2"/>
  <c r="AB26" i="2"/>
  <c r="AA26" i="2"/>
  <c r="AB25" i="2"/>
  <c r="AA25" i="2"/>
  <c r="AB24" i="2"/>
  <c r="AA24" i="2"/>
  <c r="AB23" i="2"/>
  <c r="AA23" i="2"/>
  <c r="AB22" i="2"/>
  <c r="AA22" i="2"/>
  <c r="AB21" i="2"/>
  <c r="AA21" i="2"/>
  <c r="AB20" i="2"/>
  <c r="AA20" i="2"/>
  <c r="AB19" i="2"/>
  <c r="AA19" i="2"/>
  <c r="AB18" i="2"/>
  <c r="AA18" i="2"/>
  <c r="AB17" i="2"/>
  <c r="AA17" i="2"/>
  <c r="AB16" i="2"/>
  <c r="AA16" i="2"/>
  <c r="AB15" i="2"/>
  <c r="AA15" i="2"/>
  <c r="AB14" i="2"/>
  <c r="AA14" i="2"/>
  <c r="AB13" i="2"/>
  <c r="AA13" i="2"/>
  <c r="AB12" i="2"/>
  <c r="AA12" i="2"/>
  <c r="AB11" i="2"/>
  <c r="AA11" i="2"/>
  <c r="AB10" i="2"/>
  <c r="AA10" i="2"/>
  <c r="AB9" i="2"/>
  <c r="AA9" i="2"/>
  <c r="AB8" i="2"/>
  <c r="AA8" i="2"/>
  <c r="AB7" i="2"/>
  <c r="AA7" i="2"/>
  <c r="AB6" i="2"/>
  <c r="AA6" i="2"/>
  <c r="AB5" i="2"/>
  <c r="AA5" i="2"/>
  <c r="AB4" i="2"/>
  <c r="AA4" i="2"/>
  <c r="AB3" i="2"/>
  <c r="AA3" i="2"/>
  <c r="AE2" i="2"/>
  <c r="AB2" i="2"/>
  <c r="AA2" i="2"/>
</calcChain>
</file>

<file path=xl/sharedStrings.xml><?xml version="1.0" encoding="utf-8"?>
<sst xmlns="http://schemas.openxmlformats.org/spreadsheetml/2006/main" count="865" uniqueCount="67">
  <si>
    <r>
      <rPr>
        <b/>
        <sz val="11"/>
        <color theme="1"/>
        <rFont val="黑体"/>
        <family val="3"/>
        <charset val="134"/>
      </rPr>
      <t>日期</t>
    </r>
  </si>
  <si>
    <t>00:00</t>
  </si>
  <si>
    <t>01:00</t>
  </si>
  <si>
    <t>02:00</t>
  </si>
  <si>
    <t>03:00</t>
  </si>
  <si>
    <t>04:00</t>
  </si>
  <si>
    <t>05:00</t>
  </si>
  <si>
    <t>06:00</t>
  </si>
  <si>
    <t>07:00</t>
  </si>
  <si>
    <t>08:00</t>
  </si>
  <si>
    <t>09:00</t>
  </si>
  <si>
    <t>10:00</t>
  </si>
  <si>
    <t>11:00</t>
  </si>
  <si>
    <t>12:00</t>
  </si>
  <si>
    <t>13:00</t>
  </si>
  <si>
    <t>14:00</t>
  </si>
  <si>
    <t>15:00</t>
  </si>
  <si>
    <t>16:00</t>
  </si>
  <si>
    <t>17:00</t>
  </si>
  <si>
    <t>18:00</t>
  </si>
  <si>
    <t>19:00</t>
  </si>
  <si>
    <t>20:00</t>
  </si>
  <si>
    <t>21:00</t>
  </si>
  <si>
    <t>22:00</t>
  </si>
  <si>
    <t>23:00</t>
  </si>
  <si>
    <t>日期类型</t>
  </si>
  <si>
    <r>
      <rPr>
        <b/>
        <sz val="11"/>
        <color theme="1"/>
        <rFont val="黑体"/>
        <family val="3"/>
        <charset val="134"/>
      </rPr>
      <t>最低价</t>
    </r>
  </si>
  <si>
    <r>
      <rPr>
        <b/>
        <sz val="11"/>
        <color theme="1"/>
        <rFont val="黑体"/>
        <family val="3"/>
        <charset val="134"/>
      </rPr>
      <t>平均价</t>
    </r>
  </si>
  <si>
    <t>峰均价</t>
  </si>
  <si>
    <t>平均价</t>
  </si>
  <si>
    <t>谷均价</t>
  </si>
  <si>
    <t>法定节假日</t>
  </si>
  <si>
    <t>工作日</t>
  </si>
  <si>
    <t>星期六</t>
  </si>
  <si>
    <t>星期日</t>
  </si>
  <si>
    <t>调休节假日</t>
  </si>
  <si>
    <t>周六</t>
  </si>
  <si>
    <t>周日</t>
  </si>
  <si>
    <r>
      <rPr>
        <b/>
        <sz val="11"/>
        <color theme="1"/>
        <rFont val="黑体"/>
        <family val="3"/>
        <charset val="134"/>
      </rPr>
      <t>最高价</t>
    </r>
  </si>
  <si>
    <t>376.91</t>
  </si>
  <si>
    <t>375.81</t>
  </si>
  <si>
    <t>362.47</t>
  </si>
  <si>
    <t>338.75</t>
  </si>
  <si>
    <t>338.02</t>
  </si>
  <si>
    <t>344.87</t>
  </si>
  <si>
    <t>363.69</t>
  </si>
  <si>
    <t>376.03</t>
  </si>
  <si>
    <t>403.26</t>
  </si>
  <si>
    <t>389.67</t>
  </si>
  <si>
    <t>370.46</t>
  </si>
  <si>
    <t>333.06</t>
  </si>
  <si>
    <t>192.29</t>
  </si>
  <si>
    <t>324.06</t>
  </si>
  <si>
    <t>364.8</t>
  </si>
  <si>
    <t>388.65</t>
  </si>
  <si>
    <t>450.85</t>
  </si>
  <si>
    <t>454.95</t>
  </si>
  <si>
    <t>436.27</t>
  </si>
  <si>
    <t>543.16</t>
  </si>
  <si>
    <t>420.92</t>
  </si>
  <si>
    <t>429.3</t>
  </si>
  <si>
    <t>461.48</t>
  </si>
  <si>
    <t>375.38</t>
  </si>
  <si>
    <t>最高价</t>
  </si>
  <si>
    <t>最低价</t>
  </si>
  <si>
    <t>全年均价</t>
  </si>
  <si>
    <t>工作日均价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</si>
</sst>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80" formatCode="0.000"/>
  </numFmts>
  <fonts count="13">
    <font>
      <sz val="11"/>
      <color theme="1"/>
      <name val="宋体"/>
      <charset val="134"/>
      <scheme val="minor"/>
    </font>
    <font>
      <sz val="11"/>
      <color theme="1"/>
      <name val="黑体"/>
      <family val="3"/>
      <charset val="134"/>
    </font>
    <font>
      <b/>
      <sz val="11"/>
      <color theme="1"/>
      <name val="Calibri"/>
      <family val="2"/>
    </font>
    <font>
      <b/>
      <sz val="11"/>
      <name val="黑体"/>
      <family val="3"/>
      <charset val="134"/>
    </font>
    <font>
      <b/>
      <sz val="11"/>
      <color theme="1"/>
      <name val="黑体"/>
      <family val="3"/>
      <charset val="134"/>
    </font>
    <font>
      <sz val="11"/>
      <color theme="1"/>
      <name val="Calibri"/>
      <family val="2"/>
    </font>
    <font>
      <sz val="11"/>
      <color indexed="8"/>
      <name val="Calibri"/>
      <family val="2"/>
    </font>
    <font>
      <b/>
      <sz val="11"/>
      <name val="Calibri"/>
      <family val="2"/>
    </font>
    <font>
      <b/>
      <sz val="11"/>
      <name val="宋体"/>
      <family val="3"/>
      <charset val="134"/>
    </font>
    <font>
      <sz val="11"/>
      <color theme="1"/>
      <name val="宋体"/>
      <family val="3"/>
      <charset val="134"/>
    </font>
    <font>
      <sz val="11"/>
      <color indexed="8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9"/>
      <name val="宋体"/>
      <family val="3"/>
      <charset val="134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A3DBFF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C8C8C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 tint="0.79995117038483843"/>
        <bgColor indexed="64"/>
      </patternFill>
    </fill>
    <fill>
      <patternFill patternType="solid">
        <fgColor theme="6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</borders>
  <cellStyleXfs count="2">
    <xf numFmtId="0" fontId="0" fillId="0" borderId="0">
      <alignment vertical="center"/>
    </xf>
    <xf numFmtId="0" fontId="11" fillId="0" borderId="0">
      <alignment vertical="center"/>
    </xf>
  </cellStyleXfs>
  <cellXfs count="46">
    <xf numFmtId="0" fontId="0" fillId="0" borderId="0" xfId="0">
      <alignment vertical="center"/>
    </xf>
    <xf numFmtId="0" fontId="1" fillId="0" borderId="0" xfId="0" applyFont="1">
      <alignment vertical="center"/>
    </xf>
    <xf numFmtId="0" fontId="2" fillId="2" borderId="0" xfId="0" applyFont="1" applyFill="1">
      <alignment vertical="center"/>
    </xf>
    <xf numFmtId="180" fontId="3" fillId="3" borderId="1" xfId="0" applyNumberFormat="1" applyFont="1" applyFill="1" applyBorder="1" applyAlignment="1">
      <alignment horizontal="center" vertical="center" wrapText="1"/>
    </xf>
    <xf numFmtId="0" fontId="4" fillId="4" borderId="0" xfId="0" applyFont="1" applyFill="1">
      <alignment vertical="center"/>
    </xf>
    <xf numFmtId="0" fontId="0" fillId="0" borderId="0" xfId="0" applyAlignment="1">
      <alignment horizontal="center" vertical="center"/>
    </xf>
    <xf numFmtId="0" fontId="5" fillId="0" borderId="0" xfId="0" applyFont="1">
      <alignment vertical="center"/>
    </xf>
    <xf numFmtId="180" fontId="1" fillId="0" borderId="0" xfId="0" applyNumberFormat="1" applyFont="1">
      <alignment vertical="center"/>
    </xf>
    <xf numFmtId="14" fontId="6" fillId="0" borderId="0" xfId="0" applyNumberFormat="1" applyFont="1" applyAlignment="1">
      <alignment horizontal="center" vertical="center"/>
    </xf>
    <xf numFmtId="2" fontId="1" fillId="0" borderId="0" xfId="0" applyNumberFormat="1" applyFont="1">
      <alignment vertical="center"/>
    </xf>
    <xf numFmtId="14" fontId="5" fillId="0" borderId="0" xfId="0" applyNumberFormat="1" applyFont="1">
      <alignment vertical="center"/>
    </xf>
    <xf numFmtId="180" fontId="4" fillId="0" borderId="0" xfId="0" applyNumberFormat="1" applyFont="1">
      <alignment vertical="center"/>
    </xf>
    <xf numFmtId="180" fontId="5" fillId="0" borderId="0" xfId="0" applyNumberFormat="1" applyFont="1">
      <alignment vertical="center"/>
    </xf>
    <xf numFmtId="180" fontId="7" fillId="3" borderId="1" xfId="0" applyNumberFormat="1" applyFont="1" applyFill="1" applyBorder="1" applyAlignment="1">
      <alignment horizontal="center" vertical="center" wrapText="1"/>
    </xf>
    <xf numFmtId="180" fontId="7" fillId="3" borderId="0" xfId="0" applyNumberFormat="1" applyFont="1" applyFill="1" applyAlignment="1">
      <alignment horizontal="center" vertical="center" wrapText="1"/>
    </xf>
    <xf numFmtId="0" fontId="2" fillId="4" borderId="0" xfId="0" applyFont="1" applyFill="1">
      <alignment vertical="center"/>
    </xf>
    <xf numFmtId="180" fontId="6" fillId="0" borderId="0" xfId="0" applyNumberFormat="1" applyFont="1" applyAlignment="1">
      <alignment horizontal="center" vertical="center"/>
    </xf>
    <xf numFmtId="2" fontId="5" fillId="0" borderId="0" xfId="0" applyNumberFormat="1" applyFont="1">
      <alignment vertical="center"/>
    </xf>
    <xf numFmtId="0" fontId="5" fillId="0" borderId="0" xfId="0" applyFont="1" applyAlignment="1">
      <alignment horizontal="center" vertical="center"/>
    </xf>
    <xf numFmtId="180" fontId="5" fillId="0" borderId="0" xfId="0" applyNumberFormat="1" applyFont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180" fontId="8" fillId="3" borderId="0" xfId="0" applyNumberFormat="1" applyFont="1" applyFill="1" applyAlignment="1">
      <alignment horizontal="center" vertical="center" wrapText="1"/>
    </xf>
    <xf numFmtId="0" fontId="2" fillId="4" borderId="0" xfId="0" applyFont="1" applyFill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10" fillId="5" borderId="1" xfId="0" applyFont="1" applyFill="1" applyBorder="1" applyAlignment="1">
      <alignment horizontal="center" vertical="center"/>
    </xf>
    <xf numFmtId="2" fontId="5" fillId="0" borderId="0" xfId="0" applyNumberFormat="1" applyFont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0" fontId="10" fillId="6" borderId="1" xfId="0" applyFont="1" applyFill="1" applyBorder="1" applyAlignment="1">
      <alignment horizontal="center" vertical="center"/>
    </xf>
    <xf numFmtId="180" fontId="6" fillId="0" borderId="0" xfId="0" applyNumberFormat="1" applyFont="1" applyAlignment="1">
      <alignment horizontal="center" vertical="center" wrapText="1"/>
    </xf>
    <xf numFmtId="0" fontId="10" fillId="7" borderId="1" xfId="0" applyFont="1" applyFill="1" applyBorder="1" applyAlignment="1">
      <alignment horizontal="center" vertical="center"/>
    </xf>
    <xf numFmtId="14" fontId="5" fillId="0" borderId="0" xfId="0" applyNumberFormat="1" applyFont="1" applyAlignment="1">
      <alignment horizontal="center" vertical="center"/>
    </xf>
    <xf numFmtId="0" fontId="0" fillId="8" borderId="2" xfId="0" applyFill="1" applyBorder="1" applyAlignment="1">
      <alignment horizontal="center" vertical="center" wrapText="1"/>
    </xf>
    <xf numFmtId="0" fontId="0" fillId="9" borderId="1" xfId="0" applyFill="1" applyBorder="1" applyAlignment="1">
      <alignment horizontal="center" vertical="center"/>
    </xf>
    <xf numFmtId="0" fontId="0" fillId="9" borderId="1" xfId="0" applyFill="1" applyBorder="1" applyAlignment="1">
      <alignment horizontal="center" vertical="center" wrapText="1"/>
    </xf>
    <xf numFmtId="0" fontId="0" fillId="10" borderId="1" xfId="0" applyFill="1" applyBorder="1" applyAlignment="1">
      <alignment horizontal="center" vertical="center"/>
    </xf>
    <xf numFmtId="0" fontId="0" fillId="11" borderId="1" xfId="0" applyFill="1" applyBorder="1" applyAlignment="1">
      <alignment horizontal="center" vertical="center" wrapText="1"/>
    </xf>
    <xf numFmtId="0" fontId="0" fillId="10" borderId="1" xfId="0" applyFill="1" applyBorder="1" applyAlignment="1">
      <alignment horizontal="center" vertical="center" wrapText="1"/>
    </xf>
    <xf numFmtId="0" fontId="0" fillId="11" borderId="1" xfId="0" applyFill="1" applyBorder="1" applyAlignment="1">
      <alignment horizontal="center" vertical="center"/>
    </xf>
    <xf numFmtId="0" fontId="0" fillId="12" borderId="1" xfId="0" applyFill="1" applyBorder="1" applyAlignment="1">
      <alignment horizontal="center" vertical="center" wrapText="1"/>
    </xf>
    <xf numFmtId="0" fontId="0" fillId="12" borderId="1" xfId="0" applyFill="1" applyBorder="1" applyAlignment="1">
      <alignment horizontal="center" vertical="center"/>
    </xf>
    <xf numFmtId="0" fontId="0" fillId="8" borderId="1" xfId="0" applyFill="1" applyBorder="1" applyAlignment="1">
      <alignment horizontal="center" vertical="center"/>
    </xf>
    <xf numFmtId="0" fontId="0" fillId="8" borderId="1" xfId="0" applyFill="1" applyBorder="1" applyAlignment="1">
      <alignment horizontal="center" vertical="center" wrapText="1"/>
    </xf>
    <xf numFmtId="14" fontId="5" fillId="5" borderId="0" xfId="0" applyNumberFormat="1" applyFont="1" applyFill="1" applyAlignment="1">
      <alignment horizontal="center" vertical="center"/>
    </xf>
    <xf numFmtId="180" fontId="1" fillId="5" borderId="0" xfId="0" applyNumberFormat="1" applyFont="1" applyFill="1" applyAlignment="1">
      <alignment horizontal="center" vertical="center"/>
    </xf>
    <xf numFmtId="14" fontId="5" fillId="13" borderId="0" xfId="0" applyNumberFormat="1" applyFont="1" applyFill="1" applyAlignment="1">
      <alignment horizontal="center" vertical="center"/>
    </xf>
    <xf numFmtId="180" fontId="1" fillId="13" borderId="0" xfId="0" applyNumberFormat="1" applyFont="1" applyFill="1" applyAlignment="1">
      <alignment horizontal="center" vertical="center"/>
    </xf>
  </cellXfs>
  <cellStyles count="2">
    <cellStyle name="常规" xfId="0" builtinId="0"/>
    <cellStyle name="常规 2" xfId="1" xr:uid="{00000000-0005-0000-0000-00003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WPS">
  <a:themeElements>
    <a:clrScheme name="WPS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874CB"/>
      </a:accent1>
      <a:accent2>
        <a:srgbClr val="EE822F"/>
      </a:accent2>
      <a:accent3>
        <a:srgbClr val="F2BA02"/>
      </a:accent3>
      <a:accent4>
        <a:srgbClr val="75BD42"/>
      </a:accent4>
      <a:accent5>
        <a:srgbClr val="30C0B4"/>
      </a:accent5>
      <a:accent6>
        <a:srgbClr val="E54C5E"/>
      </a:accent6>
      <a:hlink>
        <a:srgbClr val="0026E5"/>
      </a:hlink>
      <a:folHlink>
        <a:srgbClr val="7E1FAD"/>
      </a:folHlink>
    </a:clrScheme>
    <a:fontScheme name="WPS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WPS">
      <a:fillStyleLst>
        <a:solidFill>
          <a:schemeClr val="phClr"/>
        </a:solidFill>
        <a:gradFill>
          <a:gsLst>
            <a:gs pos="0">
              <a:schemeClr val="phClr">
                <a:lumOff val="17500"/>
              </a:schemeClr>
            </a:gs>
            <a:gs pos="100000">
              <a:schemeClr val="phClr"/>
            </a:gs>
          </a:gsLst>
          <a:lin ang="2700000" scaled="0"/>
        </a:gradFill>
        <a:gradFill>
          <a:gsLst>
            <a:gs pos="0">
              <a:schemeClr val="phClr">
                <a:hueOff val="-2520000"/>
              </a:schemeClr>
            </a:gs>
            <a:gs pos="100000">
              <a:schemeClr val="phClr"/>
            </a:gs>
          </a:gsLst>
          <a:lin ang="27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gradFill>
            <a:gsLst>
              <a:gs pos="0">
                <a:schemeClr val="phClr">
                  <a:hueOff val="-4200000"/>
                </a:schemeClr>
              </a:gs>
              <a:gs pos="100000">
                <a:schemeClr val="phClr"/>
              </a:gs>
            </a:gsLst>
            <a:lin ang="2700000" scaled="1"/>
          </a:gradFill>
          <a:prstDash val="solid"/>
          <a:miter lim="800000"/>
        </a:ln>
      </a:lnStyleLst>
      <a:effectStyleLst>
        <a:effectStyle>
          <a:effectLst>
            <a:outerShdw blurRad="101600" dist="50800" dir="5400000" algn="ctr" rotWithShape="0">
              <a:schemeClr val="phClr">
                <a:alpha val="60000"/>
              </a:schemeClr>
            </a:outerShdw>
          </a:effectLst>
        </a:effectStyle>
        <a:effectStyle>
          <a:effectLst>
            <a:reflection stA="50000" endA="300" endPos="40000" dist="25400" dir="5400000" sy="-100000" algn="bl" rotWithShape="0"/>
          </a:effectLst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AH727"/>
  <sheetViews>
    <sheetView workbookViewId="0">
      <pane ySplit="1" topLeftCell="A709" activePane="bottomLeft" state="frozen"/>
      <selection pane="bottomLeft" activeCell="A728" sqref="A728:XFD734"/>
    </sheetView>
  </sheetViews>
  <sheetFormatPr baseColWidth="10" defaultColWidth="9" defaultRowHeight="15"/>
  <cols>
    <col min="1" max="1" width="11.6640625" style="18" customWidth="1"/>
    <col min="2" max="12" width="9" style="19" customWidth="1"/>
    <col min="13" max="13" width="9.1640625" style="19" customWidth="1"/>
    <col min="14" max="25" width="9" style="19" customWidth="1"/>
    <col min="26" max="26" width="11.83203125" style="19" customWidth="1"/>
    <col min="27" max="30" width="9" style="18"/>
    <col min="31" max="31" width="12.83203125" style="18"/>
    <col min="32" max="16384" width="9" style="18"/>
  </cols>
  <sheetData>
    <row r="1" spans="1:31" ht="16">
      <c r="A1" s="20" t="s">
        <v>0</v>
      </c>
      <c r="B1" s="13" t="s">
        <v>1</v>
      </c>
      <c r="C1" s="13" t="s">
        <v>2</v>
      </c>
      <c r="D1" s="13" t="s">
        <v>3</v>
      </c>
      <c r="E1" s="13" t="s">
        <v>4</v>
      </c>
      <c r="F1" s="13" t="s">
        <v>5</v>
      </c>
      <c r="G1" s="13" t="s">
        <v>6</v>
      </c>
      <c r="H1" s="13" t="s">
        <v>7</v>
      </c>
      <c r="I1" s="13" t="s">
        <v>8</v>
      </c>
      <c r="J1" s="13" t="s">
        <v>9</v>
      </c>
      <c r="K1" s="13" t="s">
        <v>10</v>
      </c>
      <c r="L1" s="13" t="s">
        <v>11</v>
      </c>
      <c r="M1" s="13" t="s">
        <v>12</v>
      </c>
      <c r="N1" s="13" t="s">
        <v>13</v>
      </c>
      <c r="O1" s="13" t="s">
        <v>14</v>
      </c>
      <c r="P1" s="13" t="s">
        <v>15</v>
      </c>
      <c r="Q1" s="13" t="s">
        <v>16</v>
      </c>
      <c r="R1" s="13" t="s">
        <v>17</v>
      </c>
      <c r="S1" s="13" t="s">
        <v>18</v>
      </c>
      <c r="T1" s="13" t="s">
        <v>19</v>
      </c>
      <c r="U1" s="13" t="s">
        <v>20</v>
      </c>
      <c r="V1" s="13" t="s">
        <v>21</v>
      </c>
      <c r="W1" s="13" t="s">
        <v>22</v>
      </c>
      <c r="X1" s="13" t="s">
        <v>23</v>
      </c>
      <c r="Y1" s="13" t="s">
        <v>24</v>
      </c>
      <c r="Z1" s="21" t="s">
        <v>25</v>
      </c>
      <c r="AA1" s="22" t="s">
        <v>26</v>
      </c>
      <c r="AB1" s="22" t="s">
        <v>27</v>
      </c>
      <c r="AC1" s="23" t="s">
        <v>28</v>
      </c>
      <c r="AD1" s="23" t="s">
        <v>29</v>
      </c>
      <c r="AE1" s="23" t="s">
        <v>30</v>
      </c>
    </row>
    <row r="2" spans="1:31">
      <c r="A2" s="8">
        <v>45292</v>
      </c>
      <c r="B2" s="16">
        <v>346.9264</v>
      </c>
      <c r="C2" s="16">
        <v>301.42169999999999</v>
      </c>
      <c r="D2" s="16">
        <v>277.87619999999998</v>
      </c>
      <c r="E2" s="16">
        <v>54.1571</v>
      </c>
      <c r="F2" s="16">
        <v>0</v>
      </c>
      <c r="G2" s="16">
        <v>0</v>
      </c>
      <c r="H2" s="16">
        <v>0.43409999999999999</v>
      </c>
      <c r="I2" s="16">
        <v>0</v>
      </c>
      <c r="J2" s="16">
        <v>0</v>
      </c>
      <c r="K2" s="16">
        <v>0</v>
      </c>
      <c r="L2" s="16">
        <v>0</v>
      </c>
      <c r="M2" s="16">
        <v>0</v>
      </c>
      <c r="N2" s="16">
        <v>31.791499999999999</v>
      </c>
      <c r="O2" s="16">
        <v>40.566899999999997</v>
      </c>
      <c r="P2" s="16">
        <v>0</v>
      </c>
      <c r="Q2" s="16">
        <v>0</v>
      </c>
      <c r="R2" s="16">
        <v>0</v>
      </c>
      <c r="S2" s="16">
        <v>112.1348</v>
      </c>
      <c r="T2" s="16">
        <v>321.97710000000001</v>
      </c>
      <c r="U2" s="16">
        <v>335.30630000000002</v>
      </c>
      <c r="V2" s="16">
        <v>332.4828</v>
      </c>
      <c r="W2" s="16">
        <v>319.98</v>
      </c>
      <c r="X2" s="16">
        <v>243.2337</v>
      </c>
      <c r="Y2" s="16">
        <v>21.170999999999999</v>
      </c>
      <c r="Z2" s="24" t="s">
        <v>31</v>
      </c>
      <c r="AA2" s="25">
        <f t="shared" ref="AA2:AA65" si="0">MIN($B2:$Y2)</f>
        <v>0</v>
      </c>
      <c r="AB2" s="25">
        <f t="shared" ref="AB2:AB65" si="1">AVERAGE($B2:$Y2)</f>
        <v>114.14415</v>
      </c>
      <c r="AE2" s="18">
        <f>ROUND(AVERAGE(B2:I2),3)</f>
        <v>122.602</v>
      </c>
    </row>
    <row r="3" spans="1:31">
      <c r="A3" s="8">
        <v>45293</v>
      </c>
      <c r="B3" s="16">
        <v>294.97699999999998</v>
      </c>
      <c r="C3" s="16">
        <v>282.97669999999999</v>
      </c>
      <c r="D3" s="16">
        <v>277.52449999999999</v>
      </c>
      <c r="E3" s="16">
        <v>243.32759999999999</v>
      </c>
      <c r="F3" s="16">
        <v>47.740499999999997</v>
      </c>
      <c r="G3" s="16">
        <v>192.65360000000001</v>
      </c>
      <c r="H3" s="16">
        <v>317.51760000000002</v>
      </c>
      <c r="I3" s="16">
        <v>381.49650000000003</v>
      </c>
      <c r="J3" s="16">
        <v>448.11770000000001</v>
      </c>
      <c r="K3" s="16">
        <v>542.87739999999997</v>
      </c>
      <c r="L3" s="16">
        <v>568.96709999999996</v>
      </c>
      <c r="M3" s="16">
        <v>549.03610000000003</v>
      </c>
      <c r="N3" s="16">
        <v>396.6225</v>
      </c>
      <c r="O3" s="16">
        <v>446.77859999999998</v>
      </c>
      <c r="P3" s="16">
        <v>498.11989999999997</v>
      </c>
      <c r="Q3" s="16">
        <v>489.39299999999997</v>
      </c>
      <c r="R3" s="16">
        <v>505.21629999999999</v>
      </c>
      <c r="S3" s="16">
        <v>521.75390000000004</v>
      </c>
      <c r="T3" s="16">
        <v>507.26740000000001</v>
      </c>
      <c r="U3" s="16">
        <v>501.14400000000001</v>
      </c>
      <c r="V3" s="16">
        <v>498.44959999999998</v>
      </c>
      <c r="W3" s="16">
        <v>495.70370000000003</v>
      </c>
      <c r="X3" s="16">
        <v>496.98590000000002</v>
      </c>
      <c r="Y3" s="16">
        <v>430.65069999999997</v>
      </c>
      <c r="Z3" s="26" t="s">
        <v>32</v>
      </c>
      <c r="AA3" s="25">
        <f t="shared" si="0"/>
        <v>47.740499999999997</v>
      </c>
      <c r="AB3" s="25">
        <f t="shared" si="1"/>
        <v>413.97074166666698</v>
      </c>
    </row>
    <row r="4" spans="1:31">
      <c r="A4" s="8">
        <v>45294</v>
      </c>
      <c r="B4" s="16">
        <v>427.0761</v>
      </c>
      <c r="C4" s="16">
        <v>410</v>
      </c>
      <c r="D4" s="16">
        <v>394</v>
      </c>
      <c r="E4" s="16">
        <v>384.75</v>
      </c>
      <c r="F4" s="16">
        <v>363.30079999999998</v>
      </c>
      <c r="G4" s="16">
        <v>355.23649999999998</v>
      </c>
      <c r="H4" s="16">
        <v>387.93040000000002</v>
      </c>
      <c r="I4" s="16">
        <v>431.8039</v>
      </c>
      <c r="J4" s="16">
        <v>488.11700000000002</v>
      </c>
      <c r="K4" s="16">
        <v>504.17169999999999</v>
      </c>
      <c r="L4" s="16">
        <v>526.50260000000003</v>
      </c>
      <c r="M4" s="16">
        <v>509.32470000000001</v>
      </c>
      <c r="N4" s="16">
        <v>375.55090000000001</v>
      </c>
      <c r="O4" s="16">
        <v>420.3596</v>
      </c>
      <c r="P4" s="16">
        <v>460.02539999999999</v>
      </c>
      <c r="Q4" s="16">
        <v>468.03500000000003</v>
      </c>
      <c r="R4" s="16">
        <v>487.41019999999997</v>
      </c>
      <c r="S4" s="16">
        <v>497.84399999999999</v>
      </c>
      <c r="T4" s="16">
        <v>488.1551</v>
      </c>
      <c r="U4" s="16">
        <v>488.3526</v>
      </c>
      <c r="V4" s="16">
        <v>488.75220000000002</v>
      </c>
      <c r="W4" s="16">
        <v>482.59829999999999</v>
      </c>
      <c r="X4" s="16">
        <v>477.62369999999999</v>
      </c>
      <c r="Y4" s="16">
        <v>422.87490000000003</v>
      </c>
      <c r="Z4" s="26" t="s">
        <v>32</v>
      </c>
      <c r="AA4" s="25">
        <f t="shared" si="0"/>
        <v>355.23649999999998</v>
      </c>
      <c r="AB4" s="25">
        <f t="shared" si="1"/>
        <v>447.49148333333301</v>
      </c>
    </row>
    <row r="5" spans="1:31">
      <c r="A5" s="8">
        <v>45295</v>
      </c>
      <c r="B5" s="16">
        <v>400.30279999999999</v>
      </c>
      <c r="C5" s="16">
        <v>384.32490000000001</v>
      </c>
      <c r="D5" s="16">
        <v>380.98649999999998</v>
      </c>
      <c r="E5" s="16">
        <v>374.4237</v>
      </c>
      <c r="F5" s="16">
        <v>366.08940000000001</v>
      </c>
      <c r="G5" s="16">
        <v>371.53190000000001</v>
      </c>
      <c r="H5" s="16">
        <v>404.2824</v>
      </c>
      <c r="I5" s="16">
        <v>444.9511</v>
      </c>
      <c r="J5" s="16">
        <v>487.82310000000001</v>
      </c>
      <c r="K5" s="16">
        <v>492.3519</v>
      </c>
      <c r="L5" s="16">
        <v>505.23779999999999</v>
      </c>
      <c r="M5" s="16">
        <v>483.0591</v>
      </c>
      <c r="N5" s="16">
        <v>276.1191</v>
      </c>
      <c r="O5" s="16">
        <v>315.19589999999999</v>
      </c>
      <c r="P5" s="16">
        <v>412.71589999999998</v>
      </c>
      <c r="Q5" s="16">
        <v>442.0727</v>
      </c>
      <c r="R5" s="16">
        <v>467.27249999999998</v>
      </c>
      <c r="S5" s="16">
        <v>463.07130000000001</v>
      </c>
      <c r="T5" s="16">
        <v>484.74770000000001</v>
      </c>
      <c r="U5" s="16">
        <v>500.52600000000001</v>
      </c>
      <c r="V5" s="16">
        <v>495.6567</v>
      </c>
      <c r="W5" s="16">
        <v>494.887</v>
      </c>
      <c r="X5" s="16">
        <v>485</v>
      </c>
      <c r="Y5" s="16">
        <v>422</v>
      </c>
      <c r="Z5" s="26" t="s">
        <v>33</v>
      </c>
      <c r="AA5" s="25">
        <f t="shared" si="0"/>
        <v>276.1191</v>
      </c>
      <c r="AB5" s="25">
        <f t="shared" si="1"/>
        <v>431.44289166666698</v>
      </c>
    </row>
    <row r="6" spans="1:31">
      <c r="A6" s="8">
        <v>45296</v>
      </c>
      <c r="B6" s="16">
        <v>434.31290000000001</v>
      </c>
      <c r="C6" s="16">
        <v>422.28719999999998</v>
      </c>
      <c r="D6" s="16">
        <v>421.25</v>
      </c>
      <c r="E6" s="16">
        <v>412.505</v>
      </c>
      <c r="F6" s="16">
        <v>407.87</v>
      </c>
      <c r="G6" s="16">
        <v>413.75</v>
      </c>
      <c r="H6" s="16">
        <v>456.25</v>
      </c>
      <c r="I6" s="16">
        <v>486.98259999999999</v>
      </c>
      <c r="J6" s="16">
        <v>524.45299999999997</v>
      </c>
      <c r="K6" s="16">
        <v>544.60360000000003</v>
      </c>
      <c r="L6" s="16">
        <v>534.36580000000004</v>
      </c>
      <c r="M6" s="16">
        <v>516.53869999999995</v>
      </c>
      <c r="N6" s="16">
        <v>571.1816</v>
      </c>
      <c r="O6" s="16">
        <v>632.54560000000004</v>
      </c>
      <c r="P6" s="16">
        <v>526.48659999999995</v>
      </c>
      <c r="Q6" s="16">
        <v>470.52890000000002</v>
      </c>
      <c r="R6" s="16">
        <v>496.41329999999999</v>
      </c>
      <c r="S6" s="16">
        <v>508.09969999999998</v>
      </c>
      <c r="T6" s="16">
        <v>566.80489999999998</v>
      </c>
      <c r="U6" s="16">
        <v>582.50609999999995</v>
      </c>
      <c r="V6" s="16">
        <v>533.3125</v>
      </c>
      <c r="W6" s="16">
        <v>494.25959999999998</v>
      </c>
      <c r="X6" s="16">
        <v>469.77210000000002</v>
      </c>
      <c r="Y6" s="16">
        <v>419.09010000000001</v>
      </c>
      <c r="Z6" s="26" t="s">
        <v>34</v>
      </c>
      <c r="AA6" s="25">
        <f t="shared" si="0"/>
        <v>407.87</v>
      </c>
      <c r="AB6" s="25">
        <f t="shared" si="1"/>
        <v>493.59040833333302</v>
      </c>
    </row>
    <row r="7" spans="1:31">
      <c r="A7" s="8">
        <v>45297</v>
      </c>
      <c r="B7" s="16">
        <v>437.25959999999998</v>
      </c>
      <c r="C7" s="16">
        <v>431.45749999999998</v>
      </c>
      <c r="D7" s="16">
        <v>426.62290000000002</v>
      </c>
      <c r="E7" s="16">
        <v>413.04320000000001</v>
      </c>
      <c r="F7" s="16">
        <v>400.28120000000001</v>
      </c>
      <c r="G7" s="16">
        <v>402.3562</v>
      </c>
      <c r="H7" s="16">
        <v>428.83269999999999</v>
      </c>
      <c r="I7" s="16">
        <v>463.07069999999999</v>
      </c>
      <c r="J7" s="16">
        <v>490.43950000000001</v>
      </c>
      <c r="K7" s="16">
        <v>495.2047</v>
      </c>
      <c r="L7" s="16">
        <v>489.57440000000003</v>
      </c>
      <c r="M7" s="16">
        <v>477.31650000000002</v>
      </c>
      <c r="N7" s="16">
        <v>404.46929999999998</v>
      </c>
      <c r="O7" s="16">
        <v>432.60509999999999</v>
      </c>
      <c r="P7" s="16">
        <v>450.04390000000001</v>
      </c>
      <c r="Q7" s="16">
        <v>481.69060000000002</v>
      </c>
      <c r="R7" s="16">
        <v>496.38920000000002</v>
      </c>
      <c r="S7" s="16">
        <v>502.48039999999997</v>
      </c>
      <c r="T7" s="16">
        <v>502.81849999999997</v>
      </c>
      <c r="U7" s="16">
        <v>496.11619999999999</v>
      </c>
      <c r="V7" s="16">
        <v>492.47550000000001</v>
      </c>
      <c r="W7" s="16">
        <v>490.9452</v>
      </c>
      <c r="X7" s="16">
        <v>475.06990000000002</v>
      </c>
      <c r="Y7" s="16">
        <v>417.43630000000002</v>
      </c>
      <c r="Z7" s="26" t="s">
        <v>32</v>
      </c>
      <c r="AA7" s="25">
        <f t="shared" si="0"/>
        <v>400.28120000000001</v>
      </c>
      <c r="AB7" s="25">
        <f t="shared" si="1"/>
        <v>458.24996666666698</v>
      </c>
    </row>
    <row r="8" spans="1:31">
      <c r="A8" s="8">
        <v>45298</v>
      </c>
      <c r="B8" s="16">
        <v>437.43709999999999</v>
      </c>
      <c r="C8" s="16">
        <v>425.18209999999999</v>
      </c>
      <c r="D8" s="16">
        <v>421.4873</v>
      </c>
      <c r="E8" s="16">
        <v>412.66609999999997</v>
      </c>
      <c r="F8" s="16">
        <v>394.08139999999997</v>
      </c>
      <c r="G8" s="16">
        <v>388.60750000000002</v>
      </c>
      <c r="H8" s="16">
        <v>401.6078</v>
      </c>
      <c r="I8" s="16">
        <v>412.10469999999998</v>
      </c>
      <c r="J8" s="16">
        <v>422.03320000000002</v>
      </c>
      <c r="K8" s="16">
        <v>437.3021</v>
      </c>
      <c r="L8" s="16">
        <v>441.59010000000001</v>
      </c>
      <c r="M8" s="16">
        <v>431.9633</v>
      </c>
      <c r="N8" s="16">
        <v>364.66950000000003</v>
      </c>
      <c r="O8" s="16">
        <v>370.47919999999999</v>
      </c>
      <c r="P8" s="16">
        <v>367.52449999999999</v>
      </c>
      <c r="Q8" s="16">
        <v>412.78919999999999</v>
      </c>
      <c r="R8" s="16">
        <v>438.93049999999999</v>
      </c>
      <c r="S8" s="16">
        <v>455.5018</v>
      </c>
      <c r="T8" s="16">
        <v>459.41230000000002</v>
      </c>
      <c r="U8" s="16">
        <v>457.55450000000002</v>
      </c>
      <c r="V8" s="16">
        <v>432.68700000000001</v>
      </c>
      <c r="W8" s="16">
        <v>426.61270000000002</v>
      </c>
      <c r="X8" s="16">
        <v>407.565</v>
      </c>
      <c r="Y8" s="16">
        <v>367.46280000000002</v>
      </c>
      <c r="Z8" s="26" t="s">
        <v>32</v>
      </c>
      <c r="AA8" s="25">
        <f t="shared" si="0"/>
        <v>364.66950000000003</v>
      </c>
      <c r="AB8" s="25">
        <f t="shared" si="1"/>
        <v>416.13548750000001</v>
      </c>
    </row>
    <row r="9" spans="1:31">
      <c r="A9" s="8">
        <v>45299</v>
      </c>
      <c r="B9" s="16">
        <v>385.02719999999999</v>
      </c>
      <c r="C9" s="16">
        <v>369.0326</v>
      </c>
      <c r="D9" s="16">
        <v>355.3886</v>
      </c>
      <c r="E9" s="16">
        <v>337.91570000000002</v>
      </c>
      <c r="F9" s="16">
        <v>328.16129999999998</v>
      </c>
      <c r="G9" s="16">
        <v>337.65309999999999</v>
      </c>
      <c r="H9" s="16">
        <v>380.61149999999998</v>
      </c>
      <c r="I9" s="16">
        <v>412.02330000000001</v>
      </c>
      <c r="J9" s="16">
        <v>463.31150000000002</v>
      </c>
      <c r="K9" s="16">
        <v>472.53699999999998</v>
      </c>
      <c r="L9" s="16">
        <v>478.75560000000002</v>
      </c>
      <c r="M9" s="16">
        <v>465.98149999999998</v>
      </c>
      <c r="N9" s="16">
        <v>381.33280000000002</v>
      </c>
      <c r="O9" s="16">
        <v>404.7045</v>
      </c>
      <c r="P9" s="16">
        <v>423.4427</v>
      </c>
      <c r="Q9" s="16">
        <v>444.57560000000001</v>
      </c>
      <c r="R9" s="16">
        <v>460.64519999999999</v>
      </c>
      <c r="S9" s="16">
        <v>459.91030000000001</v>
      </c>
      <c r="T9" s="16">
        <v>464.73050000000001</v>
      </c>
      <c r="U9" s="16">
        <v>470.90969999999999</v>
      </c>
      <c r="V9" s="16">
        <v>463.76249999999999</v>
      </c>
      <c r="W9" s="16">
        <v>455.59070000000003</v>
      </c>
      <c r="X9" s="16">
        <v>435.19760000000002</v>
      </c>
      <c r="Y9" s="16">
        <v>381.85969999999998</v>
      </c>
      <c r="Z9" s="26" t="s">
        <v>32</v>
      </c>
      <c r="AA9" s="25">
        <f t="shared" si="0"/>
        <v>328.16129999999998</v>
      </c>
      <c r="AB9" s="25">
        <f t="shared" si="1"/>
        <v>418.04419583333299</v>
      </c>
    </row>
    <row r="10" spans="1:31">
      <c r="A10" s="8">
        <v>45300</v>
      </c>
      <c r="B10" s="16">
        <v>395.18470000000002</v>
      </c>
      <c r="C10" s="16">
        <v>392.82859999999999</v>
      </c>
      <c r="D10" s="16">
        <v>391.25560000000002</v>
      </c>
      <c r="E10" s="16">
        <v>381.61239999999998</v>
      </c>
      <c r="F10" s="16">
        <v>368.97250000000003</v>
      </c>
      <c r="G10" s="16">
        <v>379.67869999999999</v>
      </c>
      <c r="H10" s="16">
        <v>426.37549999999999</v>
      </c>
      <c r="I10" s="16">
        <v>463.0224</v>
      </c>
      <c r="J10" s="16">
        <v>532.04499999999996</v>
      </c>
      <c r="K10" s="16">
        <v>550.45029999999997</v>
      </c>
      <c r="L10" s="16">
        <v>522.95010000000002</v>
      </c>
      <c r="M10" s="16">
        <v>481.9348</v>
      </c>
      <c r="N10" s="16">
        <v>415.48559999999998</v>
      </c>
      <c r="O10" s="16">
        <v>450.05599999999998</v>
      </c>
      <c r="P10" s="16">
        <v>474.8023</v>
      </c>
      <c r="Q10" s="16">
        <v>506.12430000000001</v>
      </c>
      <c r="R10" s="16">
        <v>543.08910000000003</v>
      </c>
      <c r="S10" s="16">
        <v>502.70299999999997</v>
      </c>
      <c r="T10" s="16">
        <v>515.64700000000005</v>
      </c>
      <c r="U10" s="16">
        <v>524.1318</v>
      </c>
      <c r="V10" s="16">
        <v>507.89909999999998</v>
      </c>
      <c r="W10" s="16">
        <v>497.54109999999997</v>
      </c>
      <c r="X10" s="16">
        <v>469.69200000000001</v>
      </c>
      <c r="Y10" s="16">
        <v>411.66500000000002</v>
      </c>
      <c r="Z10" s="26" t="s">
        <v>32</v>
      </c>
      <c r="AA10" s="25">
        <f t="shared" si="0"/>
        <v>368.97250000000003</v>
      </c>
      <c r="AB10" s="25">
        <f t="shared" si="1"/>
        <v>462.714454166667</v>
      </c>
    </row>
    <row r="11" spans="1:31">
      <c r="A11" s="8">
        <v>45301</v>
      </c>
      <c r="B11" s="16">
        <v>424.27699999999999</v>
      </c>
      <c r="C11" s="16">
        <v>425.6121</v>
      </c>
      <c r="D11" s="16">
        <v>417.34550000000002</v>
      </c>
      <c r="E11" s="16">
        <v>403.72579999999999</v>
      </c>
      <c r="F11" s="16">
        <v>389.98500000000001</v>
      </c>
      <c r="G11" s="16">
        <v>395.5</v>
      </c>
      <c r="H11" s="16">
        <v>430.51229999999998</v>
      </c>
      <c r="I11" s="16">
        <v>458.2251</v>
      </c>
      <c r="J11" s="16">
        <v>492.69889999999998</v>
      </c>
      <c r="K11" s="16">
        <v>487.63369999999998</v>
      </c>
      <c r="L11" s="16">
        <v>489.94209999999998</v>
      </c>
      <c r="M11" s="16">
        <v>483.96089999999998</v>
      </c>
      <c r="N11" s="16">
        <v>415.0181</v>
      </c>
      <c r="O11" s="16">
        <v>441.09120000000001</v>
      </c>
      <c r="P11" s="16">
        <v>472.63099999999997</v>
      </c>
      <c r="Q11" s="16">
        <v>480.22250000000003</v>
      </c>
      <c r="R11" s="16">
        <v>484.67410000000001</v>
      </c>
      <c r="S11" s="16">
        <v>478.93189999999998</v>
      </c>
      <c r="T11" s="16">
        <v>481.11340000000001</v>
      </c>
      <c r="U11" s="16">
        <v>490.33730000000003</v>
      </c>
      <c r="V11" s="16">
        <v>494.17099999999999</v>
      </c>
      <c r="W11" s="16">
        <v>483.90530000000001</v>
      </c>
      <c r="X11" s="16">
        <v>455.91449999999998</v>
      </c>
      <c r="Y11" s="16">
        <v>396.59589999999997</v>
      </c>
      <c r="Z11" s="26" t="s">
        <v>32</v>
      </c>
      <c r="AA11" s="25">
        <f t="shared" si="0"/>
        <v>389.98500000000001</v>
      </c>
      <c r="AB11" s="25">
        <f t="shared" si="1"/>
        <v>453.084358333333</v>
      </c>
    </row>
    <row r="12" spans="1:31">
      <c r="A12" s="8">
        <v>45302</v>
      </c>
      <c r="B12" s="16">
        <v>401.9325</v>
      </c>
      <c r="C12" s="16">
        <v>386.7688</v>
      </c>
      <c r="D12" s="16">
        <v>375.55369999999999</v>
      </c>
      <c r="E12" s="16">
        <v>365.92200000000003</v>
      </c>
      <c r="F12" s="16">
        <v>353.36799999999999</v>
      </c>
      <c r="G12" s="16">
        <v>366.46620000000001</v>
      </c>
      <c r="H12" s="16">
        <v>412.48009999999999</v>
      </c>
      <c r="I12" s="16">
        <v>440.24610000000001</v>
      </c>
      <c r="J12" s="16">
        <v>464.09699999999998</v>
      </c>
      <c r="K12" s="16">
        <v>476.18630000000002</v>
      </c>
      <c r="L12" s="16">
        <v>477.6936</v>
      </c>
      <c r="M12" s="16">
        <v>453.2987</v>
      </c>
      <c r="N12" s="16">
        <v>397.58199999999999</v>
      </c>
      <c r="O12" s="16">
        <v>440.01420000000002</v>
      </c>
      <c r="P12" s="16">
        <v>459.62720000000002</v>
      </c>
      <c r="Q12" s="16">
        <v>467.33710000000002</v>
      </c>
      <c r="R12" s="16">
        <v>468.86470000000003</v>
      </c>
      <c r="S12" s="16">
        <v>464.30619999999999</v>
      </c>
      <c r="T12" s="16">
        <v>483.86169999999998</v>
      </c>
      <c r="U12" s="16">
        <v>511.6651</v>
      </c>
      <c r="V12" s="16">
        <v>513.0711</v>
      </c>
      <c r="W12" s="16">
        <v>496.36040000000003</v>
      </c>
      <c r="X12" s="16">
        <v>465.1456</v>
      </c>
      <c r="Y12" s="16">
        <v>394.96350000000001</v>
      </c>
      <c r="Z12" s="26" t="s">
        <v>33</v>
      </c>
      <c r="AA12" s="25">
        <f t="shared" si="0"/>
        <v>353.36799999999999</v>
      </c>
      <c r="AB12" s="25">
        <f t="shared" si="1"/>
        <v>439.03382499999998</v>
      </c>
    </row>
    <row r="13" spans="1:31">
      <c r="A13" s="8">
        <v>45303</v>
      </c>
      <c r="B13" s="16">
        <v>415.96499999999997</v>
      </c>
      <c r="C13" s="16">
        <v>408.24340000000001</v>
      </c>
      <c r="D13" s="16">
        <v>400.37520000000001</v>
      </c>
      <c r="E13" s="16">
        <v>389.51940000000002</v>
      </c>
      <c r="F13" s="16">
        <v>381.46249999999998</v>
      </c>
      <c r="G13" s="16">
        <v>380.50319999999999</v>
      </c>
      <c r="H13" s="16">
        <v>416.24619999999999</v>
      </c>
      <c r="I13" s="16">
        <v>472.56290000000001</v>
      </c>
      <c r="J13" s="16">
        <v>679.76049999999998</v>
      </c>
      <c r="K13" s="16">
        <v>814.33900000000006</v>
      </c>
      <c r="L13" s="16">
        <v>736.66639999999995</v>
      </c>
      <c r="M13" s="16">
        <v>544.70519999999999</v>
      </c>
      <c r="N13" s="16">
        <v>384.83690000000001</v>
      </c>
      <c r="O13" s="16">
        <v>437.21899999999999</v>
      </c>
      <c r="P13" s="16">
        <v>473.90859999999998</v>
      </c>
      <c r="Q13" s="16">
        <v>549.57510000000002</v>
      </c>
      <c r="R13" s="16">
        <v>566.12900000000002</v>
      </c>
      <c r="S13" s="16">
        <v>516.59540000000004</v>
      </c>
      <c r="T13" s="16">
        <v>586.82680000000005</v>
      </c>
      <c r="U13" s="16">
        <v>618.80430000000001</v>
      </c>
      <c r="V13" s="16">
        <v>556.98800000000006</v>
      </c>
      <c r="W13" s="16">
        <v>478.47410000000002</v>
      </c>
      <c r="X13" s="16">
        <v>438.0883</v>
      </c>
      <c r="Y13" s="16">
        <v>383.42790000000002</v>
      </c>
      <c r="Z13" s="26" t="s">
        <v>34</v>
      </c>
      <c r="AA13" s="25">
        <f t="shared" si="0"/>
        <v>380.50319999999999</v>
      </c>
      <c r="AB13" s="25">
        <f t="shared" si="1"/>
        <v>501.300929166667</v>
      </c>
    </row>
    <row r="14" spans="1:31">
      <c r="A14" s="8">
        <v>45304</v>
      </c>
      <c r="B14" s="16">
        <v>413.0077</v>
      </c>
      <c r="C14" s="16">
        <v>399.1961</v>
      </c>
      <c r="D14" s="16">
        <v>388.64800000000002</v>
      </c>
      <c r="E14" s="16">
        <v>381.375</v>
      </c>
      <c r="F14" s="16">
        <v>371.43689999999998</v>
      </c>
      <c r="G14" s="16">
        <v>368.82299999999998</v>
      </c>
      <c r="H14" s="16">
        <v>383.85129999999998</v>
      </c>
      <c r="I14" s="16">
        <v>429.9692</v>
      </c>
      <c r="J14" s="16">
        <v>549.50379999999996</v>
      </c>
      <c r="K14" s="16">
        <v>746.24120000000005</v>
      </c>
      <c r="L14" s="16">
        <v>614.21640000000002</v>
      </c>
      <c r="M14" s="16">
        <v>497.15010000000001</v>
      </c>
      <c r="N14" s="16">
        <v>372.5591</v>
      </c>
      <c r="O14" s="16">
        <v>422.95249999999999</v>
      </c>
      <c r="P14" s="16">
        <v>451.92770000000002</v>
      </c>
      <c r="Q14" s="16">
        <v>481.13839999999999</v>
      </c>
      <c r="R14" s="16">
        <v>505.18110000000001</v>
      </c>
      <c r="S14" s="16">
        <v>514.64059999999995</v>
      </c>
      <c r="T14" s="16">
        <v>518.69060000000002</v>
      </c>
      <c r="U14" s="16">
        <v>513.43110000000001</v>
      </c>
      <c r="V14" s="16">
        <v>491.17189999999999</v>
      </c>
      <c r="W14" s="16">
        <v>459.94499999999999</v>
      </c>
      <c r="X14" s="16">
        <v>432.9597</v>
      </c>
      <c r="Y14" s="16">
        <v>386.86770000000001</v>
      </c>
      <c r="Z14" s="26" t="s">
        <v>32</v>
      </c>
      <c r="AA14" s="25">
        <f t="shared" si="0"/>
        <v>368.82299999999998</v>
      </c>
      <c r="AB14" s="25">
        <f t="shared" si="1"/>
        <v>462.28683749999999</v>
      </c>
    </row>
    <row r="15" spans="1:31">
      <c r="A15" s="8">
        <v>45305</v>
      </c>
      <c r="B15" s="16">
        <v>429.17059999999998</v>
      </c>
      <c r="C15" s="16">
        <v>414.54719999999998</v>
      </c>
      <c r="D15" s="16">
        <v>399.012</v>
      </c>
      <c r="E15" s="16">
        <v>389.25470000000001</v>
      </c>
      <c r="F15" s="16">
        <v>379.05270000000002</v>
      </c>
      <c r="G15" s="16">
        <v>381.40940000000001</v>
      </c>
      <c r="H15" s="16">
        <v>391.98869999999999</v>
      </c>
      <c r="I15" s="16">
        <v>404.30450000000002</v>
      </c>
      <c r="J15" s="16">
        <v>426.69529999999997</v>
      </c>
      <c r="K15" s="16">
        <v>433.02980000000002</v>
      </c>
      <c r="L15" s="16">
        <v>426.57089999999999</v>
      </c>
      <c r="M15" s="16">
        <v>407.84300000000002</v>
      </c>
      <c r="N15" s="16">
        <v>367.6961</v>
      </c>
      <c r="O15" s="16">
        <v>383.46600000000001</v>
      </c>
      <c r="P15" s="16">
        <v>387.25650000000002</v>
      </c>
      <c r="Q15" s="16">
        <v>413.78230000000002</v>
      </c>
      <c r="R15" s="16">
        <v>466.9067</v>
      </c>
      <c r="S15" s="16">
        <v>495.89530000000002</v>
      </c>
      <c r="T15" s="16">
        <v>487.9556</v>
      </c>
      <c r="U15" s="16">
        <v>484.63470000000001</v>
      </c>
      <c r="V15" s="16">
        <v>489.01130000000001</v>
      </c>
      <c r="W15" s="16">
        <v>481.92590000000001</v>
      </c>
      <c r="X15" s="16">
        <v>438.56849999999997</v>
      </c>
      <c r="Y15" s="16">
        <v>397.00729999999999</v>
      </c>
      <c r="Z15" s="26" t="s">
        <v>32</v>
      </c>
      <c r="AA15" s="25">
        <f t="shared" si="0"/>
        <v>367.6961</v>
      </c>
      <c r="AB15" s="25">
        <f t="shared" si="1"/>
        <v>424.04104166666701</v>
      </c>
    </row>
    <row r="16" spans="1:31">
      <c r="A16" s="8">
        <v>45306</v>
      </c>
      <c r="B16" s="16">
        <v>402.0772</v>
      </c>
      <c r="C16" s="16">
        <v>403.52379999999999</v>
      </c>
      <c r="D16" s="16">
        <v>401.21679999999998</v>
      </c>
      <c r="E16" s="16">
        <v>379.76220000000001</v>
      </c>
      <c r="F16" s="16">
        <v>367.13310000000001</v>
      </c>
      <c r="G16" s="16">
        <v>372.69760000000002</v>
      </c>
      <c r="H16" s="16">
        <v>414.34730000000002</v>
      </c>
      <c r="I16" s="16">
        <v>448.6986</v>
      </c>
      <c r="J16" s="16">
        <v>598.47979999999995</v>
      </c>
      <c r="K16" s="16">
        <v>678.90020000000004</v>
      </c>
      <c r="L16" s="16">
        <v>549.06550000000004</v>
      </c>
      <c r="M16" s="16">
        <v>469.9717</v>
      </c>
      <c r="N16" s="16">
        <v>358.90989999999999</v>
      </c>
      <c r="O16" s="16">
        <v>398.39089999999999</v>
      </c>
      <c r="P16" s="16">
        <v>420.74689999999998</v>
      </c>
      <c r="Q16" s="16">
        <v>465.29469999999998</v>
      </c>
      <c r="R16" s="16">
        <v>482.23750000000001</v>
      </c>
      <c r="S16" s="16">
        <v>474.1576</v>
      </c>
      <c r="T16" s="16">
        <v>478.5403</v>
      </c>
      <c r="U16" s="16">
        <v>487.15109999999999</v>
      </c>
      <c r="V16" s="16">
        <v>470.46910000000003</v>
      </c>
      <c r="W16" s="16">
        <v>453.41739999999999</v>
      </c>
      <c r="X16" s="16">
        <v>409.38249999999999</v>
      </c>
      <c r="Y16" s="16">
        <v>357.1422</v>
      </c>
      <c r="Z16" s="26" t="s">
        <v>32</v>
      </c>
      <c r="AA16" s="25">
        <f t="shared" si="0"/>
        <v>357.1422</v>
      </c>
      <c r="AB16" s="25">
        <f t="shared" si="1"/>
        <v>447.57141250000001</v>
      </c>
    </row>
    <row r="17" spans="1:28">
      <c r="A17" s="8">
        <v>45307</v>
      </c>
      <c r="B17" s="16">
        <v>368.04939999999999</v>
      </c>
      <c r="C17" s="16">
        <v>377.95729999999998</v>
      </c>
      <c r="D17" s="16">
        <v>376.666</v>
      </c>
      <c r="E17" s="16">
        <v>356.76850000000002</v>
      </c>
      <c r="F17" s="16">
        <v>339.1361</v>
      </c>
      <c r="G17" s="16">
        <v>340.41570000000002</v>
      </c>
      <c r="H17" s="16">
        <v>379.8716</v>
      </c>
      <c r="I17" s="16">
        <v>416.44319999999999</v>
      </c>
      <c r="J17" s="16">
        <v>474.05669999999998</v>
      </c>
      <c r="K17" s="16">
        <v>468.17989999999998</v>
      </c>
      <c r="L17" s="16">
        <v>452.84309999999999</v>
      </c>
      <c r="M17" s="16">
        <v>418.4828</v>
      </c>
      <c r="N17" s="16">
        <v>296.89940000000001</v>
      </c>
      <c r="O17" s="16">
        <v>347.97989999999999</v>
      </c>
      <c r="P17" s="16">
        <v>388.71800000000002</v>
      </c>
      <c r="Q17" s="16">
        <v>425.5369</v>
      </c>
      <c r="R17" s="16">
        <v>439.84620000000001</v>
      </c>
      <c r="S17" s="16">
        <v>453.36649999999997</v>
      </c>
      <c r="T17" s="16">
        <v>477.59179999999998</v>
      </c>
      <c r="U17" s="16">
        <v>479.05900000000003</v>
      </c>
      <c r="V17" s="16">
        <v>476.63040000000001</v>
      </c>
      <c r="W17" s="16">
        <v>452.74369999999999</v>
      </c>
      <c r="X17" s="16">
        <v>424.4726</v>
      </c>
      <c r="Y17" s="16">
        <v>376.06580000000002</v>
      </c>
      <c r="Z17" s="26" t="s">
        <v>32</v>
      </c>
      <c r="AA17" s="25">
        <f t="shared" si="0"/>
        <v>296.89940000000001</v>
      </c>
      <c r="AB17" s="25">
        <f t="shared" si="1"/>
        <v>408.65752083333302</v>
      </c>
    </row>
    <row r="18" spans="1:28">
      <c r="A18" s="8">
        <v>45308</v>
      </c>
      <c r="B18" s="16">
        <v>382.16090000000003</v>
      </c>
      <c r="C18" s="16">
        <v>379.7901</v>
      </c>
      <c r="D18" s="16">
        <v>374.53149999999999</v>
      </c>
      <c r="E18" s="16">
        <v>353.46710000000002</v>
      </c>
      <c r="F18" s="16">
        <v>335.78300000000002</v>
      </c>
      <c r="G18" s="16">
        <v>340.29050000000001</v>
      </c>
      <c r="H18" s="16">
        <v>389.87270000000001</v>
      </c>
      <c r="I18" s="16">
        <v>427.00799999999998</v>
      </c>
      <c r="J18" s="16">
        <v>475.64550000000003</v>
      </c>
      <c r="K18" s="16">
        <v>454.56229999999999</v>
      </c>
      <c r="L18" s="16">
        <v>456.00170000000003</v>
      </c>
      <c r="M18" s="16">
        <v>423.76159999999999</v>
      </c>
      <c r="N18" s="16">
        <v>327.3673</v>
      </c>
      <c r="O18" s="16">
        <v>378.36040000000003</v>
      </c>
      <c r="P18" s="16">
        <v>403.61599999999999</v>
      </c>
      <c r="Q18" s="16">
        <v>428.56599999999997</v>
      </c>
      <c r="R18" s="16">
        <v>453.01920000000001</v>
      </c>
      <c r="S18" s="16">
        <v>454.52600000000001</v>
      </c>
      <c r="T18" s="16">
        <v>475.13780000000003</v>
      </c>
      <c r="U18" s="16">
        <v>477.6678</v>
      </c>
      <c r="V18" s="16">
        <v>474.44409999999999</v>
      </c>
      <c r="W18" s="16">
        <v>460.66500000000002</v>
      </c>
      <c r="X18" s="16">
        <v>432.53359999999998</v>
      </c>
      <c r="Y18" s="16">
        <v>396</v>
      </c>
      <c r="Z18" s="26" t="s">
        <v>32</v>
      </c>
      <c r="AA18" s="25">
        <f t="shared" si="0"/>
        <v>327.3673</v>
      </c>
      <c r="AB18" s="25">
        <f t="shared" si="1"/>
        <v>414.78242083333299</v>
      </c>
    </row>
    <row r="19" spans="1:28">
      <c r="A19" s="8">
        <v>45309</v>
      </c>
      <c r="B19" s="16">
        <v>392.25</v>
      </c>
      <c r="C19" s="16">
        <v>395.27749999999997</v>
      </c>
      <c r="D19" s="16">
        <v>385.61500000000001</v>
      </c>
      <c r="E19" s="16">
        <v>380</v>
      </c>
      <c r="F19" s="16">
        <v>370</v>
      </c>
      <c r="G19" s="16">
        <v>375.25</v>
      </c>
      <c r="H19" s="16">
        <v>402.5</v>
      </c>
      <c r="I19" s="16">
        <v>437</v>
      </c>
      <c r="J19" s="16">
        <v>501.19349999999997</v>
      </c>
      <c r="K19" s="16">
        <v>485.49869999999999</v>
      </c>
      <c r="L19" s="16">
        <v>477.94549999999998</v>
      </c>
      <c r="M19" s="16">
        <v>444.07260000000002</v>
      </c>
      <c r="N19" s="16">
        <v>363.35680000000002</v>
      </c>
      <c r="O19" s="16">
        <v>386.50970000000001</v>
      </c>
      <c r="P19" s="16">
        <v>403.5025</v>
      </c>
      <c r="Q19" s="16">
        <v>431.43290000000002</v>
      </c>
      <c r="R19" s="16">
        <v>478.01710000000003</v>
      </c>
      <c r="S19" s="16">
        <v>465.99509999999998</v>
      </c>
      <c r="T19" s="16">
        <v>478.7894</v>
      </c>
      <c r="U19" s="16">
        <v>478.62240000000003</v>
      </c>
      <c r="V19" s="16">
        <v>475.94369999999998</v>
      </c>
      <c r="W19" s="16">
        <v>465.6377</v>
      </c>
      <c r="X19" s="16">
        <v>436.25</v>
      </c>
      <c r="Y19" s="16">
        <v>400.27749999999997</v>
      </c>
      <c r="Z19" s="26" t="s">
        <v>33</v>
      </c>
      <c r="AA19" s="25">
        <f t="shared" si="0"/>
        <v>363.35680000000002</v>
      </c>
      <c r="AB19" s="25">
        <f t="shared" si="1"/>
        <v>429.62240000000003</v>
      </c>
    </row>
    <row r="20" spans="1:28">
      <c r="A20" s="8">
        <v>45310</v>
      </c>
      <c r="B20" s="16">
        <v>413.67270000000002</v>
      </c>
      <c r="C20" s="16">
        <v>410.22559999999999</v>
      </c>
      <c r="D20" s="16">
        <v>401.09129999999999</v>
      </c>
      <c r="E20" s="16">
        <v>386.45549999999997</v>
      </c>
      <c r="F20" s="16">
        <v>372.42500000000001</v>
      </c>
      <c r="G20" s="16">
        <v>376.10890000000001</v>
      </c>
      <c r="H20" s="16">
        <v>405.29109999999997</v>
      </c>
      <c r="I20" s="16">
        <v>436.93400000000003</v>
      </c>
      <c r="J20" s="16">
        <v>554.47339999999997</v>
      </c>
      <c r="K20" s="16">
        <v>520.94410000000005</v>
      </c>
      <c r="L20" s="16">
        <v>524.57740000000001</v>
      </c>
      <c r="M20" s="16">
        <v>451.50360000000001</v>
      </c>
      <c r="N20" s="16">
        <v>358.58150000000001</v>
      </c>
      <c r="O20" s="16">
        <v>391.49040000000002</v>
      </c>
      <c r="P20" s="16">
        <v>412.39870000000002</v>
      </c>
      <c r="Q20" s="16">
        <v>440.89839999999998</v>
      </c>
      <c r="R20" s="16">
        <v>481.2654</v>
      </c>
      <c r="S20" s="16">
        <v>469.35309999999998</v>
      </c>
      <c r="T20" s="16">
        <v>477.52429999999998</v>
      </c>
      <c r="U20" s="16">
        <v>475.32990000000001</v>
      </c>
      <c r="V20" s="16">
        <v>466.04</v>
      </c>
      <c r="W20" s="16">
        <v>454.45499999999998</v>
      </c>
      <c r="X20" s="16">
        <v>420.89159999999998</v>
      </c>
      <c r="Y20" s="16">
        <v>382.12700000000001</v>
      </c>
      <c r="Z20" s="26" t="s">
        <v>34</v>
      </c>
      <c r="AA20" s="25">
        <f t="shared" si="0"/>
        <v>358.58150000000001</v>
      </c>
      <c r="AB20" s="25">
        <f t="shared" si="1"/>
        <v>436.83574583333302</v>
      </c>
    </row>
    <row r="21" spans="1:28">
      <c r="A21" s="8">
        <v>45311</v>
      </c>
      <c r="B21" s="16">
        <v>402.2801</v>
      </c>
      <c r="C21" s="16">
        <v>401.56959999999998</v>
      </c>
      <c r="D21" s="16">
        <v>396.57209999999998</v>
      </c>
      <c r="E21" s="16">
        <v>379.87209999999999</v>
      </c>
      <c r="F21" s="16">
        <v>371.34379999999999</v>
      </c>
      <c r="G21" s="16">
        <v>369.6583</v>
      </c>
      <c r="H21" s="16">
        <v>387.37909999999999</v>
      </c>
      <c r="I21" s="16">
        <v>417.22930000000002</v>
      </c>
      <c r="J21" s="16">
        <v>478.12279999999998</v>
      </c>
      <c r="K21" s="16">
        <v>498.98719999999997</v>
      </c>
      <c r="L21" s="16">
        <v>494.22980000000001</v>
      </c>
      <c r="M21" s="16">
        <v>450.17770000000002</v>
      </c>
      <c r="N21" s="16">
        <v>397.05560000000003</v>
      </c>
      <c r="O21" s="16">
        <v>416.74310000000003</v>
      </c>
      <c r="P21" s="16">
        <v>439.815</v>
      </c>
      <c r="Q21" s="16">
        <v>457.87369999999999</v>
      </c>
      <c r="R21" s="16">
        <v>493.80549999999999</v>
      </c>
      <c r="S21" s="16">
        <v>512.05449999999996</v>
      </c>
      <c r="T21" s="16">
        <v>484.26060000000001</v>
      </c>
      <c r="U21" s="16">
        <v>471.1361</v>
      </c>
      <c r="V21" s="16">
        <v>465.57670000000002</v>
      </c>
      <c r="W21" s="16">
        <v>455.18900000000002</v>
      </c>
      <c r="X21" s="16">
        <v>443.66980000000001</v>
      </c>
      <c r="Y21" s="16">
        <v>395.21179999999998</v>
      </c>
      <c r="Z21" s="26" t="s">
        <v>32</v>
      </c>
      <c r="AA21" s="25">
        <f t="shared" si="0"/>
        <v>369.6583</v>
      </c>
      <c r="AB21" s="25">
        <f t="shared" si="1"/>
        <v>436.65888749999999</v>
      </c>
    </row>
    <row r="22" spans="1:28">
      <c r="A22" s="8">
        <v>45312</v>
      </c>
      <c r="B22" s="16">
        <v>402.18740000000003</v>
      </c>
      <c r="C22" s="16">
        <v>400.2303</v>
      </c>
      <c r="D22" s="16">
        <v>394.11270000000002</v>
      </c>
      <c r="E22" s="16">
        <v>376.30079999999998</v>
      </c>
      <c r="F22" s="16">
        <v>361.93650000000002</v>
      </c>
      <c r="G22" s="16">
        <v>360.57409999999999</v>
      </c>
      <c r="H22" s="16">
        <v>373.30250000000001</v>
      </c>
      <c r="I22" s="16">
        <v>397.65179999999998</v>
      </c>
      <c r="J22" s="16">
        <v>412.30680000000001</v>
      </c>
      <c r="K22" s="16">
        <v>410.91719999999998</v>
      </c>
      <c r="L22" s="16">
        <v>404.68150000000003</v>
      </c>
      <c r="M22" s="16">
        <v>388.55250000000001</v>
      </c>
      <c r="N22" s="16">
        <v>336.8623</v>
      </c>
      <c r="O22" s="16">
        <v>368.6046</v>
      </c>
      <c r="P22" s="16">
        <v>382.36610000000002</v>
      </c>
      <c r="Q22" s="16">
        <v>406.596</v>
      </c>
      <c r="R22" s="16">
        <v>423.88760000000002</v>
      </c>
      <c r="S22" s="16">
        <v>443.94900000000001</v>
      </c>
      <c r="T22" s="16">
        <v>442.66919999999999</v>
      </c>
      <c r="U22" s="16">
        <v>430.93180000000001</v>
      </c>
      <c r="V22" s="16">
        <v>430.10149999999999</v>
      </c>
      <c r="W22" s="16">
        <v>420.67290000000003</v>
      </c>
      <c r="X22" s="16">
        <v>412.20699999999999</v>
      </c>
      <c r="Y22" s="16">
        <v>372.61739999999998</v>
      </c>
      <c r="Z22" s="26" t="s">
        <v>32</v>
      </c>
      <c r="AA22" s="25">
        <f t="shared" si="0"/>
        <v>336.8623</v>
      </c>
      <c r="AB22" s="25">
        <f t="shared" si="1"/>
        <v>398.09247916666698</v>
      </c>
    </row>
    <row r="23" spans="1:28">
      <c r="A23" s="8">
        <v>45313</v>
      </c>
      <c r="B23" s="16">
        <v>370.41820000000001</v>
      </c>
      <c r="C23" s="16">
        <v>359.02800000000002</v>
      </c>
      <c r="D23" s="16">
        <v>348.32940000000002</v>
      </c>
      <c r="E23" s="16">
        <v>270.55149999999998</v>
      </c>
      <c r="F23" s="16">
        <v>139.53809999999999</v>
      </c>
      <c r="G23" s="16">
        <v>177.36949999999999</v>
      </c>
      <c r="H23" s="16">
        <v>347.89080000000001</v>
      </c>
      <c r="I23" s="16">
        <v>397.22699999999998</v>
      </c>
      <c r="J23" s="16">
        <v>450.69990000000001</v>
      </c>
      <c r="K23" s="16">
        <v>470.98700000000002</v>
      </c>
      <c r="L23" s="16">
        <v>471.37970000000001</v>
      </c>
      <c r="M23" s="16">
        <v>463.00790000000001</v>
      </c>
      <c r="N23" s="16">
        <v>413.40980000000002</v>
      </c>
      <c r="O23" s="16">
        <v>435.87139999999999</v>
      </c>
      <c r="P23" s="16">
        <v>459.85660000000001</v>
      </c>
      <c r="Q23" s="16">
        <v>479.99489999999997</v>
      </c>
      <c r="R23" s="16">
        <v>506.78930000000003</v>
      </c>
      <c r="S23" s="16">
        <v>491.3252</v>
      </c>
      <c r="T23" s="16">
        <v>485.74700000000001</v>
      </c>
      <c r="U23" s="16">
        <v>487.35329999999999</v>
      </c>
      <c r="V23" s="16">
        <v>475.58010000000002</v>
      </c>
      <c r="W23" s="16">
        <v>454.9418</v>
      </c>
      <c r="X23" s="16">
        <v>441.63150000000002</v>
      </c>
      <c r="Y23" s="16">
        <v>389.11270000000002</v>
      </c>
      <c r="Z23" s="26" t="s">
        <v>32</v>
      </c>
      <c r="AA23" s="25">
        <f t="shared" si="0"/>
        <v>139.53809999999999</v>
      </c>
      <c r="AB23" s="25">
        <f t="shared" si="1"/>
        <v>407.83502499999997</v>
      </c>
    </row>
    <row r="24" spans="1:28">
      <c r="A24" s="8">
        <v>45314</v>
      </c>
      <c r="B24" s="16">
        <v>390.4907</v>
      </c>
      <c r="C24" s="16">
        <v>385.4298</v>
      </c>
      <c r="D24" s="16">
        <v>375.62849999999997</v>
      </c>
      <c r="E24" s="16">
        <v>344.00459999999998</v>
      </c>
      <c r="F24" s="16">
        <v>325.92989999999998</v>
      </c>
      <c r="G24" s="16">
        <v>335.51949999999999</v>
      </c>
      <c r="H24" s="16">
        <v>380.6859</v>
      </c>
      <c r="I24" s="16">
        <v>417.31939999999997</v>
      </c>
      <c r="J24" s="16">
        <v>515.29939999999999</v>
      </c>
      <c r="K24" s="16">
        <v>546.48050000000001</v>
      </c>
      <c r="L24" s="16">
        <v>488.6266</v>
      </c>
      <c r="M24" s="16">
        <v>470.70949999999999</v>
      </c>
      <c r="N24" s="16">
        <v>413.60430000000002</v>
      </c>
      <c r="O24" s="16">
        <v>435.35430000000002</v>
      </c>
      <c r="P24" s="16">
        <v>450.904</v>
      </c>
      <c r="Q24" s="16">
        <v>459.94009999999997</v>
      </c>
      <c r="R24" s="16">
        <v>481.06319999999999</v>
      </c>
      <c r="S24" s="16">
        <v>477.82859999999999</v>
      </c>
      <c r="T24" s="16">
        <v>471.4588</v>
      </c>
      <c r="U24" s="16">
        <v>473.81709999999998</v>
      </c>
      <c r="V24" s="16">
        <v>472.16899999999998</v>
      </c>
      <c r="W24" s="16">
        <v>466.3338</v>
      </c>
      <c r="X24" s="16">
        <v>471.12549999999999</v>
      </c>
      <c r="Y24" s="16">
        <v>413.44220000000001</v>
      </c>
      <c r="Z24" s="27" t="s">
        <v>35</v>
      </c>
      <c r="AA24" s="25">
        <f t="shared" si="0"/>
        <v>325.92989999999998</v>
      </c>
      <c r="AB24" s="25">
        <f t="shared" si="1"/>
        <v>435.965216666667</v>
      </c>
    </row>
    <row r="25" spans="1:28">
      <c r="A25" s="8">
        <v>45315</v>
      </c>
      <c r="B25" s="16">
        <v>434.9271</v>
      </c>
      <c r="C25" s="16">
        <v>431.82920000000001</v>
      </c>
      <c r="D25" s="16">
        <v>418.8451</v>
      </c>
      <c r="E25" s="16">
        <v>404.52269999999999</v>
      </c>
      <c r="F25" s="16">
        <v>395.61700000000002</v>
      </c>
      <c r="G25" s="16">
        <v>397.22640000000001</v>
      </c>
      <c r="H25" s="16">
        <v>417.64909999999998</v>
      </c>
      <c r="I25" s="16">
        <v>466.39069999999998</v>
      </c>
      <c r="J25" s="16">
        <v>807.52459999999996</v>
      </c>
      <c r="K25" s="16">
        <v>726.61159999999995</v>
      </c>
      <c r="L25" s="16">
        <v>613.4769</v>
      </c>
      <c r="M25" s="16">
        <v>663.31219999999996</v>
      </c>
      <c r="N25" s="16">
        <v>452.17169999999999</v>
      </c>
      <c r="O25" s="16">
        <v>538.49950000000001</v>
      </c>
      <c r="P25" s="16">
        <v>600.94600000000003</v>
      </c>
      <c r="Q25" s="16">
        <v>551.98019999999997</v>
      </c>
      <c r="R25" s="16">
        <v>494.15480000000002</v>
      </c>
      <c r="S25" s="16">
        <v>477.642</v>
      </c>
      <c r="T25" s="16">
        <v>480.13920000000002</v>
      </c>
      <c r="U25" s="16">
        <v>517.73889999999994</v>
      </c>
      <c r="V25" s="16">
        <v>502.2867</v>
      </c>
      <c r="W25" s="16">
        <v>494.83769999999998</v>
      </c>
      <c r="X25" s="16">
        <v>602.09699999999998</v>
      </c>
      <c r="Y25" s="16">
        <v>447.39710000000002</v>
      </c>
      <c r="Z25" s="27" t="s">
        <v>35</v>
      </c>
      <c r="AA25" s="25">
        <f t="shared" si="0"/>
        <v>395.61700000000002</v>
      </c>
      <c r="AB25" s="25">
        <f t="shared" si="1"/>
        <v>514.07597499999997</v>
      </c>
    </row>
    <row r="26" spans="1:28">
      <c r="A26" s="8">
        <v>45316</v>
      </c>
      <c r="B26" s="16">
        <v>468.97430000000003</v>
      </c>
      <c r="C26" s="16">
        <v>461.18079999999998</v>
      </c>
      <c r="D26" s="16">
        <v>445.52339999999998</v>
      </c>
      <c r="E26" s="16">
        <v>432.45659999999998</v>
      </c>
      <c r="F26" s="16">
        <v>421.84910000000002</v>
      </c>
      <c r="G26" s="16">
        <v>421.32119999999998</v>
      </c>
      <c r="H26" s="16">
        <v>441.77420000000001</v>
      </c>
      <c r="I26" s="16">
        <v>474.59230000000002</v>
      </c>
      <c r="J26" s="16">
        <v>876.64959999999996</v>
      </c>
      <c r="K26" s="16">
        <v>653.68179999999995</v>
      </c>
      <c r="L26" s="16">
        <v>521.30259999999998</v>
      </c>
      <c r="M26" s="16">
        <v>527.90629999999999</v>
      </c>
      <c r="N26" s="16">
        <v>455.15780000000001</v>
      </c>
      <c r="O26" s="16">
        <v>520.36839999999995</v>
      </c>
      <c r="P26" s="16">
        <v>534.11710000000005</v>
      </c>
      <c r="Q26" s="16">
        <v>533.8098</v>
      </c>
      <c r="R26" s="16">
        <v>548.98209999999995</v>
      </c>
      <c r="S26" s="16">
        <v>536.9701</v>
      </c>
      <c r="T26" s="16">
        <v>512.91549999999995</v>
      </c>
      <c r="U26" s="16">
        <v>581.76170000000002</v>
      </c>
      <c r="V26" s="16">
        <v>506.46429999999998</v>
      </c>
      <c r="W26" s="16">
        <v>505.4316</v>
      </c>
      <c r="X26" s="16">
        <v>507.2559</v>
      </c>
      <c r="Y26" s="16">
        <v>437.04059999999998</v>
      </c>
      <c r="Z26" s="27" t="s">
        <v>35</v>
      </c>
      <c r="AA26" s="25">
        <f t="shared" si="0"/>
        <v>421.32119999999998</v>
      </c>
      <c r="AB26" s="25">
        <f t="shared" si="1"/>
        <v>513.64529583333297</v>
      </c>
    </row>
    <row r="27" spans="1:28">
      <c r="A27" s="8">
        <v>45317</v>
      </c>
      <c r="B27" s="16">
        <v>446.69900000000001</v>
      </c>
      <c r="C27" s="16">
        <v>433.61939999999998</v>
      </c>
      <c r="D27" s="16">
        <v>418.15550000000002</v>
      </c>
      <c r="E27" s="16">
        <v>409.17540000000002</v>
      </c>
      <c r="F27" s="16">
        <v>401.44589999999999</v>
      </c>
      <c r="G27" s="16">
        <v>400.27910000000003</v>
      </c>
      <c r="H27" s="16">
        <v>405.4271</v>
      </c>
      <c r="I27" s="16">
        <v>423.60989999999998</v>
      </c>
      <c r="J27" s="16">
        <v>465.16520000000003</v>
      </c>
      <c r="K27" s="16">
        <v>467.73559999999998</v>
      </c>
      <c r="L27" s="16">
        <v>459.9212</v>
      </c>
      <c r="M27" s="16">
        <v>454.42149999999998</v>
      </c>
      <c r="N27" s="16">
        <v>441.26130000000001</v>
      </c>
      <c r="O27" s="16">
        <v>456.64389999999997</v>
      </c>
      <c r="P27" s="16">
        <v>463.0677</v>
      </c>
      <c r="Q27" s="16">
        <v>469.05160000000001</v>
      </c>
      <c r="R27" s="16">
        <v>471.81360000000001</v>
      </c>
      <c r="S27" s="16">
        <v>457.44630000000001</v>
      </c>
      <c r="T27" s="16">
        <v>463.77179999999998</v>
      </c>
      <c r="U27" s="16">
        <v>529.76310000000001</v>
      </c>
      <c r="V27" s="16">
        <v>495.37400000000002</v>
      </c>
      <c r="W27" s="16">
        <v>488.1549</v>
      </c>
      <c r="X27" s="16">
        <v>473.34629999999999</v>
      </c>
      <c r="Y27" s="16">
        <v>429.40030000000002</v>
      </c>
      <c r="Z27" s="27" t="s">
        <v>35</v>
      </c>
      <c r="AA27" s="25">
        <f t="shared" si="0"/>
        <v>400.27910000000003</v>
      </c>
      <c r="AB27" s="25">
        <f t="shared" si="1"/>
        <v>451.03123333333298</v>
      </c>
    </row>
    <row r="28" spans="1:28">
      <c r="A28" s="8">
        <v>45318</v>
      </c>
      <c r="B28" s="16">
        <v>454.40519999999998</v>
      </c>
      <c r="C28" s="16">
        <v>435.19189999999998</v>
      </c>
      <c r="D28" s="16">
        <v>417.2996</v>
      </c>
      <c r="E28" s="16">
        <v>413.04419999999999</v>
      </c>
      <c r="F28" s="16">
        <v>406.11349999999999</v>
      </c>
      <c r="G28" s="16">
        <v>402.77</v>
      </c>
      <c r="H28" s="16">
        <v>409.07080000000002</v>
      </c>
      <c r="I28" s="16">
        <v>417.6456</v>
      </c>
      <c r="J28" s="16">
        <v>474.2414</v>
      </c>
      <c r="K28" s="16">
        <v>562.50409999999999</v>
      </c>
      <c r="L28" s="16">
        <v>615.52449999999999</v>
      </c>
      <c r="M28" s="16">
        <v>677.55939999999998</v>
      </c>
      <c r="N28" s="16">
        <v>455.6925</v>
      </c>
      <c r="O28" s="16">
        <v>489.50490000000002</v>
      </c>
      <c r="P28" s="16">
        <v>493.77379999999999</v>
      </c>
      <c r="Q28" s="16">
        <v>488.7953</v>
      </c>
      <c r="R28" s="16">
        <v>493.44510000000002</v>
      </c>
      <c r="S28" s="16">
        <v>465.83800000000002</v>
      </c>
      <c r="T28" s="16">
        <v>457.07409999999999</v>
      </c>
      <c r="U28" s="16">
        <v>467.78829999999999</v>
      </c>
      <c r="V28" s="16">
        <v>471.50749999999999</v>
      </c>
      <c r="W28" s="16">
        <v>491.12979999999999</v>
      </c>
      <c r="X28" s="16">
        <v>498.7901</v>
      </c>
      <c r="Y28" s="16">
        <v>439.82119999999998</v>
      </c>
      <c r="Z28" s="27" t="s">
        <v>35</v>
      </c>
      <c r="AA28" s="25">
        <f t="shared" si="0"/>
        <v>402.77</v>
      </c>
      <c r="AB28" s="25">
        <f t="shared" si="1"/>
        <v>474.93878333333299</v>
      </c>
    </row>
    <row r="29" spans="1:28">
      <c r="A29" s="8">
        <v>45319</v>
      </c>
      <c r="B29" s="16">
        <v>450.08969999999999</v>
      </c>
      <c r="C29" s="16">
        <v>426.50689999999997</v>
      </c>
      <c r="D29" s="16">
        <v>413.97120000000001</v>
      </c>
      <c r="E29" s="16">
        <v>402.91969999999998</v>
      </c>
      <c r="F29" s="16">
        <v>397.45800000000003</v>
      </c>
      <c r="G29" s="16">
        <v>397.47070000000002</v>
      </c>
      <c r="H29" s="16">
        <v>404.11950000000002</v>
      </c>
      <c r="I29" s="16">
        <v>419.29989999999998</v>
      </c>
      <c r="J29" s="16">
        <v>474.42090000000002</v>
      </c>
      <c r="K29" s="16">
        <v>624.13729999999998</v>
      </c>
      <c r="L29" s="16">
        <v>605.12720000000002</v>
      </c>
      <c r="M29" s="16">
        <v>612.1028</v>
      </c>
      <c r="N29" s="16">
        <v>411.77420000000001</v>
      </c>
      <c r="O29" s="16">
        <v>436.48899999999998</v>
      </c>
      <c r="P29" s="16">
        <v>448.85809999999998</v>
      </c>
      <c r="Q29" s="16">
        <v>454.8809</v>
      </c>
      <c r="R29" s="16">
        <v>470.22190000000001</v>
      </c>
      <c r="S29" s="16">
        <v>469.34219999999999</v>
      </c>
      <c r="T29" s="16">
        <v>467.71440000000001</v>
      </c>
      <c r="U29" s="16">
        <v>472.65280000000001</v>
      </c>
      <c r="V29" s="16">
        <v>469.23970000000003</v>
      </c>
      <c r="W29" s="16">
        <v>480.24759999999998</v>
      </c>
      <c r="X29" s="16">
        <v>464.22739999999999</v>
      </c>
      <c r="Y29" s="16">
        <v>426.8603</v>
      </c>
      <c r="Z29" s="24" t="s">
        <v>31</v>
      </c>
      <c r="AA29" s="25">
        <f t="shared" si="0"/>
        <v>397.45800000000003</v>
      </c>
      <c r="AB29" s="25">
        <f t="shared" si="1"/>
        <v>462.50551250000001</v>
      </c>
    </row>
    <row r="30" spans="1:28">
      <c r="A30" s="8">
        <v>45320</v>
      </c>
      <c r="B30" s="16">
        <v>421.52159999999998</v>
      </c>
      <c r="C30" s="16">
        <v>406.50970000000001</v>
      </c>
      <c r="D30" s="16">
        <v>403.30419999999998</v>
      </c>
      <c r="E30" s="16">
        <v>395.86279999999999</v>
      </c>
      <c r="F30" s="16">
        <v>382.27420000000001</v>
      </c>
      <c r="G30" s="16">
        <v>390.30489999999998</v>
      </c>
      <c r="H30" s="16">
        <v>403.37520000000001</v>
      </c>
      <c r="I30" s="16">
        <v>419.73160000000001</v>
      </c>
      <c r="J30" s="16">
        <v>608.36590000000001</v>
      </c>
      <c r="K30" s="16">
        <v>754.33420000000001</v>
      </c>
      <c r="L30" s="16">
        <v>758.73230000000001</v>
      </c>
      <c r="M30" s="16">
        <v>665.1712</v>
      </c>
      <c r="N30" s="16">
        <v>447.75200000000001</v>
      </c>
      <c r="O30" s="16">
        <v>583.1087</v>
      </c>
      <c r="P30" s="16">
        <v>503.52629999999999</v>
      </c>
      <c r="Q30" s="16">
        <v>544.97889999999995</v>
      </c>
      <c r="R30" s="16">
        <v>718.21929999999998</v>
      </c>
      <c r="S30" s="16">
        <v>562.71900000000005</v>
      </c>
      <c r="T30" s="16">
        <v>496.58240000000001</v>
      </c>
      <c r="U30" s="16">
        <v>545.25530000000003</v>
      </c>
      <c r="V30" s="16">
        <v>561.68119999999999</v>
      </c>
      <c r="W30" s="16">
        <v>616.11289999999997</v>
      </c>
      <c r="X30" s="16">
        <v>532.3347</v>
      </c>
      <c r="Y30" s="16">
        <v>438.54809999999998</v>
      </c>
      <c r="Z30" s="24" t="s">
        <v>31</v>
      </c>
      <c r="AA30" s="25">
        <f t="shared" si="0"/>
        <v>382.27420000000001</v>
      </c>
      <c r="AB30" s="25">
        <f t="shared" si="1"/>
        <v>523.34610833333295</v>
      </c>
    </row>
    <row r="31" spans="1:28">
      <c r="A31" s="8">
        <v>45321</v>
      </c>
      <c r="B31" s="16">
        <v>418.73050000000001</v>
      </c>
      <c r="C31" s="16">
        <v>413.2337</v>
      </c>
      <c r="D31" s="16">
        <v>407.93880000000001</v>
      </c>
      <c r="E31" s="16">
        <v>401.84399999999999</v>
      </c>
      <c r="F31" s="16">
        <v>397.1302</v>
      </c>
      <c r="G31" s="16">
        <v>397.11959999999999</v>
      </c>
      <c r="H31" s="16">
        <v>402.42140000000001</v>
      </c>
      <c r="I31" s="16">
        <v>414.98750000000001</v>
      </c>
      <c r="J31" s="16">
        <v>455.9905</v>
      </c>
      <c r="K31" s="16">
        <v>490.5994</v>
      </c>
      <c r="L31" s="16">
        <v>475.7466</v>
      </c>
      <c r="M31" s="16">
        <v>450.79360000000003</v>
      </c>
      <c r="N31" s="16">
        <v>419.5478</v>
      </c>
      <c r="O31" s="16">
        <v>435.83249999999998</v>
      </c>
      <c r="P31" s="16">
        <v>434.24520000000001</v>
      </c>
      <c r="Q31" s="16">
        <v>443.56920000000002</v>
      </c>
      <c r="R31" s="16">
        <v>456.01280000000003</v>
      </c>
      <c r="S31" s="16">
        <v>456.7081</v>
      </c>
      <c r="T31" s="16">
        <v>458.25279999999998</v>
      </c>
      <c r="U31" s="16">
        <v>460.63830000000002</v>
      </c>
      <c r="V31" s="16">
        <v>460.12889999999999</v>
      </c>
      <c r="W31" s="16">
        <v>476.24900000000002</v>
      </c>
      <c r="X31" s="16">
        <v>461.77589999999998</v>
      </c>
      <c r="Y31" s="16">
        <v>420.76960000000003</v>
      </c>
      <c r="Z31" s="24" t="s">
        <v>31</v>
      </c>
      <c r="AA31" s="25">
        <f t="shared" si="0"/>
        <v>397.11959999999999</v>
      </c>
      <c r="AB31" s="25">
        <f t="shared" si="1"/>
        <v>437.92774583333301</v>
      </c>
    </row>
    <row r="32" spans="1:28">
      <c r="A32" s="8">
        <v>45322</v>
      </c>
      <c r="B32" s="16">
        <v>416.21800000000002</v>
      </c>
      <c r="C32" s="16">
        <v>411.24470000000002</v>
      </c>
      <c r="D32" s="16">
        <v>394.58609999999999</v>
      </c>
      <c r="E32" s="16">
        <v>366.40339999999998</v>
      </c>
      <c r="F32" s="16">
        <v>346.2405</v>
      </c>
      <c r="G32" s="16">
        <v>345.88260000000002</v>
      </c>
      <c r="H32" s="16">
        <v>370.75409999999999</v>
      </c>
      <c r="I32" s="16">
        <v>403.65199999999999</v>
      </c>
      <c r="J32" s="16">
        <v>431.11790000000002</v>
      </c>
      <c r="K32" s="16">
        <v>437.67849999999999</v>
      </c>
      <c r="L32" s="16">
        <v>439.17070000000001</v>
      </c>
      <c r="M32" s="16">
        <v>419.65609999999998</v>
      </c>
      <c r="N32" s="16">
        <v>402.1352</v>
      </c>
      <c r="O32" s="16">
        <v>404.6807</v>
      </c>
      <c r="P32" s="16">
        <v>410.2287</v>
      </c>
      <c r="Q32" s="16">
        <v>413.49779999999998</v>
      </c>
      <c r="R32" s="16">
        <v>419.25810000000001</v>
      </c>
      <c r="S32" s="16">
        <v>437.04629999999997</v>
      </c>
      <c r="T32" s="16">
        <v>455.59899999999999</v>
      </c>
      <c r="U32" s="16">
        <v>456.1773</v>
      </c>
      <c r="V32" s="16">
        <v>458.43579999999997</v>
      </c>
      <c r="W32" s="16">
        <v>444.04570000000001</v>
      </c>
      <c r="X32" s="16">
        <v>425.69819999999999</v>
      </c>
      <c r="Y32" s="16">
        <v>400.71280000000002</v>
      </c>
      <c r="Z32" s="24" t="s">
        <v>31</v>
      </c>
      <c r="AA32" s="25">
        <f t="shared" si="0"/>
        <v>345.88260000000002</v>
      </c>
      <c r="AB32" s="25">
        <f t="shared" si="1"/>
        <v>412.92167499999999</v>
      </c>
    </row>
    <row r="33" spans="1:28">
      <c r="A33" s="8">
        <v>45323</v>
      </c>
      <c r="B33" s="16">
        <v>394.34480000000002</v>
      </c>
      <c r="C33" s="16">
        <v>390.58120000000002</v>
      </c>
      <c r="D33" s="16">
        <v>376.79950000000002</v>
      </c>
      <c r="E33" s="16">
        <v>366.66419999999999</v>
      </c>
      <c r="F33" s="16">
        <v>349.25889999999998</v>
      </c>
      <c r="G33" s="16">
        <v>351.76710000000003</v>
      </c>
      <c r="H33" s="16">
        <v>374.35919999999999</v>
      </c>
      <c r="I33" s="16">
        <v>386.70350000000002</v>
      </c>
      <c r="J33" s="16">
        <v>410.44470000000001</v>
      </c>
      <c r="K33" s="16">
        <v>410.2287</v>
      </c>
      <c r="L33" s="16">
        <v>398.97120000000001</v>
      </c>
      <c r="M33" s="16">
        <v>385.75170000000003</v>
      </c>
      <c r="N33" s="16">
        <v>374.46870000000001</v>
      </c>
      <c r="O33" s="16">
        <v>377.80930000000001</v>
      </c>
      <c r="P33" s="16">
        <v>377.68700000000001</v>
      </c>
      <c r="Q33" s="16">
        <v>377.40210000000002</v>
      </c>
      <c r="R33" s="16">
        <v>393.69709999999998</v>
      </c>
      <c r="S33" s="16">
        <v>401.04919999999998</v>
      </c>
      <c r="T33" s="16">
        <v>425.41379999999998</v>
      </c>
      <c r="U33" s="16">
        <v>425.39580000000001</v>
      </c>
      <c r="V33" s="16">
        <v>423.79489999999998</v>
      </c>
      <c r="W33" s="16">
        <v>424.10739999999998</v>
      </c>
      <c r="X33" s="16">
        <v>420.17869999999999</v>
      </c>
      <c r="Y33" s="16">
        <v>388.95609999999999</v>
      </c>
      <c r="Z33" s="27" t="s">
        <v>35</v>
      </c>
      <c r="AA33" s="25">
        <f t="shared" si="0"/>
        <v>349.25889999999998</v>
      </c>
      <c r="AB33" s="25">
        <f t="shared" si="1"/>
        <v>391.909783333333</v>
      </c>
    </row>
    <row r="34" spans="1:28">
      <c r="A34" s="8">
        <v>45324</v>
      </c>
      <c r="B34" s="16">
        <v>371.18169999999998</v>
      </c>
      <c r="C34" s="16">
        <v>358.1327</v>
      </c>
      <c r="D34" s="16">
        <v>342.52839999999998</v>
      </c>
      <c r="E34" s="16">
        <v>334.26729999999998</v>
      </c>
      <c r="F34" s="16">
        <v>327.92160000000001</v>
      </c>
      <c r="G34" s="16">
        <v>321.60629999999998</v>
      </c>
      <c r="H34" s="16">
        <v>332.6148</v>
      </c>
      <c r="I34" s="16">
        <v>345.97930000000002</v>
      </c>
      <c r="J34" s="16">
        <v>354.86939999999998</v>
      </c>
      <c r="K34" s="16">
        <v>357.75</v>
      </c>
      <c r="L34" s="16">
        <v>345.82080000000002</v>
      </c>
      <c r="M34" s="16">
        <v>340.38940000000002</v>
      </c>
      <c r="N34" s="16">
        <v>336.23630000000003</v>
      </c>
      <c r="O34" s="16">
        <v>337.572</v>
      </c>
      <c r="P34" s="16">
        <v>338.67630000000003</v>
      </c>
      <c r="Q34" s="16">
        <v>338.1173</v>
      </c>
      <c r="R34" s="16">
        <v>341.95170000000002</v>
      </c>
      <c r="S34" s="16">
        <v>358.75209999999998</v>
      </c>
      <c r="T34" s="16">
        <v>381.0453</v>
      </c>
      <c r="U34" s="16">
        <v>391.92880000000002</v>
      </c>
      <c r="V34" s="16">
        <v>385.68180000000001</v>
      </c>
      <c r="W34" s="16">
        <v>384.57679999999999</v>
      </c>
      <c r="X34" s="16">
        <v>381.2423</v>
      </c>
      <c r="Y34" s="16">
        <v>342.72059999999999</v>
      </c>
      <c r="Z34" s="27" t="s">
        <v>35</v>
      </c>
      <c r="AA34" s="25">
        <f t="shared" si="0"/>
        <v>321.60629999999998</v>
      </c>
      <c r="AB34" s="25">
        <f t="shared" si="1"/>
        <v>352.148458333333</v>
      </c>
    </row>
    <row r="35" spans="1:28">
      <c r="A35" s="8">
        <v>45325</v>
      </c>
      <c r="B35" s="16">
        <v>336.64030000000002</v>
      </c>
      <c r="C35" s="16">
        <v>206.76230000000001</v>
      </c>
      <c r="D35" s="16">
        <v>0</v>
      </c>
      <c r="E35" s="16">
        <v>0</v>
      </c>
      <c r="F35" s="16">
        <v>0</v>
      </c>
      <c r="G35" s="16">
        <v>0</v>
      </c>
      <c r="H35" s="16">
        <v>0</v>
      </c>
      <c r="I35" s="16">
        <v>152.74029999999999</v>
      </c>
      <c r="J35" s="16">
        <v>334.94139999999999</v>
      </c>
      <c r="K35" s="16">
        <v>342.46409999999997</v>
      </c>
      <c r="L35" s="16">
        <v>338.91329999999999</v>
      </c>
      <c r="M35" s="16">
        <v>344.8818</v>
      </c>
      <c r="N35" s="16">
        <v>305.91199999999998</v>
      </c>
      <c r="O35" s="16">
        <v>74.104399999999998</v>
      </c>
      <c r="P35" s="16">
        <v>0</v>
      </c>
      <c r="Q35" s="16">
        <v>280.31610000000001</v>
      </c>
      <c r="R35" s="16">
        <v>343.05790000000002</v>
      </c>
      <c r="S35" s="16">
        <v>361.92989999999998</v>
      </c>
      <c r="T35" s="16">
        <v>366.8451</v>
      </c>
      <c r="U35" s="16">
        <v>365.79059999999998</v>
      </c>
      <c r="V35" s="16">
        <v>362.97399999999999</v>
      </c>
      <c r="W35" s="16">
        <v>370.15469999999999</v>
      </c>
      <c r="X35" s="16">
        <v>371.10849999999999</v>
      </c>
      <c r="Y35" s="16">
        <v>333.4289</v>
      </c>
      <c r="Z35" s="27" t="s">
        <v>35</v>
      </c>
      <c r="AA35" s="25">
        <f t="shared" si="0"/>
        <v>0</v>
      </c>
      <c r="AB35" s="25">
        <f t="shared" si="1"/>
        <v>233.04023333333299</v>
      </c>
    </row>
    <row r="36" spans="1:28">
      <c r="A36" s="8">
        <v>45326</v>
      </c>
      <c r="B36" s="16">
        <v>363.7636</v>
      </c>
      <c r="C36" s="16">
        <v>348.64139999999998</v>
      </c>
      <c r="D36" s="16">
        <v>332.9855</v>
      </c>
      <c r="E36" s="16">
        <v>319.51369999999997</v>
      </c>
      <c r="F36" s="16">
        <v>323.22739999999999</v>
      </c>
      <c r="G36" s="16">
        <v>319.83190000000002</v>
      </c>
      <c r="H36" s="16">
        <v>312.53019999999998</v>
      </c>
      <c r="I36" s="16">
        <v>311.75689999999997</v>
      </c>
      <c r="J36" s="16">
        <v>322.87419999999997</v>
      </c>
      <c r="K36" s="16">
        <v>327.12549999999999</v>
      </c>
      <c r="L36" s="16">
        <v>330.8759</v>
      </c>
      <c r="M36" s="16">
        <v>335.6891</v>
      </c>
      <c r="N36" s="16">
        <v>324.76600000000002</v>
      </c>
      <c r="O36" s="16">
        <v>311.69740000000002</v>
      </c>
      <c r="P36" s="16">
        <v>298.23700000000002</v>
      </c>
      <c r="Q36" s="16">
        <v>310.48379999999997</v>
      </c>
      <c r="R36" s="16">
        <v>338.15589999999997</v>
      </c>
      <c r="S36" s="16">
        <v>339.2122</v>
      </c>
      <c r="T36" s="16">
        <v>364.53050000000002</v>
      </c>
      <c r="U36" s="16">
        <v>376.46170000000001</v>
      </c>
      <c r="V36" s="16">
        <v>366.52069999999998</v>
      </c>
      <c r="W36" s="16">
        <v>368.673</v>
      </c>
      <c r="X36" s="16">
        <v>374.96080000000001</v>
      </c>
      <c r="Y36" s="16">
        <v>338.82729999999998</v>
      </c>
      <c r="Z36" s="27" t="s">
        <v>35</v>
      </c>
      <c r="AA36" s="25">
        <f t="shared" si="0"/>
        <v>298.23700000000002</v>
      </c>
      <c r="AB36" s="25">
        <f t="shared" si="1"/>
        <v>335.88923333333298</v>
      </c>
    </row>
    <row r="37" spans="1:28">
      <c r="A37" s="8">
        <v>45327</v>
      </c>
      <c r="B37" s="16">
        <v>364.5847</v>
      </c>
      <c r="C37" s="16">
        <v>365.84230000000002</v>
      </c>
      <c r="D37" s="16">
        <v>345.75380000000001</v>
      </c>
      <c r="E37" s="16">
        <v>331.94260000000003</v>
      </c>
      <c r="F37" s="16">
        <v>327.18889999999999</v>
      </c>
      <c r="G37" s="16">
        <v>324.63369999999998</v>
      </c>
      <c r="H37" s="16">
        <v>334.76830000000001</v>
      </c>
      <c r="I37" s="16">
        <v>345.73520000000002</v>
      </c>
      <c r="J37" s="16">
        <v>331.68</v>
      </c>
      <c r="K37" s="16">
        <v>330.77390000000003</v>
      </c>
      <c r="L37" s="16">
        <v>315.5367</v>
      </c>
      <c r="M37" s="16">
        <v>313.46570000000003</v>
      </c>
      <c r="N37" s="16">
        <v>310.726</v>
      </c>
      <c r="O37" s="16">
        <v>291.29219999999998</v>
      </c>
      <c r="P37" s="16">
        <v>254.20689999999999</v>
      </c>
      <c r="Q37" s="16">
        <v>299.10660000000001</v>
      </c>
      <c r="R37" s="16">
        <v>260.74579999999997</v>
      </c>
      <c r="S37" s="16">
        <v>270.56630000000001</v>
      </c>
      <c r="T37" s="16">
        <v>344.38940000000002</v>
      </c>
      <c r="U37" s="16">
        <v>343.67169999999999</v>
      </c>
      <c r="V37" s="16">
        <v>335.86599999999999</v>
      </c>
      <c r="W37" s="16">
        <v>321.80590000000001</v>
      </c>
      <c r="X37" s="16">
        <v>318.77019999999999</v>
      </c>
      <c r="Y37" s="16">
        <v>228.44749999999999</v>
      </c>
      <c r="Z37" s="27" t="s">
        <v>35</v>
      </c>
      <c r="AA37" s="25">
        <f t="shared" si="0"/>
        <v>228.44749999999999</v>
      </c>
      <c r="AB37" s="25">
        <f t="shared" si="1"/>
        <v>317.145845833333</v>
      </c>
    </row>
    <row r="38" spans="1:28">
      <c r="A38" s="8">
        <v>45328</v>
      </c>
      <c r="B38" s="16">
        <v>230.11</v>
      </c>
      <c r="C38" s="16">
        <v>338.33</v>
      </c>
      <c r="D38" s="16">
        <v>348.75229999999999</v>
      </c>
      <c r="E38" s="16">
        <v>341.94499999999999</v>
      </c>
      <c r="F38" s="16">
        <v>338.245</v>
      </c>
      <c r="G38" s="16">
        <v>339.245</v>
      </c>
      <c r="H38" s="16">
        <v>354.83620000000002</v>
      </c>
      <c r="I38" s="16">
        <v>364.1028</v>
      </c>
      <c r="J38" s="16">
        <v>357.46100000000001</v>
      </c>
      <c r="K38" s="16">
        <v>344.85739999999998</v>
      </c>
      <c r="L38" s="16">
        <v>305.05</v>
      </c>
      <c r="M38" s="16">
        <v>311.83</v>
      </c>
      <c r="N38" s="16">
        <v>332.5926</v>
      </c>
      <c r="O38" s="16">
        <v>315.61099999999999</v>
      </c>
      <c r="P38" s="16">
        <v>325.245</v>
      </c>
      <c r="Q38" s="16">
        <v>339.66500000000002</v>
      </c>
      <c r="R38" s="16">
        <v>337.97250000000003</v>
      </c>
      <c r="S38" s="16">
        <v>321.72660000000002</v>
      </c>
      <c r="T38" s="16">
        <v>333.18310000000002</v>
      </c>
      <c r="U38" s="16">
        <v>342.34890000000001</v>
      </c>
      <c r="V38" s="16">
        <v>326.63209999999998</v>
      </c>
      <c r="W38" s="16">
        <v>308.33170000000001</v>
      </c>
      <c r="X38" s="16">
        <v>304.8</v>
      </c>
      <c r="Y38" s="16">
        <v>224.33</v>
      </c>
      <c r="Z38" s="27" t="s">
        <v>35</v>
      </c>
      <c r="AA38" s="25">
        <f t="shared" si="0"/>
        <v>224.33</v>
      </c>
      <c r="AB38" s="25">
        <f t="shared" si="1"/>
        <v>324.46679999999998</v>
      </c>
    </row>
    <row r="39" spans="1:28">
      <c r="A39" s="8">
        <v>45329</v>
      </c>
      <c r="B39" s="16">
        <v>311.58</v>
      </c>
      <c r="C39" s="16">
        <v>325.33</v>
      </c>
      <c r="D39" s="16">
        <v>329.0933</v>
      </c>
      <c r="E39" s="16">
        <v>316.43009999999998</v>
      </c>
      <c r="F39" s="16">
        <v>311.69</v>
      </c>
      <c r="G39" s="16">
        <v>305.18729999999999</v>
      </c>
      <c r="H39" s="16">
        <v>318.42</v>
      </c>
      <c r="I39" s="16">
        <v>326.08</v>
      </c>
      <c r="J39" s="16">
        <v>338.67540000000002</v>
      </c>
      <c r="K39" s="16">
        <v>314.435</v>
      </c>
      <c r="L39" s="16">
        <v>297.5</v>
      </c>
      <c r="M39" s="16">
        <v>328.7801</v>
      </c>
      <c r="N39" s="16">
        <v>330.9975</v>
      </c>
      <c r="O39" s="16">
        <v>300.745</v>
      </c>
      <c r="P39" s="16">
        <v>301.16500000000002</v>
      </c>
      <c r="Q39" s="16">
        <v>329.02499999999998</v>
      </c>
      <c r="R39" s="16">
        <v>362.60390000000001</v>
      </c>
      <c r="S39" s="16">
        <v>366.25</v>
      </c>
      <c r="T39" s="16">
        <v>356.25</v>
      </c>
      <c r="U39" s="16">
        <v>351.36090000000002</v>
      </c>
      <c r="V39" s="16">
        <v>347.6617</v>
      </c>
      <c r="W39" s="16">
        <v>338.42450000000002</v>
      </c>
      <c r="X39" s="16">
        <v>333.33</v>
      </c>
      <c r="Y39" s="16">
        <v>321.5575</v>
      </c>
      <c r="Z39" s="27" t="s">
        <v>35</v>
      </c>
      <c r="AA39" s="25">
        <f t="shared" si="0"/>
        <v>297.5</v>
      </c>
      <c r="AB39" s="25">
        <f t="shared" si="1"/>
        <v>327.60717499999998</v>
      </c>
    </row>
    <row r="40" spans="1:28">
      <c r="A40" s="8">
        <v>45330</v>
      </c>
      <c r="B40" s="16">
        <v>438.85750000000002</v>
      </c>
      <c r="C40" s="16">
        <v>409.27499999999998</v>
      </c>
      <c r="D40" s="16">
        <v>393.25</v>
      </c>
      <c r="E40" s="16">
        <v>365.75</v>
      </c>
      <c r="F40" s="16">
        <v>346.5</v>
      </c>
      <c r="G40" s="16">
        <v>335.60500000000002</v>
      </c>
      <c r="H40" s="16">
        <v>353.41500000000002</v>
      </c>
      <c r="I40" s="16">
        <v>324.38499999999999</v>
      </c>
      <c r="J40" s="16">
        <v>346.75</v>
      </c>
      <c r="K40" s="16">
        <v>316.83249999999998</v>
      </c>
      <c r="L40" s="16">
        <v>322.52749999999997</v>
      </c>
      <c r="M40" s="16">
        <v>361.245</v>
      </c>
      <c r="N40" s="16">
        <v>376.995</v>
      </c>
      <c r="O40" s="16">
        <v>353.90089999999998</v>
      </c>
      <c r="P40" s="16">
        <v>331.24889999999999</v>
      </c>
      <c r="Q40" s="16">
        <v>361.25</v>
      </c>
      <c r="R40" s="16">
        <v>400.03250000000003</v>
      </c>
      <c r="S40" s="16">
        <v>388.25</v>
      </c>
      <c r="T40" s="16">
        <v>359.8005</v>
      </c>
      <c r="U40" s="16">
        <v>365.58319999999998</v>
      </c>
      <c r="V40" s="16">
        <v>363.93979999999999</v>
      </c>
      <c r="W40" s="16">
        <v>353.96050000000002</v>
      </c>
      <c r="X40" s="16">
        <v>361.42239999999998</v>
      </c>
      <c r="Y40" s="16">
        <v>346.23070000000001</v>
      </c>
      <c r="Z40" s="27" t="s">
        <v>35</v>
      </c>
      <c r="AA40" s="25">
        <f t="shared" si="0"/>
        <v>316.83249999999998</v>
      </c>
      <c r="AB40" s="25">
        <f t="shared" si="1"/>
        <v>361.54195416666698</v>
      </c>
    </row>
    <row r="41" spans="1:28">
      <c r="A41" s="8">
        <v>45331</v>
      </c>
      <c r="B41" s="16">
        <v>402.58249999999998</v>
      </c>
      <c r="C41" s="16">
        <v>390.08249999999998</v>
      </c>
      <c r="D41" s="16">
        <v>380</v>
      </c>
      <c r="E41" s="16">
        <v>351.25</v>
      </c>
      <c r="F41" s="16">
        <v>332.94319999999999</v>
      </c>
      <c r="G41" s="16">
        <v>325.59350000000001</v>
      </c>
      <c r="H41" s="16">
        <v>336</v>
      </c>
      <c r="I41" s="16">
        <v>316.58</v>
      </c>
      <c r="J41" s="16">
        <v>346.02499999999998</v>
      </c>
      <c r="K41" s="16">
        <v>323.27</v>
      </c>
      <c r="L41" s="16">
        <v>314.10500000000002</v>
      </c>
      <c r="M41" s="16">
        <v>361.02499999999998</v>
      </c>
      <c r="N41" s="16">
        <v>410.16500000000002</v>
      </c>
      <c r="O41" s="16">
        <v>388.3535</v>
      </c>
      <c r="P41" s="16">
        <v>365.75</v>
      </c>
      <c r="Q41" s="16">
        <v>367.5575</v>
      </c>
      <c r="R41" s="16">
        <v>397.5</v>
      </c>
      <c r="S41" s="16">
        <v>401.5</v>
      </c>
      <c r="T41" s="16">
        <v>376.3075</v>
      </c>
      <c r="U41" s="16">
        <v>391.25</v>
      </c>
      <c r="V41" s="16">
        <v>372.5</v>
      </c>
      <c r="W41" s="16">
        <v>359.83249999999998</v>
      </c>
      <c r="X41" s="16">
        <v>363.75</v>
      </c>
      <c r="Y41" s="16">
        <v>377.5</v>
      </c>
      <c r="Z41" s="27" t="s">
        <v>35</v>
      </c>
      <c r="AA41" s="25">
        <f t="shared" si="0"/>
        <v>314.10500000000002</v>
      </c>
      <c r="AB41" s="25">
        <f t="shared" si="1"/>
        <v>364.64261249999998</v>
      </c>
    </row>
    <row r="42" spans="1:28">
      <c r="A42" s="8">
        <v>45332</v>
      </c>
      <c r="B42" s="16">
        <v>373.75</v>
      </c>
      <c r="C42" s="16">
        <v>427.27499999999998</v>
      </c>
      <c r="D42" s="16">
        <v>408.75</v>
      </c>
      <c r="E42" s="16">
        <v>370</v>
      </c>
      <c r="F42" s="16">
        <v>341.5575</v>
      </c>
      <c r="G42" s="16">
        <v>331.55500000000001</v>
      </c>
      <c r="H42" s="16">
        <v>318.46499999999997</v>
      </c>
      <c r="I42" s="16">
        <v>351.5575</v>
      </c>
      <c r="J42" s="16">
        <v>321.19</v>
      </c>
      <c r="K42" s="16">
        <v>332.27749999999997</v>
      </c>
      <c r="L42" s="16">
        <v>317.52</v>
      </c>
      <c r="M42" s="16">
        <v>334.91500000000002</v>
      </c>
      <c r="N42" s="16">
        <v>402.62279999999998</v>
      </c>
      <c r="O42" s="16">
        <v>378.20609999999999</v>
      </c>
      <c r="P42" s="16">
        <v>337.0025</v>
      </c>
      <c r="Q42" s="16">
        <v>353.5</v>
      </c>
      <c r="R42" s="16">
        <v>328.02499999999998</v>
      </c>
      <c r="S42" s="16">
        <v>367.49009999999998</v>
      </c>
      <c r="T42" s="16">
        <v>361.02499999999998</v>
      </c>
      <c r="U42" s="16">
        <v>365.75</v>
      </c>
      <c r="V42" s="16">
        <v>365.75</v>
      </c>
      <c r="W42" s="16">
        <v>365</v>
      </c>
      <c r="X42" s="16">
        <v>375.0942</v>
      </c>
      <c r="Y42" s="16">
        <v>378.6182</v>
      </c>
      <c r="Z42" s="26" t="s">
        <v>32</v>
      </c>
      <c r="AA42" s="25">
        <f t="shared" si="0"/>
        <v>317.52</v>
      </c>
      <c r="AB42" s="25">
        <f t="shared" si="1"/>
        <v>358.62068333333298</v>
      </c>
    </row>
    <row r="43" spans="1:28">
      <c r="A43" s="8">
        <v>45333</v>
      </c>
      <c r="B43" s="16">
        <v>297.5856</v>
      </c>
      <c r="C43" s="16">
        <v>352.58499999999998</v>
      </c>
      <c r="D43" s="16">
        <v>338.29750000000001</v>
      </c>
      <c r="E43" s="16">
        <v>349.25</v>
      </c>
      <c r="F43" s="16">
        <v>341.25</v>
      </c>
      <c r="G43" s="16">
        <v>335.25</v>
      </c>
      <c r="H43" s="16">
        <v>348.25</v>
      </c>
      <c r="I43" s="16">
        <v>305.97000000000003</v>
      </c>
      <c r="J43" s="16">
        <v>307.3</v>
      </c>
      <c r="K43" s="16">
        <v>120.25</v>
      </c>
      <c r="L43" s="16">
        <v>217.33</v>
      </c>
      <c r="M43" s="16">
        <v>87.775400000000005</v>
      </c>
      <c r="N43" s="16">
        <v>195.16</v>
      </c>
      <c r="O43" s="16">
        <v>0</v>
      </c>
      <c r="P43" s="16">
        <v>0</v>
      </c>
      <c r="Q43" s="16">
        <v>75.5</v>
      </c>
      <c r="R43" s="16">
        <v>326.49489999999997</v>
      </c>
      <c r="S43" s="16">
        <v>338.77499999999998</v>
      </c>
      <c r="T43" s="16">
        <v>333.03250000000003</v>
      </c>
      <c r="U43" s="16">
        <v>338.5</v>
      </c>
      <c r="V43" s="16">
        <v>324.19</v>
      </c>
      <c r="W43" s="16">
        <v>317.685</v>
      </c>
      <c r="X43" s="16">
        <v>370</v>
      </c>
      <c r="Y43" s="16">
        <v>366.5</v>
      </c>
      <c r="Z43" s="26" t="s">
        <v>32</v>
      </c>
      <c r="AA43" s="25">
        <f t="shared" si="0"/>
        <v>0</v>
      </c>
      <c r="AB43" s="25">
        <f t="shared" si="1"/>
        <v>266.12212083333299</v>
      </c>
    </row>
    <row r="44" spans="1:28">
      <c r="A44" s="8">
        <v>45334</v>
      </c>
      <c r="B44" s="16">
        <v>201.16499999999999</v>
      </c>
      <c r="C44" s="16">
        <v>220.08</v>
      </c>
      <c r="D44" s="16">
        <v>157.68700000000001</v>
      </c>
      <c r="E44" s="16">
        <v>188.64349999999999</v>
      </c>
      <c r="F44" s="16">
        <v>262.91000000000003</v>
      </c>
      <c r="G44" s="16">
        <v>0</v>
      </c>
      <c r="H44" s="16">
        <v>0</v>
      </c>
      <c r="I44" s="16">
        <v>0</v>
      </c>
      <c r="J44" s="16">
        <v>0</v>
      </c>
      <c r="K44" s="16">
        <v>0</v>
      </c>
      <c r="L44" s="16">
        <v>0</v>
      </c>
      <c r="M44" s="16">
        <v>0</v>
      </c>
      <c r="N44" s="16">
        <v>0</v>
      </c>
      <c r="O44" s="16">
        <v>0</v>
      </c>
      <c r="P44" s="16">
        <v>0.25</v>
      </c>
      <c r="Q44" s="16">
        <v>0</v>
      </c>
      <c r="R44" s="16">
        <v>0</v>
      </c>
      <c r="S44" s="16">
        <v>0</v>
      </c>
      <c r="T44" s="16">
        <v>130</v>
      </c>
      <c r="U44" s="16">
        <v>285.49</v>
      </c>
      <c r="V44" s="16">
        <v>65</v>
      </c>
      <c r="W44" s="16">
        <v>0</v>
      </c>
      <c r="X44" s="16">
        <v>122.66500000000001</v>
      </c>
      <c r="Y44" s="16">
        <v>0</v>
      </c>
      <c r="Z44" s="26" t="s">
        <v>32</v>
      </c>
      <c r="AA44" s="25">
        <f t="shared" si="0"/>
        <v>0</v>
      </c>
      <c r="AB44" s="25">
        <f t="shared" si="1"/>
        <v>68.078770833333294</v>
      </c>
    </row>
    <row r="45" spans="1:28">
      <c r="A45" s="8">
        <v>45335</v>
      </c>
      <c r="B45" s="16">
        <v>300.19</v>
      </c>
      <c r="C45" s="16">
        <v>332.55500000000001</v>
      </c>
      <c r="D45" s="16">
        <v>358.4631</v>
      </c>
      <c r="E45" s="16">
        <v>351.14839999999998</v>
      </c>
      <c r="F45" s="16">
        <v>321.58749999999998</v>
      </c>
      <c r="G45" s="16">
        <v>310.55500000000001</v>
      </c>
      <c r="H45" s="16">
        <v>330.08749999999998</v>
      </c>
      <c r="I45" s="16">
        <v>330.61</v>
      </c>
      <c r="J45" s="16">
        <v>303.065</v>
      </c>
      <c r="K45" s="16">
        <v>0.25</v>
      </c>
      <c r="L45" s="16">
        <v>187.745</v>
      </c>
      <c r="M45" s="16">
        <v>145.16</v>
      </c>
      <c r="N45" s="16">
        <v>168.58250000000001</v>
      </c>
      <c r="O45" s="16">
        <v>177.33</v>
      </c>
      <c r="P45" s="16">
        <v>150.49</v>
      </c>
      <c r="Q45" s="16">
        <v>344.97919999999999</v>
      </c>
      <c r="R45" s="16">
        <v>360.67540000000002</v>
      </c>
      <c r="S45" s="16">
        <v>316.55500000000001</v>
      </c>
      <c r="T45" s="16">
        <v>321.07499999999999</v>
      </c>
      <c r="U45" s="16">
        <v>356.17649999999998</v>
      </c>
      <c r="V45" s="16">
        <v>358.1592</v>
      </c>
      <c r="W45" s="16">
        <v>361.11369999999999</v>
      </c>
      <c r="X45" s="16">
        <v>386.56560000000002</v>
      </c>
      <c r="Y45" s="16">
        <v>419.52359999999999</v>
      </c>
      <c r="Z45" s="26" t="s">
        <v>32</v>
      </c>
      <c r="AA45" s="25">
        <f t="shared" si="0"/>
        <v>0.25</v>
      </c>
      <c r="AB45" s="25">
        <f t="shared" si="1"/>
        <v>291.36009166666702</v>
      </c>
    </row>
    <row r="46" spans="1:28">
      <c r="A46" s="8">
        <v>45336</v>
      </c>
      <c r="B46" s="16">
        <v>351.245</v>
      </c>
      <c r="C46" s="16">
        <v>387.52</v>
      </c>
      <c r="D46" s="16">
        <v>397.25830000000002</v>
      </c>
      <c r="E46" s="16">
        <v>393.77749999999997</v>
      </c>
      <c r="F46" s="16">
        <v>397.58150000000001</v>
      </c>
      <c r="G46" s="16">
        <v>386.25</v>
      </c>
      <c r="H46" s="16">
        <v>386.255</v>
      </c>
      <c r="I46" s="16">
        <v>375.52789999999999</v>
      </c>
      <c r="J46" s="16">
        <v>364.25</v>
      </c>
      <c r="K46" s="16">
        <v>333.05500000000001</v>
      </c>
      <c r="L46" s="16">
        <v>358.55500000000001</v>
      </c>
      <c r="M46" s="16">
        <v>338</v>
      </c>
      <c r="N46" s="16">
        <v>353.858</v>
      </c>
      <c r="O46" s="16">
        <v>343.51749999999998</v>
      </c>
      <c r="P46" s="16">
        <v>341.64249999999998</v>
      </c>
      <c r="Q46" s="16">
        <v>362.89920000000001</v>
      </c>
      <c r="R46" s="16">
        <v>377.5</v>
      </c>
      <c r="S46" s="16">
        <v>350.30500000000001</v>
      </c>
      <c r="T46" s="16">
        <v>351.75</v>
      </c>
      <c r="U46" s="16">
        <v>373.745</v>
      </c>
      <c r="V46" s="16">
        <v>368.83</v>
      </c>
      <c r="W46" s="16">
        <v>370.16</v>
      </c>
      <c r="X46" s="16">
        <v>388.75</v>
      </c>
      <c r="Y46" s="16">
        <v>441.35730000000001</v>
      </c>
      <c r="Z46" s="26" t="s">
        <v>32</v>
      </c>
      <c r="AA46" s="25">
        <f t="shared" si="0"/>
        <v>333.05500000000001</v>
      </c>
      <c r="AB46" s="25">
        <f t="shared" si="1"/>
        <v>370.5662375</v>
      </c>
    </row>
    <row r="47" spans="1:28">
      <c r="A47" s="8">
        <v>45337</v>
      </c>
      <c r="B47" s="16">
        <v>403.46210000000002</v>
      </c>
      <c r="C47" s="16">
        <v>461.36799999999999</v>
      </c>
      <c r="D47" s="16">
        <v>432.11860000000001</v>
      </c>
      <c r="E47" s="16">
        <v>407.08249999999998</v>
      </c>
      <c r="F47" s="16">
        <v>385.27749999999997</v>
      </c>
      <c r="G47" s="16">
        <v>382.495</v>
      </c>
      <c r="H47" s="16">
        <v>395</v>
      </c>
      <c r="I47" s="16">
        <v>391.67619999999999</v>
      </c>
      <c r="J47" s="16">
        <v>367.75</v>
      </c>
      <c r="K47" s="16">
        <v>313.95249999999999</v>
      </c>
      <c r="L47" s="16">
        <v>339.5575</v>
      </c>
      <c r="M47" s="16">
        <v>362.58</v>
      </c>
      <c r="N47" s="16">
        <v>366.83</v>
      </c>
      <c r="O47" s="16">
        <v>358.11</v>
      </c>
      <c r="P47" s="16">
        <v>354.05500000000001</v>
      </c>
      <c r="Q47" s="16">
        <v>376.245</v>
      </c>
      <c r="R47" s="16">
        <v>398.08499999999998</v>
      </c>
      <c r="S47" s="16">
        <v>399.08249999999998</v>
      </c>
      <c r="T47" s="16">
        <v>368</v>
      </c>
      <c r="U47" s="16">
        <v>367.5</v>
      </c>
      <c r="V47" s="16">
        <v>367</v>
      </c>
      <c r="W47" s="16">
        <v>365</v>
      </c>
      <c r="X47" s="16">
        <v>392.77249999999998</v>
      </c>
      <c r="Y47" s="16">
        <v>427.78730000000002</v>
      </c>
      <c r="Z47" s="26" t="s">
        <v>33</v>
      </c>
      <c r="AA47" s="25">
        <f t="shared" si="0"/>
        <v>313.95249999999999</v>
      </c>
      <c r="AB47" s="25">
        <f t="shared" si="1"/>
        <v>382.61613333333298</v>
      </c>
    </row>
    <row r="48" spans="1:28">
      <c r="A48" s="8">
        <v>45338</v>
      </c>
      <c r="B48" s="16">
        <v>382.53750000000002</v>
      </c>
      <c r="C48" s="16">
        <v>390.12</v>
      </c>
      <c r="D48" s="16">
        <v>387.71620000000001</v>
      </c>
      <c r="E48" s="16">
        <v>377.93150000000003</v>
      </c>
      <c r="F48" s="16">
        <v>353.0034</v>
      </c>
      <c r="G48" s="16">
        <v>341.3075</v>
      </c>
      <c r="H48" s="16">
        <v>340.75</v>
      </c>
      <c r="I48" s="16">
        <v>342.03129999999999</v>
      </c>
      <c r="J48" s="16">
        <v>322.71390000000002</v>
      </c>
      <c r="K48" s="16">
        <v>322</v>
      </c>
      <c r="L48" s="16">
        <v>339.41759999999999</v>
      </c>
      <c r="M48" s="16">
        <v>339.3075</v>
      </c>
      <c r="N48" s="16">
        <v>338.97179999999997</v>
      </c>
      <c r="O48" s="16">
        <v>325.41000000000003</v>
      </c>
      <c r="P48" s="16">
        <v>317.745</v>
      </c>
      <c r="Q48" s="16">
        <v>260.27749999999997</v>
      </c>
      <c r="R48" s="16">
        <v>307.82499999999999</v>
      </c>
      <c r="S48" s="16">
        <v>335</v>
      </c>
      <c r="T48" s="16">
        <v>269.98250000000002</v>
      </c>
      <c r="U48" s="16">
        <v>292.73329999999999</v>
      </c>
      <c r="V48" s="16">
        <v>117.58</v>
      </c>
      <c r="W48" s="16">
        <v>0</v>
      </c>
      <c r="X48" s="16">
        <v>0.1171</v>
      </c>
      <c r="Y48" s="16">
        <v>0</v>
      </c>
      <c r="Z48" s="26" t="s">
        <v>34</v>
      </c>
      <c r="AA48" s="25">
        <f t="shared" si="0"/>
        <v>0</v>
      </c>
      <c r="AB48" s="25">
        <f t="shared" si="1"/>
        <v>283.51994166666702</v>
      </c>
    </row>
    <row r="49" spans="1:28">
      <c r="A49" s="8">
        <v>45339</v>
      </c>
      <c r="B49" s="16">
        <v>338.75</v>
      </c>
      <c r="C49" s="16">
        <v>339.58</v>
      </c>
      <c r="D49" s="16">
        <v>339</v>
      </c>
      <c r="E49" s="16">
        <v>336.5</v>
      </c>
      <c r="F49" s="16">
        <v>338.5</v>
      </c>
      <c r="G49" s="16">
        <v>336.58</v>
      </c>
      <c r="H49" s="16">
        <v>328.08</v>
      </c>
      <c r="I49" s="16">
        <v>325.71499999999997</v>
      </c>
      <c r="J49" s="16">
        <v>333.13499999999999</v>
      </c>
      <c r="K49" s="16">
        <v>341.95830000000001</v>
      </c>
      <c r="L49" s="16">
        <v>340.08</v>
      </c>
      <c r="M49" s="16">
        <v>339</v>
      </c>
      <c r="N49" s="16">
        <v>338.4178</v>
      </c>
      <c r="O49" s="16">
        <v>324.69</v>
      </c>
      <c r="P49" s="16">
        <v>321.69</v>
      </c>
      <c r="Q49" s="16">
        <v>320.63499999999999</v>
      </c>
      <c r="R49" s="16">
        <v>334.82490000000001</v>
      </c>
      <c r="S49" s="16">
        <v>344.28449999999998</v>
      </c>
      <c r="T49" s="16">
        <v>345.48770000000002</v>
      </c>
      <c r="U49" s="16">
        <v>357.66</v>
      </c>
      <c r="V49" s="16">
        <v>352.33</v>
      </c>
      <c r="W49" s="16">
        <v>345.05930000000001</v>
      </c>
      <c r="X49" s="16">
        <v>335.16</v>
      </c>
      <c r="Y49" s="16">
        <v>321.4425</v>
      </c>
      <c r="Z49" s="26" t="s">
        <v>32</v>
      </c>
      <c r="AA49" s="25">
        <f t="shared" si="0"/>
        <v>320.63499999999999</v>
      </c>
      <c r="AB49" s="25">
        <f t="shared" si="1"/>
        <v>336.60666666666702</v>
      </c>
    </row>
    <row r="50" spans="1:28">
      <c r="A50" s="8">
        <v>45340</v>
      </c>
      <c r="B50" s="16">
        <v>335.5</v>
      </c>
      <c r="C50" s="16">
        <v>341.5</v>
      </c>
      <c r="D50" s="16">
        <v>321.58</v>
      </c>
      <c r="E50" s="16">
        <v>321.71499999999997</v>
      </c>
      <c r="F50" s="16">
        <v>320.88499999999999</v>
      </c>
      <c r="G50" s="16">
        <v>321.66000000000003</v>
      </c>
      <c r="H50" s="16">
        <v>320</v>
      </c>
      <c r="I50" s="16">
        <v>324.25</v>
      </c>
      <c r="J50" s="16">
        <v>345.25</v>
      </c>
      <c r="K50" s="16">
        <v>350</v>
      </c>
      <c r="L50" s="16">
        <v>346.58</v>
      </c>
      <c r="M50" s="16">
        <v>344.75</v>
      </c>
      <c r="N50" s="16">
        <v>330.25</v>
      </c>
      <c r="O50" s="16">
        <v>320.25</v>
      </c>
      <c r="P50" s="16">
        <v>320</v>
      </c>
      <c r="Q50" s="16">
        <v>320.08</v>
      </c>
      <c r="R50" s="16">
        <v>332.5</v>
      </c>
      <c r="S50" s="16">
        <v>341.33</v>
      </c>
      <c r="T50" s="16">
        <v>351.5</v>
      </c>
      <c r="U50" s="16">
        <v>368.75</v>
      </c>
      <c r="V50" s="16">
        <v>350.5</v>
      </c>
      <c r="W50" s="16">
        <v>340</v>
      </c>
      <c r="X50" s="16">
        <v>321.5</v>
      </c>
      <c r="Y50" s="16">
        <v>235</v>
      </c>
      <c r="Z50" s="26" t="s">
        <v>32</v>
      </c>
      <c r="AA50" s="25">
        <f t="shared" si="0"/>
        <v>235</v>
      </c>
      <c r="AB50" s="25">
        <f t="shared" si="1"/>
        <v>330.22208333333299</v>
      </c>
    </row>
    <row r="51" spans="1:28">
      <c r="A51" s="8">
        <v>45341</v>
      </c>
      <c r="B51" s="16">
        <v>346.75</v>
      </c>
      <c r="C51" s="16">
        <v>340</v>
      </c>
      <c r="D51" s="16">
        <v>340.75</v>
      </c>
      <c r="E51" s="16">
        <v>338.75</v>
      </c>
      <c r="F51" s="16">
        <v>333.25</v>
      </c>
      <c r="G51" s="16">
        <v>335.3075</v>
      </c>
      <c r="H51" s="16">
        <v>342.5</v>
      </c>
      <c r="I51" s="16">
        <v>352.5</v>
      </c>
      <c r="J51" s="16">
        <v>380</v>
      </c>
      <c r="K51" s="16">
        <v>386.005</v>
      </c>
      <c r="L51" s="16">
        <v>383.75</v>
      </c>
      <c r="M51" s="16">
        <v>377.22989999999999</v>
      </c>
      <c r="N51" s="16">
        <v>358.67660000000001</v>
      </c>
      <c r="O51" s="16">
        <v>358.5367</v>
      </c>
      <c r="P51" s="16">
        <v>357</v>
      </c>
      <c r="Q51" s="16">
        <v>359.5</v>
      </c>
      <c r="R51" s="16">
        <v>374.3725</v>
      </c>
      <c r="S51" s="16">
        <v>386.82819999999998</v>
      </c>
      <c r="T51" s="16">
        <v>398.39359999999999</v>
      </c>
      <c r="U51" s="16">
        <v>393.245</v>
      </c>
      <c r="V51" s="16">
        <v>389.7835</v>
      </c>
      <c r="W51" s="16">
        <v>380.75240000000002</v>
      </c>
      <c r="X51" s="16">
        <v>376.21620000000001</v>
      </c>
      <c r="Y51" s="16">
        <v>351</v>
      </c>
      <c r="Z51" s="26" t="s">
        <v>32</v>
      </c>
      <c r="AA51" s="25">
        <f t="shared" si="0"/>
        <v>333.25</v>
      </c>
      <c r="AB51" s="25">
        <f t="shared" si="1"/>
        <v>364.21237916666701</v>
      </c>
    </row>
    <row r="52" spans="1:28">
      <c r="A52" s="8">
        <v>45342</v>
      </c>
      <c r="B52" s="16">
        <v>343</v>
      </c>
      <c r="C52" s="16">
        <v>344.5</v>
      </c>
      <c r="D52" s="16">
        <v>317.745</v>
      </c>
      <c r="E52" s="16">
        <v>307.31569999999999</v>
      </c>
      <c r="F52" s="16">
        <v>300.29230000000001</v>
      </c>
      <c r="G52" s="16">
        <v>303.3766</v>
      </c>
      <c r="H52" s="16">
        <v>327.42070000000001</v>
      </c>
      <c r="I52" s="16">
        <v>363.25</v>
      </c>
      <c r="J52" s="16">
        <v>390.69810000000001</v>
      </c>
      <c r="K52" s="16">
        <v>385.46660000000003</v>
      </c>
      <c r="L52" s="16">
        <v>369.54849999999999</v>
      </c>
      <c r="M52" s="16">
        <v>364.4332</v>
      </c>
      <c r="N52" s="16">
        <v>302.7029</v>
      </c>
      <c r="O52" s="16">
        <v>300.96469999999999</v>
      </c>
      <c r="P52" s="16">
        <v>305.3535</v>
      </c>
      <c r="Q52" s="16">
        <v>329.08</v>
      </c>
      <c r="R52" s="16">
        <v>370.8664</v>
      </c>
      <c r="S52" s="16">
        <v>379.03219999999999</v>
      </c>
      <c r="T52" s="16">
        <v>377.72899999999998</v>
      </c>
      <c r="U52" s="16">
        <v>386.78870000000001</v>
      </c>
      <c r="V52" s="16">
        <v>379.91520000000003</v>
      </c>
      <c r="W52" s="16">
        <v>385.8492</v>
      </c>
      <c r="X52" s="16">
        <v>377.55380000000002</v>
      </c>
      <c r="Y52" s="16">
        <v>346.19499999999999</v>
      </c>
      <c r="Z52" s="26" t="s">
        <v>32</v>
      </c>
      <c r="AA52" s="25">
        <f t="shared" si="0"/>
        <v>300.29230000000001</v>
      </c>
      <c r="AB52" s="25">
        <f t="shared" si="1"/>
        <v>348.29488750000002</v>
      </c>
    </row>
    <row r="53" spans="1:28">
      <c r="A53" s="8">
        <v>45343</v>
      </c>
      <c r="B53" s="16">
        <v>357.0575</v>
      </c>
      <c r="C53" s="16">
        <v>352.5369</v>
      </c>
      <c r="D53" s="16">
        <v>337.61360000000002</v>
      </c>
      <c r="E53" s="16">
        <v>324.29300000000001</v>
      </c>
      <c r="F53" s="16">
        <v>317.50189999999998</v>
      </c>
      <c r="G53" s="16">
        <v>318.13310000000001</v>
      </c>
      <c r="H53" s="16">
        <v>350.30099999999999</v>
      </c>
      <c r="I53" s="16">
        <v>370.25</v>
      </c>
      <c r="J53" s="16">
        <v>393.82260000000002</v>
      </c>
      <c r="K53" s="16">
        <v>401.20690000000002</v>
      </c>
      <c r="L53" s="16">
        <v>390.50729999999999</v>
      </c>
      <c r="M53" s="16">
        <v>373.61810000000003</v>
      </c>
      <c r="N53" s="16">
        <v>337.75659999999999</v>
      </c>
      <c r="O53" s="16">
        <v>327.97449999999998</v>
      </c>
      <c r="P53" s="16">
        <v>332.98719999999997</v>
      </c>
      <c r="Q53" s="16">
        <v>347.28</v>
      </c>
      <c r="R53" s="16">
        <v>384.75080000000003</v>
      </c>
      <c r="S53" s="16">
        <v>388.47309999999999</v>
      </c>
      <c r="T53" s="16">
        <v>396.59219999999999</v>
      </c>
      <c r="U53" s="16">
        <v>405.42919999999998</v>
      </c>
      <c r="V53" s="16">
        <v>402.8913</v>
      </c>
      <c r="W53" s="16">
        <v>403.3218</v>
      </c>
      <c r="X53" s="16">
        <v>389.24360000000001</v>
      </c>
      <c r="Y53" s="16">
        <v>353.63170000000002</v>
      </c>
      <c r="Z53" s="26" t="s">
        <v>32</v>
      </c>
      <c r="AA53" s="25">
        <f t="shared" si="0"/>
        <v>317.50189999999998</v>
      </c>
      <c r="AB53" s="25">
        <f t="shared" si="1"/>
        <v>364.882245833333</v>
      </c>
    </row>
    <row r="54" spans="1:28">
      <c r="A54" s="8">
        <v>45344</v>
      </c>
      <c r="B54" s="16">
        <v>353.89729999999997</v>
      </c>
      <c r="C54" s="16">
        <v>367.16500000000002</v>
      </c>
      <c r="D54" s="16">
        <v>361.91500000000002</v>
      </c>
      <c r="E54" s="16">
        <v>355</v>
      </c>
      <c r="F54" s="16">
        <v>348.5</v>
      </c>
      <c r="G54" s="16">
        <v>350.75</v>
      </c>
      <c r="H54" s="16">
        <v>370.25</v>
      </c>
      <c r="I54" s="16">
        <v>384.08030000000002</v>
      </c>
      <c r="J54" s="16">
        <v>410.96800000000002</v>
      </c>
      <c r="K54" s="16">
        <v>418.30189999999999</v>
      </c>
      <c r="L54" s="16">
        <v>410.40199999999999</v>
      </c>
      <c r="M54" s="16">
        <v>390.22109999999998</v>
      </c>
      <c r="N54" s="16">
        <v>366.52010000000001</v>
      </c>
      <c r="O54" s="16">
        <v>369.54989999999998</v>
      </c>
      <c r="P54" s="16">
        <v>370</v>
      </c>
      <c r="Q54" s="16">
        <v>370</v>
      </c>
      <c r="R54" s="16">
        <v>380.64109999999999</v>
      </c>
      <c r="S54" s="16">
        <v>386.2715</v>
      </c>
      <c r="T54" s="16">
        <v>399.10120000000001</v>
      </c>
      <c r="U54" s="16">
        <v>409.67059999999998</v>
      </c>
      <c r="V54" s="16">
        <v>400.6662</v>
      </c>
      <c r="W54" s="16">
        <v>393.7645</v>
      </c>
      <c r="X54" s="16">
        <v>369.94299999999998</v>
      </c>
      <c r="Y54" s="16">
        <v>350.25</v>
      </c>
      <c r="Z54" s="26" t="s">
        <v>33</v>
      </c>
      <c r="AA54" s="25">
        <f t="shared" si="0"/>
        <v>348.5</v>
      </c>
      <c r="AB54" s="25">
        <f t="shared" si="1"/>
        <v>378.65952916666703</v>
      </c>
    </row>
    <row r="55" spans="1:28">
      <c r="A55" s="8">
        <v>45345</v>
      </c>
      <c r="B55" s="16">
        <v>356.97460000000001</v>
      </c>
      <c r="C55" s="16">
        <v>354.74250000000001</v>
      </c>
      <c r="D55" s="16">
        <v>342.25</v>
      </c>
      <c r="E55" s="16">
        <v>330.91500000000002</v>
      </c>
      <c r="F55" s="16">
        <v>323.995</v>
      </c>
      <c r="G55" s="16">
        <v>324.08</v>
      </c>
      <c r="H55" s="16">
        <v>342.53</v>
      </c>
      <c r="I55" s="16">
        <v>357.32319999999999</v>
      </c>
      <c r="J55" s="16">
        <v>380.6037</v>
      </c>
      <c r="K55" s="16">
        <v>397.50779999999997</v>
      </c>
      <c r="L55" s="16">
        <v>396.53100000000001</v>
      </c>
      <c r="M55" s="16">
        <v>379.40940000000001</v>
      </c>
      <c r="N55" s="16">
        <v>347.31349999999998</v>
      </c>
      <c r="O55" s="16">
        <v>359.5625</v>
      </c>
      <c r="P55" s="16">
        <v>368.50889999999998</v>
      </c>
      <c r="Q55" s="16">
        <v>372.0668</v>
      </c>
      <c r="R55" s="16">
        <v>389.50490000000002</v>
      </c>
      <c r="S55" s="16">
        <v>387.09160000000003</v>
      </c>
      <c r="T55" s="16">
        <v>388.95679999999999</v>
      </c>
      <c r="U55" s="16">
        <v>399.45940000000002</v>
      </c>
      <c r="V55" s="16">
        <v>392.3861</v>
      </c>
      <c r="W55" s="16">
        <v>393.10329999999999</v>
      </c>
      <c r="X55" s="16">
        <v>372.76209999999998</v>
      </c>
      <c r="Y55" s="16">
        <v>345.12459999999999</v>
      </c>
      <c r="Z55" s="26" t="s">
        <v>34</v>
      </c>
      <c r="AA55" s="25">
        <f t="shared" si="0"/>
        <v>323.995</v>
      </c>
      <c r="AB55" s="25">
        <f t="shared" si="1"/>
        <v>366.77927916666698</v>
      </c>
    </row>
    <row r="56" spans="1:28">
      <c r="A56" s="8">
        <v>45346</v>
      </c>
      <c r="B56" s="16">
        <v>325.23500000000001</v>
      </c>
      <c r="C56" s="16">
        <v>323.5351</v>
      </c>
      <c r="D56" s="16">
        <v>323.3476</v>
      </c>
      <c r="E56" s="16">
        <v>316.58</v>
      </c>
      <c r="F56" s="16">
        <v>308.07249999999999</v>
      </c>
      <c r="G56" s="16">
        <v>306.32499999999999</v>
      </c>
      <c r="H56" s="16">
        <v>320.66500000000002</v>
      </c>
      <c r="I56" s="16">
        <v>341.25</v>
      </c>
      <c r="J56" s="16">
        <v>363.94810000000001</v>
      </c>
      <c r="K56" s="16">
        <v>370.88799999999998</v>
      </c>
      <c r="L56" s="16">
        <v>369.83030000000002</v>
      </c>
      <c r="M56" s="16">
        <v>364.38709999999998</v>
      </c>
      <c r="N56" s="16">
        <v>342.53</v>
      </c>
      <c r="O56" s="16">
        <v>355.0154</v>
      </c>
      <c r="P56" s="16">
        <v>365.05500000000001</v>
      </c>
      <c r="Q56" s="16">
        <v>367.80500000000001</v>
      </c>
      <c r="R56" s="16">
        <v>375.13720000000001</v>
      </c>
      <c r="S56" s="16">
        <v>375.43810000000002</v>
      </c>
      <c r="T56" s="16">
        <v>381.7568</v>
      </c>
      <c r="U56" s="16">
        <v>389.22969999999998</v>
      </c>
      <c r="V56" s="16">
        <v>393.9821</v>
      </c>
      <c r="W56" s="16">
        <v>390.82299999999998</v>
      </c>
      <c r="X56" s="16">
        <v>368</v>
      </c>
      <c r="Y56" s="16">
        <v>348.75</v>
      </c>
      <c r="Z56" s="26" t="s">
        <v>32</v>
      </c>
      <c r="AA56" s="25">
        <f t="shared" si="0"/>
        <v>306.32499999999999</v>
      </c>
      <c r="AB56" s="25">
        <f t="shared" si="1"/>
        <v>353.64941666666698</v>
      </c>
    </row>
    <row r="57" spans="1:28">
      <c r="A57" s="8">
        <v>45347</v>
      </c>
      <c r="B57" s="16">
        <v>358.0779</v>
      </c>
      <c r="C57" s="16">
        <v>347.53</v>
      </c>
      <c r="D57" s="16">
        <v>335</v>
      </c>
      <c r="E57" s="16">
        <v>324.08249999999998</v>
      </c>
      <c r="F57" s="16">
        <v>309.74250000000001</v>
      </c>
      <c r="G57" s="16">
        <v>304.66250000000002</v>
      </c>
      <c r="H57" s="16">
        <v>324.16500000000002</v>
      </c>
      <c r="I57" s="16">
        <v>330</v>
      </c>
      <c r="J57" s="16">
        <v>350.25</v>
      </c>
      <c r="K57" s="16">
        <v>359</v>
      </c>
      <c r="L57" s="16">
        <v>360</v>
      </c>
      <c r="M57" s="16">
        <v>345</v>
      </c>
      <c r="N57" s="16">
        <v>321.65300000000002</v>
      </c>
      <c r="O57" s="16">
        <v>329</v>
      </c>
      <c r="P57" s="16">
        <v>330</v>
      </c>
      <c r="Q57" s="16">
        <v>333.28320000000002</v>
      </c>
      <c r="R57" s="16">
        <v>349.4443</v>
      </c>
      <c r="S57" s="16">
        <v>361.99720000000002</v>
      </c>
      <c r="T57" s="16">
        <v>367.49560000000002</v>
      </c>
      <c r="U57" s="16">
        <v>368.84199999999998</v>
      </c>
      <c r="V57" s="16">
        <v>372.49090000000001</v>
      </c>
      <c r="W57" s="16">
        <v>369.59989999999999</v>
      </c>
      <c r="X57" s="16">
        <v>362.9676</v>
      </c>
      <c r="Y57" s="16">
        <v>329.89210000000003</v>
      </c>
      <c r="Z57" s="26" t="s">
        <v>32</v>
      </c>
      <c r="AA57" s="25">
        <f t="shared" si="0"/>
        <v>304.66250000000002</v>
      </c>
      <c r="AB57" s="25">
        <f t="shared" si="1"/>
        <v>343.507341666667</v>
      </c>
    </row>
    <row r="58" spans="1:28">
      <c r="A58" s="8">
        <v>45348</v>
      </c>
      <c r="B58" s="16">
        <v>352.2885</v>
      </c>
      <c r="C58" s="16">
        <v>344.75</v>
      </c>
      <c r="D58" s="16">
        <v>340.5</v>
      </c>
      <c r="E58" s="16">
        <v>330.5</v>
      </c>
      <c r="F58" s="16">
        <v>311.23250000000002</v>
      </c>
      <c r="G58" s="16">
        <v>313.7525</v>
      </c>
      <c r="H58" s="16">
        <v>341.25</v>
      </c>
      <c r="I58" s="16">
        <v>360.58139999999997</v>
      </c>
      <c r="J58" s="16">
        <v>384.68990000000002</v>
      </c>
      <c r="K58" s="16">
        <v>396.12220000000002</v>
      </c>
      <c r="L58" s="16">
        <v>390.9778</v>
      </c>
      <c r="M58" s="16">
        <v>375.43079999999998</v>
      </c>
      <c r="N58" s="16">
        <v>337.90120000000002</v>
      </c>
      <c r="O58" s="16">
        <v>344.31450000000001</v>
      </c>
      <c r="P58" s="16">
        <v>348.73219999999998</v>
      </c>
      <c r="Q58" s="16">
        <v>353.06079999999997</v>
      </c>
      <c r="R58" s="16">
        <v>367.18090000000001</v>
      </c>
      <c r="S58" s="16">
        <v>369.88029999999998</v>
      </c>
      <c r="T58" s="16">
        <v>378.93329999999997</v>
      </c>
      <c r="U58" s="16">
        <v>381.43650000000002</v>
      </c>
      <c r="V58" s="16">
        <v>382.04820000000001</v>
      </c>
      <c r="W58" s="16">
        <v>380.31259999999997</v>
      </c>
      <c r="X58" s="16">
        <v>363.66570000000002</v>
      </c>
      <c r="Y58" s="16">
        <v>327.99529999999999</v>
      </c>
      <c r="Z58" s="26" t="s">
        <v>32</v>
      </c>
      <c r="AA58" s="25">
        <f t="shared" si="0"/>
        <v>311.23250000000002</v>
      </c>
      <c r="AB58" s="25">
        <f t="shared" si="1"/>
        <v>357.39737916666701</v>
      </c>
    </row>
    <row r="59" spans="1:28">
      <c r="A59" s="8">
        <v>45349</v>
      </c>
      <c r="B59" s="16">
        <v>364.66739999999999</v>
      </c>
      <c r="C59" s="16">
        <v>355.4973</v>
      </c>
      <c r="D59" s="16">
        <v>350</v>
      </c>
      <c r="E59" s="16">
        <v>336.99340000000001</v>
      </c>
      <c r="F59" s="16">
        <v>330.5</v>
      </c>
      <c r="G59" s="16">
        <v>331.5</v>
      </c>
      <c r="H59" s="16">
        <v>355.82040000000001</v>
      </c>
      <c r="I59" s="16">
        <v>377.74119999999999</v>
      </c>
      <c r="J59" s="16">
        <v>421.23910000000001</v>
      </c>
      <c r="K59" s="16">
        <v>410.09500000000003</v>
      </c>
      <c r="L59" s="16">
        <v>397.1182</v>
      </c>
      <c r="M59" s="16">
        <v>396.99</v>
      </c>
      <c r="N59" s="16">
        <v>359.6146</v>
      </c>
      <c r="O59" s="16">
        <v>361.91410000000002</v>
      </c>
      <c r="P59" s="16">
        <v>368.4606</v>
      </c>
      <c r="Q59" s="16">
        <v>372.28300000000002</v>
      </c>
      <c r="R59" s="16">
        <v>391.42500000000001</v>
      </c>
      <c r="S59" s="16">
        <v>399.6748</v>
      </c>
      <c r="T59" s="16">
        <v>400.75439999999998</v>
      </c>
      <c r="U59" s="16">
        <v>407.15300000000002</v>
      </c>
      <c r="V59" s="16">
        <v>402.93639999999999</v>
      </c>
      <c r="W59" s="16">
        <v>399.5301</v>
      </c>
      <c r="X59" s="16">
        <v>390.76620000000003</v>
      </c>
      <c r="Y59" s="16">
        <v>359.52089999999998</v>
      </c>
      <c r="Z59" s="26" t="s">
        <v>32</v>
      </c>
      <c r="AA59" s="25">
        <f t="shared" si="0"/>
        <v>330.5</v>
      </c>
      <c r="AB59" s="25">
        <f t="shared" si="1"/>
        <v>376.758129166667</v>
      </c>
    </row>
    <row r="60" spans="1:28">
      <c r="A60" s="8">
        <v>45350</v>
      </c>
      <c r="B60" s="16">
        <v>352.5924</v>
      </c>
      <c r="C60" s="16">
        <v>348.75</v>
      </c>
      <c r="D60" s="16">
        <v>338.25</v>
      </c>
      <c r="E60" s="16">
        <v>322.90249999999997</v>
      </c>
      <c r="F60" s="16">
        <v>304.79750000000001</v>
      </c>
      <c r="G60" s="16">
        <v>304.3</v>
      </c>
      <c r="H60" s="16">
        <v>342.52679999999998</v>
      </c>
      <c r="I60" s="16">
        <v>373.66180000000003</v>
      </c>
      <c r="J60" s="16">
        <v>404.71289999999999</v>
      </c>
      <c r="K60" s="16">
        <v>405.8999</v>
      </c>
      <c r="L60" s="16">
        <v>399.46550000000002</v>
      </c>
      <c r="M60" s="16">
        <v>394.93830000000003</v>
      </c>
      <c r="N60" s="16">
        <v>358.35829999999999</v>
      </c>
      <c r="O60" s="16">
        <v>365.98340000000002</v>
      </c>
      <c r="P60" s="16">
        <v>371.3322</v>
      </c>
      <c r="Q60" s="16">
        <v>381.31580000000002</v>
      </c>
      <c r="R60" s="16">
        <v>390.02670000000001</v>
      </c>
      <c r="S60" s="16">
        <v>385.05399999999997</v>
      </c>
      <c r="T60" s="16">
        <v>392.06270000000001</v>
      </c>
      <c r="U60" s="16">
        <v>401.226</v>
      </c>
      <c r="V60" s="16">
        <v>399.76429999999999</v>
      </c>
      <c r="W60" s="16">
        <v>397.95359999999999</v>
      </c>
      <c r="X60" s="16">
        <v>379.13010000000003</v>
      </c>
      <c r="Y60" s="16">
        <v>349.29309999999998</v>
      </c>
      <c r="Z60" s="26" t="s">
        <v>32</v>
      </c>
      <c r="AA60" s="25">
        <f t="shared" si="0"/>
        <v>304.3</v>
      </c>
      <c r="AB60" s="25">
        <f t="shared" si="1"/>
        <v>369.34574166666698</v>
      </c>
    </row>
    <row r="61" spans="1:28">
      <c r="A61" s="8">
        <v>45351</v>
      </c>
      <c r="B61" s="16">
        <v>364.15350000000001</v>
      </c>
      <c r="C61" s="16">
        <v>360.62029999999999</v>
      </c>
      <c r="D61" s="16">
        <v>355.03559999999999</v>
      </c>
      <c r="E61" s="16">
        <v>342.95389999999998</v>
      </c>
      <c r="F61" s="16">
        <v>331</v>
      </c>
      <c r="G61" s="16">
        <v>336.78</v>
      </c>
      <c r="H61" s="16">
        <v>361.25</v>
      </c>
      <c r="I61" s="16">
        <v>379.24489999999997</v>
      </c>
      <c r="J61" s="16">
        <v>410.34519999999998</v>
      </c>
      <c r="K61" s="16">
        <v>409.14530000000002</v>
      </c>
      <c r="L61" s="16">
        <v>405.71730000000002</v>
      </c>
      <c r="M61" s="16">
        <v>398.70479999999998</v>
      </c>
      <c r="N61" s="16">
        <v>367.3931</v>
      </c>
      <c r="O61" s="16">
        <v>364.05930000000001</v>
      </c>
      <c r="P61" s="16">
        <v>368.86239999999998</v>
      </c>
      <c r="Q61" s="16">
        <v>378.07870000000003</v>
      </c>
      <c r="R61" s="16">
        <v>398.60809999999998</v>
      </c>
      <c r="S61" s="16">
        <v>402.68470000000002</v>
      </c>
      <c r="T61" s="16">
        <v>409.22699999999998</v>
      </c>
      <c r="U61" s="16">
        <v>416.60410000000002</v>
      </c>
      <c r="V61" s="16">
        <v>423.68400000000003</v>
      </c>
      <c r="W61" s="16">
        <v>419.74470000000002</v>
      </c>
      <c r="X61" s="16">
        <v>392.94299999999998</v>
      </c>
      <c r="Y61" s="16">
        <v>353.73680000000002</v>
      </c>
      <c r="Z61" s="26" t="s">
        <v>33</v>
      </c>
      <c r="AA61" s="25">
        <f t="shared" si="0"/>
        <v>331</v>
      </c>
      <c r="AB61" s="25">
        <f t="shared" si="1"/>
        <v>381.27402916666699</v>
      </c>
    </row>
    <row r="62" spans="1:28">
      <c r="A62" s="8">
        <v>45352</v>
      </c>
      <c r="B62" s="16">
        <v>356.09690000000001</v>
      </c>
      <c r="C62" s="16">
        <v>352.25</v>
      </c>
      <c r="D62" s="16">
        <v>327.3922</v>
      </c>
      <c r="E62" s="16">
        <v>321.8202</v>
      </c>
      <c r="F62" s="16">
        <v>251.30690000000001</v>
      </c>
      <c r="G62" s="16">
        <v>195.20670000000001</v>
      </c>
      <c r="H62" s="16">
        <v>301.17790000000002</v>
      </c>
      <c r="I62" s="16">
        <v>374.28919999999999</v>
      </c>
      <c r="J62" s="16">
        <v>414.35930000000002</v>
      </c>
      <c r="K62" s="16">
        <v>423.95710000000003</v>
      </c>
      <c r="L62" s="16">
        <v>420.62119999999999</v>
      </c>
      <c r="M62" s="16">
        <v>519.59709999999995</v>
      </c>
      <c r="N62" s="16">
        <v>306.72300000000001</v>
      </c>
      <c r="O62" s="16">
        <v>330.7423</v>
      </c>
      <c r="P62" s="16">
        <v>393.5967</v>
      </c>
      <c r="Q62" s="16">
        <v>427.06130000000002</v>
      </c>
      <c r="R62" s="16">
        <v>574.37860000000001</v>
      </c>
      <c r="S62" s="16">
        <v>528.25800000000004</v>
      </c>
      <c r="T62" s="16">
        <v>527.27959999999996</v>
      </c>
      <c r="U62" s="16">
        <v>607.18960000000004</v>
      </c>
      <c r="V62" s="16">
        <v>465.6551</v>
      </c>
      <c r="W62" s="16">
        <v>433.6848</v>
      </c>
      <c r="X62" s="16">
        <v>392.3886</v>
      </c>
      <c r="Y62" s="16">
        <v>341.48790000000002</v>
      </c>
      <c r="Z62" s="26" t="s">
        <v>34</v>
      </c>
      <c r="AA62" s="25">
        <f t="shared" si="0"/>
        <v>195.20670000000001</v>
      </c>
      <c r="AB62" s="25">
        <f t="shared" si="1"/>
        <v>399.43834166666699</v>
      </c>
    </row>
    <row r="63" spans="1:28">
      <c r="A63" s="8">
        <v>45353</v>
      </c>
      <c r="B63" s="16">
        <v>360.24489999999997</v>
      </c>
      <c r="C63" s="16">
        <v>349.26409999999998</v>
      </c>
      <c r="D63" s="16">
        <v>337.49979999999999</v>
      </c>
      <c r="E63" s="16">
        <v>319.44889999999998</v>
      </c>
      <c r="F63" s="16">
        <v>305.8766</v>
      </c>
      <c r="G63" s="16">
        <v>296.60590000000002</v>
      </c>
      <c r="H63" s="16">
        <v>323.15390000000002</v>
      </c>
      <c r="I63" s="16">
        <v>352.7953</v>
      </c>
      <c r="J63" s="16">
        <v>398.06779999999998</v>
      </c>
      <c r="K63" s="16">
        <v>482.37090000000001</v>
      </c>
      <c r="L63" s="16">
        <v>482.34050000000002</v>
      </c>
      <c r="M63" s="16">
        <v>441.65019999999998</v>
      </c>
      <c r="N63" s="16">
        <v>371.13420000000002</v>
      </c>
      <c r="O63" s="16">
        <v>375.23509999999999</v>
      </c>
      <c r="P63" s="16">
        <v>392.45639999999997</v>
      </c>
      <c r="Q63" s="16">
        <v>411.15410000000003</v>
      </c>
      <c r="R63" s="16">
        <v>426.56369999999998</v>
      </c>
      <c r="S63" s="16">
        <v>443.4864</v>
      </c>
      <c r="T63" s="16">
        <v>442.70080000000002</v>
      </c>
      <c r="U63" s="16">
        <v>459.92779999999999</v>
      </c>
      <c r="V63" s="16">
        <v>441.87900000000002</v>
      </c>
      <c r="W63" s="16">
        <v>437.33600000000001</v>
      </c>
      <c r="X63" s="16">
        <v>404.42230000000001</v>
      </c>
      <c r="Y63" s="16">
        <v>363.73570000000001</v>
      </c>
      <c r="Z63" s="26" t="s">
        <v>32</v>
      </c>
      <c r="AA63" s="25">
        <f t="shared" si="0"/>
        <v>296.60590000000002</v>
      </c>
      <c r="AB63" s="25">
        <f t="shared" si="1"/>
        <v>392.47292916666697</v>
      </c>
    </row>
    <row r="64" spans="1:28">
      <c r="A64" s="8">
        <v>45354</v>
      </c>
      <c r="B64" s="16">
        <v>402.74009999999998</v>
      </c>
      <c r="C64" s="16">
        <v>391.06189999999998</v>
      </c>
      <c r="D64" s="16">
        <v>371.39240000000001</v>
      </c>
      <c r="E64" s="16">
        <v>358.99759999999998</v>
      </c>
      <c r="F64" s="16">
        <v>345.6438</v>
      </c>
      <c r="G64" s="16">
        <v>329.79860000000002</v>
      </c>
      <c r="H64" s="16">
        <v>349.35140000000001</v>
      </c>
      <c r="I64" s="16">
        <v>368.4366</v>
      </c>
      <c r="J64" s="16">
        <v>397.13729999999998</v>
      </c>
      <c r="K64" s="16">
        <v>409.67540000000002</v>
      </c>
      <c r="L64" s="16">
        <v>405.14449999999999</v>
      </c>
      <c r="M64" s="16">
        <v>393.90940000000001</v>
      </c>
      <c r="N64" s="16">
        <v>351.64159999999998</v>
      </c>
      <c r="O64" s="16">
        <v>350.94130000000001</v>
      </c>
      <c r="P64" s="16">
        <v>359.44529999999997</v>
      </c>
      <c r="Q64" s="16">
        <v>369.37599999999998</v>
      </c>
      <c r="R64" s="16">
        <v>400.5181</v>
      </c>
      <c r="S64" s="16">
        <v>408.89909999999998</v>
      </c>
      <c r="T64" s="16">
        <v>405.14780000000002</v>
      </c>
      <c r="U64" s="16">
        <v>400.52760000000001</v>
      </c>
      <c r="V64" s="16">
        <v>401.16430000000003</v>
      </c>
      <c r="W64" s="16">
        <v>399.55200000000002</v>
      </c>
      <c r="X64" s="16">
        <v>393.37810000000002</v>
      </c>
      <c r="Y64" s="16">
        <v>357.68209999999999</v>
      </c>
      <c r="Z64" s="26" t="s">
        <v>32</v>
      </c>
      <c r="AA64" s="25">
        <f t="shared" si="0"/>
        <v>329.79860000000002</v>
      </c>
      <c r="AB64" s="25">
        <f t="shared" si="1"/>
        <v>380.06509583333298</v>
      </c>
    </row>
    <row r="65" spans="1:28">
      <c r="A65" s="8">
        <v>45355</v>
      </c>
      <c r="B65" s="16">
        <v>355.78179999999998</v>
      </c>
      <c r="C65" s="16">
        <v>349.79340000000002</v>
      </c>
      <c r="D65" s="16">
        <v>330.01420000000002</v>
      </c>
      <c r="E65" s="16">
        <v>305.39030000000002</v>
      </c>
      <c r="F65" s="16">
        <v>297.28160000000003</v>
      </c>
      <c r="G65" s="16">
        <v>184.42910000000001</v>
      </c>
      <c r="H65" s="16">
        <v>324.39249999999998</v>
      </c>
      <c r="I65" s="16">
        <v>362.06020000000001</v>
      </c>
      <c r="J65" s="16">
        <v>391.95249999999999</v>
      </c>
      <c r="K65" s="16">
        <v>409.25819999999999</v>
      </c>
      <c r="L65" s="16">
        <v>405.26769999999999</v>
      </c>
      <c r="M65" s="16">
        <v>389.45800000000003</v>
      </c>
      <c r="N65" s="16">
        <v>334.95740000000001</v>
      </c>
      <c r="O65" s="16">
        <v>341.96980000000002</v>
      </c>
      <c r="P65" s="16">
        <v>363.30110000000002</v>
      </c>
      <c r="Q65" s="16">
        <v>375.03460000000001</v>
      </c>
      <c r="R65" s="16">
        <v>396.10419999999999</v>
      </c>
      <c r="S65" s="16">
        <v>397.84120000000001</v>
      </c>
      <c r="T65" s="16">
        <v>399.24079999999998</v>
      </c>
      <c r="U65" s="16">
        <v>403.15480000000002</v>
      </c>
      <c r="V65" s="16">
        <v>392.78</v>
      </c>
      <c r="W65" s="16">
        <v>378.68880000000001</v>
      </c>
      <c r="X65" s="16">
        <v>369.5</v>
      </c>
      <c r="Y65" s="16">
        <v>335.315</v>
      </c>
      <c r="Z65" s="26" t="s">
        <v>32</v>
      </c>
      <c r="AA65" s="25">
        <f t="shared" si="0"/>
        <v>184.42910000000001</v>
      </c>
      <c r="AB65" s="25">
        <f t="shared" si="1"/>
        <v>358.0403</v>
      </c>
    </row>
    <row r="66" spans="1:28">
      <c r="A66" s="8">
        <v>45356</v>
      </c>
      <c r="B66" s="16">
        <v>355.315</v>
      </c>
      <c r="C66" s="16">
        <v>351.40280000000001</v>
      </c>
      <c r="D66" s="16">
        <v>348.3809</v>
      </c>
      <c r="E66" s="16">
        <v>339.75</v>
      </c>
      <c r="F66" s="16">
        <v>330.57749999999999</v>
      </c>
      <c r="G66" s="16">
        <v>329.57749999999999</v>
      </c>
      <c r="H66" s="16">
        <v>353.83249999999998</v>
      </c>
      <c r="I66" s="16">
        <v>377.39780000000002</v>
      </c>
      <c r="J66" s="16">
        <v>407.23489999999998</v>
      </c>
      <c r="K66" s="16">
        <v>415.03800000000001</v>
      </c>
      <c r="L66" s="16">
        <v>400.55180000000001</v>
      </c>
      <c r="M66" s="16">
        <v>391.96190000000001</v>
      </c>
      <c r="N66" s="16">
        <v>329.173</v>
      </c>
      <c r="O66" s="16">
        <v>336.435</v>
      </c>
      <c r="P66" s="16">
        <v>349.80930000000001</v>
      </c>
      <c r="Q66" s="16">
        <v>365.55610000000001</v>
      </c>
      <c r="R66" s="16">
        <v>392.79860000000002</v>
      </c>
      <c r="S66" s="16">
        <v>401.91579999999999</v>
      </c>
      <c r="T66" s="16">
        <v>402.07639999999998</v>
      </c>
      <c r="U66" s="16">
        <v>401.10719999999998</v>
      </c>
      <c r="V66" s="16">
        <v>396.83170000000001</v>
      </c>
      <c r="W66" s="16">
        <v>386.94729999999998</v>
      </c>
      <c r="X66" s="16">
        <v>376.52429999999998</v>
      </c>
      <c r="Y66" s="16">
        <v>361.34879999999998</v>
      </c>
      <c r="Z66" s="26" t="s">
        <v>32</v>
      </c>
      <c r="AA66" s="25">
        <f t="shared" ref="AA66:AA129" si="2">MIN($B66:$Y66)</f>
        <v>329.173</v>
      </c>
      <c r="AB66" s="25">
        <f t="shared" ref="AB66:AB129" si="3">AVERAGE($B66:$Y66)</f>
        <v>370.897670833333</v>
      </c>
    </row>
    <row r="67" spans="1:28">
      <c r="A67" s="8">
        <v>45357</v>
      </c>
      <c r="B67" s="16">
        <v>375.8297</v>
      </c>
      <c r="C67" s="16">
        <v>373.0394</v>
      </c>
      <c r="D67" s="16">
        <v>360.815</v>
      </c>
      <c r="E67" s="16">
        <v>357.25</v>
      </c>
      <c r="F67" s="16">
        <v>350.04250000000002</v>
      </c>
      <c r="G67" s="16">
        <v>350</v>
      </c>
      <c r="H67" s="16">
        <v>364.8811</v>
      </c>
      <c r="I67" s="16">
        <v>389.32769999999999</v>
      </c>
      <c r="J67" s="16">
        <v>408.11930000000001</v>
      </c>
      <c r="K67" s="16">
        <v>406.37569999999999</v>
      </c>
      <c r="L67" s="16">
        <v>394.85410000000002</v>
      </c>
      <c r="M67" s="16">
        <v>388.48689999999999</v>
      </c>
      <c r="N67" s="16">
        <v>337.64069999999998</v>
      </c>
      <c r="O67" s="16">
        <v>341.62060000000002</v>
      </c>
      <c r="P67" s="16">
        <v>355.21069999999997</v>
      </c>
      <c r="Q67" s="16">
        <v>361.20440000000002</v>
      </c>
      <c r="R67" s="16">
        <v>389.99869999999999</v>
      </c>
      <c r="S67" s="16">
        <v>393.536</v>
      </c>
      <c r="T67" s="16">
        <v>391.65289999999999</v>
      </c>
      <c r="U67" s="16">
        <v>402.53190000000001</v>
      </c>
      <c r="V67" s="16">
        <v>400.23739999999998</v>
      </c>
      <c r="W67" s="16">
        <v>394.77350000000001</v>
      </c>
      <c r="X67" s="16">
        <v>374.84890000000001</v>
      </c>
      <c r="Y67" s="16">
        <v>329.22480000000002</v>
      </c>
      <c r="Z67" s="26" t="s">
        <v>32</v>
      </c>
      <c r="AA67" s="25">
        <f t="shared" si="2"/>
        <v>329.22480000000002</v>
      </c>
      <c r="AB67" s="25">
        <f t="shared" si="3"/>
        <v>374.64591250000001</v>
      </c>
    </row>
    <row r="68" spans="1:28">
      <c r="A68" s="8">
        <v>45358</v>
      </c>
      <c r="B68" s="16">
        <v>343.50200000000001</v>
      </c>
      <c r="C68" s="16">
        <v>345.42779999999999</v>
      </c>
      <c r="D68" s="16">
        <v>327.98239999999998</v>
      </c>
      <c r="E68" s="16">
        <v>316.37</v>
      </c>
      <c r="F68" s="16">
        <v>301.4631</v>
      </c>
      <c r="G68" s="16">
        <v>299.02370000000002</v>
      </c>
      <c r="H68" s="16">
        <v>334.92259999999999</v>
      </c>
      <c r="I68" s="16">
        <v>364.4896</v>
      </c>
      <c r="J68" s="16">
        <v>400.59840000000003</v>
      </c>
      <c r="K68" s="16">
        <v>427.21519999999998</v>
      </c>
      <c r="L68" s="16">
        <v>406.00830000000002</v>
      </c>
      <c r="M68" s="16">
        <v>409.16230000000002</v>
      </c>
      <c r="N68" s="16">
        <v>361.88229999999999</v>
      </c>
      <c r="O68" s="16">
        <v>368.58929999999998</v>
      </c>
      <c r="P68" s="16">
        <v>387.83749999999998</v>
      </c>
      <c r="Q68" s="16">
        <v>395.71980000000002</v>
      </c>
      <c r="R68" s="16">
        <v>413.08850000000001</v>
      </c>
      <c r="S68" s="16">
        <v>397.47329999999999</v>
      </c>
      <c r="T68" s="16">
        <v>396.96190000000001</v>
      </c>
      <c r="U68" s="16">
        <v>414.54349999999999</v>
      </c>
      <c r="V68" s="16">
        <v>411.39479999999998</v>
      </c>
      <c r="W68" s="16">
        <v>405.58440000000002</v>
      </c>
      <c r="X68" s="16">
        <v>388.2552</v>
      </c>
      <c r="Y68" s="16">
        <v>345.2097</v>
      </c>
      <c r="Z68" s="26" t="s">
        <v>33</v>
      </c>
      <c r="AA68" s="25">
        <f t="shared" si="2"/>
        <v>299.02370000000002</v>
      </c>
      <c r="AB68" s="25">
        <f t="shared" si="3"/>
        <v>373.44606666666698</v>
      </c>
    </row>
    <row r="69" spans="1:28">
      <c r="A69" s="8">
        <v>45359</v>
      </c>
      <c r="B69" s="16">
        <v>345.6549</v>
      </c>
      <c r="C69" s="16">
        <v>354.53629999999998</v>
      </c>
      <c r="D69" s="16">
        <v>346.8861</v>
      </c>
      <c r="E69" s="16">
        <v>332.98349999999999</v>
      </c>
      <c r="F69" s="16">
        <v>327.22320000000002</v>
      </c>
      <c r="G69" s="16">
        <v>325.32960000000003</v>
      </c>
      <c r="H69" s="16">
        <v>345.54399999999998</v>
      </c>
      <c r="I69" s="16">
        <v>367.3193</v>
      </c>
      <c r="J69" s="16">
        <v>397.5736</v>
      </c>
      <c r="K69" s="16">
        <v>423.81330000000003</v>
      </c>
      <c r="L69" s="16">
        <v>405.58769999999998</v>
      </c>
      <c r="M69" s="16">
        <v>401.45609999999999</v>
      </c>
      <c r="N69" s="16">
        <v>346.41660000000002</v>
      </c>
      <c r="O69" s="16">
        <v>362.63040000000001</v>
      </c>
      <c r="P69" s="16">
        <v>386.37400000000002</v>
      </c>
      <c r="Q69" s="16">
        <v>387.4939</v>
      </c>
      <c r="R69" s="16">
        <v>400.92680000000001</v>
      </c>
      <c r="S69" s="16">
        <v>392.48880000000003</v>
      </c>
      <c r="T69" s="16">
        <v>391.09890000000001</v>
      </c>
      <c r="U69" s="16">
        <v>400.70890000000003</v>
      </c>
      <c r="V69" s="16">
        <v>395.11720000000003</v>
      </c>
      <c r="W69" s="16">
        <v>386.82780000000002</v>
      </c>
      <c r="X69" s="16">
        <v>378.58780000000002</v>
      </c>
      <c r="Y69" s="16">
        <v>341.2901</v>
      </c>
      <c r="Z69" s="26" t="s">
        <v>34</v>
      </c>
      <c r="AA69" s="25">
        <f t="shared" si="2"/>
        <v>325.32960000000003</v>
      </c>
      <c r="AB69" s="25">
        <f t="shared" si="3"/>
        <v>372.66120000000001</v>
      </c>
    </row>
    <row r="70" spans="1:28">
      <c r="A70" s="8">
        <v>45360</v>
      </c>
      <c r="B70" s="16">
        <v>338.68790000000001</v>
      </c>
      <c r="C70" s="16">
        <v>351.75760000000002</v>
      </c>
      <c r="D70" s="16">
        <v>347.04070000000002</v>
      </c>
      <c r="E70" s="16">
        <v>336.90519999999998</v>
      </c>
      <c r="F70" s="16">
        <v>327.06299999999999</v>
      </c>
      <c r="G70" s="16">
        <v>325.28390000000002</v>
      </c>
      <c r="H70" s="16">
        <v>337.75900000000001</v>
      </c>
      <c r="I70" s="16">
        <v>354.73880000000003</v>
      </c>
      <c r="J70" s="16">
        <v>382.26280000000003</v>
      </c>
      <c r="K70" s="16">
        <v>383.85820000000001</v>
      </c>
      <c r="L70" s="16">
        <v>378.43090000000001</v>
      </c>
      <c r="M70" s="16">
        <v>380.72019999999998</v>
      </c>
      <c r="N70" s="16">
        <v>351.7561</v>
      </c>
      <c r="O70" s="16">
        <v>355.3408</v>
      </c>
      <c r="P70" s="16">
        <v>364.79570000000001</v>
      </c>
      <c r="Q70" s="16">
        <v>373.58679999999998</v>
      </c>
      <c r="R70" s="16">
        <v>392.28930000000003</v>
      </c>
      <c r="S70" s="16">
        <v>386.91140000000001</v>
      </c>
      <c r="T70" s="16">
        <v>382.22300000000001</v>
      </c>
      <c r="U70" s="16">
        <v>388.41030000000001</v>
      </c>
      <c r="V70" s="16">
        <v>385.58</v>
      </c>
      <c r="W70" s="16">
        <v>372.04640000000001</v>
      </c>
      <c r="X70" s="16">
        <v>359.20850000000002</v>
      </c>
      <c r="Y70" s="16">
        <v>332.73930000000001</v>
      </c>
      <c r="Z70" s="26" t="s">
        <v>32</v>
      </c>
      <c r="AA70" s="25">
        <f t="shared" si="2"/>
        <v>325.28390000000002</v>
      </c>
      <c r="AB70" s="25">
        <f t="shared" si="3"/>
        <v>362.05815833333298</v>
      </c>
    </row>
    <row r="71" spans="1:28">
      <c r="A71" s="8">
        <v>45361</v>
      </c>
      <c r="B71" s="16">
        <v>345.9545</v>
      </c>
      <c r="C71" s="16">
        <v>351.19959999999998</v>
      </c>
      <c r="D71" s="16">
        <v>338.0172</v>
      </c>
      <c r="E71" s="16">
        <v>328.45249999999999</v>
      </c>
      <c r="F71" s="16">
        <v>324.03309999999999</v>
      </c>
      <c r="G71" s="16">
        <v>319.86919999999998</v>
      </c>
      <c r="H71" s="16">
        <v>328.47129999999999</v>
      </c>
      <c r="I71" s="16">
        <v>344.59039999999999</v>
      </c>
      <c r="J71" s="16">
        <v>349.2022</v>
      </c>
      <c r="K71" s="16">
        <v>360.80369999999999</v>
      </c>
      <c r="L71" s="16">
        <v>366.04919999999998</v>
      </c>
      <c r="M71" s="16">
        <v>366.25389999999999</v>
      </c>
      <c r="N71" s="16">
        <v>335.46120000000002</v>
      </c>
      <c r="O71" s="16">
        <v>337.15249999999997</v>
      </c>
      <c r="P71" s="16">
        <v>352.12470000000002</v>
      </c>
      <c r="Q71" s="16">
        <v>360.56959999999998</v>
      </c>
      <c r="R71" s="16">
        <v>373.10579999999999</v>
      </c>
      <c r="S71" s="16">
        <v>374.13729999999998</v>
      </c>
      <c r="T71" s="16">
        <v>371.09440000000001</v>
      </c>
      <c r="U71" s="16">
        <v>379.55689999999998</v>
      </c>
      <c r="V71" s="16">
        <v>380.18090000000001</v>
      </c>
      <c r="W71" s="16">
        <v>369.39940000000001</v>
      </c>
      <c r="X71" s="16">
        <v>359.46850000000001</v>
      </c>
      <c r="Y71" s="16">
        <v>332.21809999999999</v>
      </c>
      <c r="Z71" s="26" t="s">
        <v>32</v>
      </c>
      <c r="AA71" s="25">
        <f t="shared" si="2"/>
        <v>319.86919999999998</v>
      </c>
      <c r="AB71" s="25">
        <f t="shared" si="3"/>
        <v>351.97358750000001</v>
      </c>
    </row>
    <row r="72" spans="1:28">
      <c r="A72" s="8">
        <v>45362</v>
      </c>
      <c r="B72" s="16">
        <v>350.65789999999998</v>
      </c>
      <c r="C72" s="16">
        <v>351.9633</v>
      </c>
      <c r="D72" s="16">
        <v>346.31760000000003</v>
      </c>
      <c r="E72" s="16">
        <v>337.76780000000002</v>
      </c>
      <c r="F72" s="16">
        <v>334.1413</v>
      </c>
      <c r="G72" s="16">
        <v>335.18650000000002</v>
      </c>
      <c r="H72" s="16">
        <v>356.2627</v>
      </c>
      <c r="I72" s="16">
        <v>376.99360000000001</v>
      </c>
      <c r="J72" s="16">
        <v>401.93290000000002</v>
      </c>
      <c r="K72" s="16">
        <v>425.56049999999999</v>
      </c>
      <c r="L72" s="16">
        <v>413.83429999999998</v>
      </c>
      <c r="M72" s="16">
        <v>446.72370000000001</v>
      </c>
      <c r="N72" s="16">
        <v>370.74299999999999</v>
      </c>
      <c r="O72" s="16">
        <v>381.18290000000002</v>
      </c>
      <c r="P72" s="16">
        <v>395.61520000000002</v>
      </c>
      <c r="Q72" s="16">
        <v>414.10149999999999</v>
      </c>
      <c r="R72" s="16">
        <v>447.22969999999998</v>
      </c>
      <c r="S72" s="16">
        <v>406.34320000000002</v>
      </c>
      <c r="T72" s="16">
        <v>395.3338</v>
      </c>
      <c r="U72" s="16">
        <v>415.13310000000001</v>
      </c>
      <c r="V72" s="16">
        <v>423.41320000000002</v>
      </c>
      <c r="W72" s="16">
        <v>416.79199999999997</v>
      </c>
      <c r="X72" s="16">
        <v>396.4701</v>
      </c>
      <c r="Y72" s="16">
        <v>364.23500000000001</v>
      </c>
      <c r="Z72" s="26" t="s">
        <v>32</v>
      </c>
      <c r="AA72" s="25">
        <f t="shared" si="2"/>
        <v>334.1413</v>
      </c>
      <c r="AB72" s="25">
        <f t="shared" si="3"/>
        <v>387.66395</v>
      </c>
    </row>
    <row r="73" spans="1:28">
      <c r="A73" s="8">
        <v>45363</v>
      </c>
      <c r="B73" s="16">
        <v>369.75020000000001</v>
      </c>
      <c r="C73" s="16">
        <v>372.44670000000002</v>
      </c>
      <c r="D73" s="16">
        <v>361.11250000000001</v>
      </c>
      <c r="E73" s="16">
        <v>355.27929999999998</v>
      </c>
      <c r="F73" s="16">
        <v>350.00189999999998</v>
      </c>
      <c r="G73" s="16">
        <v>350</v>
      </c>
      <c r="H73" s="16">
        <v>359.49090000000001</v>
      </c>
      <c r="I73" s="16">
        <v>372.3947</v>
      </c>
      <c r="J73" s="16">
        <v>398.90980000000002</v>
      </c>
      <c r="K73" s="16">
        <v>404.01299999999998</v>
      </c>
      <c r="L73" s="16">
        <v>395.81920000000002</v>
      </c>
      <c r="M73" s="16">
        <v>389.43579999999997</v>
      </c>
      <c r="N73" s="16">
        <v>346.33</v>
      </c>
      <c r="O73" s="16">
        <v>352.5421</v>
      </c>
      <c r="P73" s="16">
        <v>361.28609999999998</v>
      </c>
      <c r="Q73" s="16">
        <v>371.7878</v>
      </c>
      <c r="R73" s="16">
        <v>393.86750000000001</v>
      </c>
      <c r="S73" s="16">
        <v>398.24630000000002</v>
      </c>
      <c r="T73" s="16">
        <v>412.49849999999998</v>
      </c>
      <c r="U73" s="16">
        <v>410.46690000000001</v>
      </c>
      <c r="V73" s="16">
        <v>405.07819999999998</v>
      </c>
      <c r="W73" s="16">
        <v>391.495</v>
      </c>
      <c r="X73" s="16">
        <v>377.47550000000001</v>
      </c>
      <c r="Y73" s="16">
        <v>352.35180000000003</v>
      </c>
      <c r="Z73" s="26" t="s">
        <v>32</v>
      </c>
      <c r="AA73" s="25">
        <f t="shared" si="2"/>
        <v>346.33</v>
      </c>
      <c r="AB73" s="25">
        <f t="shared" si="3"/>
        <v>377.16998749999999</v>
      </c>
    </row>
    <row r="74" spans="1:28">
      <c r="A74" s="8">
        <v>45364</v>
      </c>
      <c r="B74" s="16">
        <v>337.33339999999998</v>
      </c>
      <c r="C74" s="16">
        <v>339.76600000000002</v>
      </c>
      <c r="D74" s="16">
        <v>326.20179999999999</v>
      </c>
      <c r="E74" s="16">
        <v>313.57920000000001</v>
      </c>
      <c r="F74" s="16">
        <v>290.88679999999999</v>
      </c>
      <c r="G74" s="16">
        <v>289.76690000000002</v>
      </c>
      <c r="H74" s="16">
        <v>319.56299999999999</v>
      </c>
      <c r="I74" s="16">
        <v>347.72109999999998</v>
      </c>
      <c r="J74" s="16">
        <v>368.05869999999999</v>
      </c>
      <c r="K74" s="16">
        <v>379.10199999999998</v>
      </c>
      <c r="L74" s="16">
        <v>389.13479999999998</v>
      </c>
      <c r="M74" s="16">
        <v>383.51440000000002</v>
      </c>
      <c r="N74" s="16">
        <v>324.13529999999997</v>
      </c>
      <c r="O74" s="16">
        <v>325.61489999999998</v>
      </c>
      <c r="P74" s="16">
        <v>386.72190000000001</v>
      </c>
      <c r="Q74" s="16">
        <v>435.77850000000001</v>
      </c>
      <c r="R74" s="16">
        <v>435.19619999999998</v>
      </c>
      <c r="S74" s="16">
        <v>393.00389999999999</v>
      </c>
      <c r="T74" s="16">
        <v>395.642</v>
      </c>
      <c r="U74" s="16">
        <v>410.65379999999999</v>
      </c>
      <c r="V74" s="16">
        <v>428.85579999999999</v>
      </c>
      <c r="W74" s="16">
        <v>401.03179999999998</v>
      </c>
      <c r="X74" s="16">
        <v>374.01920000000001</v>
      </c>
      <c r="Y74" s="16">
        <v>337.04599999999999</v>
      </c>
      <c r="Z74" s="26" t="s">
        <v>32</v>
      </c>
      <c r="AA74" s="25">
        <f t="shared" si="2"/>
        <v>289.76690000000002</v>
      </c>
      <c r="AB74" s="25">
        <f t="shared" si="3"/>
        <v>363.84697499999999</v>
      </c>
    </row>
    <row r="75" spans="1:28">
      <c r="A75" s="8">
        <v>45365</v>
      </c>
      <c r="B75" s="16">
        <v>318.9853</v>
      </c>
      <c r="C75" s="16">
        <v>324.38740000000001</v>
      </c>
      <c r="D75" s="16">
        <v>315.60660000000001</v>
      </c>
      <c r="E75" s="16">
        <v>310.75990000000002</v>
      </c>
      <c r="F75" s="16">
        <v>306.85789999999997</v>
      </c>
      <c r="G75" s="16">
        <v>306.76580000000001</v>
      </c>
      <c r="H75" s="16">
        <v>326.14670000000001</v>
      </c>
      <c r="I75" s="16">
        <v>349.6114</v>
      </c>
      <c r="J75" s="16">
        <v>371.30090000000001</v>
      </c>
      <c r="K75" s="16">
        <v>395.02839999999998</v>
      </c>
      <c r="L75" s="16">
        <v>393.6551</v>
      </c>
      <c r="M75" s="16">
        <v>390.90039999999999</v>
      </c>
      <c r="N75" s="16">
        <v>324.27350000000001</v>
      </c>
      <c r="O75" s="16">
        <v>337.19529999999997</v>
      </c>
      <c r="P75" s="16">
        <v>357.29419999999999</v>
      </c>
      <c r="Q75" s="16">
        <v>361.39449999999999</v>
      </c>
      <c r="R75" s="16">
        <v>375.27199999999999</v>
      </c>
      <c r="S75" s="16">
        <v>378.1678</v>
      </c>
      <c r="T75" s="16">
        <v>375.23919999999998</v>
      </c>
      <c r="U75" s="16">
        <v>372.63580000000002</v>
      </c>
      <c r="V75" s="16">
        <v>371.70400000000001</v>
      </c>
      <c r="W75" s="16">
        <v>367.1078</v>
      </c>
      <c r="X75" s="16">
        <v>358.75029999999998</v>
      </c>
      <c r="Y75" s="16">
        <v>337.04450000000003</v>
      </c>
      <c r="Z75" s="26" t="s">
        <v>33</v>
      </c>
      <c r="AA75" s="25">
        <f t="shared" si="2"/>
        <v>306.76580000000001</v>
      </c>
      <c r="AB75" s="25">
        <f t="shared" si="3"/>
        <v>351.0868625</v>
      </c>
    </row>
    <row r="76" spans="1:28">
      <c r="A76" s="8">
        <v>45366</v>
      </c>
      <c r="B76" s="16">
        <v>332.12189999999998</v>
      </c>
      <c r="C76" s="16">
        <v>339.58280000000002</v>
      </c>
      <c r="D76" s="16">
        <v>338.24279999999999</v>
      </c>
      <c r="E76" s="16">
        <v>332.36720000000003</v>
      </c>
      <c r="F76" s="16">
        <v>320.9239</v>
      </c>
      <c r="G76" s="16">
        <v>317.56020000000001</v>
      </c>
      <c r="H76" s="16">
        <v>335.78039999999999</v>
      </c>
      <c r="I76" s="16">
        <v>350.71159999999998</v>
      </c>
      <c r="J76" s="16">
        <v>362.3981</v>
      </c>
      <c r="K76" s="16">
        <v>382.64679999999998</v>
      </c>
      <c r="L76" s="16">
        <v>373.46940000000001</v>
      </c>
      <c r="M76" s="16">
        <v>367.33249999999998</v>
      </c>
      <c r="N76" s="16">
        <v>318.56760000000003</v>
      </c>
      <c r="O76" s="16">
        <v>323.36200000000002</v>
      </c>
      <c r="P76" s="16">
        <v>336.2045</v>
      </c>
      <c r="Q76" s="16">
        <v>345.88869999999997</v>
      </c>
      <c r="R76" s="16">
        <v>370.1662</v>
      </c>
      <c r="S76" s="16">
        <v>364.36700000000002</v>
      </c>
      <c r="T76" s="16">
        <v>359.25240000000002</v>
      </c>
      <c r="U76" s="16">
        <v>360.30810000000002</v>
      </c>
      <c r="V76" s="16">
        <v>352.32</v>
      </c>
      <c r="W76" s="16">
        <v>349.30799999999999</v>
      </c>
      <c r="X76" s="16">
        <v>350.61869999999999</v>
      </c>
      <c r="Y76" s="16">
        <v>332.6653</v>
      </c>
      <c r="Z76" s="26" t="s">
        <v>34</v>
      </c>
      <c r="AA76" s="25">
        <f t="shared" si="2"/>
        <v>317.56020000000001</v>
      </c>
      <c r="AB76" s="25">
        <f t="shared" si="3"/>
        <v>346.50692083333303</v>
      </c>
    </row>
    <row r="77" spans="1:28">
      <c r="A77" s="8">
        <v>45367</v>
      </c>
      <c r="B77" s="16">
        <v>329.92160000000001</v>
      </c>
      <c r="C77" s="16">
        <v>330.2002</v>
      </c>
      <c r="D77" s="16">
        <v>327.33690000000001</v>
      </c>
      <c r="E77" s="16">
        <v>323.83659999999998</v>
      </c>
      <c r="F77" s="16">
        <v>312.233</v>
      </c>
      <c r="G77" s="16">
        <v>310.6626</v>
      </c>
      <c r="H77" s="16">
        <v>326.86770000000001</v>
      </c>
      <c r="I77" s="16">
        <v>337.2079</v>
      </c>
      <c r="J77" s="16">
        <v>348.12599999999998</v>
      </c>
      <c r="K77" s="16">
        <v>365.05439999999999</v>
      </c>
      <c r="L77" s="16">
        <v>359.31580000000002</v>
      </c>
      <c r="M77" s="16">
        <v>354.88119999999998</v>
      </c>
      <c r="N77" s="16">
        <v>320.56310000000002</v>
      </c>
      <c r="O77" s="16">
        <v>330.58539999999999</v>
      </c>
      <c r="P77" s="16">
        <v>343.5335</v>
      </c>
      <c r="Q77" s="16">
        <v>358.11799999999999</v>
      </c>
      <c r="R77" s="16">
        <v>380.9932</v>
      </c>
      <c r="S77" s="16">
        <v>372.96570000000003</v>
      </c>
      <c r="T77" s="16">
        <v>368.0684</v>
      </c>
      <c r="U77" s="16">
        <v>371.88909999999998</v>
      </c>
      <c r="V77" s="16">
        <v>369.09800000000001</v>
      </c>
      <c r="W77" s="16">
        <v>367.33319999999998</v>
      </c>
      <c r="X77" s="16">
        <v>368.82499999999999</v>
      </c>
      <c r="Y77" s="16">
        <v>344.28789999999998</v>
      </c>
      <c r="Z77" s="26" t="s">
        <v>32</v>
      </c>
      <c r="AA77" s="25">
        <f t="shared" si="2"/>
        <v>310.6626</v>
      </c>
      <c r="AB77" s="25">
        <f t="shared" si="3"/>
        <v>346.746016666667</v>
      </c>
    </row>
    <row r="78" spans="1:28">
      <c r="A78" s="8">
        <v>45368</v>
      </c>
      <c r="B78" s="16">
        <v>363.81849999999997</v>
      </c>
      <c r="C78" s="16">
        <v>363.49990000000003</v>
      </c>
      <c r="D78" s="16">
        <v>354.07900000000001</v>
      </c>
      <c r="E78" s="16">
        <v>345.88929999999999</v>
      </c>
      <c r="F78" s="16">
        <v>341.53469999999999</v>
      </c>
      <c r="G78" s="16">
        <v>338.9486</v>
      </c>
      <c r="H78" s="16">
        <v>341.51740000000001</v>
      </c>
      <c r="I78" s="16">
        <v>343.82100000000003</v>
      </c>
      <c r="J78" s="16">
        <v>343.52730000000003</v>
      </c>
      <c r="K78" s="16">
        <v>359.28429999999997</v>
      </c>
      <c r="L78" s="16">
        <v>355.70170000000002</v>
      </c>
      <c r="M78" s="16">
        <v>355.6857</v>
      </c>
      <c r="N78" s="16">
        <v>312.38720000000001</v>
      </c>
      <c r="O78" s="16">
        <v>315.94240000000002</v>
      </c>
      <c r="P78" s="16">
        <v>327.63560000000001</v>
      </c>
      <c r="Q78" s="16">
        <v>337.05889999999999</v>
      </c>
      <c r="R78" s="16">
        <v>363.09390000000002</v>
      </c>
      <c r="S78" s="16">
        <v>379.15019999999998</v>
      </c>
      <c r="T78" s="16">
        <v>379.3811</v>
      </c>
      <c r="U78" s="16">
        <v>381.1003</v>
      </c>
      <c r="V78" s="16">
        <v>384.98439999999999</v>
      </c>
      <c r="W78" s="16">
        <v>385.16090000000003</v>
      </c>
      <c r="X78" s="16">
        <v>369.90690000000001</v>
      </c>
      <c r="Y78" s="16">
        <v>359.46440000000001</v>
      </c>
      <c r="Z78" s="26" t="s">
        <v>32</v>
      </c>
      <c r="AA78" s="25">
        <f t="shared" si="2"/>
        <v>312.38720000000001</v>
      </c>
      <c r="AB78" s="25">
        <f t="shared" si="3"/>
        <v>354.27390000000003</v>
      </c>
    </row>
    <row r="79" spans="1:28">
      <c r="A79" s="8">
        <v>45369</v>
      </c>
      <c r="B79" s="16">
        <v>347.47070000000002</v>
      </c>
      <c r="C79" s="16">
        <v>353.76760000000002</v>
      </c>
      <c r="D79" s="16">
        <v>342.16820000000001</v>
      </c>
      <c r="E79" s="16">
        <v>338.34429999999998</v>
      </c>
      <c r="F79" s="16">
        <v>327.57740000000001</v>
      </c>
      <c r="G79" s="16">
        <v>325.45589999999999</v>
      </c>
      <c r="H79" s="16">
        <v>338.33699999999999</v>
      </c>
      <c r="I79" s="16">
        <v>348.077</v>
      </c>
      <c r="J79" s="16">
        <v>376.11169999999998</v>
      </c>
      <c r="K79" s="16">
        <v>386.82139999999998</v>
      </c>
      <c r="L79" s="16">
        <v>379.0992</v>
      </c>
      <c r="M79" s="16">
        <v>374.19920000000002</v>
      </c>
      <c r="N79" s="16">
        <v>322.82350000000002</v>
      </c>
      <c r="O79" s="16">
        <v>333.4436</v>
      </c>
      <c r="P79" s="16">
        <v>347.96129999999999</v>
      </c>
      <c r="Q79" s="16">
        <v>360.59629999999999</v>
      </c>
      <c r="R79" s="16">
        <v>375.6078</v>
      </c>
      <c r="S79" s="16">
        <v>380.89920000000001</v>
      </c>
      <c r="T79" s="16">
        <v>388.86630000000002</v>
      </c>
      <c r="U79" s="16">
        <v>383.01510000000002</v>
      </c>
      <c r="V79" s="16">
        <v>375.1114</v>
      </c>
      <c r="W79" s="16">
        <v>372.24860000000001</v>
      </c>
      <c r="X79" s="16">
        <v>378.53320000000002</v>
      </c>
      <c r="Y79" s="16">
        <v>348.54489999999998</v>
      </c>
      <c r="Z79" s="26" t="s">
        <v>32</v>
      </c>
      <c r="AA79" s="25">
        <f t="shared" si="2"/>
        <v>322.82350000000002</v>
      </c>
      <c r="AB79" s="25">
        <f t="shared" si="3"/>
        <v>358.54503333333298</v>
      </c>
    </row>
    <row r="80" spans="1:28">
      <c r="A80" s="8">
        <v>45370</v>
      </c>
      <c r="B80" s="16">
        <v>356.1474</v>
      </c>
      <c r="C80" s="16">
        <v>350.67880000000002</v>
      </c>
      <c r="D80" s="16">
        <v>338.97030000000001</v>
      </c>
      <c r="E80" s="16">
        <v>333.77300000000002</v>
      </c>
      <c r="F80" s="16">
        <v>327.84840000000003</v>
      </c>
      <c r="G80" s="16">
        <v>328.43630000000002</v>
      </c>
      <c r="H80" s="16">
        <v>339.9316</v>
      </c>
      <c r="I80" s="16">
        <v>346.00549999999998</v>
      </c>
      <c r="J80" s="16">
        <v>360.50839999999999</v>
      </c>
      <c r="K80" s="16">
        <v>366.97199999999998</v>
      </c>
      <c r="L80" s="16">
        <v>366.49130000000002</v>
      </c>
      <c r="M80" s="16">
        <v>358.84679999999997</v>
      </c>
      <c r="N80" s="16">
        <v>329.25740000000002</v>
      </c>
      <c r="O80" s="16">
        <v>334.1626</v>
      </c>
      <c r="P80" s="16">
        <v>334.1694</v>
      </c>
      <c r="Q80" s="16">
        <v>346.30919999999998</v>
      </c>
      <c r="R80" s="16">
        <v>353.50810000000001</v>
      </c>
      <c r="S80" s="16">
        <v>357.4443</v>
      </c>
      <c r="T80" s="16">
        <v>357.60090000000002</v>
      </c>
      <c r="U80" s="16">
        <v>357.67989999999998</v>
      </c>
      <c r="V80" s="16">
        <v>353.97539999999998</v>
      </c>
      <c r="W80" s="16">
        <v>348.19569999999999</v>
      </c>
      <c r="X80" s="16">
        <v>343.74810000000002</v>
      </c>
      <c r="Y80" s="16">
        <v>324.49189999999999</v>
      </c>
      <c r="Z80" s="26" t="s">
        <v>32</v>
      </c>
      <c r="AA80" s="25">
        <f t="shared" si="2"/>
        <v>324.49189999999999</v>
      </c>
      <c r="AB80" s="25">
        <f t="shared" si="3"/>
        <v>346.464695833333</v>
      </c>
    </row>
    <row r="81" spans="1:28">
      <c r="A81" s="8">
        <v>45371</v>
      </c>
      <c r="B81" s="16">
        <v>337.41460000000001</v>
      </c>
      <c r="C81" s="16">
        <v>343.47300000000001</v>
      </c>
      <c r="D81" s="16">
        <v>326.47039999999998</v>
      </c>
      <c r="E81" s="16">
        <v>318.22370000000001</v>
      </c>
      <c r="F81" s="16">
        <v>288.34730000000002</v>
      </c>
      <c r="G81" s="16">
        <v>258.94580000000002</v>
      </c>
      <c r="H81" s="16">
        <v>327.46699999999998</v>
      </c>
      <c r="I81" s="16">
        <v>337.4228</v>
      </c>
      <c r="J81" s="16">
        <v>346.33679999999998</v>
      </c>
      <c r="K81" s="16">
        <v>342.63</v>
      </c>
      <c r="L81" s="16">
        <v>340.64100000000002</v>
      </c>
      <c r="M81" s="16">
        <v>339.3365</v>
      </c>
      <c r="N81" s="16">
        <v>297.62360000000001</v>
      </c>
      <c r="O81" s="16">
        <v>315.65140000000002</v>
      </c>
      <c r="P81" s="16">
        <v>333.59589999999997</v>
      </c>
      <c r="Q81" s="16">
        <v>342.23059999999998</v>
      </c>
      <c r="R81" s="16">
        <v>349.27339999999998</v>
      </c>
      <c r="S81" s="16">
        <v>354.02719999999999</v>
      </c>
      <c r="T81" s="16">
        <v>362.8057</v>
      </c>
      <c r="U81" s="16">
        <v>369.44880000000001</v>
      </c>
      <c r="V81" s="16">
        <v>357.02980000000002</v>
      </c>
      <c r="W81" s="16">
        <v>355.85489999999999</v>
      </c>
      <c r="X81" s="16">
        <v>347.94369999999998</v>
      </c>
      <c r="Y81" s="16">
        <v>328.76049999999998</v>
      </c>
      <c r="Z81" s="26" t="s">
        <v>32</v>
      </c>
      <c r="AA81" s="25">
        <f t="shared" si="2"/>
        <v>258.94580000000002</v>
      </c>
      <c r="AB81" s="25">
        <f t="shared" si="3"/>
        <v>334.206433333333</v>
      </c>
    </row>
    <row r="82" spans="1:28">
      <c r="A82" s="8">
        <v>45372</v>
      </c>
      <c r="B82" s="16">
        <v>338.04250000000002</v>
      </c>
      <c r="C82" s="16">
        <v>334.36369999999999</v>
      </c>
      <c r="D82" s="16">
        <v>325.51960000000003</v>
      </c>
      <c r="E82" s="16">
        <v>323.91410000000002</v>
      </c>
      <c r="F82" s="16">
        <v>321.33440000000002</v>
      </c>
      <c r="G82" s="16">
        <v>322.34199999999998</v>
      </c>
      <c r="H82" s="16">
        <v>336.09609999999998</v>
      </c>
      <c r="I82" s="16">
        <v>346.03219999999999</v>
      </c>
      <c r="J82" s="16">
        <v>342.59230000000002</v>
      </c>
      <c r="K82" s="16">
        <v>340.20179999999999</v>
      </c>
      <c r="L82" s="16">
        <v>336.47140000000002</v>
      </c>
      <c r="M82" s="16">
        <v>330.93770000000001</v>
      </c>
      <c r="N82" s="16">
        <v>219.89680000000001</v>
      </c>
      <c r="O82" s="16">
        <v>286.61320000000001</v>
      </c>
      <c r="P82" s="16">
        <v>327.24770000000001</v>
      </c>
      <c r="Q82" s="16">
        <v>343.21539999999999</v>
      </c>
      <c r="R82" s="16">
        <v>357.67189999999999</v>
      </c>
      <c r="S82" s="16">
        <v>355.02960000000002</v>
      </c>
      <c r="T82" s="16">
        <v>361.00650000000002</v>
      </c>
      <c r="U82" s="16">
        <v>371.81939999999997</v>
      </c>
      <c r="V82" s="16">
        <v>360.47620000000001</v>
      </c>
      <c r="W82" s="16">
        <v>359.14190000000002</v>
      </c>
      <c r="X82" s="16">
        <v>356.42750000000001</v>
      </c>
      <c r="Y82" s="16">
        <v>324.83249999999998</v>
      </c>
      <c r="Z82" s="26" t="s">
        <v>33</v>
      </c>
      <c r="AA82" s="25">
        <f t="shared" si="2"/>
        <v>219.89680000000001</v>
      </c>
      <c r="AB82" s="25">
        <f t="shared" si="3"/>
        <v>334.21776666666699</v>
      </c>
    </row>
    <row r="83" spans="1:28">
      <c r="A83" s="8">
        <v>45373</v>
      </c>
      <c r="B83" s="16">
        <v>345.04349999999999</v>
      </c>
      <c r="C83" s="16">
        <v>344.89839999999998</v>
      </c>
      <c r="D83" s="16">
        <v>337.08600000000001</v>
      </c>
      <c r="E83" s="16">
        <v>321.41699999999997</v>
      </c>
      <c r="F83" s="16">
        <v>314.7713</v>
      </c>
      <c r="G83" s="16">
        <v>314.41500000000002</v>
      </c>
      <c r="H83" s="16">
        <v>335.3306</v>
      </c>
      <c r="I83" s="16">
        <v>344.74400000000003</v>
      </c>
      <c r="J83" s="16">
        <v>363.17270000000002</v>
      </c>
      <c r="K83" s="16">
        <v>364.78660000000002</v>
      </c>
      <c r="L83" s="16">
        <v>374.35390000000001</v>
      </c>
      <c r="M83" s="16">
        <v>389.39100000000002</v>
      </c>
      <c r="N83" s="16">
        <v>320.29500000000002</v>
      </c>
      <c r="O83" s="16">
        <v>331.25200000000001</v>
      </c>
      <c r="P83" s="16">
        <v>367.8458</v>
      </c>
      <c r="Q83" s="16">
        <v>379.92540000000002</v>
      </c>
      <c r="R83" s="16">
        <v>386.79450000000003</v>
      </c>
      <c r="S83" s="16">
        <v>371.64690000000002</v>
      </c>
      <c r="T83" s="16">
        <v>337.69</v>
      </c>
      <c r="U83" s="16">
        <v>358.92970000000003</v>
      </c>
      <c r="V83" s="16">
        <v>355.06319999999999</v>
      </c>
      <c r="W83" s="16">
        <v>352.76900000000001</v>
      </c>
      <c r="X83" s="16">
        <v>347.54180000000002</v>
      </c>
      <c r="Y83" s="16">
        <v>319.54880000000003</v>
      </c>
      <c r="Z83" s="26" t="s">
        <v>34</v>
      </c>
      <c r="AA83" s="25">
        <f t="shared" si="2"/>
        <v>314.41500000000002</v>
      </c>
      <c r="AB83" s="25">
        <f t="shared" si="3"/>
        <v>349.113004166667</v>
      </c>
    </row>
    <row r="84" spans="1:28">
      <c r="A84" s="8">
        <v>45374</v>
      </c>
      <c r="B84" s="16">
        <v>358.93450000000001</v>
      </c>
      <c r="C84" s="16">
        <v>351.64420000000001</v>
      </c>
      <c r="D84" s="16">
        <v>344.5849</v>
      </c>
      <c r="E84" s="16">
        <v>324.52339999999998</v>
      </c>
      <c r="F84" s="16">
        <v>317.74360000000001</v>
      </c>
      <c r="G84" s="16">
        <v>319.65719999999999</v>
      </c>
      <c r="H84" s="16">
        <v>332.31049999999999</v>
      </c>
      <c r="I84" s="16">
        <v>345.0908</v>
      </c>
      <c r="J84" s="16">
        <v>354.99689999999998</v>
      </c>
      <c r="K84" s="16">
        <v>372.81700000000001</v>
      </c>
      <c r="L84" s="16">
        <v>374.5523</v>
      </c>
      <c r="M84" s="16">
        <v>407.57049999999998</v>
      </c>
      <c r="N84" s="16">
        <v>291.79950000000002</v>
      </c>
      <c r="O84" s="16">
        <v>294.14479999999998</v>
      </c>
      <c r="P84" s="16">
        <v>334.6028</v>
      </c>
      <c r="Q84" s="16">
        <v>356.70830000000001</v>
      </c>
      <c r="R84" s="16">
        <v>383.08390000000003</v>
      </c>
      <c r="S84" s="16">
        <v>373.89789999999999</v>
      </c>
      <c r="T84" s="16">
        <v>362.28840000000002</v>
      </c>
      <c r="U84" s="16">
        <v>380.33769999999998</v>
      </c>
      <c r="V84" s="16">
        <v>379.75700000000001</v>
      </c>
      <c r="W84" s="16">
        <v>363.31830000000002</v>
      </c>
      <c r="X84" s="16">
        <v>361.08339999999998</v>
      </c>
      <c r="Y84" s="16">
        <v>330.94850000000002</v>
      </c>
      <c r="Z84" s="26" t="s">
        <v>32</v>
      </c>
      <c r="AA84" s="25">
        <f t="shared" si="2"/>
        <v>291.79950000000002</v>
      </c>
      <c r="AB84" s="25">
        <f t="shared" si="3"/>
        <v>350.683179166667</v>
      </c>
    </row>
    <row r="85" spans="1:28">
      <c r="A85" s="8">
        <v>45375</v>
      </c>
      <c r="B85" s="16">
        <v>377.83749999999998</v>
      </c>
      <c r="C85" s="16">
        <v>360.75959999999998</v>
      </c>
      <c r="D85" s="16">
        <v>346.012</v>
      </c>
      <c r="E85" s="16">
        <v>331.98489999999998</v>
      </c>
      <c r="F85" s="16">
        <v>323.51609999999999</v>
      </c>
      <c r="G85" s="16">
        <v>326.37360000000001</v>
      </c>
      <c r="H85" s="16">
        <v>331.90609999999998</v>
      </c>
      <c r="I85" s="16">
        <v>337.6533</v>
      </c>
      <c r="J85" s="16">
        <v>338.00069999999999</v>
      </c>
      <c r="K85" s="16">
        <v>342.7253</v>
      </c>
      <c r="L85" s="16">
        <v>340.56490000000002</v>
      </c>
      <c r="M85" s="16">
        <v>341.13470000000001</v>
      </c>
      <c r="N85" s="16">
        <v>307.37220000000002</v>
      </c>
      <c r="O85" s="16">
        <v>328.53050000000002</v>
      </c>
      <c r="P85" s="16">
        <v>336.91090000000003</v>
      </c>
      <c r="Q85" s="16">
        <v>343.90940000000001</v>
      </c>
      <c r="R85" s="16">
        <v>348.89580000000001</v>
      </c>
      <c r="S85" s="16">
        <v>355.5317</v>
      </c>
      <c r="T85" s="16">
        <v>358.53379999999999</v>
      </c>
      <c r="U85" s="16">
        <v>367.46890000000002</v>
      </c>
      <c r="V85" s="16">
        <v>363.2629</v>
      </c>
      <c r="W85" s="16">
        <v>355.7054</v>
      </c>
      <c r="X85" s="16">
        <v>353.42809999999997</v>
      </c>
      <c r="Y85" s="16">
        <v>332.80829999999997</v>
      </c>
      <c r="Z85" s="26" t="s">
        <v>32</v>
      </c>
      <c r="AA85" s="25">
        <f t="shared" si="2"/>
        <v>307.37220000000002</v>
      </c>
      <c r="AB85" s="25">
        <f t="shared" si="3"/>
        <v>343.78444166666702</v>
      </c>
    </row>
    <row r="86" spans="1:28">
      <c r="A86" s="8">
        <v>45376</v>
      </c>
      <c r="B86" s="16">
        <v>369.12369999999999</v>
      </c>
      <c r="C86" s="16">
        <v>395.584</v>
      </c>
      <c r="D86" s="16">
        <v>362.82249999999999</v>
      </c>
      <c r="E86" s="16">
        <v>341.44650000000001</v>
      </c>
      <c r="F86" s="16">
        <v>332.36709999999999</v>
      </c>
      <c r="G86" s="16">
        <v>333.76119999999997</v>
      </c>
      <c r="H86" s="16">
        <v>360.70400000000001</v>
      </c>
      <c r="I86" s="16">
        <v>375.80329999999998</v>
      </c>
      <c r="J86" s="16">
        <v>516.13390000000004</v>
      </c>
      <c r="K86" s="16">
        <v>618.3365</v>
      </c>
      <c r="L86" s="16">
        <v>674.99009999999998</v>
      </c>
      <c r="M86" s="16">
        <v>599.32420000000002</v>
      </c>
      <c r="N86" s="16">
        <v>393.52640000000002</v>
      </c>
      <c r="O86" s="16">
        <v>464.34930000000003</v>
      </c>
      <c r="P86" s="16">
        <v>639.86509999999998</v>
      </c>
      <c r="Q86" s="16">
        <v>640.57719999999995</v>
      </c>
      <c r="R86" s="16">
        <v>626.56820000000005</v>
      </c>
      <c r="S86" s="16">
        <v>483.60270000000003</v>
      </c>
      <c r="T86" s="16">
        <v>478.45420000000001</v>
      </c>
      <c r="U86" s="16">
        <v>542.52859999999998</v>
      </c>
      <c r="V86" s="16">
        <v>452.38900000000001</v>
      </c>
      <c r="W86" s="16">
        <v>462.1463</v>
      </c>
      <c r="X86" s="16">
        <v>437.01650000000001</v>
      </c>
      <c r="Y86" s="16">
        <v>351.73970000000003</v>
      </c>
      <c r="Z86" s="26" t="s">
        <v>32</v>
      </c>
      <c r="AA86" s="25">
        <f t="shared" si="2"/>
        <v>332.36709999999999</v>
      </c>
      <c r="AB86" s="25">
        <f t="shared" si="3"/>
        <v>468.88167499999997</v>
      </c>
    </row>
    <row r="87" spans="1:28">
      <c r="A87" s="8">
        <v>45377</v>
      </c>
      <c r="B87" s="16">
        <v>452.0591</v>
      </c>
      <c r="C87" s="16">
        <v>440.26749999999998</v>
      </c>
      <c r="D87" s="16">
        <v>377.58760000000001</v>
      </c>
      <c r="E87" s="16">
        <v>354.97359999999998</v>
      </c>
      <c r="F87" s="16">
        <v>338.17790000000002</v>
      </c>
      <c r="G87" s="16">
        <v>335.02370000000002</v>
      </c>
      <c r="H87" s="16">
        <v>362.01839999999999</v>
      </c>
      <c r="I87" s="16">
        <v>383.16539999999998</v>
      </c>
      <c r="J87" s="16">
        <v>507.88209999999998</v>
      </c>
      <c r="K87" s="16">
        <v>458.26639999999998</v>
      </c>
      <c r="L87" s="16">
        <v>437.31869999999998</v>
      </c>
      <c r="M87" s="16">
        <v>426.66289999999998</v>
      </c>
      <c r="N87" s="16">
        <v>348.92680000000001</v>
      </c>
      <c r="O87" s="16">
        <v>362.00389999999999</v>
      </c>
      <c r="P87" s="16">
        <v>384.5634</v>
      </c>
      <c r="Q87" s="16">
        <v>396.71879999999999</v>
      </c>
      <c r="R87" s="16">
        <v>415.09519999999998</v>
      </c>
      <c r="S87" s="16">
        <v>408.62889999999999</v>
      </c>
      <c r="T87" s="16">
        <v>415.29700000000003</v>
      </c>
      <c r="U87" s="16">
        <v>422.565</v>
      </c>
      <c r="V87" s="16">
        <v>407.02319999999997</v>
      </c>
      <c r="W87" s="16">
        <v>408.88589999999999</v>
      </c>
      <c r="X87" s="16">
        <v>376.92290000000003</v>
      </c>
      <c r="Y87" s="16">
        <v>339.03070000000002</v>
      </c>
      <c r="Z87" s="26" t="s">
        <v>32</v>
      </c>
      <c r="AA87" s="25">
        <f t="shared" si="2"/>
        <v>335.02370000000002</v>
      </c>
      <c r="AB87" s="25">
        <f t="shared" si="3"/>
        <v>398.294375</v>
      </c>
    </row>
    <row r="88" spans="1:28">
      <c r="A88" s="8">
        <v>45378</v>
      </c>
      <c r="B88" s="16">
        <v>379.04770000000002</v>
      </c>
      <c r="C88" s="16">
        <v>387.30250000000001</v>
      </c>
      <c r="D88" s="16">
        <v>367.82889999999998</v>
      </c>
      <c r="E88" s="16">
        <v>345.01519999999999</v>
      </c>
      <c r="F88" s="16">
        <v>329.03480000000002</v>
      </c>
      <c r="G88" s="16">
        <v>330.22230000000002</v>
      </c>
      <c r="H88" s="16">
        <v>356.56180000000001</v>
      </c>
      <c r="I88" s="16">
        <v>376.73790000000002</v>
      </c>
      <c r="J88" s="16">
        <v>528.94780000000003</v>
      </c>
      <c r="K88" s="16">
        <v>522.60239999999999</v>
      </c>
      <c r="L88" s="16">
        <v>645.10310000000004</v>
      </c>
      <c r="M88" s="16">
        <v>443.37020000000001</v>
      </c>
      <c r="N88" s="16">
        <v>339.9812</v>
      </c>
      <c r="O88" s="16">
        <v>347.37419999999997</v>
      </c>
      <c r="P88" s="16">
        <v>373.3544</v>
      </c>
      <c r="Q88" s="16">
        <v>392.65460000000002</v>
      </c>
      <c r="R88" s="16">
        <v>375.62639999999999</v>
      </c>
      <c r="S88" s="16">
        <v>355.92869999999999</v>
      </c>
      <c r="T88" s="16">
        <v>374.2432</v>
      </c>
      <c r="U88" s="16">
        <v>400.3125</v>
      </c>
      <c r="V88" s="16">
        <v>431.19650000000001</v>
      </c>
      <c r="W88" s="16">
        <v>443.82209999999998</v>
      </c>
      <c r="X88" s="16">
        <v>407.02010000000001</v>
      </c>
      <c r="Y88" s="16">
        <v>358.4579</v>
      </c>
      <c r="Z88" s="26" t="s">
        <v>32</v>
      </c>
      <c r="AA88" s="25">
        <f t="shared" si="2"/>
        <v>329.03480000000002</v>
      </c>
      <c r="AB88" s="25">
        <f t="shared" si="3"/>
        <v>400.48943333333301</v>
      </c>
    </row>
    <row r="89" spans="1:28">
      <c r="A89" s="8">
        <v>45379</v>
      </c>
      <c r="B89" s="16">
        <v>356.56830000000002</v>
      </c>
      <c r="C89" s="16">
        <v>362.93119999999999</v>
      </c>
      <c r="D89" s="16">
        <v>342.24610000000001</v>
      </c>
      <c r="E89" s="16">
        <v>322.65640000000002</v>
      </c>
      <c r="F89" s="16">
        <v>312.2747</v>
      </c>
      <c r="G89" s="16">
        <v>316.82130000000001</v>
      </c>
      <c r="H89" s="16">
        <v>353.49130000000002</v>
      </c>
      <c r="I89" s="16">
        <v>374.07830000000001</v>
      </c>
      <c r="J89" s="16">
        <v>400.31950000000001</v>
      </c>
      <c r="K89" s="16">
        <v>395.9162</v>
      </c>
      <c r="L89" s="16">
        <v>386.6438</v>
      </c>
      <c r="M89" s="16">
        <v>390.51170000000002</v>
      </c>
      <c r="N89" s="16">
        <v>369.85109999999997</v>
      </c>
      <c r="O89" s="16">
        <v>375.51260000000002</v>
      </c>
      <c r="P89" s="16">
        <v>393.44220000000001</v>
      </c>
      <c r="Q89" s="16">
        <v>407.80329999999998</v>
      </c>
      <c r="R89" s="16">
        <v>420.9092</v>
      </c>
      <c r="S89" s="16">
        <v>424.91359999999997</v>
      </c>
      <c r="T89" s="16">
        <v>437.94380000000001</v>
      </c>
      <c r="U89" s="16">
        <v>458.33890000000002</v>
      </c>
      <c r="V89" s="16">
        <v>439.02769999999998</v>
      </c>
      <c r="W89" s="16">
        <v>430.08620000000002</v>
      </c>
      <c r="X89" s="16">
        <v>425.03769999999997</v>
      </c>
      <c r="Y89" s="16">
        <v>394.0068</v>
      </c>
      <c r="Z89" s="26" t="s">
        <v>33</v>
      </c>
      <c r="AA89" s="25">
        <f t="shared" si="2"/>
        <v>312.2747</v>
      </c>
      <c r="AB89" s="25">
        <f t="shared" si="3"/>
        <v>387.13882916666699</v>
      </c>
    </row>
    <row r="90" spans="1:28">
      <c r="A90" s="8">
        <v>45380</v>
      </c>
      <c r="B90" s="16">
        <v>365.17020000000002</v>
      </c>
      <c r="C90" s="16">
        <v>370.65969999999999</v>
      </c>
      <c r="D90" s="16">
        <v>351.64819999999997</v>
      </c>
      <c r="E90" s="16">
        <v>337.36849999999998</v>
      </c>
      <c r="F90" s="16">
        <v>308.1866</v>
      </c>
      <c r="G90" s="16">
        <v>310.7355</v>
      </c>
      <c r="H90" s="16">
        <v>352.3682</v>
      </c>
      <c r="I90" s="16">
        <v>363.27019999999999</v>
      </c>
      <c r="J90" s="16">
        <v>398.66500000000002</v>
      </c>
      <c r="K90" s="16">
        <v>416.89440000000002</v>
      </c>
      <c r="L90" s="16">
        <v>393.30630000000002</v>
      </c>
      <c r="M90" s="16">
        <v>378.50020000000001</v>
      </c>
      <c r="N90" s="16">
        <v>336.1361</v>
      </c>
      <c r="O90" s="16">
        <v>344.89319999999998</v>
      </c>
      <c r="P90" s="16">
        <v>358.15690000000001</v>
      </c>
      <c r="Q90" s="16">
        <v>374.91030000000001</v>
      </c>
      <c r="R90" s="16">
        <v>390.36720000000003</v>
      </c>
      <c r="S90" s="16">
        <v>390.42779999999999</v>
      </c>
      <c r="T90" s="16">
        <v>405.87790000000001</v>
      </c>
      <c r="U90" s="16">
        <v>411.65100000000001</v>
      </c>
      <c r="V90" s="16">
        <v>404.6859</v>
      </c>
      <c r="W90" s="16">
        <v>399.40030000000002</v>
      </c>
      <c r="X90" s="16">
        <v>391.38389999999998</v>
      </c>
      <c r="Y90" s="16">
        <v>347.93459999999999</v>
      </c>
      <c r="Z90" s="26" t="s">
        <v>34</v>
      </c>
      <c r="AA90" s="25">
        <f t="shared" si="2"/>
        <v>308.1866</v>
      </c>
      <c r="AB90" s="25">
        <f t="shared" si="3"/>
        <v>370.94158750000003</v>
      </c>
    </row>
    <row r="91" spans="1:28">
      <c r="A91" s="8">
        <v>45381</v>
      </c>
      <c r="B91" s="16">
        <v>375.1798</v>
      </c>
      <c r="C91" s="16">
        <v>388.53210000000001</v>
      </c>
      <c r="D91" s="16">
        <v>358.41500000000002</v>
      </c>
      <c r="E91" s="16">
        <v>336.37079999999997</v>
      </c>
      <c r="F91" s="16">
        <v>321.2398</v>
      </c>
      <c r="G91" s="16">
        <v>318.26929999999999</v>
      </c>
      <c r="H91" s="16">
        <v>337.30360000000002</v>
      </c>
      <c r="I91" s="16">
        <v>354.88580000000002</v>
      </c>
      <c r="J91" s="16">
        <v>398.26620000000003</v>
      </c>
      <c r="K91" s="16">
        <v>432.07279999999997</v>
      </c>
      <c r="L91" s="16">
        <v>419.19119999999998</v>
      </c>
      <c r="M91" s="16">
        <v>403.09320000000002</v>
      </c>
      <c r="N91" s="16">
        <v>341.87920000000003</v>
      </c>
      <c r="O91" s="16">
        <v>365.65530000000001</v>
      </c>
      <c r="P91" s="16">
        <v>401.77069999999998</v>
      </c>
      <c r="Q91" s="16">
        <v>413.9633</v>
      </c>
      <c r="R91" s="16">
        <v>428.20159999999998</v>
      </c>
      <c r="S91" s="16">
        <v>418.7115</v>
      </c>
      <c r="T91" s="16">
        <v>406.40039999999999</v>
      </c>
      <c r="U91" s="16">
        <v>415.0899</v>
      </c>
      <c r="V91" s="16">
        <v>387.51400000000001</v>
      </c>
      <c r="W91" s="16">
        <v>410.60019999999997</v>
      </c>
      <c r="X91" s="16">
        <v>419.45819999999998</v>
      </c>
      <c r="Y91" s="16">
        <v>383.85070000000002</v>
      </c>
      <c r="Z91" s="26" t="s">
        <v>32</v>
      </c>
      <c r="AA91" s="25">
        <f t="shared" si="2"/>
        <v>318.26929999999999</v>
      </c>
      <c r="AB91" s="25">
        <f t="shared" si="3"/>
        <v>384.82977499999998</v>
      </c>
    </row>
    <row r="92" spans="1:28">
      <c r="A92" s="8">
        <v>45382</v>
      </c>
      <c r="B92" s="16">
        <v>352.04410000000001</v>
      </c>
      <c r="C92" s="16">
        <v>351.8023</v>
      </c>
      <c r="D92" s="16">
        <v>335.58390000000003</v>
      </c>
      <c r="E92" s="16">
        <v>322.63290000000001</v>
      </c>
      <c r="F92" s="16">
        <v>274.55680000000001</v>
      </c>
      <c r="G92" s="16">
        <v>263.9289</v>
      </c>
      <c r="H92" s="16">
        <v>303.197</v>
      </c>
      <c r="I92" s="16">
        <v>324.7183</v>
      </c>
      <c r="J92" s="16">
        <v>331.21530000000001</v>
      </c>
      <c r="K92" s="16">
        <v>342.37240000000003</v>
      </c>
      <c r="L92" s="16">
        <v>336.68970000000002</v>
      </c>
      <c r="M92" s="16">
        <v>326.33640000000003</v>
      </c>
      <c r="N92" s="16">
        <v>299.30099999999999</v>
      </c>
      <c r="O92" s="16">
        <v>309.4187</v>
      </c>
      <c r="P92" s="16">
        <v>326.6782</v>
      </c>
      <c r="Q92" s="16">
        <v>340.04899999999998</v>
      </c>
      <c r="R92" s="16">
        <v>355.49759999999998</v>
      </c>
      <c r="S92" s="16">
        <v>375.1182</v>
      </c>
      <c r="T92" s="16">
        <v>382.31279999999998</v>
      </c>
      <c r="U92" s="16">
        <v>381.89490000000001</v>
      </c>
      <c r="V92" s="16">
        <v>379.68029999999999</v>
      </c>
      <c r="W92" s="16">
        <v>383.87950000000001</v>
      </c>
      <c r="X92" s="16">
        <v>361.55810000000002</v>
      </c>
      <c r="Y92" s="16">
        <v>333.851</v>
      </c>
      <c r="Z92" s="26" t="s">
        <v>32</v>
      </c>
      <c r="AA92" s="25">
        <f t="shared" si="2"/>
        <v>263.9289</v>
      </c>
      <c r="AB92" s="25">
        <f t="shared" si="3"/>
        <v>337.26322083333298</v>
      </c>
    </row>
    <row r="93" spans="1:28">
      <c r="A93" s="8">
        <v>45383</v>
      </c>
      <c r="B93" s="28">
        <v>348.99</v>
      </c>
      <c r="C93" s="28">
        <v>363.81</v>
      </c>
      <c r="D93" s="28">
        <v>345.51</v>
      </c>
      <c r="E93" s="28">
        <v>335.32</v>
      </c>
      <c r="F93" s="28">
        <v>328.98</v>
      </c>
      <c r="G93" s="28">
        <v>328.57</v>
      </c>
      <c r="H93" s="28">
        <v>344.61</v>
      </c>
      <c r="I93" s="28">
        <v>348.45</v>
      </c>
      <c r="J93" s="28">
        <v>384.16</v>
      </c>
      <c r="K93" s="28">
        <v>372.32</v>
      </c>
      <c r="L93" s="28">
        <v>360.23</v>
      </c>
      <c r="M93" s="28">
        <v>356.19</v>
      </c>
      <c r="N93" s="28">
        <v>301.67</v>
      </c>
      <c r="O93" s="28">
        <v>305.97000000000003</v>
      </c>
      <c r="P93" s="28">
        <v>324.45999999999998</v>
      </c>
      <c r="Q93" s="28">
        <v>336.97</v>
      </c>
      <c r="R93" s="28">
        <v>352.77</v>
      </c>
      <c r="S93" s="28">
        <v>353.32</v>
      </c>
      <c r="T93" s="28">
        <v>361.93</v>
      </c>
      <c r="U93" s="28">
        <v>365.88</v>
      </c>
      <c r="V93" s="28">
        <v>357.66</v>
      </c>
      <c r="W93" s="28">
        <v>365.98</v>
      </c>
      <c r="X93" s="28">
        <v>353.38</v>
      </c>
      <c r="Y93" s="28">
        <v>330.46</v>
      </c>
      <c r="Z93" s="26" t="s">
        <v>32</v>
      </c>
      <c r="AA93" s="25">
        <f t="shared" si="2"/>
        <v>301.67</v>
      </c>
      <c r="AB93" s="25">
        <f t="shared" si="3"/>
        <v>346.98291666666699</v>
      </c>
    </row>
    <row r="94" spans="1:28">
      <c r="A94" s="8">
        <v>45384</v>
      </c>
      <c r="B94" s="16">
        <v>375.75170000000003</v>
      </c>
      <c r="C94" s="16">
        <v>389.37430000000001</v>
      </c>
      <c r="D94" s="16">
        <v>362.66230000000002</v>
      </c>
      <c r="E94" s="16">
        <v>344.82429999999999</v>
      </c>
      <c r="F94" s="16">
        <v>332.34789999999998</v>
      </c>
      <c r="G94" s="16">
        <v>329.98480000000001</v>
      </c>
      <c r="H94" s="16">
        <v>345.05239999999998</v>
      </c>
      <c r="I94" s="16">
        <v>347.83699999999999</v>
      </c>
      <c r="J94" s="16">
        <v>365.98169999999999</v>
      </c>
      <c r="K94" s="16">
        <v>402.6103</v>
      </c>
      <c r="L94" s="16">
        <v>426.91879999999998</v>
      </c>
      <c r="M94" s="16">
        <v>421.79739999999998</v>
      </c>
      <c r="N94" s="16">
        <v>357.14139999999998</v>
      </c>
      <c r="O94" s="16">
        <v>368.31290000000001</v>
      </c>
      <c r="P94" s="16">
        <v>416.13170000000002</v>
      </c>
      <c r="Q94" s="16">
        <v>439.3</v>
      </c>
      <c r="R94" s="16">
        <v>448.59910000000002</v>
      </c>
      <c r="S94" s="16">
        <v>403.37959999999998</v>
      </c>
      <c r="T94" s="16">
        <v>377.56490000000002</v>
      </c>
      <c r="U94" s="16">
        <v>390.79250000000002</v>
      </c>
      <c r="V94" s="16">
        <v>381.072</v>
      </c>
      <c r="W94" s="16">
        <v>391.17489999999998</v>
      </c>
      <c r="X94" s="16">
        <v>396.17250000000001</v>
      </c>
      <c r="Y94" s="16">
        <v>359.52850000000001</v>
      </c>
      <c r="Z94" s="26" t="s">
        <v>32</v>
      </c>
      <c r="AA94" s="25">
        <f t="shared" si="2"/>
        <v>329.98480000000001</v>
      </c>
      <c r="AB94" s="25">
        <f t="shared" si="3"/>
        <v>382.2630375</v>
      </c>
    </row>
    <row r="95" spans="1:28">
      <c r="A95" s="8">
        <v>45385</v>
      </c>
      <c r="B95" s="16">
        <v>366.09140000000002</v>
      </c>
      <c r="C95" s="16">
        <v>368.29379999999998</v>
      </c>
      <c r="D95" s="16">
        <v>354.80549999999999</v>
      </c>
      <c r="E95" s="16">
        <v>340.23360000000002</v>
      </c>
      <c r="F95" s="16">
        <v>330.54939999999999</v>
      </c>
      <c r="G95" s="16">
        <v>330.47359999999998</v>
      </c>
      <c r="H95" s="16">
        <v>349.79899999999998</v>
      </c>
      <c r="I95" s="16">
        <v>346.98129999999998</v>
      </c>
      <c r="J95" s="16">
        <v>373.41699999999997</v>
      </c>
      <c r="K95" s="16">
        <v>396.33010000000002</v>
      </c>
      <c r="L95" s="16">
        <v>480.85730000000001</v>
      </c>
      <c r="M95" s="16">
        <v>655.74969999999996</v>
      </c>
      <c r="N95" s="16">
        <v>370.60759999999999</v>
      </c>
      <c r="O95" s="16">
        <v>422.42059999999998</v>
      </c>
      <c r="P95" s="16">
        <v>475.0598</v>
      </c>
      <c r="Q95" s="16">
        <v>484.11610000000002</v>
      </c>
      <c r="R95" s="16">
        <v>428.66750000000002</v>
      </c>
      <c r="S95" s="16">
        <v>397.33670000000001</v>
      </c>
      <c r="T95" s="16">
        <v>372.40210000000002</v>
      </c>
      <c r="U95" s="16">
        <v>374.91919999999999</v>
      </c>
      <c r="V95" s="16">
        <v>376.06909999999999</v>
      </c>
      <c r="W95" s="16">
        <v>384.74090000000001</v>
      </c>
      <c r="X95" s="16">
        <v>380.06209999999999</v>
      </c>
      <c r="Y95" s="16">
        <v>353.6404</v>
      </c>
      <c r="Z95" s="24" t="s">
        <v>31</v>
      </c>
      <c r="AA95" s="25">
        <f t="shared" si="2"/>
        <v>330.47359999999998</v>
      </c>
      <c r="AB95" s="25">
        <f t="shared" si="3"/>
        <v>396.40099166666698</v>
      </c>
    </row>
    <row r="96" spans="1:28">
      <c r="A96" s="8">
        <v>45386</v>
      </c>
      <c r="B96" s="16">
        <v>381.28120000000001</v>
      </c>
      <c r="C96" s="16">
        <v>379.78539999999998</v>
      </c>
      <c r="D96" s="16">
        <v>354.62560000000002</v>
      </c>
      <c r="E96" s="16">
        <v>345.79849999999999</v>
      </c>
      <c r="F96" s="16">
        <v>337.97669999999999</v>
      </c>
      <c r="G96" s="16">
        <v>332.0564</v>
      </c>
      <c r="H96" s="16">
        <v>347.12189999999998</v>
      </c>
      <c r="I96" s="16">
        <v>362.70269999999999</v>
      </c>
      <c r="J96" s="16">
        <v>345.31560000000002</v>
      </c>
      <c r="K96" s="16">
        <v>338.65219999999999</v>
      </c>
      <c r="L96" s="16">
        <v>323.79360000000003</v>
      </c>
      <c r="M96" s="16">
        <v>327.74149999999997</v>
      </c>
      <c r="N96" s="16">
        <v>320.43119999999999</v>
      </c>
      <c r="O96" s="16">
        <v>292.6746</v>
      </c>
      <c r="P96" s="16">
        <v>295.47579999999999</v>
      </c>
      <c r="Q96" s="16">
        <v>310.49110000000002</v>
      </c>
      <c r="R96" s="16">
        <v>320.5181</v>
      </c>
      <c r="S96" s="16">
        <v>341.86649999999997</v>
      </c>
      <c r="T96" s="16">
        <v>344.6893</v>
      </c>
      <c r="U96" s="16">
        <v>352.95760000000001</v>
      </c>
      <c r="V96" s="16">
        <v>358.91910000000001</v>
      </c>
      <c r="W96" s="16">
        <v>359.70800000000003</v>
      </c>
      <c r="X96" s="16">
        <v>345.5</v>
      </c>
      <c r="Y96" s="16">
        <v>333.19499999999999</v>
      </c>
      <c r="Z96" s="27" t="s">
        <v>35</v>
      </c>
      <c r="AA96" s="25">
        <f t="shared" si="2"/>
        <v>292.6746</v>
      </c>
      <c r="AB96" s="25">
        <f t="shared" si="3"/>
        <v>339.7199</v>
      </c>
    </row>
    <row r="97" spans="1:28">
      <c r="A97" s="8">
        <v>45387</v>
      </c>
      <c r="B97" s="16">
        <v>370</v>
      </c>
      <c r="C97" s="16">
        <v>360.25</v>
      </c>
      <c r="D97" s="16">
        <v>350.66820000000001</v>
      </c>
      <c r="E97" s="16">
        <v>321.27550000000002</v>
      </c>
      <c r="F97" s="16">
        <v>295.91989999999998</v>
      </c>
      <c r="G97" s="16">
        <v>297.74380000000002</v>
      </c>
      <c r="H97" s="16">
        <v>312.8879</v>
      </c>
      <c r="I97" s="16">
        <v>341.47370000000001</v>
      </c>
      <c r="J97" s="16">
        <v>374.00760000000002</v>
      </c>
      <c r="K97" s="16">
        <v>384.89609999999999</v>
      </c>
      <c r="L97" s="16">
        <v>419.00369999999998</v>
      </c>
      <c r="M97" s="16">
        <v>425.45749999999998</v>
      </c>
      <c r="N97" s="16">
        <v>359.13170000000002</v>
      </c>
      <c r="O97" s="16">
        <v>364.72269999999997</v>
      </c>
      <c r="P97" s="16">
        <v>393.46109999999999</v>
      </c>
      <c r="Q97" s="16">
        <v>397.04689999999999</v>
      </c>
      <c r="R97" s="16">
        <v>378.6207</v>
      </c>
      <c r="S97" s="16">
        <v>373.51260000000002</v>
      </c>
      <c r="T97" s="16">
        <v>364.63740000000001</v>
      </c>
      <c r="U97" s="16">
        <v>362.90260000000001</v>
      </c>
      <c r="V97" s="16">
        <v>363.39229999999998</v>
      </c>
      <c r="W97" s="16">
        <v>362.37880000000001</v>
      </c>
      <c r="X97" s="16">
        <v>360.14749999999998</v>
      </c>
      <c r="Y97" s="16">
        <v>329.66469999999998</v>
      </c>
      <c r="Z97" s="27" t="s">
        <v>35</v>
      </c>
      <c r="AA97" s="25">
        <f t="shared" si="2"/>
        <v>295.91989999999998</v>
      </c>
      <c r="AB97" s="25">
        <f t="shared" si="3"/>
        <v>360.96678750000001</v>
      </c>
    </row>
    <row r="98" spans="1:28">
      <c r="A98" s="8">
        <v>45388</v>
      </c>
      <c r="B98" s="16">
        <v>393.2679</v>
      </c>
      <c r="C98" s="16">
        <v>361.50799999999998</v>
      </c>
      <c r="D98" s="16">
        <v>354.23880000000003</v>
      </c>
      <c r="E98" s="16">
        <v>352.37540000000001</v>
      </c>
      <c r="F98" s="16">
        <v>342.10160000000002</v>
      </c>
      <c r="G98" s="16">
        <v>336.53039999999999</v>
      </c>
      <c r="H98" s="16">
        <v>347.96679999999998</v>
      </c>
      <c r="I98" s="16">
        <v>382.28910000000002</v>
      </c>
      <c r="J98" s="16">
        <v>400.61329999999998</v>
      </c>
      <c r="K98" s="16">
        <v>429.51170000000002</v>
      </c>
      <c r="L98" s="16">
        <v>546.06110000000001</v>
      </c>
      <c r="M98" s="16">
        <v>591.54600000000005</v>
      </c>
      <c r="N98" s="16">
        <v>379.25630000000001</v>
      </c>
      <c r="O98" s="16">
        <v>404.6893</v>
      </c>
      <c r="P98" s="16">
        <v>454.03440000000001</v>
      </c>
      <c r="Q98" s="16">
        <v>459.40559999999999</v>
      </c>
      <c r="R98" s="16">
        <v>422.87970000000001</v>
      </c>
      <c r="S98" s="16">
        <v>404.42180000000002</v>
      </c>
      <c r="T98" s="16">
        <v>395.26859999999999</v>
      </c>
      <c r="U98" s="16">
        <v>404.58210000000003</v>
      </c>
      <c r="V98" s="16">
        <v>398.02429999999998</v>
      </c>
      <c r="W98" s="16">
        <v>395.47910000000002</v>
      </c>
      <c r="X98" s="16">
        <v>375.8005</v>
      </c>
      <c r="Y98" s="16">
        <v>357.29079999999999</v>
      </c>
      <c r="Z98" s="26" t="s">
        <v>32</v>
      </c>
      <c r="AA98" s="25">
        <f t="shared" si="2"/>
        <v>336.53039999999999</v>
      </c>
      <c r="AB98" s="25">
        <f t="shared" si="3"/>
        <v>403.71427499999999</v>
      </c>
    </row>
    <row r="99" spans="1:28">
      <c r="A99" s="8">
        <v>45389</v>
      </c>
      <c r="B99" s="16">
        <v>333.04180000000002</v>
      </c>
      <c r="C99" s="16">
        <v>334.6096</v>
      </c>
      <c r="D99" s="16">
        <v>325.90620000000001</v>
      </c>
      <c r="E99" s="16">
        <v>309.80529999999999</v>
      </c>
      <c r="F99" s="16">
        <v>301.4846</v>
      </c>
      <c r="G99" s="16">
        <v>305.38400000000001</v>
      </c>
      <c r="H99" s="16">
        <v>322.33420000000001</v>
      </c>
      <c r="I99" s="16">
        <v>341.9008</v>
      </c>
      <c r="J99" s="16">
        <v>360.03829999999999</v>
      </c>
      <c r="K99" s="16">
        <v>379.14370000000002</v>
      </c>
      <c r="L99" s="16">
        <v>420.87759999999997</v>
      </c>
      <c r="M99" s="16">
        <v>421.87950000000001</v>
      </c>
      <c r="N99" s="16">
        <v>345.59059999999999</v>
      </c>
      <c r="O99" s="16">
        <v>351.26900000000001</v>
      </c>
      <c r="P99" s="16">
        <v>367.60570000000001</v>
      </c>
      <c r="Q99" s="16">
        <v>366.07299999999998</v>
      </c>
      <c r="R99" s="16">
        <v>367.39049999999997</v>
      </c>
      <c r="S99" s="16">
        <v>364.20850000000002</v>
      </c>
      <c r="T99" s="16">
        <v>363.62130000000002</v>
      </c>
      <c r="U99" s="16">
        <v>376.4418</v>
      </c>
      <c r="V99" s="16">
        <v>373.17290000000003</v>
      </c>
      <c r="W99" s="16">
        <v>375.74160000000001</v>
      </c>
      <c r="X99" s="16">
        <v>355.98399999999998</v>
      </c>
      <c r="Y99" s="16">
        <v>329.38229999999999</v>
      </c>
      <c r="Z99" s="26" t="s">
        <v>32</v>
      </c>
      <c r="AA99" s="25">
        <f t="shared" si="2"/>
        <v>301.4846</v>
      </c>
      <c r="AB99" s="25">
        <f t="shared" si="3"/>
        <v>353.87028333333302</v>
      </c>
    </row>
    <row r="100" spans="1:28">
      <c r="A100" s="8">
        <v>45390</v>
      </c>
      <c r="B100" s="16">
        <v>375.3673</v>
      </c>
      <c r="C100" s="16">
        <v>368.71960000000001</v>
      </c>
      <c r="D100" s="16">
        <v>346.93009999999998</v>
      </c>
      <c r="E100" s="16">
        <v>337.14929999999998</v>
      </c>
      <c r="F100" s="16">
        <v>322.81229999999999</v>
      </c>
      <c r="G100" s="16">
        <v>321.64909999999998</v>
      </c>
      <c r="H100" s="16">
        <v>339.30529999999999</v>
      </c>
      <c r="I100" s="16">
        <v>362.3417</v>
      </c>
      <c r="J100" s="16">
        <v>383.71190000000001</v>
      </c>
      <c r="K100" s="16">
        <v>400.38799999999998</v>
      </c>
      <c r="L100" s="16">
        <v>410.24740000000003</v>
      </c>
      <c r="M100" s="16">
        <v>398.74029999999999</v>
      </c>
      <c r="N100" s="16">
        <v>384.38310000000001</v>
      </c>
      <c r="O100" s="16">
        <v>399.97160000000002</v>
      </c>
      <c r="P100" s="16">
        <v>418.3974</v>
      </c>
      <c r="Q100" s="16">
        <v>407.13650000000001</v>
      </c>
      <c r="R100" s="16">
        <v>397.69990000000001</v>
      </c>
      <c r="S100" s="16">
        <v>386.88529999999997</v>
      </c>
      <c r="T100" s="16">
        <v>368.88069999999999</v>
      </c>
      <c r="U100" s="16">
        <v>382.91590000000002</v>
      </c>
      <c r="V100" s="16">
        <v>388.75790000000001</v>
      </c>
      <c r="W100" s="16">
        <v>388.46809999999999</v>
      </c>
      <c r="X100" s="16">
        <v>375.11680000000001</v>
      </c>
      <c r="Y100" s="16">
        <v>353.77859999999998</v>
      </c>
      <c r="Z100" s="26" t="s">
        <v>32</v>
      </c>
      <c r="AA100" s="25">
        <f t="shared" si="2"/>
        <v>321.64909999999998</v>
      </c>
      <c r="AB100" s="25">
        <f t="shared" si="3"/>
        <v>375.82308749999999</v>
      </c>
    </row>
    <row r="101" spans="1:28">
      <c r="A101" s="8">
        <v>45391</v>
      </c>
      <c r="B101" s="16">
        <v>342.2355</v>
      </c>
      <c r="C101" s="16">
        <v>342.37950000000001</v>
      </c>
      <c r="D101" s="16">
        <v>331.06180000000001</v>
      </c>
      <c r="E101" s="16">
        <v>312.0926</v>
      </c>
      <c r="F101" s="16">
        <v>292.40210000000002</v>
      </c>
      <c r="G101" s="16">
        <v>285.3057</v>
      </c>
      <c r="H101" s="16">
        <v>313.54379999999998</v>
      </c>
      <c r="I101" s="16">
        <v>328.77359999999999</v>
      </c>
      <c r="J101" s="16">
        <v>357.48590000000002</v>
      </c>
      <c r="K101" s="16">
        <v>372.46559999999999</v>
      </c>
      <c r="L101" s="16">
        <v>377.08640000000003</v>
      </c>
      <c r="M101" s="16">
        <v>382.18450000000001</v>
      </c>
      <c r="N101" s="16">
        <v>327.95409999999998</v>
      </c>
      <c r="O101" s="16">
        <v>338.79750000000001</v>
      </c>
      <c r="P101" s="16">
        <v>356.10469999999998</v>
      </c>
      <c r="Q101" s="16">
        <v>366.89600000000002</v>
      </c>
      <c r="R101" s="16">
        <v>367.64859999999999</v>
      </c>
      <c r="S101" s="16">
        <v>366.23469999999998</v>
      </c>
      <c r="T101" s="16">
        <v>359.66109999999998</v>
      </c>
      <c r="U101" s="16">
        <v>358.83429999999998</v>
      </c>
      <c r="V101" s="16">
        <v>360.59379999999999</v>
      </c>
      <c r="W101" s="16">
        <v>355.14269999999999</v>
      </c>
      <c r="X101" s="16">
        <v>340.60109999999997</v>
      </c>
      <c r="Y101" s="16">
        <v>306.57330000000002</v>
      </c>
      <c r="Z101" s="26" t="s">
        <v>32</v>
      </c>
      <c r="AA101" s="25">
        <f t="shared" si="2"/>
        <v>285.3057</v>
      </c>
      <c r="AB101" s="25">
        <f t="shared" si="3"/>
        <v>343.41912083333301</v>
      </c>
    </row>
    <row r="102" spans="1:28">
      <c r="A102" s="8">
        <v>45392</v>
      </c>
      <c r="B102" s="16">
        <v>217.62379999999999</v>
      </c>
      <c r="C102" s="16">
        <v>282.04410000000001</v>
      </c>
      <c r="D102" s="16">
        <v>270.52199999999999</v>
      </c>
      <c r="E102" s="16">
        <v>2.34</v>
      </c>
      <c r="F102" s="16">
        <v>0</v>
      </c>
      <c r="G102" s="16">
        <v>0</v>
      </c>
      <c r="H102" s="16">
        <v>271.96789999999999</v>
      </c>
      <c r="I102" s="16">
        <v>292.392</v>
      </c>
      <c r="J102" s="16">
        <v>329.55309999999997</v>
      </c>
      <c r="K102" s="16">
        <v>331.89870000000002</v>
      </c>
      <c r="L102" s="16">
        <v>332.3947</v>
      </c>
      <c r="M102" s="16">
        <v>328.9</v>
      </c>
      <c r="N102" s="16">
        <v>301.14909999999998</v>
      </c>
      <c r="O102" s="16">
        <v>307.79289999999997</v>
      </c>
      <c r="P102" s="16">
        <v>325.55020000000002</v>
      </c>
      <c r="Q102" s="16">
        <v>335.30220000000003</v>
      </c>
      <c r="R102" s="16">
        <v>339.00409999999999</v>
      </c>
      <c r="S102" s="16">
        <v>349.00990000000002</v>
      </c>
      <c r="T102" s="16">
        <v>341.79939999999999</v>
      </c>
      <c r="U102" s="16">
        <v>348.55250000000001</v>
      </c>
      <c r="V102" s="16">
        <v>351.52769999999998</v>
      </c>
      <c r="W102" s="16">
        <v>359.66860000000003</v>
      </c>
      <c r="X102" s="16">
        <v>338.38900000000001</v>
      </c>
      <c r="Y102" s="16">
        <v>280.61610000000002</v>
      </c>
      <c r="Z102" s="26" t="s">
        <v>32</v>
      </c>
      <c r="AA102" s="25">
        <f t="shared" si="2"/>
        <v>0</v>
      </c>
      <c r="AB102" s="25">
        <f t="shared" si="3"/>
        <v>276.58325000000002</v>
      </c>
    </row>
    <row r="103" spans="1:28">
      <c r="A103" s="8">
        <v>45393</v>
      </c>
      <c r="B103" s="16">
        <v>302.34620000000001</v>
      </c>
      <c r="C103" s="16">
        <v>303.00110000000001</v>
      </c>
      <c r="D103" s="16">
        <v>299.84039999999999</v>
      </c>
      <c r="E103" s="16">
        <v>283.35239999999999</v>
      </c>
      <c r="F103" s="16">
        <v>245.5822</v>
      </c>
      <c r="G103" s="16">
        <v>228.23179999999999</v>
      </c>
      <c r="H103" s="16">
        <v>299.09809999999999</v>
      </c>
      <c r="I103" s="16">
        <v>306.99790000000002</v>
      </c>
      <c r="J103" s="16">
        <v>337.33819999999997</v>
      </c>
      <c r="K103" s="16">
        <v>340.34010000000001</v>
      </c>
      <c r="L103" s="16">
        <v>332.49329999999998</v>
      </c>
      <c r="M103" s="16">
        <v>327.28809999999999</v>
      </c>
      <c r="N103" s="16">
        <v>266.56009999999998</v>
      </c>
      <c r="O103" s="16">
        <v>265.32929999999999</v>
      </c>
      <c r="P103" s="16">
        <v>321.7878</v>
      </c>
      <c r="Q103" s="16">
        <v>337.61520000000002</v>
      </c>
      <c r="R103" s="16">
        <v>340.13670000000002</v>
      </c>
      <c r="S103" s="16">
        <v>351.18759999999997</v>
      </c>
      <c r="T103" s="16">
        <v>351.31509999999997</v>
      </c>
      <c r="U103" s="16">
        <v>355.10210000000001</v>
      </c>
      <c r="V103" s="16">
        <v>358.52140000000003</v>
      </c>
      <c r="W103" s="16">
        <v>352.06720000000001</v>
      </c>
      <c r="X103" s="16">
        <v>326.06970000000001</v>
      </c>
      <c r="Y103" s="16">
        <v>284.96260000000001</v>
      </c>
      <c r="Z103" s="26" t="s">
        <v>33</v>
      </c>
      <c r="AA103" s="25">
        <f t="shared" si="2"/>
        <v>228.23179999999999</v>
      </c>
      <c r="AB103" s="25">
        <f t="shared" si="3"/>
        <v>313.19019166666698</v>
      </c>
    </row>
    <row r="104" spans="1:28">
      <c r="A104" s="8">
        <v>45394</v>
      </c>
      <c r="B104" s="16">
        <v>326.29410000000001</v>
      </c>
      <c r="C104" s="16">
        <v>340.39929999999998</v>
      </c>
      <c r="D104" s="16">
        <v>333.08080000000001</v>
      </c>
      <c r="E104" s="16">
        <v>311.80799999999999</v>
      </c>
      <c r="F104" s="16">
        <v>303.69619999999998</v>
      </c>
      <c r="G104" s="16">
        <v>305.12700000000001</v>
      </c>
      <c r="H104" s="16">
        <v>330.55549999999999</v>
      </c>
      <c r="I104" s="16">
        <v>348.32459999999998</v>
      </c>
      <c r="J104" s="16">
        <v>372.95299999999997</v>
      </c>
      <c r="K104" s="16">
        <v>364.2688</v>
      </c>
      <c r="L104" s="16">
        <v>351.45429999999999</v>
      </c>
      <c r="M104" s="16">
        <v>346.33870000000002</v>
      </c>
      <c r="N104" s="16">
        <v>307.75119999999998</v>
      </c>
      <c r="O104" s="16">
        <v>323.51089999999999</v>
      </c>
      <c r="P104" s="16">
        <v>346.44029999999998</v>
      </c>
      <c r="Q104" s="16">
        <v>345.74110000000002</v>
      </c>
      <c r="R104" s="16">
        <v>344.5498</v>
      </c>
      <c r="S104" s="16">
        <v>343.1311</v>
      </c>
      <c r="T104" s="16">
        <v>341.30599999999998</v>
      </c>
      <c r="U104" s="16">
        <v>350.81200000000001</v>
      </c>
      <c r="V104" s="16">
        <v>353.87909999999999</v>
      </c>
      <c r="W104" s="16">
        <v>352.49099999999999</v>
      </c>
      <c r="X104" s="16">
        <v>344.69810000000001</v>
      </c>
      <c r="Y104" s="16">
        <v>308.84050000000002</v>
      </c>
      <c r="Z104" s="26" t="s">
        <v>34</v>
      </c>
      <c r="AA104" s="25">
        <f t="shared" si="2"/>
        <v>303.69619999999998</v>
      </c>
      <c r="AB104" s="25">
        <f t="shared" si="3"/>
        <v>337.39380833333303</v>
      </c>
    </row>
    <row r="105" spans="1:28">
      <c r="A105" s="8">
        <v>45395</v>
      </c>
      <c r="B105" s="16">
        <v>334.09410000000003</v>
      </c>
      <c r="C105" s="16">
        <v>337.44450000000001</v>
      </c>
      <c r="D105" s="16">
        <v>324.48009999999999</v>
      </c>
      <c r="E105" s="16">
        <v>306.5059</v>
      </c>
      <c r="F105" s="16">
        <v>290.95749999999998</v>
      </c>
      <c r="G105" s="16">
        <v>289.85250000000002</v>
      </c>
      <c r="H105" s="16">
        <v>308.0951</v>
      </c>
      <c r="I105" s="16">
        <v>309.39609999999999</v>
      </c>
      <c r="J105" s="16">
        <v>330.72379999999998</v>
      </c>
      <c r="K105" s="16">
        <v>338.50049999999999</v>
      </c>
      <c r="L105" s="16">
        <v>325.94979999999998</v>
      </c>
      <c r="M105" s="16">
        <v>324.8938</v>
      </c>
      <c r="N105" s="16">
        <v>231.94049999999999</v>
      </c>
      <c r="O105" s="16">
        <v>295.70929999999998</v>
      </c>
      <c r="P105" s="16">
        <v>335.39510000000001</v>
      </c>
      <c r="Q105" s="16">
        <v>332.43680000000001</v>
      </c>
      <c r="R105" s="16">
        <v>366.5521</v>
      </c>
      <c r="S105" s="16">
        <v>362.8449</v>
      </c>
      <c r="T105" s="16">
        <v>328.99740000000003</v>
      </c>
      <c r="U105" s="16">
        <v>336.86590000000001</v>
      </c>
      <c r="V105" s="16">
        <v>342.33539999999999</v>
      </c>
      <c r="W105" s="16">
        <v>335.95429999999999</v>
      </c>
      <c r="X105" s="16">
        <v>332.15199999999999</v>
      </c>
      <c r="Y105" s="16">
        <v>303.8501</v>
      </c>
      <c r="Z105" s="26" t="s">
        <v>32</v>
      </c>
      <c r="AA105" s="25">
        <f t="shared" si="2"/>
        <v>231.94049999999999</v>
      </c>
      <c r="AB105" s="25">
        <f t="shared" si="3"/>
        <v>321.91364583333302</v>
      </c>
    </row>
    <row r="106" spans="1:28">
      <c r="A106" s="8">
        <v>45396</v>
      </c>
      <c r="B106" s="16">
        <v>396.97210000000001</v>
      </c>
      <c r="C106" s="16">
        <v>388.48059999999998</v>
      </c>
      <c r="D106" s="16">
        <v>362.5093</v>
      </c>
      <c r="E106" s="16">
        <v>344.19650000000001</v>
      </c>
      <c r="F106" s="16">
        <v>331.67329999999998</v>
      </c>
      <c r="G106" s="16">
        <v>327.83229999999998</v>
      </c>
      <c r="H106" s="16">
        <v>335.39589999999998</v>
      </c>
      <c r="I106" s="16">
        <v>336.60270000000003</v>
      </c>
      <c r="J106" s="16">
        <v>329.90210000000002</v>
      </c>
      <c r="K106" s="16">
        <v>331.4144</v>
      </c>
      <c r="L106" s="16">
        <v>328.79840000000002</v>
      </c>
      <c r="M106" s="16">
        <v>334.4905</v>
      </c>
      <c r="N106" s="16">
        <v>314.17720000000003</v>
      </c>
      <c r="O106" s="16">
        <v>330.75069999999999</v>
      </c>
      <c r="P106" s="16">
        <v>345.93650000000002</v>
      </c>
      <c r="Q106" s="16">
        <v>339.45060000000001</v>
      </c>
      <c r="R106" s="16">
        <v>335.90679999999998</v>
      </c>
      <c r="S106" s="16">
        <v>347.6705</v>
      </c>
      <c r="T106" s="16">
        <v>340.71370000000002</v>
      </c>
      <c r="U106" s="16">
        <v>349.65140000000002</v>
      </c>
      <c r="V106" s="16">
        <v>352.19709999999998</v>
      </c>
      <c r="W106" s="16">
        <v>356.25240000000002</v>
      </c>
      <c r="X106" s="16">
        <v>350.82760000000002</v>
      </c>
      <c r="Y106" s="16">
        <v>331.39460000000003</v>
      </c>
      <c r="Z106" s="26" t="s">
        <v>32</v>
      </c>
      <c r="AA106" s="25">
        <f t="shared" si="2"/>
        <v>314.17720000000003</v>
      </c>
      <c r="AB106" s="25">
        <f t="shared" si="3"/>
        <v>343.46654999999998</v>
      </c>
    </row>
    <row r="107" spans="1:28">
      <c r="A107" s="8">
        <v>45397</v>
      </c>
      <c r="B107" s="16">
        <v>488.8766</v>
      </c>
      <c r="C107" s="16">
        <v>405.45409999999998</v>
      </c>
      <c r="D107" s="16">
        <v>355.93950000000001</v>
      </c>
      <c r="E107" s="16">
        <v>336.54829999999998</v>
      </c>
      <c r="F107" s="16">
        <v>322.50259999999997</v>
      </c>
      <c r="G107" s="16">
        <v>320.30630000000002</v>
      </c>
      <c r="H107" s="16">
        <v>337.58420000000001</v>
      </c>
      <c r="I107" s="16">
        <v>347.2054</v>
      </c>
      <c r="J107" s="16">
        <v>379.01310000000001</v>
      </c>
      <c r="K107" s="16">
        <v>429.8442</v>
      </c>
      <c r="L107" s="16">
        <v>458.90050000000002</v>
      </c>
      <c r="M107" s="16">
        <v>443.85359999999997</v>
      </c>
      <c r="N107" s="16">
        <v>337.0883</v>
      </c>
      <c r="O107" s="16">
        <v>397.40550000000002</v>
      </c>
      <c r="P107" s="16">
        <v>558.53989999999999</v>
      </c>
      <c r="Q107" s="16">
        <v>404.70870000000002</v>
      </c>
      <c r="R107" s="16">
        <v>366.0702</v>
      </c>
      <c r="S107" s="16">
        <v>359.59030000000001</v>
      </c>
      <c r="T107" s="16">
        <v>356.07670000000002</v>
      </c>
      <c r="U107" s="16">
        <v>367.34559999999999</v>
      </c>
      <c r="V107" s="16">
        <v>376.84539999999998</v>
      </c>
      <c r="W107" s="16">
        <v>391.483</v>
      </c>
      <c r="X107" s="16">
        <v>364.49779999999998</v>
      </c>
      <c r="Y107" s="16">
        <v>336.76080000000002</v>
      </c>
      <c r="Z107" s="26" t="s">
        <v>32</v>
      </c>
      <c r="AA107" s="25">
        <f t="shared" si="2"/>
        <v>320.30630000000002</v>
      </c>
      <c r="AB107" s="25">
        <f t="shared" si="3"/>
        <v>385.10169166666702</v>
      </c>
    </row>
    <row r="108" spans="1:28">
      <c r="A108" s="8">
        <v>45398</v>
      </c>
      <c r="B108" s="16">
        <v>366.64409999999998</v>
      </c>
      <c r="C108" s="16">
        <v>367.77510000000001</v>
      </c>
      <c r="D108" s="16">
        <v>351.61189999999999</v>
      </c>
      <c r="E108" s="16">
        <v>336.39909999999998</v>
      </c>
      <c r="F108" s="16">
        <v>324.52890000000002</v>
      </c>
      <c r="G108" s="16">
        <v>320.86739999999998</v>
      </c>
      <c r="H108" s="16">
        <v>339.27519999999998</v>
      </c>
      <c r="I108" s="16">
        <v>341.89010000000002</v>
      </c>
      <c r="J108" s="16">
        <v>376.12599999999998</v>
      </c>
      <c r="K108" s="16">
        <v>480.83370000000002</v>
      </c>
      <c r="L108" s="16">
        <v>556.20889999999997</v>
      </c>
      <c r="M108" s="16">
        <v>425.0478</v>
      </c>
      <c r="N108" s="16">
        <v>337.85449999999997</v>
      </c>
      <c r="O108" s="16">
        <v>393.15750000000003</v>
      </c>
      <c r="P108" s="16">
        <v>456.8854</v>
      </c>
      <c r="Q108" s="16">
        <v>374.58350000000002</v>
      </c>
      <c r="R108" s="16">
        <v>361.73989999999998</v>
      </c>
      <c r="S108" s="16">
        <v>353.21199999999999</v>
      </c>
      <c r="T108" s="16">
        <v>347.58010000000002</v>
      </c>
      <c r="U108" s="16">
        <v>361.7724</v>
      </c>
      <c r="V108" s="16">
        <v>366.73899999999998</v>
      </c>
      <c r="W108" s="16">
        <v>378.93090000000001</v>
      </c>
      <c r="X108" s="16">
        <v>363.35590000000002</v>
      </c>
      <c r="Y108" s="16">
        <v>335.00540000000001</v>
      </c>
      <c r="Z108" s="26" t="s">
        <v>32</v>
      </c>
      <c r="AA108" s="25">
        <f t="shared" si="2"/>
        <v>320.86739999999998</v>
      </c>
      <c r="AB108" s="25">
        <f t="shared" si="3"/>
        <v>375.75102916666702</v>
      </c>
    </row>
    <row r="109" spans="1:28">
      <c r="A109" s="8">
        <v>45399</v>
      </c>
      <c r="B109" s="16">
        <v>369.85140000000001</v>
      </c>
      <c r="C109" s="16">
        <v>370.57560000000001</v>
      </c>
      <c r="D109" s="16">
        <v>353.13330000000002</v>
      </c>
      <c r="E109" s="16">
        <v>338.72730000000001</v>
      </c>
      <c r="F109" s="16">
        <v>325.49700000000001</v>
      </c>
      <c r="G109" s="16">
        <v>326.28250000000003</v>
      </c>
      <c r="H109" s="16">
        <v>339.4529</v>
      </c>
      <c r="I109" s="16">
        <v>338.20499999999998</v>
      </c>
      <c r="J109" s="16">
        <v>384.17950000000002</v>
      </c>
      <c r="K109" s="16">
        <v>596.95370000000003</v>
      </c>
      <c r="L109" s="16">
        <v>690.48869999999999</v>
      </c>
      <c r="M109" s="16">
        <v>770.17430000000002</v>
      </c>
      <c r="N109" s="16">
        <v>383.80399999999997</v>
      </c>
      <c r="O109" s="16">
        <v>523.99019999999996</v>
      </c>
      <c r="P109" s="16">
        <v>610.6549</v>
      </c>
      <c r="Q109" s="16">
        <v>510.4957</v>
      </c>
      <c r="R109" s="16">
        <v>396.69510000000002</v>
      </c>
      <c r="S109" s="16">
        <v>366.02940000000001</v>
      </c>
      <c r="T109" s="16">
        <v>359.19099999999997</v>
      </c>
      <c r="U109" s="16">
        <v>380.47710000000001</v>
      </c>
      <c r="V109" s="16">
        <v>391.2013</v>
      </c>
      <c r="W109" s="16">
        <v>432.65949999999998</v>
      </c>
      <c r="X109" s="16">
        <v>378.1515</v>
      </c>
      <c r="Y109" s="16">
        <v>341.13420000000002</v>
      </c>
      <c r="Z109" s="26" t="s">
        <v>32</v>
      </c>
      <c r="AA109" s="25">
        <f t="shared" si="2"/>
        <v>325.49700000000001</v>
      </c>
      <c r="AB109" s="25">
        <f t="shared" si="3"/>
        <v>428.25021249999998</v>
      </c>
    </row>
    <row r="110" spans="1:28">
      <c r="A110" s="8">
        <v>45400</v>
      </c>
      <c r="B110" s="16">
        <v>504.79570000000001</v>
      </c>
      <c r="C110" s="16">
        <v>535.97289999999998</v>
      </c>
      <c r="D110" s="16">
        <v>401.8365</v>
      </c>
      <c r="E110" s="16">
        <v>355.39080000000001</v>
      </c>
      <c r="F110" s="16">
        <v>342.15429999999998</v>
      </c>
      <c r="G110" s="16">
        <v>341.33580000000001</v>
      </c>
      <c r="H110" s="16">
        <v>362.55020000000002</v>
      </c>
      <c r="I110" s="16">
        <v>362.53280000000001</v>
      </c>
      <c r="J110" s="16">
        <v>547.61239999999998</v>
      </c>
      <c r="K110" s="16">
        <v>630.49069999999995</v>
      </c>
      <c r="L110" s="16">
        <v>694.57169999999996</v>
      </c>
      <c r="M110" s="16">
        <v>705.13</v>
      </c>
      <c r="N110" s="16">
        <v>507.29610000000002</v>
      </c>
      <c r="O110" s="16">
        <v>586.62530000000004</v>
      </c>
      <c r="P110" s="16">
        <v>660.80700000000002</v>
      </c>
      <c r="Q110" s="16">
        <v>677.32600000000002</v>
      </c>
      <c r="R110" s="16">
        <v>648.37969999999996</v>
      </c>
      <c r="S110" s="16">
        <v>451.09010000000001</v>
      </c>
      <c r="T110" s="16">
        <v>359.3537</v>
      </c>
      <c r="U110" s="16">
        <v>398.82810000000001</v>
      </c>
      <c r="V110" s="16">
        <v>536.66740000000004</v>
      </c>
      <c r="W110" s="16">
        <v>484.20890000000003</v>
      </c>
      <c r="X110" s="16">
        <v>412.69490000000002</v>
      </c>
      <c r="Y110" s="16">
        <v>350.52050000000003</v>
      </c>
      <c r="Z110" s="26" t="s">
        <v>33</v>
      </c>
      <c r="AA110" s="25">
        <f t="shared" si="2"/>
        <v>341.33580000000001</v>
      </c>
      <c r="AB110" s="25">
        <f t="shared" si="3"/>
        <v>494.09047916666702</v>
      </c>
    </row>
    <row r="111" spans="1:28">
      <c r="A111" s="8">
        <v>45401</v>
      </c>
      <c r="B111" s="16">
        <v>389.30959999999999</v>
      </c>
      <c r="C111" s="16">
        <v>386.91449999999998</v>
      </c>
      <c r="D111" s="16">
        <v>364.43040000000002</v>
      </c>
      <c r="E111" s="16">
        <v>347.61669999999998</v>
      </c>
      <c r="F111" s="16">
        <v>331.32330000000002</v>
      </c>
      <c r="G111" s="16">
        <v>326.7758</v>
      </c>
      <c r="H111" s="16">
        <v>343.13139999999999</v>
      </c>
      <c r="I111" s="16">
        <v>349.30349999999999</v>
      </c>
      <c r="J111" s="16">
        <v>410.12709999999998</v>
      </c>
      <c r="K111" s="16">
        <v>459.16730000000001</v>
      </c>
      <c r="L111" s="16">
        <v>442.49939999999998</v>
      </c>
      <c r="M111" s="16">
        <v>463.91079999999999</v>
      </c>
      <c r="N111" s="16">
        <v>365.18310000000002</v>
      </c>
      <c r="O111" s="16">
        <v>433.18259999999998</v>
      </c>
      <c r="P111" s="16">
        <v>520.04309999999998</v>
      </c>
      <c r="Q111" s="16">
        <v>444.83510000000001</v>
      </c>
      <c r="R111" s="16">
        <v>406.0095</v>
      </c>
      <c r="S111" s="16">
        <v>394.90309999999999</v>
      </c>
      <c r="T111" s="16">
        <v>374.2398</v>
      </c>
      <c r="U111" s="16">
        <v>384.33839999999998</v>
      </c>
      <c r="V111" s="16">
        <v>435.76119999999997</v>
      </c>
      <c r="W111" s="16">
        <v>470.46449999999999</v>
      </c>
      <c r="X111" s="16">
        <v>392.93090000000001</v>
      </c>
      <c r="Y111" s="16">
        <v>353.74040000000002</v>
      </c>
      <c r="Z111" s="26" t="s">
        <v>34</v>
      </c>
      <c r="AA111" s="25">
        <f t="shared" si="2"/>
        <v>326.7758</v>
      </c>
      <c r="AB111" s="25">
        <f t="shared" si="3"/>
        <v>399.589229166667</v>
      </c>
    </row>
    <row r="112" spans="1:28">
      <c r="A112" s="8">
        <v>45402</v>
      </c>
      <c r="B112" s="16">
        <v>368.65609999999998</v>
      </c>
      <c r="C112" s="16">
        <v>374.72430000000003</v>
      </c>
      <c r="D112" s="16">
        <v>361.48809999999997</v>
      </c>
      <c r="E112" s="16">
        <v>346.29939999999999</v>
      </c>
      <c r="F112" s="16">
        <v>334.82060000000001</v>
      </c>
      <c r="G112" s="16">
        <v>332.79469999999998</v>
      </c>
      <c r="H112" s="16">
        <v>346.03050000000002</v>
      </c>
      <c r="I112" s="16">
        <v>343.21409999999997</v>
      </c>
      <c r="J112" s="16">
        <v>375.39620000000002</v>
      </c>
      <c r="K112" s="16">
        <v>405.60059999999999</v>
      </c>
      <c r="L112" s="16">
        <v>434.35039999999998</v>
      </c>
      <c r="M112" s="16">
        <v>431.02719999999999</v>
      </c>
      <c r="N112" s="16">
        <v>359.14170000000001</v>
      </c>
      <c r="O112" s="16">
        <v>376.24790000000002</v>
      </c>
      <c r="P112" s="16">
        <v>383.20209999999997</v>
      </c>
      <c r="Q112" s="16">
        <v>396.40449999999998</v>
      </c>
      <c r="R112" s="16">
        <v>375.6576</v>
      </c>
      <c r="S112" s="16">
        <v>373.46409999999997</v>
      </c>
      <c r="T112" s="16">
        <v>363.78809999999999</v>
      </c>
      <c r="U112" s="16">
        <v>383.71230000000003</v>
      </c>
      <c r="V112" s="16">
        <v>396.26799999999997</v>
      </c>
      <c r="W112" s="16">
        <v>394.70409999999998</v>
      </c>
      <c r="X112" s="16">
        <v>386.17039999999997</v>
      </c>
      <c r="Y112" s="16">
        <v>352.49450000000002</v>
      </c>
      <c r="Z112" s="26" t="s">
        <v>32</v>
      </c>
      <c r="AA112" s="25">
        <f t="shared" si="2"/>
        <v>332.79469999999998</v>
      </c>
      <c r="AB112" s="25">
        <f t="shared" si="3"/>
        <v>374.81906249999997</v>
      </c>
    </row>
    <row r="113" spans="1:28">
      <c r="A113" s="8">
        <v>45403</v>
      </c>
      <c r="B113" s="16">
        <v>423.62509999999997</v>
      </c>
      <c r="C113" s="16">
        <v>423.61099999999999</v>
      </c>
      <c r="D113" s="16">
        <v>388.65910000000002</v>
      </c>
      <c r="E113" s="16">
        <v>371.95310000000001</v>
      </c>
      <c r="F113" s="16">
        <v>361.9905</v>
      </c>
      <c r="G113" s="16">
        <v>362.59500000000003</v>
      </c>
      <c r="H113" s="16">
        <v>365.76920000000001</v>
      </c>
      <c r="I113" s="16">
        <v>365.44389999999999</v>
      </c>
      <c r="J113" s="16">
        <v>365.1592</v>
      </c>
      <c r="K113" s="16">
        <v>383.1961</v>
      </c>
      <c r="L113" s="16">
        <v>392.07429999999999</v>
      </c>
      <c r="M113" s="16">
        <v>401.29469999999998</v>
      </c>
      <c r="N113" s="16">
        <v>371.1592</v>
      </c>
      <c r="O113" s="16">
        <v>387.10669999999999</v>
      </c>
      <c r="P113" s="16">
        <v>385.68259999999998</v>
      </c>
      <c r="Q113" s="16">
        <v>385.91820000000001</v>
      </c>
      <c r="R113" s="16">
        <v>400.15809999999999</v>
      </c>
      <c r="S113" s="16">
        <v>402.44380000000001</v>
      </c>
      <c r="T113" s="16">
        <v>371.90899999999999</v>
      </c>
      <c r="U113" s="16">
        <v>380.45729999999998</v>
      </c>
      <c r="V113" s="16">
        <v>382.12450000000001</v>
      </c>
      <c r="W113" s="16">
        <v>380.92779999999999</v>
      </c>
      <c r="X113" s="16">
        <v>375.14609999999999</v>
      </c>
      <c r="Y113" s="16">
        <v>353.61270000000002</v>
      </c>
      <c r="Z113" s="26" t="s">
        <v>32</v>
      </c>
      <c r="AA113" s="25">
        <f t="shared" si="2"/>
        <v>353.61270000000002</v>
      </c>
      <c r="AB113" s="25">
        <f t="shared" si="3"/>
        <v>382.58404999999999</v>
      </c>
    </row>
    <row r="114" spans="1:28">
      <c r="A114" s="8">
        <v>45404</v>
      </c>
      <c r="B114" s="16">
        <v>348.55239999999998</v>
      </c>
      <c r="C114" s="16">
        <v>356.24329999999998</v>
      </c>
      <c r="D114" s="16">
        <v>352.50580000000002</v>
      </c>
      <c r="E114" s="16">
        <v>333.75</v>
      </c>
      <c r="F114" s="16">
        <v>323</v>
      </c>
      <c r="G114" s="16">
        <v>330.5</v>
      </c>
      <c r="H114" s="16">
        <v>360.2398</v>
      </c>
      <c r="I114" s="16">
        <v>364.30239999999998</v>
      </c>
      <c r="J114" s="16">
        <v>388.10939999999999</v>
      </c>
      <c r="K114" s="16">
        <v>375.6542</v>
      </c>
      <c r="L114" s="16">
        <v>370.06760000000003</v>
      </c>
      <c r="M114" s="16">
        <v>365.08640000000003</v>
      </c>
      <c r="N114" s="16">
        <v>349.68650000000002</v>
      </c>
      <c r="O114" s="16">
        <v>352.3476</v>
      </c>
      <c r="P114" s="16">
        <v>368.59480000000002</v>
      </c>
      <c r="Q114" s="16">
        <v>370.7756</v>
      </c>
      <c r="R114" s="16">
        <v>371.18110000000001</v>
      </c>
      <c r="S114" s="16">
        <v>371.36079999999998</v>
      </c>
      <c r="T114" s="16">
        <v>368.63729999999998</v>
      </c>
      <c r="U114" s="16">
        <v>375.89069999999998</v>
      </c>
      <c r="V114" s="16">
        <v>378.01819999999998</v>
      </c>
      <c r="W114" s="16">
        <v>379.33600000000001</v>
      </c>
      <c r="X114" s="16">
        <v>367.8802</v>
      </c>
      <c r="Y114" s="16">
        <v>334.00349999999997</v>
      </c>
      <c r="Z114" s="26" t="s">
        <v>32</v>
      </c>
      <c r="AA114" s="25">
        <f t="shared" si="2"/>
        <v>323</v>
      </c>
      <c r="AB114" s="25">
        <f t="shared" si="3"/>
        <v>360.65514999999999</v>
      </c>
    </row>
    <row r="115" spans="1:28">
      <c r="A115" s="8">
        <v>45405</v>
      </c>
      <c r="B115" s="16">
        <v>369.57850000000002</v>
      </c>
      <c r="C115" s="16">
        <v>375.22579999999999</v>
      </c>
      <c r="D115" s="16">
        <v>366.43759999999997</v>
      </c>
      <c r="E115" s="16">
        <v>356.71640000000002</v>
      </c>
      <c r="F115" s="16">
        <v>351.98140000000001</v>
      </c>
      <c r="G115" s="16">
        <v>351.56450000000001</v>
      </c>
      <c r="H115" s="16">
        <v>363.28390000000002</v>
      </c>
      <c r="I115" s="16">
        <v>369.65530000000001</v>
      </c>
      <c r="J115" s="16">
        <v>398.74860000000001</v>
      </c>
      <c r="K115" s="16">
        <v>435.15690000000001</v>
      </c>
      <c r="L115" s="16">
        <v>391.42570000000001</v>
      </c>
      <c r="M115" s="16">
        <v>376.30459999999999</v>
      </c>
      <c r="N115" s="16">
        <v>367.85809999999998</v>
      </c>
      <c r="O115" s="16">
        <v>388.14980000000003</v>
      </c>
      <c r="P115" s="16">
        <v>433.58350000000002</v>
      </c>
      <c r="Q115" s="16">
        <v>412.07900000000001</v>
      </c>
      <c r="R115" s="16">
        <v>393.98450000000003</v>
      </c>
      <c r="S115" s="16">
        <v>394.57799999999997</v>
      </c>
      <c r="T115" s="16">
        <v>397.20929999999998</v>
      </c>
      <c r="U115" s="16">
        <v>394.88159999999999</v>
      </c>
      <c r="V115" s="16">
        <v>391.68360000000001</v>
      </c>
      <c r="W115" s="16">
        <v>393.83460000000002</v>
      </c>
      <c r="X115" s="16">
        <v>364.01920000000001</v>
      </c>
      <c r="Y115" s="16">
        <v>328.08300000000003</v>
      </c>
      <c r="Z115" s="26" t="s">
        <v>32</v>
      </c>
      <c r="AA115" s="25">
        <f t="shared" si="2"/>
        <v>328.08300000000003</v>
      </c>
      <c r="AB115" s="25">
        <f t="shared" si="3"/>
        <v>381.91764166666701</v>
      </c>
    </row>
    <row r="116" spans="1:28">
      <c r="A116" s="8">
        <v>45406</v>
      </c>
      <c r="B116" s="16">
        <v>356.33670000000001</v>
      </c>
      <c r="C116" s="16">
        <v>368.52359999999999</v>
      </c>
      <c r="D116" s="16">
        <v>353.74540000000002</v>
      </c>
      <c r="E116" s="16">
        <v>345.74540000000002</v>
      </c>
      <c r="F116" s="16">
        <v>337.80970000000002</v>
      </c>
      <c r="G116" s="16">
        <v>339.39670000000001</v>
      </c>
      <c r="H116" s="16">
        <v>360.2167</v>
      </c>
      <c r="I116" s="16">
        <v>367.60509999999999</v>
      </c>
      <c r="J116" s="16">
        <v>410.73899999999998</v>
      </c>
      <c r="K116" s="16">
        <v>409.42579999999998</v>
      </c>
      <c r="L116" s="16">
        <v>391.4126</v>
      </c>
      <c r="M116" s="16">
        <v>373.95760000000001</v>
      </c>
      <c r="N116" s="16">
        <v>354.0496</v>
      </c>
      <c r="O116" s="16">
        <v>358.30099999999999</v>
      </c>
      <c r="P116" s="16">
        <v>373.77800000000002</v>
      </c>
      <c r="Q116" s="16">
        <v>380.06950000000001</v>
      </c>
      <c r="R116" s="16">
        <v>387.1705</v>
      </c>
      <c r="S116" s="16">
        <v>391.88389999999998</v>
      </c>
      <c r="T116" s="16">
        <v>385.54289999999997</v>
      </c>
      <c r="U116" s="16">
        <v>386.13529999999997</v>
      </c>
      <c r="V116" s="16">
        <v>384.37950000000001</v>
      </c>
      <c r="W116" s="16">
        <v>381.94720000000001</v>
      </c>
      <c r="X116" s="16">
        <v>365.41</v>
      </c>
      <c r="Y116" s="16">
        <v>327.85640000000001</v>
      </c>
      <c r="Z116" s="26" t="s">
        <v>32</v>
      </c>
      <c r="AA116" s="25">
        <f t="shared" si="2"/>
        <v>327.85640000000001</v>
      </c>
      <c r="AB116" s="25">
        <f t="shared" si="3"/>
        <v>370.47658749999999</v>
      </c>
    </row>
    <row r="117" spans="1:28">
      <c r="A117" s="8">
        <v>45407</v>
      </c>
      <c r="B117" s="16">
        <v>354.45940000000002</v>
      </c>
      <c r="C117" s="16">
        <v>357.80579999999998</v>
      </c>
      <c r="D117" s="16">
        <v>342.26319999999998</v>
      </c>
      <c r="E117" s="16">
        <v>331.63459999999998</v>
      </c>
      <c r="F117" s="16">
        <v>310.38670000000002</v>
      </c>
      <c r="G117" s="16">
        <v>311.40269999999998</v>
      </c>
      <c r="H117" s="16">
        <v>339.1112</v>
      </c>
      <c r="I117" s="16">
        <v>343.21089999999998</v>
      </c>
      <c r="J117" s="16">
        <v>417.56180000000001</v>
      </c>
      <c r="K117" s="16">
        <v>436.44869999999997</v>
      </c>
      <c r="L117" s="16">
        <v>434.87459999999999</v>
      </c>
      <c r="M117" s="16">
        <v>458.9434</v>
      </c>
      <c r="N117" s="16">
        <v>335.78460000000001</v>
      </c>
      <c r="O117" s="16">
        <v>344.63339999999999</v>
      </c>
      <c r="P117" s="16">
        <v>366.50299999999999</v>
      </c>
      <c r="Q117" s="16">
        <v>372.0942</v>
      </c>
      <c r="R117" s="16">
        <v>380.41930000000002</v>
      </c>
      <c r="S117" s="16">
        <v>389.63350000000003</v>
      </c>
      <c r="T117" s="16">
        <v>389.66199999999998</v>
      </c>
      <c r="U117" s="16">
        <v>388.92809999999997</v>
      </c>
      <c r="V117" s="16">
        <v>385.75490000000002</v>
      </c>
      <c r="W117" s="16">
        <v>396.79669999999999</v>
      </c>
      <c r="X117" s="16">
        <v>374.64499999999998</v>
      </c>
      <c r="Y117" s="16">
        <v>334.8587</v>
      </c>
      <c r="Z117" s="26" t="s">
        <v>33</v>
      </c>
      <c r="AA117" s="25">
        <f t="shared" si="2"/>
        <v>310.38670000000002</v>
      </c>
      <c r="AB117" s="25">
        <f t="shared" si="3"/>
        <v>370.74234999999999</v>
      </c>
    </row>
    <row r="118" spans="1:28">
      <c r="A118" s="8">
        <v>45408</v>
      </c>
      <c r="B118" s="28">
        <v>366.71</v>
      </c>
      <c r="C118" s="28">
        <v>370.73</v>
      </c>
      <c r="D118" s="28">
        <v>356.25</v>
      </c>
      <c r="E118" s="28">
        <v>342.44</v>
      </c>
      <c r="F118" s="28">
        <v>336.32</v>
      </c>
      <c r="G118" s="28">
        <v>338.6</v>
      </c>
      <c r="H118" s="28">
        <v>354.3</v>
      </c>
      <c r="I118" s="28">
        <v>357.84</v>
      </c>
      <c r="J118" s="28">
        <v>396.37</v>
      </c>
      <c r="K118" s="28">
        <v>395.1</v>
      </c>
      <c r="L118" s="28">
        <v>379.94</v>
      </c>
      <c r="M118" s="28">
        <v>375.27</v>
      </c>
      <c r="N118" s="28">
        <v>336.92</v>
      </c>
      <c r="O118" s="28">
        <v>357</v>
      </c>
      <c r="P118" s="28">
        <v>374.45</v>
      </c>
      <c r="Q118" s="28">
        <v>380.98</v>
      </c>
      <c r="R118" s="28">
        <v>376.39</v>
      </c>
      <c r="S118" s="28">
        <v>382.6</v>
      </c>
      <c r="T118" s="28">
        <v>385.14</v>
      </c>
      <c r="U118" s="28">
        <v>396.55</v>
      </c>
      <c r="V118" s="28">
        <v>391.55</v>
      </c>
      <c r="W118" s="28">
        <v>393.88</v>
      </c>
      <c r="X118" s="28">
        <v>379.29</v>
      </c>
      <c r="Y118" s="28">
        <v>349.53</v>
      </c>
      <c r="Z118" s="29" t="s">
        <v>32</v>
      </c>
      <c r="AA118" s="25">
        <f t="shared" si="2"/>
        <v>336.32</v>
      </c>
      <c r="AB118" s="25">
        <f t="shared" si="3"/>
        <v>369.75625000000002</v>
      </c>
    </row>
    <row r="119" spans="1:28">
      <c r="A119" s="8">
        <v>45409</v>
      </c>
      <c r="B119" s="16">
        <v>360.69970000000001</v>
      </c>
      <c r="C119" s="16">
        <v>371.83550000000002</v>
      </c>
      <c r="D119" s="16">
        <v>364.08089999999999</v>
      </c>
      <c r="E119" s="16">
        <v>350.78070000000002</v>
      </c>
      <c r="F119" s="16">
        <v>339.15890000000002</v>
      </c>
      <c r="G119" s="16">
        <v>337.52940000000001</v>
      </c>
      <c r="H119" s="16">
        <v>354.55869999999999</v>
      </c>
      <c r="I119" s="16">
        <v>361.66320000000002</v>
      </c>
      <c r="J119" s="16">
        <v>397.98110000000003</v>
      </c>
      <c r="K119" s="16">
        <v>387.63069999999999</v>
      </c>
      <c r="L119" s="16">
        <v>394.42770000000002</v>
      </c>
      <c r="M119" s="16">
        <v>387.65910000000002</v>
      </c>
      <c r="N119" s="16">
        <v>335.90690000000001</v>
      </c>
      <c r="O119" s="16">
        <v>356.6524</v>
      </c>
      <c r="P119" s="16">
        <v>380.92090000000002</v>
      </c>
      <c r="Q119" s="16">
        <v>386.50830000000002</v>
      </c>
      <c r="R119" s="16">
        <v>403.48480000000001</v>
      </c>
      <c r="S119" s="16">
        <v>398.41480000000001</v>
      </c>
      <c r="T119" s="16">
        <v>381.05739999999997</v>
      </c>
      <c r="U119" s="16">
        <v>405.8485</v>
      </c>
      <c r="V119" s="16">
        <v>431.60109999999997</v>
      </c>
      <c r="W119" s="16">
        <v>420.33339999999998</v>
      </c>
      <c r="X119" s="16">
        <v>401.87650000000002</v>
      </c>
      <c r="Y119" s="16">
        <v>346.7081</v>
      </c>
      <c r="Z119" s="26" t="s">
        <v>32</v>
      </c>
      <c r="AA119" s="25">
        <f t="shared" si="2"/>
        <v>335.90690000000001</v>
      </c>
      <c r="AB119" s="25">
        <f t="shared" si="3"/>
        <v>377.38827916666702</v>
      </c>
    </row>
    <row r="120" spans="1:28">
      <c r="A120" s="8">
        <v>45410</v>
      </c>
      <c r="B120" s="16">
        <v>376.98590000000002</v>
      </c>
      <c r="C120" s="16">
        <v>382.42160000000001</v>
      </c>
      <c r="D120" s="16">
        <v>364.34539999999998</v>
      </c>
      <c r="E120" s="16">
        <v>353.09179999999998</v>
      </c>
      <c r="F120" s="16">
        <v>343.47980000000001</v>
      </c>
      <c r="G120" s="16">
        <v>340.36770000000001</v>
      </c>
      <c r="H120" s="16">
        <v>357.43439999999998</v>
      </c>
      <c r="I120" s="16">
        <v>358.54309999999998</v>
      </c>
      <c r="J120" s="16">
        <v>426.48480000000001</v>
      </c>
      <c r="K120" s="16">
        <v>423.93790000000001</v>
      </c>
      <c r="L120" s="16">
        <v>443.40499999999997</v>
      </c>
      <c r="M120" s="16">
        <v>426.3365</v>
      </c>
      <c r="N120" s="16">
        <v>329.4452</v>
      </c>
      <c r="O120" s="16">
        <v>367.00639999999999</v>
      </c>
      <c r="P120" s="16">
        <v>401.56330000000003</v>
      </c>
      <c r="Q120" s="16">
        <v>404.67939999999999</v>
      </c>
      <c r="R120" s="16">
        <v>398.0052</v>
      </c>
      <c r="S120" s="16">
        <v>389.6388</v>
      </c>
      <c r="T120" s="16">
        <v>379.30630000000002</v>
      </c>
      <c r="U120" s="16">
        <v>384.91390000000001</v>
      </c>
      <c r="V120" s="16">
        <v>383.06240000000003</v>
      </c>
      <c r="W120" s="16">
        <v>385.40640000000002</v>
      </c>
      <c r="X120" s="16">
        <v>375.23419999999999</v>
      </c>
      <c r="Y120" s="16">
        <v>353.37389999999999</v>
      </c>
      <c r="Z120" s="26" t="s">
        <v>32</v>
      </c>
      <c r="AA120" s="25">
        <f t="shared" si="2"/>
        <v>329.4452</v>
      </c>
      <c r="AB120" s="25">
        <f t="shared" si="3"/>
        <v>381.18622083333298</v>
      </c>
    </row>
    <row r="121" spans="1:28">
      <c r="A121" s="8">
        <v>45411</v>
      </c>
      <c r="B121" s="16">
        <v>350.82839999999999</v>
      </c>
      <c r="C121" s="16">
        <v>359.21429999999998</v>
      </c>
      <c r="D121" s="16">
        <v>342.77370000000002</v>
      </c>
      <c r="E121" s="16">
        <v>315.87720000000002</v>
      </c>
      <c r="F121" s="16">
        <v>308.4477</v>
      </c>
      <c r="G121" s="16">
        <v>309.98239999999998</v>
      </c>
      <c r="H121" s="16">
        <v>342.85129999999998</v>
      </c>
      <c r="I121" s="16">
        <v>358.8698</v>
      </c>
      <c r="J121" s="16">
        <v>391.69159999999999</v>
      </c>
      <c r="K121" s="16">
        <v>389.2355</v>
      </c>
      <c r="L121" s="16">
        <v>411.04090000000002</v>
      </c>
      <c r="M121" s="16">
        <v>406.82400000000001</v>
      </c>
      <c r="N121" s="16">
        <v>339.46280000000002</v>
      </c>
      <c r="O121" s="16">
        <v>373.51260000000002</v>
      </c>
      <c r="P121" s="16">
        <v>397.358</v>
      </c>
      <c r="Q121" s="16">
        <v>435.88139999999999</v>
      </c>
      <c r="R121" s="16">
        <v>459.84070000000003</v>
      </c>
      <c r="S121" s="16">
        <v>417.71289999999999</v>
      </c>
      <c r="T121" s="16">
        <v>382.9896</v>
      </c>
      <c r="U121" s="16">
        <v>405.42910000000001</v>
      </c>
      <c r="V121" s="16">
        <v>403.77510000000001</v>
      </c>
      <c r="W121" s="16">
        <v>422.6189</v>
      </c>
      <c r="X121" s="16">
        <v>413.37029999999999</v>
      </c>
      <c r="Y121" s="16">
        <v>367.66800000000001</v>
      </c>
      <c r="Z121" s="26" t="s">
        <v>32</v>
      </c>
      <c r="AA121" s="25">
        <f t="shared" si="2"/>
        <v>308.4477</v>
      </c>
      <c r="AB121" s="25">
        <f t="shared" si="3"/>
        <v>379.46900833333302</v>
      </c>
    </row>
    <row r="122" spans="1:28">
      <c r="A122" s="8">
        <v>45412</v>
      </c>
      <c r="B122" s="16">
        <v>402.07510000000002</v>
      </c>
      <c r="C122" s="16">
        <v>384.17259999999999</v>
      </c>
      <c r="D122" s="16">
        <v>370.33210000000003</v>
      </c>
      <c r="E122" s="16">
        <v>355.02749999999997</v>
      </c>
      <c r="F122" s="16">
        <v>338.8861</v>
      </c>
      <c r="G122" s="16">
        <v>338.59449999999998</v>
      </c>
      <c r="H122" s="16">
        <v>359.23939999999999</v>
      </c>
      <c r="I122" s="16">
        <v>368.22669999999999</v>
      </c>
      <c r="J122" s="16">
        <v>387.33879999999999</v>
      </c>
      <c r="K122" s="16">
        <v>394.6669</v>
      </c>
      <c r="L122" s="16">
        <v>391.6293</v>
      </c>
      <c r="M122" s="16">
        <v>390.4248</v>
      </c>
      <c r="N122" s="16">
        <v>353.51769999999999</v>
      </c>
      <c r="O122" s="16">
        <v>359.3383</v>
      </c>
      <c r="P122" s="16">
        <v>373.24430000000001</v>
      </c>
      <c r="Q122" s="16">
        <v>374.3304</v>
      </c>
      <c r="R122" s="16">
        <v>381.55189999999999</v>
      </c>
      <c r="S122" s="16">
        <v>386.63310000000001</v>
      </c>
      <c r="T122" s="16">
        <v>382.34</v>
      </c>
      <c r="U122" s="16">
        <v>385.22890000000001</v>
      </c>
      <c r="V122" s="16">
        <v>390.86200000000002</v>
      </c>
      <c r="W122" s="16">
        <v>411.86410000000001</v>
      </c>
      <c r="X122" s="16">
        <v>387.84519999999998</v>
      </c>
      <c r="Y122" s="16">
        <v>363.3467</v>
      </c>
      <c r="Z122" s="24" t="s">
        <v>31</v>
      </c>
      <c r="AA122" s="25">
        <f t="shared" si="2"/>
        <v>338.59449999999998</v>
      </c>
      <c r="AB122" s="25">
        <f t="shared" si="3"/>
        <v>376.27985000000001</v>
      </c>
    </row>
    <row r="123" spans="1:28">
      <c r="A123" s="8">
        <v>45413</v>
      </c>
      <c r="B123" s="16">
        <v>458.77350000000001</v>
      </c>
      <c r="C123" s="16">
        <v>408.0505</v>
      </c>
      <c r="D123" s="16">
        <v>370.62509999999997</v>
      </c>
      <c r="E123" s="16">
        <v>348.59739999999999</v>
      </c>
      <c r="F123" s="16">
        <v>337.92</v>
      </c>
      <c r="G123" s="16">
        <v>319.98230000000001</v>
      </c>
      <c r="H123" s="16">
        <v>332.12529999999998</v>
      </c>
      <c r="I123" s="16">
        <v>314.25150000000002</v>
      </c>
      <c r="J123" s="16">
        <v>268.90390000000002</v>
      </c>
      <c r="K123" s="16">
        <v>124.8394</v>
      </c>
      <c r="L123" s="16">
        <v>170.43430000000001</v>
      </c>
      <c r="M123" s="16">
        <v>223.20500000000001</v>
      </c>
      <c r="N123" s="16">
        <v>278.05090000000001</v>
      </c>
      <c r="O123" s="16">
        <v>267.44470000000001</v>
      </c>
      <c r="P123" s="16">
        <v>274.94369999999998</v>
      </c>
      <c r="Q123" s="16">
        <v>283.91059999999999</v>
      </c>
      <c r="R123" s="16">
        <v>279.76729999999998</v>
      </c>
      <c r="S123" s="16">
        <v>278.70299999999997</v>
      </c>
      <c r="T123" s="16">
        <v>286.60480000000001</v>
      </c>
      <c r="U123" s="16">
        <v>266.8014</v>
      </c>
      <c r="V123" s="16">
        <v>255.8501</v>
      </c>
      <c r="W123" s="16">
        <v>174.79169999999999</v>
      </c>
      <c r="X123" s="16">
        <v>287.32369999999997</v>
      </c>
      <c r="Y123" s="16">
        <v>141.8877</v>
      </c>
      <c r="Z123" s="24" t="s">
        <v>31</v>
      </c>
      <c r="AA123" s="25">
        <f t="shared" si="2"/>
        <v>124.8394</v>
      </c>
      <c r="AB123" s="25">
        <f t="shared" si="3"/>
        <v>281.407825</v>
      </c>
    </row>
    <row r="124" spans="1:28">
      <c r="A124" s="8">
        <v>45414</v>
      </c>
      <c r="B124" s="16">
        <v>211.5127</v>
      </c>
      <c r="C124" s="16">
        <v>152.91399999999999</v>
      </c>
      <c r="D124" s="16">
        <v>154.45439999999999</v>
      </c>
      <c r="E124" s="16">
        <v>59.3842</v>
      </c>
      <c r="F124" s="16">
        <v>0</v>
      </c>
      <c r="G124" s="16">
        <v>0</v>
      </c>
      <c r="H124" s="16">
        <v>23.989599999999999</v>
      </c>
      <c r="I124" s="16">
        <v>44.173099999999998</v>
      </c>
      <c r="J124" s="16">
        <v>128.42009999999999</v>
      </c>
      <c r="K124" s="16">
        <v>33.8063</v>
      </c>
      <c r="L124" s="16">
        <v>38.636299999999999</v>
      </c>
      <c r="M124" s="16">
        <v>221.19730000000001</v>
      </c>
      <c r="N124" s="16">
        <v>0.26889999999999997</v>
      </c>
      <c r="O124" s="16">
        <v>162.58500000000001</v>
      </c>
      <c r="P124" s="16">
        <v>191.69589999999999</v>
      </c>
      <c r="Q124" s="16">
        <v>243.851</v>
      </c>
      <c r="R124" s="16">
        <v>271.1397</v>
      </c>
      <c r="S124" s="16">
        <v>267.1705</v>
      </c>
      <c r="T124" s="16">
        <v>292.39249999999998</v>
      </c>
      <c r="U124" s="16">
        <v>312.40769999999998</v>
      </c>
      <c r="V124" s="16">
        <v>299.7321</v>
      </c>
      <c r="W124" s="16">
        <v>270.34769999999997</v>
      </c>
      <c r="X124" s="16">
        <v>281.58670000000001</v>
      </c>
      <c r="Y124" s="16">
        <v>100.68300000000001</v>
      </c>
      <c r="Z124" s="27" t="s">
        <v>35</v>
      </c>
      <c r="AA124" s="25">
        <f t="shared" si="2"/>
        <v>0</v>
      </c>
      <c r="AB124" s="25">
        <f t="shared" si="3"/>
        <v>156.76452916666699</v>
      </c>
    </row>
    <row r="125" spans="1:28">
      <c r="A125" s="8">
        <v>45415</v>
      </c>
      <c r="B125" s="16">
        <v>305.97340000000003</v>
      </c>
      <c r="C125" s="16">
        <v>315.62569999999999</v>
      </c>
      <c r="D125" s="16">
        <v>313.4391</v>
      </c>
      <c r="E125" s="16">
        <v>310.46100000000001</v>
      </c>
      <c r="F125" s="16">
        <v>295.54169999999999</v>
      </c>
      <c r="G125" s="16">
        <v>292.30549999999999</v>
      </c>
      <c r="H125" s="16">
        <v>310.85289999999998</v>
      </c>
      <c r="I125" s="16">
        <v>320.52659999999997</v>
      </c>
      <c r="J125" s="16">
        <v>360.12299999999999</v>
      </c>
      <c r="K125" s="16">
        <v>353.80220000000003</v>
      </c>
      <c r="L125" s="16">
        <v>352.56209999999999</v>
      </c>
      <c r="M125" s="16">
        <v>355.58179999999999</v>
      </c>
      <c r="N125" s="16">
        <v>330.40170000000001</v>
      </c>
      <c r="O125" s="16">
        <v>348.87299999999999</v>
      </c>
      <c r="P125" s="16">
        <v>354.58850000000001</v>
      </c>
      <c r="Q125" s="16">
        <v>346.8064</v>
      </c>
      <c r="R125" s="16">
        <v>347.43</v>
      </c>
      <c r="S125" s="16">
        <v>345.54520000000002</v>
      </c>
      <c r="T125" s="16">
        <v>337.971</v>
      </c>
      <c r="U125" s="16">
        <v>339.23559999999998</v>
      </c>
      <c r="V125" s="16">
        <v>339.82929999999999</v>
      </c>
      <c r="W125" s="16">
        <v>332.05529999999999</v>
      </c>
      <c r="X125" s="16">
        <v>321.0514</v>
      </c>
      <c r="Y125" s="16">
        <v>303.49740000000003</v>
      </c>
      <c r="Z125" s="27" t="s">
        <v>35</v>
      </c>
      <c r="AA125" s="25">
        <f t="shared" si="2"/>
        <v>292.30549999999999</v>
      </c>
      <c r="AB125" s="25">
        <f t="shared" si="3"/>
        <v>330.58665833333299</v>
      </c>
    </row>
    <row r="126" spans="1:28">
      <c r="A126" s="8">
        <v>45416</v>
      </c>
      <c r="B126" s="16">
        <v>338.2208</v>
      </c>
      <c r="C126" s="16">
        <v>340.8236</v>
      </c>
      <c r="D126" s="16">
        <v>332.3175</v>
      </c>
      <c r="E126" s="16">
        <v>326.1748</v>
      </c>
      <c r="F126" s="16">
        <v>317.23840000000001</v>
      </c>
      <c r="G126" s="16">
        <v>317.72059999999999</v>
      </c>
      <c r="H126" s="16">
        <v>330.78649999999999</v>
      </c>
      <c r="I126" s="16">
        <v>336.40910000000002</v>
      </c>
      <c r="J126" s="16">
        <v>363.94900000000001</v>
      </c>
      <c r="K126" s="16">
        <v>377.84989999999999</v>
      </c>
      <c r="L126" s="16">
        <v>380.69389999999999</v>
      </c>
      <c r="M126" s="16">
        <v>410.13589999999999</v>
      </c>
      <c r="N126" s="16">
        <v>389.15480000000002</v>
      </c>
      <c r="O126" s="16">
        <v>405.96559999999999</v>
      </c>
      <c r="P126" s="16">
        <v>404.28379999999999</v>
      </c>
      <c r="Q126" s="16">
        <v>385.95580000000001</v>
      </c>
      <c r="R126" s="16">
        <v>437.52030000000002</v>
      </c>
      <c r="S126" s="16">
        <v>423.71839999999997</v>
      </c>
      <c r="T126" s="16">
        <v>379.53739999999999</v>
      </c>
      <c r="U126" s="16">
        <v>442.52499999999998</v>
      </c>
      <c r="V126" s="16">
        <v>453.95929999999998</v>
      </c>
      <c r="W126" s="16">
        <v>387.32229999999998</v>
      </c>
      <c r="X126" s="16">
        <v>368.52409999999998</v>
      </c>
      <c r="Y126" s="16">
        <v>350.09210000000002</v>
      </c>
      <c r="Z126" s="27" t="s">
        <v>35</v>
      </c>
      <c r="AA126" s="25">
        <f t="shared" si="2"/>
        <v>317.23840000000001</v>
      </c>
      <c r="AB126" s="25">
        <f t="shared" si="3"/>
        <v>375.03662083333302</v>
      </c>
    </row>
    <row r="127" spans="1:28">
      <c r="A127" s="8">
        <v>45417</v>
      </c>
      <c r="B127" s="16">
        <v>369.92259999999999</v>
      </c>
      <c r="C127" s="16">
        <v>375.62790000000001</v>
      </c>
      <c r="D127" s="16">
        <v>369.62799999999999</v>
      </c>
      <c r="E127" s="16">
        <v>365.32679999999999</v>
      </c>
      <c r="F127" s="16">
        <v>357.91669999999999</v>
      </c>
      <c r="G127" s="16">
        <v>357.798</v>
      </c>
      <c r="H127" s="16">
        <v>362.60169999999999</v>
      </c>
      <c r="I127" s="16">
        <v>363.8494</v>
      </c>
      <c r="J127" s="16">
        <v>393.19729999999998</v>
      </c>
      <c r="K127" s="16">
        <v>415.1284</v>
      </c>
      <c r="L127" s="16">
        <v>416.428</v>
      </c>
      <c r="M127" s="16">
        <v>456.62380000000002</v>
      </c>
      <c r="N127" s="16">
        <v>378.78910000000002</v>
      </c>
      <c r="O127" s="16">
        <v>396.59780000000001</v>
      </c>
      <c r="P127" s="16">
        <v>392.3528</v>
      </c>
      <c r="Q127" s="16">
        <v>381.93709999999999</v>
      </c>
      <c r="R127" s="16">
        <v>391.29469999999998</v>
      </c>
      <c r="S127" s="16">
        <v>379.654</v>
      </c>
      <c r="T127" s="16">
        <v>375.57119999999998</v>
      </c>
      <c r="U127" s="16">
        <v>383.50940000000003</v>
      </c>
      <c r="V127" s="16">
        <v>387.41669999999999</v>
      </c>
      <c r="W127" s="16">
        <v>384.75799999999998</v>
      </c>
      <c r="X127" s="16">
        <v>380.98110000000003</v>
      </c>
      <c r="Y127" s="16">
        <v>360.36989999999997</v>
      </c>
      <c r="Z127" s="26" t="s">
        <v>32</v>
      </c>
      <c r="AA127" s="25">
        <f t="shared" si="2"/>
        <v>357.798</v>
      </c>
      <c r="AB127" s="25">
        <f t="shared" si="3"/>
        <v>383.22001666666699</v>
      </c>
    </row>
    <row r="128" spans="1:28">
      <c r="A128" s="8">
        <v>45418</v>
      </c>
      <c r="B128" s="16">
        <v>359.74630000000002</v>
      </c>
      <c r="C128" s="16">
        <v>363.08839999999998</v>
      </c>
      <c r="D128" s="16">
        <v>356.63389999999998</v>
      </c>
      <c r="E128" s="16">
        <v>349.19549999999998</v>
      </c>
      <c r="F128" s="16">
        <v>341.49610000000001</v>
      </c>
      <c r="G128" s="16">
        <v>341.04289999999997</v>
      </c>
      <c r="H128" s="16">
        <v>351.4366</v>
      </c>
      <c r="I128" s="16">
        <v>362.10829999999999</v>
      </c>
      <c r="J128" s="16">
        <v>404.71559999999999</v>
      </c>
      <c r="K128" s="16">
        <v>445.98579999999998</v>
      </c>
      <c r="L128" s="16">
        <v>503.19279999999998</v>
      </c>
      <c r="M128" s="16">
        <v>460.62830000000002</v>
      </c>
      <c r="N128" s="16">
        <v>371.61020000000002</v>
      </c>
      <c r="O128" s="16">
        <v>481.95240000000001</v>
      </c>
      <c r="P128" s="16">
        <v>475.84199999999998</v>
      </c>
      <c r="Q128" s="16">
        <v>428.27339999999998</v>
      </c>
      <c r="R128" s="16">
        <v>458.26010000000002</v>
      </c>
      <c r="S128" s="16">
        <v>401.79730000000001</v>
      </c>
      <c r="T128" s="16">
        <v>391.93459999999999</v>
      </c>
      <c r="U128" s="16">
        <v>416.00810000000001</v>
      </c>
      <c r="V128" s="16">
        <v>418.33839999999998</v>
      </c>
      <c r="W128" s="16">
        <v>397.87580000000003</v>
      </c>
      <c r="X128" s="16">
        <v>382.60509999999999</v>
      </c>
      <c r="Y128" s="16">
        <v>363.9479</v>
      </c>
      <c r="Z128" s="26" t="s">
        <v>32</v>
      </c>
      <c r="AA128" s="25">
        <f t="shared" si="2"/>
        <v>341.04289999999997</v>
      </c>
      <c r="AB128" s="25">
        <f t="shared" si="3"/>
        <v>401.15482500000002</v>
      </c>
    </row>
    <row r="129" spans="1:28">
      <c r="A129" s="8">
        <v>45419</v>
      </c>
      <c r="B129" s="16">
        <v>379.50799999999998</v>
      </c>
      <c r="C129" s="16">
        <v>375.31470000000002</v>
      </c>
      <c r="D129" s="16">
        <v>367.02530000000002</v>
      </c>
      <c r="E129" s="16">
        <v>361.60210000000001</v>
      </c>
      <c r="F129" s="16">
        <v>353.90690000000001</v>
      </c>
      <c r="G129" s="16">
        <v>353.87959999999998</v>
      </c>
      <c r="H129" s="16">
        <v>362.16809999999998</v>
      </c>
      <c r="I129" s="16">
        <v>370.07650000000001</v>
      </c>
      <c r="J129" s="16">
        <v>398.87209999999999</v>
      </c>
      <c r="K129" s="16">
        <v>408.4529</v>
      </c>
      <c r="L129" s="16">
        <v>403.8347</v>
      </c>
      <c r="M129" s="16">
        <v>394.23230000000001</v>
      </c>
      <c r="N129" s="16">
        <v>370.41919999999999</v>
      </c>
      <c r="O129" s="16">
        <v>395.9597</v>
      </c>
      <c r="P129" s="16">
        <v>456.33179999999999</v>
      </c>
      <c r="Q129" s="16">
        <v>420.99579999999997</v>
      </c>
      <c r="R129" s="16">
        <v>419.07420000000002</v>
      </c>
      <c r="S129" s="16">
        <v>404.09339999999997</v>
      </c>
      <c r="T129" s="16">
        <v>399.92759999999998</v>
      </c>
      <c r="U129" s="16">
        <v>407.35840000000002</v>
      </c>
      <c r="V129" s="16">
        <v>412.19319999999999</v>
      </c>
      <c r="W129" s="16">
        <v>393.3535</v>
      </c>
      <c r="X129" s="16">
        <v>381.67439999999999</v>
      </c>
      <c r="Y129" s="16">
        <v>370.72480000000002</v>
      </c>
      <c r="Z129" s="26" t="s">
        <v>32</v>
      </c>
      <c r="AA129" s="25">
        <f t="shared" si="2"/>
        <v>353.87959999999998</v>
      </c>
      <c r="AB129" s="25">
        <f t="shared" si="3"/>
        <v>390.04079999999999</v>
      </c>
    </row>
    <row r="130" spans="1:28">
      <c r="A130" s="8">
        <v>45420</v>
      </c>
      <c r="B130" s="16">
        <v>369.81729999999999</v>
      </c>
      <c r="C130" s="16">
        <v>370.00970000000001</v>
      </c>
      <c r="D130" s="16">
        <v>364.17649999999998</v>
      </c>
      <c r="E130" s="16">
        <v>357.06369999999998</v>
      </c>
      <c r="F130" s="16">
        <v>349.68900000000002</v>
      </c>
      <c r="G130" s="16">
        <v>348.20659999999998</v>
      </c>
      <c r="H130" s="16">
        <v>355.11700000000002</v>
      </c>
      <c r="I130" s="16">
        <v>362.03879999999998</v>
      </c>
      <c r="J130" s="16">
        <v>388.05849999999998</v>
      </c>
      <c r="K130" s="16">
        <v>393.6728</v>
      </c>
      <c r="L130" s="16">
        <v>391.1891</v>
      </c>
      <c r="M130" s="16">
        <v>376.74160000000001</v>
      </c>
      <c r="N130" s="16">
        <v>361.5224</v>
      </c>
      <c r="O130" s="16">
        <v>376.12279999999998</v>
      </c>
      <c r="P130" s="16">
        <v>392.185</v>
      </c>
      <c r="Q130" s="16">
        <v>388.90410000000003</v>
      </c>
      <c r="R130" s="16">
        <v>389.18340000000001</v>
      </c>
      <c r="S130" s="16">
        <v>384.07459999999998</v>
      </c>
      <c r="T130" s="16">
        <v>376.63479999999998</v>
      </c>
      <c r="U130" s="16">
        <v>383.73669999999998</v>
      </c>
      <c r="V130" s="16">
        <v>384.70429999999999</v>
      </c>
      <c r="W130" s="16">
        <v>372.52409999999998</v>
      </c>
      <c r="X130" s="16">
        <v>353.22949999999997</v>
      </c>
      <c r="Y130" s="16">
        <v>335.01979999999998</v>
      </c>
      <c r="Z130" s="26" t="s">
        <v>32</v>
      </c>
      <c r="AA130" s="25">
        <f t="shared" ref="AA130:AA193" si="4">MIN($B130:$Y130)</f>
        <v>335.01979999999998</v>
      </c>
      <c r="AB130" s="25">
        <f t="shared" ref="AB130:AB193" si="5">AVERAGE($B130:$Y130)</f>
        <v>371.8175875</v>
      </c>
    </row>
    <row r="131" spans="1:28">
      <c r="A131" s="8">
        <v>45421</v>
      </c>
      <c r="B131" s="16">
        <v>349.7088</v>
      </c>
      <c r="C131" s="16">
        <v>347.31450000000001</v>
      </c>
      <c r="D131" s="16">
        <v>338.67309999999998</v>
      </c>
      <c r="E131" s="16">
        <v>329.54289999999997</v>
      </c>
      <c r="F131" s="16">
        <v>321.30419999999998</v>
      </c>
      <c r="G131" s="16">
        <v>320.84059999999999</v>
      </c>
      <c r="H131" s="16">
        <v>337.02629999999999</v>
      </c>
      <c r="I131" s="16">
        <v>337.1936</v>
      </c>
      <c r="J131" s="16">
        <v>353.4674</v>
      </c>
      <c r="K131" s="16">
        <v>356.19240000000002</v>
      </c>
      <c r="L131" s="16">
        <v>357.87009999999998</v>
      </c>
      <c r="M131" s="16">
        <v>351.50389999999999</v>
      </c>
      <c r="N131" s="16">
        <v>325.09719999999999</v>
      </c>
      <c r="O131" s="16">
        <v>345.09660000000002</v>
      </c>
      <c r="P131" s="16">
        <v>367.27319999999997</v>
      </c>
      <c r="Q131" s="16">
        <v>373.03660000000002</v>
      </c>
      <c r="R131" s="16">
        <v>378.21319999999997</v>
      </c>
      <c r="S131" s="16">
        <v>366.4486</v>
      </c>
      <c r="T131" s="16">
        <v>366.19319999999999</v>
      </c>
      <c r="U131" s="16">
        <v>373.9375</v>
      </c>
      <c r="V131" s="16">
        <v>374.7226</v>
      </c>
      <c r="W131" s="16">
        <v>355.93470000000002</v>
      </c>
      <c r="X131" s="16">
        <v>347.11259999999999</v>
      </c>
      <c r="Y131" s="16">
        <v>337.37740000000002</v>
      </c>
      <c r="Z131" s="26" t="s">
        <v>33</v>
      </c>
      <c r="AA131" s="25">
        <f t="shared" si="4"/>
        <v>320.84059999999999</v>
      </c>
      <c r="AB131" s="25">
        <f t="shared" si="5"/>
        <v>350.46171666666697</v>
      </c>
    </row>
    <row r="132" spans="1:28">
      <c r="A132" s="8">
        <v>45422</v>
      </c>
      <c r="B132" s="16">
        <v>336.4991</v>
      </c>
      <c r="C132" s="16">
        <v>336.06729999999999</v>
      </c>
      <c r="D132" s="16">
        <v>324.69240000000002</v>
      </c>
      <c r="E132" s="16">
        <v>311.49340000000001</v>
      </c>
      <c r="F132" s="16">
        <v>303.4821</v>
      </c>
      <c r="G132" s="16">
        <v>303.4264</v>
      </c>
      <c r="H132" s="16">
        <v>319.86619999999999</v>
      </c>
      <c r="I132" s="16">
        <v>323.50709999999998</v>
      </c>
      <c r="J132" s="16">
        <v>350.10680000000002</v>
      </c>
      <c r="K132" s="16">
        <v>354.78800000000001</v>
      </c>
      <c r="L132" s="16">
        <v>354.12369999999999</v>
      </c>
      <c r="M132" s="16">
        <v>353.64490000000001</v>
      </c>
      <c r="N132" s="16">
        <v>332.9889</v>
      </c>
      <c r="O132" s="16">
        <v>351.28890000000001</v>
      </c>
      <c r="P132" s="16">
        <v>359.77229999999997</v>
      </c>
      <c r="Q132" s="16">
        <v>364.5745</v>
      </c>
      <c r="R132" s="16">
        <v>372.33049999999997</v>
      </c>
      <c r="S132" s="16">
        <v>361.6497</v>
      </c>
      <c r="T132" s="16">
        <v>356.35480000000001</v>
      </c>
      <c r="U132" s="16">
        <v>365.12220000000002</v>
      </c>
      <c r="V132" s="16">
        <v>365.46359999999999</v>
      </c>
      <c r="W132" s="16">
        <v>351.13479999999998</v>
      </c>
      <c r="X132" s="16">
        <v>342.26080000000002</v>
      </c>
      <c r="Y132" s="16">
        <v>333.0677</v>
      </c>
      <c r="Z132" s="26" t="s">
        <v>34</v>
      </c>
      <c r="AA132" s="25">
        <f t="shared" si="4"/>
        <v>303.4264</v>
      </c>
      <c r="AB132" s="25">
        <f t="shared" si="5"/>
        <v>342.82108749999998</v>
      </c>
    </row>
    <row r="133" spans="1:28">
      <c r="A133" s="8">
        <v>45423</v>
      </c>
      <c r="B133" s="16">
        <v>342.81779999999998</v>
      </c>
      <c r="C133" s="16">
        <v>349.70310000000001</v>
      </c>
      <c r="D133" s="16">
        <v>337.72559999999999</v>
      </c>
      <c r="E133" s="16">
        <v>326.56389999999999</v>
      </c>
      <c r="F133" s="16">
        <v>319.24160000000001</v>
      </c>
      <c r="G133" s="16">
        <v>318.04579999999999</v>
      </c>
      <c r="H133" s="16">
        <v>340.5</v>
      </c>
      <c r="I133" s="16">
        <v>341</v>
      </c>
      <c r="J133" s="16">
        <v>357.39789999999999</v>
      </c>
      <c r="K133" s="16">
        <v>359.25330000000002</v>
      </c>
      <c r="L133" s="16">
        <v>360.13220000000001</v>
      </c>
      <c r="M133" s="16">
        <v>364.51710000000003</v>
      </c>
      <c r="N133" s="16">
        <v>347.65219999999999</v>
      </c>
      <c r="O133" s="16">
        <v>366.13159999999999</v>
      </c>
      <c r="P133" s="16">
        <v>377.43599999999998</v>
      </c>
      <c r="Q133" s="16">
        <v>373.6755</v>
      </c>
      <c r="R133" s="16">
        <v>371.92399999999998</v>
      </c>
      <c r="S133" s="16">
        <v>361.79829999999998</v>
      </c>
      <c r="T133" s="16">
        <v>358.81369999999998</v>
      </c>
      <c r="U133" s="16">
        <v>372.05369999999999</v>
      </c>
      <c r="V133" s="16">
        <v>375.2525</v>
      </c>
      <c r="W133" s="16">
        <v>372.13900000000001</v>
      </c>
      <c r="X133" s="16">
        <v>364.32690000000002</v>
      </c>
      <c r="Y133" s="16">
        <v>352.84089999999998</v>
      </c>
      <c r="Z133" s="26" t="s">
        <v>32</v>
      </c>
      <c r="AA133" s="25">
        <f t="shared" si="4"/>
        <v>318.04579999999999</v>
      </c>
      <c r="AB133" s="25">
        <f t="shared" si="5"/>
        <v>354.62260833333301</v>
      </c>
    </row>
    <row r="134" spans="1:28">
      <c r="A134" s="8">
        <v>45424</v>
      </c>
      <c r="B134" s="16">
        <v>367.18299999999999</v>
      </c>
      <c r="C134" s="16">
        <v>374.108</v>
      </c>
      <c r="D134" s="16">
        <v>366.72949999999997</v>
      </c>
      <c r="E134" s="16">
        <v>351.21789999999999</v>
      </c>
      <c r="F134" s="16">
        <v>346.0487</v>
      </c>
      <c r="G134" s="16">
        <v>340</v>
      </c>
      <c r="H134" s="16">
        <v>346.5992</v>
      </c>
      <c r="I134" s="16">
        <v>344.26940000000002</v>
      </c>
      <c r="J134" s="16">
        <v>347.42160000000001</v>
      </c>
      <c r="K134" s="16">
        <v>340.90339999999998</v>
      </c>
      <c r="L134" s="16">
        <v>340.37060000000002</v>
      </c>
      <c r="M134" s="16">
        <v>345.90949999999998</v>
      </c>
      <c r="N134" s="16">
        <v>347.47820000000002</v>
      </c>
      <c r="O134" s="16">
        <v>354.67099999999999</v>
      </c>
      <c r="P134" s="16">
        <v>361.55329999999998</v>
      </c>
      <c r="Q134" s="16">
        <v>352.14800000000002</v>
      </c>
      <c r="R134" s="16">
        <v>352.0224</v>
      </c>
      <c r="S134" s="16">
        <v>354.93639999999999</v>
      </c>
      <c r="T134" s="16">
        <v>347.67380000000003</v>
      </c>
      <c r="U134" s="16">
        <v>348.70569999999998</v>
      </c>
      <c r="V134" s="16">
        <v>355.8433</v>
      </c>
      <c r="W134" s="16">
        <v>358.78059999999999</v>
      </c>
      <c r="X134" s="16">
        <v>357.38139999999999</v>
      </c>
      <c r="Y134" s="16">
        <v>349.91730000000001</v>
      </c>
      <c r="Z134" s="26" t="s">
        <v>32</v>
      </c>
      <c r="AA134" s="25">
        <f t="shared" si="4"/>
        <v>340</v>
      </c>
      <c r="AB134" s="25">
        <f t="shared" si="5"/>
        <v>352.161341666667</v>
      </c>
    </row>
    <row r="135" spans="1:28">
      <c r="A135" s="8">
        <v>45425</v>
      </c>
      <c r="B135" s="16">
        <v>347.94900000000001</v>
      </c>
      <c r="C135" s="16">
        <v>350.04700000000003</v>
      </c>
      <c r="D135" s="16">
        <v>344.5016</v>
      </c>
      <c r="E135" s="16">
        <v>331.9425</v>
      </c>
      <c r="F135" s="16">
        <v>322.21159999999998</v>
      </c>
      <c r="G135" s="16">
        <v>315.60809999999998</v>
      </c>
      <c r="H135" s="16">
        <v>333.137</v>
      </c>
      <c r="I135" s="16">
        <v>338.85309999999998</v>
      </c>
      <c r="J135" s="16">
        <v>355.0093</v>
      </c>
      <c r="K135" s="16">
        <v>355.18470000000002</v>
      </c>
      <c r="L135" s="16">
        <v>356.3417</v>
      </c>
      <c r="M135" s="16">
        <v>353.94580000000002</v>
      </c>
      <c r="N135" s="16">
        <v>346.39890000000003</v>
      </c>
      <c r="O135" s="16">
        <v>350.25799999999998</v>
      </c>
      <c r="P135" s="16">
        <v>362.06279999999998</v>
      </c>
      <c r="Q135" s="16">
        <v>356.57690000000002</v>
      </c>
      <c r="R135" s="16">
        <v>360.25310000000002</v>
      </c>
      <c r="S135" s="16">
        <v>360.17009999999999</v>
      </c>
      <c r="T135" s="16">
        <v>353.67099999999999</v>
      </c>
      <c r="U135" s="16">
        <v>366.1574</v>
      </c>
      <c r="V135" s="16">
        <v>369.2484</v>
      </c>
      <c r="W135" s="16">
        <v>353.7192</v>
      </c>
      <c r="X135" s="16">
        <v>346.18729999999999</v>
      </c>
      <c r="Y135" s="16">
        <v>337.56169999999997</v>
      </c>
      <c r="Z135" s="26" t="s">
        <v>32</v>
      </c>
      <c r="AA135" s="25">
        <f t="shared" si="4"/>
        <v>315.60809999999998</v>
      </c>
      <c r="AB135" s="25">
        <f t="shared" si="5"/>
        <v>348.62484166666701</v>
      </c>
    </row>
    <row r="136" spans="1:28">
      <c r="A136" s="8">
        <v>45426</v>
      </c>
      <c r="B136" s="16">
        <v>241.75149999999999</v>
      </c>
      <c r="C136" s="16">
        <v>319.49200000000002</v>
      </c>
      <c r="D136" s="16">
        <v>315.90179999999998</v>
      </c>
      <c r="E136" s="16">
        <v>289.39879999999999</v>
      </c>
      <c r="F136" s="16">
        <v>45.9285</v>
      </c>
      <c r="G136" s="16">
        <v>45.466799999999999</v>
      </c>
      <c r="H136" s="16">
        <v>310.6712</v>
      </c>
      <c r="I136" s="16">
        <v>312.50240000000002</v>
      </c>
      <c r="J136" s="16">
        <v>329.79480000000001</v>
      </c>
      <c r="K136" s="16">
        <v>334.14429999999999</v>
      </c>
      <c r="L136" s="16">
        <v>325.07900000000001</v>
      </c>
      <c r="M136" s="16">
        <v>327.69929999999999</v>
      </c>
      <c r="N136" s="16">
        <v>317.38690000000003</v>
      </c>
      <c r="O136" s="16">
        <v>336.64929999999998</v>
      </c>
      <c r="P136" s="16">
        <v>338.70650000000001</v>
      </c>
      <c r="Q136" s="16">
        <v>333.93009999999998</v>
      </c>
      <c r="R136" s="16">
        <v>336.6069</v>
      </c>
      <c r="S136" s="16">
        <v>344.92540000000002</v>
      </c>
      <c r="T136" s="16">
        <v>339.74110000000002</v>
      </c>
      <c r="U136" s="16">
        <v>353.49849999999998</v>
      </c>
      <c r="V136" s="16">
        <v>351.8897</v>
      </c>
      <c r="W136" s="16">
        <v>345.88200000000001</v>
      </c>
      <c r="X136" s="16">
        <v>340.50819999999999</v>
      </c>
      <c r="Y136" s="16">
        <v>331.37830000000002</v>
      </c>
      <c r="Z136" s="26" t="s">
        <v>32</v>
      </c>
      <c r="AA136" s="25">
        <f t="shared" si="4"/>
        <v>45.466799999999999</v>
      </c>
      <c r="AB136" s="25">
        <f t="shared" si="5"/>
        <v>302.87222083333302</v>
      </c>
    </row>
    <row r="137" spans="1:28">
      <c r="A137" s="8">
        <v>45427</v>
      </c>
      <c r="B137" s="16">
        <v>331.25</v>
      </c>
      <c r="C137" s="16">
        <v>332.5</v>
      </c>
      <c r="D137" s="16">
        <v>326.33499999999998</v>
      </c>
      <c r="E137" s="16">
        <v>314.5</v>
      </c>
      <c r="F137" s="16">
        <v>294.53500000000003</v>
      </c>
      <c r="G137" s="16">
        <v>285.73500000000001</v>
      </c>
      <c r="H137" s="16">
        <v>318.5</v>
      </c>
      <c r="I137" s="16">
        <v>311.53489999999999</v>
      </c>
      <c r="J137" s="16">
        <v>331.42380000000003</v>
      </c>
      <c r="K137" s="16">
        <v>334.63670000000002</v>
      </c>
      <c r="L137" s="16">
        <v>331.46730000000002</v>
      </c>
      <c r="M137" s="16">
        <v>333.57709999999997</v>
      </c>
      <c r="N137" s="16">
        <v>315.15629999999999</v>
      </c>
      <c r="O137" s="16">
        <v>326.34070000000003</v>
      </c>
      <c r="P137" s="16">
        <v>326.75549999999998</v>
      </c>
      <c r="Q137" s="16">
        <v>329.33479999999997</v>
      </c>
      <c r="R137" s="16">
        <v>338.95519999999999</v>
      </c>
      <c r="S137" s="16">
        <v>343.43400000000003</v>
      </c>
      <c r="T137" s="16">
        <v>336.49869999999999</v>
      </c>
      <c r="U137" s="16">
        <v>371.09410000000003</v>
      </c>
      <c r="V137" s="16">
        <v>348.6977</v>
      </c>
      <c r="W137" s="16">
        <v>343.58460000000002</v>
      </c>
      <c r="X137" s="16">
        <v>341.64760000000001</v>
      </c>
      <c r="Y137" s="16">
        <v>331.44959999999998</v>
      </c>
      <c r="Z137" s="26" t="s">
        <v>32</v>
      </c>
      <c r="AA137" s="25">
        <f t="shared" si="4"/>
        <v>285.73500000000001</v>
      </c>
      <c r="AB137" s="25">
        <f t="shared" si="5"/>
        <v>329.12265000000002</v>
      </c>
    </row>
    <row r="138" spans="1:28">
      <c r="A138" s="8">
        <v>45428</v>
      </c>
      <c r="B138" s="16">
        <v>321.07380000000001</v>
      </c>
      <c r="C138" s="16">
        <v>323.51909999999998</v>
      </c>
      <c r="D138" s="16">
        <v>312.07440000000003</v>
      </c>
      <c r="E138" s="16">
        <v>299.79469999999998</v>
      </c>
      <c r="F138" s="16">
        <v>261.90480000000002</v>
      </c>
      <c r="G138" s="16">
        <v>227.6842</v>
      </c>
      <c r="H138" s="16">
        <v>296.57</v>
      </c>
      <c r="I138" s="16">
        <v>295.36219999999997</v>
      </c>
      <c r="J138" s="16">
        <v>304.4325</v>
      </c>
      <c r="K138" s="16">
        <v>308.18290000000002</v>
      </c>
      <c r="L138" s="16">
        <v>302.68680000000001</v>
      </c>
      <c r="M138" s="16">
        <v>249.23500000000001</v>
      </c>
      <c r="N138" s="16">
        <v>128.13800000000001</v>
      </c>
      <c r="O138" s="16">
        <v>263.67</v>
      </c>
      <c r="P138" s="16">
        <v>310.51249999999999</v>
      </c>
      <c r="Q138" s="16">
        <v>306.05630000000002</v>
      </c>
      <c r="R138" s="16">
        <v>310.14370000000002</v>
      </c>
      <c r="S138" s="16">
        <v>285.02780000000001</v>
      </c>
      <c r="T138" s="16">
        <v>303.38670000000002</v>
      </c>
      <c r="U138" s="16">
        <v>320.80759999999998</v>
      </c>
      <c r="V138" s="16">
        <v>321.654</v>
      </c>
      <c r="W138" s="16">
        <v>319.31319999999999</v>
      </c>
      <c r="X138" s="16">
        <v>317.22390000000001</v>
      </c>
      <c r="Y138" s="16">
        <v>305.46550000000002</v>
      </c>
      <c r="Z138" s="26" t="s">
        <v>33</v>
      </c>
      <c r="AA138" s="25">
        <f t="shared" si="4"/>
        <v>128.13800000000001</v>
      </c>
      <c r="AB138" s="25">
        <f t="shared" si="5"/>
        <v>291.41331666666701</v>
      </c>
    </row>
    <row r="139" spans="1:28">
      <c r="A139" s="8">
        <v>45429</v>
      </c>
      <c r="B139" s="16">
        <v>321.94740000000002</v>
      </c>
      <c r="C139" s="16">
        <v>328.25900000000001</v>
      </c>
      <c r="D139" s="16">
        <v>320.38350000000003</v>
      </c>
      <c r="E139" s="16">
        <v>303.07600000000002</v>
      </c>
      <c r="F139" s="16">
        <v>275.48840000000001</v>
      </c>
      <c r="G139" s="16">
        <v>236.34</v>
      </c>
      <c r="H139" s="16">
        <v>305.87779999999998</v>
      </c>
      <c r="I139" s="16">
        <v>300.70749999999998</v>
      </c>
      <c r="J139" s="16">
        <v>319.75</v>
      </c>
      <c r="K139" s="16">
        <v>330.0018</v>
      </c>
      <c r="L139" s="16">
        <v>328.98700000000002</v>
      </c>
      <c r="M139" s="16">
        <v>332.64679999999998</v>
      </c>
      <c r="N139" s="16">
        <v>321.66699999999997</v>
      </c>
      <c r="O139" s="16">
        <v>335.38470000000001</v>
      </c>
      <c r="P139" s="16">
        <v>340.97660000000002</v>
      </c>
      <c r="Q139" s="16">
        <v>341.36599999999999</v>
      </c>
      <c r="R139" s="16">
        <v>343.5428</v>
      </c>
      <c r="S139" s="16">
        <v>340.32220000000001</v>
      </c>
      <c r="T139" s="16">
        <v>330.98570000000001</v>
      </c>
      <c r="U139" s="16">
        <v>345.6857</v>
      </c>
      <c r="V139" s="16">
        <v>342.84660000000002</v>
      </c>
      <c r="W139" s="16">
        <v>344.03160000000003</v>
      </c>
      <c r="X139" s="16">
        <v>340.3578</v>
      </c>
      <c r="Y139" s="16">
        <v>331.33010000000002</v>
      </c>
      <c r="Z139" s="26" t="s">
        <v>34</v>
      </c>
      <c r="AA139" s="25">
        <f t="shared" si="4"/>
        <v>236.34</v>
      </c>
      <c r="AB139" s="25">
        <f t="shared" si="5"/>
        <v>323.41508333333297</v>
      </c>
    </row>
    <row r="140" spans="1:28">
      <c r="A140" s="8">
        <v>45430</v>
      </c>
      <c r="B140" s="16">
        <v>334.25</v>
      </c>
      <c r="C140" s="16">
        <v>340</v>
      </c>
      <c r="D140" s="16">
        <v>333.25</v>
      </c>
      <c r="E140" s="16">
        <v>322.02999999999997</v>
      </c>
      <c r="F140" s="16">
        <v>314.5</v>
      </c>
      <c r="G140" s="16">
        <v>306.5625</v>
      </c>
      <c r="H140" s="16">
        <v>315.7475</v>
      </c>
      <c r="I140" s="16">
        <v>304.68</v>
      </c>
      <c r="J140" s="16">
        <v>318.02999999999997</v>
      </c>
      <c r="K140" s="16">
        <v>325</v>
      </c>
      <c r="L140" s="16">
        <v>325.1925</v>
      </c>
      <c r="M140" s="16">
        <v>321.03539999999998</v>
      </c>
      <c r="N140" s="16">
        <v>318.25</v>
      </c>
      <c r="O140" s="16">
        <v>325.7525</v>
      </c>
      <c r="P140" s="16">
        <v>337.5</v>
      </c>
      <c r="Q140" s="16">
        <v>333.33499999999998</v>
      </c>
      <c r="R140" s="16">
        <v>331.25220000000002</v>
      </c>
      <c r="S140" s="16">
        <v>324.81369999999998</v>
      </c>
      <c r="T140" s="16">
        <v>312.95670000000001</v>
      </c>
      <c r="U140" s="16">
        <v>326.2294</v>
      </c>
      <c r="V140" s="16">
        <v>325.61669999999998</v>
      </c>
      <c r="W140" s="16">
        <v>327.74689999999998</v>
      </c>
      <c r="X140" s="16">
        <v>324.1925</v>
      </c>
      <c r="Y140" s="16">
        <v>315.58999999999997</v>
      </c>
      <c r="Z140" s="26" t="s">
        <v>32</v>
      </c>
      <c r="AA140" s="25">
        <f t="shared" si="4"/>
        <v>304.68</v>
      </c>
      <c r="AB140" s="25">
        <f t="shared" si="5"/>
        <v>323.47972916666703</v>
      </c>
    </row>
    <row r="141" spans="1:28">
      <c r="A141" s="8">
        <v>45431</v>
      </c>
      <c r="B141" s="16">
        <v>342.01499999999999</v>
      </c>
      <c r="C141" s="16">
        <v>343</v>
      </c>
      <c r="D141" s="16">
        <v>341.875</v>
      </c>
      <c r="E141" s="16">
        <v>324.97000000000003</v>
      </c>
      <c r="F141" s="16">
        <v>312.9975</v>
      </c>
      <c r="G141" s="16">
        <v>310</v>
      </c>
      <c r="H141" s="16">
        <v>314.31</v>
      </c>
      <c r="I141" s="16">
        <v>310.25</v>
      </c>
      <c r="J141" s="16">
        <v>299.5471</v>
      </c>
      <c r="K141" s="16">
        <v>298.53440000000001</v>
      </c>
      <c r="L141" s="16">
        <v>299.61439999999999</v>
      </c>
      <c r="M141" s="16">
        <v>303.29849999999999</v>
      </c>
      <c r="N141" s="16">
        <v>311.93389999999999</v>
      </c>
      <c r="O141" s="16">
        <v>318.75</v>
      </c>
      <c r="P141" s="16">
        <v>315.18099999999998</v>
      </c>
      <c r="Q141" s="16">
        <v>309.25920000000002</v>
      </c>
      <c r="R141" s="16">
        <v>302.38040000000001</v>
      </c>
      <c r="S141" s="16">
        <v>303.69499999999999</v>
      </c>
      <c r="T141" s="16">
        <v>302.69499999999999</v>
      </c>
      <c r="U141" s="16">
        <v>310.62180000000001</v>
      </c>
      <c r="V141" s="16">
        <v>311.2636</v>
      </c>
      <c r="W141" s="16">
        <v>313.75760000000002</v>
      </c>
      <c r="X141" s="16">
        <v>315</v>
      </c>
      <c r="Y141" s="16">
        <v>302.70999999999998</v>
      </c>
      <c r="Z141" s="26" t="s">
        <v>32</v>
      </c>
      <c r="AA141" s="25">
        <f t="shared" si="4"/>
        <v>298.53440000000001</v>
      </c>
      <c r="AB141" s="25">
        <f t="shared" si="5"/>
        <v>313.23580833333301</v>
      </c>
    </row>
    <row r="142" spans="1:28">
      <c r="A142" s="8">
        <v>45432</v>
      </c>
      <c r="B142" s="16">
        <v>224.55170000000001</v>
      </c>
      <c r="C142" s="16">
        <v>292.4246</v>
      </c>
      <c r="D142" s="16">
        <v>292.13299999999998</v>
      </c>
      <c r="E142" s="16">
        <v>68.208100000000002</v>
      </c>
      <c r="F142" s="16">
        <v>0</v>
      </c>
      <c r="G142" s="16">
        <v>0</v>
      </c>
      <c r="H142" s="16">
        <v>219.9102</v>
      </c>
      <c r="I142" s="16">
        <v>294.625</v>
      </c>
      <c r="J142" s="16">
        <v>317.90989999999999</v>
      </c>
      <c r="K142" s="16">
        <v>332.88569999999999</v>
      </c>
      <c r="L142" s="16">
        <v>333.34390000000002</v>
      </c>
      <c r="M142" s="16">
        <v>336.33150000000001</v>
      </c>
      <c r="N142" s="16">
        <v>314.22739999999999</v>
      </c>
      <c r="O142" s="16">
        <v>322.26170000000002</v>
      </c>
      <c r="P142" s="16">
        <v>336.351</v>
      </c>
      <c r="Q142" s="16">
        <v>338.79809999999998</v>
      </c>
      <c r="R142" s="16">
        <v>343.90570000000002</v>
      </c>
      <c r="S142" s="16">
        <v>340.07499999999999</v>
      </c>
      <c r="T142" s="16">
        <v>340.07920000000001</v>
      </c>
      <c r="U142" s="16">
        <v>343.79930000000002</v>
      </c>
      <c r="V142" s="16">
        <v>340.82799999999997</v>
      </c>
      <c r="W142" s="16">
        <v>334.23540000000003</v>
      </c>
      <c r="X142" s="16">
        <v>318.9228</v>
      </c>
      <c r="Y142" s="16">
        <v>296.79700000000003</v>
      </c>
      <c r="Z142" s="26" t="s">
        <v>32</v>
      </c>
      <c r="AA142" s="25">
        <f t="shared" si="4"/>
        <v>0</v>
      </c>
      <c r="AB142" s="25">
        <f t="shared" si="5"/>
        <v>278.44184166666702</v>
      </c>
    </row>
    <row r="143" spans="1:28">
      <c r="A143" s="8">
        <v>45433</v>
      </c>
      <c r="B143" s="16">
        <v>299.73719999999997</v>
      </c>
      <c r="C143" s="16">
        <v>302.8261</v>
      </c>
      <c r="D143" s="16">
        <v>298.9332</v>
      </c>
      <c r="E143" s="16">
        <v>282.01350000000002</v>
      </c>
      <c r="F143" s="16">
        <v>46.6235</v>
      </c>
      <c r="G143" s="16">
        <v>54.430500000000002</v>
      </c>
      <c r="H143" s="16">
        <v>289.02839999999998</v>
      </c>
      <c r="I143" s="16">
        <v>295.51339999999999</v>
      </c>
      <c r="J143" s="16">
        <v>319.58080000000001</v>
      </c>
      <c r="K143" s="16">
        <v>340.66379999999998</v>
      </c>
      <c r="L143" s="16">
        <v>341.71980000000002</v>
      </c>
      <c r="M143" s="16">
        <v>332.1694</v>
      </c>
      <c r="N143" s="16">
        <v>300.92790000000002</v>
      </c>
      <c r="O143" s="16">
        <v>308.423</v>
      </c>
      <c r="P143" s="16">
        <v>319.33300000000003</v>
      </c>
      <c r="Q143" s="16">
        <v>326.38420000000002</v>
      </c>
      <c r="R143" s="16">
        <v>339.09519999999998</v>
      </c>
      <c r="S143" s="16">
        <v>338.15019999999998</v>
      </c>
      <c r="T143" s="16">
        <v>334.40769999999998</v>
      </c>
      <c r="U143" s="16">
        <v>341.34019999999998</v>
      </c>
      <c r="V143" s="16">
        <v>334.79360000000003</v>
      </c>
      <c r="W143" s="16">
        <v>328.34160000000003</v>
      </c>
      <c r="X143" s="16">
        <v>311.32100000000003</v>
      </c>
      <c r="Y143" s="16">
        <v>241.73929999999999</v>
      </c>
      <c r="Z143" s="26" t="s">
        <v>32</v>
      </c>
      <c r="AA143" s="25">
        <f t="shared" si="4"/>
        <v>46.6235</v>
      </c>
      <c r="AB143" s="25">
        <f t="shared" si="5"/>
        <v>292.81235416666698</v>
      </c>
    </row>
    <row r="144" spans="1:28">
      <c r="A144" s="8">
        <v>45434</v>
      </c>
      <c r="B144" s="16">
        <v>272.43380000000002</v>
      </c>
      <c r="C144" s="16">
        <v>299.53699999999998</v>
      </c>
      <c r="D144" s="16">
        <v>296.78910000000002</v>
      </c>
      <c r="E144" s="16">
        <v>295.36439999999999</v>
      </c>
      <c r="F144" s="16">
        <v>285.6071</v>
      </c>
      <c r="G144" s="16">
        <v>278.74849999999998</v>
      </c>
      <c r="H144" s="16">
        <v>298.45949999999999</v>
      </c>
      <c r="I144" s="16">
        <v>303.87639999999999</v>
      </c>
      <c r="J144" s="16">
        <v>325.60379999999998</v>
      </c>
      <c r="K144" s="16">
        <v>334.61599999999999</v>
      </c>
      <c r="L144" s="16">
        <v>333.84719999999999</v>
      </c>
      <c r="M144" s="16">
        <v>329.83010000000002</v>
      </c>
      <c r="N144" s="16">
        <v>309.57830000000001</v>
      </c>
      <c r="O144" s="16">
        <v>318.64519999999999</v>
      </c>
      <c r="P144" s="16">
        <v>331.77910000000003</v>
      </c>
      <c r="Q144" s="16">
        <v>335.1592</v>
      </c>
      <c r="R144" s="16">
        <v>353.0625</v>
      </c>
      <c r="S144" s="16">
        <v>342.60390000000001</v>
      </c>
      <c r="T144" s="16">
        <v>346.25310000000002</v>
      </c>
      <c r="U144" s="16">
        <v>352.00439999999998</v>
      </c>
      <c r="V144" s="16">
        <v>340.62290000000002</v>
      </c>
      <c r="W144" s="16">
        <v>330.52170000000001</v>
      </c>
      <c r="X144" s="16">
        <v>311.79259999999999</v>
      </c>
      <c r="Y144" s="16">
        <v>294.5514</v>
      </c>
      <c r="Z144" s="26" t="s">
        <v>32</v>
      </c>
      <c r="AA144" s="25">
        <f t="shared" si="4"/>
        <v>272.43380000000002</v>
      </c>
      <c r="AB144" s="25">
        <f t="shared" si="5"/>
        <v>317.55363333333298</v>
      </c>
    </row>
    <row r="145" spans="1:28">
      <c r="A145" s="8">
        <v>45435</v>
      </c>
      <c r="B145" s="16">
        <v>300.53550000000001</v>
      </c>
      <c r="C145" s="16">
        <v>304.72030000000001</v>
      </c>
      <c r="D145" s="16">
        <v>300.18130000000002</v>
      </c>
      <c r="E145" s="16">
        <v>280.29109999999997</v>
      </c>
      <c r="F145" s="16">
        <v>184.5625</v>
      </c>
      <c r="G145" s="16">
        <v>129.6259</v>
      </c>
      <c r="H145" s="16">
        <v>290.06130000000002</v>
      </c>
      <c r="I145" s="16">
        <v>296.3261</v>
      </c>
      <c r="J145" s="16">
        <v>321.27609999999999</v>
      </c>
      <c r="K145" s="16">
        <v>329.09519999999998</v>
      </c>
      <c r="L145" s="16">
        <v>327.32819999999998</v>
      </c>
      <c r="M145" s="16">
        <v>326.69209999999998</v>
      </c>
      <c r="N145" s="16">
        <v>302.54059999999998</v>
      </c>
      <c r="O145" s="16">
        <v>315.27050000000003</v>
      </c>
      <c r="P145" s="16">
        <v>329.8546</v>
      </c>
      <c r="Q145" s="16">
        <v>324.78399999999999</v>
      </c>
      <c r="R145" s="16">
        <v>331.53449999999998</v>
      </c>
      <c r="S145" s="16">
        <v>332.07229999999998</v>
      </c>
      <c r="T145" s="16">
        <v>333.85950000000003</v>
      </c>
      <c r="U145" s="16">
        <v>340.78140000000002</v>
      </c>
      <c r="V145" s="16">
        <v>336.01839999999999</v>
      </c>
      <c r="W145" s="16">
        <v>329.99950000000001</v>
      </c>
      <c r="X145" s="16">
        <v>313.21690000000001</v>
      </c>
      <c r="Y145" s="16">
        <v>288.55149999999998</v>
      </c>
      <c r="Z145" s="26" t="s">
        <v>33</v>
      </c>
      <c r="AA145" s="25">
        <f t="shared" si="4"/>
        <v>129.6259</v>
      </c>
      <c r="AB145" s="25">
        <f t="shared" si="5"/>
        <v>302.882470833333</v>
      </c>
    </row>
    <row r="146" spans="1:28">
      <c r="A146" s="8">
        <v>45436</v>
      </c>
      <c r="B146" s="16">
        <v>316.7568</v>
      </c>
      <c r="C146" s="16">
        <v>318.98919999999998</v>
      </c>
      <c r="D146" s="16">
        <v>308.959</v>
      </c>
      <c r="E146" s="16">
        <v>291.45519999999999</v>
      </c>
      <c r="F146" s="16">
        <v>269.21960000000001</v>
      </c>
      <c r="G146" s="16">
        <v>268.30970000000002</v>
      </c>
      <c r="H146" s="16">
        <v>300.76920000000001</v>
      </c>
      <c r="I146" s="16">
        <v>302.327</v>
      </c>
      <c r="J146" s="16">
        <v>329.86110000000002</v>
      </c>
      <c r="K146" s="16">
        <v>341.6884</v>
      </c>
      <c r="L146" s="16">
        <v>341.11919999999998</v>
      </c>
      <c r="M146" s="16">
        <v>343.34910000000002</v>
      </c>
      <c r="N146" s="16">
        <v>317.26220000000001</v>
      </c>
      <c r="O146" s="16">
        <v>328.29180000000002</v>
      </c>
      <c r="P146" s="16">
        <v>344.08049999999997</v>
      </c>
      <c r="Q146" s="16">
        <v>334.90039999999999</v>
      </c>
      <c r="R146" s="16">
        <v>340.11590000000001</v>
      </c>
      <c r="S146" s="16">
        <v>339.34840000000003</v>
      </c>
      <c r="T146" s="16">
        <v>342.63529999999997</v>
      </c>
      <c r="U146" s="16">
        <v>348.63380000000001</v>
      </c>
      <c r="V146" s="16">
        <v>343.64800000000002</v>
      </c>
      <c r="W146" s="16">
        <v>338.07380000000001</v>
      </c>
      <c r="X146" s="16">
        <v>323.37450000000001</v>
      </c>
      <c r="Y146" s="16">
        <v>301.35270000000003</v>
      </c>
      <c r="Z146" s="26" t="s">
        <v>34</v>
      </c>
      <c r="AA146" s="25">
        <f t="shared" si="4"/>
        <v>268.30970000000002</v>
      </c>
      <c r="AB146" s="25">
        <f t="shared" si="5"/>
        <v>322.27170000000001</v>
      </c>
    </row>
    <row r="147" spans="1:28">
      <c r="A147" s="8">
        <v>45437</v>
      </c>
      <c r="B147" s="16">
        <v>307.93150000000003</v>
      </c>
      <c r="C147" s="16">
        <v>314.11200000000002</v>
      </c>
      <c r="D147" s="16">
        <v>306.01510000000002</v>
      </c>
      <c r="E147" s="16">
        <v>285.3347</v>
      </c>
      <c r="F147" s="16">
        <v>272.16230000000002</v>
      </c>
      <c r="G147" s="16">
        <v>269.34629999999999</v>
      </c>
      <c r="H147" s="16">
        <v>276.56709999999998</v>
      </c>
      <c r="I147" s="16">
        <v>275.30410000000001</v>
      </c>
      <c r="J147" s="16">
        <v>304.29289999999997</v>
      </c>
      <c r="K147" s="16">
        <v>312.78480000000002</v>
      </c>
      <c r="L147" s="16">
        <v>310.06459999999998</v>
      </c>
      <c r="M147" s="16">
        <v>320.24919999999997</v>
      </c>
      <c r="N147" s="16">
        <v>306.11829999999998</v>
      </c>
      <c r="O147" s="16">
        <v>324.25830000000002</v>
      </c>
      <c r="P147" s="16">
        <v>336.32729999999998</v>
      </c>
      <c r="Q147" s="16">
        <v>327.37099999999998</v>
      </c>
      <c r="R147" s="16">
        <v>334.5419</v>
      </c>
      <c r="S147" s="16">
        <v>331.63940000000002</v>
      </c>
      <c r="T147" s="16">
        <v>335.81150000000002</v>
      </c>
      <c r="U147" s="16">
        <v>339.34160000000003</v>
      </c>
      <c r="V147" s="16">
        <v>332.7373</v>
      </c>
      <c r="W147" s="16">
        <v>329.8442</v>
      </c>
      <c r="X147" s="16">
        <v>318.87060000000002</v>
      </c>
      <c r="Y147" s="16">
        <v>303.2122</v>
      </c>
      <c r="Z147" s="26" t="s">
        <v>32</v>
      </c>
      <c r="AA147" s="25">
        <f t="shared" si="4"/>
        <v>269.34629999999999</v>
      </c>
      <c r="AB147" s="25">
        <f t="shared" si="5"/>
        <v>311.42659166666698</v>
      </c>
    </row>
    <row r="148" spans="1:28">
      <c r="A148" s="8">
        <v>45438</v>
      </c>
      <c r="B148" s="16">
        <v>315.96359999999999</v>
      </c>
      <c r="C148" s="16">
        <v>312.11059999999998</v>
      </c>
      <c r="D148" s="16">
        <v>306.27749999999997</v>
      </c>
      <c r="E148" s="16">
        <v>290.34249999999997</v>
      </c>
      <c r="F148" s="16">
        <v>269.6071</v>
      </c>
      <c r="G148" s="16">
        <v>262.73289999999997</v>
      </c>
      <c r="H148" s="16">
        <v>273.625</v>
      </c>
      <c r="I148" s="16">
        <v>269.77449999999999</v>
      </c>
      <c r="J148" s="16">
        <v>276.70699999999999</v>
      </c>
      <c r="K148" s="16">
        <v>286.30309999999997</v>
      </c>
      <c r="L148" s="16">
        <v>293.05689999999998</v>
      </c>
      <c r="M148" s="16">
        <v>308.87150000000003</v>
      </c>
      <c r="N148" s="16">
        <v>304.92250000000001</v>
      </c>
      <c r="O148" s="16">
        <v>315.7561</v>
      </c>
      <c r="P148" s="16">
        <v>319.40600000000001</v>
      </c>
      <c r="Q148" s="16">
        <v>317.66390000000001</v>
      </c>
      <c r="R148" s="16">
        <v>319.58229999999998</v>
      </c>
      <c r="S148" s="16">
        <v>319.44299999999998</v>
      </c>
      <c r="T148" s="16">
        <v>317.26609999999999</v>
      </c>
      <c r="U148" s="16">
        <v>320.50749999999999</v>
      </c>
      <c r="V148" s="16">
        <v>319.80939999999998</v>
      </c>
      <c r="W148" s="16">
        <v>320.84289999999999</v>
      </c>
      <c r="X148" s="16">
        <v>316.83300000000003</v>
      </c>
      <c r="Y148" s="16">
        <v>305.85509999999999</v>
      </c>
      <c r="Z148" s="26" t="s">
        <v>32</v>
      </c>
      <c r="AA148" s="25">
        <f t="shared" si="4"/>
        <v>262.73289999999997</v>
      </c>
      <c r="AB148" s="25">
        <f t="shared" si="5"/>
        <v>302.63583333333298</v>
      </c>
    </row>
    <row r="149" spans="1:28">
      <c r="A149" s="8">
        <v>45439</v>
      </c>
      <c r="B149" s="16">
        <v>213</v>
      </c>
      <c r="C149" s="16">
        <v>278.3725</v>
      </c>
      <c r="D149" s="16">
        <v>275.26</v>
      </c>
      <c r="E149" s="16">
        <v>130.08500000000001</v>
      </c>
      <c r="F149" s="16">
        <v>0</v>
      </c>
      <c r="G149" s="16">
        <v>0</v>
      </c>
      <c r="H149" s="16">
        <v>135.785</v>
      </c>
      <c r="I149" s="16">
        <v>266.80220000000003</v>
      </c>
      <c r="J149" s="16">
        <v>317.21589999999998</v>
      </c>
      <c r="K149" s="16">
        <v>336.03149999999999</v>
      </c>
      <c r="L149" s="16">
        <v>330.5077</v>
      </c>
      <c r="M149" s="16">
        <v>332.85469999999998</v>
      </c>
      <c r="N149" s="16">
        <v>311.7244</v>
      </c>
      <c r="O149" s="16">
        <v>322.62549999999999</v>
      </c>
      <c r="P149" s="16">
        <v>331.76589999999999</v>
      </c>
      <c r="Q149" s="16">
        <v>336.80250000000001</v>
      </c>
      <c r="R149" s="16">
        <v>350.31639999999999</v>
      </c>
      <c r="S149" s="16">
        <v>338.26769999999999</v>
      </c>
      <c r="T149" s="16">
        <v>336.27050000000003</v>
      </c>
      <c r="U149" s="16">
        <v>345.12180000000001</v>
      </c>
      <c r="V149" s="16">
        <v>342.20389999999998</v>
      </c>
      <c r="W149" s="16">
        <v>332.11700000000002</v>
      </c>
      <c r="X149" s="16">
        <v>322.4049</v>
      </c>
      <c r="Y149" s="16">
        <v>301.0025</v>
      </c>
      <c r="Z149" s="26" t="s">
        <v>32</v>
      </c>
      <c r="AA149" s="25">
        <f t="shared" si="4"/>
        <v>0</v>
      </c>
      <c r="AB149" s="25">
        <f t="shared" si="5"/>
        <v>274.43906249999998</v>
      </c>
    </row>
    <row r="150" spans="1:28">
      <c r="A150" s="8">
        <v>45440</v>
      </c>
      <c r="B150" s="16">
        <v>316.42689999999999</v>
      </c>
      <c r="C150" s="16">
        <v>310.24759999999998</v>
      </c>
      <c r="D150" s="16">
        <v>305.42250000000001</v>
      </c>
      <c r="E150" s="16">
        <v>285.66809999999998</v>
      </c>
      <c r="F150" s="16">
        <v>263.7312</v>
      </c>
      <c r="G150" s="16">
        <v>244.3929</v>
      </c>
      <c r="H150" s="16">
        <v>282.05169999999998</v>
      </c>
      <c r="I150" s="16">
        <v>290.255</v>
      </c>
      <c r="J150" s="16">
        <v>327.58819999999997</v>
      </c>
      <c r="K150" s="16">
        <v>344.14929999999998</v>
      </c>
      <c r="L150" s="16">
        <v>345.69459999999998</v>
      </c>
      <c r="M150" s="16">
        <v>343.53280000000001</v>
      </c>
      <c r="N150" s="16">
        <v>325.21629999999999</v>
      </c>
      <c r="O150" s="16">
        <v>334.13810000000001</v>
      </c>
      <c r="P150" s="16">
        <v>345.27100000000002</v>
      </c>
      <c r="Q150" s="16">
        <v>342.75819999999999</v>
      </c>
      <c r="R150" s="16">
        <v>343.50970000000001</v>
      </c>
      <c r="S150" s="16">
        <v>335.27260000000001</v>
      </c>
      <c r="T150" s="16">
        <v>328.96609999999998</v>
      </c>
      <c r="U150" s="16">
        <v>340.24680000000001</v>
      </c>
      <c r="V150" s="16">
        <v>338.56900000000002</v>
      </c>
      <c r="W150" s="16">
        <v>328.69540000000001</v>
      </c>
      <c r="X150" s="16">
        <v>312.4898</v>
      </c>
      <c r="Y150" s="16">
        <v>287.39120000000003</v>
      </c>
      <c r="Z150" s="26" t="s">
        <v>32</v>
      </c>
      <c r="AA150" s="25">
        <f t="shared" si="4"/>
        <v>244.3929</v>
      </c>
      <c r="AB150" s="25">
        <f t="shared" si="5"/>
        <v>317.57020833333303</v>
      </c>
    </row>
    <row r="151" spans="1:28">
      <c r="A151" s="8">
        <v>45441</v>
      </c>
      <c r="B151" s="16">
        <v>295.40170000000001</v>
      </c>
      <c r="C151" s="16">
        <v>297.6388</v>
      </c>
      <c r="D151" s="16">
        <v>285.2756</v>
      </c>
      <c r="E151" s="16">
        <v>248.3965</v>
      </c>
      <c r="F151" s="16">
        <v>2.5895999999999999</v>
      </c>
      <c r="G151" s="16">
        <v>2.6617999999999999</v>
      </c>
      <c r="H151" s="16">
        <v>190.5009</v>
      </c>
      <c r="I151" s="16">
        <v>221.4631</v>
      </c>
      <c r="J151" s="16">
        <v>321.87619999999998</v>
      </c>
      <c r="K151" s="16">
        <v>344.6549</v>
      </c>
      <c r="L151" s="16">
        <v>345.5917</v>
      </c>
      <c r="M151" s="16">
        <v>336.8424</v>
      </c>
      <c r="N151" s="16">
        <v>313.99209999999999</v>
      </c>
      <c r="O151" s="16">
        <v>325.45569999999998</v>
      </c>
      <c r="P151" s="16">
        <v>342.11399999999998</v>
      </c>
      <c r="Q151" s="16">
        <v>340.7774</v>
      </c>
      <c r="R151" s="16">
        <v>338.14479999999998</v>
      </c>
      <c r="S151" s="16">
        <v>334.59219999999999</v>
      </c>
      <c r="T151" s="16">
        <v>330.3107</v>
      </c>
      <c r="U151" s="16">
        <v>340.10610000000003</v>
      </c>
      <c r="V151" s="16">
        <v>336.88589999999999</v>
      </c>
      <c r="W151" s="16">
        <v>326.38260000000002</v>
      </c>
      <c r="X151" s="16">
        <v>295.80919999999998</v>
      </c>
      <c r="Y151" s="16">
        <v>122.83159999999999</v>
      </c>
      <c r="Z151" s="26" t="s">
        <v>32</v>
      </c>
      <c r="AA151" s="25">
        <f t="shared" si="4"/>
        <v>2.5895999999999999</v>
      </c>
      <c r="AB151" s="25">
        <f t="shared" si="5"/>
        <v>276.67897916666698</v>
      </c>
    </row>
    <row r="152" spans="1:28">
      <c r="A152" s="8">
        <v>45442</v>
      </c>
      <c r="B152" s="16">
        <v>213.619</v>
      </c>
      <c r="C152" s="16">
        <v>275.33339999999998</v>
      </c>
      <c r="D152" s="16">
        <v>264.15960000000001</v>
      </c>
      <c r="E152" s="16">
        <v>208.6704</v>
      </c>
      <c r="F152" s="16">
        <v>2.4203000000000001</v>
      </c>
      <c r="G152" s="16">
        <v>2.3757999999999999</v>
      </c>
      <c r="H152" s="16">
        <v>165.41139999999999</v>
      </c>
      <c r="I152" s="16">
        <v>175.70699999999999</v>
      </c>
      <c r="J152" s="16">
        <v>304.7287</v>
      </c>
      <c r="K152" s="16">
        <v>324.11279999999999</v>
      </c>
      <c r="L152" s="16">
        <v>330.36810000000003</v>
      </c>
      <c r="M152" s="16">
        <v>326.3014</v>
      </c>
      <c r="N152" s="16">
        <v>312.27839999999998</v>
      </c>
      <c r="O152" s="16">
        <v>321.25639999999999</v>
      </c>
      <c r="P152" s="16">
        <v>327.61369999999999</v>
      </c>
      <c r="Q152" s="16">
        <v>327.69979999999998</v>
      </c>
      <c r="R152" s="16">
        <v>324.20080000000002</v>
      </c>
      <c r="S152" s="16">
        <v>331.08589999999998</v>
      </c>
      <c r="T152" s="16">
        <v>322.84480000000002</v>
      </c>
      <c r="U152" s="16">
        <v>329.86579999999998</v>
      </c>
      <c r="V152" s="16">
        <v>326.92790000000002</v>
      </c>
      <c r="W152" s="16">
        <v>320.69630000000001</v>
      </c>
      <c r="X152" s="16">
        <v>306.33159999999998</v>
      </c>
      <c r="Y152" s="16">
        <v>204.34049999999999</v>
      </c>
      <c r="Z152" s="24" t="s">
        <v>31</v>
      </c>
      <c r="AA152" s="25">
        <f t="shared" si="4"/>
        <v>2.3757999999999999</v>
      </c>
      <c r="AB152" s="25">
        <f t="shared" si="5"/>
        <v>264.51457499999998</v>
      </c>
    </row>
    <row r="153" spans="1:28">
      <c r="A153" s="8">
        <v>45443</v>
      </c>
      <c r="B153" s="16">
        <v>290.65969999999999</v>
      </c>
      <c r="C153" s="16">
        <v>291.33960000000002</v>
      </c>
      <c r="D153" s="16">
        <v>282.59989999999999</v>
      </c>
      <c r="E153" s="16">
        <v>275.74450000000002</v>
      </c>
      <c r="F153" s="16">
        <v>238.60319999999999</v>
      </c>
      <c r="G153" s="16">
        <v>161.86109999999999</v>
      </c>
      <c r="H153" s="16">
        <v>267.54750000000001</v>
      </c>
      <c r="I153" s="16">
        <v>258.28230000000002</v>
      </c>
      <c r="J153" s="16">
        <v>311.28120000000001</v>
      </c>
      <c r="K153" s="16">
        <v>344.27960000000002</v>
      </c>
      <c r="L153" s="16">
        <v>340.1746</v>
      </c>
      <c r="M153" s="16">
        <v>350.06639999999999</v>
      </c>
      <c r="N153" s="16">
        <v>325.38119999999998</v>
      </c>
      <c r="O153" s="16">
        <v>332.09219999999999</v>
      </c>
      <c r="P153" s="16">
        <v>352.54680000000002</v>
      </c>
      <c r="Q153" s="16">
        <v>349.21460000000002</v>
      </c>
      <c r="R153" s="16">
        <v>353.59379999999999</v>
      </c>
      <c r="S153" s="16">
        <v>345.48160000000001</v>
      </c>
      <c r="T153" s="16">
        <v>342.49369999999999</v>
      </c>
      <c r="U153" s="16">
        <v>349.05189999999999</v>
      </c>
      <c r="V153" s="16">
        <v>344.61779999999999</v>
      </c>
      <c r="W153" s="16">
        <v>325.63119999999998</v>
      </c>
      <c r="X153" s="16">
        <v>306.08069999999998</v>
      </c>
      <c r="Y153" s="16">
        <v>291.03609999999998</v>
      </c>
      <c r="Z153" s="27" t="s">
        <v>35</v>
      </c>
      <c r="AA153" s="25">
        <f t="shared" si="4"/>
        <v>161.86109999999999</v>
      </c>
      <c r="AB153" s="25">
        <f t="shared" si="5"/>
        <v>309.56921666666699</v>
      </c>
    </row>
    <row r="154" spans="1:28">
      <c r="A154" s="8">
        <v>45444</v>
      </c>
      <c r="B154" s="16">
        <v>308.45269999999999</v>
      </c>
      <c r="C154" s="16">
        <v>311.2747</v>
      </c>
      <c r="D154" s="16">
        <v>303.49529999999999</v>
      </c>
      <c r="E154" s="16">
        <v>292.2525</v>
      </c>
      <c r="F154" s="16">
        <v>265.70749999999998</v>
      </c>
      <c r="G154" s="16">
        <v>263.01</v>
      </c>
      <c r="H154" s="16">
        <v>287.5025</v>
      </c>
      <c r="I154" s="16">
        <v>280.755</v>
      </c>
      <c r="J154" s="16">
        <v>324.39249999999998</v>
      </c>
      <c r="K154" s="16">
        <v>333.14960000000002</v>
      </c>
      <c r="L154" s="16">
        <v>367.09379999999999</v>
      </c>
      <c r="M154" s="16">
        <v>385.19009999999997</v>
      </c>
      <c r="N154" s="16">
        <v>321.82850000000002</v>
      </c>
      <c r="O154" s="16">
        <v>331.75389999999999</v>
      </c>
      <c r="P154" s="16">
        <v>352.58229999999998</v>
      </c>
      <c r="Q154" s="16">
        <v>350.4074</v>
      </c>
      <c r="R154" s="16">
        <v>355.8014</v>
      </c>
      <c r="S154" s="16">
        <v>348.95150000000001</v>
      </c>
      <c r="T154" s="16">
        <v>338.27749999999997</v>
      </c>
      <c r="U154" s="16">
        <v>358.2817</v>
      </c>
      <c r="V154" s="16">
        <v>356.8023</v>
      </c>
      <c r="W154" s="16">
        <v>334.78149999999999</v>
      </c>
      <c r="X154" s="16">
        <v>321.43340000000001</v>
      </c>
      <c r="Y154" s="16">
        <v>306.1345</v>
      </c>
      <c r="Z154" s="27" t="s">
        <v>35</v>
      </c>
      <c r="AA154" s="25">
        <f t="shared" si="4"/>
        <v>263.01</v>
      </c>
      <c r="AB154" s="25">
        <f t="shared" si="5"/>
        <v>324.9713375</v>
      </c>
    </row>
    <row r="155" spans="1:28">
      <c r="A155" s="8">
        <v>45445</v>
      </c>
      <c r="B155" s="16">
        <v>318.38310000000001</v>
      </c>
      <c r="C155" s="16">
        <v>319.09629999999999</v>
      </c>
      <c r="D155" s="16">
        <v>315.37689999999998</v>
      </c>
      <c r="E155" s="16">
        <v>307.40820000000002</v>
      </c>
      <c r="F155" s="16">
        <v>288.5</v>
      </c>
      <c r="G155" s="16">
        <v>278.58999999999997</v>
      </c>
      <c r="H155" s="16">
        <v>280.25</v>
      </c>
      <c r="I155" s="16">
        <v>184.34229999999999</v>
      </c>
      <c r="J155" s="16">
        <v>71.022300000000001</v>
      </c>
      <c r="K155" s="16">
        <v>203.2388</v>
      </c>
      <c r="L155" s="16">
        <v>278.33609999999999</v>
      </c>
      <c r="M155" s="16">
        <v>288.72149999999999</v>
      </c>
      <c r="N155" s="16">
        <v>268.14609999999999</v>
      </c>
      <c r="O155" s="16">
        <v>287.3433</v>
      </c>
      <c r="P155" s="16">
        <v>300.49950000000001</v>
      </c>
      <c r="Q155" s="16">
        <v>301.13060000000002</v>
      </c>
      <c r="R155" s="16">
        <v>303.81639999999999</v>
      </c>
      <c r="S155" s="16">
        <v>311.38240000000002</v>
      </c>
      <c r="T155" s="16">
        <v>312.33210000000003</v>
      </c>
      <c r="U155" s="16">
        <v>320.61250000000001</v>
      </c>
      <c r="V155" s="16">
        <v>324.4599</v>
      </c>
      <c r="W155" s="16">
        <v>323.9325</v>
      </c>
      <c r="X155" s="16">
        <v>321.53960000000001</v>
      </c>
      <c r="Y155" s="16">
        <v>306.3168</v>
      </c>
      <c r="Z155" s="26" t="s">
        <v>32</v>
      </c>
      <c r="AA155" s="25">
        <f t="shared" si="4"/>
        <v>71.022300000000001</v>
      </c>
      <c r="AB155" s="25">
        <f t="shared" si="5"/>
        <v>283.94905</v>
      </c>
    </row>
    <row r="156" spans="1:28">
      <c r="A156" s="8">
        <v>45446</v>
      </c>
      <c r="B156" s="16">
        <v>315.18520000000001</v>
      </c>
      <c r="C156" s="16">
        <v>315.13249999999999</v>
      </c>
      <c r="D156" s="16">
        <v>301.75</v>
      </c>
      <c r="E156" s="16">
        <v>281.83999999999997</v>
      </c>
      <c r="F156" s="16">
        <v>257.68</v>
      </c>
      <c r="G156" s="16">
        <v>246.19499999999999</v>
      </c>
      <c r="H156" s="16">
        <v>293.75</v>
      </c>
      <c r="I156" s="16">
        <v>298.25</v>
      </c>
      <c r="J156" s="16">
        <v>347.93709999999999</v>
      </c>
      <c r="K156" s="16">
        <v>381.4083</v>
      </c>
      <c r="L156" s="16">
        <v>388.00810000000001</v>
      </c>
      <c r="M156" s="16">
        <v>387.01799999999997</v>
      </c>
      <c r="N156" s="16">
        <v>322.38990000000001</v>
      </c>
      <c r="O156" s="16">
        <v>338.35669999999999</v>
      </c>
      <c r="P156" s="16">
        <v>362.64929999999998</v>
      </c>
      <c r="Q156" s="16">
        <v>364.43400000000003</v>
      </c>
      <c r="R156" s="16">
        <v>363.38260000000002</v>
      </c>
      <c r="S156" s="16">
        <v>356.00420000000003</v>
      </c>
      <c r="T156" s="16">
        <v>334.62029999999999</v>
      </c>
      <c r="U156" s="16">
        <v>355.97449999999998</v>
      </c>
      <c r="V156" s="16">
        <v>351.12490000000003</v>
      </c>
      <c r="W156" s="16">
        <v>339.95319999999998</v>
      </c>
      <c r="X156" s="16">
        <v>325.47550000000001</v>
      </c>
      <c r="Y156" s="16">
        <v>304.05250000000001</v>
      </c>
      <c r="Z156" s="26" t="s">
        <v>32</v>
      </c>
      <c r="AA156" s="25">
        <f t="shared" si="4"/>
        <v>246.19499999999999</v>
      </c>
      <c r="AB156" s="25">
        <f t="shared" si="5"/>
        <v>330.52382499999999</v>
      </c>
    </row>
    <row r="157" spans="1:28">
      <c r="A157" s="8">
        <v>45447</v>
      </c>
      <c r="B157" s="16">
        <v>309.04390000000001</v>
      </c>
      <c r="C157" s="16">
        <v>309.0222</v>
      </c>
      <c r="D157" s="16">
        <v>296.92250000000001</v>
      </c>
      <c r="E157" s="16">
        <v>280.15170000000001</v>
      </c>
      <c r="F157" s="16">
        <v>119.19499999999999</v>
      </c>
      <c r="G157" s="16">
        <v>130.14500000000001</v>
      </c>
      <c r="H157" s="16">
        <v>273.13749999999999</v>
      </c>
      <c r="I157" s="16">
        <v>273.63249999999999</v>
      </c>
      <c r="J157" s="16">
        <v>318.08479999999997</v>
      </c>
      <c r="K157" s="16">
        <v>332.01979999999998</v>
      </c>
      <c r="L157" s="16">
        <v>342.60719999999998</v>
      </c>
      <c r="M157" s="16">
        <v>336.1112</v>
      </c>
      <c r="N157" s="16">
        <v>304.959</v>
      </c>
      <c r="O157" s="16">
        <v>317.6832</v>
      </c>
      <c r="P157" s="16">
        <v>330.01420000000002</v>
      </c>
      <c r="Q157" s="16">
        <v>323.87729999999999</v>
      </c>
      <c r="R157" s="16">
        <v>336.85980000000001</v>
      </c>
      <c r="S157" s="16">
        <v>332.30009999999999</v>
      </c>
      <c r="T157" s="16">
        <v>316.62310000000002</v>
      </c>
      <c r="U157" s="16">
        <v>329.86759999999998</v>
      </c>
      <c r="V157" s="16">
        <v>324.85300000000001</v>
      </c>
      <c r="W157" s="16">
        <v>316.23390000000001</v>
      </c>
      <c r="X157" s="16">
        <v>309.04230000000001</v>
      </c>
      <c r="Y157" s="16">
        <v>184.85659999999999</v>
      </c>
      <c r="Z157" s="26" t="s">
        <v>32</v>
      </c>
      <c r="AA157" s="25">
        <f t="shared" si="4"/>
        <v>119.19499999999999</v>
      </c>
      <c r="AB157" s="25">
        <f t="shared" si="5"/>
        <v>293.63514166666698</v>
      </c>
    </row>
    <row r="158" spans="1:28">
      <c r="A158" s="8">
        <v>45448</v>
      </c>
      <c r="B158" s="16">
        <v>282.52999999999997</v>
      </c>
      <c r="C158" s="16">
        <v>303.03250000000003</v>
      </c>
      <c r="D158" s="16">
        <v>288.58999999999997</v>
      </c>
      <c r="E158" s="16">
        <v>270.45749999999998</v>
      </c>
      <c r="F158" s="16">
        <v>47.5</v>
      </c>
      <c r="G158" s="16">
        <v>112.5</v>
      </c>
      <c r="H158" s="16">
        <v>272.74250000000001</v>
      </c>
      <c r="I158" s="16">
        <v>279.36059999999998</v>
      </c>
      <c r="J158" s="16">
        <v>324.66039999999998</v>
      </c>
      <c r="K158" s="16">
        <v>359.02940000000001</v>
      </c>
      <c r="L158" s="16">
        <v>412.72500000000002</v>
      </c>
      <c r="M158" s="16">
        <v>379.74130000000002</v>
      </c>
      <c r="N158" s="16">
        <v>316.02480000000003</v>
      </c>
      <c r="O158" s="16">
        <v>327.9126</v>
      </c>
      <c r="P158" s="16">
        <v>341.60890000000001</v>
      </c>
      <c r="Q158" s="16">
        <v>347.60739999999998</v>
      </c>
      <c r="R158" s="16">
        <v>404.27719999999999</v>
      </c>
      <c r="S158" s="16">
        <v>370.58210000000003</v>
      </c>
      <c r="T158" s="16">
        <v>326.65899999999999</v>
      </c>
      <c r="U158" s="16">
        <v>345.25150000000002</v>
      </c>
      <c r="V158" s="16">
        <v>338.4409</v>
      </c>
      <c r="W158" s="16">
        <v>324.74860000000001</v>
      </c>
      <c r="X158" s="16">
        <v>311.78039999999999</v>
      </c>
      <c r="Y158" s="16">
        <v>207.71940000000001</v>
      </c>
      <c r="Z158" s="26" t="s">
        <v>32</v>
      </c>
      <c r="AA158" s="25">
        <f t="shared" si="4"/>
        <v>47.5</v>
      </c>
      <c r="AB158" s="25">
        <f t="shared" si="5"/>
        <v>303.97841666666699</v>
      </c>
    </row>
    <row r="159" spans="1:28">
      <c r="A159" s="8">
        <v>45449</v>
      </c>
      <c r="B159" s="16">
        <v>254.0615</v>
      </c>
      <c r="C159" s="16">
        <v>232.55520000000001</v>
      </c>
      <c r="D159" s="16">
        <v>213.1001</v>
      </c>
      <c r="E159" s="16">
        <v>215.5813</v>
      </c>
      <c r="F159" s="16">
        <v>204.8049</v>
      </c>
      <c r="G159" s="16">
        <v>199.08</v>
      </c>
      <c r="H159" s="16">
        <v>216.8682</v>
      </c>
      <c r="I159" s="16">
        <v>218.9272</v>
      </c>
      <c r="J159" s="16">
        <v>306.62509999999997</v>
      </c>
      <c r="K159" s="16">
        <v>376.66309999999999</v>
      </c>
      <c r="L159" s="16">
        <v>426.83449999999999</v>
      </c>
      <c r="M159" s="16">
        <v>399.16899999999998</v>
      </c>
      <c r="N159" s="16">
        <v>309.7131</v>
      </c>
      <c r="O159" s="16">
        <v>318.34109999999998</v>
      </c>
      <c r="P159" s="16">
        <v>329.49360000000001</v>
      </c>
      <c r="Q159" s="16">
        <v>343.87119999999999</v>
      </c>
      <c r="R159" s="16">
        <v>404.43790000000001</v>
      </c>
      <c r="S159" s="16">
        <v>394.94650000000001</v>
      </c>
      <c r="T159" s="16">
        <v>357.47469999999998</v>
      </c>
      <c r="U159" s="16">
        <v>380.1764</v>
      </c>
      <c r="V159" s="16">
        <v>388.4024</v>
      </c>
      <c r="W159" s="16">
        <v>339.60520000000002</v>
      </c>
      <c r="X159" s="16">
        <v>308.81650000000002</v>
      </c>
      <c r="Y159" s="16">
        <v>259.21859999999998</v>
      </c>
      <c r="Z159" s="26" t="s">
        <v>33</v>
      </c>
      <c r="AA159" s="25">
        <f t="shared" si="4"/>
        <v>199.08</v>
      </c>
      <c r="AB159" s="25">
        <f t="shared" si="5"/>
        <v>308.28197083333299</v>
      </c>
    </row>
    <row r="160" spans="1:28">
      <c r="A160" s="8">
        <v>45450</v>
      </c>
      <c r="B160" s="16">
        <v>275.9751</v>
      </c>
      <c r="C160" s="16">
        <v>274.22649999999999</v>
      </c>
      <c r="D160" s="16">
        <v>268.29829999999998</v>
      </c>
      <c r="E160" s="16">
        <v>264.84609999999998</v>
      </c>
      <c r="F160" s="16">
        <v>261.66860000000003</v>
      </c>
      <c r="G160" s="16">
        <v>260.96170000000001</v>
      </c>
      <c r="H160" s="16">
        <v>268.83839999999998</v>
      </c>
      <c r="I160" s="16">
        <v>269.43799999999999</v>
      </c>
      <c r="J160" s="16">
        <v>326.6909</v>
      </c>
      <c r="K160" s="16">
        <v>323.48559999999998</v>
      </c>
      <c r="L160" s="16">
        <v>326.11360000000002</v>
      </c>
      <c r="M160" s="16">
        <v>332.3485</v>
      </c>
      <c r="N160" s="16">
        <v>284.87650000000002</v>
      </c>
      <c r="O160" s="16">
        <v>300.17910000000001</v>
      </c>
      <c r="P160" s="16">
        <v>320.0985</v>
      </c>
      <c r="Q160" s="16">
        <v>329.20049999999998</v>
      </c>
      <c r="R160" s="16">
        <v>353.25150000000002</v>
      </c>
      <c r="S160" s="16">
        <v>359.61189999999999</v>
      </c>
      <c r="T160" s="16">
        <v>349.38229999999999</v>
      </c>
      <c r="U160" s="16">
        <v>374.3057</v>
      </c>
      <c r="V160" s="16">
        <v>354.50569999999999</v>
      </c>
      <c r="W160" s="16">
        <v>339.7244</v>
      </c>
      <c r="X160" s="16">
        <v>335.178</v>
      </c>
      <c r="Y160" s="16">
        <v>291.28919999999999</v>
      </c>
      <c r="Z160" s="26" t="s">
        <v>34</v>
      </c>
      <c r="AA160" s="25">
        <f t="shared" si="4"/>
        <v>260.96170000000001</v>
      </c>
      <c r="AB160" s="25">
        <f t="shared" si="5"/>
        <v>310.187275</v>
      </c>
    </row>
    <row r="161" spans="1:28">
      <c r="A161" s="8">
        <v>45451</v>
      </c>
      <c r="B161" s="16">
        <v>232.83500000000001</v>
      </c>
      <c r="C161" s="16">
        <v>308.5</v>
      </c>
      <c r="D161" s="16">
        <v>303.77999999999997</v>
      </c>
      <c r="E161" s="16">
        <v>292.73</v>
      </c>
      <c r="F161" s="16">
        <v>268.77</v>
      </c>
      <c r="G161" s="16">
        <v>265.07499999999999</v>
      </c>
      <c r="H161" s="16">
        <v>287.75</v>
      </c>
      <c r="I161" s="16">
        <v>286.25</v>
      </c>
      <c r="J161" s="16">
        <v>314.82940000000002</v>
      </c>
      <c r="K161" s="16">
        <v>320.29919999999998</v>
      </c>
      <c r="L161" s="16">
        <v>324.2</v>
      </c>
      <c r="M161" s="16">
        <v>342.30939999999998</v>
      </c>
      <c r="N161" s="16">
        <v>319.79109999999997</v>
      </c>
      <c r="O161" s="16">
        <v>336.76130000000001</v>
      </c>
      <c r="P161" s="16">
        <v>349.892</v>
      </c>
      <c r="Q161" s="16">
        <v>332.03710000000001</v>
      </c>
      <c r="R161" s="16">
        <v>328.96039999999999</v>
      </c>
      <c r="S161" s="16">
        <v>328.48779999999999</v>
      </c>
      <c r="T161" s="16">
        <v>320.74720000000002</v>
      </c>
      <c r="U161" s="16">
        <v>330.315</v>
      </c>
      <c r="V161" s="16">
        <v>329.26479999999998</v>
      </c>
      <c r="W161" s="16">
        <v>318.10750000000002</v>
      </c>
      <c r="X161" s="16">
        <v>315.2593</v>
      </c>
      <c r="Y161" s="16">
        <v>289.8476</v>
      </c>
      <c r="Z161" s="26" t="s">
        <v>32</v>
      </c>
      <c r="AA161" s="25">
        <f t="shared" si="4"/>
        <v>232.83500000000001</v>
      </c>
      <c r="AB161" s="25">
        <f t="shared" si="5"/>
        <v>310.283295833333</v>
      </c>
    </row>
    <row r="162" spans="1:28">
      <c r="A162" s="8">
        <v>45452</v>
      </c>
      <c r="B162" s="16">
        <v>268.83339999999998</v>
      </c>
      <c r="C162" s="16">
        <v>303.02929999999998</v>
      </c>
      <c r="D162" s="16">
        <v>299.86369999999999</v>
      </c>
      <c r="E162" s="16">
        <v>292.50240000000002</v>
      </c>
      <c r="F162" s="16">
        <v>267.29750000000001</v>
      </c>
      <c r="G162" s="16">
        <v>262.47000000000003</v>
      </c>
      <c r="H162" s="16">
        <v>267.46499999999997</v>
      </c>
      <c r="I162" s="16">
        <v>264.34750000000003</v>
      </c>
      <c r="J162" s="16">
        <v>261.32499999999999</v>
      </c>
      <c r="K162" s="16">
        <v>266.34980000000002</v>
      </c>
      <c r="L162" s="16">
        <v>274.18830000000003</v>
      </c>
      <c r="M162" s="16">
        <v>300.34339999999997</v>
      </c>
      <c r="N162" s="16">
        <v>274.18619999999999</v>
      </c>
      <c r="O162" s="16">
        <v>269.36090000000002</v>
      </c>
      <c r="P162" s="16">
        <v>261.81779999999998</v>
      </c>
      <c r="Q162" s="16">
        <v>270.495</v>
      </c>
      <c r="R162" s="16">
        <v>271.4436</v>
      </c>
      <c r="S162" s="16">
        <v>302.89999999999998</v>
      </c>
      <c r="T162" s="16">
        <v>300.42189999999999</v>
      </c>
      <c r="U162" s="16">
        <v>306.87790000000001</v>
      </c>
      <c r="V162" s="16">
        <v>312.14999999999998</v>
      </c>
      <c r="W162" s="16">
        <v>313.47050000000002</v>
      </c>
      <c r="X162" s="16">
        <v>311.70580000000001</v>
      </c>
      <c r="Y162" s="16">
        <v>250.8389</v>
      </c>
      <c r="Z162" s="26" t="s">
        <v>32</v>
      </c>
      <c r="AA162" s="25">
        <f t="shared" si="4"/>
        <v>250.8389</v>
      </c>
      <c r="AB162" s="25">
        <f t="shared" si="5"/>
        <v>282.23682500000001</v>
      </c>
    </row>
    <row r="163" spans="1:28">
      <c r="A163" s="8">
        <v>45453</v>
      </c>
      <c r="B163" s="16">
        <v>206.17500000000001</v>
      </c>
      <c r="C163" s="16">
        <v>263.92500000000001</v>
      </c>
      <c r="D163" s="16">
        <v>65.144999999999996</v>
      </c>
      <c r="E163" s="16">
        <v>0</v>
      </c>
      <c r="F163" s="16">
        <v>0</v>
      </c>
      <c r="G163" s="16">
        <v>0</v>
      </c>
      <c r="H163" s="16">
        <v>0</v>
      </c>
      <c r="I163" s="16">
        <v>0</v>
      </c>
      <c r="J163" s="16">
        <v>0</v>
      </c>
      <c r="K163" s="16">
        <v>0</v>
      </c>
      <c r="L163" s="16">
        <v>0</v>
      </c>
      <c r="M163" s="16">
        <v>0.60099999999999998</v>
      </c>
      <c r="N163" s="16">
        <v>0.17019999999999999</v>
      </c>
      <c r="O163" s="16">
        <v>0.68140000000000001</v>
      </c>
      <c r="P163" s="16">
        <v>1.1223000000000001</v>
      </c>
      <c r="Q163" s="16">
        <v>0</v>
      </c>
      <c r="R163" s="16">
        <v>0</v>
      </c>
      <c r="S163" s="16">
        <v>8.2622</v>
      </c>
      <c r="T163" s="16">
        <v>11.356400000000001</v>
      </c>
      <c r="U163" s="16">
        <v>11.9674</v>
      </c>
      <c r="V163" s="16">
        <v>200.2687</v>
      </c>
      <c r="W163" s="16">
        <v>265.37689999999998</v>
      </c>
      <c r="X163" s="16">
        <v>272.6361</v>
      </c>
      <c r="Y163" s="16">
        <v>188.035</v>
      </c>
      <c r="Z163" s="26" t="s">
        <v>32</v>
      </c>
      <c r="AA163" s="25">
        <f t="shared" si="4"/>
        <v>0</v>
      </c>
      <c r="AB163" s="25">
        <f t="shared" si="5"/>
        <v>62.321775000000002</v>
      </c>
    </row>
    <row r="164" spans="1:28">
      <c r="A164" s="8">
        <v>45454</v>
      </c>
      <c r="B164" s="16">
        <v>308.5</v>
      </c>
      <c r="C164" s="16">
        <v>316.75</v>
      </c>
      <c r="D164" s="16">
        <v>314.25</v>
      </c>
      <c r="E164" s="16">
        <v>294.73</v>
      </c>
      <c r="F164" s="16">
        <v>271.60500000000002</v>
      </c>
      <c r="G164" s="16">
        <v>185.035</v>
      </c>
      <c r="H164" s="16">
        <v>308.33999999999997</v>
      </c>
      <c r="I164" s="16">
        <v>316.25</v>
      </c>
      <c r="J164" s="16">
        <v>566.25869999999998</v>
      </c>
      <c r="K164" s="16">
        <v>396.11720000000003</v>
      </c>
      <c r="L164" s="16">
        <v>378.3852</v>
      </c>
      <c r="M164" s="16">
        <v>369.8229</v>
      </c>
      <c r="N164" s="16">
        <v>314.55930000000001</v>
      </c>
      <c r="O164" s="16">
        <v>341.8057</v>
      </c>
      <c r="P164" s="16">
        <v>352.39920000000001</v>
      </c>
      <c r="Q164" s="16">
        <v>345.98070000000001</v>
      </c>
      <c r="R164" s="16">
        <v>346.95769999999999</v>
      </c>
      <c r="S164" s="16">
        <v>353.94959999999998</v>
      </c>
      <c r="T164" s="16">
        <v>329.10399999999998</v>
      </c>
      <c r="U164" s="16">
        <v>344.51299999999998</v>
      </c>
      <c r="V164" s="16">
        <v>356.23770000000002</v>
      </c>
      <c r="W164" s="16">
        <v>351.76859999999999</v>
      </c>
      <c r="X164" s="16">
        <v>330.87580000000003</v>
      </c>
      <c r="Y164" s="16">
        <v>300.9391</v>
      </c>
      <c r="Z164" s="26" t="s">
        <v>32</v>
      </c>
      <c r="AA164" s="25">
        <f t="shared" si="4"/>
        <v>185.035</v>
      </c>
      <c r="AB164" s="25">
        <f t="shared" si="5"/>
        <v>337.29726666666699</v>
      </c>
    </row>
    <row r="165" spans="1:28">
      <c r="A165" s="8">
        <v>45455</v>
      </c>
      <c r="B165" s="16">
        <v>343.74590000000001</v>
      </c>
      <c r="C165" s="16">
        <v>336.62</v>
      </c>
      <c r="D165" s="16">
        <v>324.3075</v>
      </c>
      <c r="E165" s="16">
        <v>308.65789999999998</v>
      </c>
      <c r="F165" s="16">
        <v>297.13909999999998</v>
      </c>
      <c r="G165" s="16">
        <v>293.25439999999998</v>
      </c>
      <c r="H165" s="16">
        <v>308.28149999999999</v>
      </c>
      <c r="I165" s="16">
        <v>306.82100000000003</v>
      </c>
      <c r="J165" s="16">
        <v>342.28300000000002</v>
      </c>
      <c r="K165" s="16">
        <v>357.32040000000001</v>
      </c>
      <c r="L165" s="16">
        <v>362.05349999999999</v>
      </c>
      <c r="M165" s="16">
        <v>345.8306</v>
      </c>
      <c r="N165" s="16">
        <v>308.00099999999998</v>
      </c>
      <c r="O165" s="16">
        <v>337.89350000000002</v>
      </c>
      <c r="P165" s="16">
        <v>352.78250000000003</v>
      </c>
      <c r="Q165" s="16">
        <v>354.2432</v>
      </c>
      <c r="R165" s="16">
        <v>365.85860000000002</v>
      </c>
      <c r="S165" s="16">
        <v>350.7722</v>
      </c>
      <c r="T165" s="16">
        <v>320.33190000000002</v>
      </c>
      <c r="U165" s="16">
        <v>335.74340000000001</v>
      </c>
      <c r="V165" s="16">
        <v>346.41669999999999</v>
      </c>
      <c r="W165" s="16">
        <v>362.39839999999998</v>
      </c>
      <c r="X165" s="16">
        <v>341.89</v>
      </c>
      <c r="Y165" s="16">
        <v>322.39879999999999</v>
      </c>
      <c r="Z165" s="26" t="s">
        <v>32</v>
      </c>
      <c r="AA165" s="25">
        <f t="shared" si="4"/>
        <v>293.25439999999998</v>
      </c>
      <c r="AB165" s="25">
        <f t="shared" si="5"/>
        <v>334.37687499999998</v>
      </c>
    </row>
    <row r="166" spans="1:28">
      <c r="A166" s="8">
        <v>45456</v>
      </c>
      <c r="B166" s="16">
        <v>347.51760000000002</v>
      </c>
      <c r="C166" s="16">
        <v>340.34609999999998</v>
      </c>
      <c r="D166" s="16">
        <v>325.5163</v>
      </c>
      <c r="E166" s="16">
        <v>311.75</v>
      </c>
      <c r="F166" s="16">
        <v>300.5</v>
      </c>
      <c r="G166" s="16">
        <v>297.79000000000002</v>
      </c>
      <c r="H166" s="16">
        <v>304</v>
      </c>
      <c r="I166" s="16">
        <v>300.08280000000002</v>
      </c>
      <c r="J166" s="16">
        <v>330.0283</v>
      </c>
      <c r="K166" s="16">
        <v>354.37020000000001</v>
      </c>
      <c r="L166" s="16">
        <v>367.71069999999997</v>
      </c>
      <c r="M166" s="16">
        <v>347.08600000000001</v>
      </c>
      <c r="N166" s="16">
        <v>314.76909999999998</v>
      </c>
      <c r="O166" s="16">
        <v>337.74209999999999</v>
      </c>
      <c r="P166" s="16">
        <v>350.86270000000002</v>
      </c>
      <c r="Q166" s="16">
        <v>349.88240000000002</v>
      </c>
      <c r="R166" s="16">
        <v>352.10930000000002</v>
      </c>
      <c r="S166" s="16">
        <v>355.56970000000001</v>
      </c>
      <c r="T166" s="16">
        <v>331.26389999999998</v>
      </c>
      <c r="U166" s="16">
        <v>351.18079999999998</v>
      </c>
      <c r="V166" s="16">
        <v>363.28339999999997</v>
      </c>
      <c r="W166" s="16">
        <v>371.33640000000003</v>
      </c>
      <c r="X166" s="16">
        <v>361.77749999999997</v>
      </c>
      <c r="Y166" s="16">
        <v>343.2842</v>
      </c>
      <c r="Z166" s="26" t="s">
        <v>33</v>
      </c>
      <c r="AA166" s="25">
        <f t="shared" si="4"/>
        <v>297.79000000000002</v>
      </c>
      <c r="AB166" s="25">
        <f t="shared" si="5"/>
        <v>337.90664583333302</v>
      </c>
    </row>
    <row r="167" spans="1:28">
      <c r="A167" s="8">
        <v>45457</v>
      </c>
      <c r="B167" s="16">
        <v>361.1671</v>
      </c>
      <c r="C167" s="16">
        <v>355.10480000000001</v>
      </c>
      <c r="D167" s="16">
        <v>331.13380000000001</v>
      </c>
      <c r="E167" s="16">
        <v>315.49610000000001</v>
      </c>
      <c r="F167" s="16">
        <v>300.10559999999998</v>
      </c>
      <c r="G167" s="16">
        <v>291.85300000000001</v>
      </c>
      <c r="H167" s="16">
        <v>298.50740000000002</v>
      </c>
      <c r="I167" s="16">
        <v>292.89030000000002</v>
      </c>
      <c r="J167" s="16">
        <v>334.54759999999999</v>
      </c>
      <c r="K167" s="16">
        <v>368.89139999999998</v>
      </c>
      <c r="L167" s="16">
        <v>376.32810000000001</v>
      </c>
      <c r="M167" s="16">
        <v>362.93040000000002</v>
      </c>
      <c r="N167" s="16">
        <v>307.01409999999998</v>
      </c>
      <c r="O167" s="16">
        <v>329.33150000000001</v>
      </c>
      <c r="P167" s="16">
        <v>344.42090000000002</v>
      </c>
      <c r="Q167" s="16">
        <v>371.25799999999998</v>
      </c>
      <c r="R167" s="16">
        <v>364.3605</v>
      </c>
      <c r="S167" s="16">
        <v>339.64890000000003</v>
      </c>
      <c r="T167" s="16">
        <v>326.6071</v>
      </c>
      <c r="U167" s="16">
        <v>358.88959999999997</v>
      </c>
      <c r="V167" s="16">
        <v>364.50009999999997</v>
      </c>
      <c r="W167" s="16">
        <v>368.51530000000002</v>
      </c>
      <c r="X167" s="16">
        <v>364.53219999999999</v>
      </c>
      <c r="Y167" s="16">
        <v>345.08530000000002</v>
      </c>
      <c r="Z167" s="26" t="s">
        <v>34</v>
      </c>
      <c r="AA167" s="25">
        <f t="shared" si="4"/>
        <v>291.85300000000001</v>
      </c>
      <c r="AB167" s="25">
        <f t="shared" si="5"/>
        <v>340.546629166667</v>
      </c>
    </row>
    <row r="168" spans="1:28">
      <c r="A168" s="8">
        <v>45458</v>
      </c>
      <c r="B168" s="16">
        <v>370.38740000000001</v>
      </c>
      <c r="C168" s="16">
        <v>376.13339999999999</v>
      </c>
      <c r="D168" s="16">
        <v>357.89030000000002</v>
      </c>
      <c r="E168" s="16">
        <v>335.68720000000002</v>
      </c>
      <c r="F168" s="16">
        <v>322.08190000000002</v>
      </c>
      <c r="G168" s="16">
        <v>311.25</v>
      </c>
      <c r="H168" s="16">
        <v>313.70479999999998</v>
      </c>
      <c r="I168" s="16">
        <v>308.03620000000001</v>
      </c>
      <c r="J168" s="16">
        <v>330.19909999999999</v>
      </c>
      <c r="K168" s="16">
        <v>343.77879999999999</v>
      </c>
      <c r="L168" s="16">
        <v>355.64449999999999</v>
      </c>
      <c r="M168" s="16">
        <v>364.71949999999998</v>
      </c>
      <c r="N168" s="16">
        <v>343.96940000000001</v>
      </c>
      <c r="O168" s="16">
        <v>353.72820000000002</v>
      </c>
      <c r="P168" s="16">
        <v>363.71589999999998</v>
      </c>
      <c r="Q168" s="16">
        <v>368.88479999999998</v>
      </c>
      <c r="R168" s="16">
        <v>374.47629999999998</v>
      </c>
      <c r="S168" s="16">
        <v>369.69159999999999</v>
      </c>
      <c r="T168" s="16">
        <v>342.50659999999999</v>
      </c>
      <c r="U168" s="16">
        <v>358.83109999999999</v>
      </c>
      <c r="V168" s="16">
        <v>361.76400000000001</v>
      </c>
      <c r="W168" s="16">
        <v>360.44</v>
      </c>
      <c r="X168" s="16">
        <v>356.73020000000002</v>
      </c>
      <c r="Y168" s="16">
        <v>345.13580000000002</v>
      </c>
      <c r="Z168" s="26" t="s">
        <v>32</v>
      </c>
      <c r="AA168" s="25">
        <f t="shared" si="4"/>
        <v>308.03620000000001</v>
      </c>
      <c r="AB168" s="25">
        <f t="shared" si="5"/>
        <v>349.55779166666701</v>
      </c>
    </row>
    <row r="169" spans="1:28">
      <c r="A169" s="8">
        <v>45459</v>
      </c>
      <c r="B169" s="16">
        <v>348.04039999999998</v>
      </c>
      <c r="C169" s="16">
        <v>345.03300000000002</v>
      </c>
      <c r="D169" s="16">
        <v>325.57470000000001</v>
      </c>
      <c r="E169" s="16">
        <v>310.1662</v>
      </c>
      <c r="F169" s="16">
        <v>292.16860000000003</v>
      </c>
      <c r="G169" s="16">
        <v>277.18299999999999</v>
      </c>
      <c r="H169" s="16">
        <v>277.73160000000001</v>
      </c>
      <c r="I169" s="16">
        <v>233.727</v>
      </c>
      <c r="J169" s="16">
        <v>92.152799999999999</v>
      </c>
      <c r="K169" s="16">
        <v>75.180800000000005</v>
      </c>
      <c r="L169" s="16">
        <v>114.71040000000001</v>
      </c>
      <c r="M169" s="16">
        <v>259.78140000000002</v>
      </c>
      <c r="N169" s="16">
        <v>289.04719999999998</v>
      </c>
      <c r="O169" s="16">
        <v>314.54590000000002</v>
      </c>
      <c r="P169" s="16">
        <v>306.60860000000002</v>
      </c>
      <c r="Q169" s="16">
        <v>308.95420000000001</v>
      </c>
      <c r="R169" s="16">
        <v>311.44139999999999</v>
      </c>
      <c r="S169" s="16">
        <v>313.02940000000001</v>
      </c>
      <c r="T169" s="16">
        <v>301.44569999999999</v>
      </c>
      <c r="U169" s="16">
        <v>316.12709999999998</v>
      </c>
      <c r="V169" s="16">
        <v>323.31079999999997</v>
      </c>
      <c r="W169" s="16">
        <v>326.21679999999998</v>
      </c>
      <c r="X169" s="16">
        <v>322.06450000000001</v>
      </c>
      <c r="Y169" s="16">
        <v>318.61520000000002</v>
      </c>
      <c r="Z169" s="26" t="s">
        <v>32</v>
      </c>
      <c r="AA169" s="25">
        <f t="shared" si="4"/>
        <v>75.180800000000005</v>
      </c>
      <c r="AB169" s="25">
        <f t="shared" si="5"/>
        <v>279.28569583333302</v>
      </c>
    </row>
    <row r="170" spans="1:28">
      <c r="A170" s="8">
        <v>45460</v>
      </c>
      <c r="B170" s="16">
        <v>310.92149999999998</v>
      </c>
      <c r="C170" s="16">
        <v>308.17829999999998</v>
      </c>
      <c r="D170" s="16">
        <v>290.31639999999999</v>
      </c>
      <c r="E170" s="16">
        <v>246.262</v>
      </c>
      <c r="F170" s="16">
        <v>1.5075000000000001</v>
      </c>
      <c r="G170" s="16">
        <v>0</v>
      </c>
      <c r="H170" s="16">
        <v>90.680400000000006</v>
      </c>
      <c r="I170" s="16">
        <v>254.6626</v>
      </c>
      <c r="J170" s="16">
        <v>319.31020000000001</v>
      </c>
      <c r="K170" s="16">
        <v>340.43619999999999</v>
      </c>
      <c r="L170" s="16">
        <v>327.84840000000003</v>
      </c>
      <c r="M170" s="16">
        <v>348.30079999999998</v>
      </c>
      <c r="N170" s="16">
        <v>309.01670000000001</v>
      </c>
      <c r="O170" s="16">
        <v>334.05259999999998</v>
      </c>
      <c r="P170" s="16">
        <v>346.30470000000003</v>
      </c>
      <c r="Q170" s="16">
        <v>362.04989999999998</v>
      </c>
      <c r="R170" s="16">
        <v>380.51240000000001</v>
      </c>
      <c r="S170" s="16">
        <v>353.51679999999999</v>
      </c>
      <c r="T170" s="16">
        <v>338.7681</v>
      </c>
      <c r="U170" s="16">
        <v>364.83890000000002</v>
      </c>
      <c r="V170" s="16">
        <v>366.73919999999998</v>
      </c>
      <c r="W170" s="16">
        <v>366.20030000000003</v>
      </c>
      <c r="X170" s="16">
        <v>349.82920000000001</v>
      </c>
      <c r="Y170" s="16">
        <v>331.89049999999997</v>
      </c>
      <c r="Z170" s="26" t="s">
        <v>32</v>
      </c>
      <c r="AA170" s="25">
        <f t="shared" si="4"/>
        <v>0</v>
      </c>
      <c r="AB170" s="25">
        <f t="shared" si="5"/>
        <v>293.42264999999998</v>
      </c>
    </row>
    <row r="171" spans="1:28">
      <c r="A171" s="8">
        <v>45461</v>
      </c>
      <c r="B171" s="16">
        <v>337.82420000000002</v>
      </c>
      <c r="C171" s="16">
        <v>332.61430000000001</v>
      </c>
      <c r="D171" s="16">
        <v>323.76179999999999</v>
      </c>
      <c r="E171" s="16">
        <v>311.71010000000001</v>
      </c>
      <c r="F171" s="16">
        <v>300.67039999999997</v>
      </c>
      <c r="G171" s="16">
        <v>291.52609999999999</v>
      </c>
      <c r="H171" s="16">
        <v>301.84989999999999</v>
      </c>
      <c r="I171" s="16">
        <v>306.60340000000002</v>
      </c>
      <c r="J171" s="16">
        <v>332.47660000000002</v>
      </c>
      <c r="K171" s="16">
        <v>354.87819999999999</v>
      </c>
      <c r="L171" s="16">
        <v>350.45229999999998</v>
      </c>
      <c r="M171" s="16">
        <v>372.0419</v>
      </c>
      <c r="N171" s="16">
        <v>306.29259999999999</v>
      </c>
      <c r="O171" s="16">
        <v>345.51369999999997</v>
      </c>
      <c r="P171" s="16">
        <v>369.12599999999998</v>
      </c>
      <c r="Q171" s="16">
        <v>379.27910000000003</v>
      </c>
      <c r="R171" s="16">
        <v>389.81319999999999</v>
      </c>
      <c r="S171" s="16">
        <v>384.82400000000001</v>
      </c>
      <c r="T171" s="16">
        <v>359.24279999999999</v>
      </c>
      <c r="U171" s="16">
        <v>389.59980000000002</v>
      </c>
      <c r="V171" s="16">
        <v>380.31130000000002</v>
      </c>
      <c r="W171" s="16">
        <v>380.72430000000003</v>
      </c>
      <c r="X171" s="16">
        <v>368.80650000000003</v>
      </c>
      <c r="Y171" s="16">
        <v>335.47620000000001</v>
      </c>
      <c r="Z171" s="26" t="s">
        <v>32</v>
      </c>
      <c r="AA171" s="25">
        <f t="shared" si="4"/>
        <v>291.52609999999999</v>
      </c>
      <c r="AB171" s="25">
        <f t="shared" si="5"/>
        <v>346.05911250000003</v>
      </c>
    </row>
    <row r="172" spans="1:28">
      <c r="A172" s="8">
        <v>45462</v>
      </c>
      <c r="B172" s="16">
        <v>334.9049</v>
      </c>
      <c r="C172" s="16">
        <v>331.07490000000001</v>
      </c>
      <c r="D172" s="16">
        <v>318.51240000000001</v>
      </c>
      <c r="E172" s="16">
        <v>307.37029999999999</v>
      </c>
      <c r="F172" s="16">
        <v>285.52170000000001</v>
      </c>
      <c r="G172" s="16">
        <v>271.99279999999999</v>
      </c>
      <c r="H172" s="16">
        <v>273.08350000000002</v>
      </c>
      <c r="I172" s="16">
        <v>272.06400000000002</v>
      </c>
      <c r="J172" s="16">
        <v>313.60809999999998</v>
      </c>
      <c r="K172" s="16">
        <v>331.12020000000001</v>
      </c>
      <c r="L172" s="16">
        <v>327.68619999999999</v>
      </c>
      <c r="M172" s="16">
        <v>332.25229999999999</v>
      </c>
      <c r="N172" s="16">
        <v>310.52760000000001</v>
      </c>
      <c r="O172" s="16">
        <v>340.81439999999998</v>
      </c>
      <c r="P172" s="16">
        <v>349.67669999999998</v>
      </c>
      <c r="Q172" s="16">
        <v>336.24740000000003</v>
      </c>
      <c r="R172" s="16">
        <v>339.52190000000002</v>
      </c>
      <c r="S172" s="16">
        <v>335.72949999999997</v>
      </c>
      <c r="T172" s="16">
        <v>329.75290000000001</v>
      </c>
      <c r="U172" s="16">
        <v>353.69420000000002</v>
      </c>
      <c r="V172" s="16">
        <v>348.87869999999998</v>
      </c>
      <c r="W172" s="16">
        <v>342.67169999999999</v>
      </c>
      <c r="X172" s="16">
        <v>332.87470000000002</v>
      </c>
      <c r="Y172" s="16">
        <v>319.73009999999999</v>
      </c>
      <c r="Z172" s="26" t="s">
        <v>32</v>
      </c>
      <c r="AA172" s="25">
        <f t="shared" si="4"/>
        <v>271.99279999999999</v>
      </c>
      <c r="AB172" s="25">
        <f t="shared" si="5"/>
        <v>322.47129583333299</v>
      </c>
    </row>
    <row r="173" spans="1:28">
      <c r="A173" s="8">
        <v>45463</v>
      </c>
      <c r="B173" s="16">
        <v>322.60250000000002</v>
      </c>
      <c r="C173" s="16">
        <v>320.7362</v>
      </c>
      <c r="D173" s="16">
        <v>308.48570000000001</v>
      </c>
      <c r="E173" s="16">
        <v>283.84019999999998</v>
      </c>
      <c r="F173" s="16">
        <v>250.8776</v>
      </c>
      <c r="G173" s="16">
        <v>40.145400000000002</v>
      </c>
      <c r="H173" s="16">
        <v>85.891099999999994</v>
      </c>
      <c r="I173" s="16">
        <v>118.5688</v>
      </c>
      <c r="J173" s="16">
        <v>306.60849999999999</v>
      </c>
      <c r="K173" s="16">
        <v>337.25749999999999</v>
      </c>
      <c r="L173" s="16">
        <v>357.2792</v>
      </c>
      <c r="M173" s="16">
        <v>367.31720000000001</v>
      </c>
      <c r="N173" s="16">
        <v>311.2183</v>
      </c>
      <c r="O173" s="16">
        <v>343.5317</v>
      </c>
      <c r="P173" s="16">
        <v>359.8424</v>
      </c>
      <c r="Q173" s="16">
        <v>354.45909999999998</v>
      </c>
      <c r="R173" s="16">
        <v>357.38909999999998</v>
      </c>
      <c r="S173" s="16">
        <v>345.92020000000002</v>
      </c>
      <c r="T173" s="16">
        <v>325.55380000000002</v>
      </c>
      <c r="U173" s="16">
        <v>360.96089999999998</v>
      </c>
      <c r="V173" s="16">
        <v>357.7783</v>
      </c>
      <c r="W173" s="16">
        <v>354.86970000000002</v>
      </c>
      <c r="X173" s="16">
        <v>342.43549999999999</v>
      </c>
      <c r="Y173" s="16">
        <v>323.14030000000002</v>
      </c>
      <c r="Z173" s="26" t="s">
        <v>33</v>
      </c>
      <c r="AA173" s="25">
        <f t="shared" si="4"/>
        <v>40.145400000000002</v>
      </c>
      <c r="AB173" s="25">
        <f t="shared" si="5"/>
        <v>301.52954999999997</v>
      </c>
    </row>
    <row r="174" spans="1:28">
      <c r="A174" s="8">
        <v>45464</v>
      </c>
      <c r="B174" s="16">
        <v>326.02280000000002</v>
      </c>
      <c r="C174" s="16">
        <v>322.8023</v>
      </c>
      <c r="D174" s="16">
        <v>311.58710000000002</v>
      </c>
      <c r="E174" s="16">
        <v>292.36790000000002</v>
      </c>
      <c r="F174" s="16">
        <v>261.07080000000002</v>
      </c>
      <c r="G174" s="16">
        <v>137.83199999999999</v>
      </c>
      <c r="H174" s="16">
        <v>102.6207</v>
      </c>
      <c r="I174" s="16">
        <v>70.141800000000003</v>
      </c>
      <c r="J174" s="16">
        <v>302.69229999999999</v>
      </c>
      <c r="K174" s="16">
        <v>322.59609999999998</v>
      </c>
      <c r="L174" s="16">
        <v>327.62709999999998</v>
      </c>
      <c r="M174" s="16">
        <v>323.54539999999997</v>
      </c>
      <c r="N174" s="16">
        <v>288.50689999999997</v>
      </c>
      <c r="O174" s="16">
        <v>322.2079</v>
      </c>
      <c r="P174" s="16">
        <v>333.28269999999998</v>
      </c>
      <c r="Q174" s="16">
        <v>335.22770000000003</v>
      </c>
      <c r="R174" s="16">
        <v>340.40609999999998</v>
      </c>
      <c r="S174" s="16">
        <v>332.3673</v>
      </c>
      <c r="T174" s="16">
        <v>326.62729999999999</v>
      </c>
      <c r="U174" s="16">
        <v>342.52890000000002</v>
      </c>
      <c r="V174" s="16">
        <v>344.55239999999998</v>
      </c>
      <c r="W174" s="16">
        <v>341.06079999999997</v>
      </c>
      <c r="X174" s="16">
        <v>341.32819999999998</v>
      </c>
      <c r="Y174" s="16">
        <v>331.75540000000001</v>
      </c>
      <c r="Z174" s="26" t="s">
        <v>34</v>
      </c>
      <c r="AA174" s="25">
        <f t="shared" si="4"/>
        <v>70.141800000000003</v>
      </c>
      <c r="AB174" s="25">
        <f t="shared" si="5"/>
        <v>295.03157916666697</v>
      </c>
    </row>
    <row r="175" spans="1:28">
      <c r="A175" s="8">
        <v>45465</v>
      </c>
      <c r="B175" s="16">
        <v>367.59829999999999</v>
      </c>
      <c r="C175" s="16">
        <v>359.7921</v>
      </c>
      <c r="D175" s="16">
        <v>337.62360000000001</v>
      </c>
      <c r="E175" s="16">
        <v>317.05930000000001</v>
      </c>
      <c r="F175" s="16">
        <v>302.92270000000002</v>
      </c>
      <c r="G175" s="16">
        <v>290.90859999999998</v>
      </c>
      <c r="H175" s="16">
        <v>288.5437</v>
      </c>
      <c r="I175" s="16">
        <v>258.28370000000001</v>
      </c>
      <c r="J175" s="16">
        <v>279.01029999999997</v>
      </c>
      <c r="K175" s="16">
        <v>300.13709999999998</v>
      </c>
      <c r="L175" s="16">
        <v>304.31479999999999</v>
      </c>
      <c r="M175" s="16">
        <v>302.94830000000002</v>
      </c>
      <c r="N175" s="16">
        <v>274.78399999999999</v>
      </c>
      <c r="O175" s="16">
        <v>295.78739999999999</v>
      </c>
      <c r="P175" s="16">
        <v>304.11110000000002</v>
      </c>
      <c r="Q175" s="16">
        <v>310.56569999999999</v>
      </c>
      <c r="R175" s="16">
        <v>315.18389999999999</v>
      </c>
      <c r="S175" s="16">
        <v>324.86180000000002</v>
      </c>
      <c r="T175" s="16">
        <v>326.40109999999999</v>
      </c>
      <c r="U175" s="16">
        <v>345.2611</v>
      </c>
      <c r="V175" s="16">
        <v>355.17219999999998</v>
      </c>
      <c r="W175" s="16">
        <v>361.04989999999998</v>
      </c>
      <c r="X175" s="16">
        <v>362.87990000000002</v>
      </c>
      <c r="Y175" s="16">
        <v>348.46609999999998</v>
      </c>
      <c r="Z175" s="26" t="s">
        <v>32</v>
      </c>
      <c r="AA175" s="25">
        <f t="shared" si="4"/>
        <v>258.28370000000001</v>
      </c>
      <c r="AB175" s="25">
        <f t="shared" si="5"/>
        <v>318.06944583333302</v>
      </c>
    </row>
    <row r="176" spans="1:28">
      <c r="A176" s="8">
        <v>45466</v>
      </c>
      <c r="B176" s="16">
        <v>382.7756</v>
      </c>
      <c r="C176" s="16">
        <v>362.1653</v>
      </c>
      <c r="D176" s="16">
        <v>340.83749999999998</v>
      </c>
      <c r="E176" s="16">
        <v>327.83100000000002</v>
      </c>
      <c r="F176" s="16">
        <v>315.02980000000002</v>
      </c>
      <c r="G176" s="16">
        <v>304.58960000000002</v>
      </c>
      <c r="H176" s="16">
        <v>297.23489999999998</v>
      </c>
      <c r="I176" s="16">
        <v>269.03219999999999</v>
      </c>
      <c r="J176" s="16">
        <v>248.3056</v>
      </c>
      <c r="K176" s="16">
        <v>227.96719999999999</v>
      </c>
      <c r="L176" s="16">
        <v>209.37360000000001</v>
      </c>
      <c r="M176" s="16">
        <v>182.77500000000001</v>
      </c>
      <c r="N176" s="16">
        <v>126.4397</v>
      </c>
      <c r="O176" s="16">
        <v>258.69200000000001</v>
      </c>
      <c r="P176" s="16">
        <v>277.0847</v>
      </c>
      <c r="Q176" s="16">
        <v>283.43689999999998</v>
      </c>
      <c r="R176" s="16">
        <v>298.72519999999997</v>
      </c>
      <c r="S176" s="16">
        <v>314.54379999999998</v>
      </c>
      <c r="T176" s="16">
        <v>314.08499999999998</v>
      </c>
      <c r="U176" s="16">
        <v>330.87259999999998</v>
      </c>
      <c r="V176" s="16">
        <v>334.61900000000003</v>
      </c>
      <c r="W176" s="16">
        <v>340.86810000000003</v>
      </c>
      <c r="X176" s="16">
        <v>337.69729999999998</v>
      </c>
      <c r="Y176" s="16">
        <v>332.70960000000002</v>
      </c>
      <c r="Z176" s="26" t="s">
        <v>32</v>
      </c>
      <c r="AA176" s="25">
        <f t="shared" si="4"/>
        <v>126.4397</v>
      </c>
      <c r="AB176" s="25">
        <f t="shared" si="5"/>
        <v>292.40379999999999</v>
      </c>
    </row>
    <row r="177" spans="1:28">
      <c r="A177" s="8">
        <v>45467</v>
      </c>
      <c r="B177" s="16">
        <v>329.40019999999998</v>
      </c>
      <c r="C177" s="16">
        <v>312.5197</v>
      </c>
      <c r="D177" s="16">
        <v>301.6046</v>
      </c>
      <c r="E177" s="16">
        <v>294.29300000000001</v>
      </c>
      <c r="F177" s="16">
        <v>281.9932</v>
      </c>
      <c r="G177" s="16">
        <v>276.3922</v>
      </c>
      <c r="H177" s="16">
        <v>286.78460000000001</v>
      </c>
      <c r="I177" s="16">
        <v>288.12349999999998</v>
      </c>
      <c r="J177" s="16">
        <v>308.16210000000001</v>
      </c>
      <c r="K177" s="16">
        <v>324.1259</v>
      </c>
      <c r="L177" s="16">
        <v>334.48099999999999</v>
      </c>
      <c r="M177" s="16">
        <v>337.04899999999998</v>
      </c>
      <c r="N177" s="16">
        <v>323.45909999999998</v>
      </c>
      <c r="O177" s="16">
        <v>344.35469999999998</v>
      </c>
      <c r="P177" s="16">
        <v>360.32010000000002</v>
      </c>
      <c r="Q177" s="16">
        <v>358.863</v>
      </c>
      <c r="R177" s="16">
        <v>365.04880000000003</v>
      </c>
      <c r="S177" s="16">
        <v>363.18979999999999</v>
      </c>
      <c r="T177" s="16">
        <v>347.77620000000002</v>
      </c>
      <c r="U177" s="16">
        <v>363.16849999999999</v>
      </c>
      <c r="V177" s="16">
        <v>359.82339999999999</v>
      </c>
      <c r="W177" s="16">
        <v>355.84690000000001</v>
      </c>
      <c r="X177" s="16">
        <v>353.98149999999998</v>
      </c>
      <c r="Y177" s="16">
        <v>349.92660000000001</v>
      </c>
      <c r="Z177" s="26" t="s">
        <v>32</v>
      </c>
      <c r="AA177" s="25">
        <f t="shared" si="4"/>
        <v>276.3922</v>
      </c>
      <c r="AB177" s="25">
        <f t="shared" si="5"/>
        <v>330.02865000000003</v>
      </c>
    </row>
    <row r="178" spans="1:28">
      <c r="A178" s="8">
        <v>45468</v>
      </c>
      <c r="B178" s="16">
        <v>293.41750000000002</v>
      </c>
      <c r="C178" s="16">
        <v>266.18430000000001</v>
      </c>
      <c r="D178" s="16">
        <v>254.64070000000001</v>
      </c>
      <c r="E178" s="16">
        <v>250.68780000000001</v>
      </c>
      <c r="F178" s="16">
        <v>246.63740000000001</v>
      </c>
      <c r="G178" s="16">
        <v>245.09289999999999</v>
      </c>
      <c r="H178" s="16">
        <v>244.0248</v>
      </c>
      <c r="I178" s="16">
        <v>245.4442</v>
      </c>
      <c r="J178" s="16">
        <v>292.44349999999997</v>
      </c>
      <c r="K178" s="16">
        <v>369.3057</v>
      </c>
      <c r="L178" s="16">
        <v>384.0659</v>
      </c>
      <c r="M178" s="16">
        <v>373.93779999999998</v>
      </c>
      <c r="N178" s="16">
        <v>304.6678</v>
      </c>
      <c r="O178" s="16">
        <v>367.0949</v>
      </c>
      <c r="P178" s="16">
        <v>386.52929999999998</v>
      </c>
      <c r="Q178" s="16">
        <v>396.03919999999999</v>
      </c>
      <c r="R178" s="16">
        <v>431.27670000000001</v>
      </c>
      <c r="S178" s="16">
        <v>402.85559999999998</v>
      </c>
      <c r="T178" s="16">
        <v>362.43939999999998</v>
      </c>
      <c r="U178" s="16">
        <v>405.38600000000002</v>
      </c>
      <c r="V178" s="16">
        <v>388.93419999999998</v>
      </c>
      <c r="W178" s="16">
        <v>381.18209999999999</v>
      </c>
      <c r="X178" s="16">
        <v>360.32510000000002</v>
      </c>
      <c r="Y178" s="16">
        <v>330.71420000000001</v>
      </c>
      <c r="Z178" s="26" t="s">
        <v>32</v>
      </c>
      <c r="AA178" s="25">
        <f t="shared" si="4"/>
        <v>244.0248</v>
      </c>
      <c r="AB178" s="25">
        <f t="shared" si="5"/>
        <v>332.63862499999999</v>
      </c>
    </row>
    <row r="179" spans="1:28">
      <c r="A179" s="8">
        <v>45469</v>
      </c>
      <c r="B179" s="16">
        <v>312.23910000000001</v>
      </c>
      <c r="C179" s="16">
        <v>298.30279999999999</v>
      </c>
      <c r="D179" s="16">
        <v>283.29669999999999</v>
      </c>
      <c r="E179" s="16">
        <v>273.94439999999997</v>
      </c>
      <c r="F179" s="16">
        <v>270.46190000000001</v>
      </c>
      <c r="G179" s="16">
        <v>265.06349999999998</v>
      </c>
      <c r="H179" s="16">
        <v>270.1669</v>
      </c>
      <c r="I179" s="16">
        <v>272.00360000000001</v>
      </c>
      <c r="J179" s="16">
        <v>301.66969999999998</v>
      </c>
      <c r="K179" s="16">
        <v>328.34399999999999</v>
      </c>
      <c r="L179" s="16">
        <v>337.24689999999998</v>
      </c>
      <c r="M179" s="16">
        <v>341.8492</v>
      </c>
      <c r="N179" s="16">
        <v>315.27429999999998</v>
      </c>
      <c r="O179" s="16">
        <v>323.79129999999998</v>
      </c>
      <c r="P179" s="16">
        <v>333.0736</v>
      </c>
      <c r="Q179" s="16">
        <v>329.41030000000001</v>
      </c>
      <c r="R179" s="16">
        <v>341.59</v>
      </c>
      <c r="S179" s="16">
        <v>346.601</v>
      </c>
      <c r="T179" s="16">
        <v>331.19459999999998</v>
      </c>
      <c r="U179" s="16">
        <v>369.7088</v>
      </c>
      <c r="V179" s="16">
        <v>410.06979999999999</v>
      </c>
      <c r="W179" s="16">
        <v>354.09500000000003</v>
      </c>
      <c r="X179" s="16">
        <v>341.89</v>
      </c>
      <c r="Y179" s="16">
        <v>327.892</v>
      </c>
      <c r="Z179" s="26" t="s">
        <v>32</v>
      </c>
      <c r="AA179" s="25">
        <f t="shared" si="4"/>
        <v>265.06349999999998</v>
      </c>
      <c r="AB179" s="25">
        <f t="shared" si="5"/>
        <v>319.96580833333297</v>
      </c>
    </row>
    <row r="180" spans="1:28">
      <c r="A180" s="8">
        <v>45470</v>
      </c>
      <c r="B180" s="16">
        <v>325.0591</v>
      </c>
      <c r="C180" s="16">
        <v>313.58999999999997</v>
      </c>
      <c r="D180" s="16">
        <v>304.27519999999998</v>
      </c>
      <c r="E180" s="16">
        <v>298.4425</v>
      </c>
      <c r="F180" s="16">
        <v>295.97930000000002</v>
      </c>
      <c r="G180" s="16">
        <v>294.29880000000003</v>
      </c>
      <c r="H180" s="16">
        <v>295.52850000000001</v>
      </c>
      <c r="I180" s="16">
        <v>294.82089999999999</v>
      </c>
      <c r="J180" s="16">
        <v>317.08069999999998</v>
      </c>
      <c r="K180" s="16">
        <v>353.24549999999999</v>
      </c>
      <c r="L180" s="16">
        <v>360.07650000000001</v>
      </c>
      <c r="M180" s="16">
        <v>362.05329999999998</v>
      </c>
      <c r="N180" s="16">
        <v>324.27550000000002</v>
      </c>
      <c r="O180" s="16">
        <v>353.19929999999999</v>
      </c>
      <c r="P180" s="16">
        <v>357.83080000000001</v>
      </c>
      <c r="Q180" s="16">
        <v>357.9554</v>
      </c>
      <c r="R180" s="16">
        <v>388.5172</v>
      </c>
      <c r="S180" s="16">
        <v>416.53460000000001</v>
      </c>
      <c r="T180" s="16">
        <v>359.18669999999997</v>
      </c>
      <c r="U180" s="16">
        <v>512.52880000000005</v>
      </c>
      <c r="V180" s="16">
        <v>517.87</v>
      </c>
      <c r="W180" s="16">
        <v>415.83879999999999</v>
      </c>
      <c r="X180" s="16">
        <v>369.72140000000002</v>
      </c>
      <c r="Y180" s="16">
        <v>336.95609999999999</v>
      </c>
      <c r="Z180" s="26" t="s">
        <v>33</v>
      </c>
      <c r="AA180" s="25">
        <f t="shared" si="4"/>
        <v>294.29880000000003</v>
      </c>
      <c r="AB180" s="25">
        <f t="shared" si="5"/>
        <v>355.20270416666699</v>
      </c>
    </row>
    <row r="181" spans="1:28">
      <c r="A181" s="8">
        <v>45471</v>
      </c>
      <c r="B181" s="16">
        <v>313.00959999999998</v>
      </c>
      <c r="C181" s="16">
        <v>302.75040000000001</v>
      </c>
      <c r="D181" s="16">
        <v>286.33109999999999</v>
      </c>
      <c r="E181" s="16">
        <v>275.81970000000001</v>
      </c>
      <c r="F181" s="16">
        <v>262.27050000000003</v>
      </c>
      <c r="G181" s="16">
        <v>256.6422</v>
      </c>
      <c r="H181" s="16">
        <v>268.14980000000003</v>
      </c>
      <c r="I181" s="16">
        <v>264.25069999999999</v>
      </c>
      <c r="J181" s="16">
        <v>302.64030000000002</v>
      </c>
      <c r="K181" s="16">
        <v>338.22660000000002</v>
      </c>
      <c r="L181" s="16">
        <v>352.6936</v>
      </c>
      <c r="M181" s="16">
        <v>347.79450000000003</v>
      </c>
      <c r="N181" s="16">
        <v>307.85770000000002</v>
      </c>
      <c r="O181" s="16">
        <v>319.73379999999997</v>
      </c>
      <c r="P181" s="16">
        <v>328.40109999999999</v>
      </c>
      <c r="Q181" s="16">
        <v>332.45370000000003</v>
      </c>
      <c r="R181" s="16">
        <v>341.55410000000001</v>
      </c>
      <c r="S181" s="16">
        <v>334.42140000000001</v>
      </c>
      <c r="T181" s="16">
        <v>329.10489999999999</v>
      </c>
      <c r="U181" s="16">
        <v>343.37700000000001</v>
      </c>
      <c r="V181" s="16">
        <v>342.56470000000002</v>
      </c>
      <c r="W181" s="16">
        <v>338.85719999999998</v>
      </c>
      <c r="X181" s="16">
        <v>335.8297</v>
      </c>
      <c r="Y181" s="16">
        <v>320.92669999999998</v>
      </c>
      <c r="Z181" s="26" t="s">
        <v>34</v>
      </c>
      <c r="AA181" s="25">
        <f t="shared" si="4"/>
        <v>256.6422</v>
      </c>
      <c r="AB181" s="25">
        <f t="shared" si="5"/>
        <v>314.40254166666699</v>
      </c>
    </row>
    <row r="182" spans="1:28">
      <c r="A182" s="8">
        <v>45472</v>
      </c>
      <c r="B182" s="16">
        <v>339.66329999999999</v>
      </c>
      <c r="C182" s="16">
        <v>318.33330000000001</v>
      </c>
      <c r="D182" s="16">
        <v>305.60570000000001</v>
      </c>
      <c r="E182" s="16">
        <v>300.60489999999999</v>
      </c>
      <c r="F182" s="16">
        <v>290.66570000000002</v>
      </c>
      <c r="G182" s="16">
        <v>269.52600000000001</v>
      </c>
      <c r="H182" s="16">
        <v>263.98039999999997</v>
      </c>
      <c r="I182" s="16">
        <v>260.36660000000001</v>
      </c>
      <c r="J182" s="16">
        <v>291.84300000000002</v>
      </c>
      <c r="K182" s="16">
        <v>318.62009999999998</v>
      </c>
      <c r="L182" s="16">
        <v>329.41750000000002</v>
      </c>
      <c r="M182" s="16">
        <v>331.96269999999998</v>
      </c>
      <c r="N182" s="16">
        <v>310.11680000000001</v>
      </c>
      <c r="O182" s="16">
        <v>343.49790000000002</v>
      </c>
      <c r="P182" s="16">
        <v>362.5505</v>
      </c>
      <c r="Q182" s="16">
        <v>364.64600000000002</v>
      </c>
      <c r="R182" s="16">
        <v>388.99079999999998</v>
      </c>
      <c r="S182" s="16">
        <v>368.09190000000001</v>
      </c>
      <c r="T182" s="16">
        <v>334.65170000000001</v>
      </c>
      <c r="U182" s="16">
        <v>345.8177</v>
      </c>
      <c r="V182" s="16">
        <v>352.15010000000001</v>
      </c>
      <c r="W182" s="16">
        <v>359.28820000000002</v>
      </c>
      <c r="X182" s="16">
        <v>353.47570000000002</v>
      </c>
      <c r="Y182" s="16">
        <v>335.00659999999999</v>
      </c>
      <c r="Z182" s="26" t="s">
        <v>32</v>
      </c>
      <c r="AA182" s="25">
        <f t="shared" si="4"/>
        <v>260.36660000000001</v>
      </c>
      <c r="AB182" s="25">
        <f t="shared" si="5"/>
        <v>326.61971249999999</v>
      </c>
    </row>
    <row r="183" spans="1:28">
      <c r="A183" s="8">
        <v>45473</v>
      </c>
      <c r="B183" s="16">
        <v>328.8528</v>
      </c>
      <c r="C183" s="16">
        <v>310.7817</v>
      </c>
      <c r="D183" s="16">
        <v>299.2097</v>
      </c>
      <c r="E183" s="16">
        <v>285.67579999999998</v>
      </c>
      <c r="F183" s="16">
        <v>270.1576</v>
      </c>
      <c r="G183" s="16">
        <v>258.48649999999998</v>
      </c>
      <c r="H183" s="16">
        <v>255.14529999999999</v>
      </c>
      <c r="I183" s="16">
        <v>246.31909999999999</v>
      </c>
      <c r="J183" s="16">
        <v>230.2724</v>
      </c>
      <c r="K183" s="16">
        <v>248.97219999999999</v>
      </c>
      <c r="L183" s="16">
        <v>253.15530000000001</v>
      </c>
      <c r="M183" s="16">
        <v>258.09969999999998</v>
      </c>
      <c r="N183" s="16">
        <v>258.14030000000002</v>
      </c>
      <c r="O183" s="16">
        <v>275.85989999999998</v>
      </c>
      <c r="P183" s="16">
        <v>275.42140000000001</v>
      </c>
      <c r="Q183" s="16">
        <v>272.55990000000003</v>
      </c>
      <c r="R183" s="16">
        <v>285.01799999999997</v>
      </c>
      <c r="S183" s="16">
        <v>299.17770000000002</v>
      </c>
      <c r="T183" s="16">
        <v>293.20139999999998</v>
      </c>
      <c r="U183" s="16">
        <v>300.1773</v>
      </c>
      <c r="V183" s="16">
        <v>317.22719999999998</v>
      </c>
      <c r="W183" s="16">
        <v>330.68419999999998</v>
      </c>
      <c r="X183" s="16">
        <v>329.06709999999998</v>
      </c>
      <c r="Y183" s="16">
        <v>311.24759999999998</v>
      </c>
      <c r="Z183" s="26" t="s">
        <v>32</v>
      </c>
      <c r="AA183" s="25">
        <f t="shared" si="4"/>
        <v>230.2724</v>
      </c>
      <c r="AB183" s="25">
        <f t="shared" si="5"/>
        <v>283.03792083333298</v>
      </c>
    </row>
    <row r="184" spans="1:28">
      <c r="A184" s="8">
        <v>45474</v>
      </c>
      <c r="B184" s="16">
        <v>323.90879999999999</v>
      </c>
      <c r="C184" s="16">
        <v>310.95519999999999</v>
      </c>
      <c r="D184" s="16">
        <v>301.55590000000001</v>
      </c>
      <c r="E184" s="16">
        <v>289.39370000000002</v>
      </c>
      <c r="F184" s="16">
        <v>258.84280000000001</v>
      </c>
      <c r="G184" s="16">
        <v>238.6319</v>
      </c>
      <c r="H184" s="16">
        <v>250.8192</v>
      </c>
      <c r="I184" s="16">
        <v>228.65860000000001</v>
      </c>
      <c r="J184" s="16">
        <v>319.69200000000001</v>
      </c>
      <c r="K184" s="16">
        <v>350.43310000000002</v>
      </c>
      <c r="L184" s="16">
        <v>351.72570000000002</v>
      </c>
      <c r="M184" s="16">
        <v>362.07619999999997</v>
      </c>
      <c r="N184" s="16">
        <v>298.01549999999997</v>
      </c>
      <c r="O184" s="16">
        <v>352.75599999999997</v>
      </c>
      <c r="P184" s="16">
        <v>367.75139999999999</v>
      </c>
      <c r="Q184" s="16">
        <v>362.8818</v>
      </c>
      <c r="R184" s="16">
        <v>379.47800000000001</v>
      </c>
      <c r="S184" s="16">
        <v>361.82990000000001</v>
      </c>
      <c r="T184" s="16">
        <v>339.34930000000003</v>
      </c>
      <c r="U184" s="16">
        <v>361.6626</v>
      </c>
      <c r="V184" s="16">
        <v>356.22430000000003</v>
      </c>
      <c r="W184" s="16">
        <v>364.55470000000003</v>
      </c>
      <c r="X184" s="16">
        <v>370.07229999999998</v>
      </c>
      <c r="Y184" s="16">
        <v>339.5908</v>
      </c>
      <c r="Z184" s="26" t="s">
        <v>32</v>
      </c>
      <c r="AA184" s="25">
        <f t="shared" si="4"/>
        <v>228.65860000000001</v>
      </c>
      <c r="AB184" s="25">
        <f t="shared" si="5"/>
        <v>326.70248750000002</v>
      </c>
    </row>
    <row r="185" spans="1:28">
      <c r="A185" s="8">
        <v>45475</v>
      </c>
      <c r="B185" s="16">
        <v>333.38780000000003</v>
      </c>
      <c r="C185" s="16">
        <v>319.25799999999998</v>
      </c>
      <c r="D185" s="16">
        <v>306.5856</v>
      </c>
      <c r="E185" s="16">
        <v>300.67610000000002</v>
      </c>
      <c r="F185" s="16">
        <v>293.49329999999998</v>
      </c>
      <c r="G185" s="16">
        <v>288.49970000000002</v>
      </c>
      <c r="H185" s="16">
        <v>288.49419999999998</v>
      </c>
      <c r="I185" s="16">
        <v>282.50040000000001</v>
      </c>
      <c r="J185" s="16">
        <v>311.70269999999999</v>
      </c>
      <c r="K185" s="16">
        <v>344.86900000000003</v>
      </c>
      <c r="L185" s="16">
        <v>351.62560000000002</v>
      </c>
      <c r="M185" s="16">
        <v>356.38499999999999</v>
      </c>
      <c r="N185" s="16">
        <v>303.72539999999998</v>
      </c>
      <c r="O185" s="16">
        <v>372.61320000000001</v>
      </c>
      <c r="P185" s="16">
        <v>362.90109999999999</v>
      </c>
      <c r="Q185" s="16">
        <v>353.18680000000001</v>
      </c>
      <c r="R185" s="16">
        <v>368.5127</v>
      </c>
      <c r="S185" s="16">
        <v>354.5498</v>
      </c>
      <c r="T185" s="16">
        <v>331.94909999999999</v>
      </c>
      <c r="U185" s="16">
        <v>366.4828</v>
      </c>
      <c r="V185" s="16">
        <v>356.20479999999998</v>
      </c>
      <c r="W185" s="16">
        <v>357.04309999999998</v>
      </c>
      <c r="X185" s="16">
        <v>362.93419999999998</v>
      </c>
      <c r="Y185" s="16">
        <v>341.45420000000001</v>
      </c>
      <c r="Z185" s="26" t="s">
        <v>32</v>
      </c>
      <c r="AA185" s="25">
        <f t="shared" si="4"/>
        <v>282.50040000000001</v>
      </c>
      <c r="AB185" s="25">
        <f t="shared" si="5"/>
        <v>333.70977499999998</v>
      </c>
    </row>
    <row r="186" spans="1:28">
      <c r="A186" s="8">
        <v>45476</v>
      </c>
      <c r="B186" s="16">
        <v>401.7577</v>
      </c>
      <c r="C186" s="16">
        <v>361.24869999999999</v>
      </c>
      <c r="D186" s="16">
        <v>338.02179999999998</v>
      </c>
      <c r="E186" s="16">
        <v>323.80079999999998</v>
      </c>
      <c r="F186" s="16">
        <v>311.57409999999999</v>
      </c>
      <c r="G186" s="16">
        <v>306.791</v>
      </c>
      <c r="H186" s="16">
        <v>309.08920000000001</v>
      </c>
      <c r="I186" s="16">
        <v>304.06830000000002</v>
      </c>
      <c r="J186" s="16">
        <v>331.92419999999998</v>
      </c>
      <c r="K186" s="16">
        <v>377.70170000000002</v>
      </c>
      <c r="L186" s="16">
        <v>422.11059999999998</v>
      </c>
      <c r="M186" s="16">
        <v>403.31700000000001</v>
      </c>
      <c r="N186" s="16">
        <v>357.2688</v>
      </c>
      <c r="O186" s="16">
        <v>392.9665</v>
      </c>
      <c r="P186" s="16">
        <v>401.56729999999999</v>
      </c>
      <c r="Q186" s="16">
        <v>392.7989</v>
      </c>
      <c r="R186" s="16">
        <v>414.43740000000003</v>
      </c>
      <c r="S186" s="16">
        <v>383.04349999999999</v>
      </c>
      <c r="T186" s="16">
        <v>343.6567</v>
      </c>
      <c r="U186" s="16">
        <v>368.61219999999997</v>
      </c>
      <c r="V186" s="16">
        <v>367.71289999999999</v>
      </c>
      <c r="W186" s="16">
        <v>370.77370000000002</v>
      </c>
      <c r="X186" s="16">
        <v>378.80610000000001</v>
      </c>
      <c r="Y186" s="16">
        <v>364.73509999999999</v>
      </c>
      <c r="Z186" s="26" t="s">
        <v>32</v>
      </c>
      <c r="AA186" s="25">
        <f t="shared" si="4"/>
        <v>304.06830000000002</v>
      </c>
      <c r="AB186" s="25">
        <f t="shared" si="5"/>
        <v>363.65767499999998</v>
      </c>
    </row>
    <row r="187" spans="1:28">
      <c r="A187" s="8">
        <v>45477</v>
      </c>
      <c r="B187" s="16">
        <v>330.73239999999998</v>
      </c>
      <c r="C187" s="16">
        <v>326.0727</v>
      </c>
      <c r="D187" s="16">
        <v>317.05810000000002</v>
      </c>
      <c r="E187" s="16">
        <v>310.6343</v>
      </c>
      <c r="F187" s="16">
        <v>307.24790000000002</v>
      </c>
      <c r="G187" s="16">
        <v>302.62509999999997</v>
      </c>
      <c r="H187" s="16">
        <v>304.73939999999999</v>
      </c>
      <c r="I187" s="16">
        <v>299.77080000000001</v>
      </c>
      <c r="J187" s="16">
        <v>317.58199999999999</v>
      </c>
      <c r="K187" s="16">
        <v>356.53890000000001</v>
      </c>
      <c r="L187" s="16">
        <v>355.26769999999999</v>
      </c>
      <c r="M187" s="16">
        <v>351.96589999999998</v>
      </c>
      <c r="N187" s="16">
        <v>310.46199999999999</v>
      </c>
      <c r="O187" s="16">
        <v>343.31740000000002</v>
      </c>
      <c r="P187" s="16">
        <v>347.62259999999998</v>
      </c>
      <c r="Q187" s="16">
        <v>346.57870000000003</v>
      </c>
      <c r="R187" s="16">
        <v>357.04149999999998</v>
      </c>
      <c r="S187" s="16">
        <v>363.98379999999997</v>
      </c>
      <c r="T187" s="16">
        <v>339.13139999999999</v>
      </c>
      <c r="U187" s="16">
        <v>364.12779999999998</v>
      </c>
      <c r="V187" s="16">
        <v>365.96350000000001</v>
      </c>
      <c r="W187" s="16">
        <v>367.89159999999998</v>
      </c>
      <c r="X187" s="16">
        <v>357.6662</v>
      </c>
      <c r="Y187" s="16">
        <v>338.31270000000001</v>
      </c>
      <c r="Z187" s="26" t="s">
        <v>33</v>
      </c>
      <c r="AA187" s="25">
        <f t="shared" si="4"/>
        <v>299.77080000000001</v>
      </c>
      <c r="AB187" s="25">
        <f t="shared" si="5"/>
        <v>336.763933333333</v>
      </c>
    </row>
    <row r="188" spans="1:28">
      <c r="A188" s="8">
        <v>45478</v>
      </c>
      <c r="B188" s="16">
        <v>385.46420000000001</v>
      </c>
      <c r="C188" s="16">
        <v>361.08199999999999</v>
      </c>
      <c r="D188" s="16">
        <v>343.79020000000003</v>
      </c>
      <c r="E188" s="16">
        <v>331.0385</v>
      </c>
      <c r="F188" s="16">
        <v>324.03480000000002</v>
      </c>
      <c r="G188" s="16">
        <v>315.36829999999998</v>
      </c>
      <c r="H188" s="16">
        <v>316.0326</v>
      </c>
      <c r="I188" s="16">
        <v>305.12529999999998</v>
      </c>
      <c r="J188" s="16">
        <v>334.8229</v>
      </c>
      <c r="K188" s="16">
        <v>382.51569999999998</v>
      </c>
      <c r="L188" s="16">
        <v>379.57330000000002</v>
      </c>
      <c r="M188" s="16">
        <v>366.94970000000001</v>
      </c>
      <c r="N188" s="16">
        <v>336.09280000000001</v>
      </c>
      <c r="O188" s="16">
        <v>362.79579999999999</v>
      </c>
      <c r="P188" s="16">
        <v>369.56790000000001</v>
      </c>
      <c r="Q188" s="16">
        <v>374.00529999999998</v>
      </c>
      <c r="R188" s="16">
        <v>380.49079999999998</v>
      </c>
      <c r="S188" s="16">
        <v>369.62009999999998</v>
      </c>
      <c r="T188" s="16">
        <v>345.15410000000003</v>
      </c>
      <c r="U188" s="16">
        <v>372.0849</v>
      </c>
      <c r="V188" s="16">
        <v>363.30220000000003</v>
      </c>
      <c r="W188" s="16">
        <v>358.3888</v>
      </c>
      <c r="X188" s="16">
        <v>373.89769999999999</v>
      </c>
      <c r="Y188" s="16">
        <v>359.60539999999997</v>
      </c>
      <c r="Z188" s="26" t="s">
        <v>34</v>
      </c>
      <c r="AA188" s="25">
        <f t="shared" si="4"/>
        <v>305.12529999999998</v>
      </c>
      <c r="AB188" s="25">
        <f t="shared" si="5"/>
        <v>354.61680416666701</v>
      </c>
    </row>
    <row r="189" spans="1:28">
      <c r="A189" s="8">
        <v>45479</v>
      </c>
      <c r="B189" s="16">
        <v>370.16050000000001</v>
      </c>
      <c r="C189" s="16">
        <v>355.4837</v>
      </c>
      <c r="D189" s="16">
        <v>339.47320000000002</v>
      </c>
      <c r="E189" s="16">
        <v>327.59930000000003</v>
      </c>
      <c r="F189" s="16">
        <v>317.58190000000002</v>
      </c>
      <c r="G189" s="16">
        <v>308.88569999999999</v>
      </c>
      <c r="H189" s="16">
        <v>307.34699999999998</v>
      </c>
      <c r="I189" s="16">
        <v>298.60950000000003</v>
      </c>
      <c r="J189" s="16">
        <v>312.81420000000003</v>
      </c>
      <c r="K189" s="16">
        <v>338.90980000000002</v>
      </c>
      <c r="L189" s="16">
        <v>349.10660000000001</v>
      </c>
      <c r="M189" s="16">
        <v>353.7989</v>
      </c>
      <c r="N189" s="16">
        <v>315.06720000000001</v>
      </c>
      <c r="O189" s="16">
        <v>351.01650000000001</v>
      </c>
      <c r="P189" s="16">
        <v>364.09679999999997</v>
      </c>
      <c r="Q189" s="16">
        <v>369.05020000000002</v>
      </c>
      <c r="R189" s="16">
        <v>365.7998</v>
      </c>
      <c r="S189" s="16">
        <v>360.4599</v>
      </c>
      <c r="T189" s="16">
        <v>342.84320000000002</v>
      </c>
      <c r="U189" s="16">
        <v>358.45510000000002</v>
      </c>
      <c r="V189" s="16">
        <v>367.21640000000002</v>
      </c>
      <c r="W189" s="16">
        <v>372.95909999999998</v>
      </c>
      <c r="X189" s="16">
        <v>373.63249999999999</v>
      </c>
      <c r="Y189" s="16">
        <v>361.11470000000003</v>
      </c>
      <c r="Z189" s="26" t="s">
        <v>32</v>
      </c>
      <c r="AA189" s="25">
        <f t="shared" si="4"/>
        <v>298.60950000000003</v>
      </c>
      <c r="AB189" s="25">
        <f t="shared" si="5"/>
        <v>345.06173749999999</v>
      </c>
    </row>
    <row r="190" spans="1:28">
      <c r="A190" s="8">
        <v>45480</v>
      </c>
      <c r="B190" s="16">
        <v>420.96390000000002</v>
      </c>
      <c r="C190" s="16">
        <v>397.59120000000001</v>
      </c>
      <c r="D190" s="16">
        <v>362.28120000000001</v>
      </c>
      <c r="E190" s="16">
        <v>346.99950000000001</v>
      </c>
      <c r="F190" s="16">
        <v>331.83760000000001</v>
      </c>
      <c r="G190" s="16">
        <v>322.05579999999998</v>
      </c>
      <c r="H190" s="16">
        <v>318.74400000000003</v>
      </c>
      <c r="I190" s="16">
        <v>309.43189999999998</v>
      </c>
      <c r="J190" s="16">
        <v>311.22620000000001</v>
      </c>
      <c r="K190" s="16">
        <v>324.601</v>
      </c>
      <c r="L190" s="16">
        <v>325.0899</v>
      </c>
      <c r="M190" s="16">
        <v>318.85989999999998</v>
      </c>
      <c r="N190" s="16">
        <v>279.4239</v>
      </c>
      <c r="O190" s="16">
        <v>329.07769999999999</v>
      </c>
      <c r="P190" s="16">
        <v>342.52010000000001</v>
      </c>
      <c r="Q190" s="16">
        <v>340.10410000000002</v>
      </c>
      <c r="R190" s="16">
        <v>340.8322</v>
      </c>
      <c r="S190" s="16">
        <v>343.50259999999997</v>
      </c>
      <c r="T190" s="16">
        <v>332.20339999999999</v>
      </c>
      <c r="U190" s="16">
        <v>342.50790000000001</v>
      </c>
      <c r="V190" s="16">
        <v>350.35539999999997</v>
      </c>
      <c r="W190" s="16">
        <v>372.93619999999999</v>
      </c>
      <c r="X190" s="16">
        <v>366.22160000000002</v>
      </c>
      <c r="Y190" s="16">
        <v>348.06099999999998</v>
      </c>
      <c r="Z190" s="26" t="s">
        <v>32</v>
      </c>
      <c r="AA190" s="25">
        <f t="shared" si="4"/>
        <v>279.4239</v>
      </c>
      <c r="AB190" s="25">
        <f t="shared" si="5"/>
        <v>340.72617500000001</v>
      </c>
    </row>
    <row r="191" spans="1:28">
      <c r="A191" s="8">
        <v>45481</v>
      </c>
      <c r="B191" s="16">
        <v>426.23329999999999</v>
      </c>
      <c r="C191" s="16">
        <v>378.16390000000001</v>
      </c>
      <c r="D191" s="16">
        <v>360.55840000000001</v>
      </c>
      <c r="E191" s="16">
        <v>345.04899999999998</v>
      </c>
      <c r="F191" s="16">
        <v>332.50979999999998</v>
      </c>
      <c r="G191" s="16">
        <v>324.01949999999999</v>
      </c>
      <c r="H191" s="16">
        <v>326.85480000000001</v>
      </c>
      <c r="I191" s="16">
        <v>318.01389999999998</v>
      </c>
      <c r="J191" s="16">
        <v>344.96109999999999</v>
      </c>
      <c r="K191" s="16">
        <v>417.20330000000001</v>
      </c>
      <c r="L191" s="16">
        <v>408.12450000000001</v>
      </c>
      <c r="M191" s="16">
        <v>400.26299999999998</v>
      </c>
      <c r="N191" s="16">
        <v>362.69909999999999</v>
      </c>
      <c r="O191" s="16">
        <v>417.86599999999999</v>
      </c>
      <c r="P191" s="16">
        <v>398.88350000000003</v>
      </c>
      <c r="Q191" s="16">
        <v>392.71129999999999</v>
      </c>
      <c r="R191" s="16">
        <v>402.63920000000002</v>
      </c>
      <c r="S191" s="16">
        <v>381.33730000000003</v>
      </c>
      <c r="T191" s="16">
        <v>354.61279999999999</v>
      </c>
      <c r="U191" s="16">
        <v>371.12079999999997</v>
      </c>
      <c r="V191" s="16">
        <v>373.63139999999999</v>
      </c>
      <c r="W191" s="16">
        <v>375.63869999999997</v>
      </c>
      <c r="X191" s="16">
        <v>387.38310000000001</v>
      </c>
      <c r="Y191" s="16">
        <v>365.50490000000002</v>
      </c>
      <c r="Z191" s="26" t="s">
        <v>32</v>
      </c>
      <c r="AA191" s="25">
        <f t="shared" si="4"/>
        <v>318.01389999999998</v>
      </c>
      <c r="AB191" s="25">
        <f t="shared" si="5"/>
        <v>373.58260833333298</v>
      </c>
    </row>
    <row r="192" spans="1:28">
      <c r="A192" s="8">
        <v>45482</v>
      </c>
      <c r="B192" s="16">
        <v>381.38510000000002</v>
      </c>
      <c r="C192" s="16">
        <v>368.49</v>
      </c>
      <c r="D192" s="16">
        <v>348.92849999999999</v>
      </c>
      <c r="E192" s="16">
        <v>336.45830000000001</v>
      </c>
      <c r="F192" s="16">
        <v>324.83179999999999</v>
      </c>
      <c r="G192" s="16">
        <v>316.7122</v>
      </c>
      <c r="H192" s="16">
        <v>318.12520000000001</v>
      </c>
      <c r="I192" s="16">
        <v>308.54020000000003</v>
      </c>
      <c r="J192" s="16">
        <v>333.49880000000002</v>
      </c>
      <c r="K192" s="16">
        <v>395.52269999999999</v>
      </c>
      <c r="L192" s="16">
        <v>371.48480000000001</v>
      </c>
      <c r="M192" s="16">
        <v>367.48379999999997</v>
      </c>
      <c r="N192" s="16">
        <v>322.14400000000001</v>
      </c>
      <c r="O192" s="16">
        <v>366.05079999999998</v>
      </c>
      <c r="P192" s="16">
        <v>374.86290000000002</v>
      </c>
      <c r="Q192" s="16">
        <v>372.53840000000002</v>
      </c>
      <c r="R192" s="16">
        <v>378.209</v>
      </c>
      <c r="S192" s="16">
        <v>371.08499999999998</v>
      </c>
      <c r="T192" s="16">
        <v>356.25540000000001</v>
      </c>
      <c r="U192" s="16">
        <v>373.05250000000001</v>
      </c>
      <c r="V192" s="16">
        <v>373.02949999999998</v>
      </c>
      <c r="W192" s="16">
        <v>363.9898</v>
      </c>
      <c r="X192" s="16">
        <v>374.14139999999998</v>
      </c>
      <c r="Y192" s="16">
        <v>352.91800000000001</v>
      </c>
      <c r="Z192" s="26" t="s">
        <v>32</v>
      </c>
      <c r="AA192" s="25">
        <f t="shared" si="4"/>
        <v>308.54020000000003</v>
      </c>
      <c r="AB192" s="25">
        <f t="shared" si="5"/>
        <v>356.23908749999998</v>
      </c>
    </row>
    <row r="193" spans="1:28">
      <c r="A193" s="8">
        <v>45483</v>
      </c>
      <c r="B193" s="16">
        <v>409.35629999999998</v>
      </c>
      <c r="C193" s="16">
        <v>391.60770000000002</v>
      </c>
      <c r="D193" s="16">
        <v>363.44290000000001</v>
      </c>
      <c r="E193" s="16">
        <v>347.40679999999998</v>
      </c>
      <c r="F193" s="16">
        <v>335.08690000000001</v>
      </c>
      <c r="G193" s="16">
        <v>325.8784</v>
      </c>
      <c r="H193" s="16">
        <v>326.37259999999998</v>
      </c>
      <c r="I193" s="16">
        <v>315.90199999999999</v>
      </c>
      <c r="J193" s="16">
        <v>330.1934</v>
      </c>
      <c r="K193" s="16">
        <v>399.33229999999998</v>
      </c>
      <c r="L193" s="16">
        <v>386.65820000000002</v>
      </c>
      <c r="M193" s="16">
        <v>371.13650000000001</v>
      </c>
      <c r="N193" s="16">
        <v>330.18650000000002</v>
      </c>
      <c r="O193" s="16">
        <v>363.42059999999998</v>
      </c>
      <c r="P193" s="16">
        <v>371.9776</v>
      </c>
      <c r="Q193" s="16">
        <v>382.57150000000001</v>
      </c>
      <c r="R193" s="16">
        <v>381.55399999999997</v>
      </c>
      <c r="S193" s="16">
        <v>377.02289999999999</v>
      </c>
      <c r="T193" s="16">
        <v>365.88310000000001</v>
      </c>
      <c r="U193" s="16">
        <v>377.51830000000001</v>
      </c>
      <c r="V193" s="16">
        <v>380.54509999999999</v>
      </c>
      <c r="W193" s="16">
        <v>382.38869999999997</v>
      </c>
      <c r="X193" s="16">
        <v>395.06869999999998</v>
      </c>
      <c r="Y193" s="16">
        <v>374.67720000000003</v>
      </c>
      <c r="Z193" s="26" t="s">
        <v>32</v>
      </c>
      <c r="AA193" s="25">
        <f t="shared" si="4"/>
        <v>315.90199999999999</v>
      </c>
      <c r="AB193" s="25">
        <f t="shared" si="5"/>
        <v>366.04950833333299</v>
      </c>
    </row>
    <row r="194" spans="1:28">
      <c r="A194" s="8">
        <v>45484</v>
      </c>
      <c r="B194" s="16">
        <v>429.9579</v>
      </c>
      <c r="C194" s="16">
        <v>413.5652</v>
      </c>
      <c r="D194" s="16">
        <v>393.13830000000002</v>
      </c>
      <c r="E194" s="16">
        <v>362.99270000000001</v>
      </c>
      <c r="F194" s="16">
        <v>347.60270000000003</v>
      </c>
      <c r="G194" s="16">
        <v>340.29849999999999</v>
      </c>
      <c r="H194" s="16">
        <v>340.46429999999998</v>
      </c>
      <c r="I194" s="16">
        <v>330.35140000000001</v>
      </c>
      <c r="J194" s="16">
        <v>345.02480000000003</v>
      </c>
      <c r="K194" s="16">
        <v>371.06509999999997</v>
      </c>
      <c r="L194" s="16">
        <v>371.40230000000003</v>
      </c>
      <c r="M194" s="16">
        <v>370.69319999999999</v>
      </c>
      <c r="N194" s="16">
        <v>340.89659999999998</v>
      </c>
      <c r="O194" s="16">
        <v>365.30869999999999</v>
      </c>
      <c r="P194" s="16">
        <v>381.78359999999998</v>
      </c>
      <c r="Q194" s="16">
        <v>386.85160000000002</v>
      </c>
      <c r="R194" s="16">
        <v>392.91160000000002</v>
      </c>
      <c r="S194" s="16">
        <v>385.3039</v>
      </c>
      <c r="T194" s="16">
        <v>366.76130000000001</v>
      </c>
      <c r="U194" s="16">
        <v>374.38440000000003</v>
      </c>
      <c r="V194" s="16">
        <v>369.5625</v>
      </c>
      <c r="W194" s="16">
        <v>370.83120000000002</v>
      </c>
      <c r="X194" s="16">
        <v>377.11099999999999</v>
      </c>
      <c r="Y194" s="16">
        <v>372.8965</v>
      </c>
      <c r="Z194" s="26" t="s">
        <v>33</v>
      </c>
      <c r="AA194" s="25">
        <f t="shared" ref="AA194:AA257" si="6">MIN($B194:$Y194)</f>
        <v>330.35140000000001</v>
      </c>
      <c r="AB194" s="25">
        <f t="shared" ref="AB194:AB257" si="7">AVERAGE($B194:$Y194)</f>
        <v>370.88163750000001</v>
      </c>
    </row>
    <row r="195" spans="1:28">
      <c r="A195" s="8">
        <v>45485</v>
      </c>
      <c r="B195" s="16">
        <v>431.2835</v>
      </c>
      <c r="C195" s="16">
        <v>399.50349999999997</v>
      </c>
      <c r="D195" s="16">
        <v>384.4495</v>
      </c>
      <c r="E195" s="16">
        <v>354.84390000000002</v>
      </c>
      <c r="F195" s="16">
        <v>342.35329999999999</v>
      </c>
      <c r="G195" s="16">
        <v>335.93579999999997</v>
      </c>
      <c r="H195" s="16">
        <v>336.19330000000002</v>
      </c>
      <c r="I195" s="16">
        <v>331.71179999999998</v>
      </c>
      <c r="J195" s="16">
        <v>347.73750000000001</v>
      </c>
      <c r="K195" s="16">
        <v>384.8023</v>
      </c>
      <c r="L195" s="16">
        <v>377.7167</v>
      </c>
      <c r="M195" s="16">
        <v>380.1968</v>
      </c>
      <c r="N195" s="16">
        <v>356.21280000000002</v>
      </c>
      <c r="O195" s="16">
        <v>384.12729999999999</v>
      </c>
      <c r="P195" s="16">
        <v>393.42840000000001</v>
      </c>
      <c r="Q195" s="16">
        <v>388.04219999999998</v>
      </c>
      <c r="R195" s="16">
        <v>379.91800000000001</v>
      </c>
      <c r="S195" s="16">
        <v>362.94709999999998</v>
      </c>
      <c r="T195" s="16">
        <v>347.6551</v>
      </c>
      <c r="U195" s="16">
        <v>352.15129999999999</v>
      </c>
      <c r="V195" s="16">
        <v>356.3784</v>
      </c>
      <c r="W195" s="16">
        <v>355.88150000000002</v>
      </c>
      <c r="X195" s="16">
        <v>359.15039999999999</v>
      </c>
      <c r="Y195" s="16">
        <v>359.44839999999999</v>
      </c>
      <c r="Z195" s="26" t="s">
        <v>34</v>
      </c>
      <c r="AA195" s="25">
        <f t="shared" si="6"/>
        <v>331.71179999999998</v>
      </c>
      <c r="AB195" s="25">
        <f t="shared" si="7"/>
        <v>366.75286666666699</v>
      </c>
    </row>
    <row r="196" spans="1:28">
      <c r="A196" s="8">
        <v>45486</v>
      </c>
      <c r="B196" s="16">
        <v>465.25850000000003</v>
      </c>
      <c r="C196" s="16">
        <v>414.21359999999999</v>
      </c>
      <c r="D196" s="16">
        <v>391.00510000000003</v>
      </c>
      <c r="E196" s="16">
        <v>359.7833</v>
      </c>
      <c r="F196" s="16">
        <v>343.96100000000001</v>
      </c>
      <c r="G196" s="16">
        <v>336.32650000000001</v>
      </c>
      <c r="H196" s="16">
        <v>331.65449999999998</v>
      </c>
      <c r="I196" s="16">
        <v>323.036</v>
      </c>
      <c r="J196" s="16">
        <v>335.43150000000003</v>
      </c>
      <c r="K196" s="16">
        <v>354.0752</v>
      </c>
      <c r="L196" s="16">
        <v>360.38299999999998</v>
      </c>
      <c r="M196" s="16">
        <v>357.49369999999999</v>
      </c>
      <c r="N196" s="16">
        <v>334.64260000000002</v>
      </c>
      <c r="O196" s="16">
        <v>362.42039999999997</v>
      </c>
      <c r="P196" s="16">
        <v>388.7749</v>
      </c>
      <c r="Q196" s="16">
        <v>383.7192</v>
      </c>
      <c r="R196" s="16">
        <v>403.35520000000002</v>
      </c>
      <c r="S196" s="16">
        <v>406.94080000000002</v>
      </c>
      <c r="T196" s="16">
        <v>354.6413</v>
      </c>
      <c r="U196" s="16">
        <v>381.03629999999998</v>
      </c>
      <c r="V196" s="16">
        <v>377.33190000000002</v>
      </c>
      <c r="W196" s="16">
        <v>383.74459999999999</v>
      </c>
      <c r="X196" s="16">
        <v>374.37720000000002</v>
      </c>
      <c r="Y196" s="16">
        <v>385.9597</v>
      </c>
      <c r="Z196" s="26" t="s">
        <v>32</v>
      </c>
      <c r="AA196" s="25">
        <f t="shared" si="6"/>
        <v>323.036</v>
      </c>
      <c r="AB196" s="25">
        <f t="shared" si="7"/>
        <v>371.23191666666702</v>
      </c>
    </row>
    <row r="197" spans="1:28">
      <c r="A197" s="8">
        <v>45487</v>
      </c>
      <c r="B197" s="16">
        <v>423.3897</v>
      </c>
      <c r="C197" s="16">
        <v>380.34070000000003</v>
      </c>
      <c r="D197" s="16">
        <v>370.72300000000001</v>
      </c>
      <c r="E197" s="16">
        <v>359.24799999999999</v>
      </c>
      <c r="F197" s="16">
        <v>341.64229999999998</v>
      </c>
      <c r="G197" s="16">
        <v>330.07819999999998</v>
      </c>
      <c r="H197" s="16">
        <v>322.51159999999999</v>
      </c>
      <c r="I197" s="16">
        <v>309.11279999999999</v>
      </c>
      <c r="J197" s="16">
        <v>305.18009999999998</v>
      </c>
      <c r="K197" s="16">
        <v>311.58269999999999</v>
      </c>
      <c r="L197" s="16">
        <v>308.32940000000002</v>
      </c>
      <c r="M197" s="16">
        <v>308.8313</v>
      </c>
      <c r="N197" s="16">
        <v>306.5849</v>
      </c>
      <c r="O197" s="16">
        <v>326.08350000000002</v>
      </c>
      <c r="P197" s="16">
        <v>320.57549999999998</v>
      </c>
      <c r="Q197" s="16">
        <v>318.96370000000002</v>
      </c>
      <c r="R197" s="16">
        <v>317.69720000000001</v>
      </c>
      <c r="S197" s="16">
        <v>318.81909999999999</v>
      </c>
      <c r="T197" s="16">
        <v>321.86419999999998</v>
      </c>
      <c r="U197" s="16">
        <v>335.37259999999998</v>
      </c>
      <c r="V197" s="16">
        <v>340.30990000000003</v>
      </c>
      <c r="W197" s="16">
        <v>353.23919999999998</v>
      </c>
      <c r="X197" s="16">
        <v>344.4572</v>
      </c>
      <c r="Y197" s="16">
        <v>342.32260000000002</v>
      </c>
      <c r="Z197" s="26" t="s">
        <v>32</v>
      </c>
      <c r="AA197" s="25">
        <f t="shared" si="6"/>
        <v>305.18009999999998</v>
      </c>
      <c r="AB197" s="25">
        <f t="shared" si="7"/>
        <v>334.05247500000002</v>
      </c>
    </row>
    <row r="198" spans="1:28">
      <c r="A198" s="8">
        <v>45488</v>
      </c>
      <c r="B198" s="16">
        <v>336.76580000000001</v>
      </c>
      <c r="C198" s="16">
        <v>334.70600000000002</v>
      </c>
      <c r="D198" s="16">
        <v>330.0917</v>
      </c>
      <c r="E198" s="16">
        <v>324.29610000000002</v>
      </c>
      <c r="F198" s="16">
        <v>315.75479999999999</v>
      </c>
      <c r="G198" s="16">
        <v>309.59280000000001</v>
      </c>
      <c r="H198" s="16">
        <v>311.05349999999999</v>
      </c>
      <c r="I198" s="16">
        <v>305.92380000000003</v>
      </c>
      <c r="J198" s="16">
        <v>334.03059999999999</v>
      </c>
      <c r="K198" s="16">
        <v>370.78429999999997</v>
      </c>
      <c r="L198" s="16">
        <v>377.9</v>
      </c>
      <c r="M198" s="16">
        <v>368.87009999999998</v>
      </c>
      <c r="N198" s="16">
        <v>348.19510000000002</v>
      </c>
      <c r="O198" s="16">
        <v>378.75720000000001</v>
      </c>
      <c r="P198" s="16">
        <v>388.74450000000002</v>
      </c>
      <c r="Q198" s="16">
        <v>375.23390000000001</v>
      </c>
      <c r="R198" s="16">
        <v>376.80770000000001</v>
      </c>
      <c r="S198" s="16">
        <v>357.4855</v>
      </c>
      <c r="T198" s="16">
        <v>337.56169999999997</v>
      </c>
      <c r="U198" s="16">
        <v>352.78160000000003</v>
      </c>
      <c r="V198" s="16">
        <v>351.4957</v>
      </c>
      <c r="W198" s="16">
        <v>356.5093</v>
      </c>
      <c r="X198" s="16">
        <v>351.93209999999999</v>
      </c>
      <c r="Y198" s="16">
        <v>344.79180000000002</v>
      </c>
      <c r="Z198" s="26" t="s">
        <v>32</v>
      </c>
      <c r="AA198" s="25">
        <f t="shared" si="6"/>
        <v>305.92380000000003</v>
      </c>
      <c r="AB198" s="25">
        <f t="shared" si="7"/>
        <v>347.50273333333303</v>
      </c>
    </row>
    <row r="199" spans="1:28">
      <c r="A199" s="8">
        <v>45489</v>
      </c>
      <c r="B199" s="16">
        <v>363.55779999999999</v>
      </c>
      <c r="C199" s="16">
        <v>354.26</v>
      </c>
      <c r="D199" s="16">
        <v>350.27480000000003</v>
      </c>
      <c r="E199" s="16">
        <v>340.54239999999999</v>
      </c>
      <c r="F199" s="16">
        <v>323.65609999999998</v>
      </c>
      <c r="G199" s="16">
        <v>315.92720000000003</v>
      </c>
      <c r="H199" s="16">
        <v>316.74709999999999</v>
      </c>
      <c r="I199" s="16">
        <v>313.15750000000003</v>
      </c>
      <c r="J199" s="16">
        <v>328.71359999999999</v>
      </c>
      <c r="K199" s="16">
        <v>372.17919999999998</v>
      </c>
      <c r="L199" s="16">
        <v>366.46039999999999</v>
      </c>
      <c r="M199" s="16">
        <v>357.84530000000001</v>
      </c>
      <c r="N199" s="16">
        <v>323.22789999999998</v>
      </c>
      <c r="O199" s="16">
        <v>348.89330000000001</v>
      </c>
      <c r="P199" s="16">
        <v>359.87130000000002</v>
      </c>
      <c r="Q199" s="16">
        <v>359.82049999999998</v>
      </c>
      <c r="R199" s="16">
        <v>438.7534</v>
      </c>
      <c r="S199" s="16">
        <v>421.82080000000002</v>
      </c>
      <c r="T199" s="16">
        <v>342.221</v>
      </c>
      <c r="U199" s="16">
        <v>382.24149999999997</v>
      </c>
      <c r="V199" s="16">
        <v>376.3888</v>
      </c>
      <c r="W199" s="16">
        <v>374.23989999999998</v>
      </c>
      <c r="X199" s="16">
        <v>377.07990000000001</v>
      </c>
      <c r="Y199" s="16">
        <v>356.09100000000001</v>
      </c>
      <c r="Z199" s="26" t="s">
        <v>32</v>
      </c>
      <c r="AA199" s="25">
        <f t="shared" si="6"/>
        <v>313.15750000000003</v>
      </c>
      <c r="AB199" s="25">
        <f t="shared" si="7"/>
        <v>356.83211249999999</v>
      </c>
    </row>
    <row r="200" spans="1:28">
      <c r="A200" s="8">
        <v>45490</v>
      </c>
      <c r="B200" s="16">
        <v>363.15809999999999</v>
      </c>
      <c r="C200" s="16">
        <v>346.4171</v>
      </c>
      <c r="D200" s="16">
        <v>339.27929999999998</v>
      </c>
      <c r="E200" s="16">
        <v>328.3177</v>
      </c>
      <c r="F200" s="16">
        <v>318.8974</v>
      </c>
      <c r="G200" s="16">
        <v>312.98349999999999</v>
      </c>
      <c r="H200" s="16">
        <v>312.7038</v>
      </c>
      <c r="I200" s="16">
        <v>310.85399999999998</v>
      </c>
      <c r="J200" s="16">
        <v>329.73390000000001</v>
      </c>
      <c r="K200" s="16">
        <v>370.25940000000003</v>
      </c>
      <c r="L200" s="16">
        <v>380.13569999999999</v>
      </c>
      <c r="M200" s="16">
        <v>370.10270000000003</v>
      </c>
      <c r="N200" s="16">
        <v>342.25689999999997</v>
      </c>
      <c r="O200" s="16">
        <v>370.33449999999999</v>
      </c>
      <c r="P200" s="16">
        <v>396.46730000000002</v>
      </c>
      <c r="Q200" s="16">
        <v>377.50170000000003</v>
      </c>
      <c r="R200" s="16">
        <v>361.6069</v>
      </c>
      <c r="S200" s="16">
        <v>345.08670000000001</v>
      </c>
      <c r="T200" s="16">
        <v>328.4624</v>
      </c>
      <c r="U200" s="16">
        <v>347.863</v>
      </c>
      <c r="V200" s="16">
        <v>346.44959999999998</v>
      </c>
      <c r="W200" s="16">
        <v>350.1454</v>
      </c>
      <c r="X200" s="16">
        <v>352.73840000000001</v>
      </c>
      <c r="Y200" s="16">
        <v>337.28440000000001</v>
      </c>
      <c r="Z200" s="26" t="s">
        <v>32</v>
      </c>
      <c r="AA200" s="25">
        <f t="shared" si="6"/>
        <v>310.85399999999998</v>
      </c>
      <c r="AB200" s="25">
        <f t="shared" si="7"/>
        <v>347.45999166666701</v>
      </c>
    </row>
    <row r="201" spans="1:28">
      <c r="A201" s="8">
        <v>45491</v>
      </c>
      <c r="B201" s="16">
        <v>335.66419999999999</v>
      </c>
      <c r="C201" s="16">
        <v>338.87779999999998</v>
      </c>
      <c r="D201" s="16">
        <v>328.29469999999998</v>
      </c>
      <c r="E201" s="16">
        <v>322.09739999999999</v>
      </c>
      <c r="F201" s="16">
        <v>313.15339999999998</v>
      </c>
      <c r="G201" s="16">
        <v>310.03829999999999</v>
      </c>
      <c r="H201" s="16">
        <v>311.79880000000003</v>
      </c>
      <c r="I201" s="16">
        <v>308.90390000000002</v>
      </c>
      <c r="J201" s="16">
        <v>321.59739999999999</v>
      </c>
      <c r="K201" s="16">
        <v>354.44990000000001</v>
      </c>
      <c r="L201" s="16">
        <v>356.39240000000001</v>
      </c>
      <c r="M201" s="16">
        <v>347.78289999999998</v>
      </c>
      <c r="N201" s="16">
        <v>325.7176</v>
      </c>
      <c r="O201" s="16">
        <v>351.39010000000002</v>
      </c>
      <c r="P201" s="16">
        <v>363.88249999999999</v>
      </c>
      <c r="Q201" s="16">
        <v>349.88720000000001</v>
      </c>
      <c r="R201" s="16">
        <v>361.18599999999998</v>
      </c>
      <c r="S201" s="16">
        <v>357.51479999999998</v>
      </c>
      <c r="T201" s="16">
        <v>342.54430000000002</v>
      </c>
      <c r="U201" s="16">
        <v>364.8535</v>
      </c>
      <c r="V201" s="16">
        <v>364.39010000000002</v>
      </c>
      <c r="W201" s="16">
        <v>367.80079999999998</v>
      </c>
      <c r="X201" s="16">
        <v>341.19310000000002</v>
      </c>
      <c r="Y201" s="16">
        <v>326.36509999999998</v>
      </c>
      <c r="Z201" s="26" t="s">
        <v>33</v>
      </c>
      <c r="AA201" s="25">
        <f t="shared" si="6"/>
        <v>308.90390000000002</v>
      </c>
      <c r="AB201" s="25">
        <f t="shared" si="7"/>
        <v>340.24067500000001</v>
      </c>
    </row>
    <row r="202" spans="1:28">
      <c r="A202" s="8">
        <v>45492</v>
      </c>
      <c r="B202" s="16">
        <v>375.464</v>
      </c>
      <c r="C202" s="16">
        <v>347.14879999999999</v>
      </c>
      <c r="D202" s="16">
        <v>335.28269999999998</v>
      </c>
      <c r="E202" s="16">
        <v>323.43209999999999</v>
      </c>
      <c r="F202" s="16">
        <v>314.99130000000002</v>
      </c>
      <c r="G202" s="16">
        <v>312.4597</v>
      </c>
      <c r="H202" s="16">
        <v>313.12670000000003</v>
      </c>
      <c r="I202" s="16">
        <v>308.70389999999998</v>
      </c>
      <c r="J202" s="16">
        <v>316.58569999999997</v>
      </c>
      <c r="K202" s="16">
        <v>344.37299999999999</v>
      </c>
      <c r="L202" s="16">
        <v>346.66109999999998</v>
      </c>
      <c r="M202" s="16">
        <v>340.7756</v>
      </c>
      <c r="N202" s="16">
        <v>313.1413</v>
      </c>
      <c r="O202" s="16">
        <v>336.88600000000002</v>
      </c>
      <c r="P202" s="16">
        <v>356.62880000000001</v>
      </c>
      <c r="Q202" s="16">
        <v>356.45780000000002</v>
      </c>
      <c r="R202" s="16">
        <v>397.05439999999999</v>
      </c>
      <c r="S202" s="16">
        <v>414.93329999999997</v>
      </c>
      <c r="T202" s="16">
        <v>331.11399999999998</v>
      </c>
      <c r="U202" s="16">
        <v>375.911</v>
      </c>
      <c r="V202" s="16">
        <v>379.24590000000001</v>
      </c>
      <c r="W202" s="16">
        <v>381.22109999999998</v>
      </c>
      <c r="X202" s="16">
        <v>386.58519999999999</v>
      </c>
      <c r="Y202" s="16">
        <v>359.82839999999999</v>
      </c>
      <c r="Z202" s="26" t="s">
        <v>34</v>
      </c>
      <c r="AA202" s="25">
        <f t="shared" si="6"/>
        <v>308.70389999999998</v>
      </c>
      <c r="AB202" s="25">
        <f t="shared" si="7"/>
        <v>348.66715833333302</v>
      </c>
    </row>
    <row r="203" spans="1:28">
      <c r="A203" s="8">
        <v>45493</v>
      </c>
      <c r="B203" s="16">
        <v>331.26479999999998</v>
      </c>
      <c r="C203" s="16">
        <v>322.4074</v>
      </c>
      <c r="D203" s="16">
        <v>321.779</v>
      </c>
      <c r="E203" s="16">
        <v>320.40690000000001</v>
      </c>
      <c r="F203" s="16">
        <v>313.0385</v>
      </c>
      <c r="G203" s="16">
        <v>310.40620000000001</v>
      </c>
      <c r="H203" s="16">
        <v>309.4126</v>
      </c>
      <c r="I203" s="16">
        <v>306.64400000000001</v>
      </c>
      <c r="J203" s="16">
        <v>314.47230000000002</v>
      </c>
      <c r="K203" s="16">
        <v>334.46710000000002</v>
      </c>
      <c r="L203" s="16">
        <v>325.69170000000003</v>
      </c>
      <c r="M203" s="16">
        <v>325.04739999999998</v>
      </c>
      <c r="N203" s="16">
        <v>291.91899999999998</v>
      </c>
      <c r="O203" s="16">
        <v>330.39120000000003</v>
      </c>
      <c r="P203" s="16">
        <v>345.16430000000003</v>
      </c>
      <c r="Q203" s="16">
        <v>338.61619999999999</v>
      </c>
      <c r="R203" s="16">
        <v>345.11840000000001</v>
      </c>
      <c r="S203" s="16">
        <v>340.70359999999999</v>
      </c>
      <c r="T203" s="16">
        <v>326.34539999999998</v>
      </c>
      <c r="U203" s="16">
        <v>332.50220000000002</v>
      </c>
      <c r="V203" s="16">
        <v>336.09480000000002</v>
      </c>
      <c r="W203" s="16">
        <v>338.96719999999999</v>
      </c>
      <c r="X203" s="16">
        <v>333.02910000000003</v>
      </c>
      <c r="Y203" s="16">
        <v>327.43790000000001</v>
      </c>
      <c r="Z203" s="26" t="s">
        <v>32</v>
      </c>
      <c r="AA203" s="25">
        <f t="shared" si="6"/>
        <v>291.91899999999998</v>
      </c>
      <c r="AB203" s="25">
        <f t="shared" si="7"/>
        <v>325.88863333333302</v>
      </c>
    </row>
    <row r="204" spans="1:28">
      <c r="A204" s="8">
        <v>45494</v>
      </c>
      <c r="B204" s="16">
        <v>353.45949999999999</v>
      </c>
      <c r="C204" s="16">
        <v>335.41370000000001</v>
      </c>
      <c r="D204" s="16">
        <v>334.36040000000003</v>
      </c>
      <c r="E204" s="16">
        <v>330.15120000000002</v>
      </c>
      <c r="F204" s="16">
        <v>320.19760000000002</v>
      </c>
      <c r="G204" s="16">
        <v>314.25689999999997</v>
      </c>
      <c r="H204" s="16">
        <v>312.16359999999997</v>
      </c>
      <c r="I204" s="16">
        <v>308.08339999999998</v>
      </c>
      <c r="J204" s="16">
        <v>297.1816</v>
      </c>
      <c r="K204" s="16">
        <v>298.77870000000001</v>
      </c>
      <c r="L204" s="16">
        <v>269.03120000000001</v>
      </c>
      <c r="M204" s="16">
        <v>251.63120000000001</v>
      </c>
      <c r="N204" s="16">
        <v>175.3758</v>
      </c>
      <c r="O204" s="16">
        <v>249.83410000000001</v>
      </c>
      <c r="P204" s="16">
        <v>264.23590000000002</v>
      </c>
      <c r="Q204" s="16">
        <v>276.99860000000001</v>
      </c>
      <c r="R204" s="16">
        <v>292.8433</v>
      </c>
      <c r="S204" s="16">
        <v>305.49930000000001</v>
      </c>
      <c r="T204" s="16">
        <v>302.8972</v>
      </c>
      <c r="U204" s="16">
        <v>314.96899999999999</v>
      </c>
      <c r="V204" s="16">
        <v>319.66239999999999</v>
      </c>
      <c r="W204" s="16">
        <v>324.16730000000001</v>
      </c>
      <c r="X204" s="16">
        <v>327.40730000000002</v>
      </c>
      <c r="Y204" s="16">
        <v>316.1506</v>
      </c>
      <c r="Z204" s="26" t="s">
        <v>32</v>
      </c>
      <c r="AA204" s="25">
        <f t="shared" si="6"/>
        <v>175.3758</v>
      </c>
      <c r="AB204" s="25">
        <f t="shared" si="7"/>
        <v>299.78124166666697</v>
      </c>
    </row>
    <row r="205" spans="1:28">
      <c r="A205" s="8">
        <v>45495</v>
      </c>
      <c r="B205" s="16">
        <v>309.31049999999999</v>
      </c>
      <c r="C205" s="16">
        <v>308.31290000000001</v>
      </c>
      <c r="D205" s="16">
        <v>308.1241</v>
      </c>
      <c r="E205" s="16">
        <v>305.92189999999999</v>
      </c>
      <c r="F205" s="16">
        <v>298.74630000000002</v>
      </c>
      <c r="G205" s="16">
        <v>291.78059999999999</v>
      </c>
      <c r="H205" s="16">
        <v>295.803</v>
      </c>
      <c r="I205" s="16">
        <v>288.9205</v>
      </c>
      <c r="J205" s="16">
        <v>316.51990000000001</v>
      </c>
      <c r="K205" s="16">
        <v>342.10109999999997</v>
      </c>
      <c r="L205" s="16">
        <v>333.73050000000001</v>
      </c>
      <c r="M205" s="16">
        <v>328.44909999999999</v>
      </c>
      <c r="N205" s="16">
        <v>278.0575</v>
      </c>
      <c r="O205" s="16">
        <v>300.7586</v>
      </c>
      <c r="P205" s="16">
        <v>333.51900000000001</v>
      </c>
      <c r="Q205" s="16">
        <v>334.03140000000002</v>
      </c>
      <c r="R205" s="16">
        <v>349.9674</v>
      </c>
      <c r="S205" s="16">
        <v>354.55220000000003</v>
      </c>
      <c r="T205" s="16">
        <v>330.56049999999999</v>
      </c>
      <c r="U205" s="16">
        <v>341.54239999999999</v>
      </c>
      <c r="V205" s="16">
        <v>340.2783</v>
      </c>
      <c r="W205" s="16">
        <v>347.37650000000002</v>
      </c>
      <c r="X205" s="16">
        <v>333.24549999999999</v>
      </c>
      <c r="Y205" s="16">
        <v>319.58409999999998</v>
      </c>
      <c r="Z205" s="26" t="s">
        <v>32</v>
      </c>
      <c r="AA205" s="25">
        <f t="shared" si="6"/>
        <v>278.0575</v>
      </c>
      <c r="AB205" s="25">
        <f t="shared" si="7"/>
        <v>320.46640833333299</v>
      </c>
    </row>
    <row r="206" spans="1:28">
      <c r="A206" s="8">
        <v>45496</v>
      </c>
      <c r="B206" s="16">
        <v>331.3691</v>
      </c>
      <c r="C206" s="16">
        <v>326.93549999999999</v>
      </c>
      <c r="D206" s="16">
        <v>322.13319999999999</v>
      </c>
      <c r="E206" s="16">
        <v>320.04050000000001</v>
      </c>
      <c r="F206" s="16">
        <v>311.74880000000002</v>
      </c>
      <c r="G206" s="16">
        <v>308.8073</v>
      </c>
      <c r="H206" s="16">
        <v>313.78379999999999</v>
      </c>
      <c r="I206" s="16">
        <v>310.78140000000002</v>
      </c>
      <c r="J206" s="16">
        <v>330.84589999999997</v>
      </c>
      <c r="K206" s="16">
        <v>370.62729999999999</v>
      </c>
      <c r="L206" s="16">
        <v>368.09609999999998</v>
      </c>
      <c r="M206" s="16">
        <v>376.95949999999999</v>
      </c>
      <c r="N206" s="16">
        <v>336.78399999999999</v>
      </c>
      <c r="O206" s="16">
        <v>386.8426</v>
      </c>
      <c r="P206" s="16">
        <v>467.1472</v>
      </c>
      <c r="Q206" s="16">
        <v>439.0283</v>
      </c>
      <c r="R206" s="16">
        <v>451.40649999999999</v>
      </c>
      <c r="S206" s="16">
        <v>410.55889999999999</v>
      </c>
      <c r="T206" s="16">
        <v>345.74029999999999</v>
      </c>
      <c r="U206" s="16">
        <v>367.0942</v>
      </c>
      <c r="V206" s="16">
        <v>363.29410000000001</v>
      </c>
      <c r="W206" s="16">
        <v>366.85759999999999</v>
      </c>
      <c r="X206" s="16">
        <v>365.86579999999998</v>
      </c>
      <c r="Y206" s="16">
        <v>344.3272</v>
      </c>
      <c r="Z206" s="26" t="s">
        <v>32</v>
      </c>
      <c r="AA206" s="25">
        <f t="shared" si="6"/>
        <v>308.8073</v>
      </c>
      <c r="AB206" s="25">
        <f t="shared" si="7"/>
        <v>359.87812916666701</v>
      </c>
    </row>
    <row r="207" spans="1:28">
      <c r="A207" s="8">
        <v>45497</v>
      </c>
      <c r="B207" s="16">
        <v>364.91309999999999</v>
      </c>
      <c r="C207" s="16">
        <v>351.6173</v>
      </c>
      <c r="D207" s="16">
        <v>349.47399999999999</v>
      </c>
      <c r="E207" s="16">
        <v>339.089</v>
      </c>
      <c r="F207" s="16">
        <v>326.1825</v>
      </c>
      <c r="G207" s="16">
        <v>319.88290000000001</v>
      </c>
      <c r="H207" s="16">
        <v>320.08600000000001</v>
      </c>
      <c r="I207" s="16">
        <v>319.13490000000002</v>
      </c>
      <c r="J207" s="16">
        <v>342.7133</v>
      </c>
      <c r="K207" s="16">
        <v>367.13830000000002</v>
      </c>
      <c r="L207" s="16">
        <v>365.2543</v>
      </c>
      <c r="M207" s="16">
        <v>363.9769</v>
      </c>
      <c r="N207" s="16">
        <v>331.34429999999998</v>
      </c>
      <c r="O207" s="16">
        <v>366.60250000000002</v>
      </c>
      <c r="P207" s="16">
        <v>402.80680000000001</v>
      </c>
      <c r="Q207" s="16">
        <v>392.67989999999998</v>
      </c>
      <c r="R207" s="16">
        <v>398.2208</v>
      </c>
      <c r="S207" s="16">
        <v>370.68819999999999</v>
      </c>
      <c r="T207" s="16">
        <v>354.14249999999998</v>
      </c>
      <c r="U207" s="16">
        <v>364.62</v>
      </c>
      <c r="V207" s="16">
        <v>359.77</v>
      </c>
      <c r="W207" s="16">
        <v>364.00080000000003</v>
      </c>
      <c r="X207" s="16">
        <v>380.98590000000002</v>
      </c>
      <c r="Y207" s="16">
        <v>362.85149999999999</v>
      </c>
      <c r="Z207" s="26" t="s">
        <v>32</v>
      </c>
      <c r="AA207" s="25">
        <f t="shared" si="6"/>
        <v>319.13490000000002</v>
      </c>
      <c r="AB207" s="25">
        <f t="shared" si="7"/>
        <v>357.42398750000001</v>
      </c>
    </row>
    <row r="208" spans="1:28">
      <c r="A208" s="8">
        <v>45498</v>
      </c>
      <c r="B208" s="16">
        <v>375.51060000000001</v>
      </c>
      <c r="C208" s="16">
        <v>368.68279999999999</v>
      </c>
      <c r="D208" s="16">
        <v>358.0147</v>
      </c>
      <c r="E208" s="16">
        <v>341.9751</v>
      </c>
      <c r="F208" s="16">
        <v>327.76659999999998</v>
      </c>
      <c r="G208" s="16">
        <v>318.91000000000003</v>
      </c>
      <c r="H208" s="16">
        <v>317.15609999999998</v>
      </c>
      <c r="I208" s="16">
        <v>312.81450000000001</v>
      </c>
      <c r="J208" s="16">
        <v>355.72250000000003</v>
      </c>
      <c r="K208" s="16">
        <v>399.31959999999998</v>
      </c>
      <c r="L208" s="16">
        <v>399.88580000000002</v>
      </c>
      <c r="M208" s="16">
        <v>430.77050000000003</v>
      </c>
      <c r="N208" s="16">
        <v>350.85820000000001</v>
      </c>
      <c r="O208" s="16">
        <v>423.28649999999999</v>
      </c>
      <c r="P208" s="16">
        <v>512.51239999999996</v>
      </c>
      <c r="Q208" s="16">
        <v>458.548</v>
      </c>
      <c r="R208" s="16">
        <v>483.96570000000003</v>
      </c>
      <c r="S208" s="16">
        <v>435.3897</v>
      </c>
      <c r="T208" s="16">
        <v>356.83100000000002</v>
      </c>
      <c r="U208" s="16">
        <v>386.49970000000002</v>
      </c>
      <c r="V208" s="16">
        <v>387.41860000000003</v>
      </c>
      <c r="W208" s="16">
        <v>399.02629999999999</v>
      </c>
      <c r="X208" s="16">
        <v>402.54320000000001</v>
      </c>
      <c r="Y208" s="16">
        <v>363.03379999999999</v>
      </c>
      <c r="Z208" s="26" t="s">
        <v>33</v>
      </c>
      <c r="AA208" s="25">
        <f t="shared" si="6"/>
        <v>312.81450000000001</v>
      </c>
      <c r="AB208" s="25">
        <f t="shared" si="7"/>
        <v>386.10174583333298</v>
      </c>
    </row>
    <row r="209" spans="1:28">
      <c r="A209" s="8">
        <v>45499</v>
      </c>
      <c r="B209" s="16">
        <v>399.57260000000002</v>
      </c>
      <c r="C209" s="16">
        <v>369.65289999999999</v>
      </c>
      <c r="D209" s="16">
        <v>364.31119999999999</v>
      </c>
      <c r="E209" s="16">
        <v>350.72539999999998</v>
      </c>
      <c r="F209" s="16">
        <v>330.50889999999998</v>
      </c>
      <c r="G209" s="16">
        <v>319.6705</v>
      </c>
      <c r="H209" s="16">
        <v>316.94639999999998</v>
      </c>
      <c r="I209" s="16">
        <v>314.5598</v>
      </c>
      <c r="J209" s="16">
        <v>357.05650000000003</v>
      </c>
      <c r="K209" s="16">
        <v>413.04599999999999</v>
      </c>
      <c r="L209" s="16">
        <v>431.36529999999999</v>
      </c>
      <c r="M209" s="16">
        <v>461.06569999999999</v>
      </c>
      <c r="N209" s="16">
        <v>364.08300000000003</v>
      </c>
      <c r="O209" s="16">
        <v>456.37979999999999</v>
      </c>
      <c r="P209" s="16">
        <v>560.2056</v>
      </c>
      <c r="Q209" s="16">
        <v>516.77809999999999</v>
      </c>
      <c r="R209" s="16">
        <v>532.60889999999995</v>
      </c>
      <c r="S209" s="16">
        <v>426.31670000000003</v>
      </c>
      <c r="T209" s="16">
        <v>357.59429999999998</v>
      </c>
      <c r="U209" s="16">
        <v>410.86739999999998</v>
      </c>
      <c r="V209" s="16">
        <v>413.59960000000001</v>
      </c>
      <c r="W209" s="16">
        <v>426.59559999999999</v>
      </c>
      <c r="X209" s="16">
        <v>434.6687</v>
      </c>
      <c r="Y209" s="16">
        <v>364.95089999999999</v>
      </c>
      <c r="Z209" s="26" t="s">
        <v>34</v>
      </c>
      <c r="AA209" s="25">
        <f t="shared" si="6"/>
        <v>314.5598</v>
      </c>
      <c r="AB209" s="25">
        <f t="shared" si="7"/>
        <v>403.88040833333298</v>
      </c>
    </row>
    <row r="210" spans="1:28">
      <c r="A210" s="8">
        <v>45500</v>
      </c>
      <c r="B210" s="16">
        <v>370.29079999999999</v>
      </c>
      <c r="C210" s="16">
        <v>359.83069999999998</v>
      </c>
      <c r="D210" s="16">
        <v>352.73820000000001</v>
      </c>
      <c r="E210" s="16">
        <v>340.19869999999997</v>
      </c>
      <c r="F210" s="16">
        <v>324.56479999999999</v>
      </c>
      <c r="G210" s="16">
        <v>311.27440000000001</v>
      </c>
      <c r="H210" s="16">
        <v>310.36110000000002</v>
      </c>
      <c r="I210" s="16">
        <v>309.7944</v>
      </c>
      <c r="J210" s="16">
        <v>329.03730000000002</v>
      </c>
      <c r="K210" s="16">
        <v>364.46390000000002</v>
      </c>
      <c r="L210" s="16">
        <v>365.3159</v>
      </c>
      <c r="M210" s="16">
        <v>360.23770000000002</v>
      </c>
      <c r="N210" s="16">
        <v>323.06049999999999</v>
      </c>
      <c r="O210" s="16">
        <v>369.40039999999999</v>
      </c>
      <c r="P210" s="16">
        <v>450.82060000000001</v>
      </c>
      <c r="Q210" s="16">
        <v>405.95519999999999</v>
      </c>
      <c r="R210" s="16">
        <v>386.35090000000002</v>
      </c>
      <c r="S210" s="16">
        <v>352.92149999999998</v>
      </c>
      <c r="T210" s="16">
        <v>333.21690000000001</v>
      </c>
      <c r="U210" s="16">
        <v>346.27629999999999</v>
      </c>
      <c r="V210" s="16">
        <v>352.71690000000001</v>
      </c>
      <c r="W210" s="16">
        <v>359.75850000000003</v>
      </c>
      <c r="X210" s="16">
        <v>364.2509</v>
      </c>
      <c r="Y210" s="16">
        <v>340.90129999999999</v>
      </c>
      <c r="Z210" s="26" t="s">
        <v>32</v>
      </c>
      <c r="AA210" s="25">
        <f t="shared" si="6"/>
        <v>309.7944</v>
      </c>
      <c r="AB210" s="25">
        <f t="shared" si="7"/>
        <v>353.48907500000001</v>
      </c>
    </row>
    <row r="211" spans="1:28">
      <c r="A211" s="8">
        <v>45501</v>
      </c>
      <c r="B211" s="16">
        <v>233.24260000000001</v>
      </c>
      <c r="C211" s="16">
        <v>307.32409999999999</v>
      </c>
      <c r="D211" s="16">
        <v>305.44220000000001</v>
      </c>
      <c r="E211" s="16">
        <v>298.17759999999998</v>
      </c>
      <c r="F211" s="16">
        <v>283.9074</v>
      </c>
      <c r="G211" s="16">
        <v>259.64409999999998</v>
      </c>
      <c r="H211" s="16">
        <v>217.48240000000001</v>
      </c>
      <c r="I211" s="16">
        <v>194.86170000000001</v>
      </c>
      <c r="J211" s="16">
        <v>203.76820000000001</v>
      </c>
      <c r="K211" s="16">
        <v>270.70299999999997</v>
      </c>
      <c r="L211" s="16">
        <v>253.6234</v>
      </c>
      <c r="M211" s="16">
        <v>258.90019999999998</v>
      </c>
      <c r="N211" s="16">
        <v>167.91890000000001</v>
      </c>
      <c r="O211" s="16">
        <v>250.57130000000001</v>
      </c>
      <c r="P211" s="16">
        <v>296.22140000000002</v>
      </c>
      <c r="Q211" s="16">
        <v>295.01769999999999</v>
      </c>
      <c r="R211" s="16">
        <v>278.8777</v>
      </c>
      <c r="S211" s="16">
        <v>270.23</v>
      </c>
      <c r="T211" s="16">
        <v>273.40820000000002</v>
      </c>
      <c r="U211" s="16">
        <v>280.435</v>
      </c>
      <c r="V211" s="16">
        <v>290.59530000000001</v>
      </c>
      <c r="W211" s="16">
        <v>294.09019999999998</v>
      </c>
      <c r="X211" s="16">
        <v>292.91340000000002</v>
      </c>
      <c r="Y211" s="16">
        <v>236.09639999999999</v>
      </c>
      <c r="Z211" s="26" t="s">
        <v>32</v>
      </c>
      <c r="AA211" s="25">
        <f t="shared" si="6"/>
        <v>167.91890000000001</v>
      </c>
      <c r="AB211" s="25">
        <f t="shared" si="7"/>
        <v>263.06051666666701</v>
      </c>
    </row>
    <row r="212" spans="1:28">
      <c r="A212" s="8">
        <v>45502</v>
      </c>
      <c r="B212" s="16">
        <v>180.8391</v>
      </c>
      <c r="C212" s="16">
        <v>44.002600000000001</v>
      </c>
      <c r="D212" s="16">
        <v>2.5249999999999999</v>
      </c>
      <c r="E212" s="16">
        <v>0</v>
      </c>
      <c r="F212" s="16">
        <v>0</v>
      </c>
      <c r="G212" s="16">
        <v>0</v>
      </c>
      <c r="H212" s="16">
        <v>0</v>
      </c>
      <c r="I212" s="16">
        <v>136.779</v>
      </c>
      <c r="J212" s="16">
        <v>318.92669999999998</v>
      </c>
      <c r="K212" s="16">
        <v>343.41129999999998</v>
      </c>
      <c r="L212" s="16">
        <v>338.2294</v>
      </c>
      <c r="M212" s="16">
        <v>332.60250000000002</v>
      </c>
      <c r="N212" s="16">
        <v>272.8039</v>
      </c>
      <c r="O212" s="16">
        <v>301.80220000000003</v>
      </c>
      <c r="P212" s="16">
        <v>329.1968</v>
      </c>
      <c r="Q212" s="16">
        <v>330.31439999999998</v>
      </c>
      <c r="R212" s="16">
        <v>338.81869999999998</v>
      </c>
      <c r="S212" s="16">
        <v>330.9187</v>
      </c>
      <c r="T212" s="16">
        <v>324.71890000000002</v>
      </c>
      <c r="U212" s="16">
        <v>340.04579999999999</v>
      </c>
      <c r="V212" s="16">
        <v>335.06310000000002</v>
      </c>
      <c r="W212" s="16">
        <v>322.01330000000002</v>
      </c>
      <c r="X212" s="16">
        <v>307.57060000000001</v>
      </c>
      <c r="Y212" s="16">
        <v>269.34789999999998</v>
      </c>
      <c r="Z212" s="26" t="s">
        <v>32</v>
      </c>
      <c r="AA212" s="25">
        <f t="shared" si="6"/>
        <v>0</v>
      </c>
      <c r="AB212" s="25">
        <f t="shared" si="7"/>
        <v>229.163745833333</v>
      </c>
    </row>
    <row r="213" spans="1:28">
      <c r="A213" s="8">
        <v>45503</v>
      </c>
      <c r="B213" s="16">
        <v>292.67570000000001</v>
      </c>
      <c r="C213" s="16">
        <v>293.8424</v>
      </c>
      <c r="D213" s="16">
        <v>287.91809999999998</v>
      </c>
      <c r="E213" s="16">
        <v>278.12</v>
      </c>
      <c r="F213" s="16">
        <v>219.40700000000001</v>
      </c>
      <c r="G213" s="16">
        <v>126.1315</v>
      </c>
      <c r="H213" s="16">
        <v>262.47930000000002</v>
      </c>
      <c r="I213" s="16">
        <v>289.48379999999997</v>
      </c>
      <c r="J213" s="16">
        <v>322.11860000000001</v>
      </c>
      <c r="K213" s="16">
        <v>356.95319999999998</v>
      </c>
      <c r="L213" s="16">
        <v>364.73050000000001</v>
      </c>
      <c r="M213" s="16">
        <v>346.63189999999997</v>
      </c>
      <c r="N213" s="16">
        <v>297.50830000000002</v>
      </c>
      <c r="O213" s="16">
        <v>319.0763</v>
      </c>
      <c r="P213" s="16">
        <v>344.59399999999999</v>
      </c>
      <c r="Q213" s="16">
        <v>343.90089999999998</v>
      </c>
      <c r="R213" s="16">
        <v>350.61540000000002</v>
      </c>
      <c r="S213" s="16">
        <v>344.40359999999998</v>
      </c>
      <c r="T213" s="16">
        <v>327.44380000000001</v>
      </c>
      <c r="U213" s="16">
        <v>346.66699999999997</v>
      </c>
      <c r="V213" s="16">
        <v>348.31810000000002</v>
      </c>
      <c r="W213" s="16">
        <v>339.61709999999999</v>
      </c>
      <c r="X213" s="16">
        <v>322.69330000000002</v>
      </c>
      <c r="Y213" s="16">
        <v>286.37520000000001</v>
      </c>
      <c r="Z213" s="26" t="s">
        <v>32</v>
      </c>
      <c r="AA213" s="25">
        <f t="shared" si="6"/>
        <v>126.1315</v>
      </c>
      <c r="AB213" s="25">
        <f t="shared" si="7"/>
        <v>308.82104166666699</v>
      </c>
    </row>
    <row r="214" spans="1:28">
      <c r="A214" s="8">
        <v>45504</v>
      </c>
      <c r="B214" s="16">
        <v>223.0847</v>
      </c>
      <c r="C214" s="16">
        <v>283.78539999999998</v>
      </c>
      <c r="D214" s="16">
        <v>279.83460000000002</v>
      </c>
      <c r="E214" s="16">
        <v>266.27629999999999</v>
      </c>
      <c r="F214" s="16">
        <v>218.62450000000001</v>
      </c>
      <c r="G214" s="16">
        <v>0.1487</v>
      </c>
      <c r="H214" s="16">
        <v>153.75</v>
      </c>
      <c r="I214" s="16">
        <v>223.755</v>
      </c>
      <c r="J214" s="16">
        <v>295.65899999999999</v>
      </c>
      <c r="K214" s="16">
        <v>317.02760000000001</v>
      </c>
      <c r="L214" s="16">
        <v>275.78429999999997</v>
      </c>
      <c r="M214" s="16">
        <v>253.11089999999999</v>
      </c>
      <c r="N214" s="16">
        <v>175.47290000000001</v>
      </c>
      <c r="O214" s="16">
        <v>252.0616</v>
      </c>
      <c r="P214" s="16">
        <v>313.37830000000002</v>
      </c>
      <c r="Q214" s="16">
        <v>320.8125</v>
      </c>
      <c r="R214" s="16">
        <v>331.22399999999999</v>
      </c>
      <c r="S214" s="16">
        <v>325.87860000000001</v>
      </c>
      <c r="T214" s="16">
        <v>312.93669999999997</v>
      </c>
      <c r="U214" s="16">
        <v>327.32440000000003</v>
      </c>
      <c r="V214" s="16">
        <v>326.44</v>
      </c>
      <c r="W214" s="16">
        <v>323.38659999999999</v>
      </c>
      <c r="X214" s="16">
        <v>308.98140000000001</v>
      </c>
      <c r="Y214" s="16">
        <v>247.1396</v>
      </c>
      <c r="Z214" s="26" t="s">
        <v>32</v>
      </c>
      <c r="AA214" s="25">
        <f t="shared" si="6"/>
        <v>0.1487</v>
      </c>
      <c r="AB214" s="25">
        <f t="shared" si="7"/>
        <v>264.828233333333</v>
      </c>
    </row>
    <row r="215" spans="1:28">
      <c r="A215" s="8">
        <v>45505</v>
      </c>
      <c r="B215" s="16">
        <v>180.32069999999999</v>
      </c>
      <c r="C215" s="16">
        <v>135.14320000000001</v>
      </c>
      <c r="D215" s="16">
        <v>138.08500000000001</v>
      </c>
      <c r="E215" s="16">
        <v>18.75</v>
      </c>
      <c r="F215" s="16">
        <v>0</v>
      </c>
      <c r="G215" s="16">
        <v>0</v>
      </c>
      <c r="H215" s="16">
        <v>0</v>
      </c>
      <c r="I215" s="16">
        <v>0</v>
      </c>
      <c r="J215" s="16">
        <v>215.5026</v>
      </c>
      <c r="K215" s="16">
        <v>288.20409999999998</v>
      </c>
      <c r="L215" s="16">
        <v>229.68870000000001</v>
      </c>
      <c r="M215" s="16">
        <v>231.87430000000001</v>
      </c>
      <c r="N215" s="16">
        <v>130.73869999999999</v>
      </c>
      <c r="O215" s="16">
        <v>238.5839</v>
      </c>
      <c r="P215" s="16">
        <v>312.541</v>
      </c>
      <c r="Q215" s="16">
        <v>312.99919999999997</v>
      </c>
      <c r="R215" s="16">
        <v>324.71539999999999</v>
      </c>
      <c r="S215" s="16">
        <v>327.89089999999999</v>
      </c>
      <c r="T215" s="16">
        <v>314.35070000000002</v>
      </c>
      <c r="U215" s="16">
        <v>332.29329999999999</v>
      </c>
      <c r="V215" s="16">
        <v>312.54070000000002</v>
      </c>
      <c r="W215" s="16">
        <v>310.3553</v>
      </c>
      <c r="X215" s="16">
        <v>277.07819999999998</v>
      </c>
      <c r="Y215" s="16">
        <v>103.39149999999999</v>
      </c>
      <c r="Z215" s="26" t="s">
        <v>33</v>
      </c>
      <c r="AA215" s="25">
        <f t="shared" si="6"/>
        <v>0</v>
      </c>
      <c r="AB215" s="25">
        <f t="shared" si="7"/>
        <v>197.29364166666701</v>
      </c>
    </row>
    <row r="216" spans="1:28">
      <c r="A216" s="8">
        <v>45506</v>
      </c>
      <c r="B216" s="16">
        <v>309.83170000000001</v>
      </c>
      <c r="C216" s="16">
        <v>302.01389999999998</v>
      </c>
      <c r="D216" s="16">
        <v>292.923</v>
      </c>
      <c r="E216" s="16">
        <v>285.15159999999997</v>
      </c>
      <c r="F216" s="16">
        <v>262.94549999999998</v>
      </c>
      <c r="G216" s="16">
        <v>200</v>
      </c>
      <c r="H216" s="16">
        <v>250.92</v>
      </c>
      <c r="I216" s="16">
        <v>277.65890000000002</v>
      </c>
      <c r="J216" s="16">
        <v>300.16680000000002</v>
      </c>
      <c r="K216" s="16">
        <v>314.72219999999999</v>
      </c>
      <c r="L216" s="16">
        <v>306.67309999999998</v>
      </c>
      <c r="M216" s="16">
        <v>307.1755</v>
      </c>
      <c r="N216" s="16">
        <v>219.01130000000001</v>
      </c>
      <c r="O216" s="16">
        <v>272.4896</v>
      </c>
      <c r="P216" s="16">
        <v>330.08800000000002</v>
      </c>
      <c r="Q216" s="16">
        <v>346.31150000000002</v>
      </c>
      <c r="R216" s="16">
        <v>355.51769999999999</v>
      </c>
      <c r="S216" s="16">
        <v>343.38380000000001</v>
      </c>
      <c r="T216" s="16">
        <v>324.99419999999998</v>
      </c>
      <c r="U216" s="16">
        <v>347.95890000000003</v>
      </c>
      <c r="V216" s="16">
        <v>352.66399999999999</v>
      </c>
      <c r="W216" s="16">
        <v>359.72359999999998</v>
      </c>
      <c r="X216" s="16">
        <v>337.89440000000002</v>
      </c>
      <c r="Y216" s="16">
        <v>309.8107</v>
      </c>
      <c r="Z216" s="26" t="s">
        <v>34</v>
      </c>
      <c r="AA216" s="25">
        <f t="shared" si="6"/>
        <v>200</v>
      </c>
      <c r="AB216" s="25">
        <f t="shared" si="7"/>
        <v>304.58457916666703</v>
      </c>
    </row>
    <row r="217" spans="1:28">
      <c r="A217" s="8">
        <v>45507</v>
      </c>
      <c r="B217" s="16">
        <v>358.80869999999999</v>
      </c>
      <c r="C217" s="16">
        <v>344.70949999999999</v>
      </c>
      <c r="D217" s="16">
        <v>319.02640000000002</v>
      </c>
      <c r="E217" s="16">
        <v>308.44139999999999</v>
      </c>
      <c r="F217" s="16">
        <v>293.01400000000001</v>
      </c>
      <c r="G217" s="16">
        <v>281.33949999999999</v>
      </c>
      <c r="H217" s="16">
        <v>283.5752</v>
      </c>
      <c r="I217" s="16">
        <v>285.06420000000003</v>
      </c>
      <c r="J217" s="16">
        <v>285.82580000000002</v>
      </c>
      <c r="K217" s="16">
        <v>298.18090000000001</v>
      </c>
      <c r="L217" s="16">
        <v>287.30430000000001</v>
      </c>
      <c r="M217" s="16">
        <v>261.45949999999999</v>
      </c>
      <c r="N217" s="16">
        <v>215.8116</v>
      </c>
      <c r="O217" s="16">
        <v>271.69159999999999</v>
      </c>
      <c r="P217" s="16">
        <v>325.5478</v>
      </c>
      <c r="Q217" s="16">
        <v>330.82240000000002</v>
      </c>
      <c r="R217" s="16">
        <v>341.10329999999999</v>
      </c>
      <c r="S217" s="16">
        <v>341.95740000000001</v>
      </c>
      <c r="T217" s="16">
        <v>346.25200000000001</v>
      </c>
      <c r="U217" s="16">
        <v>359.21120000000002</v>
      </c>
      <c r="V217" s="16">
        <v>382.59</v>
      </c>
      <c r="W217" s="16">
        <v>383.09620000000001</v>
      </c>
      <c r="X217" s="16">
        <v>388.5899</v>
      </c>
      <c r="Y217" s="16">
        <v>343.78140000000002</v>
      </c>
      <c r="Z217" s="26" t="s">
        <v>32</v>
      </c>
      <c r="AA217" s="25">
        <f t="shared" si="6"/>
        <v>215.8116</v>
      </c>
      <c r="AB217" s="25">
        <f t="shared" si="7"/>
        <v>318.21684166666699</v>
      </c>
    </row>
    <row r="218" spans="1:28">
      <c r="A218" s="8">
        <v>45508</v>
      </c>
      <c r="B218" s="16">
        <v>371.35969999999998</v>
      </c>
      <c r="C218" s="16">
        <v>374.04219999999998</v>
      </c>
      <c r="D218" s="16">
        <v>336.40269999999998</v>
      </c>
      <c r="E218" s="16">
        <v>322.50290000000001</v>
      </c>
      <c r="F218" s="16">
        <v>306.2559</v>
      </c>
      <c r="G218" s="16">
        <v>296.40660000000003</v>
      </c>
      <c r="H218" s="16">
        <v>295.20179999999999</v>
      </c>
      <c r="I218" s="16">
        <v>285.42689999999999</v>
      </c>
      <c r="J218" s="16">
        <v>206.07320000000001</v>
      </c>
      <c r="K218" s="16">
        <v>152.8826</v>
      </c>
      <c r="L218" s="16">
        <v>177.23140000000001</v>
      </c>
      <c r="M218" s="16">
        <v>196.1662</v>
      </c>
      <c r="N218" s="16">
        <v>189.16839999999999</v>
      </c>
      <c r="O218" s="16">
        <v>226.6395</v>
      </c>
      <c r="P218" s="16">
        <v>283.13130000000001</v>
      </c>
      <c r="Q218" s="16">
        <v>294.5951</v>
      </c>
      <c r="R218" s="16">
        <v>298.25200000000001</v>
      </c>
      <c r="S218" s="16">
        <v>320.19389999999999</v>
      </c>
      <c r="T218" s="16">
        <v>337.29840000000002</v>
      </c>
      <c r="U218" s="16">
        <v>367.88209999999998</v>
      </c>
      <c r="V218" s="16">
        <v>367.55799999999999</v>
      </c>
      <c r="W218" s="16">
        <v>366.6927</v>
      </c>
      <c r="X218" s="16">
        <v>361.47</v>
      </c>
      <c r="Y218" s="16">
        <v>329.0761</v>
      </c>
      <c r="Z218" s="26" t="s">
        <v>32</v>
      </c>
      <c r="AA218" s="25">
        <f t="shared" si="6"/>
        <v>152.8826</v>
      </c>
      <c r="AB218" s="25">
        <f t="shared" si="7"/>
        <v>294.24623333333301</v>
      </c>
    </row>
    <row r="219" spans="1:28">
      <c r="A219" s="8">
        <v>45509</v>
      </c>
      <c r="B219" s="16">
        <v>383.17219999999998</v>
      </c>
      <c r="C219" s="16">
        <v>384.26299999999998</v>
      </c>
      <c r="D219" s="16">
        <v>372.44</v>
      </c>
      <c r="E219" s="16">
        <v>331.9314</v>
      </c>
      <c r="F219" s="16">
        <v>315.22219999999999</v>
      </c>
      <c r="G219" s="16">
        <v>303.25</v>
      </c>
      <c r="H219" s="16">
        <v>303.83999999999997</v>
      </c>
      <c r="I219" s="16">
        <v>304.32560000000001</v>
      </c>
      <c r="J219" s="16">
        <v>341.1859</v>
      </c>
      <c r="K219" s="16">
        <v>374.3252</v>
      </c>
      <c r="L219" s="16">
        <v>365.95589999999999</v>
      </c>
      <c r="M219" s="16">
        <v>376.03460000000001</v>
      </c>
      <c r="N219" s="16">
        <v>330.4264</v>
      </c>
      <c r="O219" s="16">
        <v>372.54250000000002</v>
      </c>
      <c r="P219" s="16">
        <v>379.31939999999997</v>
      </c>
      <c r="Q219" s="16">
        <v>357.0677</v>
      </c>
      <c r="R219" s="16">
        <v>359.42989999999998</v>
      </c>
      <c r="S219" s="16">
        <v>358.96300000000002</v>
      </c>
      <c r="T219" s="16">
        <v>352.2747</v>
      </c>
      <c r="U219" s="16">
        <v>364.19659999999999</v>
      </c>
      <c r="V219" s="16">
        <v>366.66399999999999</v>
      </c>
      <c r="W219" s="16">
        <v>375.8664</v>
      </c>
      <c r="X219" s="16">
        <v>373.46449999999999</v>
      </c>
      <c r="Y219" s="16">
        <v>340.74979999999999</v>
      </c>
      <c r="Z219" s="26" t="s">
        <v>32</v>
      </c>
      <c r="AA219" s="25">
        <f t="shared" si="6"/>
        <v>303.25</v>
      </c>
      <c r="AB219" s="25">
        <f t="shared" si="7"/>
        <v>353.62128749999999</v>
      </c>
    </row>
    <row r="220" spans="1:28">
      <c r="A220" s="8">
        <v>45510</v>
      </c>
      <c r="B220" s="16">
        <v>378.97469999999998</v>
      </c>
      <c r="C220" s="16">
        <v>392.98140000000001</v>
      </c>
      <c r="D220" s="16">
        <v>364.1454</v>
      </c>
      <c r="E220" s="16">
        <v>342.91090000000003</v>
      </c>
      <c r="F220" s="16">
        <v>325.41550000000001</v>
      </c>
      <c r="G220" s="16">
        <v>318.21300000000002</v>
      </c>
      <c r="H220" s="16">
        <v>314.93599999999998</v>
      </c>
      <c r="I220" s="16">
        <v>309.66669999999999</v>
      </c>
      <c r="J220" s="16">
        <v>350.45839999999998</v>
      </c>
      <c r="K220" s="16">
        <v>442.78879999999998</v>
      </c>
      <c r="L220" s="16">
        <v>436.2253</v>
      </c>
      <c r="M220" s="16">
        <v>449.3125</v>
      </c>
      <c r="N220" s="16">
        <v>374.81119999999999</v>
      </c>
      <c r="O220" s="16">
        <v>496.96960000000001</v>
      </c>
      <c r="P220" s="16">
        <v>593.75289999999995</v>
      </c>
      <c r="Q220" s="16">
        <v>563.96690000000001</v>
      </c>
      <c r="R220" s="16">
        <v>565.04229999999995</v>
      </c>
      <c r="S220" s="16">
        <v>470.6508</v>
      </c>
      <c r="T220" s="16">
        <v>374.24930000000001</v>
      </c>
      <c r="U220" s="16">
        <v>400.4051</v>
      </c>
      <c r="V220" s="16">
        <v>411.63760000000002</v>
      </c>
      <c r="W220" s="16">
        <v>432.89659999999998</v>
      </c>
      <c r="X220" s="16">
        <v>471.31740000000002</v>
      </c>
      <c r="Y220" s="16">
        <v>380.80840000000001</v>
      </c>
      <c r="Z220" s="26" t="s">
        <v>32</v>
      </c>
      <c r="AA220" s="25">
        <f t="shared" si="6"/>
        <v>309.66669999999999</v>
      </c>
      <c r="AB220" s="25">
        <f t="shared" si="7"/>
        <v>415.10569583333302</v>
      </c>
    </row>
    <row r="221" spans="1:28">
      <c r="A221" s="8">
        <v>45511</v>
      </c>
      <c r="B221" s="16">
        <v>388.35890000000001</v>
      </c>
      <c r="C221" s="16">
        <v>384.25139999999999</v>
      </c>
      <c r="D221" s="16">
        <v>362.52609999999999</v>
      </c>
      <c r="E221" s="16">
        <v>345.63069999999999</v>
      </c>
      <c r="F221" s="16">
        <v>331.00470000000001</v>
      </c>
      <c r="G221" s="16">
        <v>319.13260000000002</v>
      </c>
      <c r="H221" s="16">
        <v>313.83789999999999</v>
      </c>
      <c r="I221" s="16">
        <v>310.45269999999999</v>
      </c>
      <c r="J221" s="16">
        <v>347.02019999999999</v>
      </c>
      <c r="K221" s="16">
        <v>406.49549999999999</v>
      </c>
      <c r="L221" s="16">
        <v>411.23770000000002</v>
      </c>
      <c r="M221" s="16">
        <v>405.3571</v>
      </c>
      <c r="N221" s="16">
        <v>352.21789999999999</v>
      </c>
      <c r="O221" s="16">
        <v>460.15289999999999</v>
      </c>
      <c r="P221" s="16">
        <v>577.71479999999997</v>
      </c>
      <c r="Q221" s="16">
        <v>561.95330000000001</v>
      </c>
      <c r="R221" s="16">
        <v>561.25409999999999</v>
      </c>
      <c r="S221" s="16">
        <v>449.00599999999997</v>
      </c>
      <c r="T221" s="16">
        <v>360.69740000000002</v>
      </c>
      <c r="U221" s="16">
        <v>386.5917</v>
      </c>
      <c r="V221" s="16">
        <v>383.58460000000002</v>
      </c>
      <c r="W221" s="16">
        <v>396.06319999999999</v>
      </c>
      <c r="X221" s="16">
        <v>435.0899</v>
      </c>
      <c r="Y221" s="16">
        <v>384.06869999999998</v>
      </c>
      <c r="Z221" s="26" t="s">
        <v>32</v>
      </c>
      <c r="AA221" s="25">
        <f t="shared" si="6"/>
        <v>310.45269999999999</v>
      </c>
      <c r="AB221" s="25">
        <f t="shared" si="7"/>
        <v>401.40416666666698</v>
      </c>
    </row>
    <row r="222" spans="1:28">
      <c r="A222" s="8">
        <v>45512</v>
      </c>
      <c r="B222" s="16">
        <v>343.38229999999999</v>
      </c>
      <c r="C222" s="16">
        <v>338.99560000000002</v>
      </c>
      <c r="D222" s="16">
        <v>340.05709999999999</v>
      </c>
      <c r="E222" s="16">
        <v>322.85449999999997</v>
      </c>
      <c r="F222" s="16">
        <v>311.00889999999998</v>
      </c>
      <c r="G222" s="16">
        <v>303.42559999999997</v>
      </c>
      <c r="H222" s="16">
        <v>302.38479999999998</v>
      </c>
      <c r="I222" s="16">
        <v>299.3356</v>
      </c>
      <c r="J222" s="16">
        <v>317.74680000000001</v>
      </c>
      <c r="K222" s="16">
        <v>354.11450000000002</v>
      </c>
      <c r="L222" s="16">
        <v>353.06509999999997</v>
      </c>
      <c r="M222" s="16">
        <v>349.72379999999998</v>
      </c>
      <c r="N222" s="16">
        <v>324.31900000000002</v>
      </c>
      <c r="O222" s="16">
        <v>389.62060000000002</v>
      </c>
      <c r="P222" s="16">
        <v>434.56560000000002</v>
      </c>
      <c r="Q222" s="16">
        <v>427.77620000000002</v>
      </c>
      <c r="R222" s="16">
        <v>424.4624</v>
      </c>
      <c r="S222" s="16">
        <v>379.9425</v>
      </c>
      <c r="T222" s="16">
        <v>337.18349999999998</v>
      </c>
      <c r="U222" s="16">
        <v>357.24849999999998</v>
      </c>
      <c r="V222" s="16">
        <v>357.31150000000002</v>
      </c>
      <c r="W222" s="16">
        <v>358.36290000000002</v>
      </c>
      <c r="X222" s="16">
        <v>370.61599999999999</v>
      </c>
      <c r="Y222" s="16">
        <v>356.26170000000002</v>
      </c>
      <c r="Z222" s="26" t="s">
        <v>33</v>
      </c>
      <c r="AA222" s="25">
        <f t="shared" si="6"/>
        <v>299.3356</v>
      </c>
      <c r="AB222" s="25">
        <f t="shared" si="7"/>
        <v>352.24020833333299</v>
      </c>
    </row>
    <row r="223" spans="1:28">
      <c r="A223" s="8">
        <v>45513</v>
      </c>
      <c r="B223" s="16">
        <v>370.71370000000002</v>
      </c>
      <c r="C223" s="16">
        <v>357.58949999999999</v>
      </c>
      <c r="D223" s="16">
        <v>340.74790000000002</v>
      </c>
      <c r="E223" s="16">
        <v>328.66890000000001</v>
      </c>
      <c r="F223" s="16">
        <v>313.33150000000001</v>
      </c>
      <c r="G223" s="16">
        <v>304.24200000000002</v>
      </c>
      <c r="H223" s="16">
        <v>300.5351</v>
      </c>
      <c r="I223" s="16">
        <v>297.96140000000003</v>
      </c>
      <c r="J223" s="16">
        <v>318.89350000000002</v>
      </c>
      <c r="K223" s="16">
        <v>343.58409999999998</v>
      </c>
      <c r="L223" s="16">
        <v>352.14659999999998</v>
      </c>
      <c r="M223" s="16">
        <v>348.09059999999999</v>
      </c>
      <c r="N223" s="16">
        <v>333.97410000000002</v>
      </c>
      <c r="O223" s="16">
        <v>380.67250000000001</v>
      </c>
      <c r="P223" s="16">
        <v>409.06139999999999</v>
      </c>
      <c r="Q223" s="16">
        <v>385.73200000000003</v>
      </c>
      <c r="R223" s="16">
        <v>384.09710000000001</v>
      </c>
      <c r="S223" s="16">
        <v>366.66239999999999</v>
      </c>
      <c r="T223" s="16">
        <v>348.84480000000002</v>
      </c>
      <c r="U223" s="16">
        <v>368.6327</v>
      </c>
      <c r="V223" s="16">
        <v>365.84589999999997</v>
      </c>
      <c r="W223" s="16">
        <v>364.02289999999999</v>
      </c>
      <c r="X223" s="16">
        <v>386.80110000000002</v>
      </c>
      <c r="Y223" s="16">
        <v>360.86849999999998</v>
      </c>
      <c r="Z223" s="26" t="s">
        <v>34</v>
      </c>
      <c r="AA223" s="25">
        <f t="shared" si="6"/>
        <v>297.96140000000003</v>
      </c>
      <c r="AB223" s="25">
        <f t="shared" si="7"/>
        <v>351.32167500000003</v>
      </c>
    </row>
    <row r="224" spans="1:28">
      <c r="A224" s="8">
        <v>45514</v>
      </c>
      <c r="B224" s="16">
        <v>342.88639999999998</v>
      </c>
      <c r="C224" s="16">
        <v>344.24200000000002</v>
      </c>
      <c r="D224" s="16">
        <v>336.38249999999999</v>
      </c>
      <c r="E224" s="16">
        <v>321.4821</v>
      </c>
      <c r="F224" s="16">
        <v>308.29910000000001</v>
      </c>
      <c r="G224" s="16">
        <v>299.44819999999999</v>
      </c>
      <c r="H224" s="16">
        <v>299.02710000000002</v>
      </c>
      <c r="I224" s="16">
        <v>298.0976</v>
      </c>
      <c r="J224" s="16">
        <v>305.774</v>
      </c>
      <c r="K224" s="16">
        <v>316.2688</v>
      </c>
      <c r="L224" s="16">
        <v>310.92880000000002</v>
      </c>
      <c r="M224" s="16">
        <v>320.43369999999999</v>
      </c>
      <c r="N224" s="16">
        <v>285.9973</v>
      </c>
      <c r="O224" s="16">
        <v>363.48219999999998</v>
      </c>
      <c r="P224" s="16">
        <v>418.55930000000001</v>
      </c>
      <c r="Q224" s="16">
        <v>373.81290000000001</v>
      </c>
      <c r="R224" s="16">
        <v>369.2183</v>
      </c>
      <c r="S224" s="16">
        <v>354.1302</v>
      </c>
      <c r="T224" s="16">
        <v>332.85669999999999</v>
      </c>
      <c r="U224" s="16">
        <v>339.02940000000001</v>
      </c>
      <c r="V224" s="16">
        <v>345.33179999999999</v>
      </c>
      <c r="W224" s="16">
        <v>351.1465</v>
      </c>
      <c r="X224" s="16">
        <v>353.61649999999997</v>
      </c>
      <c r="Y224" s="16">
        <v>342.58550000000002</v>
      </c>
      <c r="Z224" s="26" t="s">
        <v>32</v>
      </c>
      <c r="AA224" s="25">
        <f t="shared" si="6"/>
        <v>285.9973</v>
      </c>
      <c r="AB224" s="25">
        <f t="shared" si="7"/>
        <v>334.70987083333301</v>
      </c>
    </row>
    <row r="225" spans="1:28">
      <c r="A225" s="8">
        <v>45515</v>
      </c>
      <c r="B225" s="16">
        <v>375.73160000000001</v>
      </c>
      <c r="C225" s="16">
        <v>381.09429999999998</v>
      </c>
      <c r="D225" s="16">
        <v>365.18520000000001</v>
      </c>
      <c r="E225" s="16">
        <v>341.98</v>
      </c>
      <c r="F225" s="16">
        <v>327.3306</v>
      </c>
      <c r="G225" s="16">
        <v>313.12540000000001</v>
      </c>
      <c r="H225" s="16">
        <v>304.26839999999999</v>
      </c>
      <c r="I225" s="16">
        <v>299.2355</v>
      </c>
      <c r="J225" s="16">
        <v>287.09109999999998</v>
      </c>
      <c r="K225" s="16">
        <v>276.48649999999998</v>
      </c>
      <c r="L225" s="16">
        <v>261.16930000000002</v>
      </c>
      <c r="M225" s="16">
        <v>264.40609999999998</v>
      </c>
      <c r="N225" s="16">
        <v>263.83780000000002</v>
      </c>
      <c r="O225" s="16">
        <v>309.70780000000002</v>
      </c>
      <c r="P225" s="16">
        <v>318.93200000000002</v>
      </c>
      <c r="Q225" s="16">
        <v>312.74130000000002</v>
      </c>
      <c r="R225" s="16">
        <v>315.10890000000001</v>
      </c>
      <c r="S225" s="16">
        <v>313.82429999999999</v>
      </c>
      <c r="T225" s="16">
        <v>313.3458</v>
      </c>
      <c r="U225" s="16">
        <v>324.01029999999997</v>
      </c>
      <c r="V225" s="16">
        <v>344.72120000000001</v>
      </c>
      <c r="W225" s="16">
        <v>357.41340000000002</v>
      </c>
      <c r="X225" s="16">
        <v>361.08940000000001</v>
      </c>
      <c r="Y225" s="16">
        <v>345.34199999999998</v>
      </c>
      <c r="Z225" s="26" t="s">
        <v>32</v>
      </c>
      <c r="AA225" s="25">
        <f t="shared" si="6"/>
        <v>261.16930000000002</v>
      </c>
      <c r="AB225" s="25">
        <f t="shared" si="7"/>
        <v>319.88242500000001</v>
      </c>
    </row>
    <row r="226" spans="1:28">
      <c r="A226" s="8">
        <v>45516</v>
      </c>
      <c r="B226" s="16">
        <v>337.80599999999998</v>
      </c>
      <c r="C226" s="16">
        <v>326.77879999999999</v>
      </c>
      <c r="D226" s="16">
        <v>320.7473</v>
      </c>
      <c r="E226" s="16">
        <v>310.21359999999999</v>
      </c>
      <c r="F226" s="16">
        <v>297.89850000000001</v>
      </c>
      <c r="G226" s="16">
        <v>289.81009999999998</v>
      </c>
      <c r="H226" s="16">
        <v>292.53960000000001</v>
      </c>
      <c r="I226" s="16">
        <v>289.46289999999999</v>
      </c>
      <c r="J226" s="16">
        <v>311.41910000000001</v>
      </c>
      <c r="K226" s="16">
        <v>328.0206</v>
      </c>
      <c r="L226" s="16">
        <v>334.06369999999998</v>
      </c>
      <c r="M226" s="16">
        <v>340.44119999999998</v>
      </c>
      <c r="N226" s="16">
        <v>320.81139999999999</v>
      </c>
      <c r="O226" s="16">
        <v>340.08699999999999</v>
      </c>
      <c r="P226" s="16">
        <v>362.02780000000001</v>
      </c>
      <c r="Q226" s="16">
        <v>356.15989999999999</v>
      </c>
      <c r="R226" s="16">
        <v>360.48739999999998</v>
      </c>
      <c r="S226" s="16">
        <v>339.73390000000001</v>
      </c>
      <c r="T226" s="16">
        <v>326.34620000000001</v>
      </c>
      <c r="U226" s="16">
        <v>335.30070000000001</v>
      </c>
      <c r="V226" s="16">
        <v>343.10550000000001</v>
      </c>
      <c r="W226" s="16">
        <v>345.43329999999997</v>
      </c>
      <c r="X226" s="16">
        <v>345.62689999999998</v>
      </c>
      <c r="Y226" s="16">
        <v>329.9796</v>
      </c>
      <c r="Z226" s="26" t="s">
        <v>32</v>
      </c>
      <c r="AA226" s="25">
        <f t="shared" si="6"/>
        <v>289.46289999999999</v>
      </c>
      <c r="AB226" s="25">
        <f t="shared" si="7"/>
        <v>328.512541666667</v>
      </c>
    </row>
    <row r="227" spans="1:28">
      <c r="A227" s="8">
        <v>45517</v>
      </c>
      <c r="B227" s="16">
        <v>342.43610000000001</v>
      </c>
      <c r="C227" s="16">
        <v>322.19310000000002</v>
      </c>
      <c r="D227" s="16">
        <v>316.20920000000001</v>
      </c>
      <c r="E227" s="16">
        <v>309.57650000000001</v>
      </c>
      <c r="F227" s="16">
        <v>297.77010000000001</v>
      </c>
      <c r="G227" s="16">
        <v>290.28190000000001</v>
      </c>
      <c r="H227" s="16">
        <v>291.11279999999999</v>
      </c>
      <c r="I227" s="16">
        <v>291.02199999999999</v>
      </c>
      <c r="J227" s="16">
        <v>311.35469999999998</v>
      </c>
      <c r="K227" s="16">
        <v>333.88659999999999</v>
      </c>
      <c r="L227" s="16">
        <v>332.15719999999999</v>
      </c>
      <c r="M227" s="16">
        <v>329.96100000000001</v>
      </c>
      <c r="N227" s="16">
        <v>306.18709999999999</v>
      </c>
      <c r="O227" s="16">
        <v>326.53910000000002</v>
      </c>
      <c r="P227" s="16">
        <v>329.02679999999998</v>
      </c>
      <c r="Q227" s="16">
        <v>335.56729999999999</v>
      </c>
      <c r="R227" s="16">
        <v>347.44009999999997</v>
      </c>
      <c r="S227" s="16">
        <v>335.82940000000002</v>
      </c>
      <c r="T227" s="16">
        <v>322.58359999999999</v>
      </c>
      <c r="U227" s="16">
        <v>338.6823</v>
      </c>
      <c r="V227" s="16">
        <v>344.14249999999998</v>
      </c>
      <c r="W227" s="16">
        <v>333.80829999999997</v>
      </c>
      <c r="X227" s="16">
        <v>330.7124</v>
      </c>
      <c r="Y227" s="16">
        <v>321.88639999999998</v>
      </c>
      <c r="Z227" s="26" t="s">
        <v>32</v>
      </c>
      <c r="AA227" s="25">
        <f t="shared" si="6"/>
        <v>290.28190000000001</v>
      </c>
      <c r="AB227" s="25">
        <f t="shared" si="7"/>
        <v>322.51527083333298</v>
      </c>
    </row>
    <row r="228" spans="1:28">
      <c r="A228" s="8">
        <v>45518</v>
      </c>
      <c r="B228" s="16">
        <v>310.40879999999999</v>
      </c>
      <c r="C228" s="16">
        <v>313.32870000000003</v>
      </c>
      <c r="D228" s="16">
        <v>303.52820000000003</v>
      </c>
      <c r="E228" s="16">
        <v>298.0926</v>
      </c>
      <c r="F228" s="16">
        <v>290.74959999999999</v>
      </c>
      <c r="G228" s="16">
        <v>286.29599999999999</v>
      </c>
      <c r="H228" s="16">
        <v>286.23540000000003</v>
      </c>
      <c r="I228" s="16">
        <v>285.34160000000003</v>
      </c>
      <c r="J228" s="16">
        <v>309.42439999999999</v>
      </c>
      <c r="K228" s="16">
        <v>333.57069999999999</v>
      </c>
      <c r="L228" s="16">
        <v>325.72230000000002</v>
      </c>
      <c r="M228" s="16">
        <v>328.95260000000002</v>
      </c>
      <c r="N228" s="16">
        <v>284.60969999999998</v>
      </c>
      <c r="O228" s="16">
        <v>347.3614</v>
      </c>
      <c r="P228" s="16">
        <v>388.3064</v>
      </c>
      <c r="Q228" s="16">
        <v>376.34789999999998</v>
      </c>
      <c r="R228" s="16">
        <v>367.8272</v>
      </c>
      <c r="S228" s="16">
        <v>340.81119999999999</v>
      </c>
      <c r="T228" s="16">
        <v>313.97660000000002</v>
      </c>
      <c r="U228" s="16">
        <v>328.33280000000002</v>
      </c>
      <c r="V228" s="16">
        <v>323.95150000000001</v>
      </c>
      <c r="W228" s="16">
        <v>326.36470000000003</v>
      </c>
      <c r="X228" s="16">
        <v>315.18720000000002</v>
      </c>
      <c r="Y228" s="16">
        <v>305.27199999999999</v>
      </c>
      <c r="Z228" s="26" t="s">
        <v>32</v>
      </c>
      <c r="AA228" s="25">
        <f t="shared" si="6"/>
        <v>284.60969999999998</v>
      </c>
      <c r="AB228" s="25">
        <f t="shared" si="7"/>
        <v>320.41664583333301</v>
      </c>
    </row>
    <row r="229" spans="1:28">
      <c r="A229" s="8">
        <v>45519</v>
      </c>
      <c r="B229" s="16">
        <v>306.71120000000002</v>
      </c>
      <c r="C229" s="16">
        <v>301.63529999999997</v>
      </c>
      <c r="D229" s="16">
        <v>298.79640000000001</v>
      </c>
      <c r="E229" s="16">
        <v>293.86559999999997</v>
      </c>
      <c r="F229" s="16">
        <v>287.07119999999998</v>
      </c>
      <c r="G229" s="16">
        <v>285.2131</v>
      </c>
      <c r="H229" s="16">
        <v>287.75709999999998</v>
      </c>
      <c r="I229" s="16">
        <v>287.75389999999999</v>
      </c>
      <c r="J229" s="16">
        <v>307.6311</v>
      </c>
      <c r="K229" s="16">
        <v>331.0455</v>
      </c>
      <c r="L229" s="16">
        <v>326.08210000000003</v>
      </c>
      <c r="M229" s="16">
        <v>315.70999999999998</v>
      </c>
      <c r="N229" s="16">
        <v>268.90710000000001</v>
      </c>
      <c r="O229" s="16">
        <v>323.2133</v>
      </c>
      <c r="P229" s="16">
        <v>328.74579999999997</v>
      </c>
      <c r="Q229" s="16">
        <v>334.87470000000002</v>
      </c>
      <c r="R229" s="16">
        <v>336.24110000000002</v>
      </c>
      <c r="S229" s="16">
        <v>324.10640000000001</v>
      </c>
      <c r="T229" s="16">
        <v>306.64449999999999</v>
      </c>
      <c r="U229" s="16">
        <v>328.62529999999998</v>
      </c>
      <c r="V229" s="16">
        <v>328.72919999999999</v>
      </c>
      <c r="W229" s="16">
        <v>320.33589999999998</v>
      </c>
      <c r="X229" s="16">
        <v>314.05520000000001</v>
      </c>
      <c r="Y229" s="16">
        <v>305.35210000000001</v>
      </c>
      <c r="Z229" s="26" t="s">
        <v>33</v>
      </c>
      <c r="AA229" s="25">
        <f t="shared" si="6"/>
        <v>268.90710000000001</v>
      </c>
      <c r="AB229" s="25">
        <f t="shared" si="7"/>
        <v>310.379295833333</v>
      </c>
    </row>
    <row r="230" spans="1:28">
      <c r="A230" s="8">
        <v>45520</v>
      </c>
      <c r="B230" s="16">
        <v>296.1404</v>
      </c>
      <c r="C230" s="16">
        <v>299.58780000000002</v>
      </c>
      <c r="D230" s="16">
        <v>295.72019999999998</v>
      </c>
      <c r="E230" s="16">
        <v>285.86259999999999</v>
      </c>
      <c r="F230" s="16">
        <v>279.81</v>
      </c>
      <c r="G230" s="16">
        <v>277.27330000000001</v>
      </c>
      <c r="H230" s="16">
        <v>279.60120000000001</v>
      </c>
      <c r="I230" s="16">
        <v>281.19929999999999</v>
      </c>
      <c r="J230" s="16">
        <v>303.78370000000001</v>
      </c>
      <c r="K230" s="16">
        <v>338.01049999999998</v>
      </c>
      <c r="L230" s="16">
        <v>330.46</v>
      </c>
      <c r="M230" s="16">
        <v>327.07249999999999</v>
      </c>
      <c r="N230" s="16">
        <v>282.60680000000002</v>
      </c>
      <c r="O230" s="16">
        <v>305.08929999999998</v>
      </c>
      <c r="P230" s="16">
        <v>312.13499999999999</v>
      </c>
      <c r="Q230" s="16">
        <v>310.22129999999999</v>
      </c>
      <c r="R230" s="16">
        <v>314.52140000000003</v>
      </c>
      <c r="S230" s="16">
        <v>309.33940000000001</v>
      </c>
      <c r="T230" s="16">
        <v>303.4631</v>
      </c>
      <c r="U230" s="16">
        <v>311.03059999999999</v>
      </c>
      <c r="V230" s="16">
        <v>312.04719999999998</v>
      </c>
      <c r="W230" s="16">
        <v>307.60910000000001</v>
      </c>
      <c r="X230" s="16">
        <v>304.16770000000002</v>
      </c>
      <c r="Y230" s="16">
        <v>293.53289999999998</v>
      </c>
      <c r="Z230" s="26" t="s">
        <v>34</v>
      </c>
      <c r="AA230" s="25">
        <f t="shared" si="6"/>
        <v>277.27330000000001</v>
      </c>
      <c r="AB230" s="25">
        <f t="shared" si="7"/>
        <v>302.5118875</v>
      </c>
    </row>
    <row r="231" spans="1:28">
      <c r="A231" s="8">
        <v>45521</v>
      </c>
      <c r="B231" s="16">
        <v>280.7989</v>
      </c>
      <c r="C231" s="16">
        <v>287.52999999999997</v>
      </c>
      <c r="D231" s="16">
        <v>284.81</v>
      </c>
      <c r="E231" s="16">
        <v>279.42079999999999</v>
      </c>
      <c r="F231" s="16">
        <v>274.61750000000001</v>
      </c>
      <c r="G231" s="16">
        <v>270.53500000000003</v>
      </c>
      <c r="H231" s="16">
        <v>273.77999999999997</v>
      </c>
      <c r="I231" s="16">
        <v>275.3125</v>
      </c>
      <c r="J231" s="16">
        <v>284.1454</v>
      </c>
      <c r="K231" s="16">
        <v>297.10329999999999</v>
      </c>
      <c r="L231" s="16">
        <v>297.53730000000002</v>
      </c>
      <c r="M231" s="16">
        <v>293.5847</v>
      </c>
      <c r="N231" s="16">
        <v>263.36860000000001</v>
      </c>
      <c r="O231" s="16">
        <v>293.61059999999998</v>
      </c>
      <c r="P231" s="16">
        <v>306.46019999999999</v>
      </c>
      <c r="Q231" s="16">
        <v>299.2604</v>
      </c>
      <c r="R231" s="16">
        <v>295.40800000000002</v>
      </c>
      <c r="S231" s="16">
        <v>292.55560000000003</v>
      </c>
      <c r="T231" s="16">
        <v>283.03739999999999</v>
      </c>
      <c r="U231" s="16">
        <v>290.34750000000003</v>
      </c>
      <c r="V231" s="16">
        <v>290.17259999999999</v>
      </c>
      <c r="W231" s="16">
        <v>290.041</v>
      </c>
      <c r="X231" s="16">
        <v>287.41649999999998</v>
      </c>
      <c r="Y231" s="16">
        <v>277.69549999999998</v>
      </c>
      <c r="Z231" s="26" t="s">
        <v>32</v>
      </c>
      <c r="AA231" s="25">
        <f t="shared" si="6"/>
        <v>263.36860000000001</v>
      </c>
      <c r="AB231" s="25">
        <f t="shared" si="7"/>
        <v>286.18955416666699</v>
      </c>
    </row>
    <row r="232" spans="1:28">
      <c r="A232" s="8">
        <v>45522</v>
      </c>
      <c r="B232" s="16">
        <v>295.46339999999998</v>
      </c>
      <c r="C232" s="16">
        <v>284.27999999999997</v>
      </c>
      <c r="D232" s="16">
        <v>280.30009999999999</v>
      </c>
      <c r="E232" s="16">
        <v>272.9923</v>
      </c>
      <c r="F232" s="16">
        <v>259.42</v>
      </c>
      <c r="G232" s="16">
        <v>251.36410000000001</v>
      </c>
      <c r="H232" s="16">
        <v>230.33500000000001</v>
      </c>
      <c r="I232" s="16">
        <v>187.75</v>
      </c>
      <c r="J232" s="16">
        <v>164.14320000000001</v>
      </c>
      <c r="K232" s="16">
        <v>45.294699999999999</v>
      </c>
      <c r="L232" s="16">
        <v>10.224600000000001</v>
      </c>
      <c r="M232" s="16">
        <v>74.446799999999996</v>
      </c>
      <c r="N232" s="16">
        <v>43.820700000000002</v>
      </c>
      <c r="O232" s="16">
        <v>148.07419999999999</v>
      </c>
      <c r="P232" s="16">
        <v>93.851200000000006</v>
      </c>
      <c r="Q232" s="16">
        <v>54.010800000000003</v>
      </c>
      <c r="R232" s="16">
        <v>37.671999999999997</v>
      </c>
      <c r="S232" s="16">
        <v>192.59800000000001</v>
      </c>
      <c r="T232" s="16">
        <v>204.6926</v>
      </c>
      <c r="U232" s="16">
        <v>271.86009999999999</v>
      </c>
      <c r="V232" s="16">
        <v>281.4511</v>
      </c>
      <c r="W232" s="16">
        <v>283.71749999999997</v>
      </c>
      <c r="X232" s="16">
        <v>280.02339999999998</v>
      </c>
      <c r="Y232" s="16">
        <v>251.012</v>
      </c>
      <c r="Z232" s="26" t="s">
        <v>32</v>
      </c>
      <c r="AA232" s="25">
        <f t="shared" si="6"/>
        <v>10.224600000000001</v>
      </c>
      <c r="AB232" s="25">
        <f t="shared" si="7"/>
        <v>187.44990833333301</v>
      </c>
    </row>
    <row r="233" spans="1:28">
      <c r="A233" s="8">
        <v>45523</v>
      </c>
      <c r="B233" s="16">
        <v>205.5643</v>
      </c>
      <c r="C233" s="16">
        <v>262.38889999999998</v>
      </c>
      <c r="D233" s="16">
        <v>223.33260000000001</v>
      </c>
      <c r="E233" s="16">
        <v>12.411</v>
      </c>
      <c r="F233" s="16">
        <v>0</v>
      </c>
      <c r="G233" s="16">
        <v>0</v>
      </c>
      <c r="H233" s="16">
        <v>0</v>
      </c>
      <c r="I233" s="16">
        <v>119.0305</v>
      </c>
      <c r="J233" s="16">
        <v>282.35050000000001</v>
      </c>
      <c r="K233" s="16">
        <v>303.30500000000001</v>
      </c>
      <c r="L233" s="16">
        <v>304.60919999999999</v>
      </c>
      <c r="M233" s="16">
        <v>310.54669999999999</v>
      </c>
      <c r="N233" s="16">
        <v>277.24200000000002</v>
      </c>
      <c r="O233" s="16">
        <v>294.4889</v>
      </c>
      <c r="P233" s="16">
        <v>296.57769999999999</v>
      </c>
      <c r="Q233" s="16">
        <v>297.51299999999998</v>
      </c>
      <c r="R233" s="16">
        <v>297.49919999999997</v>
      </c>
      <c r="S233" s="16">
        <v>291.9554</v>
      </c>
      <c r="T233" s="16">
        <v>288.35239999999999</v>
      </c>
      <c r="U233" s="16">
        <v>304.60520000000002</v>
      </c>
      <c r="V233" s="16">
        <v>312.6352</v>
      </c>
      <c r="W233" s="16">
        <v>308.27339999999998</v>
      </c>
      <c r="X233" s="16">
        <v>291.38760000000002</v>
      </c>
      <c r="Y233" s="16">
        <v>266.53649999999999</v>
      </c>
      <c r="Z233" s="26" t="s">
        <v>32</v>
      </c>
      <c r="AA233" s="25">
        <f t="shared" si="6"/>
        <v>0</v>
      </c>
      <c r="AB233" s="25">
        <f t="shared" si="7"/>
        <v>231.27521666666701</v>
      </c>
    </row>
    <row r="234" spans="1:28">
      <c r="A234" s="8">
        <v>45524</v>
      </c>
      <c r="B234" s="16">
        <v>278.4298</v>
      </c>
      <c r="C234" s="16">
        <v>278.28919999999999</v>
      </c>
      <c r="D234" s="16">
        <v>274.55990000000003</v>
      </c>
      <c r="E234" s="16">
        <v>254.16290000000001</v>
      </c>
      <c r="F234" s="16">
        <v>212.74270000000001</v>
      </c>
      <c r="G234" s="16">
        <v>189.5556</v>
      </c>
      <c r="H234" s="16">
        <v>223.68219999999999</v>
      </c>
      <c r="I234" s="16">
        <v>235.36410000000001</v>
      </c>
      <c r="J234" s="16">
        <v>286.95049999999998</v>
      </c>
      <c r="K234" s="16">
        <v>329.38209999999998</v>
      </c>
      <c r="L234" s="16">
        <v>319.72969999999998</v>
      </c>
      <c r="M234" s="16">
        <v>337.53230000000002</v>
      </c>
      <c r="N234" s="16">
        <v>288.92779999999999</v>
      </c>
      <c r="O234" s="16">
        <v>305.96170000000001</v>
      </c>
      <c r="P234" s="16">
        <v>317.1327</v>
      </c>
      <c r="Q234" s="16">
        <v>312.81</v>
      </c>
      <c r="R234" s="16">
        <v>316.92610000000002</v>
      </c>
      <c r="S234" s="16">
        <v>311.12619999999998</v>
      </c>
      <c r="T234" s="16">
        <v>301.81790000000001</v>
      </c>
      <c r="U234" s="16">
        <v>317.87110000000001</v>
      </c>
      <c r="V234" s="16">
        <v>342.57069999999999</v>
      </c>
      <c r="W234" s="16">
        <v>348.87020000000001</v>
      </c>
      <c r="X234" s="16">
        <v>305.60770000000002</v>
      </c>
      <c r="Y234" s="16">
        <v>283.86829999999998</v>
      </c>
      <c r="Z234" s="26" t="s">
        <v>32</v>
      </c>
      <c r="AA234" s="25">
        <f t="shared" si="6"/>
        <v>189.5556</v>
      </c>
      <c r="AB234" s="25">
        <f t="shared" si="7"/>
        <v>290.57797499999998</v>
      </c>
    </row>
    <row r="235" spans="1:28">
      <c r="A235" s="8">
        <v>45525</v>
      </c>
      <c r="B235" s="16">
        <v>300.4692</v>
      </c>
      <c r="C235" s="16">
        <v>292.52960000000002</v>
      </c>
      <c r="D235" s="16">
        <v>281.65769999999998</v>
      </c>
      <c r="E235" s="16">
        <v>275.77999999999997</v>
      </c>
      <c r="F235" s="16">
        <v>251.58500000000001</v>
      </c>
      <c r="G235" s="16">
        <v>232.88499999999999</v>
      </c>
      <c r="H235" s="16">
        <v>253.0575</v>
      </c>
      <c r="I235" s="16">
        <v>256</v>
      </c>
      <c r="J235" s="16">
        <v>302.7944</v>
      </c>
      <c r="K235" s="16">
        <v>357.15710000000001</v>
      </c>
      <c r="L235" s="16">
        <v>352.88929999999999</v>
      </c>
      <c r="M235" s="16">
        <v>347.2276</v>
      </c>
      <c r="N235" s="16">
        <v>293.3648</v>
      </c>
      <c r="O235" s="16">
        <v>305.89609999999999</v>
      </c>
      <c r="P235" s="16">
        <v>323.38040000000001</v>
      </c>
      <c r="Q235" s="16">
        <v>340.11849999999998</v>
      </c>
      <c r="R235" s="16">
        <v>322.63490000000002</v>
      </c>
      <c r="S235" s="16">
        <v>317.3014</v>
      </c>
      <c r="T235" s="16">
        <v>309.19400000000002</v>
      </c>
      <c r="U235" s="16">
        <v>330.58940000000001</v>
      </c>
      <c r="V235" s="16">
        <v>344.78100000000001</v>
      </c>
      <c r="W235" s="16">
        <v>347.99520000000001</v>
      </c>
      <c r="X235" s="16">
        <v>331.93680000000001</v>
      </c>
      <c r="Y235" s="16">
        <v>290.92970000000003</v>
      </c>
      <c r="Z235" s="26" t="s">
        <v>32</v>
      </c>
      <c r="AA235" s="25">
        <f t="shared" si="6"/>
        <v>232.88499999999999</v>
      </c>
      <c r="AB235" s="25">
        <f t="shared" si="7"/>
        <v>306.756441666667</v>
      </c>
    </row>
    <row r="236" spans="1:28">
      <c r="A236" s="8">
        <v>45526</v>
      </c>
      <c r="B236" s="16">
        <v>181.99889999999999</v>
      </c>
      <c r="C236" s="16">
        <v>158.34809999999999</v>
      </c>
      <c r="D236" s="16">
        <v>149.51759999999999</v>
      </c>
      <c r="E236" s="16">
        <v>137.16419999999999</v>
      </c>
      <c r="F236" s="16">
        <v>99.88</v>
      </c>
      <c r="G236" s="16">
        <v>108.71</v>
      </c>
      <c r="H236" s="16">
        <v>141.0958</v>
      </c>
      <c r="I236" s="16">
        <v>136.25129999999999</v>
      </c>
      <c r="J236" s="16">
        <v>297.3186</v>
      </c>
      <c r="K236" s="16">
        <v>335.29450000000003</v>
      </c>
      <c r="L236" s="16">
        <v>351.55309999999997</v>
      </c>
      <c r="M236" s="16">
        <v>324.09269999999998</v>
      </c>
      <c r="N236" s="16">
        <v>291.76060000000001</v>
      </c>
      <c r="O236" s="16">
        <v>304.6617</v>
      </c>
      <c r="P236" s="16">
        <v>356.09899999999999</v>
      </c>
      <c r="Q236" s="16">
        <v>364.26909999999998</v>
      </c>
      <c r="R236" s="16">
        <v>397.0498</v>
      </c>
      <c r="S236" s="16">
        <v>377.09129999999999</v>
      </c>
      <c r="T236" s="16">
        <v>342.19929999999999</v>
      </c>
      <c r="U236" s="16">
        <v>356.47390000000001</v>
      </c>
      <c r="V236" s="16">
        <v>371.89879999999999</v>
      </c>
      <c r="W236" s="16">
        <v>367.26459999999997</v>
      </c>
      <c r="X236" s="16">
        <v>280.10489999999999</v>
      </c>
      <c r="Y236" s="16">
        <v>308.32940000000002</v>
      </c>
      <c r="Z236" s="26" t="s">
        <v>33</v>
      </c>
      <c r="AA236" s="25">
        <f t="shared" si="6"/>
        <v>99.88</v>
      </c>
      <c r="AB236" s="25">
        <f t="shared" si="7"/>
        <v>272.43446666666699</v>
      </c>
    </row>
    <row r="237" spans="1:28">
      <c r="A237" s="8">
        <v>45527</v>
      </c>
      <c r="B237" s="16">
        <v>327.6456</v>
      </c>
      <c r="C237" s="16">
        <v>326.4418</v>
      </c>
      <c r="D237" s="16">
        <v>71.890799999999999</v>
      </c>
      <c r="E237" s="16">
        <v>349.47149999999999</v>
      </c>
      <c r="F237" s="16">
        <v>172.1095</v>
      </c>
      <c r="G237" s="16">
        <v>186.5164</v>
      </c>
      <c r="H237" s="16">
        <v>203.36529999999999</v>
      </c>
      <c r="I237" s="16">
        <v>247.52799999999999</v>
      </c>
      <c r="J237" s="16">
        <v>290.64890000000003</v>
      </c>
      <c r="K237" s="16">
        <v>365.19330000000002</v>
      </c>
      <c r="L237" s="16">
        <v>399.50299999999999</v>
      </c>
      <c r="M237" s="16">
        <v>352.20979999999997</v>
      </c>
      <c r="N237" s="16">
        <v>305.97160000000002</v>
      </c>
      <c r="O237" s="16">
        <v>280.47969999999998</v>
      </c>
      <c r="P237" s="16">
        <v>398.25409999999999</v>
      </c>
      <c r="Q237" s="16">
        <v>366.11399999999998</v>
      </c>
      <c r="R237" s="16">
        <v>392.52300000000002</v>
      </c>
      <c r="S237" s="16">
        <v>386.21280000000002</v>
      </c>
      <c r="T237" s="16">
        <v>351.41820000000001</v>
      </c>
      <c r="U237" s="16">
        <v>510.56569999999999</v>
      </c>
      <c r="V237" s="16">
        <v>378.4434</v>
      </c>
      <c r="W237" s="16">
        <v>459.99310000000003</v>
      </c>
      <c r="X237" s="16">
        <v>413.39589999999998</v>
      </c>
      <c r="Y237" s="16">
        <v>368.86130000000003</v>
      </c>
      <c r="Z237" s="26" t="s">
        <v>34</v>
      </c>
      <c r="AA237" s="25">
        <f t="shared" si="6"/>
        <v>71.890799999999999</v>
      </c>
      <c r="AB237" s="25">
        <f t="shared" si="7"/>
        <v>329.36486250000002</v>
      </c>
    </row>
    <row r="238" spans="1:28">
      <c r="A238" s="8">
        <v>45528</v>
      </c>
      <c r="B238" s="16">
        <v>263.24130000000002</v>
      </c>
      <c r="C238" s="16">
        <v>313.30470000000003</v>
      </c>
      <c r="D238" s="16">
        <v>293.44310000000002</v>
      </c>
      <c r="E238" s="16">
        <v>281.43579999999997</v>
      </c>
      <c r="F238" s="16">
        <v>276.85739999999998</v>
      </c>
      <c r="G238" s="16">
        <v>273.20530000000002</v>
      </c>
      <c r="H238" s="16">
        <v>273.67270000000002</v>
      </c>
      <c r="I238" s="16">
        <v>273.9932</v>
      </c>
      <c r="J238" s="16">
        <v>275.30590000000001</v>
      </c>
      <c r="K238" s="16">
        <v>280.3064</v>
      </c>
      <c r="L238" s="16">
        <v>264.9735</v>
      </c>
      <c r="M238" s="16">
        <v>271.16759999999999</v>
      </c>
      <c r="N238" s="16">
        <v>269.31470000000002</v>
      </c>
      <c r="O238" s="16">
        <v>290.536</v>
      </c>
      <c r="P238" s="16">
        <v>304.08139999999997</v>
      </c>
      <c r="Q238" s="16">
        <v>345.70260000000002</v>
      </c>
      <c r="R238" s="16">
        <v>367.93329999999997</v>
      </c>
      <c r="S238" s="16">
        <v>672.06590000000006</v>
      </c>
      <c r="T238" s="16">
        <v>322.19170000000003</v>
      </c>
      <c r="U238" s="16">
        <v>824.19190000000003</v>
      </c>
      <c r="V238" s="16">
        <v>484.91879999999998</v>
      </c>
      <c r="W238" s="16">
        <v>453.94760000000002</v>
      </c>
      <c r="X238" s="16">
        <v>414.78160000000003</v>
      </c>
      <c r="Y238" s="16">
        <v>375.38440000000003</v>
      </c>
      <c r="Z238" s="26" t="s">
        <v>32</v>
      </c>
      <c r="AA238" s="25">
        <f t="shared" si="6"/>
        <v>263.24130000000002</v>
      </c>
      <c r="AB238" s="25">
        <f t="shared" si="7"/>
        <v>352.7482</v>
      </c>
    </row>
    <row r="239" spans="1:28">
      <c r="A239" s="8">
        <v>45529</v>
      </c>
      <c r="B239" s="16">
        <v>282.51859999999999</v>
      </c>
      <c r="C239" s="16">
        <v>269.15289999999999</v>
      </c>
      <c r="D239" s="16">
        <v>243.2062</v>
      </c>
      <c r="E239" s="16">
        <v>227.49780000000001</v>
      </c>
      <c r="F239" s="16">
        <v>209.20529999999999</v>
      </c>
      <c r="G239" s="16">
        <v>205.09809999999999</v>
      </c>
      <c r="H239" s="16">
        <v>205.3227</v>
      </c>
      <c r="I239" s="16">
        <v>202.60919999999999</v>
      </c>
      <c r="J239" s="16">
        <v>196.78829999999999</v>
      </c>
      <c r="K239" s="16">
        <v>198.39850000000001</v>
      </c>
      <c r="L239" s="16">
        <v>196.09389999999999</v>
      </c>
      <c r="M239" s="16">
        <v>190.9435</v>
      </c>
      <c r="N239" s="16">
        <v>175.6309</v>
      </c>
      <c r="O239" s="16">
        <v>204.81360000000001</v>
      </c>
      <c r="P239" s="16">
        <v>205.50210000000001</v>
      </c>
      <c r="Q239" s="16">
        <v>226.83109999999999</v>
      </c>
      <c r="R239" s="16">
        <v>242.7988</v>
      </c>
      <c r="S239" s="16">
        <v>255.1687</v>
      </c>
      <c r="T239" s="16">
        <v>288.65269999999998</v>
      </c>
      <c r="U239" s="16">
        <v>301.40449999999998</v>
      </c>
      <c r="V239" s="16">
        <v>321.16399999999999</v>
      </c>
      <c r="W239" s="16">
        <v>345.73070000000001</v>
      </c>
      <c r="X239" s="16">
        <v>345.93729999999999</v>
      </c>
      <c r="Y239" s="16">
        <v>317.23939999999999</v>
      </c>
      <c r="Z239" s="26" t="s">
        <v>32</v>
      </c>
      <c r="AA239" s="25">
        <f t="shared" si="6"/>
        <v>175.6309</v>
      </c>
      <c r="AB239" s="25">
        <f t="shared" si="7"/>
        <v>244.0712</v>
      </c>
    </row>
    <row r="240" spans="1:28">
      <c r="A240" s="8">
        <v>45530</v>
      </c>
      <c r="B240" s="16">
        <v>240.7577</v>
      </c>
      <c r="C240" s="16">
        <v>225.4528</v>
      </c>
      <c r="D240" s="16">
        <v>215.43039999999999</v>
      </c>
      <c r="E240" s="16">
        <v>209.35599999999999</v>
      </c>
      <c r="F240" s="16">
        <v>200.36349999999999</v>
      </c>
      <c r="G240" s="16">
        <v>196.7843</v>
      </c>
      <c r="H240" s="16">
        <v>200.71360000000001</v>
      </c>
      <c r="I240" s="16">
        <v>201.06800000000001</v>
      </c>
      <c r="J240" s="16">
        <v>259.84019999999998</v>
      </c>
      <c r="K240" s="16">
        <v>310.48599999999999</v>
      </c>
      <c r="L240" s="16">
        <v>341.64510000000001</v>
      </c>
      <c r="M240" s="16">
        <v>340.6748</v>
      </c>
      <c r="N240" s="16">
        <v>280.24270000000001</v>
      </c>
      <c r="O240" s="16">
        <v>330.6651</v>
      </c>
      <c r="P240" s="16">
        <v>201.43450000000001</v>
      </c>
      <c r="Q240" s="16">
        <v>259.04759999999999</v>
      </c>
      <c r="R240" s="16">
        <v>381.50220000000002</v>
      </c>
      <c r="S240" s="16">
        <v>449.1422</v>
      </c>
      <c r="T240" s="16">
        <v>272.7441</v>
      </c>
      <c r="U240" s="16">
        <v>423.49119999999999</v>
      </c>
      <c r="V240" s="16">
        <v>448.20499999999998</v>
      </c>
      <c r="W240" s="16">
        <v>390.90159999999997</v>
      </c>
      <c r="X240" s="16">
        <v>345.88159999999999</v>
      </c>
      <c r="Y240" s="16">
        <v>311.64870000000002</v>
      </c>
      <c r="Z240" s="26" t="s">
        <v>32</v>
      </c>
      <c r="AA240" s="25">
        <f t="shared" si="6"/>
        <v>196.7843</v>
      </c>
      <c r="AB240" s="25">
        <f t="shared" si="7"/>
        <v>293.22828750000002</v>
      </c>
    </row>
    <row r="241" spans="1:28">
      <c r="A241" s="8">
        <v>45531</v>
      </c>
      <c r="B241" s="16">
        <v>300.5831</v>
      </c>
      <c r="C241" s="16">
        <v>290.96179999999998</v>
      </c>
      <c r="D241" s="16">
        <v>280.60469999999998</v>
      </c>
      <c r="E241" s="16">
        <v>277.75659999999999</v>
      </c>
      <c r="F241" s="16">
        <v>270.49020000000002</v>
      </c>
      <c r="G241" s="16">
        <v>265.49119999999999</v>
      </c>
      <c r="H241" s="16">
        <v>268.66160000000002</v>
      </c>
      <c r="I241" s="16">
        <v>266.5652</v>
      </c>
      <c r="J241" s="16">
        <v>275.8186</v>
      </c>
      <c r="K241" s="16">
        <v>301.06290000000001</v>
      </c>
      <c r="L241" s="16">
        <v>307.1628</v>
      </c>
      <c r="M241" s="16">
        <v>310.74040000000002</v>
      </c>
      <c r="N241" s="16">
        <v>295.00349999999997</v>
      </c>
      <c r="O241" s="16">
        <v>320.54750000000001</v>
      </c>
      <c r="P241" s="16">
        <v>315.54750000000001</v>
      </c>
      <c r="Q241" s="16">
        <v>328.70800000000003</v>
      </c>
      <c r="R241" s="16">
        <v>369.9058</v>
      </c>
      <c r="S241" s="16">
        <v>359.88619999999997</v>
      </c>
      <c r="T241" s="16">
        <v>332.27839999999998</v>
      </c>
      <c r="U241" s="16">
        <v>362.56920000000002</v>
      </c>
      <c r="V241" s="16">
        <v>370.94540000000001</v>
      </c>
      <c r="W241" s="16">
        <v>362.15879999999999</v>
      </c>
      <c r="X241" s="16">
        <v>345.66759999999999</v>
      </c>
      <c r="Y241" s="16">
        <v>318.6447</v>
      </c>
      <c r="Z241" s="26" t="s">
        <v>32</v>
      </c>
      <c r="AA241" s="25">
        <f t="shared" si="6"/>
        <v>265.49119999999999</v>
      </c>
      <c r="AB241" s="25">
        <f t="shared" si="7"/>
        <v>312.40673750000002</v>
      </c>
    </row>
    <row r="242" spans="1:28">
      <c r="A242" s="8">
        <v>45532</v>
      </c>
      <c r="B242" s="16">
        <v>371.82369999999997</v>
      </c>
      <c r="C242" s="16">
        <v>346.33550000000002</v>
      </c>
      <c r="D242" s="16">
        <v>323.13729999999998</v>
      </c>
      <c r="E242" s="16">
        <v>310.84280000000001</v>
      </c>
      <c r="F242" s="16">
        <v>298.77999999999997</v>
      </c>
      <c r="G242" s="16">
        <v>293.25599999999997</v>
      </c>
      <c r="H242" s="16">
        <v>293.0838</v>
      </c>
      <c r="I242" s="16">
        <v>288.21870000000001</v>
      </c>
      <c r="J242" s="16">
        <v>303.58600000000001</v>
      </c>
      <c r="K242" s="16">
        <v>324.49329999999998</v>
      </c>
      <c r="L242" s="16">
        <v>342.3605</v>
      </c>
      <c r="M242" s="16">
        <v>328.41840000000002</v>
      </c>
      <c r="N242" s="16">
        <v>293.65440000000001</v>
      </c>
      <c r="O242" s="16">
        <v>322.08370000000002</v>
      </c>
      <c r="P242" s="16">
        <v>371.50790000000001</v>
      </c>
      <c r="Q242" s="16">
        <v>335.40030000000002</v>
      </c>
      <c r="R242" s="16">
        <v>353.57619999999997</v>
      </c>
      <c r="S242" s="16">
        <v>356.37180000000001</v>
      </c>
      <c r="T242" s="16">
        <v>336.75119999999998</v>
      </c>
      <c r="U242" s="16">
        <v>418.71940000000001</v>
      </c>
      <c r="V242" s="16">
        <v>380.87389999999999</v>
      </c>
      <c r="W242" s="16">
        <v>370.96469999999999</v>
      </c>
      <c r="X242" s="16">
        <v>372.7971</v>
      </c>
      <c r="Y242" s="16">
        <v>342.2962</v>
      </c>
      <c r="Z242" s="26" t="s">
        <v>32</v>
      </c>
      <c r="AA242" s="25">
        <f t="shared" si="6"/>
        <v>288.21870000000001</v>
      </c>
      <c r="AB242" s="25">
        <f t="shared" si="7"/>
        <v>336.63886666666701</v>
      </c>
    </row>
    <row r="243" spans="1:28">
      <c r="A243" s="8">
        <v>45533</v>
      </c>
      <c r="B243" s="16">
        <v>388.13400000000001</v>
      </c>
      <c r="C243" s="16">
        <v>355.04090000000002</v>
      </c>
      <c r="D243" s="16">
        <v>344.31279999999998</v>
      </c>
      <c r="E243" s="16">
        <v>335.5</v>
      </c>
      <c r="F243" s="16">
        <v>328.62189999999998</v>
      </c>
      <c r="G243" s="16">
        <v>322.10590000000002</v>
      </c>
      <c r="H243" s="16">
        <v>321.40359999999998</v>
      </c>
      <c r="I243" s="16">
        <v>319.90370000000001</v>
      </c>
      <c r="J243" s="16">
        <v>332.27949999999998</v>
      </c>
      <c r="K243" s="16">
        <v>349.00729999999999</v>
      </c>
      <c r="L243" s="16">
        <v>355.72539999999998</v>
      </c>
      <c r="M243" s="16">
        <v>347.62779999999998</v>
      </c>
      <c r="N243" s="16">
        <v>321.92899999999997</v>
      </c>
      <c r="O243" s="16">
        <v>359.83199999999999</v>
      </c>
      <c r="P243" s="16">
        <v>373.33179999999999</v>
      </c>
      <c r="Q243" s="16">
        <v>360.3657</v>
      </c>
      <c r="R243" s="16">
        <v>366.52350000000001</v>
      </c>
      <c r="S243" s="16">
        <v>364.91109999999998</v>
      </c>
      <c r="T243" s="16">
        <v>357.3331</v>
      </c>
      <c r="U243" s="16">
        <v>466.6123</v>
      </c>
      <c r="V243" s="16">
        <v>460.16789999999997</v>
      </c>
      <c r="W243" s="16">
        <v>421.3152</v>
      </c>
      <c r="X243" s="16">
        <v>384.13959999999997</v>
      </c>
      <c r="Y243" s="16">
        <v>358.44810000000001</v>
      </c>
      <c r="Z243" s="26" t="s">
        <v>33</v>
      </c>
      <c r="AA243" s="25">
        <f t="shared" si="6"/>
        <v>319.90370000000001</v>
      </c>
      <c r="AB243" s="25">
        <f t="shared" si="7"/>
        <v>362.27383750000001</v>
      </c>
    </row>
    <row r="244" spans="1:28">
      <c r="A244" s="8">
        <v>45534</v>
      </c>
      <c r="B244" s="16">
        <v>336.01949999999999</v>
      </c>
      <c r="C244" s="16">
        <v>326.8263</v>
      </c>
      <c r="D244" s="16">
        <v>313.72789999999998</v>
      </c>
      <c r="E244" s="16">
        <v>308.14150000000001</v>
      </c>
      <c r="F244" s="16">
        <v>300.84019999999998</v>
      </c>
      <c r="G244" s="16">
        <v>299.81790000000001</v>
      </c>
      <c r="H244" s="16">
        <v>302.13130000000001</v>
      </c>
      <c r="I244" s="16">
        <v>301.70030000000003</v>
      </c>
      <c r="J244" s="16">
        <v>312.2706</v>
      </c>
      <c r="K244" s="16">
        <v>330.34440000000001</v>
      </c>
      <c r="L244" s="16">
        <v>330.48200000000003</v>
      </c>
      <c r="M244" s="16">
        <v>329.61189999999999</v>
      </c>
      <c r="N244" s="16">
        <v>308.87110000000001</v>
      </c>
      <c r="O244" s="16">
        <v>324.09820000000002</v>
      </c>
      <c r="P244" s="16">
        <v>350.64060000000001</v>
      </c>
      <c r="Q244" s="16">
        <v>358.05779999999999</v>
      </c>
      <c r="R244" s="16">
        <v>375.07650000000001</v>
      </c>
      <c r="S244" s="16">
        <v>394.21530000000001</v>
      </c>
      <c r="T244" s="16">
        <v>346.18759999999997</v>
      </c>
      <c r="U244" s="16">
        <v>425.09</v>
      </c>
      <c r="V244" s="16">
        <v>419.79559999999998</v>
      </c>
      <c r="W244" s="16">
        <v>374.54090000000002</v>
      </c>
      <c r="X244" s="16">
        <v>353.2056</v>
      </c>
      <c r="Y244" s="16">
        <v>342.75689999999997</v>
      </c>
      <c r="Z244" s="26" t="s">
        <v>34</v>
      </c>
      <c r="AA244" s="25">
        <f t="shared" si="6"/>
        <v>299.81790000000001</v>
      </c>
      <c r="AB244" s="25">
        <f t="shared" si="7"/>
        <v>340.18541249999998</v>
      </c>
    </row>
    <row r="245" spans="1:28">
      <c r="A245" s="8">
        <v>45535</v>
      </c>
      <c r="B245" s="16">
        <v>394.47059999999999</v>
      </c>
      <c r="C245" s="16">
        <v>356.4085</v>
      </c>
      <c r="D245" s="16">
        <v>338.79399999999998</v>
      </c>
      <c r="E245" s="16">
        <v>330.66520000000003</v>
      </c>
      <c r="F245" s="16">
        <v>321.33019999999999</v>
      </c>
      <c r="G245" s="16">
        <v>312.03309999999999</v>
      </c>
      <c r="H245" s="16">
        <v>318.87610000000001</v>
      </c>
      <c r="I245" s="16">
        <v>318.0761</v>
      </c>
      <c r="J245" s="16">
        <v>325.166</v>
      </c>
      <c r="K245" s="16">
        <v>335.11349999999999</v>
      </c>
      <c r="L245" s="16">
        <v>331.7568</v>
      </c>
      <c r="M245" s="16">
        <v>332.2878</v>
      </c>
      <c r="N245" s="16">
        <v>314.71519999999998</v>
      </c>
      <c r="O245" s="16">
        <v>345.0292</v>
      </c>
      <c r="P245" s="16">
        <v>345.36939999999998</v>
      </c>
      <c r="Q245" s="16">
        <v>347.66890000000001</v>
      </c>
      <c r="R245" s="16">
        <v>359.98910000000001</v>
      </c>
      <c r="S245" s="16">
        <v>370.55529999999999</v>
      </c>
      <c r="T245" s="16">
        <v>367.25839999999999</v>
      </c>
      <c r="U245" s="16">
        <v>389.39060000000001</v>
      </c>
      <c r="V245" s="16">
        <v>401.11489999999998</v>
      </c>
      <c r="W245" s="16">
        <v>388.68439999999998</v>
      </c>
      <c r="X245" s="16">
        <v>377.27260000000001</v>
      </c>
      <c r="Y245" s="16">
        <v>361.20749999999998</v>
      </c>
      <c r="Z245" s="26" t="s">
        <v>32</v>
      </c>
      <c r="AA245" s="25">
        <f t="shared" si="6"/>
        <v>312.03309999999999</v>
      </c>
      <c r="AB245" s="25">
        <f t="shared" si="7"/>
        <v>349.30139166666697</v>
      </c>
    </row>
    <row r="246" spans="1:28">
      <c r="A246" s="8">
        <v>45536</v>
      </c>
      <c r="B246" s="16">
        <v>385.08609999999999</v>
      </c>
      <c r="C246" s="16">
        <v>391.6934</v>
      </c>
      <c r="D246" s="16">
        <v>380.6884</v>
      </c>
      <c r="E246" s="16">
        <v>367.0849</v>
      </c>
      <c r="F246" s="16">
        <v>340.36649999999997</v>
      </c>
      <c r="G246" s="16">
        <v>333.69970000000001</v>
      </c>
      <c r="H246" s="16">
        <v>329.96460000000002</v>
      </c>
      <c r="I246" s="16">
        <v>305.19830000000002</v>
      </c>
      <c r="J246" s="16">
        <v>294.9821</v>
      </c>
      <c r="K246" s="16">
        <v>290.32600000000002</v>
      </c>
      <c r="L246" s="16">
        <v>287.74919999999997</v>
      </c>
      <c r="M246" s="16">
        <v>291.90390000000002</v>
      </c>
      <c r="N246" s="16">
        <v>301.72539999999998</v>
      </c>
      <c r="O246" s="16">
        <v>318.12040000000002</v>
      </c>
      <c r="P246" s="16">
        <v>331.48039999999997</v>
      </c>
      <c r="Q246" s="16">
        <v>323.31049999999999</v>
      </c>
      <c r="R246" s="16">
        <v>324.53739999999999</v>
      </c>
      <c r="S246" s="16">
        <v>333.71449999999999</v>
      </c>
      <c r="T246" s="16">
        <v>342.1293</v>
      </c>
      <c r="U246" s="16">
        <v>374.69170000000003</v>
      </c>
      <c r="V246" s="16">
        <v>381.08300000000003</v>
      </c>
      <c r="W246" s="16">
        <v>367.14260000000002</v>
      </c>
      <c r="X246" s="16">
        <v>366.39420000000001</v>
      </c>
      <c r="Y246" s="16">
        <v>355.02109999999999</v>
      </c>
      <c r="Z246" s="26" t="s">
        <v>32</v>
      </c>
      <c r="AA246" s="25">
        <f t="shared" si="6"/>
        <v>287.74919999999997</v>
      </c>
      <c r="AB246" s="25">
        <f t="shared" si="7"/>
        <v>338.25389999999999</v>
      </c>
    </row>
    <row r="247" spans="1:28">
      <c r="A247" s="8">
        <v>45537</v>
      </c>
      <c r="B247" s="16">
        <v>344.6345</v>
      </c>
      <c r="C247" s="16">
        <v>342.95370000000003</v>
      </c>
      <c r="D247" s="16">
        <v>328.31209999999999</v>
      </c>
      <c r="E247" s="16">
        <v>310.40249999999997</v>
      </c>
      <c r="F247" s="16">
        <v>300.2296</v>
      </c>
      <c r="G247" s="16">
        <v>300.06509999999997</v>
      </c>
      <c r="H247" s="16">
        <v>300.19729999999998</v>
      </c>
      <c r="I247" s="16">
        <v>297.08319999999998</v>
      </c>
      <c r="J247" s="16">
        <v>347.52190000000002</v>
      </c>
      <c r="K247" s="16">
        <v>394.13729999999998</v>
      </c>
      <c r="L247" s="16">
        <v>377.8766</v>
      </c>
      <c r="M247" s="16">
        <v>377.35860000000002</v>
      </c>
      <c r="N247" s="16">
        <v>353.53379999999999</v>
      </c>
      <c r="O247" s="16">
        <v>405.7894</v>
      </c>
      <c r="P247" s="16">
        <v>437.3886</v>
      </c>
      <c r="Q247" s="16">
        <v>421.93889999999999</v>
      </c>
      <c r="R247" s="16">
        <v>419.94959999999998</v>
      </c>
      <c r="S247" s="16">
        <v>411.1223</v>
      </c>
      <c r="T247" s="16">
        <v>373.22640000000001</v>
      </c>
      <c r="U247" s="16">
        <v>430.45929999999998</v>
      </c>
      <c r="V247" s="16">
        <v>420.38619999999997</v>
      </c>
      <c r="W247" s="16">
        <v>392.5609</v>
      </c>
      <c r="X247" s="16">
        <v>388.07740000000001</v>
      </c>
      <c r="Y247" s="16">
        <v>366.2602</v>
      </c>
      <c r="Z247" s="26" t="s">
        <v>32</v>
      </c>
      <c r="AA247" s="25">
        <f t="shared" si="6"/>
        <v>297.08319999999998</v>
      </c>
      <c r="AB247" s="25">
        <f t="shared" si="7"/>
        <v>368.39439166666699</v>
      </c>
    </row>
    <row r="248" spans="1:28">
      <c r="A248" s="8">
        <v>45538</v>
      </c>
      <c r="B248" s="16">
        <v>620.89919999999995</v>
      </c>
      <c r="C248" s="16">
        <v>464.65660000000003</v>
      </c>
      <c r="D248" s="16">
        <v>405.45499999999998</v>
      </c>
      <c r="E248" s="16">
        <v>393.48070000000001</v>
      </c>
      <c r="F248" s="16">
        <v>360.8261</v>
      </c>
      <c r="G248" s="16">
        <v>348.8854</v>
      </c>
      <c r="H248" s="16">
        <v>342.73770000000002</v>
      </c>
      <c r="I248" s="16">
        <v>331.60660000000001</v>
      </c>
      <c r="J248" s="16">
        <v>376.08670000000001</v>
      </c>
      <c r="K248" s="16">
        <v>394.13170000000002</v>
      </c>
      <c r="L248" s="16">
        <v>380.60300000000001</v>
      </c>
      <c r="M248" s="16">
        <v>369.66329999999999</v>
      </c>
      <c r="N248" s="16">
        <v>350.52890000000002</v>
      </c>
      <c r="O248" s="16">
        <v>400.24189999999999</v>
      </c>
      <c r="P248" s="16">
        <v>406.92250000000001</v>
      </c>
      <c r="Q248" s="16">
        <v>389.2824</v>
      </c>
      <c r="R248" s="16">
        <v>400.48180000000002</v>
      </c>
      <c r="S248" s="16">
        <v>415.77569999999997</v>
      </c>
      <c r="T248" s="16">
        <v>399.91419999999999</v>
      </c>
      <c r="U248" s="16">
        <v>403.22809999999998</v>
      </c>
      <c r="V248" s="16">
        <v>414.47469999999998</v>
      </c>
      <c r="W248" s="16">
        <v>437.99630000000002</v>
      </c>
      <c r="X248" s="16">
        <v>440.4058</v>
      </c>
      <c r="Y248" s="16">
        <v>404.30560000000003</v>
      </c>
      <c r="Z248" s="26" t="s">
        <v>32</v>
      </c>
      <c r="AA248" s="25">
        <f t="shared" si="6"/>
        <v>331.60660000000001</v>
      </c>
      <c r="AB248" s="25">
        <f t="shared" si="7"/>
        <v>402.19124583333303</v>
      </c>
    </row>
    <row r="249" spans="1:28">
      <c r="A249" s="8">
        <v>45539</v>
      </c>
      <c r="B249" s="16">
        <v>413.78739999999999</v>
      </c>
      <c r="C249" s="16">
        <v>409.09679999999997</v>
      </c>
      <c r="D249" s="16">
        <v>402.05759999999998</v>
      </c>
      <c r="E249" s="16">
        <v>383.42239999999998</v>
      </c>
      <c r="F249" s="16">
        <v>358.09030000000001</v>
      </c>
      <c r="G249" s="16">
        <v>353.678</v>
      </c>
      <c r="H249" s="16">
        <v>362.5385</v>
      </c>
      <c r="I249" s="16">
        <v>348.70229999999998</v>
      </c>
      <c r="J249" s="16">
        <v>354.76519999999999</v>
      </c>
      <c r="K249" s="16">
        <v>359.44900000000001</v>
      </c>
      <c r="L249" s="16">
        <v>358.36950000000002</v>
      </c>
      <c r="M249" s="16">
        <v>357.81349999999998</v>
      </c>
      <c r="N249" s="16">
        <v>356.92129999999997</v>
      </c>
      <c r="O249" s="16">
        <v>392.78730000000002</v>
      </c>
      <c r="P249" s="16">
        <v>382.53530000000001</v>
      </c>
      <c r="Q249" s="16">
        <v>370.67309999999998</v>
      </c>
      <c r="R249" s="16">
        <v>377.18</v>
      </c>
      <c r="S249" s="16">
        <v>406.81540000000001</v>
      </c>
      <c r="T249" s="16">
        <v>395.73289999999997</v>
      </c>
      <c r="U249" s="16">
        <v>405.93579999999997</v>
      </c>
      <c r="V249" s="16">
        <v>380.39789999999999</v>
      </c>
      <c r="W249" s="16">
        <v>406.71640000000002</v>
      </c>
      <c r="X249" s="16">
        <v>429.21409999999997</v>
      </c>
      <c r="Y249" s="16">
        <v>395.74889999999999</v>
      </c>
      <c r="Z249" s="26" t="s">
        <v>32</v>
      </c>
      <c r="AA249" s="25">
        <f t="shared" si="6"/>
        <v>348.70229999999998</v>
      </c>
      <c r="AB249" s="25">
        <f t="shared" si="7"/>
        <v>381.76787083333301</v>
      </c>
    </row>
    <row r="250" spans="1:28">
      <c r="A250" s="8">
        <v>45540</v>
      </c>
      <c r="B250" s="16">
        <v>437.93419999999998</v>
      </c>
      <c r="C250" s="16">
        <v>416.49829999999997</v>
      </c>
      <c r="D250" s="16">
        <v>413.44349999999997</v>
      </c>
      <c r="E250" s="16">
        <v>384.62990000000002</v>
      </c>
      <c r="F250" s="16">
        <v>355.79950000000002</v>
      </c>
      <c r="G250" s="16">
        <v>347.23880000000003</v>
      </c>
      <c r="H250" s="16">
        <v>352.67230000000001</v>
      </c>
      <c r="I250" s="16">
        <v>327.17880000000002</v>
      </c>
      <c r="J250" s="16">
        <v>349.45710000000003</v>
      </c>
      <c r="K250" s="16">
        <v>367.2056</v>
      </c>
      <c r="L250" s="16">
        <v>358.13940000000002</v>
      </c>
      <c r="M250" s="16">
        <v>356.68459999999999</v>
      </c>
      <c r="N250" s="16">
        <v>344.14339999999999</v>
      </c>
      <c r="O250" s="16">
        <v>394.74270000000001</v>
      </c>
      <c r="P250" s="16">
        <v>410.28879999999998</v>
      </c>
      <c r="Q250" s="16">
        <v>401.5215</v>
      </c>
      <c r="R250" s="16">
        <v>405.34539999999998</v>
      </c>
      <c r="S250" s="16">
        <v>392.65230000000003</v>
      </c>
      <c r="T250" s="16">
        <v>384.7894</v>
      </c>
      <c r="U250" s="16">
        <v>392.34100000000001</v>
      </c>
      <c r="V250" s="16">
        <v>382.14699999999999</v>
      </c>
      <c r="W250" s="16">
        <v>406.83510000000001</v>
      </c>
      <c r="X250" s="16">
        <v>400.89260000000002</v>
      </c>
      <c r="Y250" s="16">
        <v>354.51420000000002</v>
      </c>
      <c r="Z250" s="26" t="s">
        <v>33</v>
      </c>
      <c r="AA250" s="25">
        <f t="shared" si="6"/>
        <v>327.17880000000002</v>
      </c>
      <c r="AB250" s="25">
        <f t="shared" si="7"/>
        <v>380.712308333333</v>
      </c>
    </row>
    <row r="251" spans="1:28">
      <c r="A251" s="8">
        <v>45541</v>
      </c>
      <c r="B251" s="16">
        <v>465.37779999999998</v>
      </c>
      <c r="C251" s="16">
        <v>468.29430000000002</v>
      </c>
      <c r="D251" s="16">
        <v>455.92059999999998</v>
      </c>
      <c r="E251" s="16">
        <v>408.77760000000001</v>
      </c>
      <c r="F251" s="16">
        <v>365.35739999999998</v>
      </c>
      <c r="G251" s="16">
        <v>350.44880000000001</v>
      </c>
      <c r="H251" s="16">
        <v>360.1968</v>
      </c>
      <c r="I251" s="16">
        <v>336.5718</v>
      </c>
      <c r="J251" s="16">
        <v>378.84519999999998</v>
      </c>
      <c r="K251" s="16">
        <v>453.77659999999997</v>
      </c>
      <c r="L251" s="16">
        <v>397.83100000000002</v>
      </c>
      <c r="M251" s="16">
        <v>395.24529999999999</v>
      </c>
      <c r="N251" s="16">
        <v>366.85849999999999</v>
      </c>
      <c r="O251" s="16">
        <v>411.089</v>
      </c>
      <c r="P251" s="16">
        <v>447.62380000000002</v>
      </c>
      <c r="Q251" s="16">
        <v>430.39120000000003</v>
      </c>
      <c r="R251" s="16">
        <v>418.5675</v>
      </c>
      <c r="S251" s="16">
        <v>412.3621</v>
      </c>
      <c r="T251" s="16">
        <v>387.13010000000003</v>
      </c>
      <c r="U251" s="16">
        <v>406.0299</v>
      </c>
      <c r="V251" s="16">
        <v>395.23970000000003</v>
      </c>
      <c r="W251" s="16">
        <v>388.35539999999997</v>
      </c>
      <c r="X251" s="16">
        <v>388.27859999999998</v>
      </c>
      <c r="Y251" s="16">
        <v>365.76179999999999</v>
      </c>
      <c r="Z251" s="26" t="s">
        <v>34</v>
      </c>
      <c r="AA251" s="25">
        <f t="shared" si="6"/>
        <v>336.5718</v>
      </c>
      <c r="AB251" s="25">
        <f t="shared" si="7"/>
        <v>402.26378333333298</v>
      </c>
    </row>
    <row r="252" spans="1:28">
      <c r="A252" s="8">
        <v>45542</v>
      </c>
      <c r="B252" s="16">
        <v>363.21159999999998</v>
      </c>
      <c r="C252" s="16">
        <v>364.30590000000001</v>
      </c>
      <c r="D252" s="16">
        <v>370.59359999999998</v>
      </c>
      <c r="E252" s="16">
        <v>354.26600000000002</v>
      </c>
      <c r="F252" s="16">
        <v>335.00529999999998</v>
      </c>
      <c r="G252" s="16">
        <v>327.1798</v>
      </c>
      <c r="H252" s="16">
        <v>341.1361</v>
      </c>
      <c r="I252" s="16">
        <v>333.26139999999998</v>
      </c>
      <c r="J252" s="16">
        <v>346.53050000000002</v>
      </c>
      <c r="K252" s="16">
        <v>379.51010000000002</v>
      </c>
      <c r="L252" s="16">
        <v>359.95760000000001</v>
      </c>
      <c r="M252" s="16">
        <v>357.75060000000002</v>
      </c>
      <c r="N252" s="16">
        <v>339.78680000000003</v>
      </c>
      <c r="O252" s="16">
        <v>363.44029999999998</v>
      </c>
      <c r="P252" s="16">
        <v>377.71269999999998</v>
      </c>
      <c r="Q252" s="16">
        <v>374.70299999999997</v>
      </c>
      <c r="R252" s="16">
        <v>379.98430000000002</v>
      </c>
      <c r="S252" s="16">
        <v>390.23129999999998</v>
      </c>
      <c r="T252" s="16">
        <v>389.59059999999999</v>
      </c>
      <c r="U252" s="16">
        <v>403.60629999999998</v>
      </c>
      <c r="V252" s="16">
        <v>393.68680000000001</v>
      </c>
      <c r="W252" s="16">
        <v>388.56540000000001</v>
      </c>
      <c r="X252" s="16">
        <v>401.39960000000002</v>
      </c>
      <c r="Y252" s="16">
        <v>376.07650000000001</v>
      </c>
      <c r="Z252" s="26" t="s">
        <v>32</v>
      </c>
      <c r="AA252" s="25">
        <f t="shared" si="6"/>
        <v>327.1798</v>
      </c>
      <c r="AB252" s="25">
        <f t="shared" si="7"/>
        <v>367.14550416666702</v>
      </c>
    </row>
    <row r="253" spans="1:28">
      <c r="A253" s="8">
        <v>45543</v>
      </c>
      <c r="B253" s="16">
        <v>371.45920000000001</v>
      </c>
      <c r="C253" s="16">
        <v>381.42750000000001</v>
      </c>
      <c r="D253" s="16">
        <v>380.66739999999999</v>
      </c>
      <c r="E253" s="16">
        <v>365.08980000000003</v>
      </c>
      <c r="F253" s="16">
        <v>351.7681</v>
      </c>
      <c r="G253" s="16">
        <v>341.05470000000003</v>
      </c>
      <c r="H253" s="16">
        <v>350.43669999999997</v>
      </c>
      <c r="I253" s="16">
        <v>336.49299999999999</v>
      </c>
      <c r="J253" s="16">
        <v>318.1234</v>
      </c>
      <c r="K253" s="16">
        <v>337.42219999999998</v>
      </c>
      <c r="L253" s="16">
        <v>321.02550000000002</v>
      </c>
      <c r="M253" s="16">
        <v>317.3657</v>
      </c>
      <c r="N253" s="16">
        <v>326.56639999999999</v>
      </c>
      <c r="O253" s="16">
        <v>350.93630000000002</v>
      </c>
      <c r="P253" s="16">
        <v>345.93579999999997</v>
      </c>
      <c r="Q253" s="16">
        <v>345.59829999999999</v>
      </c>
      <c r="R253" s="16">
        <v>349.5059</v>
      </c>
      <c r="S253" s="16">
        <v>354.4948</v>
      </c>
      <c r="T253" s="16">
        <v>354.35270000000003</v>
      </c>
      <c r="U253" s="16">
        <v>360.60120000000001</v>
      </c>
      <c r="V253" s="16">
        <v>366.39339999999999</v>
      </c>
      <c r="W253" s="16">
        <v>374.88010000000003</v>
      </c>
      <c r="X253" s="16">
        <v>373.7296</v>
      </c>
      <c r="Y253" s="16">
        <v>357.84289999999999</v>
      </c>
      <c r="Z253" s="26" t="s">
        <v>32</v>
      </c>
      <c r="AA253" s="25">
        <f t="shared" si="6"/>
        <v>317.3657</v>
      </c>
      <c r="AB253" s="25">
        <f t="shared" si="7"/>
        <v>351.38210833333301</v>
      </c>
    </row>
    <row r="254" spans="1:28">
      <c r="A254" s="8">
        <v>45544</v>
      </c>
      <c r="B254" s="16">
        <v>356.80959999999999</v>
      </c>
      <c r="C254" s="16">
        <v>342.81139999999999</v>
      </c>
      <c r="D254" s="16">
        <v>332.87</v>
      </c>
      <c r="E254" s="16">
        <v>322.54000000000002</v>
      </c>
      <c r="F254" s="16">
        <v>306.7122</v>
      </c>
      <c r="G254" s="16">
        <v>299.95260000000002</v>
      </c>
      <c r="H254" s="16">
        <v>307.57819999999998</v>
      </c>
      <c r="I254" s="16">
        <v>300.57220000000001</v>
      </c>
      <c r="J254" s="16">
        <v>331.43959999999998</v>
      </c>
      <c r="K254" s="16">
        <v>368.0412</v>
      </c>
      <c r="L254" s="16">
        <v>364.8546</v>
      </c>
      <c r="M254" s="16">
        <v>367.1841</v>
      </c>
      <c r="N254" s="16">
        <v>337.60050000000001</v>
      </c>
      <c r="O254" s="16">
        <v>367.10169999999999</v>
      </c>
      <c r="P254" s="16">
        <v>385.53949999999998</v>
      </c>
      <c r="Q254" s="16">
        <v>380.2978</v>
      </c>
      <c r="R254" s="16">
        <v>383.10730000000001</v>
      </c>
      <c r="S254" s="16">
        <v>381.75819999999999</v>
      </c>
      <c r="T254" s="16">
        <v>381.78460000000001</v>
      </c>
      <c r="U254" s="16">
        <v>384.53190000000001</v>
      </c>
      <c r="V254" s="16">
        <v>377.94439999999997</v>
      </c>
      <c r="W254" s="16">
        <v>376.27760000000001</v>
      </c>
      <c r="X254" s="16">
        <v>381.73820000000001</v>
      </c>
      <c r="Y254" s="16">
        <v>356.63049999999998</v>
      </c>
      <c r="Z254" s="26" t="s">
        <v>32</v>
      </c>
      <c r="AA254" s="25">
        <f t="shared" si="6"/>
        <v>299.95260000000002</v>
      </c>
      <c r="AB254" s="25">
        <f t="shared" si="7"/>
        <v>353.98657916666701</v>
      </c>
    </row>
    <row r="255" spans="1:28">
      <c r="A255" s="8">
        <v>45545</v>
      </c>
      <c r="B255" s="16">
        <v>368.71</v>
      </c>
      <c r="C255" s="16">
        <v>360.34570000000002</v>
      </c>
      <c r="D255" s="16">
        <v>356.29149999999998</v>
      </c>
      <c r="E255" s="16">
        <v>339.13940000000002</v>
      </c>
      <c r="F255" s="16">
        <v>322.44659999999999</v>
      </c>
      <c r="G255" s="16">
        <v>320.02499999999998</v>
      </c>
      <c r="H255" s="16">
        <v>335.83409999999998</v>
      </c>
      <c r="I255" s="16">
        <v>324.64429999999999</v>
      </c>
      <c r="J255" s="16">
        <v>350.46640000000002</v>
      </c>
      <c r="K255" s="16">
        <v>368.90359999999998</v>
      </c>
      <c r="L255" s="16">
        <v>351.36529999999999</v>
      </c>
      <c r="M255" s="16">
        <v>360.00459999999998</v>
      </c>
      <c r="N255" s="16">
        <v>346.846</v>
      </c>
      <c r="O255" s="16">
        <v>365.31939999999997</v>
      </c>
      <c r="P255" s="16">
        <v>368.88380000000001</v>
      </c>
      <c r="Q255" s="16">
        <v>357.93310000000002</v>
      </c>
      <c r="R255" s="16">
        <v>362.33510000000001</v>
      </c>
      <c r="S255" s="16">
        <v>385.73919999999998</v>
      </c>
      <c r="T255" s="16">
        <v>398.08280000000002</v>
      </c>
      <c r="U255" s="16">
        <v>402.9495</v>
      </c>
      <c r="V255" s="16">
        <v>407.58300000000003</v>
      </c>
      <c r="W255" s="16">
        <v>411.1413</v>
      </c>
      <c r="X255" s="16">
        <v>401.31569999999999</v>
      </c>
      <c r="Y255" s="16">
        <v>353.9033</v>
      </c>
      <c r="Z255" s="26" t="s">
        <v>32</v>
      </c>
      <c r="AA255" s="25">
        <f t="shared" si="6"/>
        <v>320.02499999999998</v>
      </c>
      <c r="AB255" s="25">
        <f t="shared" si="7"/>
        <v>363.34202916666698</v>
      </c>
    </row>
    <row r="256" spans="1:28">
      <c r="A256" s="8">
        <v>45546</v>
      </c>
      <c r="B256" s="16">
        <v>346.55790000000002</v>
      </c>
      <c r="C256" s="16">
        <v>342.16860000000003</v>
      </c>
      <c r="D256" s="16">
        <v>337.59100000000001</v>
      </c>
      <c r="E256" s="16">
        <v>323.01339999999999</v>
      </c>
      <c r="F256" s="16">
        <v>307.22230000000002</v>
      </c>
      <c r="G256" s="16">
        <v>298.36380000000003</v>
      </c>
      <c r="H256" s="16">
        <v>304.35669999999999</v>
      </c>
      <c r="I256" s="16">
        <v>300.76940000000002</v>
      </c>
      <c r="J256" s="16">
        <v>321.86939999999998</v>
      </c>
      <c r="K256" s="16">
        <v>341.15230000000003</v>
      </c>
      <c r="L256" s="16">
        <v>335.11750000000001</v>
      </c>
      <c r="M256" s="16">
        <v>344.7962</v>
      </c>
      <c r="N256" s="16">
        <v>320.28730000000002</v>
      </c>
      <c r="O256" s="16">
        <v>345.92320000000001</v>
      </c>
      <c r="P256" s="16">
        <v>353.80959999999999</v>
      </c>
      <c r="Q256" s="16">
        <v>360.09359999999998</v>
      </c>
      <c r="R256" s="16">
        <v>354.69110000000001</v>
      </c>
      <c r="S256" s="16">
        <v>372.35480000000001</v>
      </c>
      <c r="T256" s="16">
        <v>360.54559999999998</v>
      </c>
      <c r="U256" s="16">
        <v>348.15910000000002</v>
      </c>
      <c r="V256" s="16">
        <v>348.65469999999999</v>
      </c>
      <c r="W256" s="16">
        <v>357.50200000000001</v>
      </c>
      <c r="X256" s="16">
        <v>348.7106</v>
      </c>
      <c r="Y256" s="16">
        <v>321.92</v>
      </c>
      <c r="Z256" s="26" t="s">
        <v>32</v>
      </c>
      <c r="AA256" s="25">
        <f t="shared" si="6"/>
        <v>298.36380000000003</v>
      </c>
      <c r="AB256" s="25">
        <f t="shared" si="7"/>
        <v>337.31792083333301</v>
      </c>
    </row>
    <row r="257" spans="1:28">
      <c r="A257" s="8">
        <v>45547</v>
      </c>
      <c r="B257" s="16">
        <v>344.88510000000002</v>
      </c>
      <c r="C257" s="16">
        <v>338.62509999999997</v>
      </c>
      <c r="D257" s="16">
        <v>333.15469999999999</v>
      </c>
      <c r="E257" s="16">
        <v>315.52999999999997</v>
      </c>
      <c r="F257" s="16">
        <v>305.2885</v>
      </c>
      <c r="G257" s="16">
        <v>304.05939999999998</v>
      </c>
      <c r="H257" s="16">
        <v>302.56650000000002</v>
      </c>
      <c r="I257" s="16">
        <v>296.80630000000002</v>
      </c>
      <c r="J257" s="16">
        <v>320.79309999999998</v>
      </c>
      <c r="K257" s="16">
        <v>332.96089999999998</v>
      </c>
      <c r="L257" s="16">
        <v>319.33550000000002</v>
      </c>
      <c r="M257" s="16">
        <v>337.435</v>
      </c>
      <c r="N257" s="16">
        <v>324.83190000000002</v>
      </c>
      <c r="O257" s="16">
        <v>342.80489999999998</v>
      </c>
      <c r="P257" s="16">
        <v>344.38170000000002</v>
      </c>
      <c r="Q257" s="16">
        <v>356.22859999999997</v>
      </c>
      <c r="R257" s="16">
        <v>350.61009999999999</v>
      </c>
      <c r="S257" s="16">
        <v>364.47629999999998</v>
      </c>
      <c r="T257" s="16">
        <v>367.48509999999999</v>
      </c>
      <c r="U257" s="16">
        <v>359.71440000000001</v>
      </c>
      <c r="V257" s="16">
        <v>359.18979999999999</v>
      </c>
      <c r="W257" s="16">
        <v>356.1112</v>
      </c>
      <c r="X257" s="16">
        <v>360.49239999999998</v>
      </c>
      <c r="Y257" s="16">
        <v>338.83030000000002</v>
      </c>
      <c r="Z257" s="26" t="s">
        <v>33</v>
      </c>
      <c r="AA257" s="25">
        <f t="shared" si="6"/>
        <v>296.80630000000002</v>
      </c>
      <c r="AB257" s="25">
        <f t="shared" si="7"/>
        <v>336.52486666666698</v>
      </c>
    </row>
    <row r="258" spans="1:28">
      <c r="A258" s="8">
        <v>45548</v>
      </c>
      <c r="B258" s="16">
        <v>370.2244</v>
      </c>
      <c r="C258" s="16">
        <v>371.00290000000001</v>
      </c>
      <c r="D258" s="16">
        <v>359.61630000000002</v>
      </c>
      <c r="E258" s="16">
        <v>344.97710000000001</v>
      </c>
      <c r="F258" s="16">
        <v>330.7774</v>
      </c>
      <c r="G258" s="16">
        <v>326.52929999999998</v>
      </c>
      <c r="H258" s="16">
        <v>323.42930000000001</v>
      </c>
      <c r="I258" s="16">
        <v>305.51990000000001</v>
      </c>
      <c r="J258" s="16">
        <v>331.4828</v>
      </c>
      <c r="K258" s="16">
        <v>349.22050000000002</v>
      </c>
      <c r="L258" s="16">
        <v>328.05689999999998</v>
      </c>
      <c r="M258" s="16">
        <v>340.93419999999998</v>
      </c>
      <c r="N258" s="16">
        <v>329.73919999999998</v>
      </c>
      <c r="O258" s="16">
        <v>337.16129999999998</v>
      </c>
      <c r="P258" s="16">
        <v>342.7978</v>
      </c>
      <c r="Q258" s="16">
        <v>347.14519999999999</v>
      </c>
      <c r="R258" s="16">
        <v>340.38889999999998</v>
      </c>
      <c r="S258" s="16">
        <v>347.85109999999997</v>
      </c>
      <c r="T258" s="16">
        <v>352.2389</v>
      </c>
      <c r="U258" s="16">
        <v>358.14269999999999</v>
      </c>
      <c r="V258" s="16">
        <v>350.74450000000002</v>
      </c>
      <c r="W258" s="16">
        <v>345.09859999999998</v>
      </c>
      <c r="X258" s="16">
        <v>349.13979999999998</v>
      </c>
      <c r="Y258" s="16">
        <v>332.8623</v>
      </c>
      <c r="Z258" s="26" t="s">
        <v>34</v>
      </c>
      <c r="AA258" s="25">
        <f t="shared" ref="AA258:AA321" si="8">MIN($B258:$Y258)</f>
        <v>305.51990000000001</v>
      </c>
      <c r="AB258" s="25">
        <f t="shared" ref="AB258:AB321" si="9">AVERAGE($B258:$Y258)</f>
        <v>342.295054166667</v>
      </c>
    </row>
    <row r="259" spans="1:28">
      <c r="A259" s="8">
        <v>45549</v>
      </c>
      <c r="B259" s="16">
        <v>350.44650000000001</v>
      </c>
      <c r="C259" s="16">
        <v>352.58640000000003</v>
      </c>
      <c r="D259" s="16">
        <v>353.86970000000002</v>
      </c>
      <c r="E259" s="16">
        <v>338.80759999999998</v>
      </c>
      <c r="F259" s="16">
        <v>330.49299999999999</v>
      </c>
      <c r="G259" s="16">
        <v>324.70839999999998</v>
      </c>
      <c r="H259" s="16">
        <v>322.17989999999998</v>
      </c>
      <c r="I259" s="16">
        <v>300.89769999999999</v>
      </c>
      <c r="J259" s="16">
        <v>324.17110000000002</v>
      </c>
      <c r="K259" s="16">
        <v>339.02530000000002</v>
      </c>
      <c r="L259" s="16">
        <v>318.22449999999998</v>
      </c>
      <c r="M259" s="16">
        <v>317.30860000000001</v>
      </c>
      <c r="N259" s="16">
        <v>308.113</v>
      </c>
      <c r="O259" s="16">
        <v>318.71300000000002</v>
      </c>
      <c r="P259" s="16">
        <v>320.10039999999998</v>
      </c>
      <c r="Q259" s="16">
        <v>326.65359999999998</v>
      </c>
      <c r="R259" s="16">
        <v>334.77969999999999</v>
      </c>
      <c r="S259" s="16">
        <v>353.1952</v>
      </c>
      <c r="T259" s="16">
        <v>351.17630000000003</v>
      </c>
      <c r="U259" s="16">
        <v>349.54489999999998</v>
      </c>
      <c r="V259" s="16">
        <v>348.56029999999998</v>
      </c>
      <c r="W259" s="16">
        <v>345.66289999999998</v>
      </c>
      <c r="X259" s="16">
        <v>335.01960000000003</v>
      </c>
      <c r="Y259" s="16">
        <v>322.60329999999999</v>
      </c>
      <c r="Z259" s="26" t="s">
        <v>32</v>
      </c>
      <c r="AA259" s="25">
        <f t="shared" si="8"/>
        <v>300.89769999999999</v>
      </c>
      <c r="AB259" s="25">
        <f t="shared" si="9"/>
        <v>332.78503749999999</v>
      </c>
    </row>
    <row r="260" spans="1:28">
      <c r="A260" s="8">
        <v>45550</v>
      </c>
      <c r="B260" s="16">
        <v>453.1934</v>
      </c>
      <c r="C260" s="16">
        <v>468.43920000000003</v>
      </c>
      <c r="D260" s="16">
        <v>490.73590000000002</v>
      </c>
      <c r="E260" s="16">
        <v>393.59750000000003</v>
      </c>
      <c r="F260" s="16">
        <v>357.99650000000003</v>
      </c>
      <c r="G260" s="16">
        <v>338.37279999999998</v>
      </c>
      <c r="H260" s="16">
        <v>341.233</v>
      </c>
      <c r="I260" s="16">
        <v>319.91500000000002</v>
      </c>
      <c r="J260" s="16">
        <v>321.03390000000002</v>
      </c>
      <c r="K260" s="16">
        <v>334.15159999999997</v>
      </c>
      <c r="L260" s="16">
        <v>326.25889999999998</v>
      </c>
      <c r="M260" s="16">
        <v>335.62189999999998</v>
      </c>
      <c r="N260" s="16">
        <v>321.75490000000002</v>
      </c>
      <c r="O260" s="16">
        <v>336.5342</v>
      </c>
      <c r="P260" s="16">
        <v>342.59660000000002</v>
      </c>
      <c r="Q260" s="16">
        <v>338.7072</v>
      </c>
      <c r="R260" s="16">
        <v>334.00069999999999</v>
      </c>
      <c r="S260" s="16">
        <v>367.30369999999999</v>
      </c>
      <c r="T260" s="16">
        <v>382.26119999999997</v>
      </c>
      <c r="U260" s="16">
        <v>383.3963</v>
      </c>
      <c r="V260" s="16">
        <v>376.9325</v>
      </c>
      <c r="W260" s="16">
        <v>378.93979999999999</v>
      </c>
      <c r="X260" s="16">
        <v>415.28149999999999</v>
      </c>
      <c r="Y260" s="16">
        <v>384.21339999999998</v>
      </c>
      <c r="Z260" s="26" t="s">
        <v>32</v>
      </c>
      <c r="AA260" s="25">
        <f t="shared" si="8"/>
        <v>319.91500000000002</v>
      </c>
      <c r="AB260" s="25">
        <f t="shared" si="9"/>
        <v>368.43631666666698</v>
      </c>
    </row>
    <row r="261" spans="1:28">
      <c r="A261" s="8">
        <v>45551</v>
      </c>
      <c r="B261" s="16">
        <v>450.3125</v>
      </c>
      <c r="C261" s="16">
        <v>446.35640000000001</v>
      </c>
      <c r="D261" s="16">
        <v>411.70389999999998</v>
      </c>
      <c r="E261" s="16">
        <v>391.71809999999999</v>
      </c>
      <c r="F261" s="16">
        <v>365.5763</v>
      </c>
      <c r="G261" s="16">
        <v>351.96699999999998</v>
      </c>
      <c r="H261" s="16">
        <v>348.57080000000002</v>
      </c>
      <c r="I261" s="16">
        <v>326.48559999999998</v>
      </c>
      <c r="J261" s="16">
        <v>318.14400000000001</v>
      </c>
      <c r="K261" s="16">
        <v>323.90899999999999</v>
      </c>
      <c r="L261" s="16">
        <v>304.73090000000002</v>
      </c>
      <c r="M261" s="16">
        <v>301.01990000000001</v>
      </c>
      <c r="N261" s="16">
        <v>302.97680000000003</v>
      </c>
      <c r="O261" s="16">
        <v>326.59530000000001</v>
      </c>
      <c r="P261" s="16">
        <v>332.66550000000001</v>
      </c>
      <c r="Q261" s="16">
        <v>330.26150000000001</v>
      </c>
      <c r="R261" s="16">
        <v>323.62509999999997</v>
      </c>
      <c r="S261" s="16">
        <v>337.8347</v>
      </c>
      <c r="T261" s="16">
        <v>335.78359999999998</v>
      </c>
      <c r="U261" s="16">
        <v>339.34660000000002</v>
      </c>
      <c r="V261" s="16">
        <v>334.22719999999998</v>
      </c>
      <c r="W261" s="16">
        <v>336.75099999999998</v>
      </c>
      <c r="X261" s="16">
        <v>339.63220000000001</v>
      </c>
      <c r="Y261" s="16">
        <v>323.04719999999998</v>
      </c>
      <c r="Z261" s="26" t="s">
        <v>32</v>
      </c>
      <c r="AA261" s="25">
        <f t="shared" si="8"/>
        <v>301.01990000000001</v>
      </c>
      <c r="AB261" s="25">
        <f t="shared" si="9"/>
        <v>345.96837916666698</v>
      </c>
    </row>
    <row r="262" spans="1:28">
      <c r="A262" s="8">
        <v>45552</v>
      </c>
      <c r="B262" s="16">
        <v>377.5061</v>
      </c>
      <c r="C262" s="16">
        <v>402.32810000000001</v>
      </c>
      <c r="D262" s="16">
        <v>392.35149999999999</v>
      </c>
      <c r="E262" s="16">
        <v>364.52859999999998</v>
      </c>
      <c r="F262" s="16">
        <v>334.38760000000002</v>
      </c>
      <c r="G262" s="16">
        <v>317.57619999999997</v>
      </c>
      <c r="H262" s="16">
        <v>302.23410000000001</v>
      </c>
      <c r="I262" s="16">
        <v>274.20409999999998</v>
      </c>
      <c r="J262" s="16">
        <v>8.9864999999999995</v>
      </c>
      <c r="K262" s="16">
        <v>10.507</v>
      </c>
      <c r="L262" s="16">
        <v>10.3156</v>
      </c>
      <c r="M262" s="16">
        <v>9.9139999999999997</v>
      </c>
      <c r="N262" s="16">
        <v>18.270099999999999</v>
      </c>
      <c r="O262" s="16">
        <v>26.167200000000001</v>
      </c>
      <c r="P262" s="16">
        <v>11.8154</v>
      </c>
      <c r="Q262" s="16">
        <v>12.5791</v>
      </c>
      <c r="R262" s="16">
        <v>15.134399999999999</v>
      </c>
      <c r="S262" s="16">
        <v>15.287000000000001</v>
      </c>
      <c r="T262" s="16">
        <v>16.2745</v>
      </c>
      <c r="U262" s="16">
        <v>19.685099999999998</v>
      </c>
      <c r="V262" s="16">
        <v>19.5868</v>
      </c>
      <c r="W262" s="16">
        <v>65.047799999999995</v>
      </c>
      <c r="X262" s="16">
        <v>242.37569999999999</v>
      </c>
      <c r="Y262" s="16">
        <v>256.1207</v>
      </c>
      <c r="Z262" s="26" t="s">
        <v>32</v>
      </c>
      <c r="AA262" s="25">
        <f t="shared" si="8"/>
        <v>8.9864999999999995</v>
      </c>
      <c r="AB262" s="25">
        <f t="shared" si="9"/>
        <v>146.79929999999999</v>
      </c>
    </row>
    <row r="263" spans="1:28">
      <c r="A263" s="8">
        <v>45553</v>
      </c>
      <c r="B263" s="16">
        <v>350.92009999999999</v>
      </c>
      <c r="C263" s="16">
        <v>366.24470000000002</v>
      </c>
      <c r="D263" s="16">
        <v>341.36669999999998</v>
      </c>
      <c r="E263" s="16">
        <v>319.73540000000003</v>
      </c>
      <c r="F263" s="16">
        <v>306.66629999999998</v>
      </c>
      <c r="G263" s="16">
        <v>296.61939999999998</v>
      </c>
      <c r="H263" s="16">
        <v>303.53890000000001</v>
      </c>
      <c r="I263" s="16">
        <v>291.34039999999999</v>
      </c>
      <c r="J263" s="16">
        <v>330.09960000000001</v>
      </c>
      <c r="K263" s="16">
        <v>369.74090000000001</v>
      </c>
      <c r="L263" s="16">
        <v>369.7081</v>
      </c>
      <c r="M263" s="16">
        <v>378.17910000000001</v>
      </c>
      <c r="N263" s="16">
        <v>328.98160000000001</v>
      </c>
      <c r="O263" s="16">
        <v>374.56040000000002</v>
      </c>
      <c r="P263" s="16">
        <v>379.82339999999999</v>
      </c>
      <c r="Q263" s="16">
        <v>374.83159999999998</v>
      </c>
      <c r="R263" s="16">
        <v>371.29509999999999</v>
      </c>
      <c r="S263" s="16">
        <v>353.40609999999998</v>
      </c>
      <c r="T263" s="16">
        <v>331.20609999999999</v>
      </c>
      <c r="U263" s="16">
        <v>380.51400000000001</v>
      </c>
      <c r="V263" s="16">
        <v>384.584</v>
      </c>
      <c r="W263" s="16">
        <v>376.22559999999999</v>
      </c>
      <c r="X263" s="16">
        <v>377.71409999999997</v>
      </c>
      <c r="Y263" s="16">
        <v>341.08859999999999</v>
      </c>
      <c r="Z263" s="26" t="s">
        <v>32</v>
      </c>
      <c r="AA263" s="25">
        <f t="shared" si="8"/>
        <v>291.34039999999999</v>
      </c>
      <c r="AB263" s="25">
        <f t="shared" si="9"/>
        <v>349.93292500000001</v>
      </c>
    </row>
    <row r="264" spans="1:28">
      <c r="A264" s="8">
        <v>45554</v>
      </c>
      <c r="B264" s="16">
        <v>351.21480000000003</v>
      </c>
      <c r="C264" s="16">
        <v>369.17529999999999</v>
      </c>
      <c r="D264" s="16">
        <v>355.4717</v>
      </c>
      <c r="E264" s="16">
        <v>332.52179999999998</v>
      </c>
      <c r="F264" s="16">
        <v>322.6848</v>
      </c>
      <c r="G264" s="16">
        <v>315.37650000000002</v>
      </c>
      <c r="H264" s="16">
        <v>325.93959999999998</v>
      </c>
      <c r="I264" s="16">
        <v>318.27629999999999</v>
      </c>
      <c r="J264" s="16">
        <v>324.14920000000001</v>
      </c>
      <c r="K264" s="16">
        <v>352.50990000000002</v>
      </c>
      <c r="L264" s="16">
        <v>354.74889999999999</v>
      </c>
      <c r="M264" s="16">
        <v>348.49489999999997</v>
      </c>
      <c r="N264" s="16">
        <v>340.18060000000003</v>
      </c>
      <c r="O264" s="16">
        <v>366.94619999999998</v>
      </c>
      <c r="P264" s="16">
        <v>377.35219999999998</v>
      </c>
      <c r="Q264" s="16">
        <v>375.06349999999998</v>
      </c>
      <c r="R264" s="16">
        <v>376.77120000000002</v>
      </c>
      <c r="S264" s="16">
        <v>362.87060000000002</v>
      </c>
      <c r="T264" s="16">
        <v>348.66</v>
      </c>
      <c r="U264" s="16">
        <v>379.90570000000002</v>
      </c>
      <c r="V264" s="16">
        <v>375.70569999999998</v>
      </c>
      <c r="W264" s="16">
        <v>368.2611</v>
      </c>
      <c r="X264" s="16">
        <v>372.29349999999999</v>
      </c>
      <c r="Y264" s="16">
        <v>349.34249999999997</v>
      </c>
      <c r="Z264" s="26" t="s">
        <v>33</v>
      </c>
      <c r="AA264" s="25">
        <f t="shared" si="8"/>
        <v>315.37650000000002</v>
      </c>
      <c r="AB264" s="25">
        <f t="shared" si="9"/>
        <v>352.66318749999999</v>
      </c>
    </row>
    <row r="265" spans="1:28">
      <c r="A265" s="8">
        <v>45555</v>
      </c>
      <c r="B265" s="16">
        <v>386.30880000000002</v>
      </c>
      <c r="C265" s="16">
        <v>415.31240000000003</v>
      </c>
      <c r="D265" s="16">
        <v>586.1</v>
      </c>
      <c r="E265" s="16">
        <v>380.5333</v>
      </c>
      <c r="F265" s="16">
        <v>344.92099999999999</v>
      </c>
      <c r="G265" s="16">
        <v>335.24829999999997</v>
      </c>
      <c r="H265" s="16">
        <v>341.29450000000003</v>
      </c>
      <c r="I265" s="16">
        <v>334.15960000000001</v>
      </c>
      <c r="J265" s="16">
        <v>366.10199999999998</v>
      </c>
      <c r="K265" s="16">
        <v>541.428</v>
      </c>
      <c r="L265" s="16">
        <v>555.75789999999995</v>
      </c>
      <c r="M265" s="16">
        <v>519.41949999999997</v>
      </c>
      <c r="N265" s="16">
        <v>381.74090000000001</v>
      </c>
      <c r="O265" s="16">
        <v>553.13</v>
      </c>
      <c r="P265" s="16">
        <v>602.20590000000004</v>
      </c>
      <c r="Q265" s="16">
        <v>586.98440000000005</v>
      </c>
      <c r="R265" s="16">
        <v>611.22149999999999</v>
      </c>
      <c r="S265" s="16">
        <v>544.42650000000003</v>
      </c>
      <c r="T265" s="16">
        <v>371.28649999999999</v>
      </c>
      <c r="U265" s="16">
        <v>497.82330000000002</v>
      </c>
      <c r="V265" s="16">
        <v>492.18740000000003</v>
      </c>
      <c r="W265" s="16">
        <v>451.54360000000003</v>
      </c>
      <c r="X265" s="16">
        <v>483.34780000000001</v>
      </c>
      <c r="Y265" s="16">
        <v>411.70319999999998</v>
      </c>
      <c r="Z265" s="26" t="s">
        <v>34</v>
      </c>
      <c r="AA265" s="25">
        <f t="shared" si="8"/>
        <v>334.15960000000001</v>
      </c>
      <c r="AB265" s="25">
        <f t="shared" si="9"/>
        <v>462.25776250000001</v>
      </c>
    </row>
    <row r="266" spans="1:28">
      <c r="A266" s="8">
        <v>45556</v>
      </c>
      <c r="B266" s="16">
        <v>387.21800000000002</v>
      </c>
      <c r="C266" s="16">
        <v>372.33620000000002</v>
      </c>
      <c r="D266" s="16">
        <v>352.2835</v>
      </c>
      <c r="E266" s="16">
        <v>343.06040000000002</v>
      </c>
      <c r="F266" s="16">
        <v>328.00920000000002</v>
      </c>
      <c r="G266" s="16">
        <v>320.0061</v>
      </c>
      <c r="H266" s="16">
        <v>321.94830000000002</v>
      </c>
      <c r="I266" s="16">
        <v>315.61529999999999</v>
      </c>
      <c r="J266" s="16">
        <v>327.85680000000002</v>
      </c>
      <c r="K266" s="16">
        <v>350.26080000000002</v>
      </c>
      <c r="L266" s="16">
        <v>346.64620000000002</v>
      </c>
      <c r="M266" s="16">
        <v>352.09129999999999</v>
      </c>
      <c r="N266" s="16">
        <v>334.31330000000003</v>
      </c>
      <c r="O266" s="16">
        <v>364.50979999999998</v>
      </c>
      <c r="P266" s="16">
        <v>432.99020000000002</v>
      </c>
      <c r="Q266" s="16">
        <v>433.96460000000002</v>
      </c>
      <c r="R266" s="16">
        <v>381.4538</v>
      </c>
      <c r="S266" s="16">
        <v>373.24279999999999</v>
      </c>
      <c r="T266" s="16">
        <v>353.35660000000001</v>
      </c>
      <c r="U266" s="16">
        <v>387.14319999999998</v>
      </c>
      <c r="V266" s="16">
        <v>372.90899999999999</v>
      </c>
      <c r="W266" s="16">
        <v>364.79379999999998</v>
      </c>
      <c r="X266" s="16">
        <v>346.21570000000003</v>
      </c>
      <c r="Y266" s="16">
        <v>329.47699999999998</v>
      </c>
      <c r="Z266" s="26" t="s">
        <v>32</v>
      </c>
      <c r="AA266" s="25">
        <f t="shared" si="8"/>
        <v>315.61529999999999</v>
      </c>
      <c r="AB266" s="25">
        <f t="shared" si="9"/>
        <v>357.98757916666699</v>
      </c>
    </row>
    <row r="267" spans="1:28">
      <c r="A267" s="8">
        <v>45557</v>
      </c>
      <c r="B267" s="16">
        <v>322.99149999999997</v>
      </c>
      <c r="C267" s="16">
        <v>328.70010000000002</v>
      </c>
      <c r="D267" s="16">
        <v>326.15949999999998</v>
      </c>
      <c r="E267" s="16">
        <v>319.09609999999998</v>
      </c>
      <c r="F267" s="16">
        <v>305.84989999999999</v>
      </c>
      <c r="G267" s="16">
        <v>299.45269999999999</v>
      </c>
      <c r="H267" s="16">
        <v>296.8091</v>
      </c>
      <c r="I267" s="16">
        <v>271.27980000000002</v>
      </c>
      <c r="J267" s="16">
        <v>240.256</v>
      </c>
      <c r="K267" s="16">
        <v>273.27839999999998</v>
      </c>
      <c r="L267" s="16">
        <v>221.69450000000001</v>
      </c>
      <c r="M267" s="16">
        <v>293.88549999999998</v>
      </c>
      <c r="N267" s="16">
        <v>286.31970000000001</v>
      </c>
      <c r="O267" s="16">
        <v>301.1336</v>
      </c>
      <c r="P267" s="16">
        <v>313.17020000000002</v>
      </c>
      <c r="Q267" s="16">
        <v>306.8954</v>
      </c>
      <c r="R267" s="16">
        <v>295.77510000000001</v>
      </c>
      <c r="S267" s="16">
        <v>287.92259999999999</v>
      </c>
      <c r="T267" s="16">
        <v>280.70580000000001</v>
      </c>
      <c r="U267" s="16">
        <v>296.05990000000003</v>
      </c>
      <c r="V267" s="16">
        <v>290.2047</v>
      </c>
      <c r="W267" s="16">
        <v>280.43329999999997</v>
      </c>
      <c r="X267" s="16">
        <v>258.20139999999998</v>
      </c>
      <c r="Y267" s="16">
        <v>200.48759999999999</v>
      </c>
      <c r="Z267" s="26" t="s">
        <v>32</v>
      </c>
      <c r="AA267" s="25">
        <f t="shared" si="8"/>
        <v>200.48759999999999</v>
      </c>
      <c r="AB267" s="25">
        <f t="shared" si="9"/>
        <v>287.36509999999998</v>
      </c>
    </row>
    <row r="268" spans="1:28">
      <c r="A268" s="8">
        <v>45558</v>
      </c>
      <c r="B268" s="16">
        <v>244.43090000000001</v>
      </c>
      <c r="C268" s="16">
        <v>260.06400000000002</v>
      </c>
      <c r="D268" s="16">
        <v>173.7397</v>
      </c>
      <c r="E268" s="16">
        <v>1.5204</v>
      </c>
      <c r="F268" s="16">
        <v>0</v>
      </c>
      <c r="G268" s="16">
        <v>0</v>
      </c>
      <c r="H268" s="16">
        <v>6.3673999999999999</v>
      </c>
      <c r="I268" s="16">
        <v>0.50580000000000003</v>
      </c>
      <c r="J268" s="16">
        <v>287.41669999999999</v>
      </c>
      <c r="K268" s="16">
        <v>309.04039999999998</v>
      </c>
      <c r="L268" s="16">
        <v>306.6062</v>
      </c>
      <c r="M268" s="16">
        <v>321.0163</v>
      </c>
      <c r="N268" s="16">
        <v>310.15379999999999</v>
      </c>
      <c r="O268" s="16">
        <v>327.44060000000002</v>
      </c>
      <c r="P268" s="16">
        <v>343.15859999999998</v>
      </c>
      <c r="Q268" s="16">
        <v>340.17930000000001</v>
      </c>
      <c r="R268" s="16">
        <v>336.84339999999997</v>
      </c>
      <c r="S268" s="16">
        <v>329.01060000000001</v>
      </c>
      <c r="T268" s="16">
        <v>320.89210000000003</v>
      </c>
      <c r="U268" s="16">
        <v>342.15379999999999</v>
      </c>
      <c r="V268" s="16">
        <v>330.04379999999998</v>
      </c>
      <c r="W268" s="16">
        <v>310.53859999999997</v>
      </c>
      <c r="X268" s="16">
        <v>293.55180000000001</v>
      </c>
      <c r="Y268" s="16">
        <v>182.68600000000001</v>
      </c>
      <c r="Z268" s="26" t="s">
        <v>32</v>
      </c>
      <c r="AA268" s="25">
        <f t="shared" si="8"/>
        <v>0</v>
      </c>
      <c r="AB268" s="25">
        <f t="shared" si="9"/>
        <v>236.55667500000001</v>
      </c>
    </row>
    <row r="269" spans="1:28">
      <c r="A269" s="8">
        <v>45559</v>
      </c>
      <c r="B269" s="16">
        <v>116.90949999999999</v>
      </c>
      <c r="C269" s="16">
        <v>106.0215</v>
      </c>
      <c r="D269" s="16">
        <v>2.6151</v>
      </c>
      <c r="E269" s="16">
        <v>0.89190000000000003</v>
      </c>
      <c r="F269" s="16">
        <v>0</v>
      </c>
      <c r="G269" s="16">
        <v>0</v>
      </c>
      <c r="H269" s="16">
        <v>91.507599999999996</v>
      </c>
      <c r="I269" s="16">
        <v>206.04239999999999</v>
      </c>
      <c r="J269" s="16">
        <v>284.37970000000001</v>
      </c>
      <c r="K269" s="16">
        <v>323.85230000000001</v>
      </c>
      <c r="L269" s="16">
        <v>318.48489999999998</v>
      </c>
      <c r="M269" s="16">
        <v>326.70909999999998</v>
      </c>
      <c r="N269" s="16">
        <v>329.36489999999998</v>
      </c>
      <c r="O269" s="16">
        <v>343.29289999999997</v>
      </c>
      <c r="P269" s="16">
        <v>348.37119999999999</v>
      </c>
      <c r="Q269" s="16">
        <v>341.06670000000003</v>
      </c>
      <c r="R269" s="16">
        <v>331.99930000000001</v>
      </c>
      <c r="S269" s="16">
        <v>324.09589999999997</v>
      </c>
      <c r="T269" s="16">
        <v>313.76900000000001</v>
      </c>
      <c r="U269" s="16">
        <v>334.96780000000001</v>
      </c>
      <c r="V269" s="16">
        <v>333.33670000000001</v>
      </c>
      <c r="W269" s="16">
        <v>321.53969999999998</v>
      </c>
      <c r="X269" s="16">
        <v>292.18259999999998</v>
      </c>
      <c r="Y269" s="16">
        <v>69.398600000000002</v>
      </c>
      <c r="Z269" s="26" t="s">
        <v>32</v>
      </c>
      <c r="AA269" s="25">
        <f t="shared" si="8"/>
        <v>0</v>
      </c>
      <c r="AB269" s="25">
        <f t="shared" si="9"/>
        <v>227.53330416666699</v>
      </c>
    </row>
    <row r="270" spans="1:28">
      <c r="A270" s="8">
        <v>45560</v>
      </c>
      <c r="B270" s="16">
        <v>316.82690000000002</v>
      </c>
      <c r="C270" s="16">
        <v>312.5521</v>
      </c>
      <c r="D270" s="16">
        <v>309.82900000000001</v>
      </c>
      <c r="E270" s="16">
        <v>307.2919</v>
      </c>
      <c r="F270" s="16">
        <v>298.6268</v>
      </c>
      <c r="G270" s="16">
        <v>296.67959999999999</v>
      </c>
      <c r="H270" s="16">
        <v>309.48660000000001</v>
      </c>
      <c r="I270" s="16">
        <v>300.94909999999999</v>
      </c>
      <c r="J270" s="16">
        <v>307.8451</v>
      </c>
      <c r="K270" s="16">
        <v>331.35899999999998</v>
      </c>
      <c r="L270" s="16">
        <v>331.18110000000001</v>
      </c>
      <c r="M270" s="16">
        <v>342.01710000000003</v>
      </c>
      <c r="N270" s="16">
        <v>334.04640000000001</v>
      </c>
      <c r="O270" s="16">
        <v>348.42649999999998</v>
      </c>
      <c r="P270" s="16">
        <v>383.96069999999997</v>
      </c>
      <c r="Q270" s="16">
        <v>372.79750000000001</v>
      </c>
      <c r="R270" s="16">
        <v>335.27800000000002</v>
      </c>
      <c r="S270" s="16">
        <v>329.13150000000002</v>
      </c>
      <c r="T270" s="16">
        <v>328.8075</v>
      </c>
      <c r="U270" s="16">
        <v>357.20420000000001</v>
      </c>
      <c r="V270" s="16">
        <v>349.46080000000001</v>
      </c>
      <c r="W270" s="16">
        <v>342.79489999999998</v>
      </c>
      <c r="X270" s="16">
        <v>331.5016</v>
      </c>
      <c r="Y270" s="16">
        <v>300.25450000000001</v>
      </c>
      <c r="Z270" s="26" t="s">
        <v>32</v>
      </c>
      <c r="AA270" s="25">
        <f t="shared" si="8"/>
        <v>296.67959999999999</v>
      </c>
      <c r="AB270" s="25">
        <f t="shared" si="9"/>
        <v>328.26285000000001</v>
      </c>
    </row>
    <row r="271" spans="1:28">
      <c r="A271" s="8">
        <v>45561</v>
      </c>
      <c r="B271" s="16">
        <v>329.1721</v>
      </c>
      <c r="C271" s="16">
        <v>329.69170000000003</v>
      </c>
      <c r="D271" s="16">
        <v>321.40559999999999</v>
      </c>
      <c r="E271" s="16">
        <v>316.11750000000001</v>
      </c>
      <c r="F271" s="16">
        <v>307.35829999999999</v>
      </c>
      <c r="G271" s="16">
        <v>304.06330000000003</v>
      </c>
      <c r="H271" s="16">
        <v>315.6739</v>
      </c>
      <c r="I271" s="16">
        <v>308.16539999999998</v>
      </c>
      <c r="J271" s="16">
        <v>317.96539999999999</v>
      </c>
      <c r="K271" s="16">
        <v>335.72550000000001</v>
      </c>
      <c r="L271" s="16">
        <v>333.40769999999998</v>
      </c>
      <c r="M271" s="16">
        <v>338.52910000000003</v>
      </c>
      <c r="N271" s="16">
        <v>323.90019999999998</v>
      </c>
      <c r="O271" s="16">
        <v>346.96379999999999</v>
      </c>
      <c r="P271" s="16">
        <v>371.83690000000001</v>
      </c>
      <c r="Q271" s="16">
        <v>363.68360000000001</v>
      </c>
      <c r="R271" s="16">
        <v>354.61219999999997</v>
      </c>
      <c r="S271" s="16">
        <v>349.77859999999998</v>
      </c>
      <c r="T271" s="16">
        <v>335.14280000000002</v>
      </c>
      <c r="U271" s="16">
        <v>363.03289999999998</v>
      </c>
      <c r="V271" s="16">
        <v>359.24770000000001</v>
      </c>
      <c r="W271" s="16">
        <v>348.25810000000001</v>
      </c>
      <c r="X271" s="16">
        <v>346.54160000000002</v>
      </c>
      <c r="Y271" s="16">
        <v>318.51150000000001</v>
      </c>
      <c r="Z271" s="26" t="s">
        <v>33</v>
      </c>
      <c r="AA271" s="25">
        <f t="shared" si="8"/>
        <v>304.06330000000003</v>
      </c>
      <c r="AB271" s="25">
        <f t="shared" si="9"/>
        <v>334.949391666667</v>
      </c>
    </row>
    <row r="272" spans="1:28">
      <c r="A272" s="8">
        <v>45562</v>
      </c>
      <c r="B272" s="16">
        <v>364.8331</v>
      </c>
      <c r="C272" s="16">
        <v>350.01639999999998</v>
      </c>
      <c r="D272" s="16">
        <v>335.05799999999999</v>
      </c>
      <c r="E272" s="16">
        <v>328.4871</v>
      </c>
      <c r="F272" s="16">
        <v>318.346</v>
      </c>
      <c r="G272" s="16">
        <v>313.22370000000001</v>
      </c>
      <c r="H272" s="16">
        <v>328.7921</v>
      </c>
      <c r="I272" s="16">
        <v>327.97980000000001</v>
      </c>
      <c r="J272" s="16">
        <v>344.2593</v>
      </c>
      <c r="K272" s="16">
        <v>349.53750000000002</v>
      </c>
      <c r="L272" s="16">
        <v>338.13260000000002</v>
      </c>
      <c r="M272" s="16">
        <v>344.47949999999997</v>
      </c>
      <c r="N272" s="16">
        <v>329.13249999999999</v>
      </c>
      <c r="O272" s="16">
        <v>349.15699999999998</v>
      </c>
      <c r="P272" s="16">
        <v>375.16120000000001</v>
      </c>
      <c r="Q272" s="16">
        <v>355.80270000000002</v>
      </c>
      <c r="R272" s="16">
        <v>364.4128</v>
      </c>
      <c r="S272" s="16">
        <v>370.30630000000002</v>
      </c>
      <c r="T272" s="16">
        <v>358.63650000000001</v>
      </c>
      <c r="U272" s="16">
        <v>380.5505</v>
      </c>
      <c r="V272" s="16">
        <v>378.10969999999998</v>
      </c>
      <c r="W272" s="16">
        <v>366.28140000000002</v>
      </c>
      <c r="X272" s="16">
        <v>367.38630000000001</v>
      </c>
      <c r="Y272" s="16">
        <v>346.16669999999999</v>
      </c>
      <c r="Z272" s="29" t="s">
        <v>32</v>
      </c>
      <c r="AA272" s="25">
        <f t="shared" si="8"/>
        <v>313.22370000000001</v>
      </c>
      <c r="AB272" s="25">
        <f t="shared" si="9"/>
        <v>349.34369583333302</v>
      </c>
    </row>
    <row r="273" spans="1:28">
      <c r="A273" s="8">
        <v>45563</v>
      </c>
      <c r="B273" s="16">
        <v>418.63729999999998</v>
      </c>
      <c r="C273" s="16">
        <v>380.2747</v>
      </c>
      <c r="D273" s="16">
        <v>359.5838</v>
      </c>
      <c r="E273" s="16">
        <v>343.87049999999999</v>
      </c>
      <c r="F273" s="16">
        <v>329.5881</v>
      </c>
      <c r="G273" s="16">
        <v>323.4699</v>
      </c>
      <c r="H273" s="16">
        <v>334.30160000000001</v>
      </c>
      <c r="I273" s="16">
        <v>326.56920000000002</v>
      </c>
      <c r="J273" s="16">
        <v>333.22370000000001</v>
      </c>
      <c r="K273" s="16">
        <v>352.60890000000001</v>
      </c>
      <c r="L273" s="16">
        <v>344.40339999999998</v>
      </c>
      <c r="M273" s="16">
        <v>349.52929999999998</v>
      </c>
      <c r="N273" s="16">
        <v>330.51940000000002</v>
      </c>
      <c r="O273" s="16">
        <v>353.76659999999998</v>
      </c>
      <c r="P273" s="16">
        <v>372.98259999999999</v>
      </c>
      <c r="Q273" s="16">
        <v>356.1413</v>
      </c>
      <c r="R273" s="16">
        <v>361.21269999999998</v>
      </c>
      <c r="S273" s="16">
        <v>360.95729999999998</v>
      </c>
      <c r="T273" s="16">
        <v>354.98009999999999</v>
      </c>
      <c r="U273" s="16">
        <v>375.32709999999997</v>
      </c>
      <c r="V273" s="16">
        <v>372.11630000000002</v>
      </c>
      <c r="W273" s="16">
        <v>384.32330000000002</v>
      </c>
      <c r="X273" s="16">
        <v>369.55349999999999</v>
      </c>
      <c r="Y273" s="16">
        <v>334.33359999999999</v>
      </c>
      <c r="Z273" s="26" t="s">
        <v>32</v>
      </c>
      <c r="AA273" s="25">
        <f t="shared" si="8"/>
        <v>323.4699</v>
      </c>
      <c r="AB273" s="25">
        <f t="shared" si="9"/>
        <v>355.094758333333</v>
      </c>
    </row>
    <row r="274" spans="1:28">
      <c r="A274" s="8">
        <v>45564</v>
      </c>
      <c r="B274" s="16">
        <v>363.67899999999997</v>
      </c>
      <c r="C274" s="16">
        <v>440.60329999999999</v>
      </c>
      <c r="D274" s="16">
        <v>441.06569999999999</v>
      </c>
      <c r="E274" s="16">
        <v>381.68799999999999</v>
      </c>
      <c r="F274" s="16">
        <v>345.60570000000001</v>
      </c>
      <c r="G274" s="16">
        <v>340.16699999999997</v>
      </c>
      <c r="H274" s="16">
        <v>353.1302</v>
      </c>
      <c r="I274" s="16">
        <v>338.52749999999997</v>
      </c>
      <c r="J274" s="16">
        <v>352.75479999999999</v>
      </c>
      <c r="K274" s="16">
        <v>387.32780000000002</v>
      </c>
      <c r="L274" s="16">
        <v>363.23509999999999</v>
      </c>
      <c r="M274" s="16">
        <v>366.22160000000002</v>
      </c>
      <c r="N274" s="16">
        <v>352.92099999999999</v>
      </c>
      <c r="O274" s="16">
        <v>411.54640000000001</v>
      </c>
      <c r="P274" s="16">
        <v>509.48410000000001</v>
      </c>
      <c r="Q274" s="16">
        <v>461.5514</v>
      </c>
      <c r="R274" s="16">
        <v>383.18200000000002</v>
      </c>
      <c r="S274" s="16">
        <v>378.04770000000002</v>
      </c>
      <c r="T274" s="16">
        <v>369.03699999999998</v>
      </c>
      <c r="U274" s="16">
        <v>410.87740000000002</v>
      </c>
      <c r="V274" s="16">
        <v>407.9024</v>
      </c>
      <c r="W274" s="16">
        <v>476.92340000000002</v>
      </c>
      <c r="X274" s="16">
        <v>445.21879999999999</v>
      </c>
      <c r="Y274" s="16">
        <v>367.44779999999997</v>
      </c>
      <c r="Z274" s="26" t="s">
        <v>32</v>
      </c>
      <c r="AA274" s="25">
        <f t="shared" si="8"/>
        <v>338.52749999999997</v>
      </c>
      <c r="AB274" s="25">
        <f t="shared" si="9"/>
        <v>393.67271249999999</v>
      </c>
    </row>
    <row r="275" spans="1:28">
      <c r="A275" s="8">
        <v>45565</v>
      </c>
      <c r="B275" s="16">
        <v>407.23079999999999</v>
      </c>
      <c r="C275" s="16">
        <v>414.33879999999999</v>
      </c>
      <c r="D275" s="16">
        <v>440.56540000000001</v>
      </c>
      <c r="E275" s="16">
        <v>395.87580000000003</v>
      </c>
      <c r="F275" s="16">
        <v>363.512</v>
      </c>
      <c r="G275" s="16">
        <v>348.96120000000002</v>
      </c>
      <c r="H275" s="16">
        <v>348.78820000000002</v>
      </c>
      <c r="I275" s="16">
        <v>339.43169999999998</v>
      </c>
      <c r="J275" s="16">
        <v>349.18310000000002</v>
      </c>
      <c r="K275" s="16">
        <v>400.0412</v>
      </c>
      <c r="L275" s="16">
        <v>391.01960000000003</v>
      </c>
      <c r="M275" s="16">
        <v>381.85890000000001</v>
      </c>
      <c r="N275" s="16">
        <v>347.42189999999999</v>
      </c>
      <c r="O275" s="16">
        <v>379.13670000000002</v>
      </c>
      <c r="P275" s="16">
        <v>397.18860000000001</v>
      </c>
      <c r="Q275" s="16">
        <v>386.3236</v>
      </c>
      <c r="R275" s="16">
        <v>387.13060000000002</v>
      </c>
      <c r="S275" s="16">
        <v>378.29649999999998</v>
      </c>
      <c r="T275" s="16">
        <v>360.64929999999998</v>
      </c>
      <c r="U275" s="16">
        <v>384.25330000000002</v>
      </c>
      <c r="V275" s="16">
        <v>373.21069999999997</v>
      </c>
      <c r="W275" s="16">
        <v>391.6241</v>
      </c>
      <c r="X275" s="16">
        <v>389.28050000000002</v>
      </c>
      <c r="Y275" s="16">
        <v>353.60500000000002</v>
      </c>
      <c r="Z275" s="24" t="s">
        <v>31</v>
      </c>
      <c r="AA275" s="25">
        <f t="shared" si="8"/>
        <v>339.43169999999998</v>
      </c>
      <c r="AB275" s="25">
        <f t="shared" si="9"/>
        <v>379.53864583333302</v>
      </c>
    </row>
    <row r="276" spans="1:28">
      <c r="A276" s="8">
        <v>45566</v>
      </c>
      <c r="B276" s="16">
        <v>546.64419999999996</v>
      </c>
      <c r="C276" s="16">
        <v>616.548</v>
      </c>
      <c r="D276" s="16">
        <v>512.05259999999998</v>
      </c>
      <c r="E276" s="16">
        <v>370.4015</v>
      </c>
      <c r="F276" s="16">
        <v>334.24079999999998</v>
      </c>
      <c r="G276" s="16">
        <v>314.57</v>
      </c>
      <c r="H276" s="16">
        <v>312.065</v>
      </c>
      <c r="I276" s="16">
        <v>305.815</v>
      </c>
      <c r="J276" s="16">
        <v>290.815</v>
      </c>
      <c r="K276" s="16">
        <v>287.1463</v>
      </c>
      <c r="L276" s="16">
        <v>269.67529999999999</v>
      </c>
      <c r="M276" s="16">
        <v>264.71910000000003</v>
      </c>
      <c r="N276" s="16">
        <v>235.28639999999999</v>
      </c>
      <c r="O276" s="16">
        <v>178.18690000000001</v>
      </c>
      <c r="P276" s="16">
        <v>191.47</v>
      </c>
      <c r="Q276" s="16">
        <v>273.19499999999999</v>
      </c>
      <c r="R276" s="16">
        <v>260.1866</v>
      </c>
      <c r="S276" s="16">
        <v>297.87779999999998</v>
      </c>
      <c r="T276" s="16">
        <v>304.50299999999999</v>
      </c>
      <c r="U276" s="16">
        <v>327.48829999999998</v>
      </c>
      <c r="V276" s="16">
        <v>328.59089999999998</v>
      </c>
      <c r="W276" s="16">
        <v>313.98039999999997</v>
      </c>
      <c r="X276" s="16">
        <v>309.55799999999999</v>
      </c>
      <c r="Y276" s="16">
        <v>293.5677</v>
      </c>
      <c r="Z276" s="24" t="s">
        <v>31</v>
      </c>
      <c r="AA276" s="25">
        <f t="shared" si="8"/>
        <v>178.18690000000001</v>
      </c>
      <c r="AB276" s="25">
        <f t="shared" si="9"/>
        <v>322.440991666667</v>
      </c>
    </row>
    <row r="277" spans="1:28">
      <c r="A277" s="8">
        <v>45567</v>
      </c>
      <c r="B277" s="16">
        <v>203.7398</v>
      </c>
      <c r="C277" s="16">
        <v>183.5231</v>
      </c>
      <c r="D277" s="16">
        <v>32.9559</v>
      </c>
      <c r="E277" s="16">
        <v>0</v>
      </c>
      <c r="F277" s="16">
        <v>0</v>
      </c>
      <c r="G277" s="16">
        <v>0</v>
      </c>
      <c r="H277" s="16">
        <v>0</v>
      </c>
      <c r="I277" s="16">
        <v>0</v>
      </c>
      <c r="J277" s="16">
        <v>0</v>
      </c>
      <c r="K277" s="16">
        <v>0</v>
      </c>
      <c r="L277" s="16">
        <v>0.1537</v>
      </c>
      <c r="M277" s="16">
        <v>1.6980999999999999</v>
      </c>
      <c r="N277" s="16">
        <v>0</v>
      </c>
      <c r="O277" s="16">
        <v>0.38590000000000002</v>
      </c>
      <c r="P277" s="16">
        <v>0.32469999999999999</v>
      </c>
      <c r="Q277" s="16">
        <v>0</v>
      </c>
      <c r="R277" s="16">
        <v>103.6769</v>
      </c>
      <c r="S277" s="16">
        <v>280.17340000000002</v>
      </c>
      <c r="T277" s="16">
        <v>294.61419999999998</v>
      </c>
      <c r="U277" s="16">
        <v>298.02100000000002</v>
      </c>
      <c r="V277" s="16">
        <v>293.02429999999998</v>
      </c>
      <c r="W277" s="16">
        <v>288.97190000000001</v>
      </c>
      <c r="X277" s="16">
        <v>276.67509999999999</v>
      </c>
      <c r="Y277" s="16">
        <v>194.48589999999999</v>
      </c>
      <c r="Z277" s="24" t="s">
        <v>31</v>
      </c>
      <c r="AA277" s="25">
        <f t="shared" si="8"/>
        <v>0</v>
      </c>
      <c r="AB277" s="25">
        <f t="shared" si="9"/>
        <v>102.184329166667</v>
      </c>
    </row>
    <row r="278" spans="1:28">
      <c r="A278" s="8">
        <v>45568</v>
      </c>
      <c r="B278" s="16">
        <v>57.511400000000002</v>
      </c>
      <c r="C278" s="16">
        <v>0</v>
      </c>
      <c r="D278" s="16">
        <v>7.4321999999999999</v>
      </c>
      <c r="E278" s="16">
        <v>0</v>
      </c>
      <c r="F278" s="16">
        <v>12.1981</v>
      </c>
      <c r="G278" s="16">
        <v>17.9697</v>
      </c>
      <c r="H278" s="16">
        <v>102.13760000000001</v>
      </c>
      <c r="I278" s="16">
        <v>177.4803</v>
      </c>
      <c r="J278" s="16">
        <v>42.217799999999997</v>
      </c>
      <c r="K278" s="16">
        <v>26.6267</v>
      </c>
      <c r="L278" s="16">
        <v>81.075699999999998</v>
      </c>
      <c r="M278" s="16">
        <v>106.919</v>
      </c>
      <c r="N278" s="16">
        <v>95.824700000000007</v>
      </c>
      <c r="O278" s="16">
        <v>186.31489999999999</v>
      </c>
      <c r="P278" s="16">
        <v>85.698899999999995</v>
      </c>
      <c r="Q278" s="16">
        <v>120.3912</v>
      </c>
      <c r="R278" s="16">
        <v>131.89230000000001</v>
      </c>
      <c r="S278" s="16">
        <v>209.85390000000001</v>
      </c>
      <c r="T278" s="16">
        <v>274.60570000000001</v>
      </c>
      <c r="U278" s="16">
        <v>263.47160000000002</v>
      </c>
      <c r="V278" s="16">
        <v>246.1053</v>
      </c>
      <c r="W278" s="16">
        <v>241.85980000000001</v>
      </c>
      <c r="X278" s="16">
        <v>90.660399999999996</v>
      </c>
      <c r="Y278" s="16">
        <v>0</v>
      </c>
      <c r="Z278" s="27" t="s">
        <v>35</v>
      </c>
      <c r="AA278" s="25">
        <f t="shared" si="8"/>
        <v>0</v>
      </c>
      <c r="AB278" s="25">
        <f t="shared" si="9"/>
        <v>107.426966666667</v>
      </c>
    </row>
    <row r="279" spans="1:28">
      <c r="A279" s="8">
        <v>45569</v>
      </c>
      <c r="B279" s="16">
        <v>263.82</v>
      </c>
      <c r="C279" s="16">
        <v>232.5</v>
      </c>
      <c r="D279" s="16">
        <v>182.57749999999999</v>
      </c>
      <c r="E279" s="16">
        <v>169.28</v>
      </c>
      <c r="F279" s="16">
        <v>158.40289999999999</v>
      </c>
      <c r="G279" s="16">
        <v>121.94240000000001</v>
      </c>
      <c r="H279" s="16">
        <v>255.6807</v>
      </c>
      <c r="I279" s="16">
        <v>231.05500000000001</v>
      </c>
      <c r="J279" s="16">
        <v>161.57140000000001</v>
      </c>
      <c r="K279" s="16">
        <v>48.978499999999997</v>
      </c>
      <c r="L279" s="16">
        <v>58.112400000000001</v>
      </c>
      <c r="M279" s="16">
        <v>147.22020000000001</v>
      </c>
      <c r="N279" s="16">
        <v>189.8263</v>
      </c>
      <c r="O279" s="16">
        <v>215.1507</v>
      </c>
      <c r="P279" s="16">
        <v>197.07689999999999</v>
      </c>
      <c r="Q279" s="16">
        <v>246.81010000000001</v>
      </c>
      <c r="R279" s="16">
        <v>320.03300000000002</v>
      </c>
      <c r="S279" s="16">
        <v>322.90460000000002</v>
      </c>
      <c r="T279" s="16">
        <v>324.71510000000001</v>
      </c>
      <c r="U279" s="16">
        <v>340.70139999999998</v>
      </c>
      <c r="V279" s="16">
        <v>328.7466</v>
      </c>
      <c r="W279" s="16">
        <v>325.15879999999999</v>
      </c>
      <c r="X279" s="16">
        <v>329.09429999999998</v>
      </c>
      <c r="Y279" s="16">
        <v>306.37</v>
      </c>
      <c r="Z279" s="27" t="s">
        <v>35</v>
      </c>
      <c r="AA279" s="25">
        <f t="shared" si="8"/>
        <v>48.978499999999997</v>
      </c>
      <c r="AB279" s="25">
        <f t="shared" si="9"/>
        <v>228.23869999999999</v>
      </c>
    </row>
    <row r="280" spans="1:28">
      <c r="A280" s="8">
        <v>45570</v>
      </c>
      <c r="B280" s="16">
        <v>330.67919999999998</v>
      </c>
      <c r="C280" s="16">
        <v>319.98759999999999</v>
      </c>
      <c r="D280" s="16">
        <v>314.5</v>
      </c>
      <c r="E280" s="16">
        <v>311.99419999999998</v>
      </c>
      <c r="F280" s="16">
        <v>308.65839999999997</v>
      </c>
      <c r="G280" s="16">
        <v>307.70010000000002</v>
      </c>
      <c r="H280" s="16">
        <v>310.84949999999998</v>
      </c>
      <c r="I280" s="16">
        <v>309.69479999999999</v>
      </c>
      <c r="J280" s="16">
        <v>309.07819999999998</v>
      </c>
      <c r="K280" s="16">
        <v>341.86320000000001</v>
      </c>
      <c r="L280" s="16">
        <v>396.93340000000001</v>
      </c>
      <c r="M280" s="16">
        <v>379.5763</v>
      </c>
      <c r="N280" s="16">
        <v>334.94499999999999</v>
      </c>
      <c r="O280" s="16">
        <v>408.49509999999998</v>
      </c>
      <c r="P280" s="16">
        <v>446.40109999999999</v>
      </c>
      <c r="Q280" s="16">
        <v>326.80759999999998</v>
      </c>
      <c r="R280" s="16">
        <v>344.84769999999997</v>
      </c>
      <c r="S280" s="16">
        <v>343.4701</v>
      </c>
      <c r="T280" s="16">
        <v>344.05149999999998</v>
      </c>
      <c r="U280" s="16">
        <v>359.02780000000001</v>
      </c>
      <c r="V280" s="16">
        <v>350.94760000000002</v>
      </c>
      <c r="W280" s="16">
        <v>347.9384</v>
      </c>
      <c r="X280" s="16">
        <v>332.28739999999999</v>
      </c>
      <c r="Y280" s="16">
        <v>311.5729</v>
      </c>
      <c r="Z280" s="24" t="s">
        <v>31</v>
      </c>
      <c r="AA280" s="25">
        <f t="shared" si="8"/>
        <v>307.70010000000002</v>
      </c>
      <c r="AB280" s="25">
        <f t="shared" si="9"/>
        <v>341.34612916666703</v>
      </c>
    </row>
    <row r="281" spans="1:28">
      <c r="A281" s="8">
        <v>45571</v>
      </c>
      <c r="B281" s="16">
        <v>344.2989</v>
      </c>
      <c r="C281" s="16">
        <v>336.63839999999999</v>
      </c>
      <c r="D281" s="16">
        <v>325.75880000000001</v>
      </c>
      <c r="E281" s="16">
        <v>318.75</v>
      </c>
      <c r="F281" s="16">
        <v>315.08249999999998</v>
      </c>
      <c r="G281" s="16">
        <v>314.5</v>
      </c>
      <c r="H281" s="16">
        <v>326.54160000000002</v>
      </c>
      <c r="I281" s="16">
        <v>326.05950000000001</v>
      </c>
      <c r="J281" s="16">
        <v>330.98320000000001</v>
      </c>
      <c r="K281" s="16">
        <v>346.83859999999999</v>
      </c>
      <c r="L281" s="16">
        <v>340.11860000000001</v>
      </c>
      <c r="M281" s="16">
        <v>343.1277</v>
      </c>
      <c r="N281" s="16">
        <v>330.95269999999999</v>
      </c>
      <c r="O281" s="16">
        <v>346.11779999999999</v>
      </c>
      <c r="P281" s="16">
        <v>356.19779999999997</v>
      </c>
      <c r="Q281" s="16">
        <v>366.30630000000002</v>
      </c>
      <c r="R281" s="16">
        <v>378.59679999999997</v>
      </c>
      <c r="S281" s="16">
        <v>373.88900000000001</v>
      </c>
      <c r="T281" s="16">
        <v>381.67250000000001</v>
      </c>
      <c r="U281" s="16">
        <v>380.1069</v>
      </c>
      <c r="V281" s="16">
        <v>369.88850000000002</v>
      </c>
      <c r="W281" s="16">
        <v>378.85239999999999</v>
      </c>
      <c r="X281" s="16">
        <v>371.66480000000001</v>
      </c>
      <c r="Y281" s="16">
        <v>337.1952</v>
      </c>
      <c r="Z281" s="27" t="s">
        <v>35</v>
      </c>
      <c r="AA281" s="25">
        <f t="shared" si="8"/>
        <v>314.5</v>
      </c>
      <c r="AB281" s="25">
        <f t="shared" si="9"/>
        <v>347.50577083333297</v>
      </c>
    </row>
    <row r="282" spans="1:28">
      <c r="A282" s="8">
        <v>45572</v>
      </c>
      <c r="B282" s="16">
        <v>374.46519999999998</v>
      </c>
      <c r="C282" s="16">
        <v>363.24079999999998</v>
      </c>
      <c r="D282" s="16">
        <v>351.80430000000001</v>
      </c>
      <c r="E282" s="16">
        <v>348.75</v>
      </c>
      <c r="F282" s="16">
        <v>340.75</v>
      </c>
      <c r="G282" s="16">
        <v>337.58</v>
      </c>
      <c r="H282" s="16">
        <v>349.58249999999998</v>
      </c>
      <c r="I282" s="16">
        <v>347.49779999999998</v>
      </c>
      <c r="J282" s="16">
        <v>361.39679999999998</v>
      </c>
      <c r="K282" s="16">
        <v>382.45530000000002</v>
      </c>
      <c r="L282" s="16">
        <v>364.17520000000002</v>
      </c>
      <c r="M282" s="16">
        <v>367.39670000000001</v>
      </c>
      <c r="N282" s="16">
        <v>343.9599</v>
      </c>
      <c r="O282" s="16">
        <v>369.9255</v>
      </c>
      <c r="P282" s="16">
        <v>386.13240000000002</v>
      </c>
      <c r="Q282" s="16">
        <v>391.0856</v>
      </c>
      <c r="R282" s="16">
        <v>386.41050000000001</v>
      </c>
      <c r="S282" s="16">
        <v>384.63589999999999</v>
      </c>
      <c r="T282" s="16">
        <v>384.66329999999999</v>
      </c>
      <c r="U282" s="16">
        <v>379.48680000000002</v>
      </c>
      <c r="V282" s="16">
        <v>377.34109999999998</v>
      </c>
      <c r="W282" s="16">
        <v>380.48390000000001</v>
      </c>
      <c r="X282" s="16">
        <v>380.82040000000001</v>
      </c>
      <c r="Y282" s="16">
        <v>351.43279999999999</v>
      </c>
      <c r="Z282" s="27" t="s">
        <v>35</v>
      </c>
      <c r="AA282" s="25">
        <f t="shared" si="8"/>
        <v>337.58</v>
      </c>
      <c r="AB282" s="25">
        <f t="shared" si="9"/>
        <v>366.894695833333</v>
      </c>
    </row>
    <row r="283" spans="1:28">
      <c r="A283" s="8">
        <v>45573</v>
      </c>
      <c r="B283" s="16">
        <v>414.7029</v>
      </c>
      <c r="C283" s="16">
        <v>388.79919999999998</v>
      </c>
      <c r="D283" s="16">
        <v>367.97050000000002</v>
      </c>
      <c r="E283" s="16">
        <v>354.85219999999998</v>
      </c>
      <c r="F283" s="16">
        <v>339.00760000000002</v>
      </c>
      <c r="G283" s="16">
        <v>339.15440000000001</v>
      </c>
      <c r="H283" s="16">
        <v>360.00450000000001</v>
      </c>
      <c r="I283" s="16">
        <v>356.77460000000002</v>
      </c>
      <c r="J283" s="16">
        <v>410.99220000000003</v>
      </c>
      <c r="K283" s="16">
        <v>447.7749</v>
      </c>
      <c r="L283" s="16">
        <v>407.16820000000001</v>
      </c>
      <c r="M283" s="16">
        <v>406.09539999999998</v>
      </c>
      <c r="N283" s="16">
        <v>335.80450000000002</v>
      </c>
      <c r="O283" s="16">
        <v>377.0034</v>
      </c>
      <c r="P283" s="16">
        <v>422.07530000000003</v>
      </c>
      <c r="Q283" s="16">
        <v>429.08280000000002</v>
      </c>
      <c r="R283" s="16">
        <v>413.7801</v>
      </c>
      <c r="S283" s="16">
        <v>397.1934</v>
      </c>
      <c r="T283" s="16">
        <v>391.9366</v>
      </c>
      <c r="U283" s="16">
        <v>401.70249999999999</v>
      </c>
      <c r="V283" s="16">
        <v>389.67779999999999</v>
      </c>
      <c r="W283" s="16">
        <v>397.6651</v>
      </c>
      <c r="X283" s="16">
        <v>377.0127</v>
      </c>
      <c r="Y283" s="16">
        <v>339.49110000000002</v>
      </c>
      <c r="Z283" s="26" t="s">
        <v>32</v>
      </c>
      <c r="AA283" s="25">
        <f t="shared" si="8"/>
        <v>335.80450000000002</v>
      </c>
      <c r="AB283" s="25">
        <f t="shared" si="9"/>
        <v>386.07174583333301</v>
      </c>
    </row>
    <row r="284" spans="1:28">
      <c r="A284" s="8">
        <v>45574</v>
      </c>
      <c r="B284" s="16">
        <v>396.62860000000001</v>
      </c>
      <c r="C284" s="16">
        <v>369.00020000000001</v>
      </c>
      <c r="D284" s="16">
        <v>365.14440000000002</v>
      </c>
      <c r="E284" s="16">
        <v>349.81439999999998</v>
      </c>
      <c r="F284" s="16">
        <v>332.62860000000001</v>
      </c>
      <c r="G284" s="16">
        <v>328.83420000000001</v>
      </c>
      <c r="H284" s="16">
        <v>339.20740000000001</v>
      </c>
      <c r="I284" s="16">
        <v>334.3981</v>
      </c>
      <c r="J284" s="16">
        <v>367.07420000000002</v>
      </c>
      <c r="K284" s="16">
        <v>410.05799999999999</v>
      </c>
      <c r="L284" s="16">
        <v>351.93669999999997</v>
      </c>
      <c r="M284" s="16">
        <v>353.1705</v>
      </c>
      <c r="N284" s="16">
        <v>326.31240000000003</v>
      </c>
      <c r="O284" s="16">
        <v>357.6739</v>
      </c>
      <c r="P284" s="16">
        <v>397.01150000000001</v>
      </c>
      <c r="Q284" s="16">
        <v>396.45359999999999</v>
      </c>
      <c r="R284" s="16">
        <v>386.62240000000003</v>
      </c>
      <c r="S284" s="16">
        <v>372.39949999999999</v>
      </c>
      <c r="T284" s="16">
        <v>375.30919999999998</v>
      </c>
      <c r="U284" s="16">
        <v>381.73079999999999</v>
      </c>
      <c r="V284" s="16">
        <v>383.90469999999999</v>
      </c>
      <c r="W284" s="16">
        <v>369.26749999999998</v>
      </c>
      <c r="X284" s="16">
        <v>374.07060000000001</v>
      </c>
      <c r="Y284" s="16">
        <v>339.15879999999999</v>
      </c>
      <c r="Z284" s="26" t="s">
        <v>32</v>
      </c>
      <c r="AA284" s="25">
        <f t="shared" si="8"/>
        <v>326.31240000000003</v>
      </c>
      <c r="AB284" s="25">
        <f t="shared" si="9"/>
        <v>364.90875833333303</v>
      </c>
    </row>
    <row r="285" spans="1:28">
      <c r="A285" s="8">
        <v>45575</v>
      </c>
      <c r="B285" s="16">
        <v>367.1447</v>
      </c>
      <c r="C285" s="16">
        <v>349.98930000000001</v>
      </c>
      <c r="D285" s="16">
        <v>336.4633</v>
      </c>
      <c r="E285" s="16">
        <v>322.71839999999997</v>
      </c>
      <c r="F285" s="16">
        <v>299.12220000000002</v>
      </c>
      <c r="G285" s="16">
        <v>300.39240000000001</v>
      </c>
      <c r="H285" s="16">
        <v>322.59289999999999</v>
      </c>
      <c r="I285" s="16">
        <v>321.50760000000002</v>
      </c>
      <c r="J285" s="16">
        <v>330.87270000000001</v>
      </c>
      <c r="K285" s="16">
        <v>343.46589999999998</v>
      </c>
      <c r="L285" s="16">
        <v>333.43040000000002</v>
      </c>
      <c r="M285" s="16">
        <v>327.66879999999998</v>
      </c>
      <c r="N285" s="16">
        <v>305.6284</v>
      </c>
      <c r="O285" s="16">
        <v>331.18720000000002</v>
      </c>
      <c r="P285" s="16">
        <v>367.9409</v>
      </c>
      <c r="Q285" s="16">
        <v>375.52339999999998</v>
      </c>
      <c r="R285" s="16">
        <v>382.80009999999999</v>
      </c>
      <c r="S285" s="16">
        <v>395.31970000000001</v>
      </c>
      <c r="T285" s="16">
        <v>398.82900000000001</v>
      </c>
      <c r="U285" s="16">
        <v>391.90640000000002</v>
      </c>
      <c r="V285" s="16">
        <v>380.34820000000002</v>
      </c>
      <c r="W285" s="16">
        <v>367.69990000000001</v>
      </c>
      <c r="X285" s="16">
        <v>358.41379999999998</v>
      </c>
      <c r="Y285" s="16">
        <v>336.91050000000001</v>
      </c>
      <c r="Z285" s="29" t="s">
        <v>32</v>
      </c>
      <c r="AA285" s="25">
        <f t="shared" si="8"/>
        <v>299.12220000000002</v>
      </c>
      <c r="AB285" s="25">
        <f t="shared" si="9"/>
        <v>347.82817083333299</v>
      </c>
    </row>
    <row r="286" spans="1:28">
      <c r="A286" s="8">
        <v>45576</v>
      </c>
      <c r="B286" s="16">
        <v>329.84140000000002</v>
      </c>
      <c r="C286" s="16">
        <v>328.83920000000001</v>
      </c>
      <c r="D286" s="16">
        <v>315.52929999999998</v>
      </c>
      <c r="E286" s="16">
        <v>297.78460000000001</v>
      </c>
      <c r="F286" s="16">
        <v>282.76549999999997</v>
      </c>
      <c r="G286" s="16">
        <v>284.53149999999999</v>
      </c>
      <c r="H286" s="16">
        <v>304.63549999999998</v>
      </c>
      <c r="I286" s="16">
        <v>299.61919999999998</v>
      </c>
      <c r="J286" s="16">
        <v>316.01170000000002</v>
      </c>
      <c r="K286" s="16">
        <v>325.53160000000003</v>
      </c>
      <c r="L286" s="16">
        <v>310.45679999999999</v>
      </c>
      <c r="M286" s="16">
        <v>310.77379999999999</v>
      </c>
      <c r="N286" s="16">
        <v>283.44069999999999</v>
      </c>
      <c r="O286" s="16">
        <v>313.26900000000001</v>
      </c>
      <c r="P286" s="16">
        <v>337.81139999999999</v>
      </c>
      <c r="Q286" s="16">
        <v>345.28590000000003</v>
      </c>
      <c r="R286" s="16">
        <v>358.01179999999999</v>
      </c>
      <c r="S286" s="16">
        <v>356.73820000000001</v>
      </c>
      <c r="T286" s="16">
        <v>352.83640000000003</v>
      </c>
      <c r="U286" s="16">
        <v>350.89120000000003</v>
      </c>
      <c r="V286" s="16">
        <v>344.00659999999999</v>
      </c>
      <c r="W286" s="16">
        <v>327.47140000000002</v>
      </c>
      <c r="X286" s="16">
        <v>329.59370000000001</v>
      </c>
      <c r="Y286" s="16">
        <v>304.78919999999999</v>
      </c>
      <c r="Z286" s="26" t="s">
        <v>34</v>
      </c>
      <c r="AA286" s="25">
        <f t="shared" si="8"/>
        <v>282.76549999999997</v>
      </c>
      <c r="AB286" s="25">
        <f t="shared" si="9"/>
        <v>321.26940000000002</v>
      </c>
    </row>
    <row r="287" spans="1:28">
      <c r="A287" s="8">
        <v>45577</v>
      </c>
      <c r="B287" s="16">
        <v>295.02370000000002</v>
      </c>
      <c r="C287" s="16">
        <v>306.01190000000003</v>
      </c>
      <c r="D287" s="16">
        <v>305.4128</v>
      </c>
      <c r="E287" s="16">
        <v>268.4402</v>
      </c>
      <c r="F287" s="16">
        <v>268.14789999999999</v>
      </c>
      <c r="G287" s="16">
        <v>271.54349999999999</v>
      </c>
      <c r="H287" s="16">
        <v>291.12880000000001</v>
      </c>
      <c r="I287" s="16">
        <v>284.42919999999998</v>
      </c>
      <c r="J287" s="16">
        <v>288.9452</v>
      </c>
      <c r="K287" s="16">
        <v>292.62860000000001</v>
      </c>
      <c r="L287" s="16">
        <v>271.5052</v>
      </c>
      <c r="M287" s="16">
        <v>275.3091</v>
      </c>
      <c r="N287" s="16">
        <v>149.41820000000001</v>
      </c>
      <c r="O287" s="16">
        <v>268.31229999999999</v>
      </c>
      <c r="P287" s="16">
        <v>326.72829999999999</v>
      </c>
      <c r="Q287" s="16">
        <v>341.31189999999998</v>
      </c>
      <c r="R287" s="16">
        <v>345.41719999999998</v>
      </c>
      <c r="S287" s="16">
        <v>352.17189999999999</v>
      </c>
      <c r="T287" s="16">
        <v>346.91539999999998</v>
      </c>
      <c r="U287" s="16">
        <v>347.8229</v>
      </c>
      <c r="V287" s="16">
        <v>343.41140000000001</v>
      </c>
      <c r="W287" s="16">
        <v>338.57429999999999</v>
      </c>
      <c r="X287" s="16">
        <v>330.18310000000002</v>
      </c>
      <c r="Y287" s="16">
        <v>309.36869999999999</v>
      </c>
      <c r="Z287" s="26" t="s">
        <v>32</v>
      </c>
      <c r="AA287" s="25">
        <f t="shared" si="8"/>
        <v>149.41820000000001</v>
      </c>
      <c r="AB287" s="25">
        <f t="shared" si="9"/>
        <v>300.75673749999999</v>
      </c>
    </row>
    <row r="288" spans="1:28">
      <c r="A288" s="8">
        <v>45578</v>
      </c>
      <c r="B288" s="16">
        <v>229.56319999999999</v>
      </c>
      <c r="C288" s="16">
        <v>287.15410000000003</v>
      </c>
      <c r="D288" s="16">
        <v>293.20479999999998</v>
      </c>
      <c r="E288" s="16">
        <v>275.75700000000001</v>
      </c>
      <c r="F288" s="16">
        <v>272.28769999999997</v>
      </c>
      <c r="G288" s="16">
        <v>264.71499999999997</v>
      </c>
      <c r="H288" s="16">
        <v>278.51690000000002</v>
      </c>
      <c r="I288" s="16">
        <v>273.33859999999999</v>
      </c>
      <c r="J288" s="16">
        <v>241.67740000000001</v>
      </c>
      <c r="K288" s="16">
        <v>238.36699999999999</v>
      </c>
      <c r="L288" s="16">
        <v>129.4102</v>
      </c>
      <c r="M288" s="16">
        <v>245.34049999999999</v>
      </c>
      <c r="N288" s="16">
        <v>106.5213</v>
      </c>
      <c r="O288" s="16">
        <v>242.99719999999999</v>
      </c>
      <c r="P288" s="16">
        <v>292.80610000000001</v>
      </c>
      <c r="Q288" s="16">
        <v>314.93180000000001</v>
      </c>
      <c r="R288" s="16">
        <v>320.13479999999998</v>
      </c>
      <c r="S288" s="16">
        <v>329.83980000000003</v>
      </c>
      <c r="T288" s="16">
        <v>341.20190000000002</v>
      </c>
      <c r="U288" s="16">
        <v>346.61149999999998</v>
      </c>
      <c r="V288" s="16">
        <v>333.65170000000001</v>
      </c>
      <c r="W288" s="16">
        <v>326.35050000000001</v>
      </c>
      <c r="X288" s="16">
        <v>321.08030000000002</v>
      </c>
      <c r="Y288" s="16">
        <v>295.97590000000002</v>
      </c>
      <c r="Z288" s="26" t="s">
        <v>32</v>
      </c>
      <c r="AA288" s="25">
        <f t="shared" si="8"/>
        <v>106.5213</v>
      </c>
      <c r="AB288" s="25">
        <f t="shared" si="9"/>
        <v>275.0598</v>
      </c>
    </row>
    <row r="289" spans="1:28">
      <c r="A289" s="8">
        <v>45579</v>
      </c>
      <c r="B289" s="16">
        <v>316.05950000000001</v>
      </c>
      <c r="C289" s="16">
        <v>319.68470000000002</v>
      </c>
      <c r="D289" s="16">
        <v>320.54590000000002</v>
      </c>
      <c r="E289" s="16">
        <v>312.57049999999998</v>
      </c>
      <c r="F289" s="16">
        <v>294.91539999999998</v>
      </c>
      <c r="G289" s="16">
        <v>295.50099999999998</v>
      </c>
      <c r="H289" s="16">
        <v>311.3184</v>
      </c>
      <c r="I289" s="16">
        <v>314.84449999999998</v>
      </c>
      <c r="J289" s="16">
        <v>332.66989999999998</v>
      </c>
      <c r="K289" s="16">
        <v>343.1995</v>
      </c>
      <c r="L289" s="16">
        <v>345.60930000000002</v>
      </c>
      <c r="M289" s="16">
        <v>350.50700000000001</v>
      </c>
      <c r="N289" s="16">
        <v>313.8569</v>
      </c>
      <c r="O289" s="16">
        <v>358.78750000000002</v>
      </c>
      <c r="P289" s="16">
        <v>377.93970000000002</v>
      </c>
      <c r="Q289" s="16">
        <v>362.92950000000002</v>
      </c>
      <c r="R289" s="16">
        <v>359.85230000000001</v>
      </c>
      <c r="S289" s="16">
        <v>354.02789999999999</v>
      </c>
      <c r="T289" s="16">
        <v>358.91539999999998</v>
      </c>
      <c r="U289" s="16">
        <v>366.40879999999999</v>
      </c>
      <c r="V289" s="16">
        <v>369.8417</v>
      </c>
      <c r="W289" s="16">
        <v>370.10570000000001</v>
      </c>
      <c r="X289" s="16">
        <v>361.71289999999999</v>
      </c>
      <c r="Y289" s="16">
        <v>334.31169999999997</v>
      </c>
      <c r="Z289" s="26" t="s">
        <v>32</v>
      </c>
      <c r="AA289" s="25">
        <f t="shared" si="8"/>
        <v>294.91539999999998</v>
      </c>
      <c r="AB289" s="25">
        <f t="shared" si="9"/>
        <v>339.42148333333301</v>
      </c>
    </row>
    <row r="290" spans="1:28">
      <c r="A290" s="8">
        <v>45580</v>
      </c>
      <c r="B290" s="16">
        <v>369.20159999999998</v>
      </c>
      <c r="C290" s="16">
        <v>360.76400000000001</v>
      </c>
      <c r="D290" s="16">
        <v>419.50319999999999</v>
      </c>
      <c r="E290" s="16">
        <v>357.07130000000001</v>
      </c>
      <c r="F290" s="16">
        <v>337.08479999999997</v>
      </c>
      <c r="G290" s="16">
        <v>332.99919999999997</v>
      </c>
      <c r="H290" s="16">
        <v>347.64780000000002</v>
      </c>
      <c r="I290" s="16">
        <v>341.01330000000002</v>
      </c>
      <c r="J290" s="16">
        <v>371.73439999999999</v>
      </c>
      <c r="K290" s="16">
        <v>369.96199999999999</v>
      </c>
      <c r="L290" s="16">
        <v>335.8304</v>
      </c>
      <c r="M290" s="16">
        <v>335.45049999999998</v>
      </c>
      <c r="N290" s="16">
        <v>327.274</v>
      </c>
      <c r="O290" s="16">
        <v>365.7697</v>
      </c>
      <c r="P290" s="16">
        <v>387.2038</v>
      </c>
      <c r="Q290" s="16">
        <v>366.05149999999998</v>
      </c>
      <c r="R290" s="16">
        <v>355.45819999999998</v>
      </c>
      <c r="S290" s="16">
        <v>359.81060000000002</v>
      </c>
      <c r="T290" s="16">
        <v>357.37259999999998</v>
      </c>
      <c r="U290" s="16">
        <v>363.84739999999999</v>
      </c>
      <c r="V290" s="16">
        <v>363.37380000000002</v>
      </c>
      <c r="W290" s="16">
        <v>372.0634</v>
      </c>
      <c r="X290" s="16">
        <v>371.39679999999998</v>
      </c>
      <c r="Y290" s="16">
        <v>357.82990000000001</v>
      </c>
      <c r="Z290" s="26" t="s">
        <v>32</v>
      </c>
      <c r="AA290" s="25">
        <f t="shared" si="8"/>
        <v>327.274</v>
      </c>
      <c r="AB290" s="25">
        <f t="shared" si="9"/>
        <v>359.40475833333301</v>
      </c>
    </row>
    <row r="291" spans="1:28">
      <c r="A291" s="8">
        <v>45581</v>
      </c>
      <c r="B291" s="16">
        <v>501.30549999999999</v>
      </c>
      <c r="C291" s="16">
        <v>392.91910000000001</v>
      </c>
      <c r="D291" s="16">
        <v>366.5872</v>
      </c>
      <c r="E291" s="16">
        <v>353.56240000000003</v>
      </c>
      <c r="F291" s="16">
        <v>328.2978</v>
      </c>
      <c r="G291" s="16">
        <v>320.88260000000002</v>
      </c>
      <c r="H291" s="16">
        <v>332.58350000000002</v>
      </c>
      <c r="I291" s="16">
        <v>328.70519999999999</v>
      </c>
      <c r="J291" s="16">
        <v>377.17759999999998</v>
      </c>
      <c r="K291" s="16">
        <v>363.16699999999997</v>
      </c>
      <c r="L291" s="16">
        <v>341.89580000000001</v>
      </c>
      <c r="M291" s="16">
        <v>348.6669</v>
      </c>
      <c r="N291" s="16">
        <v>336.7131</v>
      </c>
      <c r="O291" s="16">
        <v>370.70440000000002</v>
      </c>
      <c r="P291" s="16">
        <v>375.80799999999999</v>
      </c>
      <c r="Q291" s="16">
        <v>367.66250000000002</v>
      </c>
      <c r="R291" s="16">
        <v>367.65469999999999</v>
      </c>
      <c r="S291" s="16">
        <v>368.82229999999998</v>
      </c>
      <c r="T291" s="16">
        <v>369.19760000000002</v>
      </c>
      <c r="U291" s="16">
        <v>370.2962</v>
      </c>
      <c r="V291" s="16">
        <v>359.1112</v>
      </c>
      <c r="W291" s="16">
        <v>362.5643</v>
      </c>
      <c r="X291" s="16">
        <v>358.89420000000001</v>
      </c>
      <c r="Y291" s="16">
        <v>335.50689999999997</v>
      </c>
      <c r="Z291" s="26" t="s">
        <v>32</v>
      </c>
      <c r="AA291" s="25">
        <f t="shared" si="8"/>
        <v>320.88260000000002</v>
      </c>
      <c r="AB291" s="25">
        <f t="shared" si="9"/>
        <v>362.44524999999999</v>
      </c>
    </row>
    <row r="292" spans="1:28">
      <c r="A292" s="8">
        <v>45582</v>
      </c>
      <c r="B292" s="16">
        <v>377.88290000000001</v>
      </c>
      <c r="C292" s="16">
        <v>356.77109999999999</v>
      </c>
      <c r="D292" s="16">
        <v>350.8109</v>
      </c>
      <c r="E292" s="16">
        <v>342.10730000000001</v>
      </c>
      <c r="F292" s="16">
        <v>328.8854</v>
      </c>
      <c r="G292" s="16">
        <v>325.22629999999998</v>
      </c>
      <c r="H292" s="16">
        <v>334.54969999999997</v>
      </c>
      <c r="I292" s="16">
        <v>331.13290000000001</v>
      </c>
      <c r="J292" s="16">
        <v>371.79300000000001</v>
      </c>
      <c r="K292" s="16">
        <v>377.26799999999997</v>
      </c>
      <c r="L292" s="16">
        <v>353.67509999999999</v>
      </c>
      <c r="M292" s="16">
        <v>382.45589999999999</v>
      </c>
      <c r="N292" s="16">
        <v>353.20179999999999</v>
      </c>
      <c r="O292" s="16">
        <v>386.64409999999998</v>
      </c>
      <c r="P292" s="16">
        <v>375.4307</v>
      </c>
      <c r="Q292" s="16">
        <v>368.7303</v>
      </c>
      <c r="R292" s="16">
        <v>372.62180000000001</v>
      </c>
      <c r="S292" s="16">
        <v>379.13499999999999</v>
      </c>
      <c r="T292" s="16">
        <v>375.99290000000002</v>
      </c>
      <c r="U292" s="16">
        <v>371.59500000000003</v>
      </c>
      <c r="V292" s="16">
        <v>366.24250000000001</v>
      </c>
      <c r="W292" s="16">
        <v>369.59140000000002</v>
      </c>
      <c r="X292" s="16">
        <v>376.9049</v>
      </c>
      <c r="Y292" s="16">
        <v>362.38549999999998</v>
      </c>
      <c r="Z292" s="26" t="s">
        <v>33</v>
      </c>
      <c r="AA292" s="25">
        <f t="shared" si="8"/>
        <v>325.22629999999998</v>
      </c>
      <c r="AB292" s="25">
        <f t="shared" si="9"/>
        <v>362.12643333333301</v>
      </c>
    </row>
    <row r="293" spans="1:28">
      <c r="A293" s="8">
        <v>45583</v>
      </c>
      <c r="B293" s="16">
        <v>375.91149999999999</v>
      </c>
      <c r="C293" s="16">
        <v>354.44720000000001</v>
      </c>
      <c r="D293" s="16">
        <v>352.28160000000003</v>
      </c>
      <c r="E293" s="16">
        <v>338.59129999999999</v>
      </c>
      <c r="F293" s="16">
        <v>326.78820000000002</v>
      </c>
      <c r="G293" s="16">
        <v>325.4898</v>
      </c>
      <c r="H293" s="16">
        <v>337.05399999999997</v>
      </c>
      <c r="I293" s="16">
        <v>335.59690000000001</v>
      </c>
      <c r="J293" s="16">
        <v>367.94740000000002</v>
      </c>
      <c r="K293" s="16">
        <v>395.43360000000001</v>
      </c>
      <c r="L293" s="16">
        <v>378.89920000000001</v>
      </c>
      <c r="M293" s="16">
        <v>398.37029999999999</v>
      </c>
      <c r="N293" s="16">
        <v>354.9384</v>
      </c>
      <c r="O293" s="16">
        <v>404.91789999999997</v>
      </c>
      <c r="P293" s="16">
        <v>398.28879999999998</v>
      </c>
      <c r="Q293" s="16">
        <v>392.2593</v>
      </c>
      <c r="R293" s="16">
        <v>405.86709999999999</v>
      </c>
      <c r="S293" s="16">
        <v>375.72390000000001</v>
      </c>
      <c r="T293" s="16">
        <v>373.6311</v>
      </c>
      <c r="U293" s="16">
        <v>371.54020000000003</v>
      </c>
      <c r="V293" s="16">
        <v>373.7989</v>
      </c>
      <c r="W293" s="16">
        <v>381.84739999999999</v>
      </c>
      <c r="X293" s="16">
        <v>385.33760000000001</v>
      </c>
      <c r="Y293" s="16">
        <v>360.9461</v>
      </c>
      <c r="Z293" s="26" t="s">
        <v>34</v>
      </c>
      <c r="AA293" s="25">
        <f t="shared" si="8"/>
        <v>325.4898</v>
      </c>
      <c r="AB293" s="25">
        <f t="shared" si="9"/>
        <v>369.412820833333</v>
      </c>
    </row>
    <row r="294" spans="1:28">
      <c r="A294" s="8">
        <v>45584</v>
      </c>
      <c r="B294" s="16">
        <v>406.21039999999999</v>
      </c>
      <c r="C294" s="16">
        <v>375.71850000000001</v>
      </c>
      <c r="D294" s="16">
        <v>373.50729999999999</v>
      </c>
      <c r="E294" s="16">
        <v>353.4984</v>
      </c>
      <c r="F294" s="16">
        <v>335.26940000000002</v>
      </c>
      <c r="G294" s="16">
        <v>329.60599999999999</v>
      </c>
      <c r="H294" s="16">
        <v>336.79500000000002</v>
      </c>
      <c r="I294" s="16">
        <v>335.98970000000003</v>
      </c>
      <c r="J294" s="16">
        <v>363.92950000000002</v>
      </c>
      <c r="K294" s="16">
        <v>388.52159999999998</v>
      </c>
      <c r="L294" s="16">
        <v>373.98219999999998</v>
      </c>
      <c r="M294" s="16">
        <v>365.72019999999998</v>
      </c>
      <c r="N294" s="16">
        <v>328.19529999999997</v>
      </c>
      <c r="O294" s="16">
        <v>360.98079999999999</v>
      </c>
      <c r="P294" s="16">
        <v>381.08870000000002</v>
      </c>
      <c r="Q294" s="16">
        <v>379.75630000000001</v>
      </c>
      <c r="R294" s="16">
        <v>388.54090000000002</v>
      </c>
      <c r="S294" s="16">
        <v>380.38900000000001</v>
      </c>
      <c r="T294" s="16">
        <v>378.1875</v>
      </c>
      <c r="U294" s="16">
        <v>376.91860000000003</v>
      </c>
      <c r="V294" s="16">
        <v>379.09339999999997</v>
      </c>
      <c r="W294" s="16">
        <v>388.06079999999997</v>
      </c>
      <c r="X294" s="16">
        <v>365.76659999999998</v>
      </c>
      <c r="Y294" s="16">
        <v>337.95740000000001</v>
      </c>
      <c r="Z294" s="26" t="s">
        <v>32</v>
      </c>
      <c r="AA294" s="25">
        <f t="shared" si="8"/>
        <v>328.19529999999997</v>
      </c>
      <c r="AB294" s="25">
        <f t="shared" si="9"/>
        <v>365.98681249999998</v>
      </c>
    </row>
    <row r="295" spans="1:28">
      <c r="A295" s="8">
        <v>45585</v>
      </c>
      <c r="B295" s="16">
        <v>380.54349999999999</v>
      </c>
      <c r="C295" s="16">
        <v>356.66559999999998</v>
      </c>
      <c r="D295" s="16">
        <v>347.06650000000002</v>
      </c>
      <c r="E295" s="16">
        <v>324.8125</v>
      </c>
      <c r="F295" s="16">
        <v>303.56470000000002</v>
      </c>
      <c r="G295" s="16">
        <v>291.19990000000001</v>
      </c>
      <c r="H295" s="16">
        <v>289.55450000000002</v>
      </c>
      <c r="I295" s="16">
        <v>278.53460000000001</v>
      </c>
      <c r="J295" s="16">
        <v>289.83819999999997</v>
      </c>
      <c r="K295" s="16">
        <v>301.09769999999997</v>
      </c>
      <c r="L295" s="16">
        <v>292.4205</v>
      </c>
      <c r="M295" s="16">
        <v>313.21280000000002</v>
      </c>
      <c r="N295" s="16">
        <v>294.23090000000002</v>
      </c>
      <c r="O295" s="16">
        <v>320.80849999999998</v>
      </c>
      <c r="P295" s="16">
        <v>351.63580000000002</v>
      </c>
      <c r="Q295" s="16">
        <v>357.9889</v>
      </c>
      <c r="R295" s="16">
        <v>361.62110000000001</v>
      </c>
      <c r="S295" s="16">
        <v>370.173</v>
      </c>
      <c r="T295" s="16">
        <v>342.8492</v>
      </c>
      <c r="U295" s="16">
        <v>341.57130000000001</v>
      </c>
      <c r="V295" s="16">
        <v>344.16219999999998</v>
      </c>
      <c r="W295" s="16">
        <v>341.24160000000001</v>
      </c>
      <c r="X295" s="16">
        <v>330.97320000000002</v>
      </c>
      <c r="Y295" s="16">
        <v>322.2038</v>
      </c>
      <c r="Z295" s="26" t="s">
        <v>32</v>
      </c>
      <c r="AA295" s="25">
        <f t="shared" si="8"/>
        <v>278.53460000000001</v>
      </c>
      <c r="AB295" s="25">
        <f t="shared" si="9"/>
        <v>326.99877083333303</v>
      </c>
    </row>
    <row r="296" spans="1:28">
      <c r="A296" s="8">
        <v>45586</v>
      </c>
      <c r="B296" s="16">
        <v>324.40640000000002</v>
      </c>
      <c r="C296" s="16">
        <v>299.49880000000002</v>
      </c>
      <c r="D296" s="16">
        <v>282.08839999999998</v>
      </c>
      <c r="E296" s="16">
        <v>258.10390000000001</v>
      </c>
      <c r="F296" s="16">
        <v>221.85300000000001</v>
      </c>
      <c r="G296" s="16">
        <v>209.1207</v>
      </c>
      <c r="H296" s="16">
        <v>258.62180000000001</v>
      </c>
      <c r="I296" s="16">
        <v>259.12549999999999</v>
      </c>
      <c r="J296" s="16">
        <v>329.74889999999999</v>
      </c>
      <c r="K296" s="16">
        <v>386.68529999999998</v>
      </c>
      <c r="L296" s="16">
        <v>381.22</v>
      </c>
      <c r="M296" s="16">
        <v>366.16899999999998</v>
      </c>
      <c r="N296" s="16">
        <v>302.73410000000001</v>
      </c>
      <c r="O296" s="16">
        <v>355.09899999999999</v>
      </c>
      <c r="P296" s="16">
        <v>415.75909999999999</v>
      </c>
      <c r="Q296" s="16">
        <v>403.37540000000001</v>
      </c>
      <c r="R296" s="16">
        <v>405.42250000000001</v>
      </c>
      <c r="S296" s="16">
        <v>385.73770000000002</v>
      </c>
      <c r="T296" s="16">
        <v>367.4538</v>
      </c>
      <c r="U296" s="16">
        <v>369.41160000000002</v>
      </c>
      <c r="V296" s="16">
        <v>388.65780000000001</v>
      </c>
      <c r="W296" s="16">
        <v>381.62259999999998</v>
      </c>
      <c r="X296" s="16">
        <v>356.72300000000001</v>
      </c>
      <c r="Y296" s="16">
        <v>327.88600000000002</v>
      </c>
      <c r="Z296" s="26" t="s">
        <v>32</v>
      </c>
      <c r="AA296" s="25">
        <f t="shared" si="8"/>
        <v>209.1207</v>
      </c>
      <c r="AB296" s="25">
        <f t="shared" si="9"/>
        <v>334.85517916666703</v>
      </c>
    </row>
    <row r="297" spans="1:28">
      <c r="A297" s="8">
        <v>45587</v>
      </c>
      <c r="B297" s="16">
        <v>347.55</v>
      </c>
      <c r="C297" s="16">
        <v>328.04419999999999</v>
      </c>
      <c r="D297" s="16">
        <v>325.4821</v>
      </c>
      <c r="E297" s="16">
        <v>317.76659999999998</v>
      </c>
      <c r="F297" s="16">
        <v>301.20670000000001</v>
      </c>
      <c r="G297" s="16">
        <v>298.65649999999999</v>
      </c>
      <c r="H297" s="16">
        <v>312.4314</v>
      </c>
      <c r="I297" s="16">
        <v>311.64710000000002</v>
      </c>
      <c r="J297" s="16">
        <v>337.05119999999999</v>
      </c>
      <c r="K297" s="16">
        <v>362.43270000000001</v>
      </c>
      <c r="L297" s="16">
        <v>338.4622</v>
      </c>
      <c r="M297" s="16">
        <v>330.57220000000001</v>
      </c>
      <c r="N297" s="16">
        <v>283.93180000000001</v>
      </c>
      <c r="O297" s="16">
        <v>312.12</v>
      </c>
      <c r="P297" s="16">
        <v>352.81200000000001</v>
      </c>
      <c r="Q297" s="16">
        <v>351.33960000000002</v>
      </c>
      <c r="R297" s="16">
        <v>356.9819</v>
      </c>
      <c r="S297" s="16">
        <v>353.7647</v>
      </c>
      <c r="T297" s="16">
        <v>337.93430000000001</v>
      </c>
      <c r="U297" s="16">
        <v>343.01889999999997</v>
      </c>
      <c r="V297" s="16">
        <v>350.69569999999999</v>
      </c>
      <c r="W297" s="16">
        <v>354.70429999999999</v>
      </c>
      <c r="X297" s="16">
        <v>336.3005</v>
      </c>
      <c r="Y297" s="16">
        <v>291.9742</v>
      </c>
      <c r="Z297" s="26" t="s">
        <v>32</v>
      </c>
      <c r="AA297" s="25">
        <f t="shared" si="8"/>
        <v>283.93180000000001</v>
      </c>
      <c r="AB297" s="25">
        <f t="shared" si="9"/>
        <v>330.70336666666702</v>
      </c>
    </row>
    <row r="298" spans="1:28">
      <c r="A298" s="8">
        <v>45588</v>
      </c>
      <c r="B298" s="16">
        <v>307.93979999999999</v>
      </c>
      <c r="C298" s="16">
        <v>286.65870000000001</v>
      </c>
      <c r="D298" s="16">
        <v>290.31540000000001</v>
      </c>
      <c r="E298" s="16">
        <v>261.7056</v>
      </c>
      <c r="F298" s="16">
        <v>233.50370000000001</v>
      </c>
      <c r="G298" s="16">
        <v>217.82650000000001</v>
      </c>
      <c r="H298" s="16">
        <v>264.66370000000001</v>
      </c>
      <c r="I298" s="16">
        <v>274.46359999999999</v>
      </c>
      <c r="J298" s="16">
        <v>311.62329999999997</v>
      </c>
      <c r="K298" s="16">
        <v>288.82089999999999</v>
      </c>
      <c r="L298" s="16">
        <v>328.70870000000002</v>
      </c>
      <c r="M298" s="16">
        <v>342.48180000000002</v>
      </c>
      <c r="N298" s="16">
        <v>177.55779999999999</v>
      </c>
      <c r="O298" s="16">
        <v>282.99149999999997</v>
      </c>
      <c r="P298" s="16">
        <v>305.649</v>
      </c>
      <c r="Q298" s="16">
        <v>312.86130000000003</v>
      </c>
      <c r="R298" s="16">
        <v>320.45870000000002</v>
      </c>
      <c r="S298" s="16">
        <v>337.8716</v>
      </c>
      <c r="T298" s="16">
        <v>341.31189999999998</v>
      </c>
      <c r="U298" s="16">
        <v>335.4991</v>
      </c>
      <c r="V298" s="16">
        <v>333.31279999999998</v>
      </c>
      <c r="W298" s="16">
        <v>337.3057</v>
      </c>
      <c r="X298" s="16">
        <v>316.61419999999998</v>
      </c>
      <c r="Y298" s="16">
        <v>292.09879999999998</v>
      </c>
      <c r="Z298" s="26" t="s">
        <v>32</v>
      </c>
      <c r="AA298" s="25">
        <f t="shared" si="8"/>
        <v>177.55779999999999</v>
      </c>
      <c r="AB298" s="25">
        <f t="shared" si="9"/>
        <v>295.92683749999998</v>
      </c>
    </row>
    <row r="299" spans="1:28">
      <c r="A299" s="8">
        <v>45589</v>
      </c>
      <c r="B299" s="16">
        <v>180.1464</v>
      </c>
      <c r="C299" s="16">
        <v>9.4221000000000004</v>
      </c>
      <c r="D299" s="16">
        <v>120.8058</v>
      </c>
      <c r="E299" s="16">
        <v>71.766300000000001</v>
      </c>
      <c r="F299" s="16">
        <v>0</v>
      </c>
      <c r="G299" s="16">
        <v>0</v>
      </c>
      <c r="H299" s="16">
        <v>139.78370000000001</v>
      </c>
      <c r="I299" s="16">
        <v>262.32940000000002</v>
      </c>
      <c r="J299" s="16">
        <v>281.63409999999999</v>
      </c>
      <c r="K299" s="16">
        <v>220.2253</v>
      </c>
      <c r="L299" s="16">
        <v>146.3064</v>
      </c>
      <c r="M299" s="16">
        <v>148.97640000000001</v>
      </c>
      <c r="N299" s="16">
        <v>20.665900000000001</v>
      </c>
      <c r="O299" s="16">
        <v>181.62979999999999</v>
      </c>
      <c r="P299" s="16">
        <v>289.20519999999999</v>
      </c>
      <c r="Q299" s="16">
        <v>301.10399999999998</v>
      </c>
      <c r="R299" s="16">
        <v>308.6687</v>
      </c>
      <c r="S299" s="16">
        <v>314.60610000000003</v>
      </c>
      <c r="T299" s="16">
        <v>314.37979999999999</v>
      </c>
      <c r="U299" s="16">
        <v>315.01580000000001</v>
      </c>
      <c r="V299" s="16">
        <v>303.06229999999999</v>
      </c>
      <c r="W299" s="16">
        <v>308.13209999999998</v>
      </c>
      <c r="X299" s="16">
        <v>276.47910000000002</v>
      </c>
      <c r="Y299" s="16">
        <v>111.45399999999999</v>
      </c>
      <c r="Z299" s="26" t="s">
        <v>33</v>
      </c>
      <c r="AA299" s="25">
        <f t="shared" si="8"/>
        <v>0</v>
      </c>
      <c r="AB299" s="25">
        <f t="shared" si="9"/>
        <v>192.7416125</v>
      </c>
    </row>
    <row r="300" spans="1:28">
      <c r="A300" s="8">
        <v>45590</v>
      </c>
      <c r="B300" s="16">
        <v>11.491099999999999</v>
      </c>
      <c r="C300" s="16">
        <v>8.7121999999999993</v>
      </c>
      <c r="D300" s="16">
        <v>82.732100000000003</v>
      </c>
      <c r="E300" s="16">
        <v>0.22070000000000001</v>
      </c>
      <c r="F300" s="16">
        <v>0</v>
      </c>
      <c r="G300" s="16">
        <v>0</v>
      </c>
      <c r="H300" s="16">
        <v>2.5000000000000001E-3</v>
      </c>
      <c r="I300" s="16">
        <v>2.8132000000000001</v>
      </c>
      <c r="J300" s="16">
        <v>263.06549999999999</v>
      </c>
      <c r="K300" s="16">
        <v>172.47659999999999</v>
      </c>
      <c r="L300" s="16">
        <v>99.840900000000005</v>
      </c>
      <c r="M300" s="16">
        <v>202.05950000000001</v>
      </c>
      <c r="N300" s="16">
        <v>26.9178</v>
      </c>
      <c r="O300" s="16">
        <v>199.31639999999999</v>
      </c>
      <c r="P300" s="16">
        <v>307.90109999999999</v>
      </c>
      <c r="Q300" s="16">
        <v>290.02280000000002</v>
      </c>
      <c r="R300" s="16">
        <v>297.08300000000003</v>
      </c>
      <c r="S300" s="16">
        <v>297.53649999999999</v>
      </c>
      <c r="T300" s="16">
        <v>299.8861</v>
      </c>
      <c r="U300" s="16">
        <v>300.68810000000002</v>
      </c>
      <c r="V300" s="16">
        <v>291.52370000000002</v>
      </c>
      <c r="W300" s="16">
        <v>302.62610000000001</v>
      </c>
      <c r="X300" s="16">
        <v>230.50059999999999</v>
      </c>
      <c r="Y300" s="16">
        <v>0.23910000000000001</v>
      </c>
      <c r="Z300" s="26" t="s">
        <v>34</v>
      </c>
      <c r="AA300" s="25">
        <f t="shared" si="8"/>
        <v>0</v>
      </c>
      <c r="AB300" s="25">
        <f t="shared" si="9"/>
        <v>153.65231666666699</v>
      </c>
    </row>
    <row r="301" spans="1:28">
      <c r="A301" s="8">
        <v>45591</v>
      </c>
      <c r="B301" s="16">
        <v>222.35640000000001</v>
      </c>
      <c r="C301" s="16">
        <v>270.11410000000001</v>
      </c>
      <c r="D301" s="16">
        <v>278.66019999999997</v>
      </c>
      <c r="E301" s="16">
        <v>270.27980000000002</v>
      </c>
      <c r="F301" s="16">
        <v>254.90549999999999</v>
      </c>
      <c r="G301" s="16">
        <v>250.93199999999999</v>
      </c>
      <c r="H301" s="16">
        <v>261.01330000000002</v>
      </c>
      <c r="I301" s="16">
        <v>258.85320000000002</v>
      </c>
      <c r="J301" s="16">
        <v>288.10199999999998</v>
      </c>
      <c r="K301" s="16">
        <v>288.40780000000001</v>
      </c>
      <c r="L301" s="16">
        <v>248.0394</v>
      </c>
      <c r="M301" s="16">
        <v>258.15460000000002</v>
      </c>
      <c r="N301" s="16">
        <v>130.04179999999999</v>
      </c>
      <c r="O301" s="16">
        <v>280.89060000000001</v>
      </c>
      <c r="P301" s="16">
        <v>334.93049999999999</v>
      </c>
      <c r="Q301" s="16">
        <v>314.23480000000001</v>
      </c>
      <c r="R301" s="16">
        <v>322.03960000000001</v>
      </c>
      <c r="S301" s="16">
        <v>311.40350000000001</v>
      </c>
      <c r="T301" s="16">
        <v>305.88029999999998</v>
      </c>
      <c r="U301" s="16">
        <v>305.01929999999999</v>
      </c>
      <c r="V301" s="16">
        <v>298.98469999999998</v>
      </c>
      <c r="W301" s="16">
        <v>312.54480000000001</v>
      </c>
      <c r="X301" s="16">
        <v>296.74020000000002</v>
      </c>
      <c r="Y301" s="16">
        <v>269.8827</v>
      </c>
      <c r="Z301" s="26" t="s">
        <v>32</v>
      </c>
      <c r="AA301" s="25">
        <f t="shared" si="8"/>
        <v>130.04179999999999</v>
      </c>
      <c r="AB301" s="25">
        <f t="shared" si="9"/>
        <v>276.35046249999999</v>
      </c>
    </row>
    <row r="302" spans="1:28">
      <c r="A302" s="8">
        <v>45592</v>
      </c>
      <c r="B302" s="16">
        <v>320.14179999999999</v>
      </c>
      <c r="C302" s="16">
        <v>321.12200000000001</v>
      </c>
      <c r="D302" s="16">
        <v>334.49720000000002</v>
      </c>
      <c r="E302" s="16">
        <v>327.99059999999997</v>
      </c>
      <c r="F302" s="16">
        <v>316.35219999999998</v>
      </c>
      <c r="G302" s="16">
        <v>312.40809999999999</v>
      </c>
      <c r="H302" s="16">
        <v>308.16609999999997</v>
      </c>
      <c r="I302" s="16">
        <v>308.20420000000001</v>
      </c>
      <c r="J302" s="16">
        <v>304.44229999999999</v>
      </c>
      <c r="K302" s="16">
        <v>313.15870000000001</v>
      </c>
      <c r="L302" s="16">
        <v>304.38569999999999</v>
      </c>
      <c r="M302" s="16">
        <v>306.16199999999998</v>
      </c>
      <c r="N302" s="16">
        <v>287.767</v>
      </c>
      <c r="O302" s="16">
        <v>309.42320000000001</v>
      </c>
      <c r="P302" s="16">
        <v>323.72469999999998</v>
      </c>
      <c r="Q302" s="16">
        <v>315.62369999999999</v>
      </c>
      <c r="R302" s="16">
        <v>306.77890000000002</v>
      </c>
      <c r="S302" s="16">
        <v>309.64229999999998</v>
      </c>
      <c r="T302" s="16">
        <v>310.05009999999999</v>
      </c>
      <c r="U302" s="16">
        <v>317.44560000000001</v>
      </c>
      <c r="V302" s="16">
        <v>314.59519999999998</v>
      </c>
      <c r="W302" s="16">
        <v>326.38889999999998</v>
      </c>
      <c r="X302" s="16">
        <v>328.25830000000002</v>
      </c>
      <c r="Y302" s="16">
        <v>304.26249999999999</v>
      </c>
      <c r="Z302" s="26" t="s">
        <v>32</v>
      </c>
      <c r="AA302" s="25">
        <f t="shared" si="8"/>
        <v>287.767</v>
      </c>
      <c r="AB302" s="25">
        <f t="shared" si="9"/>
        <v>313.79130416666698</v>
      </c>
    </row>
    <row r="303" spans="1:28">
      <c r="A303" s="8">
        <v>45593</v>
      </c>
      <c r="B303" s="16">
        <v>304.67829999999998</v>
      </c>
      <c r="C303" s="16">
        <v>295.89550000000003</v>
      </c>
      <c r="D303" s="16">
        <v>298.17239999999998</v>
      </c>
      <c r="E303" s="16">
        <v>292.65499999999997</v>
      </c>
      <c r="F303" s="16">
        <v>278.34350000000001</v>
      </c>
      <c r="G303" s="16">
        <v>280.39069999999998</v>
      </c>
      <c r="H303" s="16">
        <v>299.69880000000001</v>
      </c>
      <c r="I303" s="16">
        <v>306.04989999999998</v>
      </c>
      <c r="J303" s="16">
        <v>320.38339999999999</v>
      </c>
      <c r="K303" s="16">
        <v>316.40309999999999</v>
      </c>
      <c r="L303" s="16">
        <v>310.18419999999998</v>
      </c>
      <c r="M303" s="16">
        <v>308.4307</v>
      </c>
      <c r="N303" s="16">
        <v>258.62920000000003</v>
      </c>
      <c r="O303" s="16">
        <v>289.5976</v>
      </c>
      <c r="P303" s="16">
        <v>313.99689999999998</v>
      </c>
      <c r="Q303" s="16">
        <v>309.78480000000002</v>
      </c>
      <c r="R303" s="16">
        <v>309.42099999999999</v>
      </c>
      <c r="S303" s="16">
        <v>303.90719999999999</v>
      </c>
      <c r="T303" s="16">
        <v>315.7611</v>
      </c>
      <c r="U303" s="16">
        <v>317.99549999999999</v>
      </c>
      <c r="V303" s="16">
        <v>305.44130000000001</v>
      </c>
      <c r="W303" s="16">
        <v>310.38749999999999</v>
      </c>
      <c r="X303" s="16">
        <v>301.36189999999999</v>
      </c>
      <c r="Y303" s="16">
        <v>245.97970000000001</v>
      </c>
      <c r="Z303" s="26" t="s">
        <v>32</v>
      </c>
      <c r="AA303" s="25">
        <f t="shared" si="8"/>
        <v>245.97970000000001</v>
      </c>
      <c r="AB303" s="25">
        <f t="shared" si="9"/>
        <v>299.73121666666702</v>
      </c>
    </row>
    <row r="304" spans="1:28">
      <c r="A304" s="8">
        <v>45594</v>
      </c>
      <c r="B304" s="16">
        <v>255.0147</v>
      </c>
      <c r="C304" s="16">
        <v>274.09620000000001</v>
      </c>
      <c r="D304" s="16">
        <v>275.46089999999998</v>
      </c>
      <c r="E304" s="16">
        <v>270.4049</v>
      </c>
      <c r="F304" s="16">
        <v>242.066</v>
      </c>
      <c r="G304" s="16">
        <v>241.16800000000001</v>
      </c>
      <c r="H304" s="16">
        <v>272.47000000000003</v>
      </c>
      <c r="I304" s="16">
        <v>272.02480000000003</v>
      </c>
      <c r="J304" s="16">
        <v>279.0575</v>
      </c>
      <c r="K304" s="16">
        <v>278.02019999999999</v>
      </c>
      <c r="L304" s="16">
        <v>206.15809999999999</v>
      </c>
      <c r="M304" s="16">
        <v>229.45830000000001</v>
      </c>
      <c r="N304" s="16">
        <v>35.682699999999997</v>
      </c>
      <c r="O304" s="16">
        <v>236.3681</v>
      </c>
      <c r="P304" s="16">
        <v>287.73489999999998</v>
      </c>
      <c r="Q304" s="16">
        <v>293.45670000000001</v>
      </c>
      <c r="R304" s="16">
        <v>295.89690000000002</v>
      </c>
      <c r="S304" s="16">
        <v>303.68079999999998</v>
      </c>
      <c r="T304" s="16">
        <v>311.73410000000001</v>
      </c>
      <c r="U304" s="16">
        <v>314.40899999999999</v>
      </c>
      <c r="V304" s="16">
        <v>309.92880000000002</v>
      </c>
      <c r="W304" s="16">
        <v>306.14589999999998</v>
      </c>
      <c r="X304" s="16">
        <v>285.49540000000002</v>
      </c>
      <c r="Y304" s="16">
        <v>195.845</v>
      </c>
      <c r="Z304" s="26" t="s">
        <v>32</v>
      </c>
      <c r="AA304" s="25">
        <f t="shared" si="8"/>
        <v>35.682699999999997</v>
      </c>
      <c r="AB304" s="25">
        <f t="shared" si="9"/>
        <v>261.32407916666699</v>
      </c>
    </row>
    <row r="305" spans="1:28">
      <c r="A305" s="8">
        <v>45595</v>
      </c>
      <c r="B305" s="16">
        <v>290.57409999999999</v>
      </c>
      <c r="C305" s="16">
        <v>290.56970000000001</v>
      </c>
      <c r="D305" s="16">
        <v>291.62400000000002</v>
      </c>
      <c r="E305" s="16">
        <v>288.33089999999999</v>
      </c>
      <c r="F305" s="16">
        <v>279.75209999999998</v>
      </c>
      <c r="G305" s="16">
        <v>282.10989999999998</v>
      </c>
      <c r="H305" s="16">
        <v>299.54289999999997</v>
      </c>
      <c r="I305" s="16">
        <v>300.108</v>
      </c>
      <c r="J305" s="16">
        <v>305.13780000000003</v>
      </c>
      <c r="K305" s="16">
        <v>306.00020000000001</v>
      </c>
      <c r="L305" s="16">
        <v>301.34059999999999</v>
      </c>
      <c r="M305" s="16">
        <v>306.39679999999998</v>
      </c>
      <c r="N305" s="16">
        <v>260.98419999999999</v>
      </c>
      <c r="O305" s="16">
        <v>311.1986</v>
      </c>
      <c r="P305" s="16">
        <v>332.77199999999999</v>
      </c>
      <c r="Q305" s="16">
        <v>336.80860000000001</v>
      </c>
      <c r="R305" s="16">
        <v>337.86320000000001</v>
      </c>
      <c r="S305" s="16">
        <v>345.05489999999998</v>
      </c>
      <c r="T305" s="16">
        <v>348.42259999999999</v>
      </c>
      <c r="U305" s="16">
        <v>350.6232</v>
      </c>
      <c r="V305" s="16">
        <v>353.35910000000001</v>
      </c>
      <c r="W305" s="16">
        <v>349.53399999999999</v>
      </c>
      <c r="X305" s="16">
        <v>347.56360000000001</v>
      </c>
      <c r="Y305" s="16">
        <v>301.39920000000001</v>
      </c>
      <c r="Z305" s="26" t="s">
        <v>32</v>
      </c>
      <c r="AA305" s="25">
        <f t="shared" si="8"/>
        <v>260.98419999999999</v>
      </c>
      <c r="AB305" s="25">
        <f t="shared" si="9"/>
        <v>313.21125833333298</v>
      </c>
    </row>
    <row r="306" spans="1:28">
      <c r="A306" s="8">
        <v>45596</v>
      </c>
      <c r="B306" s="16">
        <v>314.55939999999998</v>
      </c>
      <c r="C306" s="16">
        <v>305.3175</v>
      </c>
      <c r="D306" s="16">
        <v>299.87549999999999</v>
      </c>
      <c r="E306" s="16">
        <v>295.48469999999998</v>
      </c>
      <c r="F306" s="16">
        <v>283.98050000000001</v>
      </c>
      <c r="G306" s="16">
        <v>283.34539999999998</v>
      </c>
      <c r="H306" s="16">
        <v>298.35489999999999</v>
      </c>
      <c r="I306" s="16">
        <v>290.6925</v>
      </c>
      <c r="J306" s="16">
        <v>290.01299999999998</v>
      </c>
      <c r="K306" s="16">
        <v>292.1454</v>
      </c>
      <c r="L306" s="16">
        <v>270.37819999999999</v>
      </c>
      <c r="M306" s="16">
        <v>239.76669999999999</v>
      </c>
      <c r="N306" s="16">
        <v>132.2501</v>
      </c>
      <c r="O306" s="16">
        <v>233.41669999999999</v>
      </c>
      <c r="P306" s="16">
        <v>295.43889999999999</v>
      </c>
      <c r="Q306" s="16">
        <v>308.64389999999997</v>
      </c>
      <c r="R306" s="16">
        <v>317.0754</v>
      </c>
      <c r="S306" s="16">
        <v>321.99090000000001</v>
      </c>
      <c r="T306" s="16">
        <v>322.52280000000002</v>
      </c>
      <c r="U306" s="16">
        <v>322.45690000000002</v>
      </c>
      <c r="V306" s="16">
        <v>311.35109999999997</v>
      </c>
      <c r="W306" s="16">
        <v>308.84780000000001</v>
      </c>
      <c r="X306" s="16">
        <v>307.57119999999998</v>
      </c>
      <c r="Y306" s="16">
        <v>276.27210000000002</v>
      </c>
      <c r="Z306" s="26" t="s">
        <v>33</v>
      </c>
      <c r="AA306" s="25">
        <f t="shared" si="8"/>
        <v>132.2501</v>
      </c>
      <c r="AB306" s="25">
        <f t="shared" si="9"/>
        <v>288.40631250000001</v>
      </c>
    </row>
    <row r="307" spans="1:28">
      <c r="A307" s="8">
        <v>45597</v>
      </c>
      <c r="B307" s="16">
        <v>318.10669999999999</v>
      </c>
      <c r="C307" s="16">
        <v>310.5</v>
      </c>
      <c r="D307" s="16">
        <v>304.83</v>
      </c>
      <c r="E307" s="16">
        <v>300.64999999999998</v>
      </c>
      <c r="F307" s="16">
        <v>297.83</v>
      </c>
      <c r="G307" s="16">
        <v>298.14999999999998</v>
      </c>
      <c r="H307" s="16">
        <v>307.10169999999999</v>
      </c>
      <c r="I307" s="16">
        <v>315.73700000000002</v>
      </c>
      <c r="J307" s="16">
        <v>328.74360000000001</v>
      </c>
      <c r="K307" s="16">
        <v>334.78</v>
      </c>
      <c r="L307" s="16">
        <v>317.38069999999999</v>
      </c>
      <c r="M307" s="16">
        <v>309.79410000000001</v>
      </c>
      <c r="N307" s="16">
        <v>284.41609999999997</v>
      </c>
      <c r="O307" s="16">
        <v>299.7466</v>
      </c>
      <c r="P307" s="16">
        <v>311.98259999999999</v>
      </c>
      <c r="Q307" s="16">
        <v>317.64690000000002</v>
      </c>
      <c r="R307" s="16">
        <v>342.98079999999999</v>
      </c>
      <c r="S307" s="16">
        <v>463.12700000000001</v>
      </c>
      <c r="T307" s="16">
        <v>427.5</v>
      </c>
      <c r="U307" s="16">
        <v>456.86529999999999</v>
      </c>
      <c r="V307" s="16">
        <v>411.83530000000002</v>
      </c>
      <c r="W307" s="16">
        <v>372.87369999999999</v>
      </c>
      <c r="X307" s="16">
        <v>343.7561</v>
      </c>
      <c r="Y307" s="16">
        <v>318.48230000000001</v>
      </c>
      <c r="Z307" s="26" t="s">
        <v>34</v>
      </c>
      <c r="AA307" s="25">
        <f t="shared" si="8"/>
        <v>284.41609999999997</v>
      </c>
      <c r="AB307" s="25">
        <f t="shared" si="9"/>
        <v>337.28402083333299</v>
      </c>
    </row>
    <row r="308" spans="1:28">
      <c r="A308" s="8">
        <v>45598</v>
      </c>
      <c r="B308" s="16">
        <v>333.23129999999998</v>
      </c>
      <c r="C308" s="16">
        <v>318.74</v>
      </c>
      <c r="D308" s="16">
        <v>312.20549999999997</v>
      </c>
      <c r="E308" s="16">
        <v>308.14</v>
      </c>
      <c r="F308" s="16">
        <v>304.95490000000001</v>
      </c>
      <c r="G308" s="16">
        <v>300.81470000000002</v>
      </c>
      <c r="H308" s="16">
        <v>308.60359999999997</v>
      </c>
      <c r="I308" s="16">
        <v>311.25</v>
      </c>
      <c r="J308" s="16">
        <v>325.17500000000001</v>
      </c>
      <c r="K308" s="16">
        <v>328.88130000000001</v>
      </c>
      <c r="L308" s="16">
        <v>316.46379999999999</v>
      </c>
      <c r="M308" s="16">
        <v>308.95530000000002</v>
      </c>
      <c r="N308" s="16">
        <v>283.2242</v>
      </c>
      <c r="O308" s="16">
        <v>296.738</v>
      </c>
      <c r="P308" s="16">
        <v>311.02170000000001</v>
      </c>
      <c r="Q308" s="16">
        <v>318.93979999999999</v>
      </c>
      <c r="R308" s="16">
        <v>342.83819999999997</v>
      </c>
      <c r="S308" s="16">
        <v>497.91800000000001</v>
      </c>
      <c r="T308" s="16">
        <v>450.59730000000002</v>
      </c>
      <c r="U308" s="16">
        <v>443.08150000000001</v>
      </c>
      <c r="V308" s="16">
        <v>422.94319999999999</v>
      </c>
      <c r="W308" s="16">
        <v>377.8888</v>
      </c>
      <c r="X308" s="16">
        <v>353.50650000000002</v>
      </c>
      <c r="Y308" s="16">
        <v>330.70150000000001</v>
      </c>
      <c r="Z308" s="26" t="s">
        <v>32</v>
      </c>
      <c r="AA308" s="25">
        <f t="shared" si="8"/>
        <v>283.2242</v>
      </c>
      <c r="AB308" s="25">
        <f t="shared" si="9"/>
        <v>341.95058749999998</v>
      </c>
    </row>
    <row r="309" spans="1:28">
      <c r="A309" s="8">
        <v>45599</v>
      </c>
      <c r="B309" s="16">
        <v>318.05020000000002</v>
      </c>
      <c r="C309" s="16">
        <v>308.50029999999998</v>
      </c>
      <c r="D309" s="16">
        <v>303.12099999999998</v>
      </c>
      <c r="E309" s="16">
        <v>300.50529999999998</v>
      </c>
      <c r="F309" s="16">
        <v>296.221</v>
      </c>
      <c r="G309" s="16">
        <v>294.84699999999998</v>
      </c>
      <c r="H309" s="16">
        <v>297.334</v>
      </c>
      <c r="I309" s="16">
        <v>301.54090000000002</v>
      </c>
      <c r="J309" s="16">
        <v>300.4572</v>
      </c>
      <c r="K309" s="16">
        <v>303.2559</v>
      </c>
      <c r="L309" s="16">
        <v>293.15359999999998</v>
      </c>
      <c r="M309" s="16">
        <v>293.09719999999999</v>
      </c>
      <c r="N309" s="16">
        <v>230.33799999999999</v>
      </c>
      <c r="O309" s="16">
        <v>268.26490000000001</v>
      </c>
      <c r="P309" s="16">
        <v>300.57310000000001</v>
      </c>
      <c r="Q309" s="16">
        <v>310.41890000000001</v>
      </c>
      <c r="R309" s="16">
        <v>330.6223</v>
      </c>
      <c r="S309" s="16">
        <v>361.97660000000002</v>
      </c>
      <c r="T309" s="16">
        <v>386.07229999999998</v>
      </c>
      <c r="U309" s="16">
        <v>392.12950000000001</v>
      </c>
      <c r="V309" s="16">
        <v>368.47179999999997</v>
      </c>
      <c r="W309" s="16">
        <v>358.00229999999999</v>
      </c>
      <c r="X309" s="16">
        <v>335.71539999999999</v>
      </c>
      <c r="Y309" s="16">
        <v>314.16480000000001</v>
      </c>
      <c r="Z309" s="26" t="s">
        <v>32</v>
      </c>
      <c r="AA309" s="25">
        <f t="shared" si="8"/>
        <v>230.33799999999999</v>
      </c>
      <c r="AB309" s="25">
        <f t="shared" si="9"/>
        <v>315.28472916666698</v>
      </c>
    </row>
    <row r="310" spans="1:28">
      <c r="A310" s="8">
        <v>45600</v>
      </c>
      <c r="B310" s="16">
        <v>354.85700000000003</v>
      </c>
      <c r="C310" s="16">
        <v>341.42419999999998</v>
      </c>
      <c r="D310" s="16">
        <v>324.01639999999998</v>
      </c>
      <c r="E310" s="16">
        <v>316.06740000000002</v>
      </c>
      <c r="F310" s="16">
        <v>308.78750000000002</v>
      </c>
      <c r="G310" s="16">
        <v>308.57159999999999</v>
      </c>
      <c r="H310" s="16">
        <v>328.53160000000003</v>
      </c>
      <c r="I310" s="16">
        <v>365.8116</v>
      </c>
      <c r="J310" s="16">
        <v>398.33730000000003</v>
      </c>
      <c r="K310" s="16">
        <v>418.00819999999999</v>
      </c>
      <c r="L310" s="16">
        <v>396.34500000000003</v>
      </c>
      <c r="M310" s="16">
        <v>370.40210000000002</v>
      </c>
      <c r="N310" s="16">
        <v>324.22800000000001</v>
      </c>
      <c r="O310" s="16">
        <v>339.25040000000001</v>
      </c>
      <c r="P310" s="16">
        <v>367.37549999999999</v>
      </c>
      <c r="Q310" s="16">
        <v>387.59820000000002</v>
      </c>
      <c r="R310" s="16">
        <v>431.02449999999999</v>
      </c>
      <c r="S310" s="16">
        <v>433.37180000000001</v>
      </c>
      <c r="T310" s="16">
        <v>536.8913</v>
      </c>
      <c r="U310" s="16">
        <v>522.97059999999999</v>
      </c>
      <c r="V310" s="16">
        <v>460.29719999999998</v>
      </c>
      <c r="W310" s="16">
        <v>420.6216</v>
      </c>
      <c r="X310" s="16">
        <v>371.5104</v>
      </c>
      <c r="Y310" s="16">
        <v>347.23520000000002</v>
      </c>
      <c r="Z310" s="26" t="s">
        <v>32</v>
      </c>
      <c r="AA310" s="25">
        <f t="shared" si="8"/>
        <v>308.57159999999999</v>
      </c>
      <c r="AB310" s="25">
        <f t="shared" si="9"/>
        <v>382.23060833333301</v>
      </c>
    </row>
    <row r="311" spans="1:28">
      <c r="A311" s="8">
        <v>45601</v>
      </c>
      <c r="B311" s="16">
        <v>326.65480000000002</v>
      </c>
      <c r="C311" s="16">
        <v>320.07900000000001</v>
      </c>
      <c r="D311" s="16">
        <v>315.6585</v>
      </c>
      <c r="E311" s="16">
        <v>311.31529999999998</v>
      </c>
      <c r="F311" s="16">
        <v>305.51799999999997</v>
      </c>
      <c r="G311" s="16">
        <v>305.73270000000002</v>
      </c>
      <c r="H311" s="16">
        <v>319.55829999999997</v>
      </c>
      <c r="I311" s="16">
        <v>332.54309999999998</v>
      </c>
      <c r="J311" s="16">
        <v>338.79629999999997</v>
      </c>
      <c r="K311" s="16">
        <v>343.25290000000001</v>
      </c>
      <c r="L311" s="16">
        <v>328.69049999999999</v>
      </c>
      <c r="M311" s="16">
        <v>314.89659999999998</v>
      </c>
      <c r="N311" s="16">
        <v>291.9212</v>
      </c>
      <c r="O311" s="16">
        <v>303.1001</v>
      </c>
      <c r="P311" s="16">
        <v>317.72890000000001</v>
      </c>
      <c r="Q311" s="16">
        <v>332.13369999999998</v>
      </c>
      <c r="R311" s="16">
        <v>355.73790000000002</v>
      </c>
      <c r="S311" s="16">
        <v>365.6234</v>
      </c>
      <c r="T311" s="16">
        <v>388.1087</v>
      </c>
      <c r="U311" s="16">
        <v>391.72770000000003</v>
      </c>
      <c r="V311" s="16">
        <v>355.81630000000001</v>
      </c>
      <c r="W311" s="16">
        <v>355.0462</v>
      </c>
      <c r="X311" s="16">
        <v>333.80799999999999</v>
      </c>
      <c r="Y311" s="16">
        <v>314.80399999999997</v>
      </c>
      <c r="Z311" s="26" t="s">
        <v>32</v>
      </c>
      <c r="AA311" s="25">
        <f t="shared" si="8"/>
        <v>291.9212</v>
      </c>
      <c r="AB311" s="25">
        <f t="shared" si="9"/>
        <v>332.01050416666698</v>
      </c>
    </row>
    <row r="312" spans="1:28">
      <c r="A312" s="8">
        <v>45602</v>
      </c>
      <c r="B312" s="16">
        <v>310.25240000000002</v>
      </c>
      <c r="C312" s="16">
        <v>299.11869999999999</v>
      </c>
      <c r="D312" s="16">
        <v>291.78399999999999</v>
      </c>
      <c r="E312" s="16">
        <v>288.78570000000002</v>
      </c>
      <c r="F312" s="16">
        <v>283.62849999999997</v>
      </c>
      <c r="G312" s="16">
        <v>282.58569999999997</v>
      </c>
      <c r="H312" s="16">
        <v>293.01909999999998</v>
      </c>
      <c r="I312" s="16">
        <v>308.37450000000001</v>
      </c>
      <c r="J312" s="16">
        <v>316.69900000000001</v>
      </c>
      <c r="K312" s="16">
        <v>322.06310000000002</v>
      </c>
      <c r="L312" s="16">
        <v>314.71820000000002</v>
      </c>
      <c r="M312" s="16">
        <v>305.9554</v>
      </c>
      <c r="N312" s="16">
        <v>285.76170000000002</v>
      </c>
      <c r="O312" s="16">
        <v>295.49889999999999</v>
      </c>
      <c r="P312" s="16">
        <v>311.95339999999999</v>
      </c>
      <c r="Q312" s="16">
        <v>325.68349999999998</v>
      </c>
      <c r="R312" s="16">
        <v>345.89569999999998</v>
      </c>
      <c r="S312" s="16">
        <v>350.47129999999999</v>
      </c>
      <c r="T312" s="16">
        <v>372.31700000000001</v>
      </c>
      <c r="U312" s="16">
        <v>376.76609999999999</v>
      </c>
      <c r="V312" s="16">
        <v>346.48919999999998</v>
      </c>
      <c r="W312" s="16">
        <v>337.88380000000001</v>
      </c>
      <c r="X312" s="16">
        <v>321.86380000000003</v>
      </c>
      <c r="Y312" s="16">
        <v>302.40159999999997</v>
      </c>
      <c r="Z312" s="26" t="s">
        <v>32</v>
      </c>
      <c r="AA312" s="25">
        <f t="shared" si="8"/>
        <v>282.58569999999997</v>
      </c>
      <c r="AB312" s="25">
        <f t="shared" si="9"/>
        <v>316.2487625</v>
      </c>
    </row>
    <row r="313" spans="1:28">
      <c r="A313" s="8">
        <v>45603</v>
      </c>
      <c r="B313" s="16">
        <v>302.2636</v>
      </c>
      <c r="C313" s="16">
        <v>293.93360000000001</v>
      </c>
      <c r="D313" s="16">
        <v>289.60750000000002</v>
      </c>
      <c r="E313" s="16">
        <v>284.74540000000002</v>
      </c>
      <c r="F313" s="16">
        <v>282.16230000000002</v>
      </c>
      <c r="G313" s="16">
        <v>282.30950000000001</v>
      </c>
      <c r="H313" s="16">
        <v>292.83319999999998</v>
      </c>
      <c r="I313" s="16">
        <v>303.6354</v>
      </c>
      <c r="J313" s="16">
        <v>312.5872</v>
      </c>
      <c r="K313" s="16">
        <v>318.05889999999999</v>
      </c>
      <c r="L313" s="16">
        <v>306.99040000000002</v>
      </c>
      <c r="M313" s="16">
        <v>300.1293</v>
      </c>
      <c r="N313" s="16">
        <v>283.08210000000003</v>
      </c>
      <c r="O313" s="16">
        <v>292.59440000000001</v>
      </c>
      <c r="P313" s="16">
        <v>308.91320000000002</v>
      </c>
      <c r="Q313" s="16">
        <v>318.09879999999998</v>
      </c>
      <c r="R313" s="16">
        <v>339.70170000000002</v>
      </c>
      <c r="S313" s="16">
        <v>366.4871</v>
      </c>
      <c r="T313" s="16">
        <v>435.82010000000002</v>
      </c>
      <c r="U313" s="16">
        <v>424.041</v>
      </c>
      <c r="V313" s="16">
        <v>350.41109999999998</v>
      </c>
      <c r="W313" s="16">
        <v>347.59480000000002</v>
      </c>
      <c r="X313" s="16">
        <v>322.27769999999998</v>
      </c>
      <c r="Y313" s="16">
        <v>306.0052</v>
      </c>
      <c r="Z313" s="26" t="s">
        <v>33</v>
      </c>
      <c r="AA313" s="25">
        <f t="shared" si="8"/>
        <v>282.16230000000002</v>
      </c>
      <c r="AB313" s="25">
        <f t="shared" si="9"/>
        <v>319.34514583333299</v>
      </c>
    </row>
    <row r="314" spans="1:28">
      <c r="A314" s="8">
        <v>45604</v>
      </c>
      <c r="B314" s="16">
        <v>309.1447</v>
      </c>
      <c r="C314" s="16">
        <v>302.93</v>
      </c>
      <c r="D314" s="16">
        <v>299.78280000000001</v>
      </c>
      <c r="E314" s="16">
        <v>297.41090000000003</v>
      </c>
      <c r="F314" s="16">
        <v>296.82040000000001</v>
      </c>
      <c r="G314" s="16">
        <v>296.5104</v>
      </c>
      <c r="H314" s="16">
        <v>304.95159999999998</v>
      </c>
      <c r="I314" s="16">
        <v>315.43740000000003</v>
      </c>
      <c r="J314" s="16">
        <v>325.40769999999998</v>
      </c>
      <c r="K314" s="16">
        <v>327.68119999999999</v>
      </c>
      <c r="L314" s="16">
        <v>313.38400000000001</v>
      </c>
      <c r="M314" s="16">
        <v>304.97660000000002</v>
      </c>
      <c r="N314" s="16">
        <v>285.83409999999998</v>
      </c>
      <c r="O314" s="16">
        <v>291.80200000000002</v>
      </c>
      <c r="P314" s="16">
        <v>304.76319999999998</v>
      </c>
      <c r="Q314" s="16">
        <v>317.60120000000001</v>
      </c>
      <c r="R314" s="16">
        <v>335.97109999999998</v>
      </c>
      <c r="S314" s="16">
        <v>350.4341</v>
      </c>
      <c r="T314" s="16">
        <v>414.15879999999999</v>
      </c>
      <c r="U314" s="16">
        <v>615.42970000000003</v>
      </c>
      <c r="V314" s="16">
        <v>354.77809999999999</v>
      </c>
      <c r="W314" s="16">
        <v>353.25830000000002</v>
      </c>
      <c r="X314" s="16">
        <v>333.24110000000002</v>
      </c>
      <c r="Y314" s="16">
        <v>316.15159999999997</v>
      </c>
      <c r="Z314" s="26" t="s">
        <v>34</v>
      </c>
      <c r="AA314" s="25">
        <f t="shared" si="8"/>
        <v>285.83409999999998</v>
      </c>
      <c r="AB314" s="25">
        <f t="shared" si="9"/>
        <v>331.99420833333301</v>
      </c>
    </row>
    <row r="315" spans="1:28">
      <c r="A315" s="8">
        <v>45605</v>
      </c>
      <c r="B315" s="16">
        <v>319.70769999999999</v>
      </c>
      <c r="C315" s="16">
        <v>311.17559999999997</v>
      </c>
      <c r="D315" s="16">
        <v>305.79379999999998</v>
      </c>
      <c r="E315" s="16">
        <v>299.4325</v>
      </c>
      <c r="F315" s="16">
        <v>290.95909999999998</v>
      </c>
      <c r="G315" s="16">
        <v>292.11180000000002</v>
      </c>
      <c r="H315" s="16">
        <v>303.08109999999999</v>
      </c>
      <c r="I315" s="16">
        <v>319.27789999999999</v>
      </c>
      <c r="J315" s="16">
        <v>328.78539999999998</v>
      </c>
      <c r="K315" s="16">
        <v>332.05329999999998</v>
      </c>
      <c r="L315" s="16">
        <v>314.95159999999998</v>
      </c>
      <c r="M315" s="16">
        <v>290.97239999999999</v>
      </c>
      <c r="N315" s="16">
        <v>133.72989999999999</v>
      </c>
      <c r="O315" s="16">
        <v>228.25319999999999</v>
      </c>
      <c r="P315" s="16">
        <v>291.14229999999998</v>
      </c>
      <c r="Q315" s="16">
        <v>305.54759999999999</v>
      </c>
      <c r="R315" s="16">
        <v>335.89339999999999</v>
      </c>
      <c r="S315" s="16">
        <v>404.84010000000001</v>
      </c>
      <c r="T315" s="16">
        <v>580.38620000000003</v>
      </c>
      <c r="U315" s="16">
        <v>426.74450000000002</v>
      </c>
      <c r="V315" s="16">
        <v>381.68540000000002</v>
      </c>
      <c r="W315" s="16">
        <v>355.37329999999997</v>
      </c>
      <c r="X315" s="16">
        <v>333.72039999999998</v>
      </c>
      <c r="Y315" s="16">
        <v>312.05259999999998</v>
      </c>
      <c r="Z315" s="26" t="s">
        <v>32</v>
      </c>
      <c r="AA315" s="25">
        <f t="shared" si="8"/>
        <v>133.72989999999999</v>
      </c>
      <c r="AB315" s="25">
        <f t="shared" si="9"/>
        <v>324.9029625</v>
      </c>
    </row>
    <row r="316" spans="1:28">
      <c r="A316" s="8">
        <v>45606</v>
      </c>
      <c r="B316" s="16">
        <v>311.77839999999998</v>
      </c>
      <c r="C316" s="16">
        <v>299.45150000000001</v>
      </c>
      <c r="D316" s="16">
        <v>290.28460000000001</v>
      </c>
      <c r="E316" s="16">
        <v>285.7063</v>
      </c>
      <c r="F316" s="16">
        <v>281.84800000000001</v>
      </c>
      <c r="G316" s="16">
        <v>281.37009999999998</v>
      </c>
      <c r="H316" s="16">
        <v>284.13440000000003</v>
      </c>
      <c r="I316" s="16">
        <v>286.07</v>
      </c>
      <c r="J316" s="16">
        <v>283.69470000000001</v>
      </c>
      <c r="K316" s="16">
        <v>282.31420000000003</v>
      </c>
      <c r="L316" s="16">
        <v>271.62299999999999</v>
      </c>
      <c r="M316" s="16">
        <v>195.64580000000001</v>
      </c>
      <c r="N316" s="16">
        <v>14.091200000000001</v>
      </c>
      <c r="O316" s="16">
        <v>149.99359999999999</v>
      </c>
      <c r="P316" s="16">
        <v>257.44380000000001</v>
      </c>
      <c r="Q316" s="16">
        <v>274.86450000000002</v>
      </c>
      <c r="R316" s="16">
        <v>291.03399999999999</v>
      </c>
      <c r="S316" s="16">
        <v>311.22320000000002</v>
      </c>
      <c r="T316" s="16">
        <v>316.13240000000002</v>
      </c>
      <c r="U316" s="16">
        <v>316.19619999999998</v>
      </c>
      <c r="V316" s="16">
        <v>315.97550000000001</v>
      </c>
      <c r="W316" s="16">
        <v>315.49180000000001</v>
      </c>
      <c r="X316" s="16">
        <v>307.00540000000001</v>
      </c>
      <c r="Y316" s="16">
        <v>293.74250000000001</v>
      </c>
      <c r="Z316" s="26" t="s">
        <v>32</v>
      </c>
      <c r="AA316" s="25">
        <f t="shared" si="8"/>
        <v>14.091200000000001</v>
      </c>
      <c r="AB316" s="25">
        <f t="shared" si="9"/>
        <v>271.54646250000002</v>
      </c>
    </row>
    <row r="317" spans="1:28">
      <c r="A317" s="8">
        <v>45607</v>
      </c>
      <c r="B317" s="16">
        <v>315.09230000000002</v>
      </c>
      <c r="C317" s="16">
        <v>308.5292</v>
      </c>
      <c r="D317" s="16">
        <v>302.94909999999999</v>
      </c>
      <c r="E317" s="16">
        <v>293.1318</v>
      </c>
      <c r="F317" s="16">
        <v>284.08300000000003</v>
      </c>
      <c r="G317" s="16">
        <v>283.53449999999998</v>
      </c>
      <c r="H317" s="16">
        <v>309.33100000000002</v>
      </c>
      <c r="I317" s="16">
        <v>340.85359999999997</v>
      </c>
      <c r="J317" s="16">
        <v>362.10969999999998</v>
      </c>
      <c r="K317" s="16">
        <v>358.8802</v>
      </c>
      <c r="L317" s="16">
        <v>340.9221</v>
      </c>
      <c r="M317" s="16">
        <v>324.52600000000001</v>
      </c>
      <c r="N317" s="16">
        <v>282.11750000000001</v>
      </c>
      <c r="O317" s="16">
        <v>305.44839999999999</v>
      </c>
      <c r="P317" s="16">
        <v>325.86880000000002</v>
      </c>
      <c r="Q317" s="16">
        <v>348.53269999999998</v>
      </c>
      <c r="R317" s="16">
        <v>419.0761</v>
      </c>
      <c r="S317" s="16">
        <v>423.83510000000001</v>
      </c>
      <c r="T317" s="16">
        <v>587.44719999999995</v>
      </c>
      <c r="U317" s="16">
        <v>713.93830000000003</v>
      </c>
      <c r="V317" s="16">
        <v>390.6146</v>
      </c>
      <c r="W317" s="16">
        <v>391.02359999999999</v>
      </c>
      <c r="X317" s="16">
        <v>365.6046</v>
      </c>
      <c r="Y317" s="16">
        <v>336.78440000000001</v>
      </c>
      <c r="Z317" s="26" t="s">
        <v>32</v>
      </c>
      <c r="AA317" s="25">
        <f t="shared" si="8"/>
        <v>282.11750000000001</v>
      </c>
      <c r="AB317" s="25">
        <f t="shared" si="9"/>
        <v>363.093075</v>
      </c>
    </row>
    <row r="318" spans="1:28">
      <c r="A318" s="8">
        <v>45608</v>
      </c>
      <c r="B318" s="16">
        <v>336.3691</v>
      </c>
      <c r="C318" s="16">
        <v>328.12029999999999</v>
      </c>
      <c r="D318" s="16">
        <v>321.52050000000003</v>
      </c>
      <c r="E318" s="16">
        <v>312.34210000000002</v>
      </c>
      <c r="F318" s="16">
        <v>305.05410000000001</v>
      </c>
      <c r="G318" s="16">
        <v>308.13119999999998</v>
      </c>
      <c r="H318" s="16">
        <v>328.62540000000001</v>
      </c>
      <c r="I318" s="16">
        <v>337.98520000000002</v>
      </c>
      <c r="J318" s="16">
        <v>339.7946</v>
      </c>
      <c r="K318" s="16">
        <v>358.12729999999999</v>
      </c>
      <c r="L318" s="16">
        <v>333.77370000000002</v>
      </c>
      <c r="M318" s="16">
        <v>313.62630000000001</v>
      </c>
      <c r="N318" s="16">
        <v>276.62990000000002</v>
      </c>
      <c r="O318" s="16">
        <v>289.65960000000001</v>
      </c>
      <c r="P318" s="16">
        <v>317.66410000000002</v>
      </c>
      <c r="Q318" s="16">
        <v>341.61540000000002</v>
      </c>
      <c r="R318" s="16">
        <v>420.61090000000002</v>
      </c>
      <c r="S318" s="16">
        <v>474.64690000000002</v>
      </c>
      <c r="T318" s="16">
        <v>467.69279999999998</v>
      </c>
      <c r="U318" s="16">
        <v>502.83210000000003</v>
      </c>
      <c r="V318" s="16">
        <v>429.5471</v>
      </c>
      <c r="W318" s="16">
        <v>388.63560000000001</v>
      </c>
      <c r="X318" s="16">
        <v>364.48379999999997</v>
      </c>
      <c r="Y318" s="16">
        <v>337.0437</v>
      </c>
      <c r="Z318" s="26" t="s">
        <v>32</v>
      </c>
      <c r="AA318" s="25">
        <f t="shared" si="8"/>
        <v>276.62990000000002</v>
      </c>
      <c r="AB318" s="25">
        <f t="shared" si="9"/>
        <v>355.60548749999998</v>
      </c>
    </row>
    <row r="319" spans="1:28">
      <c r="A319" s="8">
        <v>45609</v>
      </c>
      <c r="B319" s="16">
        <v>328.47379999999998</v>
      </c>
      <c r="C319" s="16">
        <v>324.67970000000003</v>
      </c>
      <c r="D319" s="16">
        <v>320.07740000000001</v>
      </c>
      <c r="E319" s="16">
        <v>311.83679999999998</v>
      </c>
      <c r="F319" s="16">
        <v>307.11689999999999</v>
      </c>
      <c r="G319" s="16">
        <v>302.95729999999998</v>
      </c>
      <c r="H319" s="16">
        <v>316.95839999999998</v>
      </c>
      <c r="I319" s="16">
        <v>331.57810000000001</v>
      </c>
      <c r="J319" s="16">
        <v>332.40339999999998</v>
      </c>
      <c r="K319" s="16">
        <v>331.77760000000001</v>
      </c>
      <c r="L319" s="16">
        <v>314.63159999999999</v>
      </c>
      <c r="M319" s="16">
        <v>277.39190000000002</v>
      </c>
      <c r="N319" s="16">
        <v>223.51580000000001</v>
      </c>
      <c r="O319" s="16">
        <v>248.1867</v>
      </c>
      <c r="P319" s="16">
        <v>302.25150000000002</v>
      </c>
      <c r="Q319" s="16">
        <v>324.83749999999998</v>
      </c>
      <c r="R319" s="16">
        <v>412.82810000000001</v>
      </c>
      <c r="S319" s="16">
        <v>493.77730000000003</v>
      </c>
      <c r="T319" s="16">
        <v>728.98810000000003</v>
      </c>
      <c r="U319" s="16">
        <v>907.28139999999996</v>
      </c>
      <c r="V319" s="16">
        <v>472.91180000000003</v>
      </c>
      <c r="W319" s="16">
        <v>420.69229999999999</v>
      </c>
      <c r="X319" s="16">
        <v>361.39800000000002</v>
      </c>
      <c r="Y319" s="16">
        <v>329.98970000000003</v>
      </c>
      <c r="Z319" s="26" t="s">
        <v>32</v>
      </c>
      <c r="AA319" s="25">
        <f t="shared" si="8"/>
        <v>223.51580000000001</v>
      </c>
      <c r="AB319" s="25">
        <f t="shared" si="9"/>
        <v>376.10587916666702</v>
      </c>
    </row>
    <row r="320" spans="1:28">
      <c r="A320" s="8">
        <v>45610</v>
      </c>
      <c r="B320" s="16">
        <v>344.58659999999998</v>
      </c>
      <c r="C320" s="16">
        <v>334.52730000000003</v>
      </c>
      <c r="D320" s="16">
        <v>326.66199999999998</v>
      </c>
      <c r="E320" s="16">
        <v>317.2475</v>
      </c>
      <c r="F320" s="16">
        <v>304.48779999999999</v>
      </c>
      <c r="G320" s="16">
        <v>303.78680000000003</v>
      </c>
      <c r="H320" s="16">
        <v>330.34460000000001</v>
      </c>
      <c r="I320" s="16">
        <v>349.13679999999999</v>
      </c>
      <c r="J320" s="16">
        <v>357.57749999999999</v>
      </c>
      <c r="K320" s="16">
        <v>376.09570000000002</v>
      </c>
      <c r="L320" s="16">
        <v>366.71559999999999</v>
      </c>
      <c r="M320" s="16">
        <v>344.70729999999998</v>
      </c>
      <c r="N320" s="16">
        <v>292.82889999999998</v>
      </c>
      <c r="O320" s="16">
        <v>311.36290000000002</v>
      </c>
      <c r="P320" s="16">
        <v>344.30869999999999</v>
      </c>
      <c r="Q320" s="16">
        <v>359.93579999999997</v>
      </c>
      <c r="R320" s="16">
        <v>443.25830000000002</v>
      </c>
      <c r="S320" s="16">
        <v>496.9316</v>
      </c>
      <c r="T320" s="16">
        <v>445.53410000000002</v>
      </c>
      <c r="U320" s="16">
        <v>749.61389999999994</v>
      </c>
      <c r="V320" s="16">
        <v>398.67910000000001</v>
      </c>
      <c r="W320" s="16">
        <v>378.97750000000002</v>
      </c>
      <c r="X320" s="16">
        <v>367.5068</v>
      </c>
      <c r="Y320" s="16">
        <v>347.36450000000002</v>
      </c>
      <c r="Z320" s="26" t="s">
        <v>33</v>
      </c>
      <c r="AA320" s="25">
        <f t="shared" si="8"/>
        <v>292.82889999999998</v>
      </c>
      <c r="AB320" s="25">
        <f t="shared" si="9"/>
        <v>374.67406666666699</v>
      </c>
    </row>
    <row r="321" spans="1:28">
      <c r="A321" s="8">
        <v>45611</v>
      </c>
      <c r="B321" s="16">
        <v>354.47390000000001</v>
      </c>
      <c r="C321" s="16">
        <v>340.03739999999999</v>
      </c>
      <c r="D321" s="16">
        <v>332.83049999999997</v>
      </c>
      <c r="E321" s="16">
        <v>324.21030000000002</v>
      </c>
      <c r="F321" s="16">
        <v>317.38060000000002</v>
      </c>
      <c r="G321" s="16">
        <v>320.18920000000003</v>
      </c>
      <c r="H321" s="16">
        <v>346.14400000000001</v>
      </c>
      <c r="I321" s="16">
        <v>369.3374</v>
      </c>
      <c r="J321" s="16">
        <v>383.29790000000003</v>
      </c>
      <c r="K321" s="16">
        <v>408.41430000000003</v>
      </c>
      <c r="L321" s="16">
        <v>406.9042</v>
      </c>
      <c r="M321" s="16">
        <v>401.6601</v>
      </c>
      <c r="N321" s="16">
        <v>311.16759999999999</v>
      </c>
      <c r="O321" s="16">
        <v>341.01799999999997</v>
      </c>
      <c r="P321" s="16">
        <v>373.51170000000002</v>
      </c>
      <c r="Q321" s="16">
        <v>394.40089999999998</v>
      </c>
      <c r="R321" s="16">
        <v>501.52839999999998</v>
      </c>
      <c r="S321" s="16">
        <v>550.64760000000001</v>
      </c>
      <c r="T321" s="16">
        <v>492.28640000000001</v>
      </c>
      <c r="U321" s="16">
        <v>527.01110000000006</v>
      </c>
      <c r="V321" s="16">
        <v>407.83030000000002</v>
      </c>
      <c r="W321" s="16">
        <v>388.6028</v>
      </c>
      <c r="X321" s="16">
        <v>380.19740000000002</v>
      </c>
      <c r="Y321" s="16">
        <v>365.19420000000002</v>
      </c>
      <c r="Z321" s="26" t="s">
        <v>34</v>
      </c>
      <c r="AA321" s="25">
        <f t="shared" si="8"/>
        <v>311.16759999999999</v>
      </c>
      <c r="AB321" s="25">
        <f t="shared" si="9"/>
        <v>389.09484166666698</v>
      </c>
    </row>
    <row r="322" spans="1:28">
      <c r="A322" s="8">
        <v>45612</v>
      </c>
      <c r="B322" s="16">
        <v>381.41579999999999</v>
      </c>
      <c r="C322" s="16">
        <v>372.79610000000002</v>
      </c>
      <c r="D322" s="16">
        <v>359.23250000000002</v>
      </c>
      <c r="E322" s="16">
        <v>349.45650000000001</v>
      </c>
      <c r="F322" s="16">
        <v>337.0179</v>
      </c>
      <c r="G322" s="16">
        <v>336.51330000000002</v>
      </c>
      <c r="H322" s="16">
        <v>354.29419999999999</v>
      </c>
      <c r="I322" s="16">
        <v>379.97019999999998</v>
      </c>
      <c r="J322" s="16">
        <v>415.02749999999997</v>
      </c>
      <c r="K322" s="16">
        <v>445.89870000000002</v>
      </c>
      <c r="L322" s="16">
        <v>424.90289999999999</v>
      </c>
      <c r="M322" s="16">
        <v>423.6456</v>
      </c>
      <c r="N322" s="16">
        <v>329.12889999999999</v>
      </c>
      <c r="O322" s="16">
        <v>345.17630000000003</v>
      </c>
      <c r="P322" s="16">
        <v>381.38350000000003</v>
      </c>
      <c r="Q322" s="16">
        <v>398.66719999999998</v>
      </c>
      <c r="R322" s="16">
        <v>447.66379999999998</v>
      </c>
      <c r="S322" s="16">
        <v>556.83619999999996</v>
      </c>
      <c r="T322" s="16">
        <v>571.76279999999997</v>
      </c>
      <c r="U322" s="16">
        <v>576.28009999999995</v>
      </c>
      <c r="V322" s="16">
        <v>469.09660000000002</v>
      </c>
      <c r="W322" s="16">
        <v>429.61160000000001</v>
      </c>
      <c r="X322" s="16">
        <v>421.64460000000003</v>
      </c>
      <c r="Y322" s="16">
        <v>401.39319999999998</v>
      </c>
      <c r="Z322" s="26" t="s">
        <v>32</v>
      </c>
      <c r="AA322" s="25">
        <f t="shared" ref="AA322:AA368" si="10">MIN($B322:$Y322)</f>
        <v>329.12889999999999</v>
      </c>
      <c r="AB322" s="25">
        <f t="shared" ref="AB322:AB368" si="11">AVERAGE($B322:$Y322)</f>
        <v>412.86733333333302</v>
      </c>
    </row>
    <row r="323" spans="1:28">
      <c r="A323" s="8">
        <v>45613</v>
      </c>
      <c r="B323" s="16">
        <v>357.13249999999999</v>
      </c>
      <c r="C323" s="16">
        <v>342.21530000000001</v>
      </c>
      <c r="D323" s="16">
        <v>337.3605</v>
      </c>
      <c r="E323" s="16">
        <v>335.08390000000003</v>
      </c>
      <c r="F323" s="16">
        <v>333.61160000000001</v>
      </c>
      <c r="G323" s="16">
        <v>332.69909999999999</v>
      </c>
      <c r="H323" s="16">
        <v>334.39890000000003</v>
      </c>
      <c r="I323" s="16">
        <v>335.10820000000001</v>
      </c>
      <c r="J323" s="16">
        <v>335.28030000000001</v>
      </c>
      <c r="K323" s="16">
        <v>332.39859999999999</v>
      </c>
      <c r="L323" s="16">
        <v>317.84410000000003</v>
      </c>
      <c r="M323" s="16">
        <v>307.517</v>
      </c>
      <c r="N323" s="16">
        <v>272.96289999999999</v>
      </c>
      <c r="O323" s="16">
        <v>292.7645</v>
      </c>
      <c r="P323" s="16">
        <v>308.84809999999999</v>
      </c>
      <c r="Q323" s="16">
        <v>322.6551</v>
      </c>
      <c r="R323" s="16">
        <v>342.68340000000001</v>
      </c>
      <c r="S323" s="16">
        <v>377.47340000000003</v>
      </c>
      <c r="T323" s="16">
        <v>380.87889999999999</v>
      </c>
      <c r="U323" s="16">
        <v>378.37029999999999</v>
      </c>
      <c r="V323" s="16">
        <v>375.08190000000002</v>
      </c>
      <c r="W323" s="16">
        <v>370.32799999999997</v>
      </c>
      <c r="X323" s="16">
        <v>354.58569999999997</v>
      </c>
      <c r="Y323" s="16">
        <v>332.77390000000003</v>
      </c>
      <c r="Z323" s="26" t="s">
        <v>32</v>
      </c>
      <c r="AA323" s="25">
        <f t="shared" si="10"/>
        <v>272.96289999999999</v>
      </c>
      <c r="AB323" s="25">
        <f t="shared" si="11"/>
        <v>337.91900416666698</v>
      </c>
    </row>
    <row r="324" spans="1:28">
      <c r="A324" s="8">
        <v>45614</v>
      </c>
      <c r="B324" s="16">
        <v>296.53829999999999</v>
      </c>
      <c r="C324" s="16">
        <v>284.22379999999998</v>
      </c>
      <c r="D324" s="16">
        <v>275.22859999999997</v>
      </c>
      <c r="E324" s="16">
        <v>266.62830000000002</v>
      </c>
      <c r="F324" s="16">
        <v>263.40469999999999</v>
      </c>
      <c r="G324" s="16">
        <v>264.75</v>
      </c>
      <c r="H324" s="16">
        <v>280.48</v>
      </c>
      <c r="I324" s="16">
        <v>298.40030000000002</v>
      </c>
      <c r="J324" s="16">
        <v>311.553</v>
      </c>
      <c r="K324" s="16">
        <v>325.2056</v>
      </c>
      <c r="L324" s="16">
        <v>268.71890000000002</v>
      </c>
      <c r="M324" s="16">
        <v>286.245</v>
      </c>
      <c r="N324" s="16">
        <v>175.05850000000001</v>
      </c>
      <c r="O324" s="16">
        <v>196.78980000000001</v>
      </c>
      <c r="P324" s="16">
        <v>291.98309999999998</v>
      </c>
      <c r="Q324" s="16">
        <v>316.50510000000003</v>
      </c>
      <c r="R324" s="16">
        <v>352.45940000000002</v>
      </c>
      <c r="S324" s="16">
        <v>368.49619999999999</v>
      </c>
      <c r="T324" s="16">
        <v>369.6121</v>
      </c>
      <c r="U324" s="16">
        <v>415.02890000000002</v>
      </c>
      <c r="V324" s="16">
        <v>341.69929999999999</v>
      </c>
      <c r="W324" s="16">
        <v>321.5489</v>
      </c>
      <c r="X324" s="16">
        <v>305.02539999999999</v>
      </c>
      <c r="Y324" s="16">
        <v>294.04829999999998</v>
      </c>
      <c r="Z324" s="26" t="s">
        <v>32</v>
      </c>
      <c r="AA324" s="25">
        <f t="shared" si="10"/>
        <v>175.05850000000001</v>
      </c>
      <c r="AB324" s="25">
        <f t="shared" si="11"/>
        <v>298.73464583333299</v>
      </c>
    </row>
    <row r="325" spans="1:28">
      <c r="A325" s="8">
        <v>45615</v>
      </c>
      <c r="B325" s="16">
        <v>282.99950000000001</v>
      </c>
      <c r="C325" s="16">
        <v>269.36430000000001</v>
      </c>
      <c r="D325" s="16">
        <v>263.75749999999999</v>
      </c>
      <c r="E325" s="16">
        <v>258.40280000000001</v>
      </c>
      <c r="F325" s="16">
        <v>256.83429999999998</v>
      </c>
      <c r="G325" s="16">
        <v>257.79489999999998</v>
      </c>
      <c r="H325" s="16">
        <v>270.54480000000001</v>
      </c>
      <c r="I325" s="16">
        <v>289.0727</v>
      </c>
      <c r="J325" s="16">
        <v>301.30500000000001</v>
      </c>
      <c r="K325" s="16">
        <v>305.28739999999999</v>
      </c>
      <c r="L325" s="16">
        <v>291.43799999999999</v>
      </c>
      <c r="M325" s="16">
        <v>267.42439999999999</v>
      </c>
      <c r="N325" s="16">
        <v>16.6219</v>
      </c>
      <c r="O325" s="16">
        <v>140.73699999999999</v>
      </c>
      <c r="P325" s="16">
        <v>268.05689999999998</v>
      </c>
      <c r="Q325" s="16">
        <v>284.12279999999998</v>
      </c>
      <c r="R325" s="16">
        <v>309.95269999999999</v>
      </c>
      <c r="S325" s="16">
        <v>321.46949999999998</v>
      </c>
      <c r="T325" s="16">
        <v>328.54140000000001</v>
      </c>
      <c r="U325" s="16">
        <v>338.08199999999999</v>
      </c>
      <c r="V325" s="16">
        <v>329.57900000000001</v>
      </c>
      <c r="W325" s="16">
        <v>320.13229999999999</v>
      </c>
      <c r="X325" s="16">
        <v>306.31459999999998</v>
      </c>
      <c r="Y325" s="16">
        <v>291.98950000000002</v>
      </c>
      <c r="Z325" s="26" t="s">
        <v>32</v>
      </c>
      <c r="AA325" s="25">
        <f t="shared" si="10"/>
        <v>16.6219</v>
      </c>
      <c r="AB325" s="25">
        <f t="shared" si="11"/>
        <v>273.74271666666698</v>
      </c>
    </row>
    <row r="326" spans="1:28">
      <c r="A326" s="8">
        <v>45616</v>
      </c>
      <c r="B326" s="16">
        <v>270.7783</v>
      </c>
      <c r="C326" s="16">
        <v>264.50389999999999</v>
      </c>
      <c r="D326" s="16">
        <v>262.6617</v>
      </c>
      <c r="E326" s="16">
        <v>260.83080000000001</v>
      </c>
      <c r="F326" s="16">
        <v>249.50239999999999</v>
      </c>
      <c r="G326" s="16">
        <v>250.6455</v>
      </c>
      <c r="H326" s="16">
        <v>262.59410000000003</v>
      </c>
      <c r="I326" s="16">
        <v>273.75189999999998</v>
      </c>
      <c r="J326" s="16">
        <v>299.19099999999997</v>
      </c>
      <c r="K326" s="16">
        <v>315.2079</v>
      </c>
      <c r="L326" s="16">
        <v>310.38220000000001</v>
      </c>
      <c r="M326" s="16">
        <v>308.74439999999998</v>
      </c>
      <c r="N326" s="16">
        <v>264.76080000000002</v>
      </c>
      <c r="O326" s="16">
        <v>275.09989999999999</v>
      </c>
      <c r="P326" s="16">
        <v>289.51909999999998</v>
      </c>
      <c r="Q326" s="16">
        <v>302.7681</v>
      </c>
      <c r="R326" s="16">
        <v>320.45740000000001</v>
      </c>
      <c r="S326" s="16">
        <v>327.42430000000002</v>
      </c>
      <c r="T326" s="16">
        <v>342.5727</v>
      </c>
      <c r="U326" s="16">
        <v>344.39620000000002</v>
      </c>
      <c r="V326" s="16">
        <v>321.49419999999998</v>
      </c>
      <c r="W326" s="16">
        <v>313.37979999999999</v>
      </c>
      <c r="X326" s="16">
        <v>299.17099999999999</v>
      </c>
      <c r="Y326" s="16">
        <v>276.65469999999999</v>
      </c>
      <c r="Z326" s="26" t="s">
        <v>32</v>
      </c>
      <c r="AA326" s="25">
        <f t="shared" si="10"/>
        <v>249.50239999999999</v>
      </c>
      <c r="AB326" s="25">
        <f t="shared" si="11"/>
        <v>291.93717916666702</v>
      </c>
    </row>
    <row r="327" spans="1:28">
      <c r="A327" s="8">
        <v>45617</v>
      </c>
      <c r="B327" s="16">
        <v>298.43849999999998</v>
      </c>
      <c r="C327" s="16">
        <v>296.75889999999998</v>
      </c>
      <c r="D327" s="16">
        <v>294.23779999999999</v>
      </c>
      <c r="E327" s="16">
        <v>288.2081</v>
      </c>
      <c r="F327" s="16">
        <v>278.20749999999998</v>
      </c>
      <c r="G327" s="16">
        <v>279.54230000000001</v>
      </c>
      <c r="H327" s="16">
        <v>293.11880000000002</v>
      </c>
      <c r="I327" s="16">
        <v>308.71010000000001</v>
      </c>
      <c r="J327" s="16">
        <v>325.322</v>
      </c>
      <c r="K327" s="16">
        <v>335.58280000000002</v>
      </c>
      <c r="L327" s="16">
        <v>327.0095</v>
      </c>
      <c r="M327" s="16">
        <v>320.45440000000002</v>
      </c>
      <c r="N327" s="16">
        <v>275.55279999999999</v>
      </c>
      <c r="O327" s="16">
        <v>285.5917</v>
      </c>
      <c r="P327" s="16">
        <v>307.5412</v>
      </c>
      <c r="Q327" s="16">
        <v>312.69040000000001</v>
      </c>
      <c r="R327" s="16">
        <v>328.45659999999998</v>
      </c>
      <c r="S327" s="16">
        <v>338.19779999999997</v>
      </c>
      <c r="T327" s="16">
        <v>360.54649999999998</v>
      </c>
      <c r="U327" s="16">
        <v>355.0333</v>
      </c>
      <c r="V327" s="16">
        <v>343.8261</v>
      </c>
      <c r="W327" s="16">
        <v>338.45299999999997</v>
      </c>
      <c r="X327" s="16">
        <v>329.2978</v>
      </c>
      <c r="Y327" s="16">
        <v>307.44389999999999</v>
      </c>
      <c r="Z327" s="26" t="s">
        <v>33</v>
      </c>
      <c r="AA327" s="25">
        <f t="shared" si="10"/>
        <v>275.55279999999999</v>
      </c>
      <c r="AB327" s="25">
        <f t="shared" si="11"/>
        <v>313.67590833333298</v>
      </c>
    </row>
    <row r="328" spans="1:28">
      <c r="A328" s="8">
        <v>45618</v>
      </c>
      <c r="B328" s="16">
        <v>281.9393</v>
      </c>
      <c r="C328" s="16">
        <v>272.19119999999998</v>
      </c>
      <c r="D328" s="16">
        <v>268.13330000000002</v>
      </c>
      <c r="E328" s="16">
        <v>263.2423</v>
      </c>
      <c r="F328" s="16">
        <v>259.25670000000002</v>
      </c>
      <c r="G328" s="16">
        <v>256.90750000000003</v>
      </c>
      <c r="H328" s="16">
        <v>276.57369999999997</v>
      </c>
      <c r="I328" s="16">
        <v>291.7088</v>
      </c>
      <c r="J328" s="16">
        <v>301.36369999999999</v>
      </c>
      <c r="K328" s="16">
        <v>303.02999999999997</v>
      </c>
      <c r="L328" s="16">
        <v>293.31400000000002</v>
      </c>
      <c r="M328" s="16">
        <v>279.34059999999999</v>
      </c>
      <c r="N328" s="16">
        <v>240.2157</v>
      </c>
      <c r="O328" s="16">
        <v>256.76560000000001</v>
      </c>
      <c r="P328" s="16">
        <v>282.36779999999999</v>
      </c>
      <c r="Q328" s="16">
        <v>295.86950000000002</v>
      </c>
      <c r="R328" s="16">
        <v>313.24250000000001</v>
      </c>
      <c r="S328" s="16">
        <v>328.86189999999999</v>
      </c>
      <c r="T328" s="16">
        <v>344.73349999999999</v>
      </c>
      <c r="U328" s="16">
        <v>338.92219999999998</v>
      </c>
      <c r="V328" s="16">
        <v>331.83150000000001</v>
      </c>
      <c r="W328" s="16">
        <v>322.22449999999998</v>
      </c>
      <c r="X328" s="16">
        <v>307.66140000000001</v>
      </c>
      <c r="Y328" s="16">
        <v>294.18380000000002</v>
      </c>
      <c r="Z328" s="26" t="s">
        <v>34</v>
      </c>
      <c r="AA328" s="25">
        <f t="shared" si="10"/>
        <v>240.2157</v>
      </c>
      <c r="AB328" s="25">
        <f t="shared" si="11"/>
        <v>291.82837499999999</v>
      </c>
    </row>
    <row r="329" spans="1:28">
      <c r="A329" s="8">
        <v>45619</v>
      </c>
      <c r="B329" s="16">
        <v>287.99119999999999</v>
      </c>
      <c r="C329" s="16">
        <v>279.73349999999999</v>
      </c>
      <c r="D329" s="16">
        <v>272.26170000000002</v>
      </c>
      <c r="E329" s="16">
        <v>260.46679999999998</v>
      </c>
      <c r="F329" s="16">
        <v>249.922</v>
      </c>
      <c r="G329" s="16">
        <v>230.95779999999999</v>
      </c>
      <c r="H329" s="16">
        <v>259.51490000000001</v>
      </c>
      <c r="I329" s="16">
        <v>274.33510000000001</v>
      </c>
      <c r="J329" s="16">
        <v>291.05900000000003</v>
      </c>
      <c r="K329" s="16">
        <v>296.41539999999998</v>
      </c>
      <c r="L329" s="16">
        <v>277.7448</v>
      </c>
      <c r="M329" s="16">
        <v>264.67630000000003</v>
      </c>
      <c r="N329" s="16">
        <v>92.692599999999999</v>
      </c>
      <c r="O329" s="16">
        <v>154.67939999999999</v>
      </c>
      <c r="P329" s="16">
        <v>264.7527</v>
      </c>
      <c r="Q329" s="16">
        <v>271.29730000000001</v>
      </c>
      <c r="R329" s="16">
        <v>297.60550000000001</v>
      </c>
      <c r="S329" s="16">
        <v>318.87009999999998</v>
      </c>
      <c r="T329" s="16">
        <v>345.78730000000002</v>
      </c>
      <c r="U329" s="16">
        <v>440.1644</v>
      </c>
      <c r="V329" s="16">
        <v>336.97609999999997</v>
      </c>
      <c r="W329" s="16">
        <v>332.0188</v>
      </c>
      <c r="X329" s="16">
        <v>312.44760000000002</v>
      </c>
      <c r="Y329" s="16">
        <v>281.58190000000002</v>
      </c>
      <c r="Z329" s="26" t="s">
        <v>32</v>
      </c>
      <c r="AA329" s="25">
        <f t="shared" si="10"/>
        <v>92.692599999999999</v>
      </c>
      <c r="AB329" s="25">
        <f t="shared" si="11"/>
        <v>278.91467499999999</v>
      </c>
    </row>
    <row r="330" spans="1:28">
      <c r="A330" s="8">
        <v>45620</v>
      </c>
      <c r="B330" s="16">
        <v>266.38</v>
      </c>
      <c r="C330" s="16">
        <v>251.76</v>
      </c>
      <c r="D330" s="16">
        <v>246.27</v>
      </c>
      <c r="E330" s="16">
        <v>238.92</v>
      </c>
      <c r="F330" s="16">
        <v>213.91</v>
      </c>
      <c r="G330" s="16">
        <v>211.89</v>
      </c>
      <c r="H330" s="16">
        <v>227</v>
      </c>
      <c r="I330" s="16">
        <v>239.31630000000001</v>
      </c>
      <c r="J330" s="16">
        <v>244.80090000000001</v>
      </c>
      <c r="K330" s="16">
        <v>247.67</v>
      </c>
      <c r="L330" s="16">
        <v>184.75839999999999</v>
      </c>
      <c r="M330" s="16">
        <v>23.750800000000002</v>
      </c>
      <c r="N330" s="16">
        <v>5.79E-2</v>
      </c>
      <c r="O330" s="16">
        <v>3.3799999999999997E-2</v>
      </c>
      <c r="P330" s="16">
        <v>0.33429999999999999</v>
      </c>
      <c r="Q330" s="16">
        <v>93.089200000000005</v>
      </c>
      <c r="R330" s="16">
        <v>245.39009999999999</v>
      </c>
      <c r="S330" s="16">
        <v>279.15010000000001</v>
      </c>
      <c r="T330" s="16">
        <v>285.15629999999999</v>
      </c>
      <c r="U330" s="16">
        <v>285.44130000000001</v>
      </c>
      <c r="V330" s="16">
        <v>287.01420000000002</v>
      </c>
      <c r="W330" s="16">
        <v>282.50900000000001</v>
      </c>
      <c r="X330" s="16">
        <v>274.76150000000001</v>
      </c>
      <c r="Y330" s="16">
        <v>237.1797</v>
      </c>
      <c r="Z330" s="26" t="s">
        <v>32</v>
      </c>
      <c r="AA330" s="25">
        <f t="shared" si="10"/>
        <v>3.3799999999999997E-2</v>
      </c>
      <c r="AB330" s="25">
        <f t="shared" si="11"/>
        <v>202.772658333333</v>
      </c>
    </row>
    <row r="331" spans="1:28">
      <c r="A331" s="8">
        <v>45621</v>
      </c>
      <c r="B331" s="16">
        <v>256.12569999999999</v>
      </c>
      <c r="C331" s="16">
        <v>227.88249999999999</v>
      </c>
      <c r="D331" s="16">
        <v>213.2</v>
      </c>
      <c r="E331" s="16">
        <v>187.2388</v>
      </c>
      <c r="F331" s="16">
        <v>131.2944</v>
      </c>
      <c r="G331" s="16">
        <v>133.9614</v>
      </c>
      <c r="H331" s="16">
        <v>239.92850000000001</v>
      </c>
      <c r="I331" s="16">
        <v>274.4443</v>
      </c>
      <c r="J331" s="16">
        <v>294.14870000000002</v>
      </c>
      <c r="K331" s="16">
        <v>303.65839999999997</v>
      </c>
      <c r="L331" s="16">
        <v>289.84739999999999</v>
      </c>
      <c r="M331" s="16">
        <v>281.47390000000001</v>
      </c>
      <c r="N331" s="16">
        <v>221.66550000000001</v>
      </c>
      <c r="O331" s="16">
        <v>246.47450000000001</v>
      </c>
      <c r="P331" s="16">
        <v>279.33949999999999</v>
      </c>
      <c r="Q331" s="16">
        <v>288.87990000000002</v>
      </c>
      <c r="R331" s="16">
        <v>305.92880000000002</v>
      </c>
      <c r="S331" s="16">
        <v>319.83199999999999</v>
      </c>
      <c r="T331" s="16">
        <v>376.30770000000001</v>
      </c>
      <c r="U331" s="16">
        <v>386.85019999999997</v>
      </c>
      <c r="V331" s="16">
        <v>350.92759999999998</v>
      </c>
      <c r="W331" s="16">
        <v>328.29149999999998</v>
      </c>
      <c r="X331" s="16">
        <v>303.30180000000001</v>
      </c>
      <c r="Y331" s="16">
        <v>276.50709999999998</v>
      </c>
      <c r="Z331" s="26" t="s">
        <v>32</v>
      </c>
      <c r="AA331" s="25">
        <f t="shared" si="10"/>
        <v>131.2944</v>
      </c>
      <c r="AB331" s="25">
        <f t="shared" si="11"/>
        <v>271.56292083333301</v>
      </c>
    </row>
    <row r="332" spans="1:28">
      <c r="A332" s="8">
        <v>45622</v>
      </c>
      <c r="B332" s="16">
        <v>280.12540000000001</v>
      </c>
      <c r="C332" s="16">
        <v>272.17770000000002</v>
      </c>
      <c r="D332" s="16">
        <v>264.06029999999998</v>
      </c>
      <c r="E332" s="16">
        <v>253.27340000000001</v>
      </c>
      <c r="F332" s="16">
        <v>234.80170000000001</v>
      </c>
      <c r="G332" s="16">
        <v>220.5642</v>
      </c>
      <c r="H332" s="16">
        <v>254.73820000000001</v>
      </c>
      <c r="I332" s="16">
        <v>277.20249999999999</v>
      </c>
      <c r="J332" s="16">
        <v>292.46640000000002</v>
      </c>
      <c r="K332" s="16">
        <v>332.65190000000001</v>
      </c>
      <c r="L332" s="16">
        <v>304.91469999999998</v>
      </c>
      <c r="M332" s="16">
        <v>283.15839999999997</v>
      </c>
      <c r="N332" s="16">
        <v>172.96459999999999</v>
      </c>
      <c r="O332" s="16">
        <v>209.07</v>
      </c>
      <c r="P332" s="16">
        <v>265.60809999999998</v>
      </c>
      <c r="Q332" s="16">
        <v>283.06049999999999</v>
      </c>
      <c r="R332" s="16">
        <v>329.43540000000002</v>
      </c>
      <c r="S332" s="16">
        <v>368.92989999999998</v>
      </c>
      <c r="T332" s="16">
        <v>374.6789</v>
      </c>
      <c r="U332" s="16">
        <v>376.92899999999997</v>
      </c>
      <c r="V332" s="16">
        <v>341.66419999999999</v>
      </c>
      <c r="W332" s="16">
        <v>313.59989999999999</v>
      </c>
      <c r="X332" s="16">
        <v>293.17259999999999</v>
      </c>
      <c r="Y332" s="16">
        <v>273.56240000000003</v>
      </c>
      <c r="Z332" s="26" t="s">
        <v>32</v>
      </c>
      <c r="AA332" s="25">
        <f t="shared" si="10"/>
        <v>172.96459999999999</v>
      </c>
      <c r="AB332" s="25">
        <f t="shared" si="11"/>
        <v>286.367095833333</v>
      </c>
    </row>
    <row r="333" spans="1:28">
      <c r="A333" s="8">
        <v>45623</v>
      </c>
      <c r="B333" s="16">
        <v>242.04499999999999</v>
      </c>
      <c r="C333" s="16">
        <v>230.3817</v>
      </c>
      <c r="D333" s="16">
        <v>222.9598</v>
      </c>
      <c r="E333" s="16">
        <v>157.1755</v>
      </c>
      <c r="F333" s="16">
        <v>80.596199999999996</v>
      </c>
      <c r="G333" s="16">
        <v>107.60980000000001</v>
      </c>
      <c r="H333" s="16">
        <v>234.47149999999999</v>
      </c>
      <c r="I333" s="16">
        <v>253.25460000000001</v>
      </c>
      <c r="J333" s="16">
        <v>254.13470000000001</v>
      </c>
      <c r="K333" s="16">
        <v>257.2242</v>
      </c>
      <c r="L333" s="16">
        <v>240.44749999999999</v>
      </c>
      <c r="M333" s="16">
        <v>161.19820000000001</v>
      </c>
      <c r="N333" s="16">
        <v>2.9999999999999997E-4</v>
      </c>
      <c r="O333" s="16">
        <v>10.6716</v>
      </c>
      <c r="P333" s="16">
        <v>137.55629999999999</v>
      </c>
      <c r="Q333" s="16">
        <v>201.82550000000001</v>
      </c>
      <c r="R333" s="16">
        <v>260.1893</v>
      </c>
      <c r="S333" s="16">
        <v>289.94459999999998</v>
      </c>
      <c r="T333" s="16">
        <v>302.36070000000001</v>
      </c>
      <c r="U333" s="16">
        <v>303.01420000000002</v>
      </c>
      <c r="V333" s="16">
        <v>296.2287</v>
      </c>
      <c r="W333" s="16">
        <v>290.47160000000002</v>
      </c>
      <c r="X333" s="16">
        <v>263.22379999999998</v>
      </c>
      <c r="Y333" s="16">
        <v>248.97900000000001</v>
      </c>
      <c r="Z333" s="26" t="s">
        <v>32</v>
      </c>
      <c r="AA333" s="25">
        <f t="shared" si="10"/>
        <v>2.9999999999999997E-4</v>
      </c>
      <c r="AB333" s="25">
        <f t="shared" si="11"/>
        <v>210.2485125</v>
      </c>
    </row>
    <row r="334" spans="1:28">
      <c r="A334" s="8">
        <v>45624</v>
      </c>
      <c r="B334" s="16">
        <v>267.42680000000001</v>
      </c>
      <c r="C334" s="16">
        <v>257.04390000000001</v>
      </c>
      <c r="D334" s="16">
        <v>251.00960000000001</v>
      </c>
      <c r="E334" s="16">
        <v>243.91759999999999</v>
      </c>
      <c r="F334" s="16">
        <v>231.82320000000001</v>
      </c>
      <c r="G334" s="16">
        <v>233.86789999999999</v>
      </c>
      <c r="H334" s="16">
        <v>260.32319999999999</v>
      </c>
      <c r="I334" s="16">
        <v>268.88170000000002</v>
      </c>
      <c r="J334" s="16">
        <v>280.1739</v>
      </c>
      <c r="K334" s="16">
        <v>275.14350000000002</v>
      </c>
      <c r="L334" s="16">
        <v>260.1463</v>
      </c>
      <c r="M334" s="16">
        <v>211.26400000000001</v>
      </c>
      <c r="N334" s="16">
        <v>8.9716000000000005</v>
      </c>
      <c r="O334" s="16">
        <v>86.680599999999998</v>
      </c>
      <c r="P334" s="16">
        <v>229.4128</v>
      </c>
      <c r="Q334" s="16">
        <v>257.52699999999999</v>
      </c>
      <c r="R334" s="16">
        <v>289.25009999999997</v>
      </c>
      <c r="S334" s="16">
        <v>341.19639999999998</v>
      </c>
      <c r="T334" s="16">
        <v>458.27460000000002</v>
      </c>
      <c r="U334" s="16">
        <v>472.1857</v>
      </c>
      <c r="V334" s="16">
        <v>371.81119999999999</v>
      </c>
      <c r="W334" s="16">
        <v>333.23649999999998</v>
      </c>
      <c r="X334" s="16">
        <v>295.9785</v>
      </c>
      <c r="Y334" s="16">
        <v>266.1266</v>
      </c>
      <c r="Z334" s="26" t="s">
        <v>33</v>
      </c>
      <c r="AA334" s="25">
        <f t="shared" si="10"/>
        <v>8.9716000000000005</v>
      </c>
      <c r="AB334" s="25">
        <f t="shared" si="11"/>
        <v>268.81971666666698</v>
      </c>
    </row>
    <row r="335" spans="1:28">
      <c r="A335" s="8">
        <v>45625</v>
      </c>
      <c r="B335" s="16">
        <v>301.83569999999997</v>
      </c>
      <c r="C335" s="16">
        <v>288.33920000000001</v>
      </c>
      <c r="D335" s="16">
        <v>278.66329999999999</v>
      </c>
      <c r="E335" s="16">
        <v>271.72480000000002</v>
      </c>
      <c r="F335" s="16">
        <v>265.72840000000002</v>
      </c>
      <c r="G335" s="16">
        <v>268.39780000000002</v>
      </c>
      <c r="H335" s="16">
        <v>292.39170000000001</v>
      </c>
      <c r="I335" s="16">
        <v>315.49180000000001</v>
      </c>
      <c r="J335" s="16">
        <v>322.3476</v>
      </c>
      <c r="K335" s="16">
        <v>312.81709999999998</v>
      </c>
      <c r="L335" s="16">
        <v>273.82920000000001</v>
      </c>
      <c r="M335" s="16">
        <v>220.77500000000001</v>
      </c>
      <c r="N335" s="16">
        <v>15.5709</v>
      </c>
      <c r="O335" s="16">
        <v>104.5082</v>
      </c>
      <c r="P335" s="16">
        <v>245.3304</v>
      </c>
      <c r="Q335" s="16">
        <v>290.5566</v>
      </c>
      <c r="R335" s="16">
        <v>334.4941</v>
      </c>
      <c r="S335" s="16">
        <v>392.23719999999997</v>
      </c>
      <c r="T335" s="16">
        <v>519.91999999999996</v>
      </c>
      <c r="U335" s="16">
        <v>506.39400000000001</v>
      </c>
      <c r="V335" s="16">
        <v>447.1121</v>
      </c>
      <c r="W335" s="16">
        <v>403.9196</v>
      </c>
      <c r="X335" s="16">
        <v>357.37419999999997</v>
      </c>
      <c r="Y335" s="16">
        <v>323.2353</v>
      </c>
      <c r="Z335" s="26" t="s">
        <v>34</v>
      </c>
      <c r="AA335" s="25">
        <f t="shared" si="10"/>
        <v>15.5709</v>
      </c>
      <c r="AB335" s="25">
        <f t="shared" si="11"/>
        <v>306.37475833333298</v>
      </c>
    </row>
    <row r="336" spans="1:28">
      <c r="A336" s="8">
        <v>45626</v>
      </c>
      <c r="B336" s="16">
        <v>341.86559999999997</v>
      </c>
      <c r="C336" s="16">
        <v>325.11860000000001</v>
      </c>
      <c r="D336" s="16">
        <v>320.61169999999998</v>
      </c>
      <c r="E336" s="16">
        <v>308.63909999999998</v>
      </c>
      <c r="F336" s="16">
        <v>301.07619999999997</v>
      </c>
      <c r="G336" s="16">
        <v>303.45780000000002</v>
      </c>
      <c r="H336" s="16">
        <v>321.75279999999998</v>
      </c>
      <c r="I336" s="16">
        <v>335.17619999999999</v>
      </c>
      <c r="J336" s="16">
        <v>341.07560000000001</v>
      </c>
      <c r="K336" s="16">
        <v>322.08530000000002</v>
      </c>
      <c r="L336" s="16">
        <v>276.14890000000003</v>
      </c>
      <c r="M336" s="16">
        <v>218.71289999999999</v>
      </c>
      <c r="N336" s="16">
        <v>40.275300000000001</v>
      </c>
      <c r="O336" s="16">
        <v>114.9828</v>
      </c>
      <c r="P336" s="16">
        <v>185.92009999999999</v>
      </c>
      <c r="Q336" s="16">
        <v>265.4529</v>
      </c>
      <c r="R336" s="16">
        <v>337.01600000000002</v>
      </c>
      <c r="S336" s="16">
        <v>416.2534</v>
      </c>
      <c r="T336" s="16">
        <v>511.74770000000001</v>
      </c>
      <c r="U336" s="16">
        <v>659.18380000000002</v>
      </c>
      <c r="V336" s="16">
        <v>461.61270000000002</v>
      </c>
      <c r="W336" s="16">
        <v>417.46019999999999</v>
      </c>
      <c r="X336" s="16">
        <v>379.35539999999997</v>
      </c>
      <c r="Y336" s="16">
        <v>334.0976</v>
      </c>
      <c r="Z336" s="26" t="s">
        <v>32</v>
      </c>
      <c r="AA336" s="25">
        <f t="shared" si="10"/>
        <v>40.275300000000001</v>
      </c>
      <c r="AB336" s="25">
        <f t="shared" si="11"/>
        <v>326.62827499999997</v>
      </c>
    </row>
    <row r="337" spans="1:28">
      <c r="A337" s="8">
        <v>45627</v>
      </c>
      <c r="B337" s="16">
        <v>434.9418</v>
      </c>
      <c r="C337" s="16">
        <v>428.88499999999999</v>
      </c>
      <c r="D337" s="16">
        <v>465.89460000000003</v>
      </c>
      <c r="E337" s="16">
        <v>389.76960000000003</v>
      </c>
      <c r="F337" s="16">
        <v>347.3528</v>
      </c>
      <c r="G337" s="16">
        <v>342.92450000000002</v>
      </c>
      <c r="H337" s="16">
        <v>360.35419999999999</v>
      </c>
      <c r="I337" s="16">
        <v>342.19389999999999</v>
      </c>
      <c r="J337" s="16">
        <v>308.5043</v>
      </c>
      <c r="K337" s="16">
        <v>286.32</v>
      </c>
      <c r="L337" s="16">
        <v>3.1749999999999998</v>
      </c>
      <c r="M337" s="16">
        <v>0</v>
      </c>
      <c r="N337" s="16">
        <v>1.1921999999999999</v>
      </c>
      <c r="O337" s="16">
        <v>0.89170000000000005</v>
      </c>
      <c r="P337" s="16">
        <v>0</v>
      </c>
      <c r="Q337" s="16">
        <v>136.28</v>
      </c>
      <c r="R337" s="16">
        <v>312.55619999999999</v>
      </c>
      <c r="S337" s="16">
        <v>341.11360000000002</v>
      </c>
      <c r="T337" s="16">
        <v>382.05990000000003</v>
      </c>
      <c r="U337" s="16">
        <v>371.16829999999999</v>
      </c>
      <c r="V337" s="16">
        <v>350.7106</v>
      </c>
      <c r="W337" s="16">
        <v>388.81900000000002</v>
      </c>
      <c r="X337" s="16">
        <v>371.05950000000001</v>
      </c>
      <c r="Y337" s="16">
        <v>305.88119999999998</v>
      </c>
      <c r="Z337" s="26" t="s">
        <v>32</v>
      </c>
      <c r="AA337" s="25">
        <f t="shared" si="10"/>
        <v>0</v>
      </c>
      <c r="AB337" s="25">
        <f t="shared" si="11"/>
        <v>278.00199583333301</v>
      </c>
    </row>
    <row r="338" spans="1:28">
      <c r="A338" s="8">
        <v>45628</v>
      </c>
      <c r="B338" s="16">
        <v>319.29309999999998</v>
      </c>
      <c r="C338" s="16">
        <v>323.30889999999999</v>
      </c>
      <c r="D338" s="16">
        <v>322.2903</v>
      </c>
      <c r="E338" s="16">
        <v>313.28800000000001</v>
      </c>
      <c r="F338" s="16">
        <v>299.86790000000002</v>
      </c>
      <c r="G338" s="16">
        <v>306.11540000000002</v>
      </c>
      <c r="H338" s="16">
        <v>378.4812</v>
      </c>
      <c r="I338" s="16">
        <v>425.85500000000002</v>
      </c>
      <c r="J338" s="16">
        <v>573.51959999999997</v>
      </c>
      <c r="K338" s="16">
        <v>486.56610000000001</v>
      </c>
      <c r="L338" s="16">
        <v>326.1782</v>
      </c>
      <c r="M338" s="16">
        <v>293.04320000000001</v>
      </c>
      <c r="N338" s="16">
        <v>0</v>
      </c>
      <c r="O338" s="16">
        <v>67.463499999999996</v>
      </c>
      <c r="P338" s="16">
        <v>289.28089999999997</v>
      </c>
      <c r="Q338" s="16">
        <v>305.26670000000001</v>
      </c>
      <c r="R338" s="16">
        <v>343.75369999999998</v>
      </c>
      <c r="S338" s="16">
        <v>350.97460000000001</v>
      </c>
      <c r="T338" s="16">
        <v>374.86099999999999</v>
      </c>
      <c r="U338" s="16">
        <v>407.64670000000001</v>
      </c>
      <c r="V338" s="16">
        <v>437.55369999999999</v>
      </c>
      <c r="W338" s="16">
        <v>567.74180000000001</v>
      </c>
      <c r="X338" s="16">
        <v>515.30380000000002</v>
      </c>
      <c r="Y338" s="16">
        <v>312.72930000000002</v>
      </c>
      <c r="Z338" s="26" t="s">
        <v>32</v>
      </c>
      <c r="AA338" s="25">
        <f t="shared" si="10"/>
        <v>0</v>
      </c>
      <c r="AB338" s="25">
        <f t="shared" si="11"/>
        <v>347.515941666667</v>
      </c>
    </row>
    <row r="339" spans="1:28">
      <c r="A339" s="8">
        <v>45629</v>
      </c>
      <c r="B339" s="16">
        <v>459.22590000000002</v>
      </c>
      <c r="C339" s="16">
        <v>410.74160000000001</v>
      </c>
      <c r="D339" s="16">
        <v>342.42489999999998</v>
      </c>
      <c r="E339" s="16">
        <v>316.32859999999999</v>
      </c>
      <c r="F339" s="16">
        <v>297.84989999999999</v>
      </c>
      <c r="G339" s="16">
        <v>298.67669999999998</v>
      </c>
      <c r="H339" s="16">
        <v>353.7158</v>
      </c>
      <c r="I339" s="16">
        <v>426.50110000000001</v>
      </c>
      <c r="J339" s="16">
        <v>382.37759999999997</v>
      </c>
      <c r="K339" s="16">
        <v>348.17259999999999</v>
      </c>
      <c r="L339" s="16">
        <v>295.10770000000002</v>
      </c>
      <c r="M339" s="16">
        <v>219.51499999999999</v>
      </c>
      <c r="N339" s="16">
        <v>0</v>
      </c>
      <c r="O339" s="16">
        <v>63.156300000000002</v>
      </c>
      <c r="P339" s="16">
        <v>252.15610000000001</v>
      </c>
      <c r="Q339" s="16">
        <v>280.61829999999998</v>
      </c>
      <c r="R339" s="16">
        <v>324.94049999999999</v>
      </c>
      <c r="S339" s="16">
        <v>320.61959999999999</v>
      </c>
      <c r="T339" s="16">
        <v>411.23410000000001</v>
      </c>
      <c r="U339" s="16">
        <v>431.63979999999998</v>
      </c>
      <c r="V339" s="16">
        <v>425.15730000000002</v>
      </c>
      <c r="W339" s="16">
        <v>475.73219999999998</v>
      </c>
      <c r="X339" s="16">
        <v>383.6814</v>
      </c>
      <c r="Y339" s="16">
        <v>289.37430000000001</v>
      </c>
      <c r="Z339" s="26" t="s">
        <v>32</v>
      </c>
      <c r="AA339" s="25">
        <f t="shared" si="10"/>
        <v>0</v>
      </c>
      <c r="AB339" s="25">
        <f t="shared" si="11"/>
        <v>325.37280416666698</v>
      </c>
    </row>
    <row r="340" spans="1:28">
      <c r="A340" s="8">
        <v>45630</v>
      </c>
      <c r="B340" s="16">
        <v>335.96269999999998</v>
      </c>
      <c r="C340" s="16">
        <v>349.78859999999997</v>
      </c>
      <c r="D340" s="16">
        <v>380.68360000000001</v>
      </c>
      <c r="E340" s="16">
        <v>339.81729999999999</v>
      </c>
      <c r="F340" s="16">
        <v>316.4871</v>
      </c>
      <c r="G340" s="16">
        <v>321.58409999999998</v>
      </c>
      <c r="H340" s="16">
        <v>377.83049999999997</v>
      </c>
      <c r="I340" s="16">
        <v>409.72019999999998</v>
      </c>
      <c r="J340" s="16">
        <v>392.27190000000002</v>
      </c>
      <c r="K340" s="16">
        <v>369.9982</v>
      </c>
      <c r="L340" s="16">
        <v>307.5147</v>
      </c>
      <c r="M340" s="16">
        <v>286.8288</v>
      </c>
      <c r="N340" s="16">
        <v>23.369800000000001</v>
      </c>
      <c r="O340" s="16">
        <v>124.5664</v>
      </c>
      <c r="P340" s="16">
        <v>279.2441</v>
      </c>
      <c r="Q340" s="16">
        <v>309.09309999999999</v>
      </c>
      <c r="R340" s="16">
        <v>343.25819999999999</v>
      </c>
      <c r="S340" s="16">
        <v>345.4119</v>
      </c>
      <c r="T340" s="16">
        <v>355.05610000000001</v>
      </c>
      <c r="U340" s="16">
        <v>372.85210000000001</v>
      </c>
      <c r="V340" s="16">
        <v>360.20600000000002</v>
      </c>
      <c r="W340" s="16">
        <v>375.57459999999998</v>
      </c>
      <c r="X340" s="16">
        <v>341.56259999999997</v>
      </c>
      <c r="Y340" s="16">
        <v>301.35160000000002</v>
      </c>
      <c r="Z340" s="26" t="s">
        <v>32</v>
      </c>
      <c r="AA340" s="25">
        <f t="shared" si="10"/>
        <v>23.369800000000001</v>
      </c>
      <c r="AB340" s="25">
        <f t="shared" si="11"/>
        <v>321.66809166666701</v>
      </c>
    </row>
    <row r="341" spans="1:28">
      <c r="A341" s="8">
        <v>45631</v>
      </c>
      <c r="B341" s="16">
        <v>301.8014</v>
      </c>
      <c r="C341" s="16">
        <v>315.41469999999998</v>
      </c>
      <c r="D341" s="16">
        <v>351.41640000000001</v>
      </c>
      <c r="E341" s="16">
        <v>328.75150000000002</v>
      </c>
      <c r="F341" s="16">
        <v>295.1508</v>
      </c>
      <c r="G341" s="16">
        <v>254.66720000000001</v>
      </c>
      <c r="H341" s="16">
        <v>385.5548</v>
      </c>
      <c r="I341" s="16">
        <v>385.5009</v>
      </c>
      <c r="J341" s="16">
        <v>375.92579999999998</v>
      </c>
      <c r="K341" s="16">
        <v>362.62090000000001</v>
      </c>
      <c r="L341" s="16">
        <v>267.28710000000001</v>
      </c>
      <c r="M341" s="16">
        <v>229.55930000000001</v>
      </c>
      <c r="N341" s="16">
        <v>0</v>
      </c>
      <c r="O341" s="16">
        <v>79.945700000000002</v>
      </c>
      <c r="P341" s="16">
        <v>245.0463</v>
      </c>
      <c r="Q341" s="16">
        <v>284.3623</v>
      </c>
      <c r="R341" s="16">
        <v>317.6121</v>
      </c>
      <c r="S341" s="16">
        <v>316.99919999999997</v>
      </c>
      <c r="T341" s="16">
        <v>334.21910000000003</v>
      </c>
      <c r="U341" s="16">
        <v>340.27600000000001</v>
      </c>
      <c r="V341" s="16">
        <v>339.66550000000001</v>
      </c>
      <c r="W341" s="16">
        <v>348.81200000000001</v>
      </c>
      <c r="X341" s="16">
        <v>312.27710000000002</v>
      </c>
      <c r="Y341" s="16">
        <v>264.45229999999998</v>
      </c>
      <c r="Z341" s="26" t="s">
        <v>33</v>
      </c>
      <c r="AA341" s="25">
        <f t="shared" si="10"/>
        <v>0</v>
      </c>
      <c r="AB341" s="25">
        <f t="shared" si="11"/>
        <v>293.22160000000002</v>
      </c>
    </row>
    <row r="342" spans="1:28">
      <c r="A342" s="8">
        <v>45632</v>
      </c>
      <c r="B342" s="16">
        <v>285.44069999999999</v>
      </c>
      <c r="C342" s="16">
        <v>289.66180000000003</v>
      </c>
      <c r="D342" s="16">
        <v>336.94880000000001</v>
      </c>
      <c r="E342" s="16">
        <v>310.43</v>
      </c>
      <c r="F342" s="16">
        <v>279.44290000000001</v>
      </c>
      <c r="G342" s="16">
        <v>277.6671</v>
      </c>
      <c r="H342" s="16">
        <v>342.0077</v>
      </c>
      <c r="I342" s="16">
        <v>392.13319999999999</v>
      </c>
      <c r="J342" s="16">
        <v>523.00869999999998</v>
      </c>
      <c r="K342" s="16">
        <v>530.4144</v>
      </c>
      <c r="L342" s="16">
        <v>344.91629999999998</v>
      </c>
      <c r="M342" s="16">
        <v>290.55380000000002</v>
      </c>
      <c r="N342" s="16">
        <v>210.26060000000001</v>
      </c>
      <c r="O342" s="16">
        <v>254.21770000000001</v>
      </c>
      <c r="P342" s="16">
        <v>307.88940000000002</v>
      </c>
      <c r="Q342" s="16">
        <v>324.80029999999999</v>
      </c>
      <c r="R342" s="16">
        <v>331.72699999999998</v>
      </c>
      <c r="S342" s="16">
        <v>334.53039999999999</v>
      </c>
      <c r="T342" s="16">
        <v>363.34550000000002</v>
      </c>
      <c r="U342" s="16">
        <v>386.54450000000003</v>
      </c>
      <c r="V342" s="16">
        <v>391.98880000000003</v>
      </c>
      <c r="W342" s="16">
        <v>416.30099999999999</v>
      </c>
      <c r="X342" s="16">
        <v>344.65870000000001</v>
      </c>
      <c r="Y342" s="16">
        <v>283.12889999999999</v>
      </c>
      <c r="Z342" s="26" t="s">
        <v>34</v>
      </c>
      <c r="AA342" s="25">
        <f t="shared" si="10"/>
        <v>210.26060000000001</v>
      </c>
      <c r="AB342" s="25">
        <f t="shared" si="11"/>
        <v>339.66742499999998</v>
      </c>
    </row>
    <row r="343" spans="1:28">
      <c r="A343" s="8">
        <v>45633</v>
      </c>
      <c r="B343" s="16">
        <v>299.8843</v>
      </c>
      <c r="C343" s="16">
        <v>306.64890000000003</v>
      </c>
      <c r="D343" s="16">
        <v>351.0025</v>
      </c>
      <c r="E343" s="16">
        <v>327.2278</v>
      </c>
      <c r="F343" s="16">
        <v>300.38029999999998</v>
      </c>
      <c r="G343" s="16">
        <v>297.39620000000002</v>
      </c>
      <c r="H343" s="16">
        <v>325.3981</v>
      </c>
      <c r="I343" s="16">
        <v>365.58460000000002</v>
      </c>
      <c r="J343" s="16">
        <v>436.84</v>
      </c>
      <c r="K343" s="16">
        <v>425.29669999999999</v>
      </c>
      <c r="L343" s="16">
        <v>334.39949999999999</v>
      </c>
      <c r="M343" s="16">
        <v>306.44839999999999</v>
      </c>
      <c r="N343" s="16">
        <v>248.3109</v>
      </c>
      <c r="O343" s="16">
        <v>288.3449</v>
      </c>
      <c r="P343" s="16">
        <v>339.60809999999998</v>
      </c>
      <c r="Q343" s="16">
        <v>359.2079</v>
      </c>
      <c r="R343" s="16">
        <v>343.35449999999997</v>
      </c>
      <c r="S343" s="16">
        <v>340.1327</v>
      </c>
      <c r="T343" s="16">
        <v>372.97629999999998</v>
      </c>
      <c r="U343" s="16">
        <v>367.80549999999999</v>
      </c>
      <c r="V343" s="16">
        <v>364.04629999999997</v>
      </c>
      <c r="W343" s="16">
        <v>368.9545</v>
      </c>
      <c r="X343" s="16">
        <v>332.74900000000002</v>
      </c>
      <c r="Y343" s="16">
        <v>281.47250000000003</v>
      </c>
      <c r="Z343" s="26" t="s">
        <v>32</v>
      </c>
      <c r="AA343" s="25">
        <f t="shared" si="10"/>
        <v>248.3109</v>
      </c>
      <c r="AB343" s="25">
        <f t="shared" si="11"/>
        <v>336.811266666667</v>
      </c>
    </row>
    <row r="344" spans="1:28">
      <c r="A344" s="8">
        <v>45634</v>
      </c>
      <c r="B344" s="16">
        <v>410.37470000000002</v>
      </c>
      <c r="C344" s="16">
        <v>322.51260000000002</v>
      </c>
      <c r="D344" s="16">
        <v>322.66730000000001</v>
      </c>
      <c r="E344" s="16">
        <v>269.62150000000003</v>
      </c>
      <c r="F344" s="16">
        <v>203.923</v>
      </c>
      <c r="G344" s="16">
        <v>199.48910000000001</v>
      </c>
      <c r="H344" s="16">
        <v>252.959</v>
      </c>
      <c r="I344" s="16">
        <v>301.76229999999998</v>
      </c>
      <c r="J344" s="16">
        <v>226.08199999999999</v>
      </c>
      <c r="K344" s="16">
        <v>191.90350000000001</v>
      </c>
      <c r="L344" s="16">
        <v>102.65600000000001</v>
      </c>
      <c r="M344" s="16">
        <v>23.0412</v>
      </c>
      <c r="N344" s="16">
        <v>22.2197</v>
      </c>
      <c r="O344" s="16">
        <v>60.489100000000001</v>
      </c>
      <c r="P344" s="16">
        <v>84.724900000000005</v>
      </c>
      <c r="Q344" s="16">
        <v>225.9023</v>
      </c>
      <c r="R344" s="16">
        <v>261.16149999999999</v>
      </c>
      <c r="S344" s="16">
        <v>297.35520000000002</v>
      </c>
      <c r="T344" s="16">
        <v>337.93009999999998</v>
      </c>
      <c r="U344" s="16">
        <v>336.53980000000001</v>
      </c>
      <c r="V344" s="16">
        <v>340.93720000000002</v>
      </c>
      <c r="W344" s="16">
        <v>342.4126</v>
      </c>
      <c r="X344" s="16">
        <v>300.61529999999999</v>
      </c>
      <c r="Y344" s="16">
        <v>269.35050000000001</v>
      </c>
      <c r="Z344" s="26" t="s">
        <v>32</v>
      </c>
      <c r="AA344" s="25">
        <f t="shared" si="10"/>
        <v>22.2197</v>
      </c>
      <c r="AB344" s="25">
        <f t="shared" si="11"/>
        <v>237.776266666667</v>
      </c>
    </row>
    <row r="345" spans="1:28">
      <c r="A345" s="8">
        <v>45635</v>
      </c>
      <c r="B345" s="16">
        <v>287.37439999999998</v>
      </c>
      <c r="C345" s="16">
        <v>282.52879999999999</v>
      </c>
      <c r="D345" s="16">
        <v>281.56639999999999</v>
      </c>
      <c r="E345" s="16">
        <v>261.57510000000002</v>
      </c>
      <c r="F345" s="16">
        <v>245.66749999999999</v>
      </c>
      <c r="G345" s="16">
        <v>246.31800000000001</v>
      </c>
      <c r="H345" s="16">
        <v>288.06909999999999</v>
      </c>
      <c r="I345" s="16">
        <v>322.81110000000001</v>
      </c>
      <c r="J345" s="16">
        <v>428.98230000000001</v>
      </c>
      <c r="K345" s="16">
        <v>462.33</v>
      </c>
      <c r="L345" s="16">
        <v>366.16680000000002</v>
      </c>
      <c r="M345" s="16">
        <v>298.02460000000002</v>
      </c>
      <c r="N345" s="16">
        <v>143.2253</v>
      </c>
      <c r="O345" s="16">
        <v>200.0959</v>
      </c>
      <c r="P345" s="16">
        <v>259.54669999999999</v>
      </c>
      <c r="Q345" s="16">
        <v>270.89839999999998</v>
      </c>
      <c r="R345" s="16">
        <v>325.68009999999998</v>
      </c>
      <c r="S345" s="16">
        <v>361.26130000000001</v>
      </c>
      <c r="T345" s="16">
        <v>386.82729999999998</v>
      </c>
      <c r="U345" s="16">
        <v>390.73390000000001</v>
      </c>
      <c r="V345" s="16">
        <v>391.2285</v>
      </c>
      <c r="W345" s="16">
        <v>383.62459999999999</v>
      </c>
      <c r="X345" s="16">
        <v>341.26960000000003</v>
      </c>
      <c r="Y345" s="16">
        <v>270.24430000000001</v>
      </c>
      <c r="Z345" s="26" t="s">
        <v>32</v>
      </c>
      <c r="AA345" s="25">
        <f t="shared" si="10"/>
        <v>143.2253</v>
      </c>
      <c r="AB345" s="25">
        <f t="shared" si="11"/>
        <v>312.33541666666702</v>
      </c>
    </row>
    <row r="346" spans="1:28">
      <c r="A346" s="8">
        <v>45636</v>
      </c>
      <c r="B346" s="16">
        <v>450.10340000000002</v>
      </c>
      <c r="C346" s="16">
        <v>378.2679</v>
      </c>
      <c r="D346" s="16">
        <v>388.43419999999998</v>
      </c>
      <c r="E346" s="16">
        <v>352.9452</v>
      </c>
      <c r="F346" s="16">
        <v>316.51510000000002</v>
      </c>
      <c r="G346" s="16">
        <v>315.4248</v>
      </c>
      <c r="H346" s="16">
        <v>426.6782</v>
      </c>
      <c r="I346" s="16">
        <v>482.39569999999998</v>
      </c>
      <c r="J346" s="16">
        <v>452.71960000000001</v>
      </c>
      <c r="K346" s="16">
        <v>461.74059999999997</v>
      </c>
      <c r="L346" s="16">
        <v>371.99720000000002</v>
      </c>
      <c r="M346" s="16">
        <v>330.70260000000002</v>
      </c>
      <c r="N346" s="16">
        <v>209.23240000000001</v>
      </c>
      <c r="O346" s="16">
        <v>255.11959999999999</v>
      </c>
      <c r="P346" s="16">
        <v>298.11009999999999</v>
      </c>
      <c r="Q346" s="16">
        <v>334.904</v>
      </c>
      <c r="R346" s="16">
        <v>376.88330000000002</v>
      </c>
      <c r="S346" s="16">
        <v>388.73070000000001</v>
      </c>
      <c r="T346" s="16">
        <v>417.11610000000002</v>
      </c>
      <c r="U346" s="16">
        <v>416.899</v>
      </c>
      <c r="V346" s="16">
        <v>401.09300000000002</v>
      </c>
      <c r="W346" s="16">
        <v>417.31450000000001</v>
      </c>
      <c r="X346" s="16">
        <v>400.82569999999998</v>
      </c>
      <c r="Y346" s="16">
        <v>308.4735</v>
      </c>
      <c r="Z346" s="26" t="s">
        <v>32</v>
      </c>
      <c r="AA346" s="25">
        <f t="shared" si="10"/>
        <v>209.23240000000001</v>
      </c>
      <c r="AB346" s="25">
        <f t="shared" si="11"/>
        <v>373.02609999999999</v>
      </c>
    </row>
    <row r="347" spans="1:28">
      <c r="A347" s="8">
        <v>45637</v>
      </c>
      <c r="B347" s="16">
        <v>319.41289999999998</v>
      </c>
      <c r="C347" s="16">
        <v>332.47469999999998</v>
      </c>
      <c r="D347" s="16">
        <v>356.42239999999998</v>
      </c>
      <c r="E347" s="16">
        <v>346.5086</v>
      </c>
      <c r="F347" s="16">
        <v>319.16340000000002</v>
      </c>
      <c r="G347" s="16">
        <v>319.77019999999999</v>
      </c>
      <c r="H347" s="16">
        <v>415.09379999999999</v>
      </c>
      <c r="I347" s="16">
        <v>418.8537</v>
      </c>
      <c r="J347" s="16">
        <v>444.54930000000002</v>
      </c>
      <c r="K347" s="16">
        <v>487.84120000000001</v>
      </c>
      <c r="L347" s="16">
        <v>378.5059</v>
      </c>
      <c r="M347" s="16">
        <v>346.61380000000003</v>
      </c>
      <c r="N347" s="16">
        <v>252.57050000000001</v>
      </c>
      <c r="O347" s="16">
        <v>279.04969999999997</v>
      </c>
      <c r="P347" s="16">
        <v>308.25189999999998</v>
      </c>
      <c r="Q347" s="16">
        <v>342.70780000000002</v>
      </c>
      <c r="R347" s="16">
        <v>372.22289999999998</v>
      </c>
      <c r="S347" s="16">
        <v>390.60239999999999</v>
      </c>
      <c r="T347" s="16">
        <v>413.49029999999999</v>
      </c>
      <c r="U347" s="16">
        <v>431.5104</v>
      </c>
      <c r="V347" s="16">
        <v>398.08519999999999</v>
      </c>
      <c r="W347" s="16">
        <v>427.79149999999998</v>
      </c>
      <c r="X347" s="16">
        <v>428.46980000000002</v>
      </c>
      <c r="Y347" s="16">
        <v>321.26010000000002</v>
      </c>
      <c r="Z347" s="26" t="s">
        <v>32</v>
      </c>
      <c r="AA347" s="25">
        <f t="shared" si="10"/>
        <v>252.57050000000001</v>
      </c>
      <c r="AB347" s="25">
        <f t="shared" si="11"/>
        <v>368.80093333333298</v>
      </c>
    </row>
    <row r="348" spans="1:28">
      <c r="A348" s="8">
        <v>45638</v>
      </c>
      <c r="B348" s="16">
        <v>326.28789999999998</v>
      </c>
      <c r="C348" s="16">
        <v>321.96559999999999</v>
      </c>
      <c r="D348" s="16">
        <v>306.50650000000002</v>
      </c>
      <c r="E348" s="16">
        <v>300.86869999999999</v>
      </c>
      <c r="F348" s="16">
        <v>285.23200000000003</v>
      </c>
      <c r="G348" s="16">
        <v>287.49630000000002</v>
      </c>
      <c r="H348" s="16">
        <v>352.80650000000003</v>
      </c>
      <c r="I348" s="16">
        <v>339.55439999999999</v>
      </c>
      <c r="J348" s="16">
        <v>358.32850000000002</v>
      </c>
      <c r="K348" s="16">
        <v>365.58339999999998</v>
      </c>
      <c r="L348" s="16">
        <v>305.93819999999999</v>
      </c>
      <c r="M348" s="16">
        <v>302.75099999999998</v>
      </c>
      <c r="N348" s="16">
        <v>26.639399999999998</v>
      </c>
      <c r="O348" s="16">
        <v>123.5234</v>
      </c>
      <c r="P348" s="16">
        <v>263.21640000000002</v>
      </c>
      <c r="Q348" s="16">
        <v>306.32319999999999</v>
      </c>
      <c r="R348" s="16">
        <v>348.9658</v>
      </c>
      <c r="S348" s="16">
        <v>369.04590000000002</v>
      </c>
      <c r="T348" s="16">
        <v>380.95359999999999</v>
      </c>
      <c r="U348" s="16">
        <v>400.77600000000001</v>
      </c>
      <c r="V348" s="16">
        <v>371.9667</v>
      </c>
      <c r="W348" s="16">
        <v>405.04680000000002</v>
      </c>
      <c r="X348" s="16">
        <v>383.86250000000001</v>
      </c>
      <c r="Y348" s="16">
        <v>304.37029999999999</v>
      </c>
      <c r="Z348" s="26" t="s">
        <v>33</v>
      </c>
      <c r="AA348" s="25">
        <f t="shared" si="10"/>
        <v>26.639399999999998</v>
      </c>
      <c r="AB348" s="25">
        <f t="shared" si="11"/>
        <v>314.08370833333299</v>
      </c>
    </row>
    <row r="349" spans="1:28">
      <c r="A349" s="8">
        <v>45639</v>
      </c>
      <c r="B349" s="16">
        <v>316.23360000000002</v>
      </c>
      <c r="C349" s="16">
        <v>326.68450000000001</v>
      </c>
      <c r="D349" s="16">
        <v>289.90519999999998</v>
      </c>
      <c r="E349" s="16">
        <v>277.36759999999998</v>
      </c>
      <c r="F349" s="16">
        <v>258.74869999999999</v>
      </c>
      <c r="G349" s="16">
        <v>261.11169999999998</v>
      </c>
      <c r="H349" s="16">
        <v>330.46899999999999</v>
      </c>
      <c r="I349" s="16">
        <v>368.11079999999998</v>
      </c>
      <c r="J349" s="16">
        <v>379.03120000000001</v>
      </c>
      <c r="K349" s="16">
        <v>419.66140000000001</v>
      </c>
      <c r="L349" s="16">
        <v>361.99689999999998</v>
      </c>
      <c r="M349" s="16">
        <v>352.2278</v>
      </c>
      <c r="N349" s="16">
        <v>276.46800000000002</v>
      </c>
      <c r="O349" s="16">
        <v>289.75279999999998</v>
      </c>
      <c r="P349" s="16">
        <v>321.15600000000001</v>
      </c>
      <c r="Q349" s="16">
        <v>347.78129999999999</v>
      </c>
      <c r="R349" s="16">
        <v>380.9846</v>
      </c>
      <c r="S349" s="16">
        <v>398.65370000000001</v>
      </c>
      <c r="T349" s="16">
        <v>395.00709999999998</v>
      </c>
      <c r="U349" s="16">
        <v>403.81029999999998</v>
      </c>
      <c r="V349" s="16">
        <v>388.83730000000003</v>
      </c>
      <c r="W349" s="16">
        <v>407.48759999999999</v>
      </c>
      <c r="X349" s="16">
        <v>369.63549999999998</v>
      </c>
      <c r="Y349" s="16">
        <v>289.75119999999998</v>
      </c>
      <c r="Z349" s="26" t="s">
        <v>34</v>
      </c>
      <c r="AA349" s="25">
        <f t="shared" si="10"/>
        <v>258.74869999999999</v>
      </c>
      <c r="AB349" s="25">
        <f t="shared" si="11"/>
        <v>342.11974166666698</v>
      </c>
    </row>
    <row r="350" spans="1:28">
      <c r="A350" s="8">
        <v>45640</v>
      </c>
      <c r="B350" s="16">
        <v>314.96129999999999</v>
      </c>
      <c r="C350" s="16">
        <v>281.97120000000001</v>
      </c>
      <c r="D350" s="16">
        <v>264.75200000000001</v>
      </c>
      <c r="E350" s="16">
        <v>251.4871</v>
      </c>
      <c r="F350" s="16">
        <v>225.2457</v>
      </c>
      <c r="G350" s="16">
        <v>207.2354</v>
      </c>
      <c r="H350" s="16">
        <v>250.2338</v>
      </c>
      <c r="I350" s="16">
        <v>257.69990000000001</v>
      </c>
      <c r="J350" s="16">
        <v>297.48950000000002</v>
      </c>
      <c r="K350" s="16">
        <v>310.22570000000002</v>
      </c>
      <c r="L350" s="16">
        <v>271.74029999999999</v>
      </c>
      <c r="M350" s="16">
        <v>267.87909999999999</v>
      </c>
      <c r="N350" s="16">
        <v>136.93680000000001</v>
      </c>
      <c r="O350" s="16">
        <v>186.9991</v>
      </c>
      <c r="P350" s="16">
        <v>267.66219999999998</v>
      </c>
      <c r="Q350" s="16">
        <v>282.41860000000003</v>
      </c>
      <c r="R350" s="16">
        <v>319.5967</v>
      </c>
      <c r="S350" s="16">
        <v>374.35579999999999</v>
      </c>
      <c r="T350" s="16">
        <v>376.28750000000002</v>
      </c>
      <c r="U350" s="16">
        <v>376.43009999999998</v>
      </c>
      <c r="V350" s="16">
        <v>359.74549999999999</v>
      </c>
      <c r="W350" s="16">
        <v>367.05259999999998</v>
      </c>
      <c r="X350" s="16">
        <v>351.834</v>
      </c>
      <c r="Y350" s="16">
        <v>292.1078</v>
      </c>
      <c r="Z350" s="26" t="s">
        <v>32</v>
      </c>
      <c r="AA350" s="25">
        <f t="shared" si="10"/>
        <v>136.93680000000001</v>
      </c>
      <c r="AB350" s="25">
        <f t="shared" si="11"/>
        <v>287.181154166667</v>
      </c>
    </row>
    <row r="351" spans="1:28">
      <c r="A351" s="8">
        <v>45641</v>
      </c>
      <c r="B351" s="16">
        <v>361.17419999999998</v>
      </c>
      <c r="C351" s="16">
        <v>346.04379999999998</v>
      </c>
      <c r="D351" s="16">
        <v>325.17419999999998</v>
      </c>
      <c r="E351" s="16">
        <v>306.09429999999998</v>
      </c>
      <c r="F351" s="16">
        <v>284.83330000000001</v>
      </c>
      <c r="G351" s="16">
        <v>281.4162</v>
      </c>
      <c r="H351" s="16">
        <v>305.25790000000001</v>
      </c>
      <c r="I351" s="16">
        <v>290.74259999999998</v>
      </c>
      <c r="J351" s="16">
        <v>291.21230000000003</v>
      </c>
      <c r="K351" s="16">
        <v>272.11239999999998</v>
      </c>
      <c r="L351" s="16">
        <v>241.97300000000001</v>
      </c>
      <c r="M351" s="16">
        <v>242.75899999999999</v>
      </c>
      <c r="N351" s="16">
        <v>21.221800000000002</v>
      </c>
      <c r="O351" s="16">
        <v>158.31129999999999</v>
      </c>
      <c r="P351" s="16">
        <v>257.7919</v>
      </c>
      <c r="Q351" s="16">
        <v>273.59019999999998</v>
      </c>
      <c r="R351" s="16">
        <v>344.13560000000001</v>
      </c>
      <c r="S351" s="16">
        <v>380.11239999999998</v>
      </c>
      <c r="T351" s="16">
        <v>375.76100000000002</v>
      </c>
      <c r="U351" s="16">
        <v>379.58390000000003</v>
      </c>
      <c r="V351" s="16">
        <v>377.81619999999998</v>
      </c>
      <c r="W351" s="16">
        <v>381.5299</v>
      </c>
      <c r="X351" s="16">
        <v>406.7792</v>
      </c>
      <c r="Y351" s="16">
        <v>323.96679999999998</v>
      </c>
      <c r="Z351" s="26" t="s">
        <v>32</v>
      </c>
      <c r="AA351" s="25">
        <f t="shared" si="10"/>
        <v>21.221800000000002</v>
      </c>
      <c r="AB351" s="25">
        <f t="shared" si="11"/>
        <v>301.22472499999998</v>
      </c>
    </row>
    <row r="352" spans="1:28">
      <c r="A352" s="8">
        <v>45642</v>
      </c>
      <c r="B352" s="16">
        <v>316.77510000000001</v>
      </c>
      <c r="C352" s="16">
        <v>311.48340000000002</v>
      </c>
      <c r="D352" s="16">
        <v>285.7149</v>
      </c>
      <c r="E352" s="16">
        <v>268.43</v>
      </c>
      <c r="F352" s="16">
        <v>255.33670000000001</v>
      </c>
      <c r="G352" s="16">
        <v>256.90949999999998</v>
      </c>
      <c r="H352" s="16">
        <v>300.82830000000001</v>
      </c>
      <c r="I352" s="16">
        <v>343.2457</v>
      </c>
      <c r="J352" s="16">
        <v>437.30029999999999</v>
      </c>
      <c r="K352" s="16">
        <v>468.24040000000002</v>
      </c>
      <c r="L352" s="16">
        <v>404.41750000000002</v>
      </c>
      <c r="M352" s="16">
        <v>366.60230000000001</v>
      </c>
      <c r="N352" s="16">
        <v>80.357100000000003</v>
      </c>
      <c r="O352" s="16">
        <v>152.18209999999999</v>
      </c>
      <c r="P352" s="16">
        <v>272.32350000000002</v>
      </c>
      <c r="Q352" s="16">
        <v>337.58390000000003</v>
      </c>
      <c r="R352" s="16">
        <v>395.73149999999998</v>
      </c>
      <c r="S352" s="16">
        <v>423.43049999999999</v>
      </c>
      <c r="T352" s="16">
        <v>421.10910000000001</v>
      </c>
      <c r="U352" s="16">
        <v>423.06610000000001</v>
      </c>
      <c r="V352" s="16">
        <v>412.52719999999999</v>
      </c>
      <c r="W352" s="16">
        <v>398.98689999999999</v>
      </c>
      <c r="X352" s="16">
        <v>381.99009999999998</v>
      </c>
      <c r="Y352" s="16">
        <v>304.61590000000001</v>
      </c>
      <c r="Z352" s="26" t="s">
        <v>32</v>
      </c>
      <c r="AA352" s="25">
        <f t="shared" si="10"/>
        <v>80.357100000000003</v>
      </c>
      <c r="AB352" s="25">
        <f t="shared" si="11"/>
        <v>334.132833333333</v>
      </c>
    </row>
    <row r="353" spans="1:28">
      <c r="A353" s="8">
        <v>45643</v>
      </c>
      <c r="B353" s="16">
        <v>321.85500000000002</v>
      </c>
      <c r="C353" s="16">
        <v>299.63220000000001</v>
      </c>
      <c r="D353" s="16">
        <v>289.62909999999999</v>
      </c>
      <c r="E353" s="16">
        <v>276.73009999999999</v>
      </c>
      <c r="F353" s="16">
        <v>266.88569999999999</v>
      </c>
      <c r="G353" s="16">
        <v>271.31189999999998</v>
      </c>
      <c r="H353" s="16">
        <v>306.20350000000002</v>
      </c>
      <c r="I353" s="16">
        <v>329.17320000000001</v>
      </c>
      <c r="J353" s="16">
        <v>357.3655</v>
      </c>
      <c r="K353" s="16">
        <v>329.21129999999999</v>
      </c>
      <c r="L353" s="16">
        <v>285.2937</v>
      </c>
      <c r="M353" s="16">
        <v>271.18</v>
      </c>
      <c r="N353" s="16">
        <v>132.79220000000001</v>
      </c>
      <c r="O353" s="16">
        <v>196.43459999999999</v>
      </c>
      <c r="P353" s="16">
        <v>266.81240000000003</v>
      </c>
      <c r="Q353" s="16">
        <v>298.07600000000002</v>
      </c>
      <c r="R353" s="16">
        <v>361.78919999999999</v>
      </c>
      <c r="S353" s="16">
        <v>378.11630000000002</v>
      </c>
      <c r="T353" s="16">
        <v>385.82749999999999</v>
      </c>
      <c r="U353" s="16">
        <v>381.33109999999999</v>
      </c>
      <c r="V353" s="16">
        <v>366.99430000000001</v>
      </c>
      <c r="W353" s="16">
        <v>367.48669999999998</v>
      </c>
      <c r="X353" s="16">
        <v>347.91820000000001</v>
      </c>
      <c r="Y353" s="16">
        <v>296.8159</v>
      </c>
      <c r="Z353" s="26" t="s">
        <v>32</v>
      </c>
      <c r="AA353" s="25">
        <f t="shared" si="10"/>
        <v>132.79220000000001</v>
      </c>
      <c r="AB353" s="25">
        <f t="shared" si="11"/>
        <v>307.70273333333301</v>
      </c>
    </row>
    <row r="354" spans="1:28">
      <c r="A354" s="8">
        <v>45644</v>
      </c>
      <c r="B354" s="16">
        <v>293.38189999999997</v>
      </c>
      <c r="C354" s="16">
        <v>275.9828</v>
      </c>
      <c r="D354" s="16">
        <v>268.17529999999999</v>
      </c>
      <c r="E354" s="16">
        <v>263.78539999999998</v>
      </c>
      <c r="F354" s="16">
        <v>248.95330000000001</v>
      </c>
      <c r="G354" s="16">
        <v>246.595</v>
      </c>
      <c r="H354" s="16">
        <v>278.25170000000003</v>
      </c>
      <c r="I354" s="16">
        <v>320.10750000000002</v>
      </c>
      <c r="J354" s="16">
        <v>368.33510000000001</v>
      </c>
      <c r="K354" s="16">
        <v>359.19549999999998</v>
      </c>
      <c r="L354" s="16">
        <v>283.10500000000002</v>
      </c>
      <c r="M354" s="16">
        <v>270.42039999999997</v>
      </c>
      <c r="N354" s="16">
        <v>42.131799999999998</v>
      </c>
      <c r="O354" s="16">
        <v>104.24079999999999</v>
      </c>
      <c r="P354" s="16">
        <v>258.03089999999997</v>
      </c>
      <c r="Q354" s="16">
        <v>310.18970000000002</v>
      </c>
      <c r="R354" s="16">
        <v>351.76710000000003</v>
      </c>
      <c r="S354" s="16">
        <v>343.98469999999998</v>
      </c>
      <c r="T354" s="16">
        <v>341.98</v>
      </c>
      <c r="U354" s="16">
        <v>363.45749999999998</v>
      </c>
      <c r="V354" s="16">
        <v>348.13920000000002</v>
      </c>
      <c r="W354" s="16">
        <v>332.25819999999999</v>
      </c>
      <c r="X354" s="16">
        <v>319.02679999999998</v>
      </c>
      <c r="Y354" s="16">
        <v>272.69369999999998</v>
      </c>
      <c r="Z354" s="26" t="s">
        <v>32</v>
      </c>
      <c r="AA354" s="25">
        <f t="shared" si="10"/>
        <v>42.131799999999998</v>
      </c>
      <c r="AB354" s="25">
        <f t="shared" si="11"/>
        <v>286.00788749999998</v>
      </c>
    </row>
    <row r="355" spans="1:28">
      <c r="A355" s="8">
        <v>45645</v>
      </c>
      <c r="B355" s="16">
        <v>264.22399999999999</v>
      </c>
      <c r="C355" s="16">
        <v>271.92869999999999</v>
      </c>
      <c r="D355" s="16">
        <v>259.96420000000001</v>
      </c>
      <c r="E355" s="16">
        <v>229.3192</v>
      </c>
      <c r="F355" s="16">
        <v>131.93289999999999</v>
      </c>
      <c r="G355" s="16">
        <v>170.26900000000001</v>
      </c>
      <c r="H355" s="16">
        <v>278.92950000000002</v>
      </c>
      <c r="I355" s="16">
        <v>324.6644</v>
      </c>
      <c r="J355" s="16">
        <v>326.37650000000002</v>
      </c>
      <c r="K355" s="16">
        <v>330.82760000000002</v>
      </c>
      <c r="L355" s="16">
        <v>261.50009999999997</v>
      </c>
      <c r="M355" s="16">
        <v>247.51910000000001</v>
      </c>
      <c r="N355" s="16">
        <v>82.669899999999998</v>
      </c>
      <c r="O355" s="16">
        <v>161.40559999999999</v>
      </c>
      <c r="P355" s="16">
        <v>286.29919999999998</v>
      </c>
      <c r="Q355" s="16">
        <v>313.32459999999998</v>
      </c>
      <c r="R355" s="16">
        <v>368.8956</v>
      </c>
      <c r="S355" s="16">
        <v>362.05900000000003</v>
      </c>
      <c r="T355" s="16">
        <v>360.84949999999998</v>
      </c>
      <c r="U355" s="16">
        <v>363.18130000000002</v>
      </c>
      <c r="V355" s="16">
        <v>359.79509999999999</v>
      </c>
      <c r="W355" s="16">
        <v>350.6343</v>
      </c>
      <c r="X355" s="16">
        <v>352.98860000000002</v>
      </c>
      <c r="Y355" s="16">
        <v>303.67309999999998</v>
      </c>
      <c r="Z355" s="26" t="s">
        <v>33</v>
      </c>
      <c r="AA355" s="25">
        <f t="shared" si="10"/>
        <v>82.669899999999998</v>
      </c>
      <c r="AB355" s="25">
        <f t="shared" si="11"/>
        <v>281.801291666667</v>
      </c>
    </row>
    <row r="356" spans="1:28">
      <c r="A356" s="8">
        <v>45646</v>
      </c>
      <c r="B356" s="16">
        <v>332.7552</v>
      </c>
      <c r="C356" s="16">
        <v>315.28820000000002</v>
      </c>
      <c r="D356" s="16">
        <v>310.34309999999999</v>
      </c>
      <c r="E356" s="16">
        <v>302.22489999999999</v>
      </c>
      <c r="F356" s="16">
        <v>286.63810000000001</v>
      </c>
      <c r="G356" s="16">
        <v>286.81459999999998</v>
      </c>
      <c r="H356" s="16">
        <v>329.55250000000001</v>
      </c>
      <c r="I356" s="16">
        <v>370.22980000000001</v>
      </c>
      <c r="J356" s="16">
        <v>392.09730000000002</v>
      </c>
      <c r="K356" s="16">
        <v>403.48809999999997</v>
      </c>
      <c r="L356" s="16">
        <v>332.17090000000002</v>
      </c>
      <c r="M356" s="16">
        <v>255.17599999999999</v>
      </c>
      <c r="N356" s="16">
        <v>142.7534</v>
      </c>
      <c r="O356" s="16">
        <v>182.54849999999999</v>
      </c>
      <c r="P356" s="16">
        <v>296.20310000000001</v>
      </c>
      <c r="Q356" s="16">
        <v>329.66410000000002</v>
      </c>
      <c r="R356" s="16">
        <v>398.84609999999998</v>
      </c>
      <c r="S356" s="16">
        <v>378.7029</v>
      </c>
      <c r="T356" s="16">
        <v>384.40190000000001</v>
      </c>
      <c r="U356" s="16">
        <v>413.69639999999998</v>
      </c>
      <c r="V356" s="16">
        <v>398.40300000000002</v>
      </c>
      <c r="W356" s="16">
        <v>387.39069999999998</v>
      </c>
      <c r="X356" s="16">
        <v>378.17020000000002</v>
      </c>
      <c r="Y356" s="16">
        <v>323.42520000000002</v>
      </c>
      <c r="Z356" s="26" t="s">
        <v>34</v>
      </c>
      <c r="AA356" s="25">
        <f t="shared" si="10"/>
        <v>142.7534</v>
      </c>
      <c r="AB356" s="25">
        <f t="shared" si="11"/>
        <v>330.45767499999999</v>
      </c>
    </row>
    <row r="357" spans="1:28">
      <c r="A357" s="8">
        <v>45647</v>
      </c>
      <c r="B357" s="16">
        <v>413.43900000000002</v>
      </c>
      <c r="C357" s="16">
        <v>373.32960000000003</v>
      </c>
      <c r="D357" s="16">
        <v>366.03059999999999</v>
      </c>
      <c r="E357" s="16">
        <v>337.31369999999998</v>
      </c>
      <c r="F357" s="16">
        <v>325.22829999999999</v>
      </c>
      <c r="G357" s="16">
        <v>319.36540000000002</v>
      </c>
      <c r="H357" s="16">
        <v>336.4162</v>
      </c>
      <c r="I357" s="16">
        <v>358.37880000000001</v>
      </c>
      <c r="J357" s="16">
        <v>360.18770000000001</v>
      </c>
      <c r="K357" s="16">
        <v>346.64159999999998</v>
      </c>
      <c r="L357" s="16">
        <v>314.99930000000001</v>
      </c>
      <c r="M357" s="16">
        <v>259.0446</v>
      </c>
      <c r="N357" s="16">
        <v>83.829499999999996</v>
      </c>
      <c r="O357" s="16">
        <v>181.57210000000001</v>
      </c>
      <c r="P357" s="16">
        <v>286.22750000000002</v>
      </c>
      <c r="Q357" s="16">
        <v>322.1318</v>
      </c>
      <c r="R357" s="16">
        <v>374.90109999999999</v>
      </c>
      <c r="S357" s="16">
        <v>379.65839999999997</v>
      </c>
      <c r="T357" s="16">
        <v>382.66410000000002</v>
      </c>
      <c r="U357" s="16">
        <v>378.41860000000003</v>
      </c>
      <c r="V357" s="16">
        <v>354.64460000000003</v>
      </c>
      <c r="W357" s="16">
        <v>354.80500000000001</v>
      </c>
      <c r="X357" s="16">
        <v>347.15449999999998</v>
      </c>
      <c r="Y357" s="16">
        <v>289.4504</v>
      </c>
      <c r="Z357" s="26" t="s">
        <v>32</v>
      </c>
      <c r="AA357" s="25">
        <f t="shared" si="10"/>
        <v>83.829499999999996</v>
      </c>
      <c r="AB357" s="25">
        <f t="shared" si="11"/>
        <v>326.90968333333302</v>
      </c>
    </row>
    <row r="358" spans="1:28">
      <c r="A358" s="8">
        <v>45648</v>
      </c>
      <c r="B358" s="16">
        <v>360.18560000000002</v>
      </c>
      <c r="C358" s="16">
        <v>318.42149999999998</v>
      </c>
      <c r="D358" s="16">
        <v>299.29660000000001</v>
      </c>
      <c r="E358" s="16">
        <v>281.93849999999998</v>
      </c>
      <c r="F358" s="16">
        <v>266.6497</v>
      </c>
      <c r="G358" s="16">
        <v>258.37450000000001</v>
      </c>
      <c r="H358" s="16">
        <v>261.85559999999998</v>
      </c>
      <c r="I358" s="16">
        <v>275.38459999999998</v>
      </c>
      <c r="J358" s="16">
        <v>255.33179999999999</v>
      </c>
      <c r="K358" s="16">
        <v>161.04910000000001</v>
      </c>
      <c r="L358" s="16">
        <v>67.799700000000001</v>
      </c>
      <c r="M358" s="16">
        <v>17.9603</v>
      </c>
      <c r="N358" s="16">
        <v>0</v>
      </c>
      <c r="O358" s="16">
        <v>23.6433</v>
      </c>
      <c r="P358" s="16">
        <v>9.9649000000000001</v>
      </c>
      <c r="Q358" s="16">
        <v>223.82470000000001</v>
      </c>
      <c r="R358" s="16">
        <v>304.17320000000001</v>
      </c>
      <c r="S358" s="16">
        <v>332.27629999999999</v>
      </c>
      <c r="T358" s="16">
        <v>340.00709999999998</v>
      </c>
      <c r="U358" s="16">
        <v>338.81470000000002</v>
      </c>
      <c r="V358" s="16">
        <v>357.16180000000003</v>
      </c>
      <c r="W358" s="16">
        <v>360.6848</v>
      </c>
      <c r="X358" s="16">
        <v>332.8261</v>
      </c>
      <c r="Y358" s="16">
        <v>289.76260000000002</v>
      </c>
      <c r="Z358" s="26" t="s">
        <v>32</v>
      </c>
      <c r="AA358" s="25">
        <f t="shared" si="10"/>
        <v>0</v>
      </c>
      <c r="AB358" s="25">
        <f t="shared" si="11"/>
        <v>239.05779166666699</v>
      </c>
    </row>
    <row r="359" spans="1:28">
      <c r="A359" s="8">
        <v>45649</v>
      </c>
      <c r="B359" s="28">
        <v>270.95999999999998</v>
      </c>
      <c r="C359" s="28">
        <v>250.68</v>
      </c>
      <c r="D359" s="28">
        <v>245.97</v>
      </c>
      <c r="E359" s="28">
        <v>232</v>
      </c>
      <c r="F359" s="28">
        <v>187.24</v>
      </c>
      <c r="G359" s="28">
        <v>174.7</v>
      </c>
      <c r="H359" s="28">
        <v>246.69</v>
      </c>
      <c r="I359" s="28">
        <v>293.95</v>
      </c>
      <c r="J359" s="28">
        <v>342.65</v>
      </c>
      <c r="K359" s="28">
        <v>365</v>
      </c>
      <c r="L359" s="28">
        <v>372.79</v>
      </c>
      <c r="M359" s="28">
        <v>357.21</v>
      </c>
      <c r="N359" s="28">
        <v>283.72000000000003</v>
      </c>
      <c r="O359" s="28">
        <v>301.94</v>
      </c>
      <c r="P359" s="28">
        <v>330.69</v>
      </c>
      <c r="Q359" s="28">
        <v>324.29000000000002</v>
      </c>
      <c r="R359" s="28">
        <v>369.19</v>
      </c>
      <c r="S359" s="28">
        <v>366.52</v>
      </c>
      <c r="T359" s="28">
        <v>357.23</v>
      </c>
      <c r="U359" s="28">
        <v>394.27</v>
      </c>
      <c r="V359" s="28">
        <v>379.11</v>
      </c>
      <c r="W359" s="28">
        <v>405.05</v>
      </c>
      <c r="X359" s="28">
        <v>395.93</v>
      </c>
      <c r="Y359" s="28">
        <v>303.74</v>
      </c>
      <c r="Z359" s="26" t="s">
        <v>32</v>
      </c>
      <c r="AA359" s="25">
        <f t="shared" si="10"/>
        <v>174.7</v>
      </c>
      <c r="AB359" s="25">
        <f t="shared" si="11"/>
        <v>314.64666666666699</v>
      </c>
    </row>
    <row r="360" spans="1:28">
      <c r="A360" s="8">
        <v>45650</v>
      </c>
      <c r="B360" s="28">
        <v>314.75</v>
      </c>
      <c r="C360" s="28">
        <v>269.88</v>
      </c>
      <c r="D360" s="28">
        <v>278.2</v>
      </c>
      <c r="E360" s="28">
        <v>269.95</v>
      </c>
      <c r="F360" s="28">
        <v>263.18</v>
      </c>
      <c r="G360" s="28">
        <v>265.37</v>
      </c>
      <c r="H360" s="28">
        <v>301.19</v>
      </c>
      <c r="I360" s="28">
        <v>343.98</v>
      </c>
      <c r="J360" s="28">
        <v>362.39</v>
      </c>
      <c r="K360" s="28">
        <v>363.27</v>
      </c>
      <c r="L360" s="28">
        <v>350.32</v>
      </c>
      <c r="M360" s="28">
        <v>278.57</v>
      </c>
      <c r="N360" s="28">
        <v>151.12</v>
      </c>
      <c r="O360" s="28">
        <v>220.54</v>
      </c>
      <c r="P360" s="28">
        <v>265.48</v>
      </c>
      <c r="Q360" s="28">
        <v>297.57</v>
      </c>
      <c r="R360" s="28">
        <v>331.94</v>
      </c>
      <c r="S360" s="28">
        <v>330.9</v>
      </c>
      <c r="T360" s="28">
        <v>331.78</v>
      </c>
      <c r="U360" s="28">
        <v>340.03</v>
      </c>
      <c r="V360" s="28">
        <v>340.93</v>
      </c>
      <c r="W360" s="28">
        <v>345.94</v>
      </c>
      <c r="X360" s="28">
        <v>343.38</v>
      </c>
      <c r="Y360" s="28">
        <v>310.58</v>
      </c>
      <c r="Z360" s="26" t="s">
        <v>32</v>
      </c>
      <c r="AA360" s="25">
        <f t="shared" si="10"/>
        <v>151.12</v>
      </c>
      <c r="AB360" s="25">
        <f t="shared" si="11"/>
        <v>302.96833333333302</v>
      </c>
    </row>
    <row r="361" spans="1:28">
      <c r="A361" s="8">
        <v>45651</v>
      </c>
      <c r="B361" s="28">
        <v>352.59</v>
      </c>
      <c r="C361" s="28">
        <v>291.27999999999997</v>
      </c>
      <c r="D361" s="28">
        <v>280.63</v>
      </c>
      <c r="E361" s="28">
        <v>249.94</v>
      </c>
      <c r="F361" s="28">
        <v>239.64</v>
      </c>
      <c r="G361" s="28">
        <v>246.31</v>
      </c>
      <c r="H361" s="28">
        <v>297.17</v>
      </c>
      <c r="I361" s="28">
        <v>356.33</v>
      </c>
      <c r="J361" s="28">
        <v>372.89</v>
      </c>
      <c r="K361" s="28">
        <v>321.36</v>
      </c>
      <c r="L361" s="28">
        <v>269.32</v>
      </c>
      <c r="M361" s="28">
        <v>214.71</v>
      </c>
      <c r="N361" s="28">
        <v>20.9</v>
      </c>
      <c r="O361" s="28">
        <v>32.14</v>
      </c>
      <c r="P361" s="28">
        <v>73.75</v>
      </c>
      <c r="Q361" s="28">
        <v>216.71</v>
      </c>
      <c r="R361" s="28">
        <v>282.27</v>
      </c>
      <c r="S361" s="28">
        <v>305.83999999999997</v>
      </c>
      <c r="T361" s="28">
        <v>321.92</v>
      </c>
      <c r="U361" s="28">
        <v>342.23</v>
      </c>
      <c r="V361" s="28">
        <v>318.61</v>
      </c>
      <c r="W361" s="28">
        <v>332.76</v>
      </c>
      <c r="X361" s="28">
        <v>328.68</v>
      </c>
      <c r="Y361" s="28">
        <v>274.33</v>
      </c>
      <c r="Z361" s="26" t="s">
        <v>32</v>
      </c>
      <c r="AA361" s="25">
        <f t="shared" si="10"/>
        <v>20.9</v>
      </c>
      <c r="AB361" s="25">
        <f t="shared" si="11"/>
        <v>264.26291666666702</v>
      </c>
    </row>
    <row r="362" spans="1:28">
      <c r="A362" s="8">
        <v>45652</v>
      </c>
      <c r="B362" s="28">
        <v>307.5</v>
      </c>
      <c r="C362" s="28">
        <v>286.43</v>
      </c>
      <c r="D362" s="28">
        <v>279.36</v>
      </c>
      <c r="E362" s="28">
        <v>267.43</v>
      </c>
      <c r="F362" s="28">
        <v>260.81</v>
      </c>
      <c r="G362" s="28">
        <v>261.8</v>
      </c>
      <c r="H362" s="28">
        <v>290.79000000000002</v>
      </c>
      <c r="I362" s="28">
        <v>335.57</v>
      </c>
      <c r="J362" s="28">
        <v>363.69</v>
      </c>
      <c r="K362" s="28">
        <v>343.58</v>
      </c>
      <c r="L362" s="28">
        <v>326.41000000000003</v>
      </c>
      <c r="M362" s="28">
        <v>300.24</v>
      </c>
      <c r="N362" s="28">
        <v>189.21</v>
      </c>
      <c r="O362" s="28">
        <v>139.9</v>
      </c>
      <c r="P362" s="28">
        <v>268.5</v>
      </c>
      <c r="Q362" s="28">
        <v>277.64999999999998</v>
      </c>
      <c r="R362" s="28">
        <v>304.23</v>
      </c>
      <c r="S362" s="28">
        <v>317.10000000000002</v>
      </c>
      <c r="T362" s="28">
        <v>326.58</v>
      </c>
      <c r="U362" s="28">
        <v>337.45</v>
      </c>
      <c r="V362" s="28">
        <v>340.51</v>
      </c>
      <c r="W362" s="28">
        <v>340.86</v>
      </c>
      <c r="X362" s="28">
        <v>327.11</v>
      </c>
      <c r="Y362" s="28">
        <v>295.27</v>
      </c>
      <c r="Z362" s="26" t="s">
        <v>33</v>
      </c>
      <c r="AA362" s="25">
        <f t="shared" si="10"/>
        <v>139.9</v>
      </c>
      <c r="AB362" s="25">
        <f t="shared" si="11"/>
        <v>295.33249999999998</v>
      </c>
    </row>
    <row r="363" spans="1:28">
      <c r="A363" s="8">
        <v>45653</v>
      </c>
      <c r="B363" s="28">
        <v>324.14</v>
      </c>
      <c r="C363" s="28">
        <v>293.48</v>
      </c>
      <c r="D363" s="28">
        <v>273.57</v>
      </c>
      <c r="E363" s="28">
        <v>255.57</v>
      </c>
      <c r="F363" s="28">
        <v>242.95</v>
      </c>
      <c r="G363" s="28">
        <v>242.56</v>
      </c>
      <c r="H363" s="28">
        <v>275.73</v>
      </c>
      <c r="I363" s="28">
        <v>322.60000000000002</v>
      </c>
      <c r="J363" s="28">
        <v>401.95</v>
      </c>
      <c r="K363" s="28">
        <v>410</v>
      </c>
      <c r="L363" s="28">
        <v>327.45</v>
      </c>
      <c r="M363" s="28">
        <v>304.48</v>
      </c>
      <c r="N363" s="28">
        <v>251.38</v>
      </c>
      <c r="O363" s="28">
        <v>268.33999999999997</v>
      </c>
      <c r="P363" s="28">
        <v>290.52</v>
      </c>
      <c r="Q363" s="28">
        <v>304.69</v>
      </c>
      <c r="R363" s="28">
        <v>364.85</v>
      </c>
      <c r="S363" s="28">
        <v>392.53</v>
      </c>
      <c r="T363" s="28">
        <v>399.64</v>
      </c>
      <c r="U363" s="28">
        <v>433.82</v>
      </c>
      <c r="V363" s="28">
        <v>441.75</v>
      </c>
      <c r="W363" s="28">
        <v>436.09</v>
      </c>
      <c r="X363" s="28">
        <v>413.51</v>
      </c>
      <c r="Y363" s="28">
        <v>305.44</v>
      </c>
      <c r="Z363" s="26" t="s">
        <v>34</v>
      </c>
      <c r="AA363" s="25">
        <f t="shared" si="10"/>
        <v>242.56</v>
      </c>
      <c r="AB363" s="25">
        <f t="shared" si="11"/>
        <v>332.37666666666701</v>
      </c>
    </row>
    <row r="364" spans="1:28">
      <c r="A364" s="8">
        <v>45654</v>
      </c>
      <c r="B364" s="28">
        <v>305.29000000000002</v>
      </c>
      <c r="C364" s="28">
        <v>288.89</v>
      </c>
      <c r="D364" s="28">
        <v>284.52</v>
      </c>
      <c r="E364" s="28">
        <v>271.72000000000003</v>
      </c>
      <c r="F364" s="28">
        <v>256.88</v>
      </c>
      <c r="G364" s="28">
        <v>250.12</v>
      </c>
      <c r="H364" s="28">
        <v>275.64999999999998</v>
      </c>
      <c r="I364" s="28">
        <v>300.57</v>
      </c>
      <c r="J364" s="28">
        <v>324.83999999999997</v>
      </c>
      <c r="K364" s="28">
        <v>326.58999999999997</v>
      </c>
      <c r="L364" s="28">
        <v>211.7</v>
      </c>
      <c r="M364" s="28">
        <v>168.38</v>
      </c>
      <c r="N364" s="28">
        <v>29.55</v>
      </c>
      <c r="O364" s="28">
        <v>107.87</v>
      </c>
      <c r="P364" s="28">
        <v>149</v>
      </c>
      <c r="Q364" s="28">
        <v>219.63</v>
      </c>
      <c r="R364" s="28">
        <v>309.18</v>
      </c>
      <c r="S364" s="28">
        <v>330.92</v>
      </c>
      <c r="T364" s="28">
        <v>337.92</v>
      </c>
      <c r="U364" s="28">
        <v>345.72</v>
      </c>
      <c r="V364" s="28">
        <v>346.84</v>
      </c>
      <c r="W364" s="28">
        <v>369.96</v>
      </c>
      <c r="X364" s="28">
        <v>376.21</v>
      </c>
      <c r="Y364" s="28">
        <v>313.01</v>
      </c>
      <c r="Z364" s="26" t="s">
        <v>32</v>
      </c>
      <c r="AA364" s="25">
        <f t="shared" si="10"/>
        <v>29.55</v>
      </c>
      <c r="AB364" s="25">
        <f t="shared" si="11"/>
        <v>270.87333333333299</v>
      </c>
    </row>
    <row r="365" spans="1:28">
      <c r="A365" s="8">
        <v>45655</v>
      </c>
      <c r="B365" s="28">
        <v>319.27999999999997</v>
      </c>
      <c r="C365" s="28">
        <v>307.68</v>
      </c>
      <c r="D365" s="28">
        <v>299.2</v>
      </c>
      <c r="E365" s="28">
        <v>290.81</v>
      </c>
      <c r="F365" s="28">
        <v>271.66000000000003</v>
      </c>
      <c r="G365" s="28">
        <v>270.72000000000003</v>
      </c>
      <c r="H365" s="28">
        <v>287.70999999999998</v>
      </c>
      <c r="I365" s="28">
        <v>305.77</v>
      </c>
      <c r="J365" s="28">
        <v>310.02999999999997</v>
      </c>
      <c r="K365" s="28">
        <v>280.17</v>
      </c>
      <c r="L365" s="28">
        <v>74.81</v>
      </c>
      <c r="M365" s="28">
        <v>15.77</v>
      </c>
      <c r="N365" s="28">
        <v>10.91</v>
      </c>
      <c r="O365" s="28">
        <v>15.18</v>
      </c>
      <c r="P365" s="28">
        <v>14.27</v>
      </c>
      <c r="Q365" s="28">
        <v>59.05</v>
      </c>
      <c r="R365" s="28">
        <v>293.2</v>
      </c>
      <c r="S365" s="28">
        <v>317.22000000000003</v>
      </c>
      <c r="T365" s="28">
        <v>340.71</v>
      </c>
      <c r="U365" s="28">
        <v>352.2</v>
      </c>
      <c r="V365" s="28">
        <v>352.17</v>
      </c>
      <c r="W365" s="28">
        <v>359.08</v>
      </c>
      <c r="X365" s="28">
        <v>355.42</v>
      </c>
      <c r="Y365" s="28">
        <v>302.39</v>
      </c>
      <c r="Z365" s="26" t="s">
        <v>32</v>
      </c>
      <c r="AA365" s="25">
        <f t="shared" si="10"/>
        <v>10.91</v>
      </c>
      <c r="AB365" s="25">
        <f t="shared" si="11"/>
        <v>241.89208333333301</v>
      </c>
    </row>
    <row r="366" spans="1:28">
      <c r="A366" s="8">
        <v>45656</v>
      </c>
      <c r="B366" s="28">
        <v>375.29</v>
      </c>
      <c r="C366" s="28">
        <v>348.01</v>
      </c>
      <c r="D366" s="28">
        <v>323.82</v>
      </c>
      <c r="E366" s="28">
        <v>303.41000000000003</v>
      </c>
      <c r="F366" s="28">
        <v>291.32</v>
      </c>
      <c r="G366" s="28">
        <v>300.86</v>
      </c>
      <c r="H366" s="28">
        <v>350.99</v>
      </c>
      <c r="I366" s="28">
        <v>507.9</v>
      </c>
      <c r="J366" s="28">
        <v>470.13</v>
      </c>
      <c r="K366" s="28">
        <v>441.26</v>
      </c>
      <c r="L366" s="28">
        <v>343.83</v>
      </c>
      <c r="M366" s="28">
        <v>311.37</v>
      </c>
      <c r="N366" s="28">
        <v>219.26</v>
      </c>
      <c r="O366" s="28">
        <v>201.11</v>
      </c>
      <c r="P366" s="28">
        <v>265.98</v>
      </c>
      <c r="Q366" s="28">
        <v>319.85000000000002</v>
      </c>
      <c r="R366" s="28">
        <v>406.66</v>
      </c>
      <c r="S366" s="28">
        <v>440.73</v>
      </c>
      <c r="T366" s="28">
        <v>426.47</v>
      </c>
      <c r="U366" s="28">
        <v>457.93</v>
      </c>
      <c r="V366" s="28">
        <v>452.14</v>
      </c>
      <c r="W366" s="28">
        <v>451.04</v>
      </c>
      <c r="X366" s="28">
        <v>478.08</v>
      </c>
      <c r="Y366" s="28">
        <v>420.48</v>
      </c>
      <c r="Z366" s="26" t="s">
        <v>32</v>
      </c>
      <c r="AA366" s="25">
        <f t="shared" si="10"/>
        <v>201.11</v>
      </c>
      <c r="AB366" s="25">
        <f t="shared" si="11"/>
        <v>371.16333333333301</v>
      </c>
    </row>
    <row r="367" spans="1:28">
      <c r="A367" s="8">
        <v>45657</v>
      </c>
      <c r="B367" s="28">
        <v>510.28</v>
      </c>
      <c r="C367" s="28">
        <v>445.08</v>
      </c>
      <c r="D367" s="28">
        <v>388.94</v>
      </c>
      <c r="E367" s="28">
        <v>354.85</v>
      </c>
      <c r="F367" s="28">
        <v>325.85000000000002</v>
      </c>
      <c r="G367" s="28">
        <v>324.05</v>
      </c>
      <c r="H367" s="28">
        <v>346.23</v>
      </c>
      <c r="I367" s="28">
        <v>380.78</v>
      </c>
      <c r="J367" s="28">
        <v>401.09</v>
      </c>
      <c r="K367" s="28">
        <v>389.09</v>
      </c>
      <c r="L367" s="28">
        <v>326.81</v>
      </c>
      <c r="M367" s="28">
        <v>297.54000000000002</v>
      </c>
      <c r="N367" s="28">
        <v>142.18</v>
      </c>
      <c r="O367" s="28">
        <v>193.3</v>
      </c>
      <c r="P367" s="28">
        <v>291.8</v>
      </c>
      <c r="Q367" s="28">
        <v>309.89</v>
      </c>
      <c r="R367" s="28">
        <v>377.52</v>
      </c>
      <c r="S367" s="28">
        <v>422.02</v>
      </c>
      <c r="T367" s="28">
        <v>439.38</v>
      </c>
      <c r="U367" s="28">
        <v>434.62</v>
      </c>
      <c r="V367" s="28">
        <v>401.01</v>
      </c>
      <c r="W367" s="28">
        <v>380.88</v>
      </c>
      <c r="X367" s="28">
        <v>365.74</v>
      </c>
      <c r="Y367" s="28">
        <v>326.89999999999998</v>
      </c>
      <c r="Z367" s="26" t="s">
        <v>32</v>
      </c>
      <c r="AA367" s="25">
        <f t="shared" si="10"/>
        <v>142.18</v>
      </c>
      <c r="AB367" s="25">
        <f t="shared" si="11"/>
        <v>357.32625000000002</v>
      </c>
    </row>
    <row r="368" spans="1:28">
      <c r="A368" s="30">
        <v>45658</v>
      </c>
      <c r="B368" s="19">
        <v>223.1</v>
      </c>
      <c r="C368" s="19">
        <v>291.36</v>
      </c>
      <c r="D368" s="19">
        <v>293.13</v>
      </c>
      <c r="E368" s="19">
        <v>288.92</v>
      </c>
      <c r="F368" s="19">
        <v>234.62</v>
      </c>
      <c r="G368" s="19">
        <v>209.53</v>
      </c>
      <c r="H368" s="19">
        <v>270.8</v>
      </c>
      <c r="I368" s="19">
        <v>270.75</v>
      </c>
      <c r="J368" s="19">
        <v>0</v>
      </c>
      <c r="K368" s="19">
        <v>0</v>
      </c>
      <c r="L368" s="19">
        <v>7.87</v>
      </c>
      <c r="M368" s="19">
        <v>0.26</v>
      </c>
      <c r="N368" s="19">
        <v>19.18</v>
      </c>
      <c r="O368" s="19">
        <v>11.9</v>
      </c>
      <c r="P368" s="19">
        <v>0</v>
      </c>
      <c r="Q368" s="19">
        <v>131.71</v>
      </c>
      <c r="R368" s="19">
        <v>1.65</v>
      </c>
      <c r="S368" s="19">
        <v>201.51</v>
      </c>
      <c r="T368" s="19">
        <v>296.89</v>
      </c>
      <c r="U368" s="19">
        <v>303.3</v>
      </c>
      <c r="V368" s="19">
        <v>308.11</v>
      </c>
      <c r="W368" s="19">
        <v>314.72000000000003</v>
      </c>
      <c r="X368" s="19">
        <v>311.77999999999997</v>
      </c>
      <c r="Y368" s="19">
        <v>269.36</v>
      </c>
      <c r="Z368" s="31" t="s">
        <v>31</v>
      </c>
      <c r="AA368" s="25">
        <f t="shared" si="10"/>
        <v>0</v>
      </c>
      <c r="AB368" s="25">
        <f t="shared" si="11"/>
        <v>177.51875000000001</v>
      </c>
    </row>
    <row r="369" spans="1:28">
      <c r="A369" s="30">
        <v>45659</v>
      </c>
      <c r="B369" s="19">
        <v>343.68</v>
      </c>
      <c r="C369" s="19">
        <v>323.33999999999997</v>
      </c>
      <c r="D369" s="19">
        <v>319.94</v>
      </c>
      <c r="E369" s="19">
        <v>309.37</v>
      </c>
      <c r="F369" s="19">
        <v>298.66000000000003</v>
      </c>
      <c r="G369" s="19">
        <v>297.02999999999997</v>
      </c>
      <c r="H369" s="19">
        <v>322.7</v>
      </c>
      <c r="I369" s="19">
        <v>351.49</v>
      </c>
      <c r="J369" s="19">
        <v>358.57</v>
      </c>
      <c r="K369" s="19">
        <v>358.23</v>
      </c>
      <c r="L369" s="19">
        <v>329.64</v>
      </c>
      <c r="M369" s="19">
        <v>317.83999999999997</v>
      </c>
      <c r="N369" s="19">
        <v>297.64</v>
      </c>
      <c r="O369" s="19">
        <v>313.23</v>
      </c>
      <c r="P369" s="19">
        <v>331.09</v>
      </c>
      <c r="Q369" s="19">
        <v>349.82</v>
      </c>
      <c r="R369" s="19">
        <v>347.06</v>
      </c>
      <c r="S369" s="19">
        <v>381.48</v>
      </c>
      <c r="T369" s="19">
        <v>385.65</v>
      </c>
      <c r="U369" s="19">
        <v>388.78</v>
      </c>
      <c r="V369" s="19">
        <v>383.89</v>
      </c>
      <c r="W369" s="19">
        <v>386.5</v>
      </c>
      <c r="X369" s="19">
        <v>380.85</v>
      </c>
      <c r="Y369" s="19">
        <v>359.14</v>
      </c>
      <c r="Z369" s="32" t="s">
        <v>32</v>
      </c>
      <c r="AA369" s="25">
        <f>MIN($B$369:$Y$369)</f>
        <v>297.02999999999997</v>
      </c>
      <c r="AB369" s="25">
        <f>AVERAGE($B$369:$Y$369)</f>
        <v>343.15083333333303</v>
      </c>
    </row>
    <row r="370" spans="1:28">
      <c r="A370" s="30">
        <v>45660</v>
      </c>
      <c r="B370" s="19">
        <v>402.35</v>
      </c>
      <c r="C370" s="19">
        <v>370.68</v>
      </c>
      <c r="D370" s="19">
        <v>362.31</v>
      </c>
      <c r="E370" s="19">
        <v>360.93</v>
      </c>
      <c r="F370" s="19">
        <v>342.71</v>
      </c>
      <c r="G370" s="19">
        <v>337.91</v>
      </c>
      <c r="H370" s="19">
        <v>382.16</v>
      </c>
      <c r="I370" s="19">
        <v>441.71</v>
      </c>
      <c r="J370" s="19">
        <v>360.64</v>
      </c>
      <c r="K370" s="19">
        <v>361.48</v>
      </c>
      <c r="L370" s="19">
        <v>347.07</v>
      </c>
      <c r="M370" s="19">
        <v>353.68</v>
      </c>
      <c r="N370" s="19">
        <v>225.98</v>
      </c>
      <c r="O370" s="19">
        <v>278.64</v>
      </c>
      <c r="P370" s="19">
        <v>335.54</v>
      </c>
      <c r="Q370" s="19">
        <v>347.29</v>
      </c>
      <c r="R370" s="19">
        <v>351.07</v>
      </c>
      <c r="S370" s="19">
        <v>379.46</v>
      </c>
      <c r="T370" s="19">
        <v>387.35</v>
      </c>
      <c r="U370" s="19">
        <v>403.67</v>
      </c>
      <c r="V370" s="19">
        <v>386.28</v>
      </c>
      <c r="W370" s="19">
        <v>394.16</v>
      </c>
      <c r="X370" s="19">
        <v>381.25</v>
      </c>
      <c r="Y370" s="19">
        <v>345.58</v>
      </c>
      <c r="Z370" s="33" t="s">
        <v>32</v>
      </c>
      <c r="AA370" s="25">
        <f>MIN($B$370:$Y$370)</f>
        <v>225.98</v>
      </c>
      <c r="AB370" s="25">
        <f>AVERAGE($B$370:$Y$370)</f>
        <v>359.995833333333</v>
      </c>
    </row>
    <row r="371" spans="1:28">
      <c r="A371" s="30">
        <v>45661</v>
      </c>
      <c r="B371" s="19">
        <v>369.03</v>
      </c>
      <c r="C371" s="19">
        <v>351.57</v>
      </c>
      <c r="D371" s="19">
        <v>347.68</v>
      </c>
      <c r="E371" s="19">
        <v>345.52</v>
      </c>
      <c r="F371" s="19">
        <v>332.07</v>
      </c>
      <c r="G371" s="19">
        <v>328.95</v>
      </c>
      <c r="H371" s="19">
        <v>344.81</v>
      </c>
      <c r="I371" s="19">
        <v>348.16</v>
      </c>
      <c r="J371" s="19">
        <v>352.61</v>
      </c>
      <c r="K371" s="19">
        <v>352.62</v>
      </c>
      <c r="L371" s="19">
        <v>332.6</v>
      </c>
      <c r="M371" s="19">
        <v>327.12</v>
      </c>
      <c r="N371" s="19">
        <v>303.67</v>
      </c>
      <c r="O371" s="19">
        <v>321.83999999999997</v>
      </c>
      <c r="P371" s="19">
        <v>339.16</v>
      </c>
      <c r="Q371" s="19">
        <v>335.49</v>
      </c>
      <c r="R371" s="19">
        <v>364.14</v>
      </c>
      <c r="S371" s="19">
        <v>391.2</v>
      </c>
      <c r="T371" s="19">
        <v>400.57</v>
      </c>
      <c r="U371" s="19">
        <v>404.54</v>
      </c>
      <c r="V371" s="19">
        <v>392.75</v>
      </c>
      <c r="W371" s="19">
        <v>385.69</v>
      </c>
      <c r="X371" s="19">
        <v>377.54</v>
      </c>
      <c r="Y371" s="19">
        <v>349.87</v>
      </c>
      <c r="Z371" s="34" t="s">
        <v>36</v>
      </c>
      <c r="AA371" s="25">
        <f>MIN($B$371:$Y$371)</f>
        <v>303.67</v>
      </c>
      <c r="AB371" s="25">
        <f>AVERAGE($B$371:$Y$371)</f>
        <v>354.13333333333298</v>
      </c>
    </row>
    <row r="372" spans="1:28">
      <c r="A372" s="30">
        <v>45662</v>
      </c>
      <c r="B372" s="19">
        <v>399.07</v>
      </c>
      <c r="C372" s="19">
        <v>387.11</v>
      </c>
      <c r="D372" s="19">
        <v>382.01</v>
      </c>
      <c r="E372" s="19">
        <v>377.1</v>
      </c>
      <c r="F372" s="19">
        <v>354.69</v>
      </c>
      <c r="G372" s="19">
        <v>353.66</v>
      </c>
      <c r="H372" s="19">
        <v>371.39</v>
      </c>
      <c r="I372" s="19">
        <v>378.98</v>
      </c>
      <c r="J372" s="19">
        <v>383.56</v>
      </c>
      <c r="K372" s="19">
        <v>394.84</v>
      </c>
      <c r="L372" s="19">
        <v>376.16</v>
      </c>
      <c r="M372" s="19">
        <v>345.87</v>
      </c>
      <c r="N372" s="19">
        <v>325.43</v>
      </c>
      <c r="O372" s="19">
        <v>338.2</v>
      </c>
      <c r="P372" s="19">
        <v>347.53</v>
      </c>
      <c r="Q372" s="19">
        <v>355.12</v>
      </c>
      <c r="R372" s="19">
        <v>371.32</v>
      </c>
      <c r="S372" s="19">
        <v>408.07</v>
      </c>
      <c r="T372" s="19">
        <v>430.4</v>
      </c>
      <c r="U372" s="19">
        <v>435.51</v>
      </c>
      <c r="V372" s="19">
        <v>439.53</v>
      </c>
      <c r="W372" s="19">
        <v>436.6</v>
      </c>
      <c r="X372" s="19">
        <v>412.45</v>
      </c>
      <c r="Y372" s="19">
        <v>362.69</v>
      </c>
      <c r="Z372" s="35" t="s">
        <v>37</v>
      </c>
      <c r="AA372" s="25">
        <f>MIN($B$372:$Y$372)</f>
        <v>325.43</v>
      </c>
      <c r="AB372" s="25">
        <f>AVERAGE($B$372:$Y$372)</f>
        <v>381.97041666666701</v>
      </c>
    </row>
    <row r="373" spans="1:28">
      <c r="A373" s="30">
        <v>45663</v>
      </c>
      <c r="B373" s="19">
        <v>404.02</v>
      </c>
      <c r="C373" s="19">
        <v>371.59</v>
      </c>
      <c r="D373" s="19">
        <v>362.61</v>
      </c>
      <c r="E373" s="19">
        <v>365.2</v>
      </c>
      <c r="F373" s="19">
        <v>339.85</v>
      </c>
      <c r="G373" s="19">
        <v>334.75</v>
      </c>
      <c r="H373" s="19">
        <v>361.55</v>
      </c>
      <c r="I373" s="19">
        <v>370.86</v>
      </c>
      <c r="J373" s="19">
        <v>382.97</v>
      </c>
      <c r="K373" s="19">
        <v>372.08</v>
      </c>
      <c r="L373" s="19">
        <v>338.45</v>
      </c>
      <c r="M373" s="19">
        <v>323.63</v>
      </c>
      <c r="N373" s="19">
        <v>272.41000000000003</v>
      </c>
      <c r="O373" s="19">
        <v>300.56</v>
      </c>
      <c r="P373" s="19">
        <v>329.75</v>
      </c>
      <c r="Q373" s="19">
        <v>342.56</v>
      </c>
      <c r="R373" s="19">
        <v>370.26</v>
      </c>
      <c r="S373" s="19">
        <v>394.26</v>
      </c>
      <c r="T373" s="19">
        <v>414.7</v>
      </c>
      <c r="U373" s="19">
        <v>461.08</v>
      </c>
      <c r="V373" s="19">
        <v>451.25</v>
      </c>
      <c r="W373" s="19">
        <v>443.84</v>
      </c>
      <c r="X373" s="19">
        <v>414.21</v>
      </c>
      <c r="Y373" s="19">
        <v>362.55</v>
      </c>
      <c r="Z373" s="32" t="s">
        <v>32</v>
      </c>
      <c r="AA373" s="25">
        <f>MIN($B$373:$Y$373)</f>
        <v>272.41000000000003</v>
      </c>
      <c r="AB373" s="25">
        <f>AVERAGE($B$373:$Y$373)</f>
        <v>370.20791666666702</v>
      </c>
    </row>
    <row r="374" spans="1:28">
      <c r="A374" s="30">
        <v>45664</v>
      </c>
      <c r="B374" s="19">
        <v>363.28</v>
      </c>
      <c r="C374" s="19">
        <v>350.58</v>
      </c>
      <c r="D374" s="19">
        <v>345.31</v>
      </c>
      <c r="E374" s="19">
        <v>347.36</v>
      </c>
      <c r="F374" s="19">
        <v>332.22</v>
      </c>
      <c r="G374" s="19">
        <v>330.35</v>
      </c>
      <c r="H374" s="19">
        <v>375.84</v>
      </c>
      <c r="I374" s="19">
        <v>390.03</v>
      </c>
      <c r="J374" s="19">
        <v>389.2</v>
      </c>
      <c r="K374" s="19">
        <v>404.29</v>
      </c>
      <c r="L374" s="19">
        <v>330.23</v>
      </c>
      <c r="M374" s="19">
        <v>383.96</v>
      </c>
      <c r="N374" s="19">
        <v>272.48</v>
      </c>
      <c r="O374" s="19">
        <v>331.72</v>
      </c>
      <c r="P374" s="19">
        <v>354.93</v>
      </c>
      <c r="Q374" s="19">
        <v>356.64</v>
      </c>
      <c r="R374" s="19">
        <v>374.71</v>
      </c>
      <c r="S374" s="19">
        <v>397.03</v>
      </c>
      <c r="T374" s="19">
        <v>441.48</v>
      </c>
      <c r="U374" s="19">
        <v>467.36</v>
      </c>
      <c r="V374" s="19">
        <v>435.73</v>
      </c>
      <c r="W374" s="19">
        <v>428.55</v>
      </c>
      <c r="X374" s="19">
        <v>383.43</v>
      </c>
      <c r="Y374" s="19">
        <v>333.11</v>
      </c>
      <c r="Z374" s="33" t="s">
        <v>32</v>
      </c>
      <c r="AA374" s="25">
        <f>MIN($B$374:$Y$374)</f>
        <v>272.48</v>
      </c>
      <c r="AB374" s="25">
        <f>AVERAGE($B$374:$Y$374)</f>
        <v>371.65916666666698</v>
      </c>
    </row>
    <row r="375" spans="1:28">
      <c r="A375" s="30">
        <v>45665</v>
      </c>
      <c r="B375" s="19">
        <v>387.31</v>
      </c>
      <c r="C375" s="19">
        <v>369.91</v>
      </c>
      <c r="D375" s="19">
        <v>356.84</v>
      </c>
      <c r="E375" s="19">
        <v>347.29</v>
      </c>
      <c r="F375" s="19">
        <v>332.2</v>
      </c>
      <c r="G375" s="19">
        <v>337.89</v>
      </c>
      <c r="H375" s="19">
        <v>375.42</v>
      </c>
      <c r="I375" s="19">
        <v>431.15</v>
      </c>
      <c r="J375" s="19">
        <v>417.05</v>
      </c>
      <c r="K375" s="19">
        <v>409.8</v>
      </c>
      <c r="L375" s="19">
        <v>380.61</v>
      </c>
      <c r="M375" s="19">
        <v>365.3</v>
      </c>
      <c r="N375" s="19">
        <v>320.43</v>
      </c>
      <c r="O375" s="19">
        <v>381.58</v>
      </c>
      <c r="P375" s="19">
        <v>387.04</v>
      </c>
      <c r="Q375" s="19">
        <v>390.22</v>
      </c>
      <c r="R375" s="19">
        <v>394.66</v>
      </c>
      <c r="S375" s="19">
        <v>389.29</v>
      </c>
      <c r="T375" s="19">
        <v>408.48</v>
      </c>
      <c r="U375" s="19">
        <v>431.72</v>
      </c>
      <c r="V375" s="19">
        <v>430.75</v>
      </c>
      <c r="W375" s="19">
        <v>417.64</v>
      </c>
      <c r="X375" s="19">
        <v>406.22</v>
      </c>
      <c r="Y375" s="19">
        <v>357.47</v>
      </c>
      <c r="Z375" s="32" t="s">
        <v>32</v>
      </c>
      <c r="AA375" s="25">
        <f>MIN($B$375:$Y$375)</f>
        <v>320.43</v>
      </c>
      <c r="AB375" s="25">
        <f>AVERAGE($B$375:$Y$375)</f>
        <v>384.42791666666699</v>
      </c>
    </row>
    <row r="376" spans="1:28">
      <c r="A376" s="30">
        <v>45666</v>
      </c>
      <c r="B376" s="19">
        <v>403.54</v>
      </c>
      <c r="C376" s="19">
        <v>380.55</v>
      </c>
      <c r="D376" s="19">
        <v>352.67</v>
      </c>
      <c r="E376" s="19">
        <v>354.94</v>
      </c>
      <c r="F376" s="19">
        <v>343.42</v>
      </c>
      <c r="G376" s="19">
        <v>344.73</v>
      </c>
      <c r="H376" s="19">
        <v>359.6</v>
      </c>
      <c r="I376" s="19">
        <v>404.16</v>
      </c>
      <c r="J376" s="19">
        <v>438.51</v>
      </c>
      <c r="K376" s="19">
        <v>459.14</v>
      </c>
      <c r="L376" s="19">
        <v>421.16</v>
      </c>
      <c r="M376" s="19">
        <v>401.92</v>
      </c>
      <c r="N376" s="19">
        <v>324.95999999999998</v>
      </c>
      <c r="O376" s="19">
        <v>368.03</v>
      </c>
      <c r="P376" s="19">
        <v>372.29</v>
      </c>
      <c r="Q376" s="19">
        <v>380.27</v>
      </c>
      <c r="R376" s="19">
        <v>427.34</v>
      </c>
      <c r="S376" s="19">
        <v>412.88</v>
      </c>
      <c r="T376" s="19">
        <v>385.61</v>
      </c>
      <c r="U376" s="19">
        <v>415.97</v>
      </c>
      <c r="V376" s="19">
        <v>427.76</v>
      </c>
      <c r="W376" s="19">
        <v>410.27</v>
      </c>
      <c r="X376" s="19">
        <v>394</v>
      </c>
      <c r="Y376" s="19">
        <v>334.41</v>
      </c>
      <c r="Z376" s="33" t="s">
        <v>32</v>
      </c>
      <c r="AA376" s="25">
        <f>MIN($B$376:$Y$376)</f>
        <v>324.95999999999998</v>
      </c>
      <c r="AB376" s="25">
        <f>AVERAGE($B$376:$Y$376)</f>
        <v>388.25541666666697</v>
      </c>
    </row>
    <row r="377" spans="1:28">
      <c r="A377" s="30">
        <v>45667</v>
      </c>
      <c r="B377" s="19">
        <v>353.97</v>
      </c>
      <c r="C377" s="19">
        <v>352.28</v>
      </c>
      <c r="D377" s="19">
        <v>335.18</v>
      </c>
      <c r="E377" s="19">
        <v>281.77</v>
      </c>
      <c r="F377" s="19">
        <v>270.61</v>
      </c>
      <c r="G377" s="19">
        <v>286.36</v>
      </c>
      <c r="H377" s="19">
        <v>368.63</v>
      </c>
      <c r="I377" s="19">
        <v>405.37</v>
      </c>
      <c r="J377" s="19">
        <v>475.33</v>
      </c>
      <c r="K377" s="19">
        <v>507.94</v>
      </c>
      <c r="L377" s="19">
        <v>436.3</v>
      </c>
      <c r="M377" s="19">
        <v>398.8</v>
      </c>
      <c r="N377" s="19">
        <v>299.88</v>
      </c>
      <c r="O377" s="19">
        <v>351.2</v>
      </c>
      <c r="P377" s="19">
        <v>368.93</v>
      </c>
      <c r="Q377" s="19">
        <v>389.1</v>
      </c>
      <c r="R377" s="19">
        <v>430.17</v>
      </c>
      <c r="S377" s="19">
        <v>427.18</v>
      </c>
      <c r="T377" s="19">
        <v>432.75</v>
      </c>
      <c r="U377" s="19">
        <v>444.77</v>
      </c>
      <c r="V377" s="19">
        <v>439.21</v>
      </c>
      <c r="W377" s="19">
        <v>453.54</v>
      </c>
      <c r="X377" s="19">
        <v>466.56</v>
      </c>
      <c r="Y377" s="19">
        <v>353.58</v>
      </c>
      <c r="Z377" s="32" t="s">
        <v>32</v>
      </c>
      <c r="AA377" s="25">
        <f>MIN($B$377:$Y$377)</f>
        <v>270.61</v>
      </c>
      <c r="AB377" s="25">
        <f>AVERAGE($B$377:$Y$377)</f>
        <v>388.725416666667</v>
      </c>
    </row>
    <row r="378" spans="1:28">
      <c r="A378" s="30">
        <v>45668</v>
      </c>
      <c r="B378" s="19">
        <v>425.44</v>
      </c>
      <c r="C378" s="19">
        <v>394.64</v>
      </c>
      <c r="D378" s="19">
        <v>373.49</v>
      </c>
      <c r="E378" s="19">
        <v>343.49</v>
      </c>
      <c r="F378" s="19">
        <v>329.69</v>
      </c>
      <c r="G378" s="19">
        <v>326.85000000000002</v>
      </c>
      <c r="H378" s="19">
        <v>348.7</v>
      </c>
      <c r="I378" s="19">
        <v>382.67</v>
      </c>
      <c r="J378" s="19">
        <v>551.66999999999996</v>
      </c>
      <c r="K378" s="19">
        <v>540.35</v>
      </c>
      <c r="L378" s="19">
        <v>427.68</v>
      </c>
      <c r="M378" s="19">
        <v>357.24</v>
      </c>
      <c r="N378" s="19">
        <v>306.57</v>
      </c>
      <c r="O378" s="19">
        <v>336.45</v>
      </c>
      <c r="P378" s="19">
        <v>231.36</v>
      </c>
      <c r="Q378" s="19">
        <v>295.25</v>
      </c>
      <c r="R378" s="19">
        <v>371.8</v>
      </c>
      <c r="S378" s="19">
        <v>391.66</v>
      </c>
      <c r="T378" s="19">
        <v>387.19</v>
      </c>
      <c r="U378" s="19">
        <v>396.46</v>
      </c>
      <c r="V378" s="19">
        <v>405.03</v>
      </c>
      <c r="W378" s="19">
        <v>394.37</v>
      </c>
      <c r="X378" s="19">
        <v>415.5</v>
      </c>
      <c r="Y378" s="19">
        <v>388.68</v>
      </c>
      <c r="Z378" s="36" t="s">
        <v>36</v>
      </c>
      <c r="AA378" s="25">
        <f>MIN($B$378:$Y$378)</f>
        <v>231.36</v>
      </c>
      <c r="AB378" s="25">
        <f>AVERAGE($B$378:$Y$378)</f>
        <v>380.09291666666701</v>
      </c>
    </row>
    <row r="379" spans="1:28">
      <c r="A379" s="30">
        <v>45669</v>
      </c>
      <c r="B379" s="19">
        <v>489.26</v>
      </c>
      <c r="C379" s="19">
        <v>409.59</v>
      </c>
      <c r="D379" s="19">
        <v>370.09</v>
      </c>
      <c r="E379" s="19">
        <v>350.42</v>
      </c>
      <c r="F379" s="19">
        <v>343.47</v>
      </c>
      <c r="G379" s="19">
        <v>343.03</v>
      </c>
      <c r="H379" s="19">
        <v>349.04</v>
      </c>
      <c r="I379" s="19">
        <v>358.27</v>
      </c>
      <c r="J379" s="19">
        <v>392.5</v>
      </c>
      <c r="K379" s="19">
        <v>359.92</v>
      </c>
      <c r="L379" s="19">
        <v>335</v>
      </c>
      <c r="M379" s="19">
        <v>334.04</v>
      </c>
      <c r="N379" s="19">
        <v>265.74</v>
      </c>
      <c r="O379" s="19">
        <v>278.86</v>
      </c>
      <c r="P379" s="19">
        <v>313.31</v>
      </c>
      <c r="Q379" s="19">
        <v>332</v>
      </c>
      <c r="R379" s="19">
        <v>365.07</v>
      </c>
      <c r="S379" s="19">
        <v>400.71</v>
      </c>
      <c r="T379" s="19">
        <v>387.01</v>
      </c>
      <c r="U379" s="19">
        <v>391.42</v>
      </c>
      <c r="V379" s="19">
        <v>391.98</v>
      </c>
      <c r="W379" s="19">
        <v>403.65</v>
      </c>
      <c r="X379" s="19">
        <v>413.64</v>
      </c>
      <c r="Y379" s="19">
        <v>339.87</v>
      </c>
      <c r="Z379" s="37" t="s">
        <v>37</v>
      </c>
      <c r="AA379" s="25">
        <f>MIN($B$379:$Y$379)</f>
        <v>265.74</v>
      </c>
      <c r="AB379" s="25">
        <f>AVERAGE($B$379:$Y$379)</f>
        <v>363.24541666666698</v>
      </c>
    </row>
    <row r="380" spans="1:28">
      <c r="A380" s="30">
        <v>45670</v>
      </c>
      <c r="B380" s="19">
        <v>405.46</v>
      </c>
      <c r="C380" s="19">
        <v>357.32</v>
      </c>
      <c r="D380" s="19">
        <v>340.14</v>
      </c>
      <c r="E380" s="19">
        <v>329.17</v>
      </c>
      <c r="F380" s="19">
        <v>324.5</v>
      </c>
      <c r="G380" s="19">
        <v>326.24</v>
      </c>
      <c r="H380" s="19">
        <v>351.81</v>
      </c>
      <c r="I380" s="19">
        <v>547.15</v>
      </c>
      <c r="J380" s="19">
        <v>462.97</v>
      </c>
      <c r="K380" s="19">
        <v>534.26</v>
      </c>
      <c r="L380" s="19">
        <v>610.67999999999995</v>
      </c>
      <c r="M380" s="19">
        <v>359.82</v>
      </c>
      <c r="N380" s="19">
        <v>284.45999999999998</v>
      </c>
      <c r="O380" s="19">
        <v>298.45999999999998</v>
      </c>
      <c r="P380" s="19">
        <v>307.36</v>
      </c>
      <c r="Q380" s="19">
        <v>359.53</v>
      </c>
      <c r="R380" s="19">
        <v>423.28</v>
      </c>
      <c r="S380" s="19">
        <v>487.16</v>
      </c>
      <c r="T380" s="19">
        <v>484.22</v>
      </c>
      <c r="U380" s="19">
        <v>516.22</v>
      </c>
      <c r="V380" s="19">
        <v>505.29</v>
      </c>
      <c r="W380" s="19">
        <v>485.88</v>
      </c>
      <c r="X380" s="19">
        <v>511.54</v>
      </c>
      <c r="Y380" s="19">
        <v>386.76</v>
      </c>
      <c r="Z380" s="33" t="s">
        <v>32</v>
      </c>
      <c r="AA380" s="25">
        <f>MIN($B$380:$Y$380)</f>
        <v>284.45999999999998</v>
      </c>
      <c r="AB380" s="25">
        <f>AVERAGE($B$380:$Y$380)</f>
        <v>416.65333333333302</v>
      </c>
    </row>
    <row r="381" spans="1:28">
      <c r="A381" s="30">
        <v>45671</v>
      </c>
      <c r="B381" s="19">
        <v>367.02</v>
      </c>
      <c r="C381" s="19">
        <v>342.24</v>
      </c>
      <c r="D381" s="19">
        <v>329.36</v>
      </c>
      <c r="E381" s="19">
        <v>310.58</v>
      </c>
      <c r="F381" s="19">
        <v>305.24</v>
      </c>
      <c r="G381" s="19">
        <v>305.42</v>
      </c>
      <c r="H381" s="19">
        <v>330.51</v>
      </c>
      <c r="I381" s="19">
        <v>356.75</v>
      </c>
      <c r="J381" s="19">
        <v>407.31</v>
      </c>
      <c r="K381" s="19">
        <v>458.32</v>
      </c>
      <c r="L381" s="19">
        <v>393.3</v>
      </c>
      <c r="M381" s="19">
        <v>374.11</v>
      </c>
      <c r="N381" s="19">
        <v>322.35000000000002</v>
      </c>
      <c r="O381" s="19">
        <v>332.19</v>
      </c>
      <c r="P381" s="19">
        <v>352.22</v>
      </c>
      <c r="Q381" s="19">
        <v>357.37</v>
      </c>
      <c r="R381" s="19">
        <v>420.11</v>
      </c>
      <c r="S381" s="19">
        <v>435.06</v>
      </c>
      <c r="T381" s="19">
        <v>424.01</v>
      </c>
      <c r="U381" s="19">
        <v>449.79</v>
      </c>
      <c r="V381" s="19">
        <v>421.62</v>
      </c>
      <c r="W381" s="19">
        <v>388.7</v>
      </c>
      <c r="X381" s="19">
        <v>372.64</v>
      </c>
      <c r="Y381" s="19">
        <v>321.27999999999997</v>
      </c>
      <c r="Z381" s="32" t="s">
        <v>32</v>
      </c>
      <c r="AA381" s="25">
        <f>MIN($B$381:$Y$381)</f>
        <v>305.24</v>
      </c>
      <c r="AB381" s="25">
        <f>AVERAGE($B$381:$Y$381)</f>
        <v>369.89583333333297</v>
      </c>
    </row>
    <row r="382" spans="1:28">
      <c r="A382" s="30">
        <v>45672</v>
      </c>
      <c r="B382" s="19">
        <v>361.99</v>
      </c>
      <c r="C382" s="19">
        <v>340.22</v>
      </c>
      <c r="D382" s="19">
        <v>319.22000000000003</v>
      </c>
      <c r="E382" s="19">
        <v>298.02999999999997</v>
      </c>
      <c r="F382" s="19">
        <v>294.66000000000003</v>
      </c>
      <c r="G382" s="19">
        <v>294.13</v>
      </c>
      <c r="H382" s="19">
        <v>310.64</v>
      </c>
      <c r="I382" s="19">
        <v>338.92</v>
      </c>
      <c r="J382" s="19">
        <v>442.54</v>
      </c>
      <c r="K382" s="19">
        <v>565.24</v>
      </c>
      <c r="L382" s="19">
        <v>436.91</v>
      </c>
      <c r="M382" s="19">
        <v>378.89</v>
      </c>
      <c r="N382" s="19">
        <v>304.06</v>
      </c>
      <c r="O382" s="19">
        <v>303.39</v>
      </c>
      <c r="P382" s="19">
        <v>314.47000000000003</v>
      </c>
      <c r="Q382" s="19">
        <v>320.77</v>
      </c>
      <c r="R382" s="19">
        <v>353.67</v>
      </c>
      <c r="S382" s="19">
        <v>380.92</v>
      </c>
      <c r="T382" s="19">
        <v>423.21</v>
      </c>
      <c r="U382" s="19">
        <v>459.74</v>
      </c>
      <c r="V382" s="19">
        <v>399.3</v>
      </c>
      <c r="W382" s="19">
        <v>365.6</v>
      </c>
      <c r="X382" s="19">
        <v>348.12</v>
      </c>
      <c r="Y382" s="19">
        <v>303.52999999999997</v>
      </c>
      <c r="Z382" s="33" t="s">
        <v>32</v>
      </c>
      <c r="AA382" s="25">
        <f>MIN($B$382:$Y$382)</f>
        <v>294.13</v>
      </c>
      <c r="AB382" s="25">
        <f>AVERAGE($B$382:$Y$382)</f>
        <v>360.75708333333301</v>
      </c>
    </row>
    <row r="383" spans="1:28">
      <c r="A383" s="30">
        <v>45673</v>
      </c>
      <c r="B383" s="19">
        <v>326.17</v>
      </c>
      <c r="C383" s="19">
        <v>302.70999999999998</v>
      </c>
      <c r="D383" s="19">
        <v>291.93</v>
      </c>
      <c r="E383" s="19">
        <v>280.27</v>
      </c>
      <c r="F383" s="19">
        <v>274.43</v>
      </c>
      <c r="G383" s="19">
        <v>275.66000000000003</v>
      </c>
      <c r="H383" s="19">
        <v>295.55</v>
      </c>
      <c r="I383" s="19">
        <v>306.41000000000003</v>
      </c>
      <c r="J383" s="19">
        <v>337.14</v>
      </c>
      <c r="K383" s="19">
        <v>349.26</v>
      </c>
      <c r="L383" s="19">
        <v>325.52999999999997</v>
      </c>
      <c r="M383" s="19">
        <v>299.95</v>
      </c>
      <c r="N383" s="19">
        <v>252.19</v>
      </c>
      <c r="O383" s="19">
        <v>274.18</v>
      </c>
      <c r="P383" s="19">
        <v>289.72000000000003</v>
      </c>
      <c r="Q383" s="19">
        <v>306.29000000000002</v>
      </c>
      <c r="R383" s="19">
        <v>341.83</v>
      </c>
      <c r="S383" s="19">
        <v>388.4</v>
      </c>
      <c r="T383" s="19">
        <v>405.21</v>
      </c>
      <c r="U383" s="19">
        <v>418.76</v>
      </c>
      <c r="V383" s="19">
        <v>396.5</v>
      </c>
      <c r="W383" s="19">
        <v>381.18</v>
      </c>
      <c r="X383" s="19">
        <v>368.27</v>
      </c>
      <c r="Y383" s="19">
        <v>323.66000000000003</v>
      </c>
      <c r="Z383" s="32" t="s">
        <v>32</v>
      </c>
      <c r="AA383" s="25">
        <f>MIN($B$383:$Y$383)</f>
        <v>252.19</v>
      </c>
      <c r="AB383" s="25">
        <f>AVERAGE($B$383:$Y$383)</f>
        <v>325.46666666666698</v>
      </c>
    </row>
    <row r="384" spans="1:28">
      <c r="A384" s="30">
        <v>45674</v>
      </c>
      <c r="B384" s="19">
        <v>349.36</v>
      </c>
      <c r="C384" s="19">
        <v>326.81</v>
      </c>
      <c r="D384" s="19">
        <v>313.62</v>
      </c>
      <c r="E384" s="19">
        <v>303.75</v>
      </c>
      <c r="F384" s="19">
        <v>292.57</v>
      </c>
      <c r="G384" s="19">
        <v>290.83999999999997</v>
      </c>
      <c r="H384" s="19">
        <v>305.43</v>
      </c>
      <c r="I384" s="19">
        <v>315.66000000000003</v>
      </c>
      <c r="J384" s="19">
        <v>344.75</v>
      </c>
      <c r="K384" s="19">
        <v>352.1</v>
      </c>
      <c r="L384" s="19">
        <v>305.11</v>
      </c>
      <c r="M384" s="19">
        <v>279.48</v>
      </c>
      <c r="N384" s="19">
        <v>255.11</v>
      </c>
      <c r="O384" s="19">
        <v>287.10000000000002</v>
      </c>
      <c r="P384" s="19">
        <v>284.72000000000003</v>
      </c>
      <c r="Q384" s="19">
        <v>299.14</v>
      </c>
      <c r="R384" s="19">
        <v>334.99</v>
      </c>
      <c r="S384" s="19">
        <v>380.73</v>
      </c>
      <c r="T384" s="19">
        <v>380.07</v>
      </c>
      <c r="U384" s="19">
        <v>398.86</v>
      </c>
      <c r="V384" s="19">
        <v>377.92</v>
      </c>
      <c r="W384" s="19">
        <v>374.16</v>
      </c>
      <c r="X384" s="19">
        <v>365.24</v>
      </c>
      <c r="Y384" s="19">
        <v>319.52</v>
      </c>
      <c r="Z384" s="33" t="s">
        <v>32</v>
      </c>
      <c r="AA384" s="25">
        <f>MIN($B$384:$Y$384)</f>
        <v>255.11</v>
      </c>
      <c r="AB384" s="25">
        <f>AVERAGE($B$384:$Y$384)</f>
        <v>326.54333333333301</v>
      </c>
    </row>
    <row r="385" spans="1:28">
      <c r="A385" s="30">
        <v>45675</v>
      </c>
      <c r="B385" s="19">
        <v>349.63</v>
      </c>
      <c r="C385" s="19">
        <v>325.18</v>
      </c>
      <c r="D385" s="19">
        <v>320.8</v>
      </c>
      <c r="E385" s="19">
        <v>312.70999999999998</v>
      </c>
      <c r="F385" s="19">
        <v>308.39999999999998</v>
      </c>
      <c r="G385" s="19">
        <v>308.20999999999998</v>
      </c>
      <c r="H385" s="19">
        <v>316.93</v>
      </c>
      <c r="I385" s="19">
        <v>322.92</v>
      </c>
      <c r="J385" s="19">
        <v>336.27</v>
      </c>
      <c r="K385" s="19">
        <v>341.65</v>
      </c>
      <c r="L385" s="19">
        <v>320.06</v>
      </c>
      <c r="M385" s="19">
        <v>299.75</v>
      </c>
      <c r="N385" s="19">
        <v>287.83</v>
      </c>
      <c r="O385" s="19">
        <v>294.83999999999997</v>
      </c>
      <c r="P385" s="19">
        <v>298.98</v>
      </c>
      <c r="Q385" s="19">
        <v>307.99</v>
      </c>
      <c r="R385" s="19">
        <v>327.92</v>
      </c>
      <c r="S385" s="19">
        <v>355.11</v>
      </c>
      <c r="T385" s="19">
        <v>377.62</v>
      </c>
      <c r="U385" s="19">
        <v>386.3</v>
      </c>
      <c r="V385" s="19">
        <v>377.22</v>
      </c>
      <c r="W385" s="19">
        <v>393.9</v>
      </c>
      <c r="X385" s="19">
        <v>381.31</v>
      </c>
      <c r="Y385" s="19">
        <v>347.15</v>
      </c>
      <c r="Z385" s="34" t="s">
        <v>36</v>
      </c>
      <c r="AA385" s="25">
        <f>MIN($B$385:$Y$385)</f>
        <v>287.83</v>
      </c>
      <c r="AB385" s="25">
        <f>AVERAGE($B$385:$Y$385)</f>
        <v>333.27833333333302</v>
      </c>
    </row>
    <row r="386" spans="1:28">
      <c r="A386" s="30">
        <v>45676</v>
      </c>
      <c r="B386" s="19">
        <v>398.1</v>
      </c>
      <c r="C386" s="19">
        <v>349.34</v>
      </c>
      <c r="D386" s="19">
        <v>332.13</v>
      </c>
      <c r="E386" s="19">
        <v>325.26</v>
      </c>
      <c r="F386" s="19">
        <v>316.07</v>
      </c>
      <c r="G386" s="19">
        <v>316.68</v>
      </c>
      <c r="H386" s="19">
        <v>326.22000000000003</v>
      </c>
      <c r="I386" s="19">
        <v>332.76</v>
      </c>
      <c r="J386" s="19">
        <v>326.27</v>
      </c>
      <c r="K386" s="19">
        <v>321.54000000000002</v>
      </c>
      <c r="L386" s="19">
        <v>213.19</v>
      </c>
      <c r="M386" s="19">
        <v>205.19</v>
      </c>
      <c r="N386" s="19">
        <v>132.47</v>
      </c>
      <c r="O386" s="19">
        <v>82.19</v>
      </c>
      <c r="P386" s="19">
        <v>75.03</v>
      </c>
      <c r="Q386" s="19">
        <v>205.96</v>
      </c>
      <c r="R386" s="19">
        <v>316.99</v>
      </c>
      <c r="S386" s="19">
        <v>362.46</v>
      </c>
      <c r="T386" s="19">
        <v>398.53</v>
      </c>
      <c r="U386" s="19">
        <v>433.15</v>
      </c>
      <c r="V386" s="19">
        <v>400.27</v>
      </c>
      <c r="W386" s="19">
        <v>411.61</v>
      </c>
      <c r="X386" s="19">
        <v>427.24</v>
      </c>
      <c r="Y386" s="19">
        <v>347.43</v>
      </c>
      <c r="Z386" s="35" t="s">
        <v>37</v>
      </c>
      <c r="AA386" s="25">
        <f>MIN($B$386:$Y$386)</f>
        <v>75.03</v>
      </c>
      <c r="AB386" s="25">
        <f>AVERAGE($B$386:$Y$386)</f>
        <v>306.50333333333299</v>
      </c>
    </row>
    <row r="387" spans="1:28">
      <c r="A387" s="30">
        <v>45677</v>
      </c>
      <c r="B387" s="19">
        <v>408.8</v>
      </c>
      <c r="C387" s="19">
        <v>341.22</v>
      </c>
      <c r="D387" s="19">
        <v>324.95</v>
      </c>
      <c r="E387" s="19">
        <v>313.52</v>
      </c>
      <c r="F387" s="19">
        <v>308.04000000000002</v>
      </c>
      <c r="G387" s="19">
        <v>309.95999999999998</v>
      </c>
      <c r="H387" s="19">
        <v>322.5</v>
      </c>
      <c r="I387" s="19">
        <v>335.93</v>
      </c>
      <c r="J387" s="19">
        <v>349.81</v>
      </c>
      <c r="K387" s="19">
        <v>353.08</v>
      </c>
      <c r="L387" s="19">
        <v>329.71</v>
      </c>
      <c r="M387" s="19">
        <v>302.58</v>
      </c>
      <c r="N387" s="19">
        <v>292.56</v>
      </c>
      <c r="O387" s="19">
        <v>284.94</v>
      </c>
      <c r="P387" s="19">
        <v>242.64</v>
      </c>
      <c r="Q387" s="19">
        <v>301.95999999999998</v>
      </c>
      <c r="R387" s="19">
        <v>327.71</v>
      </c>
      <c r="S387" s="19">
        <v>366.85</v>
      </c>
      <c r="T387" s="19">
        <v>430.54</v>
      </c>
      <c r="U387" s="19">
        <v>442.28</v>
      </c>
      <c r="V387" s="19">
        <v>421.73</v>
      </c>
      <c r="W387" s="19">
        <v>427.13</v>
      </c>
      <c r="X387" s="19">
        <v>431.36</v>
      </c>
      <c r="Y387" s="19">
        <v>351.19</v>
      </c>
      <c r="Z387" s="32" t="s">
        <v>32</v>
      </c>
      <c r="AA387" s="25">
        <f>MIN($B$387:$Y$387)</f>
        <v>242.64</v>
      </c>
      <c r="AB387" s="25">
        <f>AVERAGE($B$387:$Y$387)</f>
        <v>346.70791666666702</v>
      </c>
    </row>
    <row r="388" spans="1:28">
      <c r="A388" s="30">
        <v>45678</v>
      </c>
      <c r="B388" s="19">
        <v>346.11</v>
      </c>
      <c r="C388" s="19">
        <v>330.98</v>
      </c>
      <c r="D388" s="19">
        <v>326.74</v>
      </c>
      <c r="E388" s="19">
        <v>321.39</v>
      </c>
      <c r="F388" s="19">
        <v>314.43</v>
      </c>
      <c r="G388" s="19">
        <v>313.2</v>
      </c>
      <c r="H388" s="19">
        <v>316.61</v>
      </c>
      <c r="I388" s="19">
        <v>323.10000000000002</v>
      </c>
      <c r="J388" s="19">
        <v>316.24</v>
      </c>
      <c r="K388" s="19">
        <v>304.10000000000002</v>
      </c>
      <c r="L388" s="19">
        <v>196.66</v>
      </c>
      <c r="M388" s="19">
        <v>29.23</v>
      </c>
      <c r="N388" s="19">
        <v>0.91</v>
      </c>
      <c r="O388" s="19">
        <v>0</v>
      </c>
      <c r="P388" s="19">
        <v>0</v>
      </c>
      <c r="Q388" s="19">
        <v>0</v>
      </c>
      <c r="R388" s="19">
        <v>216.29</v>
      </c>
      <c r="S388" s="19">
        <v>311.22000000000003</v>
      </c>
      <c r="T388" s="19">
        <v>332.59</v>
      </c>
      <c r="U388" s="19">
        <v>340.36</v>
      </c>
      <c r="V388" s="19">
        <v>335.32</v>
      </c>
      <c r="W388" s="19">
        <v>337.88</v>
      </c>
      <c r="X388" s="19">
        <v>350.16</v>
      </c>
      <c r="Y388" s="19">
        <v>318.2</v>
      </c>
      <c r="Z388" s="33" t="s">
        <v>32</v>
      </c>
      <c r="AA388" s="25">
        <f>MIN($B$388:$Y$388)</f>
        <v>0</v>
      </c>
      <c r="AB388" s="25">
        <f>AVERAGE($B$388:$Y$388)</f>
        <v>249.238333333333</v>
      </c>
    </row>
    <row r="389" spans="1:28">
      <c r="A389" s="30">
        <v>45679</v>
      </c>
      <c r="B389" s="19">
        <v>313.76</v>
      </c>
      <c r="C389" s="19">
        <v>300.52999999999997</v>
      </c>
      <c r="D389" s="19">
        <v>298.76</v>
      </c>
      <c r="E389" s="19">
        <v>300.06</v>
      </c>
      <c r="F389" s="19">
        <v>298.75</v>
      </c>
      <c r="G389" s="19">
        <v>298.5</v>
      </c>
      <c r="H389" s="19">
        <v>299.7</v>
      </c>
      <c r="I389" s="19">
        <v>300.17</v>
      </c>
      <c r="J389" s="19">
        <v>298.5</v>
      </c>
      <c r="K389" s="19">
        <v>287.19</v>
      </c>
      <c r="L389" s="19">
        <v>152.51</v>
      </c>
      <c r="M389" s="19">
        <v>94.03</v>
      </c>
      <c r="N389" s="19">
        <v>169.67</v>
      </c>
      <c r="O389" s="19">
        <v>81.39</v>
      </c>
      <c r="P389" s="19">
        <v>61.28</v>
      </c>
      <c r="Q389" s="19">
        <v>164.6</v>
      </c>
      <c r="R389" s="19">
        <v>279.39999999999998</v>
      </c>
      <c r="S389" s="19">
        <v>295.76</v>
      </c>
      <c r="T389" s="19">
        <v>315.13</v>
      </c>
      <c r="U389" s="19">
        <v>314.95999999999998</v>
      </c>
      <c r="V389" s="19">
        <v>311.14999999999998</v>
      </c>
      <c r="W389" s="19">
        <v>316.89999999999998</v>
      </c>
      <c r="X389" s="19">
        <v>354.27</v>
      </c>
      <c r="Y389" s="19">
        <v>339.48</v>
      </c>
      <c r="Z389" s="32" t="s">
        <v>32</v>
      </c>
      <c r="AA389" s="25">
        <f>MIN($B$389:$Y$389)</f>
        <v>61.28</v>
      </c>
      <c r="AB389" s="25">
        <f>AVERAGE($B$389:$Y$389)</f>
        <v>260.26875000000001</v>
      </c>
    </row>
    <row r="390" spans="1:28">
      <c r="A390" s="30">
        <v>45680</v>
      </c>
      <c r="B390" s="19">
        <v>316.76</v>
      </c>
      <c r="C390" s="19">
        <v>287.39</v>
      </c>
      <c r="D390" s="19">
        <v>279.05</v>
      </c>
      <c r="E390" s="19">
        <v>280.69</v>
      </c>
      <c r="F390" s="19">
        <v>280</v>
      </c>
      <c r="G390" s="19">
        <v>280.74</v>
      </c>
      <c r="H390" s="19">
        <v>292.07</v>
      </c>
      <c r="I390" s="19">
        <v>299.01</v>
      </c>
      <c r="J390" s="19">
        <v>298</v>
      </c>
      <c r="K390" s="19">
        <v>288.52999999999997</v>
      </c>
      <c r="L390" s="19">
        <v>136.5</v>
      </c>
      <c r="M390" s="19">
        <v>0.41</v>
      </c>
      <c r="N390" s="19">
        <v>184.03</v>
      </c>
      <c r="O390" s="19">
        <v>0.5</v>
      </c>
      <c r="P390" s="19">
        <v>0</v>
      </c>
      <c r="Q390" s="19">
        <v>0.23</v>
      </c>
      <c r="R390" s="19">
        <v>139.08000000000001</v>
      </c>
      <c r="S390" s="19">
        <v>291.36</v>
      </c>
      <c r="T390" s="19">
        <v>315.2</v>
      </c>
      <c r="U390" s="19">
        <v>317.81</v>
      </c>
      <c r="V390" s="19">
        <v>314.5</v>
      </c>
      <c r="W390" s="19">
        <v>313.75</v>
      </c>
      <c r="X390" s="19">
        <v>313</v>
      </c>
      <c r="Y390" s="19">
        <v>298.27999999999997</v>
      </c>
      <c r="Z390" s="38" t="s">
        <v>35</v>
      </c>
      <c r="AA390" s="25">
        <f>MIN($B$390:$Y$390)</f>
        <v>0</v>
      </c>
      <c r="AB390" s="25">
        <f>AVERAGE($B$390:$Y$390)</f>
        <v>230.28708333333299</v>
      </c>
    </row>
    <row r="391" spans="1:28">
      <c r="A391" s="30">
        <v>45681</v>
      </c>
      <c r="B391" s="19">
        <v>312.25</v>
      </c>
      <c r="C391" s="19">
        <v>218.75</v>
      </c>
      <c r="D391" s="19">
        <v>95.03</v>
      </c>
      <c r="E391" s="19">
        <v>84.5</v>
      </c>
      <c r="F391" s="19">
        <v>1.25</v>
      </c>
      <c r="G391" s="19">
        <v>31.25</v>
      </c>
      <c r="H391" s="19">
        <v>188.75</v>
      </c>
      <c r="I391" s="19">
        <v>260.01</v>
      </c>
      <c r="J391" s="19">
        <v>102.5</v>
      </c>
      <c r="K391" s="19">
        <v>1.5</v>
      </c>
      <c r="L391" s="19">
        <v>0</v>
      </c>
      <c r="M391" s="19">
        <v>0</v>
      </c>
      <c r="N391" s="19">
        <v>68.78</v>
      </c>
      <c r="O391" s="19">
        <v>142.53</v>
      </c>
      <c r="P391" s="19">
        <v>1.25</v>
      </c>
      <c r="Q391" s="19">
        <v>72.5</v>
      </c>
      <c r="R391" s="19">
        <v>1.25</v>
      </c>
      <c r="S391" s="19">
        <v>3.75</v>
      </c>
      <c r="T391" s="19">
        <v>259.7</v>
      </c>
      <c r="U391" s="19">
        <v>247.44</v>
      </c>
      <c r="V391" s="19">
        <v>129.61000000000001</v>
      </c>
      <c r="W391" s="19">
        <v>213.78</v>
      </c>
      <c r="X391" s="19">
        <v>295.54000000000002</v>
      </c>
      <c r="Y391" s="19">
        <v>287.75</v>
      </c>
      <c r="Z391" s="39" t="s">
        <v>35</v>
      </c>
      <c r="AA391" s="25">
        <f>MIN($B$391:$Y$391)</f>
        <v>0</v>
      </c>
      <c r="AB391" s="25">
        <f>AVERAGE($B$391:$Y$391)</f>
        <v>125.819583333333</v>
      </c>
    </row>
    <row r="392" spans="1:28">
      <c r="A392" s="30">
        <v>45682</v>
      </c>
      <c r="B392" s="19">
        <v>304.27999999999997</v>
      </c>
      <c r="C392" s="19">
        <v>287.52999999999997</v>
      </c>
      <c r="D392" s="19">
        <v>27.5</v>
      </c>
      <c r="E392" s="19">
        <v>182.5</v>
      </c>
      <c r="F392" s="19">
        <v>0</v>
      </c>
      <c r="G392" s="19">
        <v>15.23</v>
      </c>
      <c r="H392" s="19">
        <v>45</v>
      </c>
      <c r="I392" s="19">
        <v>198.75</v>
      </c>
      <c r="J392" s="19">
        <v>0</v>
      </c>
      <c r="K392" s="19">
        <v>0</v>
      </c>
      <c r="L392" s="19">
        <v>25.84</v>
      </c>
      <c r="M392" s="19">
        <v>11.64</v>
      </c>
      <c r="N392" s="19">
        <v>27.5</v>
      </c>
      <c r="O392" s="19">
        <v>0</v>
      </c>
      <c r="P392" s="19">
        <v>0</v>
      </c>
      <c r="Q392" s="19">
        <v>143.97999999999999</v>
      </c>
      <c r="R392" s="19">
        <v>0</v>
      </c>
      <c r="S392" s="19">
        <v>0</v>
      </c>
      <c r="T392" s="19">
        <v>0</v>
      </c>
      <c r="U392" s="19">
        <v>0</v>
      </c>
      <c r="V392" s="19">
        <v>3.87</v>
      </c>
      <c r="W392" s="19">
        <v>107.5</v>
      </c>
      <c r="X392" s="19">
        <v>294.35000000000002</v>
      </c>
      <c r="Y392" s="19">
        <v>298.32</v>
      </c>
      <c r="Z392" s="38" t="s">
        <v>35</v>
      </c>
      <c r="AA392" s="25">
        <f>MIN($B$392:$Y$392)</f>
        <v>0</v>
      </c>
      <c r="AB392" s="25">
        <f>AVERAGE($B$392:$Y$392)</f>
        <v>82.241249999999994</v>
      </c>
    </row>
    <row r="393" spans="1:28">
      <c r="A393" s="30">
        <v>45683</v>
      </c>
      <c r="B393" s="19">
        <v>471.12</v>
      </c>
      <c r="C393" s="19">
        <v>320.5</v>
      </c>
      <c r="D393" s="19">
        <v>304.14999999999998</v>
      </c>
      <c r="E393" s="19">
        <v>304.60000000000002</v>
      </c>
      <c r="F393" s="19">
        <v>302.14</v>
      </c>
      <c r="G393" s="19">
        <v>303.07</v>
      </c>
      <c r="H393" s="19">
        <v>288.5</v>
      </c>
      <c r="I393" s="19">
        <v>277</v>
      </c>
      <c r="J393" s="19">
        <v>257.51</v>
      </c>
      <c r="K393" s="19">
        <v>145.09</v>
      </c>
      <c r="L393" s="19">
        <v>97.19</v>
      </c>
      <c r="M393" s="19">
        <v>116.42</v>
      </c>
      <c r="N393" s="19">
        <v>277.29000000000002</v>
      </c>
      <c r="O393" s="19">
        <v>194.89</v>
      </c>
      <c r="P393" s="19">
        <v>267.47000000000003</v>
      </c>
      <c r="Q393" s="19">
        <v>255.49</v>
      </c>
      <c r="R393" s="19">
        <v>0</v>
      </c>
      <c r="S393" s="19">
        <v>5.0599999999999996</v>
      </c>
      <c r="T393" s="19">
        <v>207.32</v>
      </c>
      <c r="U393" s="19">
        <v>259.56</v>
      </c>
      <c r="V393" s="19">
        <v>247.86</v>
      </c>
      <c r="W393" s="19">
        <v>264.74</v>
      </c>
      <c r="X393" s="19">
        <v>309.47000000000003</v>
      </c>
      <c r="Y393" s="19">
        <v>311.12</v>
      </c>
      <c r="Z393" s="39" t="s">
        <v>35</v>
      </c>
      <c r="AA393" s="25">
        <f>MIN($B$393:$Y$393)</f>
        <v>0</v>
      </c>
      <c r="AB393" s="25">
        <f>AVERAGE($B$393:$Y$393)</f>
        <v>241.148333333333</v>
      </c>
    </row>
    <row r="394" spans="1:28">
      <c r="A394" s="30">
        <v>45684</v>
      </c>
      <c r="B394" s="19">
        <v>356.67</v>
      </c>
      <c r="C394" s="19">
        <v>311.27</v>
      </c>
      <c r="D394" s="19">
        <v>291.47000000000003</v>
      </c>
      <c r="E394" s="19">
        <v>273.54000000000002</v>
      </c>
      <c r="F394" s="19">
        <v>178.29</v>
      </c>
      <c r="G394" s="19">
        <v>147.33000000000001</v>
      </c>
      <c r="H394" s="19">
        <v>253.92</v>
      </c>
      <c r="I394" s="19">
        <v>285.08</v>
      </c>
      <c r="J394" s="19">
        <v>290.86</v>
      </c>
      <c r="K394" s="19">
        <v>277.74</v>
      </c>
      <c r="L394" s="19">
        <v>269.77999999999997</v>
      </c>
      <c r="M394" s="19">
        <v>206.66</v>
      </c>
      <c r="N394" s="19">
        <v>269.45999999999998</v>
      </c>
      <c r="O394" s="19">
        <v>143.99</v>
      </c>
      <c r="P394" s="19">
        <v>100.31</v>
      </c>
      <c r="Q394" s="19">
        <v>158.72</v>
      </c>
      <c r="R394" s="19">
        <v>77.59</v>
      </c>
      <c r="S394" s="19">
        <v>323.81</v>
      </c>
      <c r="T394" s="19">
        <v>385.93</v>
      </c>
      <c r="U394" s="19">
        <v>393.27</v>
      </c>
      <c r="V394" s="19">
        <v>366.39</v>
      </c>
      <c r="W394" s="19">
        <v>371.39</v>
      </c>
      <c r="X394" s="19">
        <v>359.16</v>
      </c>
      <c r="Y394" s="19">
        <v>305.02</v>
      </c>
      <c r="Z394" s="38" t="s">
        <v>35</v>
      </c>
      <c r="AA394" s="25">
        <f>MIN($B$394:$Y$394)</f>
        <v>77.59</v>
      </c>
      <c r="AB394" s="25">
        <f>AVERAGE($B$394:$Y$394)</f>
        <v>266.56875000000002</v>
      </c>
    </row>
    <row r="395" spans="1:28">
      <c r="A395" s="30">
        <v>45685</v>
      </c>
      <c r="B395" s="19">
        <v>340.14</v>
      </c>
      <c r="C395" s="19">
        <v>332.05</v>
      </c>
      <c r="D395" s="19">
        <v>326.33</v>
      </c>
      <c r="E395" s="19">
        <v>303.39</v>
      </c>
      <c r="F395" s="19">
        <v>305.7</v>
      </c>
      <c r="G395" s="19">
        <v>300.64</v>
      </c>
      <c r="H395" s="19">
        <v>301.77999999999997</v>
      </c>
      <c r="I395" s="19">
        <v>323.37</v>
      </c>
      <c r="J395" s="19">
        <v>308.75</v>
      </c>
      <c r="K395" s="19">
        <v>301.83999999999997</v>
      </c>
      <c r="L395" s="19">
        <v>276</v>
      </c>
      <c r="M395" s="19">
        <v>108.07</v>
      </c>
      <c r="N395" s="19">
        <v>66.260000000000005</v>
      </c>
      <c r="O395" s="19">
        <v>0</v>
      </c>
      <c r="P395" s="19">
        <v>0</v>
      </c>
      <c r="Q395" s="19">
        <v>63.75</v>
      </c>
      <c r="R395" s="19">
        <v>200.79</v>
      </c>
      <c r="S395" s="19">
        <v>301.91000000000003</v>
      </c>
      <c r="T395" s="19">
        <v>356.38</v>
      </c>
      <c r="U395" s="19">
        <v>354.19</v>
      </c>
      <c r="V395" s="19">
        <v>339.75</v>
      </c>
      <c r="W395" s="19">
        <v>366.92</v>
      </c>
      <c r="X395" s="19">
        <v>355.95</v>
      </c>
      <c r="Y395" s="19">
        <v>355</v>
      </c>
      <c r="Z395" s="40" t="s">
        <v>31</v>
      </c>
      <c r="AA395" s="25">
        <f>MIN($B$395:$Y$395)</f>
        <v>0</v>
      </c>
      <c r="AB395" s="25">
        <f>AVERAGE($B$395:$Y$395)</f>
        <v>262.04000000000002</v>
      </c>
    </row>
    <row r="396" spans="1:28">
      <c r="A396" s="30">
        <v>45686</v>
      </c>
      <c r="B396" s="19">
        <v>343.75</v>
      </c>
      <c r="C396" s="19">
        <v>335.03</v>
      </c>
      <c r="D396" s="19">
        <v>306.77999999999997</v>
      </c>
      <c r="E396" s="19">
        <v>275.75</v>
      </c>
      <c r="F396" s="19">
        <v>279.75</v>
      </c>
      <c r="G396" s="19">
        <v>254</v>
      </c>
      <c r="H396" s="19">
        <v>240.5</v>
      </c>
      <c r="I396" s="19">
        <v>245.24</v>
      </c>
      <c r="J396" s="19">
        <v>152.46</v>
      </c>
      <c r="K396" s="19">
        <v>0</v>
      </c>
      <c r="L396" s="19">
        <v>0</v>
      </c>
      <c r="M396" s="19">
        <v>0</v>
      </c>
      <c r="N396" s="19">
        <v>0</v>
      </c>
      <c r="O396" s="19">
        <v>0</v>
      </c>
      <c r="P396" s="19">
        <v>0</v>
      </c>
      <c r="Q396" s="19">
        <v>0</v>
      </c>
      <c r="R396" s="19">
        <v>0</v>
      </c>
      <c r="S396" s="19">
        <v>211.03</v>
      </c>
      <c r="T396" s="19">
        <v>313.94</v>
      </c>
      <c r="U396" s="19">
        <v>316.70999999999998</v>
      </c>
      <c r="V396" s="19">
        <v>307.74</v>
      </c>
      <c r="W396" s="19">
        <v>309.13</v>
      </c>
      <c r="X396" s="19">
        <v>292.42</v>
      </c>
      <c r="Y396" s="19">
        <v>299.37</v>
      </c>
      <c r="Z396" s="41" t="s">
        <v>31</v>
      </c>
      <c r="AA396" s="25">
        <f>MIN($B$396:$Y$396)</f>
        <v>0</v>
      </c>
      <c r="AB396" s="25">
        <f>AVERAGE($B$396:$Y$396)</f>
        <v>186.816666666667</v>
      </c>
    </row>
    <row r="397" spans="1:28">
      <c r="A397" s="30">
        <v>45687</v>
      </c>
      <c r="B397" s="19">
        <v>251.85</v>
      </c>
      <c r="C397" s="19">
        <v>294.52</v>
      </c>
      <c r="D397" s="19">
        <v>241.04</v>
      </c>
      <c r="E397" s="19">
        <v>112.7</v>
      </c>
      <c r="F397" s="19">
        <v>215.53</v>
      </c>
      <c r="G397" s="19">
        <v>122.16</v>
      </c>
      <c r="H397" s="19">
        <v>98.72</v>
      </c>
      <c r="I397" s="19">
        <v>116.7</v>
      </c>
      <c r="J397" s="19">
        <v>63.75</v>
      </c>
      <c r="K397" s="19">
        <v>25.1</v>
      </c>
      <c r="L397" s="19">
        <v>0</v>
      </c>
      <c r="M397" s="19">
        <v>0</v>
      </c>
      <c r="N397" s="19">
        <v>0</v>
      </c>
      <c r="O397" s="19">
        <v>0</v>
      </c>
      <c r="P397" s="19">
        <v>0</v>
      </c>
      <c r="Q397" s="19">
        <v>0</v>
      </c>
      <c r="R397" s="19">
        <v>75.56</v>
      </c>
      <c r="S397" s="19">
        <v>265.82</v>
      </c>
      <c r="T397" s="19">
        <v>296.12</v>
      </c>
      <c r="U397" s="19">
        <v>296.72000000000003</v>
      </c>
      <c r="V397" s="19">
        <v>296.68</v>
      </c>
      <c r="W397" s="19">
        <v>295.79000000000002</v>
      </c>
      <c r="X397" s="19">
        <v>257.88</v>
      </c>
      <c r="Y397" s="19">
        <v>153.34</v>
      </c>
      <c r="Z397" s="40" t="s">
        <v>31</v>
      </c>
      <c r="AA397" s="25">
        <f>MIN($B$397:$Y$397)</f>
        <v>0</v>
      </c>
      <c r="AB397" s="25">
        <f>AVERAGE($B$397:$Y$397)</f>
        <v>144.99916666666701</v>
      </c>
    </row>
    <row r="398" spans="1:28">
      <c r="A398" s="30">
        <v>45688</v>
      </c>
      <c r="B398" s="19">
        <v>253.59</v>
      </c>
      <c r="C398" s="19">
        <v>316.27999999999997</v>
      </c>
      <c r="D398" s="19">
        <v>303.83999999999997</v>
      </c>
      <c r="E398" s="19">
        <v>298.58</v>
      </c>
      <c r="F398" s="19">
        <v>300.82</v>
      </c>
      <c r="G398" s="19">
        <v>298.33</v>
      </c>
      <c r="H398" s="19">
        <v>300.32</v>
      </c>
      <c r="I398" s="19">
        <v>328.92</v>
      </c>
      <c r="J398" s="19">
        <v>365</v>
      </c>
      <c r="K398" s="19">
        <v>346.75</v>
      </c>
      <c r="L398" s="19">
        <v>327.52999999999997</v>
      </c>
      <c r="M398" s="19">
        <v>296.35000000000002</v>
      </c>
      <c r="N398" s="19">
        <v>282.54000000000002</v>
      </c>
      <c r="O398" s="19">
        <v>277</v>
      </c>
      <c r="P398" s="19">
        <v>127.5</v>
      </c>
      <c r="Q398" s="19">
        <v>280.02999999999997</v>
      </c>
      <c r="R398" s="19">
        <v>299.77999999999997</v>
      </c>
      <c r="S398" s="19">
        <v>341.25</v>
      </c>
      <c r="T398" s="19">
        <v>371.25</v>
      </c>
      <c r="U398" s="19">
        <v>363.89</v>
      </c>
      <c r="V398" s="19">
        <v>362.5</v>
      </c>
      <c r="W398" s="19">
        <v>371.25</v>
      </c>
      <c r="X398" s="19">
        <v>361.25</v>
      </c>
      <c r="Y398" s="19">
        <v>327.52999999999997</v>
      </c>
      <c r="Z398" s="41" t="s">
        <v>31</v>
      </c>
      <c r="AA398" s="25">
        <f>MIN($B$398:$Y$398)</f>
        <v>127.5</v>
      </c>
      <c r="AB398" s="25">
        <f>AVERAGE($B$398:$Y$398)</f>
        <v>312.58666666666699</v>
      </c>
    </row>
    <row r="399" spans="1:28">
      <c r="A399" s="30">
        <v>45689</v>
      </c>
      <c r="B399" s="19">
        <v>344.25</v>
      </c>
      <c r="C399" s="19">
        <v>376.25</v>
      </c>
      <c r="D399" s="19">
        <v>361.25</v>
      </c>
      <c r="E399" s="19">
        <v>336.89</v>
      </c>
      <c r="F399" s="19">
        <v>325.08</v>
      </c>
      <c r="G399" s="19">
        <v>319.25</v>
      </c>
      <c r="H399" s="19">
        <v>334.25</v>
      </c>
      <c r="I399" s="19">
        <v>342.39</v>
      </c>
      <c r="J399" s="19">
        <v>358.19</v>
      </c>
      <c r="K399" s="19">
        <v>391.25</v>
      </c>
      <c r="L399" s="19">
        <v>353.75</v>
      </c>
      <c r="M399" s="19">
        <v>306.79000000000002</v>
      </c>
      <c r="N399" s="19">
        <v>327.5</v>
      </c>
      <c r="O399" s="19">
        <v>318.75</v>
      </c>
      <c r="P399" s="19">
        <v>295.33999999999997</v>
      </c>
      <c r="Q399" s="19">
        <v>294.33</v>
      </c>
      <c r="R399" s="19">
        <v>331.28</v>
      </c>
      <c r="S399" s="19">
        <v>368.75</v>
      </c>
      <c r="T399" s="19">
        <v>368.57</v>
      </c>
      <c r="U399" s="19">
        <v>372.46</v>
      </c>
      <c r="V399" s="19">
        <v>376.33</v>
      </c>
      <c r="W399" s="19">
        <v>383.27</v>
      </c>
      <c r="X399" s="19">
        <v>386.25</v>
      </c>
      <c r="Y399" s="19">
        <v>362.64</v>
      </c>
      <c r="Z399" s="39" t="s">
        <v>35</v>
      </c>
      <c r="AA399" s="25">
        <f>MIN($B$399:$Y$399)</f>
        <v>294.33</v>
      </c>
      <c r="AB399" s="25">
        <f>AVERAGE($B$399:$Y$399)</f>
        <v>347.29416666666702</v>
      </c>
    </row>
    <row r="400" spans="1:28">
      <c r="A400" s="30">
        <v>45690</v>
      </c>
      <c r="B400" s="19">
        <v>340.75</v>
      </c>
      <c r="C400" s="19">
        <v>338.5</v>
      </c>
      <c r="D400" s="19">
        <v>350.14</v>
      </c>
      <c r="E400" s="19">
        <v>344.03</v>
      </c>
      <c r="F400" s="19">
        <v>332.5</v>
      </c>
      <c r="G400" s="19">
        <v>325.25</v>
      </c>
      <c r="H400" s="19">
        <v>330.25</v>
      </c>
      <c r="I400" s="19">
        <v>339.5</v>
      </c>
      <c r="J400" s="19">
        <v>361.39</v>
      </c>
      <c r="K400" s="19">
        <v>361.25</v>
      </c>
      <c r="L400" s="19">
        <v>341.25</v>
      </c>
      <c r="M400" s="19">
        <v>329</v>
      </c>
      <c r="N400" s="19">
        <v>377.64</v>
      </c>
      <c r="O400" s="19">
        <v>405</v>
      </c>
      <c r="P400" s="19">
        <v>348.25</v>
      </c>
      <c r="Q400" s="19">
        <v>334</v>
      </c>
      <c r="R400" s="19">
        <v>362.5</v>
      </c>
      <c r="S400" s="19">
        <v>385</v>
      </c>
      <c r="T400" s="19">
        <v>363.89</v>
      </c>
      <c r="U400" s="19">
        <v>347</v>
      </c>
      <c r="V400" s="19">
        <v>344</v>
      </c>
      <c r="W400" s="19">
        <v>339</v>
      </c>
      <c r="X400" s="19">
        <v>322.27999999999997</v>
      </c>
      <c r="Y400" s="19">
        <v>306.31</v>
      </c>
      <c r="Z400" s="38" t="s">
        <v>35</v>
      </c>
      <c r="AA400" s="25">
        <f>MIN($B$400:$Y$400)</f>
        <v>306.31</v>
      </c>
      <c r="AB400" s="25">
        <f>AVERAGE($B$400:$Y$400)</f>
        <v>347.02833333333302</v>
      </c>
    </row>
    <row r="401" spans="1:28">
      <c r="A401" s="30">
        <v>45691</v>
      </c>
      <c r="B401" s="19">
        <v>311.97000000000003</v>
      </c>
      <c r="C401" s="19">
        <v>302.61</v>
      </c>
      <c r="D401" s="19">
        <v>305.02999999999997</v>
      </c>
      <c r="E401" s="19">
        <v>296.27999999999997</v>
      </c>
      <c r="F401" s="19">
        <v>257</v>
      </c>
      <c r="G401" s="19">
        <v>254.8</v>
      </c>
      <c r="H401" s="19">
        <v>268.73</v>
      </c>
      <c r="I401" s="19">
        <v>295.3</v>
      </c>
      <c r="J401" s="19">
        <v>323.58999999999997</v>
      </c>
      <c r="K401" s="19">
        <v>320.08999999999997</v>
      </c>
      <c r="L401" s="19">
        <v>323.14999999999998</v>
      </c>
      <c r="M401" s="19">
        <v>330.68</v>
      </c>
      <c r="N401" s="19">
        <v>345.75</v>
      </c>
      <c r="O401" s="19">
        <v>319.61</v>
      </c>
      <c r="P401" s="19">
        <v>300.51</v>
      </c>
      <c r="Q401" s="19">
        <v>298.55</v>
      </c>
      <c r="R401" s="19">
        <v>313.54000000000002</v>
      </c>
      <c r="S401" s="19">
        <v>330.78</v>
      </c>
      <c r="T401" s="19">
        <v>323.61</v>
      </c>
      <c r="U401" s="19">
        <v>321.11</v>
      </c>
      <c r="V401" s="19">
        <v>319.92</v>
      </c>
      <c r="W401" s="19">
        <v>330.55</v>
      </c>
      <c r="X401" s="19">
        <v>324.26</v>
      </c>
      <c r="Y401" s="19">
        <v>305.39</v>
      </c>
      <c r="Z401" s="39" t="s">
        <v>35</v>
      </c>
      <c r="AA401" s="25">
        <f>MIN($B$401:$Y$401)</f>
        <v>254.8</v>
      </c>
      <c r="AB401" s="25">
        <f>AVERAGE($B$401:$Y$401)</f>
        <v>309.28375</v>
      </c>
    </row>
    <row r="402" spans="1:28">
      <c r="A402" s="30">
        <v>45692</v>
      </c>
      <c r="B402" s="19">
        <v>220.42</v>
      </c>
      <c r="C402" s="19">
        <v>243.34</v>
      </c>
      <c r="D402" s="19">
        <v>271.16000000000003</v>
      </c>
      <c r="E402" s="19">
        <v>266.98</v>
      </c>
      <c r="F402" s="19">
        <v>252.41</v>
      </c>
      <c r="G402" s="19">
        <v>248.7</v>
      </c>
      <c r="H402" s="19">
        <v>260.27</v>
      </c>
      <c r="I402" s="19">
        <v>266.04000000000002</v>
      </c>
      <c r="J402" s="19">
        <v>292.54000000000002</v>
      </c>
      <c r="K402" s="19">
        <v>295.7</v>
      </c>
      <c r="L402" s="19">
        <v>282.95</v>
      </c>
      <c r="M402" s="19">
        <v>165.89</v>
      </c>
      <c r="N402" s="19">
        <v>164.86</v>
      </c>
      <c r="O402" s="19">
        <v>192.25</v>
      </c>
      <c r="P402" s="19">
        <v>62.5</v>
      </c>
      <c r="Q402" s="19">
        <v>127.5</v>
      </c>
      <c r="R402" s="19">
        <v>308.77999999999997</v>
      </c>
      <c r="S402" s="19">
        <v>351.75</v>
      </c>
      <c r="T402" s="19">
        <v>345.65</v>
      </c>
      <c r="U402" s="19">
        <v>337.99</v>
      </c>
      <c r="V402" s="19">
        <v>329.41</v>
      </c>
      <c r="W402" s="19">
        <v>334.66</v>
      </c>
      <c r="X402" s="19">
        <v>327.2</v>
      </c>
      <c r="Y402" s="19">
        <v>299.07</v>
      </c>
      <c r="Z402" s="38" t="s">
        <v>35</v>
      </c>
      <c r="AA402" s="25">
        <f>MIN($B$402:$Y$402)</f>
        <v>62.5</v>
      </c>
      <c r="AB402" s="25">
        <f>AVERAGE($B$402:$Y$402)</f>
        <v>260.33416666666699</v>
      </c>
    </row>
    <row r="403" spans="1:28">
      <c r="A403" s="30">
        <v>45693</v>
      </c>
      <c r="B403" s="19">
        <v>341.75</v>
      </c>
      <c r="C403" s="19">
        <v>307.83</v>
      </c>
      <c r="D403" s="19">
        <v>306.2</v>
      </c>
      <c r="E403" s="19">
        <v>303.85000000000002</v>
      </c>
      <c r="F403" s="19">
        <v>298.01</v>
      </c>
      <c r="G403" s="19">
        <v>296.25</v>
      </c>
      <c r="H403" s="19">
        <v>297</v>
      </c>
      <c r="I403" s="19">
        <v>291.5</v>
      </c>
      <c r="J403" s="19">
        <v>304.43</v>
      </c>
      <c r="K403" s="19">
        <v>305.64</v>
      </c>
      <c r="L403" s="19">
        <v>305.67</v>
      </c>
      <c r="M403" s="19">
        <v>304.26</v>
      </c>
      <c r="N403" s="19">
        <v>300.77999999999997</v>
      </c>
      <c r="O403" s="19">
        <v>295.25</v>
      </c>
      <c r="P403" s="19">
        <v>286.5</v>
      </c>
      <c r="Q403" s="19">
        <v>292.5</v>
      </c>
      <c r="R403" s="19">
        <v>296.77999999999997</v>
      </c>
      <c r="S403" s="19">
        <v>313.11</v>
      </c>
      <c r="T403" s="19">
        <v>332.41</v>
      </c>
      <c r="U403" s="19">
        <v>353.71</v>
      </c>
      <c r="V403" s="19">
        <v>345.12</v>
      </c>
      <c r="W403" s="19">
        <v>342.42</v>
      </c>
      <c r="X403" s="19">
        <v>333.68</v>
      </c>
      <c r="Y403" s="19">
        <v>307.95999999999998</v>
      </c>
      <c r="Z403" s="39" t="s">
        <v>35</v>
      </c>
      <c r="AA403" s="25">
        <f>MIN($B$403:$Y$403)</f>
        <v>286.5</v>
      </c>
      <c r="AB403" s="25">
        <f>AVERAGE($B$403:$Y$403)</f>
        <v>310.94208333333302</v>
      </c>
    </row>
    <row r="404" spans="1:28">
      <c r="A404" s="30">
        <v>45694</v>
      </c>
      <c r="B404" s="19">
        <v>319.95999999999998</v>
      </c>
      <c r="C404" s="19">
        <v>302.10000000000002</v>
      </c>
      <c r="D404" s="19">
        <v>300.60000000000002</v>
      </c>
      <c r="E404" s="19">
        <v>295.85000000000002</v>
      </c>
      <c r="F404" s="19">
        <v>291.77999999999997</v>
      </c>
      <c r="G404" s="19">
        <v>291.5</v>
      </c>
      <c r="H404" s="19">
        <v>293.75</v>
      </c>
      <c r="I404" s="19">
        <v>295.81</v>
      </c>
      <c r="J404" s="19">
        <v>311</v>
      </c>
      <c r="K404" s="19">
        <v>314.33</v>
      </c>
      <c r="L404" s="19">
        <v>303.39</v>
      </c>
      <c r="M404" s="19">
        <v>300.06</v>
      </c>
      <c r="N404" s="19">
        <v>298.42</v>
      </c>
      <c r="O404" s="19">
        <v>295.82</v>
      </c>
      <c r="P404" s="19">
        <v>292.94</v>
      </c>
      <c r="Q404" s="19">
        <v>288.8</v>
      </c>
      <c r="R404" s="19">
        <v>282.55</v>
      </c>
      <c r="S404" s="19">
        <v>305.57</v>
      </c>
      <c r="T404" s="19">
        <v>324.70999999999998</v>
      </c>
      <c r="U404" s="19">
        <v>321.29000000000002</v>
      </c>
      <c r="V404" s="19">
        <v>322.11</v>
      </c>
      <c r="W404" s="19">
        <v>317.66000000000003</v>
      </c>
      <c r="X404" s="19">
        <v>303.82</v>
      </c>
      <c r="Y404" s="19">
        <v>264.81</v>
      </c>
      <c r="Z404" s="38" t="s">
        <v>35</v>
      </c>
      <c r="AA404" s="25">
        <f>MIN($B$404:$Y$404)</f>
        <v>264.81</v>
      </c>
      <c r="AB404" s="25">
        <f>AVERAGE($B$404:$Y$404)</f>
        <v>301.60958333333298</v>
      </c>
    </row>
    <row r="405" spans="1:28">
      <c r="A405" s="30">
        <v>45695</v>
      </c>
      <c r="B405" s="19">
        <v>292.52999999999997</v>
      </c>
      <c r="C405" s="19">
        <v>282.89999999999998</v>
      </c>
      <c r="D405" s="19">
        <v>280.56</v>
      </c>
      <c r="E405" s="19">
        <v>268.31</v>
      </c>
      <c r="F405" s="19">
        <v>254.12</v>
      </c>
      <c r="G405" s="19">
        <v>261.18</v>
      </c>
      <c r="H405" s="19">
        <v>250.44</v>
      </c>
      <c r="I405" s="19">
        <v>274.83</v>
      </c>
      <c r="J405" s="19">
        <v>308.89</v>
      </c>
      <c r="K405" s="19">
        <v>315.52999999999997</v>
      </c>
      <c r="L405" s="19">
        <v>313</v>
      </c>
      <c r="M405" s="19">
        <v>312.63</v>
      </c>
      <c r="N405" s="19">
        <v>304.58999999999997</v>
      </c>
      <c r="O405" s="19">
        <v>302.95</v>
      </c>
      <c r="P405" s="19">
        <v>299.89999999999998</v>
      </c>
      <c r="Q405" s="19">
        <v>299.41000000000003</v>
      </c>
      <c r="R405" s="19">
        <v>308.36</v>
      </c>
      <c r="S405" s="19">
        <v>324.97000000000003</v>
      </c>
      <c r="T405" s="19">
        <v>327.58</v>
      </c>
      <c r="U405" s="19">
        <v>329.1</v>
      </c>
      <c r="V405" s="19">
        <v>322.44</v>
      </c>
      <c r="W405" s="19">
        <v>312.87</v>
      </c>
      <c r="X405" s="19">
        <v>305.16000000000003</v>
      </c>
      <c r="Y405" s="19">
        <v>278.95</v>
      </c>
      <c r="Z405" s="39" t="s">
        <v>35</v>
      </c>
      <c r="AA405" s="25">
        <f>MIN($B$405:$Y$405)</f>
        <v>250.44</v>
      </c>
      <c r="AB405" s="25">
        <f>AVERAGE($B$405:$Y$405)</f>
        <v>297.13333333333298</v>
      </c>
    </row>
    <row r="406" spans="1:28">
      <c r="A406" s="30">
        <v>45696</v>
      </c>
      <c r="B406" s="19">
        <v>299.74</v>
      </c>
      <c r="C406" s="19">
        <v>287.36</v>
      </c>
      <c r="D406" s="19">
        <v>283.89</v>
      </c>
      <c r="E406" s="19">
        <v>276.75</v>
      </c>
      <c r="F406" s="19">
        <v>267.08999999999997</v>
      </c>
      <c r="G406" s="19">
        <v>268.37</v>
      </c>
      <c r="H406" s="19">
        <v>277.75</v>
      </c>
      <c r="I406" s="19">
        <v>290.94</v>
      </c>
      <c r="J406" s="19">
        <v>319.25</v>
      </c>
      <c r="K406" s="19">
        <v>316.45</v>
      </c>
      <c r="L406" s="19">
        <v>298.31</v>
      </c>
      <c r="M406" s="19">
        <v>298.02999999999997</v>
      </c>
      <c r="N406" s="19">
        <v>281.13</v>
      </c>
      <c r="O406" s="19">
        <v>280.27</v>
      </c>
      <c r="P406" s="19">
        <v>288.81</v>
      </c>
      <c r="Q406" s="19">
        <v>297.60000000000002</v>
      </c>
      <c r="R406" s="19">
        <v>316.72000000000003</v>
      </c>
      <c r="S406" s="19">
        <v>364.69</v>
      </c>
      <c r="T406" s="19">
        <v>382.13</v>
      </c>
      <c r="U406" s="19">
        <v>370.64</v>
      </c>
      <c r="V406" s="19">
        <v>355.67</v>
      </c>
      <c r="W406" s="19">
        <v>358.87</v>
      </c>
      <c r="X406" s="19">
        <v>356.74</v>
      </c>
      <c r="Y406" s="19">
        <v>314.77</v>
      </c>
      <c r="Z406" s="38" t="s">
        <v>35</v>
      </c>
      <c r="AA406" s="25">
        <f>MIN($B$406:$Y$406)</f>
        <v>267.08999999999997</v>
      </c>
      <c r="AB406" s="25">
        <f>AVERAGE($B$406:$Y$406)</f>
        <v>310.49874999999997</v>
      </c>
    </row>
    <row r="407" spans="1:28">
      <c r="A407" s="30">
        <v>45697</v>
      </c>
      <c r="B407" s="19">
        <v>303.38</v>
      </c>
      <c r="C407" s="19">
        <v>294.93</v>
      </c>
      <c r="D407" s="19">
        <v>291.33</v>
      </c>
      <c r="E407" s="19">
        <v>285.73</v>
      </c>
      <c r="F407" s="19">
        <v>283.64999999999998</v>
      </c>
      <c r="G407" s="19">
        <v>283.5</v>
      </c>
      <c r="H407" s="19">
        <v>282.55</v>
      </c>
      <c r="I407" s="19">
        <v>289.08999999999997</v>
      </c>
      <c r="J407" s="19">
        <v>307.74</v>
      </c>
      <c r="K407" s="19">
        <v>304.79000000000002</v>
      </c>
      <c r="L407" s="19">
        <v>297.92</v>
      </c>
      <c r="M407" s="19">
        <v>301.13</v>
      </c>
      <c r="N407" s="19">
        <v>293.63</v>
      </c>
      <c r="O407" s="19">
        <v>292.97000000000003</v>
      </c>
      <c r="P407" s="19">
        <v>296.97000000000003</v>
      </c>
      <c r="Q407" s="19">
        <v>301.02999999999997</v>
      </c>
      <c r="R407" s="19">
        <v>314.47000000000003</v>
      </c>
      <c r="S407" s="19">
        <v>352.13</v>
      </c>
      <c r="T407" s="19">
        <v>397.41</v>
      </c>
      <c r="U407" s="19">
        <v>410.76</v>
      </c>
      <c r="V407" s="19">
        <v>383.53</v>
      </c>
      <c r="W407" s="19">
        <v>387.77</v>
      </c>
      <c r="X407" s="19">
        <v>358.66</v>
      </c>
      <c r="Y407" s="19">
        <v>318.39</v>
      </c>
      <c r="Z407" s="39" t="s">
        <v>35</v>
      </c>
      <c r="AA407" s="25">
        <f>MIN($B$407:$Y$407)</f>
        <v>282.55</v>
      </c>
      <c r="AB407" s="25">
        <f>AVERAGE($B$407:$Y$407)</f>
        <v>318.06083333333299</v>
      </c>
    </row>
    <row r="408" spans="1:28">
      <c r="A408" s="30">
        <v>45698</v>
      </c>
      <c r="B408" s="19">
        <v>313.82</v>
      </c>
      <c r="C408" s="19">
        <v>310.04000000000002</v>
      </c>
      <c r="D408" s="19">
        <v>305.33999999999997</v>
      </c>
      <c r="E408" s="19">
        <v>298.54000000000002</v>
      </c>
      <c r="F408" s="19">
        <v>291.43</v>
      </c>
      <c r="G408" s="19">
        <v>291.58</v>
      </c>
      <c r="H408" s="19">
        <v>304.83</v>
      </c>
      <c r="I408" s="19">
        <v>311.82</v>
      </c>
      <c r="J408" s="19">
        <v>345.94</v>
      </c>
      <c r="K408" s="19">
        <v>328.79</v>
      </c>
      <c r="L408" s="19">
        <v>296.94</v>
      </c>
      <c r="M408" s="19">
        <v>285.77</v>
      </c>
      <c r="N408" s="19">
        <v>270.2</v>
      </c>
      <c r="O408" s="19">
        <v>270.64</v>
      </c>
      <c r="P408" s="19">
        <v>263.88</v>
      </c>
      <c r="Q408" s="19">
        <v>276.2</v>
      </c>
      <c r="R408" s="19">
        <v>300.66000000000003</v>
      </c>
      <c r="S408" s="19">
        <v>318.69</v>
      </c>
      <c r="T408" s="19">
        <v>365.78</v>
      </c>
      <c r="U408" s="19">
        <v>378.53</v>
      </c>
      <c r="V408" s="19">
        <v>370.66</v>
      </c>
      <c r="W408" s="19">
        <v>366.08</v>
      </c>
      <c r="X408" s="19">
        <v>347.63</v>
      </c>
      <c r="Y408" s="19">
        <v>303.39999999999998</v>
      </c>
      <c r="Z408" s="33" t="s">
        <v>32</v>
      </c>
      <c r="AA408" s="25">
        <f>MIN($B$408:$Y$408)</f>
        <v>263.88</v>
      </c>
      <c r="AB408" s="25">
        <f>AVERAGE($B$408:$Y$408)</f>
        <v>313.21625</v>
      </c>
    </row>
    <row r="409" spans="1:28">
      <c r="A409" s="30">
        <v>45699</v>
      </c>
      <c r="B409" s="19">
        <v>322.66000000000003</v>
      </c>
      <c r="C409" s="19">
        <v>307.39999999999998</v>
      </c>
      <c r="D409" s="19">
        <v>299.31</v>
      </c>
      <c r="E409" s="19">
        <v>293.99</v>
      </c>
      <c r="F409" s="19">
        <v>288.11</v>
      </c>
      <c r="G409" s="19">
        <v>287.72000000000003</v>
      </c>
      <c r="H409" s="19">
        <v>300.74</v>
      </c>
      <c r="I409" s="19">
        <v>307.64999999999998</v>
      </c>
      <c r="J409" s="19">
        <v>326.23</v>
      </c>
      <c r="K409" s="19">
        <v>323.54000000000002</v>
      </c>
      <c r="L409" s="19">
        <v>307.31</v>
      </c>
      <c r="M409" s="19">
        <v>298</v>
      </c>
      <c r="N409" s="19">
        <v>285.99</v>
      </c>
      <c r="O409" s="19">
        <v>292.06</v>
      </c>
      <c r="P409" s="19">
        <v>297.12</v>
      </c>
      <c r="Q409" s="19">
        <v>298.82</v>
      </c>
      <c r="R409" s="19">
        <v>327.36</v>
      </c>
      <c r="S409" s="19">
        <v>330.6</v>
      </c>
      <c r="T409" s="19">
        <v>353.18</v>
      </c>
      <c r="U409" s="19">
        <v>374.05</v>
      </c>
      <c r="V409" s="19">
        <v>358.65</v>
      </c>
      <c r="W409" s="19">
        <v>372.12</v>
      </c>
      <c r="X409" s="19">
        <v>360.86</v>
      </c>
      <c r="Y409" s="19">
        <v>325.16000000000003</v>
      </c>
      <c r="Z409" s="32" t="s">
        <v>32</v>
      </c>
      <c r="AA409" s="25">
        <f>MIN($B$409:$Y$409)</f>
        <v>285.99</v>
      </c>
      <c r="AB409" s="25">
        <f>AVERAGE($B$409:$Y$409)</f>
        <v>318.27625</v>
      </c>
    </row>
    <row r="410" spans="1:28">
      <c r="A410" s="30">
        <v>45700</v>
      </c>
      <c r="B410" s="19">
        <v>325.93</v>
      </c>
      <c r="C410" s="19">
        <v>313.52999999999997</v>
      </c>
      <c r="D410" s="19">
        <v>309.18</v>
      </c>
      <c r="E410" s="19">
        <v>307.7</v>
      </c>
      <c r="F410" s="19">
        <v>297.33</v>
      </c>
      <c r="G410" s="19">
        <v>303.39</v>
      </c>
      <c r="H410" s="19">
        <v>310.8</v>
      </c>
      <c r="I410" s="19">
        <v>318.88</v>
      </c>
      <c r="J410" s="19">
        <v>347.91</v>
      </c>
      <c r="K410" s="19">
        <v>348.61</v>
      </c>
      <c r="L410" s="19">
        <v>333.91</v>
      </c>
      <c r="M410" s="19">
        <v>330.56</v>
      </c>
      <c r="N410" s="19">
        <v>308.94</v>
      </c>
      <c r="O410" s="19">
        <v>315.10000000000002</v>
      </c>
      <c r="P410" s="19">
        <v>323.11</v>
      </c>
      <c r="Q410" s="19">
        <v>328.69</v>
      </c>
      <c r="R410" s="19">
        <v>342.97</v>
      </c>
      <c r="S410" s="19">
        <v>349.61</v>
      </c>
      <c r="T410" s="19">
        <v>360.2</v>
      </c>
      <c r="U410" s="19">
        <v>373.27</v>
      </c>
      <c r="V410" s="19">
        <v>358.15</v>
      </c>
      <c r="W410" s="19">
        <v>370.11</v>
      </c>
      <c r="X410" s="19">
        <v>380.31</v>
      </c>
      <c r="Y410" s="19">
        <v>334.9</v>
      </c>
      <c r="Z410" s="33" t="s">
        <v>32</v>
      </c>
      <c r="AA410" s="25">
        <f>MIN($B$410:$Y$410)</f>
        <v>297.33</v>
      </c>
      <c r="AB410" s="25">
        <f>AVERAGE($B$410:$Y$410)</f>
        <v>333.04541666666699</v>
      </c>
    </row>
    <row r="411" spans="1:28">
      <c r="A411" s="30">
        <v>45701</v>
      </c>
      <c r="B411" s="19">
        <v>341.56</v>
      </c>
      <c r="C411" s="19">
        <v>324.04000000000002</v>
      </c>
      <c r="D411" s="19">
        <v>314.32</v>
      </c>
      <c r="E411" s="19">
        <v>298.63</v>
      </c>
      <c r="F411" s="19">
        <v>286.66000000000003</v>
      </c>
      <c r="G411" s="19">
        <v>283.89</v>
      </c>
      <c r="H411" s="19">
        <v>300.02999999999997</v>
      </c>
      <c r="I411" s="19">
        <v>307.61</v>
      </c>
      <c r="J411" s="19">
        <v>350.71</v>
      </c>
      <c r="K411" s="19">
        <v>346.43</v>
      </c>
      <c r="L411" s="19">
        <v>340.8</v>
      </c>
      <c r="M411" s="19">
        <v>335.48</v>
      </c>
      <c r="N411" s="19">
        <v>292.89</v>
      </c>
      <c r="O411" s="19">
        <v>291.41000000000003</v>
      </c>
      <c r="P411" s="19">
        <v>295.77</v>
      </c>
      <c r="Q411" s="19">
        <v>303.73</v>
      </c>
      <c r="R411" s="19">
        <v>333.02</v>
      </c>
      <c r="S411" s="19">
        <v>346.13</v>
      </c>
      <c r="T411" s="19">
        <v>366.53</v>
      </c>
      <c r="U411" s="19">
        <v>367.1</v>
      </c>
      <c r="V411" s="19">
        <v>350.58</v>
      </c>
      <c r="W411" s="19">
        <v>367.67</v>
      </c>
      <c r="X411" s="19">
        <v>366.38</v>
      </c>
      <c r="Y411" s="19">
        <v>325.26</v>
      </c>
      <c r="Z411" s="32" t="s">
        <v>32</v>
      </c>
      <c r="AA411" s="25">
        <f>MIN($B$411:$Y$411)</f>
        <v>283.89</v>
      </c>
      <c r="AB411" s="25">
        <f>AVERAGE($B$411:$Y$411)</f>
        <v>326.52625</v>
      </c>
    </row>
    <row r="412" spans="1:28">
      <c r="A412" s="30">
        <v>45702</v>
      </c>
      <c r="B412" s="19">
        <v>330.94</v>
      </c>
      <c r="C412" s="19">
        <v>316.94</v>
      </c>
      <c r="D412" s="19">
        <v>309.87</v>
      </c>
      <c r="E412" s="19">
        <v>300.86</v>
      </c>
      <c r="F412" s="19">
        <v>296.39</v>
      </c>
      <c r="G412" s="19">
        <v>296.32</v>
      </c>
      <c r="H412" s="19">
        <v>310.75</v>
      </c>
      <c r="I412" s="19">
        <v>322.45</v>
      </c>
      <c r="J412" s="19">
        <v>367.42</v>
      </c>
      <c r="K412" s="19">
        <v>362.48</v>
      </c>
      <c r="L412" s="19">
        <v>347.25</v>
      </c>
      <c r="M412" s="19">
        <v>342.34</v>
      </c>
      <c r="N412" s="19">
        <v>312.26</v>
      </c>
      <c r="O412" s="19">
        <v>313.38</v>
      </c>
      <c r="P412" s="19">
        <v>320.35000000000002</v>
      </c>
      <c r="Q412" s="19">
        <v>324.89999999999998</v>
      </c>
      <c r="R412" s="19">
        <v>349.29</v>
      </c>
      <c r="S412" s="19">
        <v>377.92</v>
      </c>
      <c r="T412" s="19">
        <v>379.13</v>
      </c>
      <c r="U412" s="19">
        <v>398.62</v>
      </c>
      <c r="V412" s="19">
        <v>391.68</v>
      </c>
      <c r="W412" s="19">
        <v>397.13</v>
      </c>
      <c r="X412" s="19">
        <v>382.81</v>
      </c>
      <c r="Y412" s="19">
        <v>334.8</v>
      </c>
      <c r="Z412" s="33" t="s">
        <v>32</v>
      </c>
      <c r="AA412" s="25">
        <f>MIN($B$412:$Y$412)</f>
        <v>296.32</v>
      </c>
      <c r="AB412" s="25">
        <f>AVERAGE($B$412:$Y$412)</f>
        <v>341.09500000000003</v>
      </c>
    </row>
    <row r="413" spans="1:28">
      <c r="A413" s="30">
        <v>45703</v>
      </c>
      <c r="B413" s="19">
        <v>326.33999999999997</v>
      </c>
      <c r="C413" s="19">
        <v>321.76</v>
      </c>
      <c r="D413" s="19">
        <v>315.27999999999997</v>
      </c>
      <c r="E413" s="19">
        <v>305.83999999999997</v>
      </c>
      <c r="F413" s="19">
        <v>298.97000000000003</v>
      </c>
      <c r="G413" s="19">
        <v>298.27</v>
      </c>
      <c r="H413" s="19">
        <v>310.20999999999998</v>
      </c>
      <c r="I413" s="19">
        <v>316.52</v>
      </c>
      <c r="J413" s="19">
        <v>356.24</v>
      </c>
      <c r="K413" s="19">
        <v>364.35</v>
      </c>
      <c r="L413" s="19">
        <v>345.12</v>
      </c>
      <c r="M413" s="19">
        <v>341.32</v>
      </c>
      <c r="N413" s="19">
        <v>311.62</v>
      </c>
      <c r="O413" s="19">
        <v>313.79000000000002</v>
      </c>
      <c r="P413" s="19">
        <v>323.86</v>
      </c>
      <c r="Q413" s="19">
        <v>327.99</v>
      </c>
      <c r="R413" s="19">
        <v>339.93</v>
      </c>
      <c r="S413" s="19">
        <v>368.63</v>
      </c>
      <c r="T413" s="19">
        <v>363.2</v>
      </c>
      <c r="U413" s="19">
        <v>361.05</v>
      </c>
      <c r="V413" s="19">
        <v>356.23</v>
      </c>
      <c r="W413" s="19">
        <v>357.28</v>
      </c>
      <c r="X413" s="19">
        <v>353.52</v>
      </c>
      <c r="Y413" s="19">
        <v>323.57</v>
      </c>
      <c r="Z413" s="34" t="s">
        <v>36</v>
      </c>
      <c r="AA413" s="25">
        <f>MIN($B$413:$Y$413)</f>
        <v>298.27</v>
      </c>
      <c r="AB413" s="25">
        <f>AVERAGE($B$413:$Y$413)</f>
        <v>333.37041666666698</v>
      </c>
    </row>
    <row r="414" spans="1:28">
      <c r="A414" s="30">
        <v>45704</v>
      </c>
      <c r="B414" s="19">
        <v>359.78</v>
      </c>
      <c r="C414" s="19">
        <v>357.04</v>
      </c>
      <c r="D414" s="19">
        <v>348.03</v>
      </c>
      <c r="E414" s="19">
        <v>329.54</v>
      </c>
      <c r="F414" s="19">
        <v>325.22000000000003</v>
      </c>
      <c r="G414" s="19">
        <v>323.52</v>
      </c>
      <c r="H414" s="19">
        <v>327.64999999999998</v>
      </c>
      <c r="I414" s="19">
        <v>328.66</v>
      </c>
      <c r="J414" s="19">
        <v>345.58</v>
      </c>
      <c r="K414" s="19">
        <v>333.24</v>
      </c>
      <c r="L414" s="19">
        <v>325.18</v>
      </c>
      <c r="M414" s="19">
        <v>321.52</v>
      </c>
      <c r="N414" s="19">
        <v>310.60000000000002</v>
      </c>
      <c r="O414" s="19">
        <v>311.5</v>
      </c>
      <c r="P414" s="19">
        <v>311.36</v>
      </c>
      <c r="Q414" s="19">
        <v>317.26</v>
      </c>
      <c r="R414" s="19">
        <v>326.51</v>
      </c>
      <c r="S414" s="19">
        <v>343.43</v>
      </c>
      <c r="T414" s="19">
        <v>358.97</v>
      </c>
      <c r="U414" s="19">
        <v>374.36</v>
      </c>
      <c r="V414" s="19">
        <v>359.29</v>
      </c>
      <c r="W414" s="19">
        <v>352.35</v>
      </c>
      <c r="X414" s="19">
        <v>340.77</v>
      </c>
      <c r="Y414" s="19">
        <v>317.81</v>
      </c>
      <c r="Z414" s="35" t="s">
        <v>37</v>
      </c>
      <c r="AA414" s="25">
        <f>MIN($B$414:$Y$414)</f>
        <v>310.60000000000002</v>
      </c>
      <c r="AB414" s="25">
        <f>AVERAGE($B$414:$Y$414)</f>
        <v>335.38208333333301</v>
      </c>
    </row>
    <row r="415" spans="1:28">
      <c r="A415" s="30">
        <v>45705</v>
      </c>
      <c r="B415" s="19">
        <v>321.73</v>
      </c>
      <c r="C415" s="19">
        <v>316.20999999999998</v>
      </c>
      <c r="D415" s="19">
        <v>298.01</v>
      </c>
      <c r="E415" s="19">
        <v>290.26</v>
      </c>
      <c r="F415" s="19">
        <v>282.81</v>
      </c>
      <c r="G415" s="19">
        <v>283.45</v>
      </c>
      <c r="H415" s="19">
        <v>300.11</v>
      </c>
      <c r="I415" s="19">
        <v>318.73</v>
      </c>
      <c r="J415" s="19">
        <v>380.15</v>
      </c>
      <c r="K415" s="19">
        <v>394.61</v>
      </c>
      <c r="L415" s="19">
        <v>362.51</v>
      </c>
      <c r="M415" s="19">
        <v>345.63</v>
      </c>
      <c r="N415" s="19">
        <v>293.66000000000003</v>
      </c>
      <c r="O415" s="19">
        <v>294.72000000000003</v>
      </c>
      <c r="P415" s="19">
        <v>305.37</v>
      </c>
      <c r="Q415" s="19">
        <v>314.45</v>
      </c>
      <c r="R415" s="19">
        <v>348.86</v>
      </c>
      <c r="S415" s="19">
        <v>374.34</v>
      </c>
      <c r="T415" s="19">
        <v>386.89</v>
      </c>
      <c r="U415" s="19">
        <v>398.12</v>
      </c>
      <c r="V415" s="19">
        <v>383.08</v>
      </c>
      <c r="W415" s="19">
        <v>358.4</v>
      </c>
      <c r="X415" s="19">
        <v>346.31</v>
      </c>
      <c r="Y415" s="19">
        <v>311.98</v>
      </c>
      <c r="Z415" s="32" t="s">
        <v>32</v>
      </c>
      <c r="AA415" s="25">
        <f>MIN($B$415:$Y$415)</f>
        <v>282.81</v>
      </c>
      <c r="AB415" s="25">
        <f>AVERAGE($B$415:$Y$415)</f>
        <v>333.76625000000001</v>
      </c>
    </row>
    <row r="416" spans="1:28">
      <c r="A416" s="30">
        <v>45706</v>
      </c>
      <c r="B416" s="19">
        <v>325.99</v>
      </c>
      <c r="C416" s="19">
        <v>320.49</v>
      </c>
      <c r="D416" s="19">
        <v>303.48</v>
      </c>
      <c r="E416" s="19">
        <v>296.08999999999997</v>
      </c>
      <c r="F416" s="19">
        <v>289.27</v>
      </c>
      <c r="G416" s="19">
        <v>289.77999999999997</v>
      </c>
      <c r="H416" s="19">
        <v>308.92</v>
      </c>
      <c r="I416" s="19">
        <v>324.73</v>
      </c>
      <c r="J416" s="19">
        <v>362.76</v>
      </c>
      <c r="K416" s="19">
        <v>370.18</v>
      </c>
      <c r="L416" s="19">
        <v>351.56</v>
      </c>
      <c r="M416" s="19">
        <v>334.23</v>
      </c>
      <c r="N416" s="19">
        <v>290.55</v>
      </c>
      <c r="O416" s="19">
        <v>293.91000000000003</v>
      </c>
      <c r="P416" s="19">
        <v>302.45999999999998</v>
      </c>
      <c r="Q416" s="19">
        <v>311.74</v>
      </c>
      <c r="R416" s="19">
        <v>344.21</v>
      </c>
      <c r="S416" s="19">
        <v>359.45</v>
      </c>
      <c r="T416" s="19">
        <v>420.92</v>
      </c>
      <c r="U416" s="19">
        <v>491.97</v>
      </c>
      <c r="V416" s="19">
        <v>412.39</v>
      </c>
      <c r="W416" s="19">
        <v>379.7</v>
      </c>
      <c r="X416" s="19">
        <v>354.22</v>
      </c>
      <c r="Y416" s="19">
        <v>311.20999999999998</v>
      </c>
      <c r="Z416" s="33" t="s">
        <v>32</v>
      </c>
      <c r="AA416" s="25">
        <f>MIN($B$416:$Y$416)</f>
        <v>289.27</v>
      </c>
      <c r="AB416" s="25">
        <f>AVERAGE($B$416:$Y$416)</f>
        <v>339.59208333333299</v>
      </c>
    </row>
    <row r="417" spans="1:28">
      <c r="A417" s="30">
        <v>45707</v>
      </c>
      <c r="B417" s="19">
        <v>317.42</v>
      </c>
      <c r="C417" s="19">
        <v>315.57</v>
      </c>
      <c r="D417" s="19">
        <v>301.18</v>
      </c>
      <c r="E417" s="19">
        <v>294.22000000000003</v>
      </c>
      <c r="F417" s="19">
        <v>287.92</v>
      </c>
      <c r="G417" s="19">
        <v>290.23</v>
      </c>
      <c r="H417" s="19">
        <v>310.45</v>
      </c>
      <c r="I417" s="19">
        <v>334.37</v>
      </c>
      <c r="J417" s="19">
        <v>487.82</v>
      </c>
      <c r="K417" s="19">
        <v>429.48</v>
      </c>
      <c r="L417" s="19">
        <v>363.07</v>
      </c>
      <c r="M417" s="19">
        <v>330.36</v>
      </c>
      <c r="N417" s="19">
        <v>285.20999999999998</v>
      </c>
      <c r="O417" s="19">
        <v>292.04000000000002</v>
      </c>
      <c r="P417" s="19">
        <v>305.10000000000002</v>
      </c>
      <c r="Q417" s="19">
        <v>321.31</v>
      </c>
      <c r="R417" s="19">
        <v>355.69</v>
      </c>
      <c r="S417" s="19">
        <v>384.33</v>
      </c>
      <c r="T417" s="19">
        <v>431.43</v>
      </c>
      <c r="U417" s="19">
        <v>485.34</v>
      </c>
      <c r="V417" s="19">
        <v>404.34</v>
      </c>
      <c r="W417" s="19">
        <v>380.66</v>
      </c>
      <c r="X417" s="19">
        <v>336.35</v>
      </c>
      <c r="Y417" s="19">
        <v>300.70999999999998</v>
      </c>
      <c r="Z417" s="32" t="s">
        <v>32</v>
      </c>
      <c r="AA417" s="25">
        <f>MIN($B$417:$Y$417)</f>
        <v>285.20999999999998</v>
      </c>
      <c r="AB417" s="25">
        <f>AVERAGE($B$417:$Y$417)</f>
        <v>347.691666666667</v>
      </c>
    </row>
    <row r="418" spans="1:28">
      <c r="A418" s="30">
        <v>45708</v>
      </c>
      <c r="B418" s="19">
        <v>321.22000000000003</v>
      </c>
      <c r="C418" s="19">
        <v>324.99</v>
      </c>
      <c r="D418" s="19">
        <v>314.35000000000002</v>
      </c>
      <c r="E418" s="19">
        <v>307.79000000000002</v>
      </c>
      <c r="F418" s="19">
        <v>303.04000000000002</v>
      </c>
      <c r="G418" s="19">
        <v>309.64999999999998</v>
      </c>
      <c r="H418" s="19">
        <v>336.52</v>
      </c>
      <c r="I418" s="19">
        <v>361.79</v>
      </c>
      <c r="J418" s="19">
        <v>455.73</v>
      </c>
      <c r="K418" s="19">
        <v>496.05</v>
      </c>
      <c r="L418" s="19">
        <v>364.78</v>
      </c>
      <c r="M418" s="19">
        <v>334.97</v>
      </c>
      <c r="N418" s="19">
        <v>290.33</v>
      </c>
      <c r="O418" s="19">
        <v>293.94</v>
      </c>
      <c r="P418" s="19">
        <v>309.45999999999998</v>
      </c>
      <c r="Q418" s="19">
        <v>319.94</v>
      </c>
      <c r="R418" s="19">
        <v>356.13</v>
      </c>
      <c r="S418" s="19">
        <v>384.54</v>
      </c>
      <c r="T418" s="19">
        <v>424.8</v>
      </c>
      <c r="U418" s="19">
        <v>475.79</v>
      </c>
      <c r="V418" s="19">
        <v>411.51</v>
      </c>
      <c r="W418" s="19">
        <v>388.35</v>
      </c>
      <c r="X418" s="19">
        <v>382.45</v>
      </c>
      <c r="Y418" s="19">
        <v>336.61</v>
      </c>
      <c r="Z418" s="33" t="s">
        <v>32</v>
      </c>
      <c r="AA418" s="25">
        <f>MIN($B$418:$Y$418)</f>
        <v>290.33</v>
      </c>
      <c r="AB418" s="25">
        <f>AVERAGE($B$418:$Y$418)</f>
        <v>358.53041666666701</v>
      </c>
    </row>
    <row r="419" spans="1:28">
      <c r="A419" s="30">
        <v>45709</v>
      </c>
      <c r="B419" s="19">
        <v>325.51</v>
      </c>
      <c r="C419" s="19">
        <v>331.45</v>
      </c>
      <c r="D419" s="19">
        <v>323.12</v>
      </c>
      <c r="E419" s="19">
        <v>314.83</v>
      </c>
      <c r="F419" s="19">
        <v>309.82</v>
      </c>
      <c r="G419" s="19">
        <v>310.20999999999998</v>
      </c>
      <c r="H419" s="19">
        <v>333.6</v>
      </c>
      <c r="I419" s="19">
        <v>362.29</v>
      </c>
      <c r="J419" s="19">
        <v>555.6</v>
      </c>
      <c r="K419" s="19">
        <v>499.89</v>
      </c>
      <c r="L419" s="19">
        <v>363.92</v>
      </c>
      <c r="M419" s="19">
        <v>336.21</v>
      </c>
      <c r="N419" s="19">
        <v>284.51</v>
      </c>
      <c r="O419" s="19">
        <v>293.18</v>
      </c>
      <c r="P419" s="19">
        <v>306.76</v>
      </c>
      <c r="Q419" s="19">
        <v>312.13</v>
      </c>
      <c r="R419" s="19">
        <v>362.55</v>
      </c>
      <c r="S419" s="19">
        <v>375.05</v>
      </c>
      <c r="T419" s="19">
        <v>400.46</v>
      </c>
      <c r="U419" s="19">
        <v>421.47</v>
      </c>
      <c r="V419" s="19">
        <v>378.44</v>
      </c>
      <c r="W419" s="19">
        <v>380.38</v>
      </c>
      <c r="X419" s="19">
        <v>368.96</v>
      </c>
      <c r="Y419" s="19">
        <v>328.17</v>
      </c>
      <c r="Z419" s="32" t="s">
        <v>32</v>
      </c>
      <c r="AA419" s="25">
        <f>MIN($B$419:$Y$419)</f>
        <v>284.51</v>
      </c>
      <c r="AB419" s="25">
        <f>AVERAGE($B$419:$Y$419)</f>
        <v>357.43791666666698</v>
      </c>
    </row>
    <row r="420" spans="1:28">
      <c r="A420" s="30">
        <v>45710</v>
      </c>
      <c r="B420" s="19">
        <v>337.37</v>
      </c>
      <c r="C420" s="19">
        <v>342.53</v>
      </c>
      <c r="D420" s="19">
        <v>335.45</v>
      </c>
      <c r="E420" s="19">
        <v>317</v>
      </c>
      <c r="F420" s="19">
        <v>307.35000000000002</v>
      </c>
      <c r="G420" s="19">
        <v>304.99</v>
      </c>
      <c r="H420" s="19">
        <v>325.77999999999997</v>
      </c>
      <c r="I420" s="19">
        <v>339.78</v>
      </c>
      <c r="J420" s="19">
        <v>369.89</v>
      </c>
      <c r="K420" s="19">
        <v>406.74</v>
      </c>
      <c r="L420" s="19">
        <v>373.36</v>
      </c>
      <c r="M420" s="19">
        <v>351.72</v>
      </c>
      <c r="N420" s="19">
        <v>291.17</v>
      </c>
      <c r="O420" s="19">
        <v>291.57</v>
      </c>
      <c r="P420" s="19">
        <v>306.79000000000002</v>
      </c>
      <c r="Q420" s="19">
        <v>328.16</v>
      </c>
      <c r="R420" s="19">
        <v>373.1</v>
      </c>
      <c r="S420" s="19">
        <v>375.58</v>
      </c>
      <c r="T420" s="19">
        <v>379.44</v>
      </c>
      <c r="U420" s="19">
        <v>378.89</v>
      </c>
      <c r="V420" s="19">
        <v>353.63</v>
      </c>
      <c r="W420" s="19">
        <v>351.24</v>
      </c>
      <c r="X420" s="19">
        <v>347.97</v>
      </c>
      <c r="Y420" s="19">
        <v>317.48</v>
      </c>
      <c r="Z420" s="36" t="s">
        <v>36</v>
      </c>
      <c r="AA420" s="25">
        <f>MIN($B$420:$Y$420)</f>
        <v>291.17</v>
      </c>
      <c r="AB420" s="25">
        <f>AVERAGE($B$420:$Y$420)</f>
        <v>341.95749999999998</v>
      </c>
    </row>
    <row r="421" spans="1:28">
      <c r="A421" s="30">
        <v>45711</v>
      </c>
      <c r="B421" s="19">
        <v>357.42</v>
      </c>
      <c r="C421" s="19">
        <v>390.49</v>
      </c>
      <c r="D421" s="19">
        <v>345.06</v>
      </c>
      <c r="E421" s="19">
        <v>326.48</v>
      </c>
      <c r="F421" s="19">
        <v>315.64999999999998</v>
      </c>
      <c r="G421" s="19">
        <v>313.89999999999998</v>
      </c>
      <c r="H421" s="19">
        <v>323.22000000000003</v>
      </c>
      <c r="I421" s="19">
        <v>324.87</v>
      </c>
      <c r="J421" s="19">
        <v>334.53</v>
      </c>
      <c r="K421" s="19">
        <v>386.39</v>
      </c>
      <c r="L421" s="19">
        <v>434.36</v>
      </c>
      <c r="M421" s="19">
        <v>505.9</v>
      </c>
      <c r="N421" s="19">
        <v>322.98</v>
      </c>
      <c r="O421" s="19">
        <v>316.5</v>
      </c>
      <c r="P421" s="19">
        <v>320.93</v>
      </c>
      <c r="Q421" s="19">
        <v>339.73</v>
      </c>
      <c r="R421" s="19">
        <v>381.77</v>
      </c>
      <c r="S421" s="19">
        <v>400.6</v>
      </c>
      <c r="T421" s="19">
        <v>392.16</v>
      </c>
      <c r="U421" s="19">
        <v>514.87</v>
      </c>
      <c r="V421" s="19">
        <v>453.24</v>
      </c>
      <c r="W421" s="19">
        <v>407.1</v>
      </c>
      <c r="X421" s="19">
        <v>381.43</v>
      </c>
      <c r="Y421" s="19">
        <v>324.92</v>
      </c>
      <c r="Z421" s="37" t="s">
        <v>37</v>
      </c>
      <c r="AA421" s="25">
        <f>MIN($B$421:$Y$421)</f>
        <v>313.89999999999998</v>
      </c>
      <c r="AB421" s="25">
        <f>AVERAGE($B$421:$Y$421)</f>
        <v>371.4375</v>
      </c>
    </row>
    <row r="422" spans="1:28">
      <c r="A422" s="30">
        <v>45712</v>
      </c>
      <c r="B422" s="19">
        <v>338.28</v>
      </c>
      <c r="C422" s="19">
        <v>339.73</v>
      </c>
      <c r="D422" s="19">
        <v>329.37</v>
      </c>
      <c r="E422" s="19">
        <v>314.18</v>
      </c>
      <c r="F422" s="19">
        <v>305.3</v>
      </c>
      <c r="G422" s="19">
        <v>305.06</v>
      </c>
      <c r="H422" s="19">
        <v>333.29</v>
      </c>
      <c r="I422" s="19">
        <v>351.47</v>
      </c>
      <c r="J422" s="19">
        <v>452.76</v>
      </c>
      <c r="K422" s="19">
        <v>533.19000000000005</v>
      </c>
      <c r="L422" s="19">
        <v>412.06</v>
      </c>
      <c r="M422" s="19">
        <v>408.4</v>
      </c>
      <c r="N422" s="19">
        <v>254.38</v>
      </c>
      <c r="O422" s="19">
        <v>301.02</v>
      </c>
      <c r="P422" s="19">
        <v>326.04000000000002</v>
      </c>
      <c r="Q422" s="19">
        <v>342.04</v>
      </c>
      <c r="R422" s="19">
        <v>384.12</v>
      </c>
      <c r="S422" s="19">
        <v>376.6</v>
      </c>
      <c r="T422" s="19">
        <v>374.19</v>
      </c>
      <c r="U422" s="19">
        <v>403.36</v>
      </c>
      <c r="V422" s="19">
        <v>386.97</v>
      </c>
      <c r="W422" s="19">
        <v>383.18</v>
      </c>
      <c r="X422" s="19">
        <v>388.04</v>
      </c>
      <c r="Y422" s="19">
        <v>347.91</v>
      </c>
      <c r="Z422" s="33" t="s">
        <v>32</v>
      </c>
      <c r="AA422" s="25">
        <f>MIN($B$422:$Y$422)</f>
        <v>254.38</v>
      </c>
      <c r="AB422" s="25">
        <f>AVERAGE($B$422:$Y$422)</f>
        <v>362.1225</v>
      </c>
    </row>
    <row r="423" spans="1:28">
      <c r="A423" s="30">
        <v>45713</v>
      </c>
      <c r="B423" s="19">
        <v>371.83</v>
      </c>
      <c r="C423" s="19">
        <v>358.79</v>
      </c>
      <c r="D423" s="19">
        <v>343.97</v>
      </c>
      <c r="E423" s="19">
        <v>314.08</v>
      </c>
      <c r="F423" s="19">
        <v>303.58999999999997</v>
      </c>
      <c r="G423" s="19">
        <v>306.82</v>
      </c>
      <c r="H423" s="19">
        <v>346.98</v>
      </c>
      <c r="I423" s="19">
        <v>370.31</v>
      </c>
      <c r="J423" s="19">
        <v>412.8</v>
      </c>
      <c r="K423" s="19">
        <v>447.28</v>
      </c>
      <c r="L423" s="19">
        <v>399.25</v>
      </c>
      <c r="M423" s="19">
        <v>437.12</v>
      </c>
      <c r="N423" s="19">
        <v>314.92</v>
      </c>
      <c r="O423" s="19">
        <v>324.92</v>
      </c>
      <c r="P423" s="19">
        <v>353.97</v>
      </c>
      <c r="Q423" s="19">
        <v>379.7</v>
      </c>
      <c r="R423" s="19">
        <v>493.55</v>
      </c>
      <c r="S423" s="19">
        <v>472.04</v>
      </c>
      <c r="T423" s="19">
        <v>480.22</v>
      </c>
      <c r="U423" s="19">
        <v>576.92999999999995</v>
      </c>
      <c r="V423" s="19">
        <v>544.54</v>
      </c>
      <c r="W423" s="19">
        <v>494.21</v>
      </c>
      <c r="X423" s="19">
        <v>423.03</v>
      </c>
      <c r="Y423" s="19">
        <v>352.04</v>
      </c>
      <c r="Z423" s="32" t="s">
        <v>32</v>
      </c>
      <c r="AA423" s="25">
        <f>MIN($B$423:$Y$423)</f>
        <v>303.58999999999997</v>
      </c>
      <c r="AB423" s="25">
        <f>AVERAGE($B$423:$Y$423)</f>
        <v>400.95375000000001</v>
      </c>
    </row>
    <row r="424" spans="1:28">
      <c r="A424" s="30">
        <v>45714</v>
      </c>
      <c r="B424" s="19">
        <v>412.04</v>
      </c>
      <c r="C424" s="19">
        <v>451.2</v>
      </c>
      <c r="D424" s="19">
        <v>368.64</v>
      </c>
      <c r="E424" s="19">
        <v>342.24</v>
      </c>
      <c r="F424" s="19">
        <v>333.01</v>
      </c>
      <c r="G424" s="19">
        <v>335.56</v>
      </c>
      <c r="H424" s="19">
        <v>401.52</v>
      </c>
      <c r="I424" s="19">
        <v>428.66</v>
      </c>
      <c r="J424" s="19">
        <v>468.06</v>
      </c>
      <c r="K424" s="19">
        <v>588.39</v>
      </c>
      <c r="L424" s="19">
        <v>504.29</v>
      </c>
      <c r="M424" s="19">
        <v>560.66</v>
      </c>
      <c r="N424" s="19">
        <v>319.39999999999998</v>
      </c>
      <c r="O424" s="19">
        <v>325.87</v>
      </c>
      <c r="P424" s="19">
        <v>338.45</v>
      </c>
      <c r="Q424" s="19">
        <v>350.18</v>
      </c>
      <c r="R424" s="19">
        <v>364.09</v>
      </c>
      <c r="S424" s="19">
        <v>415.24</v>
      </c>
      <c r="T424" s="19">
        <v>414.53</v>
      </c>
      <c r="U424" s="19">
        <v>464.46</v>
      </c>
      <c r="V424" s="19">
        <v>418.53</v>
      </c>
      <c r="W424" s="19">
        <v>429.84</v>
      </c>
      <c r="X424" s="19">
        <v>400.99</v>
      </c>
      <c r="Y424" s="19">
        <v>337.62</v>
      </c>
      <c r="Z424" s="33" t="s">
        <v>32</v>
      </c>
      <c r="AA424" s="25">
        <f>MIN($B$424:$Y$424)</f>
        <v>319.39999999999998</v>
      </c>
      <c r="AB424" s="25">
        <f>AVERAGE($B$424:$Y$424)</f>
        <v>407.227916666667</v>
      </c>
    </row>
    <row r="425" spans="1:28">
      <c r="A425" s="30">
        <v>45715</v>
      </c>
      <c r="B425" s="19">
        <v>497.31</v>
      </c>
      <c r="C425" s="19">
        <v>532.37</v>
      </c>
      <c r="D425" s="19">
        <v>403.48</v>
      </c>
      <c r="E425" s="19">
        <v>359.28</v>
      </c>
      <c r="F425" s="19">
        <v>341.81</v>
      </c>
      <c r="G425" s="19">
        <v>342.01</v>
      </c>
      <c r="H425" s="19">
        <v>450.75</v>
      </c>
      <c r="I425" s="19">
        <v>484.81</v>
      </c>
      <c r="J425" s="19">
        <v>544.46</v>
      </c>
      <c r="K425" s="19">
        <v>580.54</v>
      </c>
      <c r="L425" s="19">
        <v>570.87</v>
      </c>
      <c r="M425" s="19">
        <v>572.79999999999995</v>
      </c>
      <c r="N425" s="19">
        <v>345.94</v>
      </c>
      <c r="O425" s="19">
        <v>354.57</v>
      </c>
      <c r="P425" s="19">
        <v>367.77</v>
      </c>
      <c r="Q425" s="19">
        <v>415.06</v>
      </c>
      <c r="R425" s="19">
        <v>534.5</v>
      </c>
      <c r="S425" s="19">
        <v>571.37</v>
      </c>
      <c r="T425" s="19">
        <v>601.58000000000004</v>
      </c>
      <c r="U425" s="19">
        <v>616.33000000000004</v>
      </c>
      <c r="V425" s="19">
        <v>583.1</v>
      </c>
      <c r="W425" s="19">
        <v>559.9</v>
      </c>
      <c r="X425" s="19">
        <v>546.16999999999996</v>
      </c>
      <c r="Y425" s="19">
        <v>385.47</v>
      </c>
      <c r="Z425" s="32" t="s">
        <v>32</v>
      </c>
      <c r="AA425" s="25">
        <f>MIN($B$425:$Y$425)</f>
        <v>341.81</v>
      </c>
      <c r="AB425" s="25">
        <f>AVERAGE($B$425:$Y$425)</f>
        <v>481.76041666666703</v>
      </c>
    </row>
    <row r="426" spans="1:28">
      <c r="A426" s="30">
        <v>45716</v>
      </c>
      <c r="B426" s="19">
        <v>380.29</v>
      </c>
      <c r="C426" s="19">
        <v>370.55</v>
      </c>
      <c r="D426" s="19">
        <v>352.58</v>
      </c>
      <c r="E426" s="19">
        <v>336.39</v>
      </c>
      <c r="F426" s="19">
        <v>320.76</v>
      </c>
      <c r="G426" s="19">
        <v>313.89</v>
      </c>
      <c r="H426" s="19">
        <v>336.8</v>
      </c>
      <c r="I426" s="19">
        <v>377.72</v>
      </c>
      <c r="J426" s="19">
        <v>459.49</v>
      </c>
      <c r="K426" s="19">
        <v>506.68</v>
      </c>
      <c r="L426" s="19">
        <v>453</v>
      </c>
      <c r="M426" s="19">
        <v>401.58</v>
      </c>
      <c r="N426" s="19">
        <v>305.48</v>
      </c>
      <c r="O426" s="19">
        <v>313.52</v>
      </c>
      <c r="P426" s="19">
        <v>328.72</v>
      </c>
      <c r="Q426" s="19">
        <v>341.14</v>
      </c>
      <c r="R426" s="19">
        <v>384.75</v>
      </c>
      <c r="S426" s="19">
        <v>403.12</v>
      </c>
      <c r="T426" s="19">
        <v>391.44</v>
      </c>
      <c r="U426" s="19">
        <v>421.47</v>
      </c>
      <c r="V426" s="19">
        <v>435.51</v>
      </c>
      <c r="W426" s="19">
        <v>397.13</v>
      </c>
      <c r="X426" s="19">
        <v>363.62</v>
      </c>
      <c r="Y426" s="19">
        <v>328.23</v>
      </c>
      <c r="Z426" s="33" t="s">
        <v>32</v>
      </c>
      <c r="AA426" s="25">
        <f>MIN($B$426:$Y$426)</f>
        <v>305.48</v>
      </c>
      <c r="AB426" s="25">
        <f>AVERAGE($B$426:$Y$426)</f>
        <v>375.99416666666701</v>
      </c>
    </row>
    <row r="427" spans="1:28">
      <c r="A427" s="30">
        <v>45717</v>
      </c>
      <c r="B427" s="19">
        <v>328.42</v>
      </c>
      <c r="C427" s="19">
        <v>324.18</v>
      </c>
      <c r="D427" s="19">
        <v>308.89</v>
      </c>
      <c r="E427" s="19">
        <v>300.88</v>
      </c>
      <c r="F427" s="19">
        <v>297.43</v>
      </c>
      <c r="G427" s="19">
        <v>296.77999999999997</v>
      </c>
      <c r="H427" s="19">
        <v>307.49</v>
      </c>
      <c r="I427" s="19">
        <v>315.42</v>
      </c>
      <c r="J427" s="19">
        <v>347.25</v>
      </c>
      <c r="K427" s="19">
        <v>357.5</v>
      </c>
      <c r="L427" s="19">
        <v>362.4</v>
      </c>
      <c r="M427" s="19">
        <v>345.63</v>
      </c>
      <c r="N427" s="19">
        <v>290.36</v>
      </c>
      <c r="O427" s="19">
        <v>300.31</v>
      </c>
      <c r="P427" s="19">
        <v>316.38</v>
      </c>
      <c r="Q427" s="19">
        <v>313.83</v>
      </c>
      <c r="R427" s="19">
        <v>337.26</v>
      </c>
      <c r="S427" s="19">
        <v>362.1</v>
      </c>
      <c r="T427" s="19">
        <v>408.96</v>
      </c>
      <c r="U427" s="19">
        <v>428.04</v>
      </c>
      <c r="V427" s="19">
        <v>396.64</v>
      </c>
      <c r="W427" s="19">
        <v>405.23</v>
      </c>
      <c r="X427" s="19">
        <v>346.54</v>
      </c>
      <c r="Y427" s="19">
        <v>307.51</v>
      </c>
      <c r="Z427" s="36" t="s">
        <v>36</v>
      </c>
      <c r="AA427" s="25">
        <f>MIN($B$427:$Y$427)</f>
        <v>290.36</v>
      </c>
      <c r="AB427" s="25">
        <f>AVERAGE($B$427:$Y$427)</f>
        <v>337.72624999999999</v>
      </c>
    </row>
    <row r="428" spans="1:28">
      <c r="A428" s="30">
        <v>45718</v>
      </c>
      <c r="B428" s="19">
        <v>341.61</v>
      </c>
      <c r="C428" s="19">
        <v>323.67</v>
      </c>
      <c r="D428" s="19">
        <v>308.56</v>
      </c>
      <c r="E428" s="19">
        <v>303.41000000000003</v>
      </c>
      <c r="F428" s="19">
        <v>300.38</v>
      </c>
      <c r="G428" s="19">
        <v>300.45999999999998</v>
      </c>
      <c r="H428" s="19">
        <v>302.98</v>
      </c>
      <c r="I428" s="19">
        <v>304.32</v>
      </c>
      <c r="J428" s="19">
        <v>304.56</v>
      </c>
      <c r="K428" s="19">
        <v>309.64999999999998</v>
      </c>
      <c r="L428" s="19">
        <v>307.66000000000003</v>
      </c>
      <c r="M428" s="19">
        <v>309.64</v>
      </c>
      <c r="N428" s="19">
        <v>294.33999999999997</v>
      </c>
      <c r="O428" s="19">
        <v>288.86</v>
      </c>
      <c r="P428" s="19">
        <v>290.31</v>
      </c>
      <c r="Q428" s="19">
        <v>296.98</v>
      </c>
      <c r="R428" s="19">
        <v>313.24</v>
      </c>
      <c r="S428" s="19">
        <v>352.99</v>
      </c>
      <c r="T428" s="19">
        <v>362.44</v>
      </c>
      <c r="U428" s="19">
        <v>376.09</v>
      </c>
      <c r="V428" s="19">
        <v>374.3</v>
      </c>
      <c r="W428" s="19">
        <v>372.51</v>
      </c>
      <c r="X428" s="19">
        <v>341.39</v>
      </c>
      <c r="Y428" s="19">
        <v>311.89</v>
      </c>
      <c r="Z428" s="37" t="s">
        <v>37</v>
      </c>
      <c r="AA428" s="25">
        <f>MIN($B$428:$Y$428)</f>
        <v>288.86</v>
      </c>
      <c r="AB428" s="25">
        <f>AVERAGE($B$428:$Y$428)</f>
        <v>320.51</v>
      </c>
    </row>
    <row r="429" spans="1:28">
      <c r="A429" s="30">
        <v>45719</v>
      </c>
      <c r="B429" s="19">
        <v>312.07</v>
      </c>
      <c r="C429" s="19">
        <v>322.12</v>
      </c>
      <c r="D429" s="19">
        <v>310.58999999999997</v>
      </c>
      <c r="E429" s="19">
        <v>305.08</v>
      </c>
      <c r="F429" s="19">
        <v>302.41000000000003</v>
      </c>
      <c r="G429" s="19">
        <v>304.22000000000003</v>
      </c>
      <c r="H429" s="19">
        <v>317.39</v>
      </c>
      <c r="I429" s="19">
        <v>333.29</v>
      </c>
      <c r="J429" s="19">
        <v>459.65</v>
      </c>
      <c r="K429" s="19">
        <v>600.25</v>
      </c>
      <c r="L429" s="19">
        <v>442.15</v>
      </c>
      <c r="M429" s="19">
        <v>570</v>
      </c>
      <c r="N429" s="19">
        <v>359.08</v>
      </c>
      <c r="O429" s="19">
        <v>413</v>
      </c>
      <c r="P429" s="19">
        <v>402.84</v>
      </c>
      <c r="Q429" s="19">
        <v>363.2</v>
      </c>
      <c r="R429" s="19">
        <v>406.99</v>
      </c>
      <c r="S429" s="19">
        <v>462.03</v>
      </c>
      <c r="T429" s="19">
        <v>483.29</v>
      </c>
      <c r="U429" s="19">
        <v>455.86</v>
      </c>
      <c r="V429" s="19">
        <v>391.57</v>
      </c>
      <c r="W429" s="19">
        <v>383.12</v>
      </c>
      <c r="X429" s="19">
        <v>376.04</v>
      </c>
      <c r="Y429" s="19">
        <v>334.11</v>
      </c>
      <c r="Z429" s="33" t="s">
        <v>32</v>
      </c>
      <c r="AA429" s="25">
        <f>MIN($B$429:$Y$429)</f>
        <v>302.41000000000003</v>
      </c>
      <c r="AB429" s="25">
        <f>AVERAGE($B$429:$Y$429)</f>
        <v>392.097916666667</v>
      </c>
    </row>
    <row r="430" spans="1:28">
      <c r="A430" s="30">
        <v>45720</v>
      </c>
      <c r="B430" s="19">
        <v>351.13</v>
      </c>
      <c r="C430" s="19">
        <v>352.51</v>
      </c>
      <c r="D430" s="19">
        <v>333.23</v>
      </c>
      <c r="E430" s="19">
        <v>318.49</v>
      </c>
      <c r="F430" s="19">
        <v>309.04000000000002</v>
      </c>
      <c r="G430" s="19">
        <v>308.98</v>
      </c>
      <c r="H430" s="19">
        <v>325.38</v>
      </c>
      <c r="I430" s="19">
        <v>343.07</v>
      </c>
      <c r="J430" s="19">
        <v>386.93</v>
      </c>
      <c r="K430" s="19">
        <v>416.37</v>
      </c>
      <c r="L430" s="19">
        <v>366.6</v>
      </c>
      <c r="M430" s="19">
        <v>359.6</v>
      </c>
      <c r="N430" s="19">
        <v>306.19</v>
      </c>
      <c r="O430" s="19">
        <v>314.86</v>
      </c>
      <c r="P430" s="19">
        <v>316.82</v>
      </c>
      <c r="Q430" s="19">
        <v>318.97000000000003</v>
      </c>
      <c r="R430" s="19">
        <v>356.42</v>
      </c>
      <c r="S430" s="19">
        <v>386.26</v>
      </c>
      <c r="T430" s="19">
        <v>376.56</v>
      </c>
      <c r="U430" s="19">
        <v>417.22</v>
      </c>
      <c r="V430" s="19">
        <v>382.87</v>
      </c>
      <c r="W430" s="19">
        <v>364.12</v>
      </c>
      <c r="X430" s="19">
        <v>345.75</v>
      </c>
      <c r="Y430" s="19">
        <v>303.31</v>
      </c>
      <c r="Z430" s="32" t="s">
        <v>32</v>
      </c>
      <c r="AA430" s="25">
        <f>MIN($B$430:$Y$430)</f>
        <v>303.31</v>
      </c>
      <c r="AB430" s="25">
        <f>AVERAGE($B$430:$Y$430)</f>
        <v>348.36166666666702</v>
      </c>
    </row>
    <row r="431" spans="1:28">
      <c r="A431" s="30">
        <v>45721</v>
      </c>
      <c r="B431" s="19">
        <v>327.39999999999998</v>
      </c>
      <c r="C431" s="19">
        <v>323.49</v>
      </c>
      <c r="D431" s="19">
        <v>304.39</v>
      </c>
      <c r="E431" s="19">
        <v>295.64999999999998</v>
      </c>
      <c r="F431" s="19">
        <v>288.69</v>
      </c>
      <c r="G431" s="19">
        <v>288.52</v>
      </c>
      <c r="H431" s="19">
        <v>306.20999999999998</v>
      </c>
      <c r="I431" s="19">
        <v>327.76</v>
      </c>
      <c r="J431" s="19">
        <v>399.99</v>
      </c>
      <c r="K431" s="19">
        <v>459.73</v>
      </c>
      <c r="L431" s="19">
        <v>384.5</v>
      </c>
      <c r="M431" s="19">
        <v>356.44</v>
      </c>
      <c r="N431" s="19">
        <v>298.29000000000002</v>
      </c>
      <c r="O431" s="19">
        <v>308.56</v>
      </c>
      <c r="P431" s="19">
        <v>310.26</v>
      </c>
      <c r="Q431" s="19">
        <v>325.8</v>
      </c>
      <c r="R431" s="19">
        <v>354.58</v>
      </c>
      <c r="S431" s="19">
        <v>364.09</v>
      </c>
      <c r="T431" s="19">
        <v>372.47</v>
      </c>
      <c r="U431" s="19">
        <v>431.33</v>
      </c>
      <c r="V431" s="19">
        <v>420.52</v>
      </c>
      <c r="W431" s="19">
        <v>383.52</v>
      </c>
      <c r="X431" s="19">
        <v>343.86</v>
      </c>
      <c r="Y431" s="19">
        <v>301.97000000000003</v>
      </c>
      <c r="Z431" s="33" t="s">
        <v>32</v>
      </c>
      <c r="AA431" s="25">
        <f>MIN($B$431:$Y$431)</f>
        <v>288.52</v>
      </c>
      <c r="AB431" s="25">
        <f>AVERAGE($B$431:$Y$431)</f>
        <v>344.91750000000002</v>
      </c>
    </row>
    <row r="432" spans="1:28">
      <c r="A432" s="30">
        <v>45722</v>
      </c>
      <c r="B432" s="19">
        <v>311.79000000000002</v>
      </c>
      <c r="C432" s="19">
        <v>307.8</v>
      </c>
      <c r="D432" s="19">
        <v>298.23</v>
      </c>
      <c r="E432" s="19">
        <v>289.82</v>
      </c>
      <c r="F432" s="19">
        <v>285.08999999999997</v>
      </c>
      <c r="G432" s="19">
        <v>287.85000000000002</v>
      </c>
      <c r="H432" s="19">
        <v>303.95999999999998</v>
      </c>
      <c r="I432" s="19">
        <v>320.95999999999998</v>
      </c>
      <c r="J432" s="19">
        <v>386.69</v>
      </c>
      <c r="K432" s="19">
        <v>470.07</v>
      </c>
      <c r="L432" s="19">
        <v>422.67</v>
      </c>
      <c r="M432" s="19">
        <v>420.94</v>
      </c>
      <c r="N432" s="19">
        <v>326.05</v>
      </c>
      <c r="O432" s="19">
        <v>341.17</v>
      </c>
      <c r="P432" s="19">
        <v>354.12</v>
      </c>
      <c r="Q432" s="19">
        <v>373.06</v>
      </c>
      <c r="R432" s="19">
        <v>392.11</v>
      </c>
      <c r="S432" s="19">
        <v>395.84</v>
      </c>
      <c r="T432" s="19">
        <v>407.87</v>
      </c>
      <c r="U432" s="19">
        <v>440.67</v>
      </c>
      <c r="V432" s="19">
        <v>437.77</v>
      </c>
      <c r="W432" s="19">
        <v>399.07</v>
      </c>
      <c r="X432" s="19">
        <v>388.43</v>
      </c>
      <c r="Y432" s="19">
        <v>323.13</v>
      </c>
      <c r="Z432" s="32" t="s">
        <v>32</v>
      </c>
      <c r="AA432" s="25">
        <f>MIN($B$432:$Y$432)</f>
        <v>285.08999999999997</v>
      </c>
      <c r="AB432" s="25">
        <f>AVERAGE($B$432:$Y$432)</f>
        <v>361.881666666667</v>
      </c>
    </row>
    <row r="433" spans="1:28">
      <c r="A433" s="30">
        <v>45723</v>
      </c>
      <c r="B433" s="19">
        <v>326.82</v>
      </c>
      <c r="C433" s="19">
        <v>333.78</v>
      </c>
      <c r="D433" s="19">
        <v>313.77</v>
      </c>
      <c r="E433" s="19">
        <v>302.08999999999997</v>
      </c>
      <c r="F433" s="19">
        <v>297.13</v>
      </c>
      <c r="G433" s="19">
        <v>298.91000000000003</v>
      </c>
      <c r="H433" s="19">
        <v>328.9</v>
      </c>
      <c r="I433" s="19">
        <v>357.8</v>
      </c>
      <c r="J433" s="19">
        <v>457</v>
      </c>
      <c r="K433" s="19">
        <v>524.76</v>
      </c>
      <c r="L433" s="19">
        <v>442.73</v>
      </c>
      <c r="M433" s="19">
        <v>440.05</v>
      </c>
      <c r="N433" s="19">
        <v>335.35</v>
      </c>
      <c r="O433" s="19">
        <v>376.32</v>
      </c>
      <c r="P433" s="19">
        <v>388.63</v>
      </c>
      <c r="Q433" s="19">
        <v>381.27</v>
      </c>
      <c r="R433" s="19">
        <v>388.58</v>
      </c>
      <c r="S433" s="19">
        <v>395.64</v>
      </c>
      <c r="T433" s="19">
        <v>401.72</v>
      </c>
      <c r="U433" s="19">
        <v>436.69</v>
      </c>
      <c r="V433" s="19">
        <v>439.5</v>
      </c>
      <c r="W433" s="19">
        <v>398.51</v>
      </c>
      <c r="X433" s="19">
        <v>384.57</v>
      </c>
      <c r="Y433" s="19">
        <v>342.1</v>
      </c>
      <c r="Z433" s="33" t="s">
        <v>32</v>
      </c>
      <c r="AA433" s="25">
        <f>MIN($B$433:$Y$433)</f>
        <v>297.13</v>
      </c>
      <c r="AB433" s="25">
        <f>AVERAGE($B$433:$Y$433)</f>
        <v>378.85916666666702</v>
      </c>
    </row>
    <row r="434" spans="1:28">
      <c r="A434" s="30">
        <v>45724</v>
      </c>
      <c r="B434" s="19">
        <v>378.14</v>
      </c>
      <c r="C434" s="19">
        <v>390.77</v>
      </c>
      <c r="D434" s="19">
        <v>344.16</v>
      </c>
      <c r="E434" s="19">
        <v>323.77999999999997</v>
      </c>
      <c r="F434" s="19">
        <v>312.99</v>
      </c>
      <c r="G434" s="19">
        <v>315.85000000000002</v>
      </c>
      <c r="H434" s="19">
        <v>335.15</v>
      </c>
      <c r="I434" s="19">
        <v>355.03</v>
      </c>
      <c r="J434" s="19">
        <v>399.32</v>
      </c>
      <c r="K434" s="19">
        <v>463.82</v>
      </c>
      <c r="L434" s="19">
        <v>419.1</v>
      </c>
      <c r="M434" s="19">
        <v>415.19</v>
      </c>
      <c r="N434" s="19">
        <v>314.94</v>
      </c>
      <c r="O434" s="19">
        <v>326.64999999999998</v>
      </c>
      <c r="P434" s="19">
        <v>349.36</v>
      </c>
      <c r="Q434" s="19">
        <v>378.58</v>
      </c>
      <c r="R434" s="19">
        <v>417.35</v>
      </c>
      <c r="S434" s="19">
        <v>424.01</v>
      </c>
      <c r="T434" s="19">
        <v>412.96</v>
      </c>
      <c r="U434" s="19">
        <v>447.16</v>
      </c>
      <c r="V434" s="19">
        <v>415.37</v>
      </c>
      <c r="W434" s="19">
        <v>395.33</v>
      </c>
      <c r="X434" s="19">
        <v>396.17</v>
      </c>
      <c r="Y434" s="19">
        <v>337.32</v>
      </c>
      <c r="Z434" s="34" t="s">
        <v>36</v>
      </c>
      <c r="AA434" s="25">
        <f>MIN($B$434:$Y$434)</f>
        <v>312.99</v>
      </c>
      <c r="AB434" s="25">
        <f>AVERAGE($B$434:$Y$434)</f>
        <v>377.85416666666703</v>
      </c>
    </row>
    <row r="435" spans="1:28">
      <c r="A435" s="30">
        <v>45725</v>
      </c>
      <c r="B435" s="19">
        <v>344</v>
      </c>
      <c r="C435" s="19">
        <v>419.53</v>
      </c>
      <c r="D435" s="19">
        <v>363.86</v>
      </c>
      <c r="E435" s="19">
        <v>321.63</v>
      </c>
      <c r="F435" s="19">
        <v>310.45999999999998</v>
      </c>
      <c r="G435" s="19">
        <v>308.14</v>
      </c>
      <c r="H435" s="19">
        <v>315.91000000000003</v>
      </c>
      <c r="I435" s="19">
        <v>312.3</v>
      </c>
      <c r="J435" s="19">
        <v>299.89999999999998</v>
      </c>
      <c r="K435" s="19">
        <v>309.45</v>
      </c>
      <c r="L435" s="19">
        <v>296.47000000000003</v>
      </c>
      <c r="M435" s="19">
        <v>315.35000000000002</v>
      </c>
      <c r="N435" s="19">
        <v>283.81</v>
      </c>
      <c r="O435" s="19">
        <v>290.14999999999998</v>
      </c>
      <c r="P435" s="19">
        <v>282.42</v>
      </c>
      <c r="Q435" s="19">
        <v>290.33999999999997</v>
      </c>
      <c r="R435" s="19">
        <v>317.89999999999998</v>
      </c>
      <c r="S435" s="19">
        <v>340.28</v>
      </c>
      <c r="T435" s="19">
        <v>359.25</v>
      </c>
      <c r="U435" s="19">
        <v>410.51</v>
      </c>
      <c r="V435" s="19">
        <v>418.56</v>
      </c>
      <c r="W435" s="19">
        <v>396.7</v>
      </c>
      <c r="X435" s="19">
        <v>362.74</v>
      </c>
      <c r="Y435" s="19">
        <v>312.55</v>
      </c>
      <c r="Z435" s="35" t="s">
        <v>37</v>
      </c>
      <c r="AA435" s="25">
        <f>MIN($B$435:$Y$435)</f>
        <v>282.42</v>
      </c>
      <c r="AB435" s="25">
        <f>AVERAGE($B$435:$Y$435)</f>
        <v>332.59208333333299</v>
      </c>
    </row>
    <row r="436" spans="1:28">
      <c r="A436" s="30">
        <v>45726</v>
      </c>
      <c r="B436" s="19">
        <v>329.9</v>
      </c>
      <c r="C436" s="19">
        <v>329.63</v>
      </c>
      <c r="D436" s="19">
        <v>321.27</v>
      </c>
      <c r="E436" s="19">
        <v>306.70999999999998</v>
      </c>
      <c r="F436" s="19">
        <v>281.66000000000003</v>
      </c>
      <c r="G436" s="19">
        <v>283.36</v>
      </c>
      <c r="H436" s="19">
        <v>322.27</v>
      </c>
      <c r="I436" s="19">
        <v>347.03</v>
      </c>
      <c r="J436" s="19">
        <v>396.61</v>
      </c>
      <c r="K436" s="19">
        <v>465.89</v>
      </c>
      <c r="L436" s="19">
        <v>408.87</v>
      </c>
      <c r="M436" s="19">
        <v>439.41</v>
      </c>
      <c r="N436" s="19">
        <v>329.65</v>
      </c>
      <c r="O436" s="19">
        <v>353.19</v>
      </c>
      <c r="P436" s="19">
        <v>375.86</v>
      </c>
      <c r="Q436" s="19">
        <v>390.02</v>
      </c>
      <c r="R436" s="19">
        <v>439.97</v>
      </c>
      <c r="S436" s="19">
        <v>421.37</v>
      </c>
      <c r="T436" s="19">
        <v>433.82</v>
      </c>
      <c r="U436" s="19">
        <v>477.71</v>
      </c>
      <c r="V436" s="19">
        <v>443.12</v>
      </c>
      <c r="W436" s="19">
        <v>420.46</v>
      </c>
      <c r="X436" s="19">
        <v>413.11</v>
      </c>
      <c r="Y436" s="19">
        <v>340.55</v>
      </c>
      <c r="Z436" s="32" t="s">
        <v>32</v>
      </c>
      <c r="AA436" s="25">
        <f>MIN($B$436:$Y$436)</f>
        <v>281.66000000000003</v>
      </c>
      <c r="AB436" s="25">
        <f>AVERAGE($B$436:$Y$436)</f>
        <v>377.97666666666697</v>
      </c>
    </row>
    <row r="437" spans="1:28">
      <c r="A437" s="30">
        <v>45727</v>
      </c>
      <c r="B437" s="19">
        <v>335.32</v>
      </c>
      <c r="C437" s="19">
        <v>356.24</v>
      </c>
      <c r="D437" s="19">
        <v>342.28</v>
      </c>
      <c r="E437" s="19">
        <v>330.16</v>
      </c>
      <c r="F437" s="19">
        <v>321.41000000000003</v>
      </c>
      <c r="G437" s="19">
        <v>323.43</v>
      </c>
      <c r="H437" s="19">
        <v>346.24</v>
      </c>
      <c r="I437" s="19">
        <v>369.69</v>
      </c>
      <c r="J437" s="19">
        <v>388.38</v>
      </c>
      <c r="K437" s="19">
        <v>435.62</v>
      </c>
      <c r="L437" s="19">
        <v>376.03</v>
      </c>
      <c r="M437" s="19">
        <v>394.38</v>
      </c>
      <c r="N437" s="19">
        <v>313.85000000000002</v>
      </c>
      <c r="O437" s="19">
        <v>323.91000000000003</v>
      </c>
      <c r="P437" s="19">
        <v>329.44</v>
      </c>
      <c r="Q437" s="19">
        <v>344.62</v>
      </c>
      <c r="R437" s="19">
        <v>379.58</v>
      </c>
      <c r="S437" s="19">
        <v>371.35</v>
      </c>
      <c r="T437" s="19">
        <v>394.58</v>
      </c>
      <c r="U437" s="19">
        <v>423.07</v>
      </c>
      <c r="V437" s="19">
        <v>400.27</v>
      </c>
      <c r="W437" s="19">
        <v>398.46</v>
      </c>
      <c r="X437" s="19">
        <v>384.6</v>
      </c>
      <c r="Y437" s="19">
        <v>341.64</v>
      </c>
      <c r="Z437" s="33" t="s">
        <v>32</v>
      </c>
      <c r="AA437" s="25">
        <f>MIN($B$437:$Y$437)</f>
        <v>313.85000000000002</v>
      </c>
      <c r="AB437" s="25">
        <f>AVERAGE($B$437:$Y$437)</f>
        <v>363.52291666666702</v>
      </c>
    </row>
    <row r="438" spans="1:28">
      <c r="A438" s="30">
        <v>45728</v>
      </c>
      <c r="B438" s="19">
        <v>362.97</v>
      </c>
      <c r="C438" s="19">
        <v>394.7</v>
      </c>
      <c r="D438" s="19">
        <v>364.8</v>
      </c>
      <c r="E438" s="19">
        <v>346.67</v>
      </c>
      <c r="F438" s="19">
        <v>336.8</v>
      </c>
      <c r="G438" s="19">
        <v>337.64</v>
      </c>
      <c r="H438" s="19">
        <v>375.6</v>
      </c>
      <c r="I438" s="19">
        <v>388.22</v>
      </c>
      <c r="J438" s="19">
        <v>433.76</v>
      </c>
      <c r="K438" s="19">
        <v>553.11</v>
      </c>
      <c r="L438" s="19">
        <v>417.73</v>
      </c>
      <c r="M438" s="19">
        <v>387.37</v>
      </c>
      <c r="N438" s="19">
        <v>325.3</v>
      </c>
      <c r="O438" s="19">
        <v>334.33</v>
      </c>
      <c r="P438" s="19">
        <v>349.73</v>
      </c>
      <c r="Q438" s="19">
        <v>373.64</v>
      </c>
      <c r="R438" s="19">
        <v>431.93</v>
      </c>
      <c r="S438" s="19">
        <v>412.61</v>
      </c>
      <c r="T438" s="19">
        <v>424.81</v>
      </c>
      <c r="U438" s="19">
        <v>438.37</v>
      </c>
      <c r="V438" s="19">
        <v>418.06</v>
      </c>
      <c r="W438" s="19">
        <v>423.75</v>
      </c>
      <c r="X438" s="19">
        <v>381.93</v>
      </c>
      <c r="Y438" s="19">
        <v>345.49</v>
      </c>
      <c r="Z438" s="32" t="s">
        <v>32</v>
      </c>
      <c r="AA438" s="25">
        <f>MIN($B$438:$Y$438)</f>
        <v>325.3</v>
      </c>
      <c r="AB438" s="25">
        <f>AVERAGE($B$438:$Y$438)</f>
        <v>389.97166666666698</v>
      </c>
    </row>
    <row r="439" spans="1:28">
      <c r="A439" s="30">
        <v>45729</v>
      </c>
      <c r="B439" s="19">
        <v>369.74</v>
      </c>
      <c r="C439" s="19">
        <v>392.19</v>
      </c>
      <c r="D439" s="19">
        <v>400.01</v>
      </c>
      <c r="E439" s="19">
        <v>382.63</v>
      </c>
      <c r="F439" s="19">
        <v>364.68</v>
      </c>
      <c r="G439" s="19">
        <v>359.46</v>
      </c>
      <c r="H439" s="19">
        <v>407.49</v>
      </c>
      <c r="I439" s="19">
        <v>392.14</v>
      </c>
      <c r="J439" s="19">
        <v>388.47</v>
      </c>
      <c r="K439" s="19">
        <v>414.76</v>
      </c>
      <c r="L439" s="19">
        <v>386.13</v>
      </c>
      <c r="M439" s="19">
        <v>413.75</v>
      </c>
      <c r="N439" s="19">
        <v>333.17</v>
      </c>
      <c r="O439" s="19">
        <v>350.75</v>
      </c>
      <c r="P439" s="19">
        <v>370.41</v>
      </c>
      <c r="Q439" s="19">
        <v>369.2</v>
      </c>
      <c r="R439" s="19">
        <v>380.55</v>
      </c>
      <c r="S439" s="19">
        <v>369.33</v>
      </c>
      <c r="T439" s="19">
        <v>379.34</v>
      </c>
      <c r="U439" s="19">
        <v>399.86</v>
      </c>
      <c r="V439" s="19">
        <v>388.5</v>
      </c>
      <c r="W439" s="19">
        <v>387.25</v>
      </c>
      <c r="X439" s="19">
        <v>381.18</v>
      </c>
      <c r="Y439" s="19">
        <v>344.62</v>
      </c>
      <c r="Z439" s="33" t="s">
        <v>32</v>
      </c>
      <c r="AA439" s="25">
        <f>MIN($B$439:$Y$439)</f>
        <v>333.17</v>
      </c>
      <c r="AB439" s="25">
        <f>AVERAGE($B$439:$Y$439)</f>
        <v>380.23374999999999</v>
      </c>
    </row>
    <row r="440" spans="1:28">
      <c r="A440" s="30">
        <v>45730</v>
      </c>
      <c r="B440" s="19">
        <v>386.48</v>
      </c>
      <c r="C440" s="19">
        <v>404.51</v>
      </c>
      <c r="D440" s="19">
        <v>383.78</v>
      </c>
      <c r="E440" s="19">
        <v>388.58</v>
      </c>
      <c r="F440" s="19">
        <v>372.46</v>
      </c>
      <c r="G440" s="19">
        <v>363.84</v>
      </c>
      <c r="H440" s="19">
        <v>394.08</v>
      </c>
      <c r="I440" s="19">
        <v>388.35</v>
      </c>
      <c r="J440" s="19">
        <v>385.06</v>
      </c>
      <c r="K440" s="19">
        <v>399.9</v>
      </c>
      <c r="L440" s="19">
        <v>388.02</v>
      </c>
      <c r="M440" s="19">
        <v>402.47</v>
      </c>
      <c r="N440" s="19">
        <v>310.10000000000002</v>
      </c>
      <c r="O440" s="19">
        <v>332.93</v>
      </c>
      <c r="P440" s="19">
        <v>353.73</v>
      </c>
      <c r="Q440" s="19">
        <v>365.41</v>
      </c>
      <c r="R440" s="19">
        <v>378</v>
      </c>
      <c r="S440" s="19">
        <v>372.31</v>
      </c>
      <c r="T440" s="19">
        <v>374.02</v>
      </c>
      <c r="U440" s="19">
        <v>390.07</v>
      </c>
      <c r="V440" s="19">
        <v>379.12</v>
      </c>
      <c r="W440" s="19">
        <v>385.33</v>
      </c>
      <c r="X440" s="19">
        <v>368.88</v>
      </c>
      <c r="Y440" s="19">
        <v>337.49</v>
      </c>
      <c r="Z440" s="32" t="s">
        <v>32</v>
      </c>
      <c r="AA440" s="25">
        <f>MIN($B$440:$Y$440)</f>
        <v>310.10000000000002</v>
      </c>
      <c r="AB440" s="25">
        <f>AVERAGE($B$440:$Y$440)</f>
        <v>375.20499999999998</v>
      </c>
    </row>
    <row r="441" spans="1:28">
      <c r="A441" s="30">
        <v>45731</v>
      </c>
      <c r="B441" s="19">
        <v>369.06</v>
      </c>
      <c r="C441" s="19">
        <v>493.31</v>
      </c>
      <c r="D441" s="19">
        <v>411.97</v>
      </c>
      <c r="E441" s="19">
        <v>390.11</v>
      </c>
      <c r="F441" s="19">
        <v>365.9</v>
      </c>
      <c r="G441" s="19">
        <v>363.99</v>
      </c>
      <c r="H441" s="19">
        <v>387.22</v>
      </c>
      <c r="I441" s="19">
        <v>384.41</v>
      </c>
      <c r="J441" s="19">
        <v>435.48</v>
      </c>
      <c r="K441" s="19">
        <v>471.19</v>
      </c>
      <c r="L441" s="19">
        <v>491.55</v>
      </c>
      <c r="M441" s="19">
        <v>516.96</v>
      </c>
      <c r="N441" s="19">
        <v>328.96</v>
      </c>
      <c r="O441" s="19">
        <v>369.13</v>
      </c>
      <c r="P441" s="19">
        <v>375.52</v>
      </c>
      <c r="Q441" s="19">
        <v>387.67</v>
      </c>
      <c r="R441" s="19">
        <v>401.79</v>
      </c>
      <c r="S441" s="19">
        <v>413.59</v>
      </c>
      <c r="T441" s="19">
        <v>401.17</v>
      </c>
      <c r="U441" s="19">
        <v>426.89</v>
      </c>
      <c r="V441" s="19">
        <v>392.53</v>
      </c>
      <c r="W441" s="19">
        <v>417.98</v>
      </c>
      <c r="X441" s="19">
        <v>373.51</v>
      </c>
      <c r="Y441" s="19">
        <v>334.03</v>
      </c>
      <c r="Z441" s="36" t="s">
        <v>36</v>
      </c>
      <c r="AA441" s="25">
        <f>MIN($B$441:$Y$441)</f>
        <v>328.96</v>
      </c>
      <c r="AB441" s="25">
        <f>AVERAGE($B$441:$Y$441)</f>
        <v>404.33</v>
      </c>
    </row>
    <row r="442" spans="1:28">
      <c r="A442" s="30">
        <v>45732</v>
      </c>
      <c r="B442" s="19">
        <v>316.43</v>
      </c>
      <c r="C442" s="19">
        <v>299.25</v>
      </c>
      <c r="D442" s="19">
        <v>339.23</v>
      </c>
      <c r="E442" s="19">
        <v>333.92</v>
      </c>
      <c r="F442" s="19">
        <v>299.56</v>
      </c>
      <c r="G442" s="19">
        <v>276.24</v>
      </c>
      <c r="H442" s="19">
        <v>300.23</v>
      </c>
      <c r="I442" s="19">
        <v>265.27999999999997</v>
      </c>
      <c r="J442" s="19">
        <v>231.47</v>
      </c>
      <c r="K442" s="19">
        <v>234.3</v>
      </c>
      <c r="L442" s="19">
        <v>226.58</v>
      </c>
      <c r="M442" s="19">
        <v>282.29000000000002</v>
      </c>
      <c r="N442" s="19">
        <v>146.46</v>
      </c>
      <c r="O442" s="19">
        <v>179.5</v>
      </c>
      <c r="P442" s="19">
        <v>153.13999999999999</v>
      </c>
      <c r="Q442" s="19">
        <v>283.75</v>
      </c>
      <c r="R442" s="19">
        <v>330.38</v>
      </c>
      <c r="S442" s="19">
        <v>390.04</v>
      </c>
      <c r="T442" s="19">
        <v>390.93</v>
      </c>
      <c r="U442" s="19">
        <v>430.32</v>
      </c>
      <c r="V442" s="19">
        <v>413.05</v>
      </c>
      <c r="W442" s="19">
        <v>409.12</v>
      </c>
      <c r="X442" s="19">
        <v>358.38</v>
      </c>
      <c r="Y442" s="19">
        <v>288.64</v>
      </c>
      <c r="Z442" s="37" t="s">
        <v>37</v>
      </c>
      <c r="AA442" s="25">
        <f>MIN($B$442:$Y$442)</f>
        <v>146.46</v>
      </c>
      <c r="AB442" s="25">
        <f>AVERAGE($B$442:$Y$442)</f>
        <v>299.10374999999999</v>
      </c>
    </row>
    <row r="443" spans="1:28">
      <c r="A443" s="30">
        <v>45733</v>
      </c>
      <c r="B443" s="19">
        <v>193.36</v>
      </c>
      <c r="C443" s="19">
        <v>201.41</v>
      </c>
      <c r="D443" s="19">
        <v>269.08</v>
      </c>
      <c r="E443" s="19">
        <v>269.92</v>
      </c>
      <c r="F443" s="19">
        <v>218.14</v>
      </c>
      <c r="G443" s="19">
        <v>224.21</v>
      </c>
      <c r="H443" s="19">
        <v>288.81</v>
      </c>
      <c r="I443" s="19">
        <v>305.89999999999998</v>
      </c>
      <c r="J443" s="19">
        <v>365.41</v>
      </c>
      <c r="K443" s="19">
        <v>440.2</v>
      </c>
      <c r="L443" s="19">
        <v>424.33</v>
      </c>
      <c r="M443" s="19">
        <v>409.35</v>
      </c>
      <c r="N443" s="19">
        <v>156.9</v>
      </c>
      <c r="O443" s="19">
        <v>264.49</v>
      </c>
      <c r="P443" s="19">
        <v>328.8</v>
      </c>
      <c r="Q443" s="19">
        <v>362.48</v>
      </c>
      <c r="R443" s="19">
        <v>374.42</v>
      </c>
      <c r="S443" s="19">
        <v>372.42</v>
      </c>
      <c r="T443" s="19">
        <v>371.88</v>
      </c>
      <c r="U443" s="19">
        <v>413.56</v>
      </c>
      <c r="V443" s="19">
        <v>401.99</v>
      </c>
      <c r="W443" s="19">
        <v>399.2</v>
      </c>
      <c r="X443" s="19">
        <v>370.68</v>
      </c>
      <c r="Y443" s="19">
        <v>308.24</v>
      </c>
      <c r="Z443" s="33" t="s">
        <v>32</v>
      </c>
      <c r="AA443" s="25">
        <f>MIN($B$443:$Y$443)</f>
        <v>156.9</v>
      </c>
      <c r="AB443" s="25">
        <f>AVERAGE($B$443:$Y$443)</f>
        <v>322.29916666666702</v>
      </c>
    </row>
    <row r="444" spans="1:28">
      <c r="A444" s="30">
        <v>45734</v>
      </c>
      <c r="B444" s="19">
        <v>350.08</v>
      </c>
      <c r="C444" s="19">
        <v>358.28</v>
      </c>
      <c r="D444" s="19">
        <v>335.31</v>
      </c>
      <c r="E444" s="19">
        <v>323.29000000000002</v>
      </c>
      <c r="F444" s="19">
        <v>313.44</v>
      </c>
      <c r="G444" s="19">
        <v>314.24</v>
      </c>
      <c r="H444" s="19">
        <v>348.38</v>
      </c>
      <c r="I444" s="19">
        <v>387.4</v>
      </c>
      <c r="J444" s="19">
        <v>447.52</v>
      </c>
      <c r="K444" s="19">
        <v>497.9</v>
      </c>
      <c r="L444" s="19">
        <v>426.18</v>
      </c>
      <c r="M444" s="19">
        <v>391.47</v>
      </c>
      <c r="N444" s="19">
        <v>159.21</v>
      </c>
      <c r="O444" s="19">
        <v>233.19</v>
      </c>
      <c r="P444" s="19">
        <v>326.67</v>
      </c>
      <c r="Q444" s="19">
        <v>360.89</v>
      </c>
      <c r="R444" s="19">
        <v>383.64</v>
      </c>
      <c r="S444" s="19">
        <v>391.84</v>
      </c>
      <c r="T444" s="19">
        <v>372.18</v>
      </c>
      <c r="U444" s="19">
        <v>413.42</v>
      </c>
      <c r="V444" s="19">
        <v>392.89</v>
      </c>
      <c r="W444" s="19">
        <v>397.22</v>
      </c>
      <c r="X444" s="19">
        <v>378.91</v>
      </c>
      <c r="Y444" s="19">
        <v>343.73</v>
      </c>
      <c r="Z444" s="32" t="s">
        <v>32</v>
      </c>
      <c r="AA444" s="25">
        <f>MIN($B$444:$Y$444)</f>
        <v>159.21</v>
      </c>
      <c r="AB444" s="25">
        <f>AVERAGE($B$444:$Y$444)</f>
        <v>360.303333333333</v>
      </c>
    </row>
    <row r="445" spans="1:28">
      <c r="A445" s="30">
        <v>45735</v>
      </c>
      <c r="B445" s="19">
        <v>335.63</v>
      </c>
      <c r="C445" s="19">
        <v>354.71</v>
      </c>
      <c r="D445" s="19">
        <v>377.61</v>
      </c>
      <c r="E445" s="19">
        <v>350.81</v>
      </c>
      <c r="F445" s="19">
        <v>334.29</v>
      </c>
      <c r="G445" s="19">
        <v>336.32</v>
      </c>
      <c r="H445" s="19">
        <v>376.29</v>
      </c>
      <c r="I445" s="19">
        <v>435.66</v>
      </c>
      <c r="J445" s="19">
        <v>466.39</v>
      </c>
      <c r="K445" s="19">
        <v>440.85</v>
      </c>
      <c r="L445" s="19">
        <v>324.85000000000002</v>
      </c>
      <c r="M445" s="19">
        <v>355.35</v>
      </c>
      <c r="N445" s="19">
        <v>239.74</v>
      </c>
      <c r="O445" s="19">
        <v>292.39</v>
      </c>
      <c r="P445" s="19">
        <v>337.7</v>
      </c>
      <c r="Q445" s="19">
        <v>377.22</v>
      </c>
      <c r="R445" s="19">
        <v>377.58</v>
      </c>
      <c r="S445" s="19">
        <v>377.44</v>
      </c>
      <c r="T445" s="19">
        <v>381.06</v>
      </c>
      <c r="U445" s="19">
        <v>408.89</v>
      </c>
      <c r="V445" s="19">
        <v>388.12</v>
      </c>
      <c r="W445" s="19">
        <v>437.84</v>
      </c>
      <c r="X445" s="19">
        <v>403.1</v>
      </c>
      <c r="Y445" s="19">
        <v>358.94</v>
      </c>
      <c r="Z445" s="33" t="s">
        <v>32</v>
      </c>
      <c r="AA445" s="25">
        <f>MIN($B$445:$Y$445)</f>
        <v>239.74</v>
      </c>
      <c r="AB445" s="25">
        <f>AVERAGE($B$445:$Y$445)</f>
        <v>369.53250000000003</v>
      </c>
    </row>
    <row r="446" spans="1:28">
      <c r="A446" s="30">
        <v>45736</v>
      </c>
      <c r="B446" s="19">
        <v>341.15</v>
      </c>
      <c r="C446" s="19">
        <v>358.13</v>
      </c>
      <c r="D446" s="19">
        <v>371.92</v>
      </c>
      <c r="E446" s="19">
        <v>357.72</v>
      </c>
      <c r="F446" s="19">
        <v>341.17</v>
      </c>
      <c r="G446" s="19">
        <v>343.04</v>
      </c>
      <c r="H446" s="19">
        <v>375.46</v>
      </c>
      <c r="I446" s="19">
        <v>390.98</v>
      </c>
      <c r="J446" s="19">
        <v>364.41</v>
      </c>
      <c r="K446" s="19">
        <v>359.8</v>
      </c>
      <c r="L446" s="19">
        <v>332.1</v>
      </c>
      <c r="M446" s="19">
        <v>316.91000000000003</v>
      </c>
      <c r="N446" s="19">
        <v>112.38</v>
      </c>
      <c r="O446" s="19">
        <v>213.77</v>
      </c>
      <c r="P446" s="19">
        <v>272.47000000000003</v>
      </c>
      <c r="Q446" s="19">
        <v>295.68</v>
      </c>
      <c r="R446" s="19">
        <v>325.43</v>
      </c>
      <c r="S446" s="19">
        <v>358.7</v>
      </c>
      <c r="T446" s="19">
        <v>369.74</v>
      </c>
      <c r="U446" s="19">
        <v>416.7</v>
      </c>
      <c r="V446" s="19">
        <v>387.49</v>
      </c>
      <c r="W446" s="19">
        <v>467.33</v>
      </c>
      <c r="X446" s="19">
        <v>428.82</v>
      </c>
      <c r="Y446" s="19">
        <v>377.43</v>
      </c>
      <c r="Z446" s="32" t="s">
        <v>32</v>
      </c>
      <c r="AA446" s="25">
        <f>MIN($B$446:$Y$446)</f>
        <v>112.38</v>
      </c>
      <c r="AB446" s="25">
        <f>AVERAGE($B$446:$Y$446)</f>
        <v>344.94708333333301</v>
      </c>
    </row>
    <row r="447" spans="1:28">
      <c r="A447" s="30">
        <v>45737</v>
      </c>
      <c r="B447" s="19">
        <v>346.1</v>
      </c>
      <c r="C447" s="19">
        <v>365.3</v>
      </c>
      <c r="D447" s="19">
        <v>376.48</v>
      </c>
      <c r="E447" s="19">
        <v>364.79</v>
      </c>
      <c r="F447" s="19">
        <v>349.16</v>
      </c>
      <c r="G447" s="19">
        <v>351.81</v>
      </c>
      <c r="H447" s="19">
        <v>372.1</v>
      </c>
      <c r="I447" s="19">
        <v>366.31</v>
      </c>
      <c r="J447" s="19">
        <v>379.8</v>
      </c>
      <c r="K447" s="19">
        <v>356.07</v>
      </c>
      <c r="L447" s="19">
        <v>325.39999999999998</v>
      </c>
      <c r="M447" s="19">
        <v>385.59</v>
      </c>
      <c r="N447" s="19">
        <v>352.32</v>
      </c>
      <c r="O447" s="19">
        <v>401.15</v>
      </c>
      <c r="P447" s="19">
        <v>409.44</v>
      </c>
      <c r="Q447" s="19">
        <v>305.06</v>
      </c>
      <c r="R447" s="19">
        <v>348.89</v>
      </c>
      <c r="S447" s="19">
        <v>357.03</v>
      </c>
      <c r="T447" s="19">
        <v>366.75</v>
      </c>
      <c r="U447" s="19">
        <v>408.4</v>
      </c>
      <c r="V447" s="19">
        <v>377.65</v>
      </c>
      <c r="W447" s="19">
        <v>382.81</v>
      </c>
      <c r="X447" s="19">
        <v>371.88</v>
      </c>
      <c r="Y447" s="19">
        <v>367.71</v>
      </c>
      <c r="Z447" s="33" t="s">
        <v>32</v>
      </c>
      <c r="AA447" s="25">
        <f>MIN($B$447:$Y$447)</f>
        <v>305.06</v>
      </c>
      <c r="AB447" s="25">
        <f>AVERAGE($B$447:$Y$447)</f>
        <v>366.16666666666703</v>
      </c>
    </row>
    <row r="448" spans="1:28">
      <c r="A448" s="30">
        <v>45738</v>
      </c>
      <c r="B448" s="19">
        <v>354.44</v>
      </c>
      <c r="C448" s="19">
        <v>383.72</v>
      </c>
      <c r="D448" s="19">
        <v>383.47</v>
      </c>
      <c r="E448" s="19">
        <v>387.75</v>
      </c>
      <c r="F448" s="19">
        <v>368.05</v>
      </c>
      <c r="G448" s="19">
        <v>370.7</v>
      </c>
      <c r="H448" s="19">
        <v>376.67</v>
      </c>
      <c r="I448" s="19">
        <v>351.62</v>
      </c>
      <c r="J448" s="19">
        <v>340.1</v>
      </c>
      <c r="K448" s="19">
        <v>339.03</v>
      </c>
      <c r="L448" s="19">
        <v>333.47</v>
      </c>
      <c r="M448" s="19">
        <v>335.01</v>
      </c>
      <c r="N448" s="19">
        <v>201.14</v>
      </c>
      <c r="O448" s="19">
        <v>258.98</v>
      </c>
      <c r="P448" s="19">
        <v>293.48</v>
      </c>
      <c r="Q448" s="19">
        <v>340.86</v>
      </c>
      <c r="R448" s="19">
        <v>355.1</v>
      </c>
      <c r="S448" s="19">
        <v>364.46</v>
      </c>
      <c r="T448" s="19">
        <v>365.96</v>
      </c>
      <c r="U448" s="19">
        <v>374.37</v>
      </c>
      <c r="V448" s="19">
        <v>368.65</v>
      </c>
      <c r="W448" s="19">
        <v>378.89</v>
      </c>
      <c r="X448" s="19">
        <v>374.07</v>
      </c>
      <c r="Y448" s="19">
        <v>354.76</v>
      </c>
      <c r="Z448" s="34" t="s">
        <v>36</v>
      </c>
      <c r="AA448" s="25">
        <f>MIN($B$448:$Y$448)</f>
        <v>201.14</v>
      </c>
      <c r="AB448" s="25">
        <f>AVERAGE($B$448:$Y$448)</f>
        <v>348.11458333333297</v>
      </c>
    </row>
    <row r="449" spans="1:28">
      <c r="A449" s="30">
        <v>45739</v>
      </c>
      <c r="B449" s="19">
        <v>473.43</v>
      </c>
      <c r="C449" s="19">
        <v>472.22</v>
      </c>
      <c r="D449" s="19">
        <v>388.96</v>
      </c>
      <c r="E449" s="19">
        <v>370.73</v>
      </c>
      <c r="F449" s="19">
        <v>351.68</v>
      </c>
      <c r="G449" s="19">
        <v>344.51</v>
      </c>
      <c r="H449" s="19">
        <v>360.91</v>
      </c>
      <c r="I449" s="19">
        <v>343.74</v>
      </c>
      <c r="J449" s="19">
        <v>325.32</v>
      </c>
      <c r="K449" s="19">
        <v>327.07</v>
      </c>
      <c r="L449" s="19">
        <v>329.72</v>
      </c>
      <c r="M449" s="19">
        <v>310.62</v>
      </c>
      <c r="N449" s="19">
        <v>207.51</v>
      </c>
      <c r="O449" s="19">
        <v>232.19</v>
      </c>
      <c r="P449" s="19">
        <v>201.28</v>
      </c>
      <c r="Q449" s="19">
        <v>304.32</v>
      </c>
      <c r="R449" s="19">
        <v>323.76</v>
      </c>
      <c r="S449" s="19">
        <v>347.3</v>
      </c>
      <c r="T449" s="19">
        <v>345.12</v>
      </c>
      <c r="U449" s="19">
        <v>360.84</v>
      </c>
      <c r="V449" s="19">
        <v>351.25</v>
      </c>
      <c r="W449" s="19">
        <v>356.98</v>
      </c>
      <c r="X449" s="19">
        <v>346.87</v>
      </c>
      <c r="Y449" s="19">
        <v>331.66</v>
      </c>
      <c r="Z449" s="35" t="s">
        <v>37</v>
      </c>
      <c r="AA449" s="25">
        <f>MIN($B$449:$Y$449)</f>
        <v>201.28</v>
      </c>
      <c r="AB449" s="25">
        <f>AVERAGE($B$449:$Y$449)</f>
        <v>337.83291666666702</v>
      </c>
    </row>
    <row r="450" spans="1:28">
      <c r="A450" s="30">
        <v>45740</v>
      </c>
      <c r="B450" s="19">
        <v>340.95</v>
      </c>
      <c r="C450" s="19">
        <v>367.49</v>
      </c>
      <c r="D450" s="19">
        <v>332.29</v>
      </c>
      <c r="E450" s="19">
        <v>341.5</v>
      </c>
      <c r="F450" s="19">
        <v>326.70999999999998</v>
      </c>
      <c r="G450" s="19">
        <v>326.44</v>
      </c>
      <c r="H450" s="19">
        <v>357.45</v>
      </c>
      <c r="I450" s="19">
        <v>362.22</v>
      </c>
      <c r="J450" s="19">
        <v>337.05</v>
      </c>
      <c r="K450" s="19">
        <v>342.69</v>
      </c>
      <c r="L450" s="19">
        <v>342.1</v>
      </c>
      <c r="M450" s="19">
        <v>377.56</v>
      </c>
      <c r="N450" s="19">
        <v>357.72</v>
      </c>
      <c r="O450" s="19">
        <v>412.7</v>
      </c>
      <c r="P450" s="19">
        <v>325.12</v>
      </c>
      <c r="Q450" s="19">
        <v>314.54000000000002</v>
      </c>
      <c r="R450" s="19">
        <v>360.16</v>
      </c>
      <c r="S450" s="19">
        <v>387.91</v>
      </c>
      <c r="T450" s="19">
        <v>364.69</v>
      </c>
      <c r="U450" s="19">
        <v>380.39</v>
      </c>
      <c r="V450" s="19">
        <v>363.62</v>
      </c>
      <c r="W450" s="19">
        <v>361.9</v>
      </c>
      <c r="X450" s="19">
        <v>387.17</v>
      </c>
      <c r="Y450" s="19">
        <v>349.09</v>
      </c>
      <c r="Z450" s="32" t="s">
        <v>32</v>
      </c>
      <c r="AA450" s="25">
        <f>MIN($B$450:$Y$450)</f>
        <v>314.54000000000002</v>
      </c>
      <c r="AB450" s="25">
        <f>AVERAGE($B$450:$Y$450)</f>
        <v>354.97750000000002</v>
      </c>
    </row>
    <row r="451" spans="1:28">
      <c r="A451" s="30">
        <v>45741</v>
      </c>
      <c r="B451" s="19">
        <v>338.66</v>
      </c>
      <c r="C451" s="19">
        <v>335.74</v>
      </c>
      <c r="D451" s="19">
        <v>339.79</v>
      </c>
      <c r="E451" s="19">
        <v>331.97</v>
      </c>
      <c r="F451" s="19">
        <v>325.38</v>
      </c>
      <c r="G451" s="19">
        <v>328.05</v>
      </c>
      <c r="H451" s="19">
        <v>350.31</v>
      </c>
      <c r="I451" s="19">
        <v>341.07</v>
      </c>
      <c r="J451" s="19">
        <v>340.4</v>
      </c>
      <c r="K451" s="19">
        <v>338.27</v>
      </c>
      <c r="L451" s="19">
        <v>311.08</v>
      </c>
      <c r="M451" s="19">
        <v>275.33</v>
      </c>
      <c r="N451" s="19">
        <v>242.83</v>
      </c>
      <c r="O451" s="19">
        <v>293.86</v>
      </c>
      <c r="P451" s="19">
        <v>289.88</v>
      </c>
      <c r="Q451" s="19">
        <v>314</v>
      </c>
      <c r="R451" s="19">
        <v>332.15</v>
      </c>
      <c r="S451" s="19">
        <v>353.57</v>
      </c>
      <c r="T451" s="19">
        <v>359.87</v>
      </c>
      <c r="U451" s="19">
        <v>363.27</v>
      </c>
      <c r="V451" s="19">
        <v>353.56</v>
      </c>
      <c r="W451" s="19">
        <v>351.67</v>
      </c>
      <c r="X451" s="19">
        <v>351.39</v>
      </c>
      <c r="Y451" s="19">
        <v>319.98</v>
      </c>
      <c r="Z451" s="33" t="s">
        <v>32</v>
      </c>
      <c r="AA451" s="25">
        <f>MIN($B$451:$Y$451)</f>
        <v>242.83</v>
      </c>
      <c r="AB451" s="25">
        <f>AVERAGE($B$451:$Y$451)</f>
        <v>328.42</v>
      </c>
    </row>
    <row r="452" spans="1:28">
      <c r="A452" s="30">
        <v>45742</v>
      </c>
      <c r="B452" s="19">
        <v>325.26</v>
      </c>
      <c r="C452" s="19">
        <v>323.19</v>
      </c>
      <c r="D452" s="19">
        <v>321.43</v>
      </c>
      <c r="E452" s="19">
        <v>310.87</v>
      </c>
      <c r="F452" s="19">
        <v>303.10000000000002</v>
      </c>
      <c r="G452" s="19">
        <v>308.36</v>
      </c>
      <c r="H452" s="19">
        <v>331.48</v>
      </c>
      <c r="I452" s="19">
        <v>330.94</v>
      </c>
      <c r="J452" s="19">
        <v>335.78</v>
      </c>
      <c r="K452" s="19">
        <v>338.82</v>
      </c>
      <c r="L452" s="19">
        <v>322.45999999999998</v>
      </c>
      <c r="M452" s="19">
        <v>349.6</v>
      </c>
      <c r="N452" s="19">
        <v>413.15</v>
      </c>
      <c r="O452" s="19">
        <v>454.15</v>
      </c>
      <c r="P452" s="19">
        <v>328.77</v>
      </c>
      <c r="Q452" s="19">
        <v>313.12</v>
      </c>
      <c r="R452" s="19">
        <v>349.01</v>
      </c>
      <c r="S452" s="19">
        <v>380.13</v>
      </c>
      <c r="T452" s="19">
        <v>357.67</v>
      </c>
      <c r="U452" s="19">
        <v>369.95</v>
      </c>
      <c r="V452" s="19">
        <v>352.01</v>
      </c>
      <c r="W452" s="19">
        <v>349.26</v>
      </c>
      <c r="X452" s="19">
        <v>343.82</v>
      </c>
      <c r="Y452" s="19">
        <v>317.02</v>
      </c>
      <c r="Z452" s="32" t="s">
        <v>32</v>
      </c>
      <c r="AA452" s="25">
        <f>MIN($B$452:$Y$452)</f>
        <v>303.10000000000002</v>
      </c>
      <c r="AB452" s="25">
        <f>AVERAGE($B$452:$Y$452)</f>
        <v>342.88958333333301</v>
      </c>
    </row>
    <row r="453" spans="1:28">
      <c r="A453" s="30">
        <v>45743</v>
      </c>
      <c r="B453" s="19">
        <v>322.33</v>
      </c>
      <c r="C453" s="19">
        <v>328.14</v>
      </c>
      <c r="D453" s="19">
        <v>325.02</v>
      </c>
      <c r="E453" s="19">
        <v>319.20999999999998</v>
      </c>
      <c r="F453" s="19">
        <v>309.35000000000002</v>
      </c>
      <c r="G453" s="19">
        <v>313.89999999999998</v>
      </c>
      <c r="H453" s="19">
        <v>336.51</v>
      </c>
      <c r="I453" s="19">
        <v>337.96</v>
      </c>
      <c r="J453" s="19">
        <v>356.64</v>
      </c>
      <c r="K453" s="19">
        <v>365.22</v>
      </c>
      <c r="L453" s="19">
        <v>350.27</v>
      </c>
      <c r="M453" s="19">
        <v>341.95</v>
      </c>
      <c r="N453" s="19">
        <v>410.64</v>
      </c>
      <c r="O453" s="19">
        <v>436.69</v>
      </c>
      <c r="P453" s="19">
        <v>311.45999999999998</v>
      </c>
      <c r="Q453" s="19">
        <v>333.28</v>
      </c>
      <c r="R453" s="19">
        <v>382.3</v>
      </c>
      <c r="S453" s="19">
        <v>398.67</v>
      </c>
      <c r="T453" s="19">
        <v>358.83</v>
      </c>
      <c r="U453" s="19">
        <v>391.3</v>
      </c>
      <c r="V453" s="19">
        <v>370.03</v>
      </c>
      <c r="W453" s="19">
        <v>364.57</v>
      </c>
      <c r="X453" s="19">
        <v>381.65</v>
      </c>
      <c r="Y453" s="19">
        <v>345.43</v>
      </c>
      <c r="Z453" s="33" t="s">
        <v>32</v>
      </c>
      <c r="AA453" s="25">
        <f>MIN($B$453:$Y$453)</f>
        <v>309.35000000000002</v>
      </c>
      <c r="AB453" s="25">
        <f>AVERAGE($B$453:$Y$453)</f>
        <v>353.80624999999998</v>
      </c>
    </row>
    <row r="454" spans="1:28">
      <c r="A454" s="30">
        <v>45744</v>
      </c>
      <c r="B454" s="19">
        <v>387.49</v>
      </c>
      <c r="C454" s="19">
        <v>364.67</v>
      </c>
      <c r="D454" s="19">
        <v>358.7</v>
      </c>
      <c r="E454" s="19">
        <v>349.13</v>
      </c>
      <c r="F454" s="19">
        <v>341.57</v>
      </c>
      <c r="G454" s="19">
        <v>342.98</v>
      </c>
      <c r="H454" s="19">
        <v>378.12</v>
      </c>
      <c r="I454" s="19">
        <v>370.04</v>
      </c>
      <c r="J454" s="19">
        <v>380.92</v>
      </c>
      <c r="K454" s="19">
        <v>405.15</v>
      </c>
      <c r="L454" s="19">
        <v>391.99</v>
      </c>
      <c r="M454" s="19">
        <v>423.15</v>
      </c>
      <c r="N454" s="19">
        <v>314.08</v>
      </c>
      <c r="O454" s="19">
        <v>330.02</v>
      </c>
      <c r="P454" s="19">
        <v>352.76</v>
      </c>
      <c r="Q454" s="19">
        <v>365.67</v>
      </c>
      <c r="R454" s="19">
        <v>426.77</v>
      </c>
      <c r="S454" s="19">
        <v>407.52</v>
      </c>
      <c r="T454" s="19">
        <v>361.13</v>
      </c>
      <c r="U454" s="19">
        <v>386.32</v>
      </c>
      <c r="V454" s="19">
        <v>358.06</v>
      </c>
      <c r="W454" s="19">
        <v>347.55</v>
      </c>
      <c r="X454" s="19">
        <v>346.27</v>
      </c>
      <c r="Y454" s="19">
        <v>313.68</v>
      </c>
      <c r="Z454" s="32" t="s">
        <v>32</v>
      </c>
      <c r="AA454" s="25">
        <f>MIN($B$454:$Y$454)</f>
        <v>313.68</v>
      </c>
      <c r="AB454" s="25">
        <f>AVERAGE($B$454:$Y$454)</f>
        <v>366.82249999999999</v>
      </c>
    </row>
    <row r="455" spans="1:28">
      <c r="A455" s="30">
        <v>45745</v>
      </c>
      <c r="B455" s="19">
        <v>363.51</v>
      </c>
      <c r="C455" s="19">
        <v>333.65</v>
      </c>
      <c r="D455" s="19">
        <v>328.87</v>
      </c>
      <c r="E455" s="19">
        <v>315.24</v>
      </c>
      <c r="F455" s="19">
        <v>299.83</v>
      </c>
      <c r="G455" s="19">
        <v>295.57</v>
      </c>
      <c r="H455" s="19">
        <v>300.55</v>
      </c>
      <c r="I455" s="19">
        <v>316.52999999999997</v>
      </c>
      <c r="J455" s="19">
        <v>368.64</v>
      </c>
      <c r="K455" s="19">
        <v>369.51</v>
      </c>
      <c r="L455" s="19">
        <v>390.31</v>
      </c>
      <c r="M455" s="19">
        <v>443.8</v>
      </c>
      <c r="N455" s="19">
        <v>335.32</v>
      </c>
      <c r="O455" s="19">
        <v>360.86</v>
      </c>
      <c r="P455" s="19">
        <v>378.53</v>
      </c>
      <c r="Q455" s="19">
        <v>364.16</v>
      </c>
      <c r="R455" s="19">
        <v>375.31</v>
      </c>
      <c r="S455" s="19">
        <v>380.02</v>
      </c>
      <c r="T455" s="19">
        <v>332.2</v>
      </c>
      <c r="U455" s="19">
        <v>353.28</v>
      </c>
      <c r="V455" s="19">
        <v>344.86</v>
      </c>
      <c r="W455" s="19">
        <v>341.03</v>
      </c>
      <c r="X455" s="19">
        <v>354.71</v>
      </c>
      <c r="Y455" s="19">
        <v>330.2</v>
      </c>
      <c r="Z455" s="36" t="s">
        <v>36</v>
      </c>
      <c r="AA455" s="25">
        <f>MIN($B$455:$Y$455)</f>
        <v>295.57</v>
      </c>
      <c r="AB455" s="25">
        <f>AVERAGE($B$455:$Y$455)</f>
        <v>349.02041666666702</v>
      </c>
    </row>
    <row r="456" spans="1:28">
      <c r="A456" s="30">
        <v>45746</v>
      </c>
      <c r="B456" s="19">
        <v>316.73</v>
      </c>
      <c r="C456" s="19">
        <v>298.39999999999998</v>
      </c>
      <c r="D456" s="19">
        <v>297.45</v>
      </c>
      <c r="E456" s="19">
        <v>296.52</v>
      </c>
      <c r="F456" s="19">
        <v>284.54000000000002</v>
      </c>
      <c r="G456" s="19">
        <v>283.11</v>
      </c>
      <c r="H456" s="19">
        <v>287.95</v>
      </c>
      <c r="I456" s="19">
        <v>285.5</v>
      </c>
      <c r="J456" s="19">
        <v>284.23</v>
      </c>
      <c r="K456" s="19">
        <v>287.22000000000003</v>
      </c>
      <c r="L456" s="19">
        <v>300.56</v>
      </c>
      <c r="M456" s="19">
        <v>330.72</v>
      </c>
      <c r="N456" s="19">
        <v>315.91000000000003</v>
      </c>
      <c r="O456" s="19">
        <v>317.43</v>
      </c>
      <c r="P456" s="19">
        <v>316.67</v>
      </c>
      <c r="Q456" s="19">
        <v>298.81</v>
      </c>
      <c r="R456" s="19">
        <v>310.68</v>
      </c>
      <c r="S456" s="19">
        <v>314.48</v>
      </c>
      <c r="T456" s="19">
        <v>307.54000000000002</v>
      </c>
      <c r="U456" s="19">
        <v>318.57</v>
      </c>
      <c r="V456" s="19">
        <v>318.89</v>
      </c>
      <c r="W456" s="19">
        <v>330.11</v>
      </c>
      <c r="X456" s="19">
        <v>325.56</v>
      </c>
      <c r="Y456" s="19">
        <v>300.06</v>
      </c>
      <c r="Z456" s="37" t="s">
        <v>37</v>
      </c>
      <c r="AA456" s="25">
        <f>MIN($B$456:$Y$456)</f>
        <v>283.11</v>
      </c>
      <c r="AB456" s="25">
        <f>AVERAGE($B$456:$Y$456)</f>
        <v>305.31833333333299</v>
      </c>
    </row>
    <row r="457" spans="1:28">
      <c r="A457" s="30">
        <v>45747</v>
      </c>
      <c r="B457" s="19">
        <v>300.33999999999997</v>
      </c>
      <c r="C457" s="19">
        <v>290.83999999999997</v>
      </c>
      <c r="D457" s="19">
        <v>300.29000000000002</v>
      </c>
      <c r="E457" s="19">
        <v>300.58</v>
      </c>
      <c r="F457" s="19">
        <v>290.75</v>
      </c>
      <c r="G457" s="19">
        <v>293.43</v>
      </c>
      <c r="H457" s="19">
        <v>313.10000000000002</v>
      </c>
      <c r="I457" s="19">
        <v>325.17</v>
      </c>
      <c r="J457" s="19">
        <v>357.21</v>
      </c>
      <c r="K457" s="19">
        <v>368.52</v>
      </c>
      <c r="L457" s="19">
        <v>370.93</v>
      </c>
      <c r="M457" s="19">
        <v>377.88</v>
      </c>
      <c r="N457" s="19">
        <v>325.45</v>
      </c>
      <c r="O457" s="19">
        <v>332.94</v>
      </c>
      <c r="P457" s="19">
        <v>343.86</v>
      </c>
      <c r="Q457" s="19">
        <v>327.42</v>
      </c>
      <c r="R457" s="19">
        <v>346.09</v>
      </c>
      <c r="S457" s="19">
        <v>358.98</v>
      </c>
      <c r="T457" s="19">
        <v>350.65</v>
      </c>
      <c r="U457" s="19">
        <v>379.65</v>
      </c>
      <c r="V457" s="19">
        <v>352.05</v>
      </c>
      <c r="W457" s="19">
        <v>361.31</v>
      </c>
      <c r="X457" s="19">
        <v>378.52</v>
      </c>
      <c r="Y457" s="19">
        <v>325.16000000000003</v>
      </c>
      <c r="Z457" s="33" t="s">
        <v>32</v>
      </c>
      <c r="AA457" s="25">
        <f>MIN($B$457:$Y$457)</f>
        <v>290.75</v>
      </c>
      <c r="AB457" s="25">
        <f>AVERAGE($B$457:$Y$457)</f>
        <v>336.29666666666702</v>
      </c>
    </row>
    <row r="458" spans="1:28">
      <c r="A458" s="30">
        <v>45748</v>
      </c>
      <c r="B458" s="19">
        <v>368.44</v>
      </c>
      <c r="C458" s="19">
        <v>329.83</v>
      </c>
      <c r="D458" s="19">
        <v>331.81</v>
      </c>
      <c r="E458" s="19">
        <v>330.4</v>
      </c>
      <c r="F458" s="19">
        <v>321.87</v>
      </c>
      <c r="G458" s="19">
        <v>321.86</v>
      </c>
      <c r="H458" s="19">
        <v>334.13</v>
      </c>
      <c r="I458" s="19">
        <v>338.73</v>
      </c>
      <c r="J458" s="19">
        <v>348</v>
      </c>
      <c r="K458" s="19">
        <v>355.28</v>
      </c>
      <c r="L458" s="19">
        <v>341.4</v>
      </c>
      <c r="M458" s="19">
        <v>370.4</v>
      </c>
      <c r="N458" s="19">
        <v>305.76</v>
      </c>
      <c r="O458" s="19">
        <v>317.70999999999998</v>
      </c>
      <c r="P458" s="19">
        <v>325.74</v>
      </c>
      <c r="Q458" s="19">
        <v>312.85000000000002</v>
      </c>
      <c r="R458" s="19">
        <v>349.31</v>
      </c>
      <c r="S458" s="19">
        <v>372.02</v>
      </c>
      <c r="T458" s="19">
        <v>360.36</v>
      </c>
      <c r="U458" s="19">
        <v>371.18</v>
      </c>
      <c r="V458" s="19">
        <v>368.76</v>
      </c>
      <c r="W458" s="19">
        <v>383.6</v>
      </c>
      <c r="X458" s="19">
        <v>382.34</v>
      </c>
      <c r="Y458" s="19">
        <v>342.35</v>
      </c>
      <c r="Z458" s="32" t="s">
        <v>32</v>
      </c>
      <c r="AA458" s="25">
        <f>MIN($B$458:$Y$458)</f>
        <v>305.76</v>
      </c>
      <c r="AB458" s="25">
        <f>AVERAGE($B$458:$Y$458)</f>
        <v>345.17208333333298</v>
      </c>
    </row>
    <row r="459" spans="1:28">
      <c r="A459" s="30">
        <v>45749</v>
      </c>
      <c r="B459" s="19">
        <v>349.01</v>
      </c>
      <c r="C459" s="19">
        <v>359.9</v>
      </c>
      <c r="D459" s="19">
        <v>356.06</v>
      </c>
      <c r="E459" s="19">
        <v>343.01</v>
      </c>
      <c r="F459" s="19">
        <v>331.02</v>
      </c>
      <c r="G459" s="19">
        <v>332.67</v>
      </c>
      <c r="H459" s="19">
        <v>356.96</v>
      </c>
      <c r="I459" s="19">
        <v>337.36</v>
      </c>
      <c r="J459" s="19">
        <v>315.49</v>
      </c>
      <c r="K459" s="19">
        <v>292.77</v>
      </c>
      <c r="L459" s="19">
        <v>287.75</v>
      </c>
      <c r="M459" s="19">
        <v>298.33999999999997</v>
      </c>
      <c r="N459" s="19">
        <v>273.61</v>
      </c>
      <c r="O459" s="19">
        <v>282.38</v>
      </c>
      <c r="P459" s="19">
        <v>284.89</v>
      </c>
      <c r="Q459" s="19">
        <v>288.44</v>
      </c>
      <c r="R459" s="19">
        <v>330.61</v>
      </c>
      <c r="S459" s="19">
        <v>336.02</v>
      </c>
      <c r="T459" s="19">
        <v>341.44</v>
      </c>
      <c r="U459" s="19">
        <v>361.7</v>
      </c>
      <c r="V459" s="19">
        <v>355.26</v>
      </c>
      <c r="W459" s="19">
        <v>370.49</v>
      </c>
      <c r="X459" s="19">
        <v>371.98</v>
      </c>
      <c r="Y459" s="19">
        <v>339.45</v>
      </c>
      <c r="Z459" s="33" t="s">
        <v>32</v>
      </c>
      <c r="AA459" s="25">
        <f>MIN($B$459:$Y$459)</f>
        <v>273.61</v>
      </c>
      <c r="AB459" s="25">
        <f>AVERAGE($B$459:$Y$459)</f>
        <v>329.02541666666701</v>
      </c>
    </row>
    <row r="460" spans="1:28">
      <c r="A460" s="30">
        <v>45750</v>
      </c>
      <c r="B460" s="19">
        <v>396.45</v>
      </c>
      <c r="C460" s="19">
        <v>357.8</v>
      </c>
      <c r="D460" s="19">
        <v>407.2</v>
      </c>
      <c r="E460" s="19">
        <v>360.72</v>
      </c>
      <c r="F460" s="19">
        <v>340.83</v>
      </c>
      <c r="G460" s="19">
        <v>343.29</v>
      </c>
      <c r="H460" s="19">
        <v>484.06</v>
      </c>
      <c r="I460" s="19">
        <v>375.03</v>
      </c>
      <c r="J460" s="19">
        <v>330.03</v>
      </c>
      <c r="K460" s="19">
        <v>308.2</v>
      </c>
      <c r="L460" s="19">
        <v>290.26</v>
      </c>
      <c r="M460" s="19">
        <v>291.89999999999998</v>
      </c>
      <c r="N460" s="19">
        <v>239.45</v>
      </c>
      <c r="O460" s="19">
        <v>243.98</v>
      </c>
      <c r="P460" s="19">
        <v>264.14</v>
      </c>
      <c r="Q460" s="19">
        <v>270</v>
      </c>
      <c r="R460" s="19">
        <v>316.17</v>
      </c>
      <c r="S460" s="19">
        <v>345.83</v>
      </c>
      <c r="T460" s="19">
        <v>346.17</v>
      </c>
      <c r="U460" s="19">
        <v>341.71</v>
      </c>
      <c r="V460" s="19">
        <v>345.58</v>
      </c>
      <c r="W460" s="19">
        <v>374.56</v>
      </c>
      <c r="X460" s="19">
        <v>400.15</v>
      </c>
      <c r="Y460" s="19">
        <v>348.02</v>
      </c>
      <c r="Z460" s="32" t="s">
        <v>32</v>
      </c>
      <c r="AA460" s="25">
        <f>MIN($B$460:$Y$460)</f>
        <v>239.45</v>
      </c>
      <c r="AB460" s="25">
        <f>AVERAGE($B$460:$Y$460)</f>
        <v>338.397083333333</v>
      </c>
    </row>
    <row r="461" spans="1:28">
      <c r="A461" s="30">
        <v>45751</v>
      </c>
      <c r="B461" s="19">
        <v>253.01</v>
      </c>
      <c r="C461" s="19">
        <v>299.23</v>
      </c>
      <c r="D461" s="19">
        <v>303.62</v>
      </c>
      <c r="E461" s="19">
        <v>300.33</v>
      </c>
      <c r="F461" s="19">
        <v>231.49</v>
      </c>
      <c r="G461" s="19">
        <v>202.36</v>
      </c>
      <c r="H461" s="19">
        <v>202.23</v>
      </c>
      <c r="I461" s="19">
        <v>195.18</v>
      </c>
      <c r="J461" s="19">
        <v>27.14</v>
      </c>
      <c r="K461" s="19">
        <v>14.55</v>
      </c>
      <c r="L461" s="19">
        <v>0</v>
      </c>
      <c r="M461" s="19">
        <v>0</v>
      </c>
      <c r="N461" s="19">
        <v>0</v>
      </c>
      <c r="O461" s="19">
        <v>0.25</v>
      </c>
      <c r="P461" s="19">
        <v>0.25</v>
      </c>
      <c r="Q461" s="19">
        <v>140.81</v>
      </c>
      <c r="R461" s="19">
        <v>282.60000000000002</v>
      </c>
      <c r="S461" s="19">
        <v>293.63</v>
      </c>
      <c r="T461" s="19">
        <v>264.45999999999998</v>
      </c>
      <c r="U461" s="19">
        <v>273.88</v>
      </c>
      <c r="V461" s="19">
        <v>276.42</v>
      </c>
      <c r="W461" s="19">
        <v>271.37</v>
      </c>
      <c r="X461" s="19">
        <v>280.29000000000002</v>
      </c>
      <c r="Y461" s="19">
        <v>316.39</v>
      </c>
      <c r="Z461" s="41" t="s">
        <v>31</v>
      </c>
      <c r="AA461" s="25">
        <f>MIN($B$461:$Y$461)</f>
        <v>0</v>
      </c>
      <c r="AB461" s="25">
        <f>AVERAGE($B$461:$Y$461)</f>
        <v>184.56208333333299</v>
      </c>
    </row>
    <row r="462" spans="1:28">
      <c r="A462" s="30">
        <v>45752</v>
      </c>
      <c r="B462" s="19">
        <v>298.72000000000003</v>
      </c>
      <c r="C462" s="19">
        <v>302.52</v>
      </c>
      <c r="D462" s="19">
        <v>329.75</v>
      </c>
      <c r="E462" s="19">
        <v>348.53</v>
      </c>
      <c r="F462" s="19">
        <v>323.73</v>
      </c>
      <c r="G462" s="19">
        <v>309.5</v>
      </c>
      <c r="H462" s="19">
        <v>424.71</v>
      </c>
      <c r="I462" s="19">
        <v>366.02</v>
      </c>
      <c r="J462" s="19">
        <v>334.17</v>
      </c>
      <c r="K462" s="19">
        <v>334.69</v>
      </c>
      <c r="L462" s="19">
        <v>327.56</v>
      </c>
      <c r="M462" s="19">
        <v>345.36</v>
      </c>
      <c r="N462" s="19">
        <v>388.78</v>
      </c>
      <c r="O462" s="19">
        <v>446.97</v>
      </c>
      <c r="P462" s="19">
        <v>345.67</v>
      </c>
      <c r="Q462" s="19">
        <v>318.18</v>
      </c>
      <c r="R462" s="19">
        <v>317.95</v>
      </c>
      <c r="S462" s="19">
        <v>318.33999999999997</v>
      </c>
      <c r="T462" s="19">
        <v>297.66000000000003</v>
      </c>
      <c r="U462" s="19">
        <v>328.87</v>
      </c>
      <c r="V462" s="19">
        <v>313.05</v>
      </c>
      <c r="W462" s="19">
        <v>303.58</v>
      </c>
      <c r="X462" s="19">
        <v>320.63</v>
      </c>
      <c r="Y462" s="19">
        <v>337.28</v>
      </c>
      <c r="Z462" s="39" t="s">
        <v>35</v>
      </c>
      <c r="AA462" s="25">
        <f>MIN($B$462:$Y$462)</f>
        <v>297.66000000000003</v>
      </c>
      <c r="AB462" s="25">
        <f>AVERAGE($B$462:$Y$462)</f>
        <v>336.759166666667</v>
      </c>
    </row>
    <row r="463" spans="1:28">
      <c r="A463" s="30">
        <v>45753</v>
      </c>
      <c r="B463" s="19">
        <v>341.25</v>
      </c>
      <c r="C463" s="19">
        <v>361.95</v>
      </c>
      <c r="D463" s="19">
        <v>434.81</v>
      </c>
      <c r="E463" s="19">
        <v>434.27</v>
      </c>
      <c r="F463" s="19">
        <v>363.57</v>
      </c>
      <c r="G463" s="19">
        <v>358.93</v>
      </c>
      <c r="H463" s="19">
        <v>469.06</v>
      </c>
      <c r="I463" s="19">
        <v>526.14</v>
      </c>
      <c r="J463" s="19">
        <v>467.92</v>
      </c>
      <c r="K463" s="19">
        <v>366.89</v>
      </c>
      <c r="L463" s="19">
        <v>345.27</v>
      </c>
      <c r="M463" s="19">
        <v>336.56</v>
      </c>
      <c r="N463" s="19">
        <v>314.67</v>
      </c>
      <c r="O463" s="19">
        <v>324.05</v>
      </c>
      <c r="P463" s="19">
        <v>326.23</v>
      </c>
      <c r="Q463" s="19">
        <v>330.06</v>
      </c>
      <c r="R463" s="19">
        <v>339.42</v>
      </c>
      <c r="S463" s="19">
        <v>336.84</v>
      </c>
      <c r="T463" s="19">
        <v>326.79000000000002</v>
      </c>
      <c r="U463" s="19">
        <v>338.08</v>
      </c>
      <c r="V463" s="19">
        <v>329.7</v>
      </c>
      <c r="W463" s="19">
        <v>324.89</v>
      </c>
      <c r="X463" s="19">
        <v>330.39</v>
      </c>
      <c r="Y463" s="19">
        <v>331.92</v>
      </c>
      <c r="Z463" s="38" t="s">
        <v>35</v>
      </c>
      <c r="AA463" s="25">
        <f>MIN($B$463:$Y$463)</f>
        <v>314.67</v>
      </c>
      <c r="AB463" s="25">
        <f>AVERAGE($B$463:$Y$463)</f>
        <v>364.98583333333301</v>
      </c>
    </row>
    <row r="464" spans="1:28">
      <c r="A464" s="30">
        <v>45754</v>
      </c>
      <c r="B464" s="19">
        <v>459.03</v>
      </c>
      <c r="C464" s="19">
        <v>480.85</v>
      </c>
      <c r="D464" s="19">
        <v>442.59</v>
      </c>
      <c r="E464" s="19">
        <v>399.75</v>
      </c>
      <c r="F464" s="19">
        <v>417.12</v>
      </c>
      <c r="G464" s="19">
        <v>417.96</v>
      </c>
      <c r="H464" s="19">
        <v>463.31</v>
      </c>
      <c r="I464" s="19">
        <v>532.58000000000004</v>
      </c>
      <c r="J464" s="19">
        <v>422.02</v>
      </c>
      <c r="K464" s="19">
        <v>392.61</v>
      </c>
      <c r="L464" s="19">
        <v>339.07</v>
      </c>
      <c r="M464" s="19">
        <v>317.97000000000003</v>
      </c>
      <c r="N464" s="19">
        <v>297.74</v>
      </c>
      <c r="O464" s="19">
        <v>307.11</v>
      </c>
      <c r="P464" s="19">
        <v>322.02</v>
      </c>
      <c r="Q464" s="19">
        <v>336.28</v>
      </c>
      <c r="R464" s="19">
        <v>355.18</v>
      </c>
      <c r="S464" s="19">
        <v>335.03</v>
      </c>
      <c r="T464" s="19">
        <v>336.57</v>
      </c>
      <c r="U464" s="19">
        <v>361.16</v>
      </c>
      <c r="V464" s="19">
        <v>354.67</v>
      </c>
      <c r="W464" s="19">
        <v>350.04</v>
      </c>
      <c r="X464" s="19">
        <v>342.78</v>
      </c>
      <c r="Y464" s="19">
        <v>327.17</v>
      </c>
      <c r="Z464" s="32" t="s">
        <v>32</v>
      </c>
      <c r="AA464" s="25">
        <f>MIN($B$464:$Y$464)</f>
        <v>297.74</v>
      </c>
      <c r="AB464" s="25">
        <f>AVERAGE($B$464:$Y$464)</f>
        <v>379.60874999999999</v>
      </c>
    </row>
    <row r="465" spans="1:28">
      <c r="A465" s="30">
        <v>45755</v>
      </c>
      <c r="B465" s="19">
        <v>335.71</v>
      </c>
      <c r="C465" s="19">
        <v>333.87</v>
      </c>
      <c r="D465" s="19">
        <v>330.4</v>
      </c>
      <c r="E465" s="19">
        <v>327.94</v>
      </c>
      <c r="F465" s="19">
        <v>321.83</v>
      </c>
      <c r="G465" s="19">
        <v>323.32</v>
      </c>
      <c r="H465" s="19">
        <v>364.81</v>
      </c>
      <c r="I465" s="19">
        <v>367.9</v>
      </c>
      <c r="J465" s="19">
        <v>365.41</v>
      </c>
      <c r="K465" s="19">
        <v>360.28</v>
      </c>
      <c r="L465" s="19">
        <v>328.19</v>
      </c>
      <c r="M465" s="19">
        <v>315</v>
      </c>
      <c r="N465" s="19">
        <v>290.77</v>
      </c>
      <c r="O465" s="19">
        <v>306.74</v>
      </c>
      <c r="P465" s="19">
        <v>321.89999999999998</v>
      </c>
      <c r="Q465" s="19">
        <v>335.75</v>
      </c>
      <c r="R465" s="19">
        <v>343.19</v>
      </c>
      <c r="S465" s="19">
        <v>330.51</v>
      </c>
      <c r="T465" s="19">
        <v>332.49</v>
      </c>
      <c r="U465" s="19">
        <v>354.38</v>
      </c>
      <c r="V465" s="19">
        <v>342.77</v>
      </c>
      <c r="W465" s="19">
        <v>344.77</v>
      </c>
      <c r="X465" s="19">
        <v>357.56</v>
      </c>
      <c r="Y465" s="19">
        <v>321.36</v>
      </c>
      <c r="Z465" s="33" t="s">
        <v>32</v>
      </c>
      <c r="AA465" s="25">
        <f>MIN($B$465:$Y$465)</f>
        <v>290.77</v>
      </c>
      <c r="AB465" s="25">
        <f>AVERAGE($B$465:$Y$465)</f>
        <v>335.70208333333301</v>
      </c>
    </row>
    <row r="466" spans="1:28">
      <c r="A466" s="30">
        <v>45756</v>
      </c>
      <c r="B466" s="19">
        <v>311.44</v>
      </c>
      <c r="C466" s="19">
        <v>316.60000000000002</v>
      </c>
      <c r="D466" s="19">
        <v>319.10000000000002</v>
      </c>
      <c r="E466" s="19">
        <v>319.04000000000002</v>
      </c>
      <c r="F466" s="19">
        <v>307.8</v>
      </c>
      <c r="G466" s="19">
        <v>307.77999999999997</v>
      </c>
      <c r="H466" s="19">
        <v>341.06</v>
      </c>
      <c r="I466" s="19">
        <v>362.96</v>
      </c>
      <c r="J466" s="19">
        <v>342.96</v>
      </c>
      <c r="K466" s="19">
        <v>349.84</v>
      </c>
      <c r="L466" s="19">
        <v>340.04</v>
      </c>
      <c r="M466" s="19">
        <v>329.96</v>
      </c>
      <c r="N466" s="19">
        <v>297.06</v>
      </c>
      <c r="O466" s="19">
        <v>311.08</v>
      </c>
      <c r="P466" s="19">
        <v>323.27999999999997</v>
      </c>
      <c r="Q466" s="19">
        <v>333.59</v>
      </c>
      <c r="R466" s="19">
        <v>342.39</v>
      </c>
      <c r="S466" s="19">
        <v>332.21</v>
      </c>
      <c r="T466" s="19">
        <v>327.99</v>
      </c>
      <c r="U466" s="19">
        <v>349.47</v>
      </c>
      <c r="V466" s="19">
        <v>344.05</v>
      </c>
      <c r="W466" s="19">
        <v>343.61</v>
      </c>
      <c r="X466" s="19">
        <v>346.64</v>
      </c>
      <c r="Y466" s="19">
        <v>318.54000000000002</v>
      </c>
      <c r="Z466" s="32" t="s">
        <v>32</v>
      </c>
      <c r="AA466" s="25">
        <f>MIN($B$466:$Y$466)</f>
        <v>297.06</v>
      </c>
      <c r="AB466" s="25">
        <f>AVERAGE($B$466:$Y$466)</f>
        <v>329.93708333333302</v>
      </c>
    </row>
    <row r="467" spans="1:28">
      <c r="A467" s="30">
        <v>45757</v>
      </c>
      <c r="B467" s="19">
        <v>329.74</v>
      </c>
      <c r="C467" s="19">
        <v>364.74</v>
      </c>
      <c r="D467" s="19">
        <v>341.72</v>
      </c>
      <c r="E467" s="19">
        <v>332.96</v>
      </c>
      <c r="F467" s="19">
        <v>325.10000000000002</v>
      </c>
      <c r="G467" s="19">
        <v>325.99</v>
      </c>
      <c r="H467" s="19">
        <v>375.8</v>
      </c>
      <c r="I467" s="19">
        <v>379.84</v>
      </c>
      <c r="J467" s="19">
        <v>359.38</v>
      </c>
      <c r="K467" s="19">
        <v>375.29</v>
      </c>
      <c r="L467" s="19">
        <v>356.2</v>
      </c>
      <c r="M467" s="19">
        <v>348.83</v>
      </c>
      <c r="N467" s="19">
        <v>305.58999999999997</v>
      </c>
      <c r="O467" s="19">
        <v>321.89</v>
      </c>
      <c r="P467" s="19">
        <v>330.93</v>
      </c>
      <c r="Q467" s="19">
        <v>339.86</v>
      </c>
      <c r="R467" s="19">
        <v>375.71</v>
      </c>
      <c r="S467" s="19">
        <v>363.24</v>
      </c>
      <c r="T467" s="19">
        <v>335.41</v>
      </c>
      <c r="U467" s="19">
        <v>364.23</v>
      </c>
      <c r="V467" s="19">
        <v>360.67</v>
      </c>
      <c r="W467" s="19">
        <v>362.49</v>
      </c>
      <c r="X467" s="19">
        <v>377.97</v>
      </c>
      <c r="Y467" s="19">
        <v>333.48</v>
      </c>
      <c r="Z467" s="33" t="s">
        <v>32</v>
      </c>
      <c r="AA467" s="25">
        <f>MIN($B$467:$Y$467)</f>
        <v>305.58999999999997</v>
      </c>
      <c r="AB467" s="25">
        <f>AVERAGE($B$467:$Y$467)</f>
        <v>349.46083333333303</v>
      </c>
    </row>
    <row r="468" spans="1:28">
      <c r="A468" s="30">
        <v>45758</v>
      </c>
      <c r="B468" s="19">
        <v>368.87</v>
      </c>
      <c r="C468" s="19">
        <v>362.31</v>
      </c>
      <c r="D468" s="19">
        <v>347.98</v>
      </c>
      <c r="E468" s="19">
        <v>331.09</v>
      </c>
      <c r="F468" s="19">
        <v>322.07</v>
      </c>
      <c r="G468" s="19">
        <v>319.58</v>
      </c>
      <c r="H468" s="19">
        <v>347.65</v>
      </c>
      <c r="I468" s="19">
        <v>350.76</v>
      </c>
      <c r="J468" s="19">
        <v>397.91</v>
      </c>
      <c r="K468" s="19">
        <v>525.26</v>
      </c>
      <c r="L468" s="19">
        <v>397.58</v>
      </c>
      <c r="M468" s="19">
        <v>335.33</v>
      </c>
      <c r="N468" s="19">
        <v>286.75</v>
      </c>
      <c r="O468" s="19">
        <v>309.08</v>
      </c>
      <c r="P468" s="19">
        <v>327.55</v>
      </c>
      <c r="Q468" s="19">
        <v>353.81</v>
      </c>
      <c r="R468" s="19">
        <v>365.71</v>
      </c>
      <c r="S468" s="19">
        <v>337.47</v>
      </c>
      <c r="T468" s="19">
        <v>331.32</v>
      </c>
      <c r="U468" s="19">
        <v>346.52</v>
      </c>
      <c r="V468" s="19">
        <v>345.89</v>
      </c>
      <c r="W468" s="19">
        <v>347.99</v>
      </c>
      <c r="X468" s="19">
        <v>351.31</v>
      </c>
      <c r="Y468" s="19">
        <v>324.27</v>
      </c>
      <c r="Z468" s="32" t="s">
        <v>32</v>
      </c>
      <c r="AA468" s="25">
        <f>MIN($B$468:$Y$468)</f>
        <v>286.75</v>
      </c>
      <c r="AB468" s="25">
        <f>AVERAGE($B$468:$Y$468)</f>
        <v>351.41916666666702</v>
      </c>
    </row>
    <row r="469" spans="1:28">
      <c r="A469" s="30">
        <v>45759</v>
      </c>
      <c r="B469" s="19">
        <v>428.3</v>
      </c>
      <c r="C469" s="19">
        <v>374.36</v>
      </c>
      <c r="D469" s="19">
        <v>356.94</v>
      </c>
      <c r="E469" s="19">
        <v>336.56</v>
      </c>
      <c r="F469" s="19">
        <v>320.83999999999997</v>
      </c>
      <c r="G469" s="19">
        <v>310.89999999999998</v>
      </c>
      <c r="H469" s="19">
        <v>328.67</v>
      </c>
      <c r="I469" s="19">
        <v>330.96</v>
      </c>
      <c r="J469" s="19">
        <v>332.51</v>
      </c>
      <c r="K469" s="19">
        <v>375.08</v>
      </c>
      <c r="L469" s="19">
        <v>371.65</v>
      </c>
      <c r="M469" s="19">
        <v>381.73</v>
      </c>
      <c r="N469" s="19">
        <v>320.69</v>
      </c>
      <c r="O469" s="19">
        <v>366.99</v>
      </c>
      <c r="P469" s="19">
        <v>351.11</v>
      </c>
      <c r="Q469" s="19">
        <v>341.13</v>
      </c>
      <c r="R469" s="19">
        <v>347.13</v>
      </c>
      <c r="S469" s="19">
        <v>322.95999999999998</v>
      </c>
      <c r="T469" s="19">
        <v>307.2</v>
      </c>
      <c r="U469" s="19">
        <v>327.48</v>
      </c>
      <c r="V469" s="19">
        <v>326.3</v>
      </c>
      <c r="W469" s="19">
        <v>325.36</v>
      </c>
      <c r="X469" s="19">
        <v>325.02</v>
      </c>
      <c r="Y469" s="19">
        <v>293.92</v>
      </c>
      <c r="Z469" s="36" t="s">
        <v>36</v>
      </c>
      <c r="AA469" s="25">
        <f>MIN($B$469:$Y$469)</f>
        <v>293.92</v>
      </c>
      <c r="AB469" s="25">
        <f>AVERAGE($B$469:$Y$469)</f>
        <v>341.82458333333301</v>
      </c>
    </row>
    <row r="470" spans="1:28">
      <c r="A470" s="30">
        <v>45760</v>
      </c>
      <c r="B470" s="19">
        <v>298.48</v>
      </c>
      <c r="C470" s="19">
        <v>306.47000000000003</v>
      </c>
      <c r="D470" s="19">
        <v>311.75</v>
      </c>
      <c r="E470" s="19">
        <v>305.81</v>
      </c>
      <c r="F470" s="19">
        <v>298.36</v>
      </c>
      <c r="G470" s="19">
        <v>294.35000000000002</v>
      </c>
      <c r="H470" s="19">
        <v>302.44</v>
      </c>
      <c r="I470" s="19">
        <v>302.91000000000003</v>
      </c>
      <c r="J470" s="19">
        <v>282.54000000000002</v>
      </c>
      <c r="K470" s="19">
        <v>288.57</v>
      </c>
      <c r="L470" s="19">
        <v>282.82</v>
      </c>
      <c r="M470" s="19">
        <v>288.81</v>
      </c>
      <c r="N470" s="19">
        <v>288.89</v>
      </c>
      <c r="O470" s="19">
        <v>302.68</v>
      </c>
      <c r="P470" s="19">
        <v>302.99</v>
      </c>
      <c r="Q470" s="19">
        <v>305.32</v>
      </c>
      <c r="R470" s="19">
        <v>319.5</v>
      </c>
      <c r="S470" s="19">
        <v>324.39</v>
      </c>
      <c r="T470" s="19">
        <v>327.05</v>
      </c>
      <c r="U470" s="19">
        <v>334.72</v>
      </c>
      <c r="V470" s="19">
        <v>329.98</v>
      </c>
      <c r="W470" s="19">
        <v>337.4</v>
      </c>
      <c r="X470" s="19">
        <v>333.79</v>
      </c>
      <c r="Y470" s="19">
        <v>309.02999999999997</v>
      </c>
      <c r="Z470" s="37" t="s">
        <v>37</v>
      </c>
      <c r="AA470" s="25">
        <f>MIN($B$470:$Y$470)</f>
        <v>282.54000000000002</v>
      </c>
      <c r="AB470" s="25">
        <f>AVERAGE($B$470:$Y$470)</f>
        <v>307.46041666666702</v>
      </c>
    </row>
    <row r="471" spans="1:28">
      <c r="A471" s="30">
        <v>45761</v>
      </c>
      <c r="B471" s="19">
        <v>261.70999999999998</v>
      </c>
      <c r="C471" s="19">
        <v>291.87</v>
      </c>
      <c r="D471" s="19">
        <v>292.64999999999998</v>
      </c>
      <c r="E471" s="19">
        <v>288.97000000000003</v>
      </c>
      <c r="F471" s="19">
        <v>282.25</v>
      </c>
      <c r="G471" s="19">
        <v>283.57</v>
      </c>
      <c r="H471" s="19">
        <v>298.02</v>
      </c>
      <c r="I471" s="19">
        <v>302.98</v>
      </c>
      <c r="J471" s="19">
        <v>319.93</v>
      </c>
      <c r="K471" s="19">
        <v>323.23</v>
      </c>
      <c r="L471" s="19">
        <v>296.29000000000002</v>
      </c>
      <c r="M471" s="19">
        <v>286.08999999999997</v>
      </c>
      <c r="N471" s="19">
        <v>265.04000000000002</v>
      </c>
      <c r="O471" s="19">
        <v>284.83</v>
      </c>
      <c r="P471" s="19">
        <v>295.04000000000002</v>
      </c>
      <c r="Q471" s="19">
        <v>303.45</v>
      </c>
      <c r="R471" s="19">
        <v>324.11</v>
      </c>
      <c r="S471" s="19">
        <v>333.36</v>
      </c>
      <c r="T471" s="19">
        <v>330.11</v>
      </c>
      <c r="U471" s="19">
        <v>336.02</v>
      </c>
      <c r="V471" s="19">
        <v>335.72</v>
      </c>
      <c r="W471" s="19">
        <v>344.43</v>
      </c>
      <c r="X471" s="19">
        <v>339.31</v>
      </c>
      <c r="Y471" s="19">
        <v>303.22000000000003</v>
      </c>
      <c r="Z471" s="33" t="s">
        <v>32</v>
      </c>
      <c r="AA471" s="25">
        <f>MIN($B$471:$Y$471)</f>
        <v>261.70999999999998</v>
      </c>
      <c r="AB471" s="25">
        <f>AVERAGE($B$471:$Y$471)</f>
        <v>305.09166666666698</v>
      </c>
    </row>
    <row r="472" spans="1:28">
      <c r="A472" s="30">
        <v>45762</v>
      </c>
      <c r="B472" s="19">
        <v>314.10000000000002</v>
      </c>
      <c r="C472" s="19">
        <v>317.7</v>
      </c>
      <c r="D472" s="19">
        <v>317.95999999999998</v>
      </c>
      <c r="E472" s="19">
        <v>311.74</v>
      </c>
      <c r="F472" s="19">
        <v>303.47000000000003</v>
      </c>
      <c r="G472" s="19">
        <v>305.16000000000003</v>
      </c>
      <c r="H472" s="19">
        <v>317.04000000000002</v>
      </c>
      <c r="I472" s="19">
        <v>304.87</v>
      </c>
      <c r="J472" s="19">
        <v>303.85000000000002</v>
      </c>
      <c r="K472" s="19">
        <v>297.77</v>
      </c>
      <c r="L472" s="19">
        <v>277.35000000000002</v>
      </c>
      <c r="M472" s="19">
        <v>283.08</v>
      </c>
      <c r="N472" s="19">
        <v>268.82</v>
      </c>
      <c r="O472" s="19">
        <v>278.55</v>
      </c>
      <c r="P472" s="19">
        <v>287.45999999999998</v>
      </c>
      <c r="Q472" s="19">
        <v>304.99</v>
      </c>
      <c r="R472" s="19">
        <v>325.81</v>
      </c>
      <c r="S472" s="19">
        <v>328.32</v>
      </c>
      <c r="T472" s="19">
        <v>330.39</v>
      </c>
      <c r="U472" s="19">
        <v>337.24</v>
      </c>
      <c r="V472" s="19">
        <v>330.77</v>
      </c>
      <c r="W472" s="19">
        <v>332.73</v>
      </c>
      <c r="X472" s="19">
        <v>328.82</v>
      </c>
      <c r="Y472" s="19">
        <v>303.52999999999997</v>
      </c>
      <c r="Z472" s="32" t="s">
        <v>32</v>
      </c>
      <c r="AA472" s="25">
        <f>MIN($B$472:$Y$472)</f>
        <v>268.82</v>
      </c>
      <c r="AB472" s="25">
        <f>AVERAGE($B$472:$Y$472)</f>
        <v>308.81333333333299</v>
      </c>
    </row>
    <row r="473" spans="1:28">
      <c r="A473" s="30">
        <v>45763</v>
      </c>
      <c r="B473" s="19">
        <v>306.27999999999997</v>
      </c>
      <c r="C473" s="19">
        <v>300.02999999999997</v>
      </c>
      <c r="D473" s="19">
        <v>295.57</v>
      </c>
      <c r="E473" s="19">
        <v>291.37</v>
      </c>
      <c r="F473" s="19">
        <v>299.54000000000002</v>
      </c>
      <c r="G473" s="19">
        <v>286.94</v>
      </c>
      <c r="H473" s="19">
        <v>291.54000000000002</v>
      </c>
      <c r="I473" s="19">
        <v>289.27</v>
      </c>
      <c r="J473" s="19">
        <v>297.8</v>
      </c>
      <c r="K473" s="19">
        <v>285.55</v>
      </c>
      <c r="L473" s="19">
        <v>125.78</v>
      </c>
      <c r="M473" s="19">
        <v>196.83</v>
      </c>
      <c r="N473" s="19">
        <v>46.46</v>
      </c>
      <c r="O473" s="19">
        <v>151.63</v>
      </c>
      <c r="P473" s="19">
        <v>185</v>
      </c>
      <c r="Q473" s="19">
        <v>257.33999999999997</v>
      </c>
      <c r="R473" s="19">
        <v>319.57</v>
      </c>
      <c r="S473" s="19">
        <v>341.56</v>
      </c>
      <c r="T473" s="19">
        <v>318.94</v>
      </c>
      <c r="U473" s="19">
        <v>344.23</v>
      </c>
      <c r="V473" s="19">
        <v>324.64999999999998</v>
      </c>
      <c r="W473" s="19">
        <v>314.97000000000003</v>
      </c>
      <c r="X473" s="19">
        <v>305.47000000000003</v>
      </c>
      <c r="Y473" s="19">
        <v>284.83</v>
      </c>
      <c r="Z473" s="33" t="s">
        <v>32</v>
      </c>
      <c r="AA473" s="25">
        <f>MIN($B$473:$Y$473)</f>
        <v>46.46</v>
      </c>
      <c r="AB473" s="25">
        <f>AVERAGE($B$473:$Y$473)</f>
        <v>269.214583333333</v>
      </c>
    </row>
    <row r="474" spans="1:28">
      <c r="A474" s="30">
        <v>45764</v>
      </c>
      <c r="B474" s="19">
        <v>293.72000000000003</v>
      </c>
      <c r="C474" s="19">
        <v>286.76</v>
      </c>
      <c r="D474" s="19">
        <v>284.43</v>
      </c>
      <c r="E474" s="19">
        <v>286.89999999999998</v>
      </c>
      <c r="F474" s="19">
        <v>281.42</v>
      </c>
      <c r="G474" s="19">
        <v>283.33</v>
      </c>
      <c r="H474" s="19">
        <v>287.64999999999998</v>
      </c>
      <c r="I474" s="19">
        <v>285.33999999999997</v>
      </c>
      <c r="J474" s="19">
        <v>296.12</v>
      </c>
      <c r="K474" s="19">
        <v>305.07</v>
      </c>
      <c r="L474" s="19">
        <v>296.14999999999998</v>
      </c>
      <c r="M474" s="19">
        <v>308.55</v>
      </c>
      <c r="N474" s="19">
        <v>286.51</v>
      </c>
      <c r="O474" s="19">
        <v>322.43</v>
      </c>
      <c r="P474" s="19">
        <v>307.89</v>
      </c>
      <c r="Q474" s="19">
        <v>323.20999999999998</v>
      </c>
      <c r="R474" s="19">
        <v>338.34</v>
      </c>
      <c r="S474" s="19">
        <v>329.15</v>
      </c>
      <c r="T474" s="19">
        <v>325.89</v>
      </c>
      <c r="U474" s="19">
        <v>353.32</v>
      </c>
      <c r="V474" s="19">
        <v>337.52</v>
      </c>
      <c r="W474" s="19">
        <v>328.62</v>
      </c>
      <c r="X474" s="19">
        <v>309.95</v>
      </c>
      <c r="Y474" s="19">
        <v>283.31</v>
      </c>
      <c r="Z474" s="32" t="s">
        <v>32</v>
      </c>
      <c r="AA474" s="25">
        <f>MIN($B$474:$Y$474)</f>
        <v>281.42</v>
      </c>
      <c r="AB474" s="25">
        <f>AVERAGE($B$474:$Y$474)</f>
        <v>305.89916666666699</v>
      </c>
    </row>
    <row r="475" spans="1:28">
      <c r="A475" s="30">
        <v>45765</v>
      </c>
      <c r="B475" s="19">
        <v>303.49</v>
      </c>
      <c r="C475" s="19">
        <v>307.17</v>
      </c>
      <c r="D475" s="19">
        <v>300.37</v>
      </c>
      <c r="E475" s="19">
        <v>295.52999999999997</v>
      </c>
      <c r="F475" s="19">
        <v>289.27</v>
      </c>
      <c r="G475" s="19">
        <v>289.5</v>
      </c>
      <c r="H475" s="19">
        <v>294.20999999999998</v>
      </c>
      <c r="I475" s="19">
        <v>295.89999999999998</v>
      </c>
      <c r="J475" s="19">
        <v>330.7</v>
      </c>
      <c r="K475" s="19">
        <v>414.05</v>
      </c>
      <c r="L475" s="19">
        <v>332.94</v>
      </c>
      <c r="M475" s="19">
        <v>380.11</v>
      </c>
      <c r="N475" s="19">
        <v>294.44</v>
      </c>
      <c r="O475" s="19">
        <v>313.10000000000002</v>
      </c>
      <c r="P475" s="19">
        <v>326.97000000000003</v>
      </c>
      <c r="Q475" s="19">
        <v>335.95</v>
      </c>
      <c r="R475" s="19">
        <v>351.31</v>
      </c>
      <c r="S475" s="19">
        <v>335.28</v>
      </c>
      <c r="T475" s="19">
        <v>329.93</v>
      </c>
      <c r="U475" s="19">
        <v>354.44</v>
      </c>
      <c r="V475" s="19">
        <v>347.19</v>
      </c>
      <c r="W475" s="19">
        <v>346.24</v>
      </c>
      <c r="X475" s="19">
        <v>333.54</v>
      </c>
      <c r="Y475" s="19">
        <v>294.68</v>
      </c>
      <c r="Z475" s="33" t="s">
        <v>32</v>
      </c>
      <c r="AA475" s="25">
        <f>MIN($B$475:$Y$475)</f>
        <v>289.27</v>
      </c>
      <c r="AB475" s="25">
        <f>AVERAGE($B$475:$Y$475)</f>
        <v>324.84625</v>
      </c>
    </row>
    <row r="476" spans="1:28">
      <c r="A476" s="30">
        <v>45766</v>
      </c>
      <c r="B476" s="19">
        <v>335.55</v>
      </c>
      <c r="C476" s="19">
        <v>322.66000000000003</v>
      </c>
      <c r="D476" s="19">
        <v>315.82</v>
      </c>
      <c r="E476" s="19">
        <v>305.29000000000002</v>
      </c>
      <c r="F476" s="19">
        <v>296.44</v>
      </c>
      <c r="G476" s="19">
        <v>294.87</v>
      </c>
      <c r="H476" s="19">
        <v>298.04000000000002</v>
      </c>
      <c r="I476" s="19">
        <v>301.08</v>
      </c>
      <c r="J476" s="19">
        <v>329.27</v>
      </c>
      <c r="K476" s="19">
        <v>360.11</v>
      </c>
      <c r="L476" s="19">
        <v>329.16</v>
      </c>
      <c r="M476" s="19">
        <v>372.34</v>
      </c>
      <c r="N476" s="19">
        <v>316.14999999999998</v>
      </c>
      <c r="O476" s="19">
        <v>340.12</v>
      </c>
      <c r="P476" s="19">
        <v>339.53</v>
      </c>
      <c r="Q476" s="19">
        <v>325.92</v>
      </c>
      <c r="R476" s="19">
        <v>321.31</v>
      </c>
      <c r="S476" s="19">
        <v>309.02999999999997</v>
      </c>
      <c r="T476" s="19">
        <v>305.75</v>
      </c>
      <c r="U476" s="19">
        <v>340.41</v>
      </c>
      <c r="V476" s="19">
        <v>340.01</v>
      </c>
      <c r="W476" s="19">
        <v>333.87</v>
      </c>
      <c r="X476" s="19">
        <v>322.13</v>
      </c>
      <c r="Y476" s="19">
        <v>288.52</v>
      </c>
      <c r="Z476" s="34" t="s">
        <v>36</v>
      </c>
      <c r="AA476" s="25">
        <f>MIN($B$476:$Y$476)</f>
        <v>288.52</v>
      </c>
      <c r="AB476" s="25">
        <f>AVERAGE($B$476:$Y$476)</f>
        <v>322.64083333333298</v>
      </c>
    </row>
    <row r="477" spans="1:28">
      <c r="A477" s="30">
        <v>45767</v>
      </c>
      <c r="B477" s="19">
        <v>334.96</v>
      </c>
      <c r="C477" s="19">
        <v>353.11</v>
      </c>
      <c r="D477" s="19">
        <v>341.57</v>
      </c>
      <c r="E477" s="19">
        <v>320.95</v>
      </c>
      <c r="F477" s="19">
        <v>303.89999999999998</v>
      </c>
      <c r="G477" s="19">
        <v>298.41000000000003</v>
      </c>
      <c r="H477" s="19">
        <v>298.81</v>
      </c>
      <c r="I477" s="19">
        <v>296.5</v>
      </c>
      <c r="J477" s="19">
        <v>293.89999999999998</v>
      </c>
      <c r="K477" s="19">
        <v>326.13</v>
      </c>
      <c r="L477" s="19">
        <v>334.38</v>
      </c>
      <c r="M477" s="19">
        <v>379.3</v>
      </c>
      <c r="N477" s="19">
        <v>309.81</v>
      </c>
      <c r="O477" s="19">
        <v>332.06</v>
      </c>
      <c r="P477" s="19">
        <v>336.21</v>
      </c>
      <c r="Q477" s="19">
        <v>327.3</v>
      </c>
      <c r="R477" s="19">
        <v>333.56</v>
      </c>
      <c r="S477" s="19">
        <v>325.93</v>
      </c>
      <c r="T477" s="19">
        <v>321.42</v>
      </c>
      <c r="U477" s="19">
        <v>329.6</v>
      </c>
      <c r="V477" s="19">
        <v>330.56</v>
      </c>
      <c r="W477" s="19">
        <v>330.82</v>
      </c>
      <c r="X477" s="19">
        <v>324.74</v>
      </c>
      <c r="Y477" s="19">
        <v>293.92</v>
      </c>
      <c r="Z477" s="35" t="s">
        <v>37</v>
      </c>
      <c r="AA477" s="25">
        <f>MIN($B$477:$Y$477)</f>
        <v>293.89999999999998</v>
      </c>
      <c r="AB477" s="25">
        <f>AVERAGE($B$477:$Y$477)</f>
        <v>324.07708333333301</v>
      </c>
    </row>
    <row r="478" spans="1:28">
      <c r="A478" s="30">
        <v>45768</v>
      </c>
      <c r="B478" s="19">
        <v>290.55</v>
      </c>
      <c r="C478" s="19">
        <v>290</v>
      </c>
      <c r="D478" s="19">
        <v>283.89999999999998</v>
      </c>
      <c r="E478" s="19">
        <v>277.99</v>
      </c>
      <c r="F478" s="19">
        <v>271.7</v>
      </c>
      <c r="G478" s="19">
        <v>271.45999999999998</v>
      </c>
      <c r="H478" s="19">
        <v>279.33999999999997</v>
      </c>
      <c r="I478" s="19">
        <v>281.02999999999997</v>
      </c>
      <c r="J478" s="19">
        <v>322.98</v>
      </c>
      <c r="K478" s="19">
        <v>339.97</v>
      </c>
      <c r="L478" s="19">
        <v>318.29000000000002</v>
      </c>
      <c r="M478" s="19">
        <v>330.64</v>
      </c>
      <c r="N478" s="19">
        <v>291.08999999999997</v>
      </c>
      <c r="O478" s="19">
        <v>300.89</v>
      </c>
      <c r="P478" s="19">
        <v>319.79000000000002</v>
      </c>
      <c r="Q478" s="19">
        <v>327.74</v>
      </c>
      <c r="R478" s="19">
        <v>344.57</v>
      </c>
      <c r="S478" s="19">
        <v>339.87</v>
      </c>
      <c r="T478" s="19">
        <v>329.27</v>
      </c>
      <c r="U478" s="19">
        <v>375.89</v>
      </c>
      <c r="V478" s="19">
        <v>350.5</v>
      </c>
      <c r="W478" s="19">
        <v>346.11</v>
      </c>
      <c r="X478" s="19">
        <v>364.78</v>
      </c>
      <c r="Y478" s="19">
        <v>310.52</v>
      </c>
      <c r="Z478" s="32" t="s">
        <v>32</v>
      </c>
      <c r="AA478" s="25">
        <f>MIN($B$478:$Y$478)</f>
        <v>271.45999999999998</v>
      </c>
      <c r="AB478" s="25">
        <f>AVERAGE($B$478:$Y$478)</f>
        <v>314.95291666666702</v>
      </c>
    </row>
    <row r="479" spans="1:28">
      <c r="A479" s="30">
        <v>45769</v>
      </c>
      <c r="B479" s="19">
        <v>431.99</v>
      </c>
      <c r="C479" s="19">
        <v>383.26</v>
      </c>
      <c r="D479" s="19">
        <v>372.85</v>
      </c>
      <c r="E479" s="19">
        <v>343.08</v>
      </c>
      <c r="F479" s="19">
        <v>321.32</v>
      </c>
      <c r="G479" s="19">
        <v>318.37</v>
      </c>
      <c r="H479" s="19">
        <v>324.29000000000002</v>
      </c>
      <c r="I479" s="19">
        <v>322.70999999999998</v>
      </c>
      <c r="J479" s="19">
        <v>474.82</v>
      </c>
      <c r="K479" s="19">
        <v>581.29</v>
      </c>
      <c r="L479" s="19">
        <v>433.68</v>
      </c>
      <c r="M479" s="19">
        <v>648.39</v>
      </c>
      <c r="N479" s="19">
        <v>362.01</v>
      </c>
      <c r="O479" s="19">
        <v>595.02</v>
      </c>
      <c r="P479" s="19">
        <v>907.24</v>
      </c>
      <c r="Q479" s="19">
        <v>960.47</v>
      </c>
      <c r="R479" s="19">
        <v>909.5</v>
      </c>
      <c r="S479" s="19">
        <v>407.04</v>
      </c>
      <c r="T479" s="19">
        <v>359.35</v>
      </c>
      <c r="U479" s="19">
        <v>433.06</v>
      </c>
      <c r="V479" s="19">
        <v>408.42</v>
      </c>
      <c r="W479" s="19">
        <v>451.32</v>
      </c>
      <c r="X479" s="19">
        <v>553.48</v>
      </c>
      <c r="Y479" s="19">
        <v>357.86</v>
      </c>
      <c r="Z479" s="33" t="s">
        <v>32</v>
      </c>
      <c r="AA479" s="25">
        <f>MIN($B$479:$Y$479)</f>
        <v>318.37</v>
      </c>
      <c r="AB479" s="25">
        <f>AVERAGE($B$479:$Y$479)</f>
        <v>485.86750000000001</v>
      </c>
    </row>
    <row r="480" spans="1:28">
      <c r="A480" s="30">
        <v>45770</v>
      </c>
      <c r="B480" s="19">
        <v>617.5</v>
      </c>
      <c r="C480" s="19">
        <v>442.8</v>
      </c>
      <c r="D480" s="19">
        <v>424.8</v>
      </c>
      <c r="E480" s="19">
        <v>357.45</v>
      </c>
      <c r="F480" s="19">
        <v>325.75</v>
      </c>
      <c r="G480" s="19">
        <v>321.61</v>
      </c>
      <c r="H480" s="19">
        <v>337.34</v>
      </c>
      <c r="I480" s="19">
        <v>336.44</v>
      </c>
      <c r="J480" s="19">
        <v>650.46</v>
      </c>
      <c r="K480" s="19">
        <v>624.73</v>
      </c>
      <c r="L480" s="19">
        <v>604.37</v>
      </c>
      <c r="M480" s="19">
        <v>1031.6500000000001</v>
      </c>
      <c r="N480" s="19">
        <v>643.38</v>
      </c>
      <c r="O480" s="19">
        <v>883.51</v>
      </c>
      <c r="P480" s="19">
        <v>851.58</v>
      </c>
      <c r="Q480" s="19">
        <v>638.19000000000005</v>
      </c>
      <c r="R480" s="19">
        <v>741.85</v>
      </c>
      <c r="S480" s="19">
        <v>546.4</v>
      </c>
      <c r="T480" s="19">
        <v>360.96</v>
      </c>
      <c r="U480" s="19">
        <v>409.07</v>
      </c>
      <c r="V480" s="19">
        <v>413.09</v>
      </c>
      <c r="W480" s="19">
        <v>473.98</v>
      </c>
      <c r="X480" s="19">
        <v>597.03</v>
      </c>
      <c r="Y480" s="19">
        <v>350.05</v>
      </c>
      <c r="Z480" s="32" t="s">
        <v>32</v>
      </c>
      <c r="AA480" s="25">
        <f>MIN($B$480:$Y$480)</f>
        <v>321.61</v>
      </c>
      <c r="AB480" s="25">
        <f>AVERAGE($B$480:$Y$480)</f>
        <v>540.99958333333302</v>
      </c>
    </row>
    <row r="481" spans="1:28">
      <c r="A481" s="30">
        <v>45771</v>
      </c>
      <c r="B481" s="19">
        <v>459.26</v>
      </c>
      <c r="C481" s="19">
        <v>393.96</v>
      </c>
      <c r="D481" s="19">
        <v>411.84</v>
      </c>
      <c r="E481" s="19">
        <v>356.17</v>
      </c>
      <c r="F481" s="19">
        <v>333.52</v>
      </c>
      <c r="G481" s="19">
        <v>324.33</v>
      </c>
      <c r="H481" s="19">
        <v>332.67</v>
      </c>
      <c r="I481" s="19">
        <v>312.02999999999997</v>
      </c>
      <c r="J481" s="19">
        <v>491.39</v>
      </c>
      <c r="K481" s="19">
        <v>419.29</v>
      </c>
      <c r="L481" s="19">
        <v>393.66</v>
      </c>
      <c r="M481" s="19">
        <v>569.42999999999995</v>
      </c>
      <c r="N481" s="19">
        <v>374.84</v>
      </c>
      <c r="O481" s="19">
        <v>541.89</v>
      </c>
      <c r="P481" s="19">
        <v>556.16999999999996</v>
      </c>
      <c r="Q481" s="19">
        <v>485.71</v>
      </c>
      <c r="R481" s="19">
        <v>592.14</v>
      </c>
      <c r="S481" s="19">
        <v>418.2</v>
      </c>
      <c r="T481" s="19">
        <v>368.19</v>
      </c>
      <c r="U481" s="19">
        <v>438.52</v>
      </c>
      <c r="V481" s="19">
        <v>441.71</v>
      </c>
      <c r="W481" s="19">
        <v>410.07</v>
      </c>
      <c r="X481" s="19">
        <v>565.32000000000005</v>
      </c>
      <c r="Y481" s="19">
        <v>354.6</v>
      </c>
      <c r="Z481" s="33" t="s">
        <v>32</v>
      </c>
      <c r="AA481" s="25">
        <f>MIN($B$481:$Y$481)</f>
        <v>312.02999999999997</v>
      </c>
      <c r="AB481" s="25">
        <f>AVERAGE($B$481:$Y$481)</f>
        <v>431.037916666667</v>
      </c>
    </row>
    <row r="482" spans="1:28">
      <c r="A482" s="30">
        <v>45772</v>
      </c>
      <c r="B482" s="19">
        <v>381.14</v>
      </c>
      <c r="C482" s="19">
        <v>370.57</v>
      </c>
      <c r="D482" s="19">
        <v>343.91</v>
      </c>
      <c r="E482" s="19">
        <v>321.58</v>
      </c>
      <c r="F482" s="19">
        <v>310.51</v>
      </c>
      <c r="G482" s="19">
        <v>303.12</v>
      </c>
      <c r="H482" s="19">
        <v>308.99</v>
      </c>
      <c r="I482" s="19">
        <v>310.67</v>
      </c>
      <c r="J482" s="19">
        <v>377.97</v>
      </c>
      <c r="K482" s="19">
        <v>402.26</v>
      </c>
      <c r="L482" s="19">
        <v>378.87</v>
      </c>
      <c r="M482" s="19">
        <v>515.57000000000005</v>
      </c>
      <c r="N482" s="19">
        <v>339.34</v>
      </c>
      <c r="O482" s="19">
        <v>365.69</v>
      </c>
      <c r="P482" s="19">
        <v>385.2</v>
      </c>
      <c r="Q482" s="19">
        <v>372.99</v>
      </c>
      <c r="R482" s="19">
        <v>373.39</v>
      </c>
      <c r="S482" s="19">
        <v>348.61</v>
      </c>
      <c r="T482" s="19">
        <v>339.5</v>
      </c>
      <c r="U482" s="19">
        <v>353.29</v>
      </c>
      <c r="V482" s="19">
        <v>342.07</v>
      </c>
      <c r="W482" s="19">
        <v>337.95</v>
      </c>
      <c r="X482" s="19">
        <v>332.29</v>
      </c>
      <c r="Y482" s="19">
        <v>294.91000000000003</v>
      </c>
      <c r="Z482" s="32" t="s">
        <v>32</v>
      </c>
      <c r="AA482" s="25">
        <f>MIN($B$482:$Y$482)</f>
        <v>294.91000000000003</v>
      </c>
      <c r="AB482" s="25">
        <f>AVERAGE($B$482:$Y$482)</f>
        <v>354.59958333333299</v>
      </c>
    </row>
    <row r="483" spans="1:28">
      <c r="A483" s="30">
        <v>45773</v>
      </c>
      <c r="B483" s="19">
        <v>301</v>
      </c>
      <c r="C483" s="19">
        <v>299.44</v>
      </c>
      <c r="D483" s="19">
        <v>291.08</v>
      </c>
      <c r="E483" s="19">
        <v>282.63</v>
      </c>
      <c r="F483" s="19">
        <v>276.83</v>
      </c>
      <c r="G483" s="19">
        <v>272.82</v>
      </c>
      <c r="H483" s="19">
        <v>277.35000000000002</v>
      </c>
      <c r="I483" s="19">
        <v>280.93</v>
      </c>
      <c r="J483" s="19">
        <v>319.10000000000002</v>
      </c>
      <c r="K483" s="19">
        <v>340.49</v>
      </c>
      <c r="L483" s="19">
        <v>341.6</v>
      </c>
      <c r="M483" s="19">
        <v>364.65</v>
      </c>
      <c r="N483" s="19">
        <v>306.77</v>
      </c>
      <c r="O483" s="19">
        <v>338.48</v>
      </c>
      <c r="P483" s="19">
        <v>348.07</v>
      </c>
      <c r="Q483" s="19">
        <v>357.77</v>
      </c>
      <c r="R483" s="19">
        <v>360.3</v>
      </c>
      <c r="S483" s="19">
        <v>328.48</v>
      </c>
      <c r="T483" s="19">
        <v>309.26</v>
      </c>
      <c r="U483" s="19">
        <v>323.92</v>
      </c>
      <c r="V483" s="19">
        <v>333.31</v>
      </c>
      <c r="W483" s="19">
        <v>318.26</v>
      </c>
      <c r="X483" s="19">
        <v>314.97000000000003</v>
      </c>
      <c r="Y483" s="19">
        <v>295.88</v>
      </c>
      <c r="Z483" s="36" t="s">
        <v>36</v>
      </c>
      <c r="AA483" s="25">
        <f>MIN($B$483:$Y$483)</f>
        <v>272.82</v>
      </c>
      <c r="AB483" s="25">
        <f>AVERAGE($B$483:$Y$483)</f>
        <v>315.97458333333299</v>
      </c>
    </row>
    <row r="484" spans="1:28">
      <c r="A484" s="30">
        <v>45774</v>
      </c>
      <c r="B484" s="19">
        <v>296.16000000000003</v>
      </c>
      <c r="C484" s="19">
        <v>281.83</v>
      </c>
      <c r="D484" s="19">
        <v>276.66000000000003</v>
      </c>
      <c r="E484" s="19">
        <v>277.61</v>
      </c>
      <c r="F484" s="19">
        <v>272.62</v>
      </c>
      <c r="G484" s="19">
        <v>272.22000000000003</v>
      </c>
      <c r="H484" s="19">
        <v>278.27</v>
      </c>
      <c r="I484" s="19">
        <v>280.18</v>
      </c>
      <c r="J484" s="19">
        <v>301.5</v>
      </c>
      <c r="K484" s="19">
        <v>320.64999999999998</v>
      </c>
      <c r="L484" s="19">
        <v>318.04000000000002</v>
      </c>
      <c r="M484" s="19">
        <v>341.35</v>
      </c>
      <c r="N484" s="19">
        <v>301.27</v>
      </c>
      <c r="O484" s="19">
        <v>312.33</v>
      </c>
      <c r="P484" s="19">
        <v>315.47000000000003</v>
      </c>
      <c r="Q484" s="19">
        <v>316.64</v>
      </c>
      <c r="R484" s="19">
        <v>327.14</v>
      </c>
      <c r="S484" s="19">
        <v>382.73</v>
      </c>
      <c r="T484" s="19">
        <v>309.7</v>
      </c>
      <c r="U484" s="19">
        <v>321.83999999999997</v>
      </c>
      <c r="V484" s="19">
        <v>321.33999999999997</v>
      </c>
      <c r="W484" s="19">
        <v>330.94</v>
      </c>
      <c r="X484" s="19">
        <v>320.92</v>
      </c>
      <c r="Y484" s="19">
        <v>299.19</v>
      </c>
      <c r="Z484" s="32" t="s">
        <v>32</v>
      </c>
      <c r="AA484" s="25">
        <f>MIN($B$484:$Y$484)</f>
        <v>272.22000000000003</v>
      </c>
      <c r="AB484" s="25">
        <f>AVERAGE($B$484:$Y$484)</f>
        <v>307.35833333333301</v>
      </c>
    </row>
    <row r="485" spans="1:28">
      <c r="A485" s="30">
        <v>45775</v>
      </c>
      <c r="B485" s="19">
        <v>304.83</v>
      </c>
      <c r="C485" s="19">
        <v>295.62</v>
      </c>
      <c r="D485" s="19">
        <v>288.68</v>
      </c>
      <c r="E485" s="19">
        <v>287.72000000000003</v>
      </c>
      <c r="F485" s="19">
        <v>284.54000000000002</v>
      </c>
      <c r="G485" s="19">
        <v>285.86</v>
      </c>
      <c r="H485" s="19">
        <v>291.74</v>
      </c>
      <c r="I485" s="19">
        <v>290.94</v>
      </c>
      <c r="J485" s="19">
        <v>328.81</v>
      </c>
      <c r="K485" s="19">
        <v>360.05</v>
      </c>
      <c r="L485" s="19">
        <v>347.81</v>
      </c>
      <c r="M485" s="19">
        <v>363.03</v>
      </c>
      <c r="N485" s="19">
        <v>309.79000000000002</v>
      </c>
      <c r="O485" s="19">
        <v>354.9</v>
      </c>
      <c r="P485" s="19">
        <v>354.45</v>
      </c>
      <c r="Q485" s="19">
        <v>356.43</v>
      </c>
      <c r="R485" s="19">
        <v>348.31</v>
      </c>
      <c r="S485" s="19">
        <v>339.02</v>
      </c>
      <c r="T485" s="19">
        <v>324.83999999999997</v>
      </c>
      <c r="U485" s="19">
        <v>340.42</v>
      </c>
      <c r="V485" s="19">
        <v>353.77</v>
      </c>
      <c r="W485" s="19">
        <v>378.45</v>
      </c>
      <c r="X485" s="19">
        <v>367.28</v>
      </c>
      <c r="Y485" s="19">
        <v>313.18</v>
      </c>
      <c r="Z485" s="33" t="s">
        <v>32</v>
      </c>
      <c r="AA485" s="25">
        <f>MIN($B$485:$Y$485)</f>
        <v>284.54000000000002</v>
      </c>
      <c r="AB485" s="25">
        <f>AVERAGE($B$485:$Y$485)</f>
        <v>327.93624999999997</v>
      </c>
    </row>
    <row r="486" spans="1:28">
      <c r="A486" s="30">
        <v>45776</v>
      </c>
      <c r="B486" s="19">
        <v>341.81</v>
      </c>
      <c r="C486" s="19">
        <v>309.07</v>
      </c>
      <c r="D486" s="19">
        <v>295.8</v>
      </c>
      <c r="E486" s="19">
        <v>293.08999999999997</v>
      </c>
      <c r="F486" s="19">
        <v>287.02</v>
      </c>
      <c r="G486" s="19">
        <v>287.64999999999998</v>
      </c>
      <c r="H486" s="19">
        <v>291.99</v>
      </c>
      <c r="I486" s="19">
        <v>286.14999999999998</v>
      </c>
      <c r="J486" s="19">
        <v>306.66000000000003</v>
      </c>
      <c r="K486" s="19">
        <v>308.95999999999998</v>
      </c>
      <c r="L486" s="19">
        <v>307.68</v>
      </c>
      <c r="M486" s="19">
        <v>349.33</v>
      </c>
      <c r="N486" s="19">
        <v>286.14999999999998</v>
      </c>
      <c r="O486" s="19">
        <v>337.42</v>
      </c>
      <c r="P486" s="19">
        <v>342.19</v>
      </c>
      <c r="Q486" s="19">
        <v>356.76</v>
      </c>
      <c r="R486" s="19">
        <v>789.34</v>
      </c>
      <c r="S486" s="19">
        <v>419.94</v>
      </c>
      <c r="T486" s="19">
        <v>348.41</v>
      </c>
      <c r="U486" s="19">
        <v>377.28</v>
      </c>
      <c r="V486" s="19">
        <v>362.15</v>
      </c>
      <c r="W486" s="19">
        <v>383.44</v>
      </c>
      <c r="X486" s="19">
        <v>358.34</v>
      </c>
      <c r="Y486" s="19">
        <v>308.88</v>
      </c>
      <c r="Z486" s="32" t="s">
        <v>32</v>
      </c>
      <c r="AA486" s="25">
        <f>MIN($B$486:$Y$486)</f>
        <v>286.14999999999998</v>
      </c>
      <c r="AB486" s="25">
        <f>AVERAGE($B$486:$Y$486)</f>
        <v>347.31291666666698</v>
      </c>
    </row>
    <row r="487" spans="1:28">
      <c r="A487" s="30">
        <v>45777</v>
      </c>
      <c r="B487" s="19">
        <v>501.71</v>
      </c>
      <c r="C487" s="19">
        <v>355.07</v>
      </c>
      <c r="D487" s="19">
        <v>341.37</v>
      </c>
      <c r="E487" s="19">
        <v>329.92</v>
      </c>
      <c r="F487" s="19">
        <v>318.5</v>
      </c>
      <c r="G487" s="19">
        <v>317.10000000000002</v>
      </c>
      <c r="H487" s="19">
        <v>317.29000000000002</v>
      </c>
      <c r="I487" s="19">
        <v>305.64999999999998</v>
      </c>
      <c r="J487" s="19">
        <v>351.19</v>
      </c>
      <c r="K487" s="19">
        <v>358.03</v>
      </c>
      <c r="L487" s="19">
        <v>338.72</v>
      </c>
      <c r="M487" s="19">
        <v>469.46</v>
      </c>
      <c r="N487" s="19">
        <v>318.23</v>
      </c>
      <c r="O487" s="19">
        <v>393.21</v>
      </c>
      <c r="P487" s="19">
        <v>618.09</v>
      </c>
      <c r="Q487" s="19">
        <v>422.77</v>
      </c>
      <c r="R487" s="19">
        <v>442.25</v>
      </c>
      <c r="S487" s="19">
        <v>344.8</v>
      </c>
      <c r="T487" s="19">
        <v>349.93</v>
      </c>
      <c r="U487" s="19">
        <v>390.22</v>
      </c>
      <c r="V487" s="19">
        <v>423.91</v>
      </c>
      <c r="W487" s="19">
        <v>528</v>
      </c>
      <c r="X487" s="19">
        <v>462.14</v>
      </c>
      <c r="Y487" s="19">
        <v>344.84</v>
      </c>
      <c r="Z487" s="33" t="s">
        <v>32</v>
      </c>
      <c r="AA487" s="25">
        <f>MIN($B$487:$Y$487)</f>
        <v>305.64999999999998</v>
      </c>
      <c r="AB487" s="25">
        <f>AVERAGE($B$487:$Y$487)</f>
        <v>389.26666666666699</v>
      </c>
    </row>
    <row r="488" spans="1:28">
      <c r="A488" s="30">
        <v>45778</v>
      </c>
      <c r="B488" s="19">
        <v>497.23</v>
      </c>
      <c r="C488" s="19">
        <v>403.73</v>
      </c>
      <c r="D488" s="19">
        <v>349.15</v>
      </c>
      <c r="E488" s="19">
        <v>325.64999999999998</v>
      </c>
      <c r="F488" s="19">
        <v>326.52</v>
      </c>
      <c r="G488" s="19">
        <v>305.58999999999997</v>
      </c>
      <c r="H488" s="19">
        <v>303.94</v>
      </c>
      <c r="I488" s="19">
        <v>268.77</v>
      </c>
      <c r="J488" s="19">
        <v>3.07</v>
      </c>
      <c r="K488" s="19">
        <v>2.68</v>
      </c>
      <c r="L488" s="19">
        <v>2.72</v>
      </c>
      <c r="M488" s="19">
        <v>2.78</v>
      </c>
      <c r="N488" s="19">
        <v>2.68</v>
      </c>
      <c r="O488" s="19">
        <v>24.48</v>
      </c>
      <c r="P488" s="19">
        <v>64.53</v>
      </c>
      <c r="Q488" s="19">
        <v>1.92</v>
      </c>
      <c r="R488" s="19">
        <v>3.1</v>
      </c>
      <c r="S488" s="19">
        <v>194.89</v>
      </c>
      <c r="T488" s="19">
        <v>274.74</v>
      </c>
      <c r="U488" s="19">
        <v>286.22000000000003</v>
      </c>
      <c r="V488" s="19">
        <v>273.08</v>
      </c>
      <c r="W488" s="19">
        <v>267.26</v>
      </c>
      <c r="X488" s="19">
        <v>286.02999999999997</v>
      </c>
      <c r="Y488" s="19">
        <v>286.68</v>
      </c>
      <c r="Z488" s="40" t="s">
        <v>31</v>
      </c>
      <c r="AA488" s="25">
        <f>MIN($B$488:$Y$488)</f>
        <v>1.92</v>
      </c>
      <c r="AB488" s="25">
        <f>AVERAGE($B$488:$Y$488)</f>
        <v>198.226666666667</v>
      </c>
    </row>
    <row r="489" spans="1:28">
      <c r="A489" s="30">
        <v>45779</v>
      </c>
      <c r="B489" s="19">
        <v>354.54</v>
      </c>
      <c r="C489" s="19">
        <v>317.05</v>
      </c>
      <c r="D489" s="19">
        <v>297.77999999999997</v>
      </c>
      <c r="E489" s="19">
        <v>275.29000000000002</v>
      </c>
      <c r="F489" s="19">
        <v>276.27999999999997</v>
      </c>
      <c r="G489" s="19">
        <v>270</v>
      </c>
      <c r="H489" s="19">
        <v>272.42</v>
      </c>
      <c r="I489" s="19">
        <v>266.22000000000003</v>
      </c>
      <c r="J489" s="19">
        <v>228.69</v>
      </c>
      <c r="K489" s="19">
        <v>197.58</v>
      </c>
      <c r="L489" s="19">
        <v>77.77</v>
      </c>
      <c r="M489" s="19">
        <v>168.66</v>
      </c>
      <c r="N489" s="19">
        <v>46.03</v>
      </c>
      <c r="O489" s="19">
        <v>140.16</v>
      </c>
      <c r="P489" s="19">
        <v>253.88</v>
      </c>
      <c r="Q489" s="19">
        <v>253.07</v>
      </c>
      <c r="R489" s="19">
        <v>272.52999999999997</v>
      </c>
      <c r="S489" s="19">
        <v>325.94</v>
      </c>
      <c r="T489" s="19">
        <v>306.63</v>
      </c>
      <c r="U489" s="19">
        <v>308.74</v>
      </c>
      <c r="V489" s="19">
        <v>297.36</v>
      </c>
      <c r="W489" s="19">
        <v>297.25</v>
      </c>
      <c r="X489" s="19">
        <v>310.27</v>
      </c>
      <c r="Y489" s="19">
        <v>311.17</v>
      </c>
      <c r="Z489" s="41" t="s">
        <v>31</v>
      </c>
      <c r="AA489" s="25">
        <f>MIN($B$489:$Y$489)</f>
        <v>46.03</v>
      </c>
      <c r="AB489" s="25">
        <f>AVERAGE($B$489:$Y$489)</f>
        <v>255.22125</v>
      </c>
    </row>
    <row r="490" spans="1:28">
      <c r="A490" s="30">
        <v>45780</v>
      </c>
      <c r="B490" s="19">
        <v>539.97</v>
      </c>
      <c r="C490" s="19">
        <v>440.08</v>
      </c>
      <c r="D490" s="19">
        <v>438.93</v>
      </c>
      <c r="E490" s="19">
        <v>370.83</v>
      </c>
      <c r="F490" s="19">
        <v>365.93</v>
      </c>
      <c r="G490" s="19">
        <v>362.36</v>
      </c>
      <c r="H490" s="19">
        <v>387.97</v>
      </c>
      <c r="I490" s="19">
        <v>345.01</v>
      </c>
      <c r="J490" s="19">
        <v>365.74</v>
      </c>
      <c r="K490" s="19">
        <v>354.89</v>
      </c>
      <c r="L490" s="19">
        <v>371.58</v>
      </c>
      <c r="M490" s="19">
        <v>353.8</v>
      </c>
      <c r="N490" s="19">
        <v>324.64999999999998</v>
      </c>
      <c r="O490" s="19">
        <v>370.05</v>
      </c>
      <c r="P490" s="19">
        <v>337.96</v>
      </c>
      <c r="Q490" s="19">
        <v>322.02999999999997</v>
      </c>
      <c r="R490" s="19">
        <v>330.92</v>
      </c>
      <c r="S490" s="19">
        <v>328.92</v>
      </c>
      <c r="T490" s="19">
        <v>313.56</v>
      </c>
      <c r="U490" s="19">
        <v>314.16000000000003</v>
      </c>
      <c r="V490" s="19">
        <v>313.26</v>
      </c>
      <c r="W490" s="19">
        <v>312.62</v>
      </c>
      <c r="X490" s="19">
        <v>338.61</v>
      </c>
      <c r="Y490" s="19">
        <v>345.08</v>
      </c>
      <c r="Z490" s="39" t="s">
        <v>35</v>
      </c>
      <c r="AA490" s="25">
        <f>MIN($B$490:$Y$490)</f>
        <v>312.62</v>
      </c>
      <c r="AB490" s="25">
        <f>AVERAGE($B$490:$Y$490)</f>
        <v>360.37124999999997</v>
      </c>
    </row>
    <row r="491" spans="1:28">
      <c r="A491" s="30">
        <v>45781</v>
      </c>
      <c r="B491" s="19">
        <v>379.58</v>
      </c>
      <c r="C491" s="19">
        <v>387.45</v>
      </c>
      <c r="D491" s="19">
        <v>349.47</v>
      </c>
      <c r="E491" s="19">
        <v>334.44</v>
      </c>
      <c r="F491" s="19">
        <v>318.49</v>
      </c>
      <c r="G491" s="19">
        <v>313.81</v>
      </c>
      <c r="H491" s="19">
        <v>316.23</v>
      </c>
      <c r="I491" s="19">
        <v>302.05</v>
      </c>
      <c r="J491" s="19">
        <v>304.93</v>
      </c>
      <c r="K491" s="19">
        <v>305.58999999999997</v>
      </c>
      <c r="L491" s="19">
        <v>300.68</v>
      </c>
      <c r="M491" s="19">
        <v>301.27999999999997</v>
      </c>
      <c r="N491" s="19">
        <v>294.83999999999997</v>
      </c>
      <c r="O491" s="19">
        <v>298.2</v>
      </c>
      <c r="P491" s="19">
        <v>304.63</v>
      </c>
      <c r="Q491" s="19">
        <v>328.89</v>
      </c>
      <c r="R491" s="19">
        <v>378.96</v>
      </c>
      <c r="S491" s="19">
        <v>392.81</v>
      </c>
      <c r="T491" s="19">
        <v>349.02</v>
      </c>
      <c r="U491" s="19">
        <v>351.15</v>
      </c>
      <c r="V491" s="19">
        <v>336.86</v>
      </c>
      <c r="W491" s="19">
        <v>337.14</v>
      </c>
      <c r="X491" s="19">
        <v>335.68</v>
      </c>
      <c r="Y491" s="19">
        <v>308.23</v>
      </c>
      <c r="Z491" s="38" t="s">
        <v>35</v>
      </c>
      <c r="AA491" s="25">
        <f>MIN($B$491:$Y$491)</f>
        <v>294.83999999999997</v>
      </c>
      <c r="AB491" s="25">
        <f>AVERAGE($B$491:$Y$491)</f>
        <v>330.43374999999997</v>
      </c>
    </row>
    <row r="492" spans="1:28">
      <c r="A492" s="30">
        <v>45782</v>
      </c>
      <c r="B492" s="19">
        <v>420.19</v>
      </c>
      <c r="C492" s="19">
        <v>370.87</v>
      </c>
      <c r="D492" s="19">
        <v>346.81</v>
      </c>
      <c r="E492" s="19">
        <v>345.45</v>
      </c>
      <c r="F492" s="19">
        <v>336.06</v>
      </c>
      <c r="G492" s="19">
        <v>335.15</v>
      </c>
      <c r="H492" s="19">
        <v>361.5</v>
      </c>
      <c r="I492" s="19">
        <v>338.4</v>
      </c>
      <c r="J492" s="19">
        <v>375.9</v>
      </c>
      <c r="K492" s="19">
        <v>380.62</v>
      </c>
      <c r="L492" s="19">
        <v>404.45</v>
      </c>
      <c r="M492" s="19">
        <v>436.73</v>
      </c>
      <c r="N492" s="19">
        <v>340.28</v>
      </c>
      <c r="O492" s="19">
        <v>389.71</v>
      </c>
      <c r="P492" s="19">
        <v>390.56</v>
      </c>
      <c r="Q492" s="19">
        <v>402.74</v>
      </c>
      <c r="R492" s="19">
        <v>431.5</v>
      </c>
      <c r="S492" s="19">
        <v>364.04</v>
      </c>
      <c r="T492" s="19">
        <v>344.72</v>
      </c>
      <c r="U492" s="19">
        <v>385.74</v>
      </c>
      <c r="V492" s="19">
        <v>382.03</v>
      </c>
      <c r="W492" s="19">
        <v>405.47</v>
      </c>
      <c r="X492" s="19">
        <v>434.58</v>
      </c>
      <c r="Y492" s="19">
        <v>333.62</v>
      </c>
      <c r="Z492" s="39" t="s">
        <v>35</v>
      </c>
      <c r="AA492" s="25">
        <f>MIN($B$492:$Y$492)</f>
        <v>333.62</v>
      </c>
      <c r="AB492" s="25">
        <f>AVERAGE($B$492:$Y$492)</f>
        <v>377.38</v>
      </c>
    </row>
    <row r="493" spans="1:28">
      <c r="A493" s="30">
        <v>45783</v>
      </c>
      <c r="B493" s="19">
        <v>389.22</v>
      </c>
      <c r="C493" s="19">
        <v>372.6</v>
      </c>
      <c r="D493" s="19">
        <v>399.47</v>
      </c>
      <c r="E493" s="19">
        <v>367.76</v>
      </c>
      <c r="F493" s="19">
        <v>350.95</v>
      </c>
      <c r="G493" s="19">
        <v>349.02</v>
      </c>
      <c r="H493" s="19">
        <v>376.94</v>
      </c>
      <c r="I493" s="19">
        <v>344.1</v>
      </c>
      <c r="J493" s="19">
        <v>390.12</v>
      </c>
      <c r="K493" s="19">
        <v>422.12</v>
      </c>
      <c r="L493" s="19">
        <v>516.67999999999995</v>
      </c>
      <c r="M493" s="19">
        <v>609.9</v>
      </c>
      <c r="N493" s="19">
        <v>359.81</v>
      </c>
      <c r="O493" s="19">
        <v>497.91</v>
      </c>
      <c r="P493" s="19">
        <v>575.41</v>
      </c>
      <c r="Q493" s="19">
        <v>495.65</v>
      </c>
      <c r="R493" s="19">
        <v>528.53</v>
      </c>
      <c r="S493" s="19">
        <v>445.9</v>
      </c>
      <c r="T493" s="19">
        <v>360.81</v>
      </c>
      <c r="U493" s="19">
        <v>431.16</v>
      </c>
      <c r="V493" s="19">
        <v>377.29</v>
      </c>
      <c r="W493" s="19">
        <v>398.07</v>
      </c>
      <c r="X493" s="19">
        <v>431.33</v>
      </c>
      <c r="Y493" s="19">
        <v>348.62</v>
      </c>
      <c r="Z493" s="33" t="s">
        <v>32</v>
      </c>
      <c r="AA493" s="25">
        <f>MIN($B$493:$Y$493)</f>
        <v>344.1</v>
      </c>
      <c r="AB493" s="25">
        <f>AVERAGE($B$493:$Y$493)</f>
        <v>422.47375</v>
      </c>
    </row>
    <row r="494" spans="1:28">
      <c r="A494" s="30">
        <v>45784</v>
      </c>
      <c r="B494" s="19">
        <v>468.68</v>
      </c>
      <c r="C494" s="19">
        <v>428.33</v>
      </c>
      <c r="D494" s="19">
        <v>500.17</v>
      </c>
      <c r="E494" s="19">
        <v>386.47</v>
      </c>
      <c r="F494" s="19">
        <v>345.55</v>
      </c>
      <c r="G494" s="19">
        <v>343.37</v>
      </c>
      <c r="H494" s="19">
        <v>388.12</v>
      </c>
      <c r="I494" s="19">
        <v>342.12</v>
      </c>
      <c r="J494" s="19">
        <v>420.29</v>
      </c>
      <c r="K494" s="19">
        <v>506.6</v>
      </c>
      <c r="L494" s="19">
        <v>457.17</v>
      </c>
      <c r="M494" s="19">
        <v>516.34</v>
      </c>
      <c r="N494" s="19">
        <v>343.46</v>
      </c>
      <c r="O494" s="19">
        <v>452.19</v>
      </c>
      <c r="P494" s="19">
        <v>538.9</v>
      </c>
      <c r="Q494" s="19">
        <v>389.07</v>
      </c>
      <c r="R494" s="19">
        <v>531.44000000000005</v>
      </c>
      <c r="S494" s="19">
        <v>438.62</v>
      </c>
      <c r="T494" s="19">
        <v>354</v>
      </c>
      <c r="U494" s="19">
        <v>428.3</v>
      </c>
      <c r="V494" s="19">
        <v>362.56</v>
      </c>
      <c r="W494" s="19">
        <v>359.27</v>
      </c>
      <c r="X494" s="19">
        <v>348.2</v>
      </c>
      <c r="Y494" s="19">
        <v>317.27999999999997</v>
      </c>
      <c r="Z494" s="32" t="s">
        <v>32</v>
      </c>
      <c r="AA494" s="25">
        <f>MIN($B$494:$Y$494)</f>
        <v>317.27999999999997</v>
      </c>
      <c r="AB494" s="25">
        <f>AVERAGE($B$494:$Y$494)</f>
        <v>415.27083333333297</v>
      </c>
    </row>
    <row r="495" spans="1:28">
      <c r="A495" s="30">
        <v>45785</v>
      </c>
      <c r="B495" s="19">
        <v>302.47000000000003</v>
      </c>
      <c r="C495" s="19">
        <v>301.18</v>
      </c>
      <c r="D495" s="19">
        <v>312.02999999999997</v>
      </c>
      <c r="E495" s="19">
        <v>311.72000000000003</v>
      </c>
      <c r="F495" s="19">
        <v>307.49</v>
      </c>
      <c r="G495" s="19">
        <v>306.3</v>
      </c>
      <c r="H495" s="19">
        <v>306.79000000000002</v>
      </c>
      <c r="I495" s="19">
        <v>296.75</v>
      </c>
      <c r="J495" s="19">
        <v>295.13</v>
      </c>
      <c r="K495" s="19">
        <v>274.82</v>
      </c>
      <c r="L495" s="19">
        <v>278.05</v>
      </c>
      <c r="M495" s="19">
        <v>283.32</v>
      </c>
      <c r="N495" s="19">
        <v>242.49</v>
      </c>
      <c r="O495" s="19">
        <v>500.17</v>
      </c>
      <c r="P495" s="19">
        <v>314.39</v>
      </c>
      <c r="Q495" s="19">
        <v>336.83</v>
      </c>
      <c r="R495" s="19">
        <v>381.56</v>
      </c>
      <c r="S495" s="19">
        <v>359.08</v>
      </c>
      <c r="T495" s="19">
        <v>335.39</v>
      </c>
      <c r="U495" s="19">
        <v>357.16</v>
      </c>
      <c r="V495" s="19">
        <v>348.39</v>
      </c>
      <c r="W495" s="19">
        <v>343.59</v>
      </c>
      <c r="X495" s="19">
        <v>335.46</v>
      </c>
      <c r="Y495" s="19">
        <v>314.25</v>
      </c>
      <c r="Z495" s="33" t="s">
        <v>32</v>
      </c>
      <c r="AA495" s="25">
        <f>MIN($B$495:$Y$495)</f>
        <v>242.49</v>
      </c>
      <c r="AB495" s="25">
        <f>AVERAGE($B$495:$Y$495)</f>
        <v>322.70041666666702</v>
      </c>
    </row>
    <row r="496" spans="1:28">
      <c r="A496" s="30">
        <v>45786</v>
      </c>
      <c r="B496" s="19">
        <v>405.88</v>
      </c>
      <c r="C496" s="19">
        <v>333.6</v>
      </c>
      <c r="D496" s="19">
        <v>341.18</v>
      </c>
      <c r="E496" s="19">
        <v>335.28</v>
      </c>
      <c r="F496" s="19">
        <v>326.88</v>
      </c>
      <c r="G496" s="19">
        <v>326.49</v>
      </c>
      <c r="H496" s="19">
        <v>334</v>
      </c>
      <c r="I496" s="19">
        <v>332.8</v>
      </c>
      <c r="J496" s="19">
        <v>453.59</v>
      </c>
      <c r="K496" s="19">
        <v>427.98</v>
      </c>
      <c r="L496" s="19">
        <v>390.05</v>
      </c>
      <c r="M496" s="19">
        <v>399.83</v>
      </c>
      <c r="N496" s="19">
        <v>386.34</v>
      </c>
      <c r="O496" s="19">
        <v>491.47</v>
      </c>
      <c r="P496" s="19">
        <v>456.95</v>
      </c>
      <c r="Q496" s="19">
        <v>429.96</v>
      </c>
      <c r="R496" s="19">
        <v>501.28</v>
      </c>
      <c r="S496" s="19">
        <v>435.09</v>
      </c>
      <c r="T496" s="19">
        <v>335.25</v>
      </c>
      <c r="U496" s="19">
        <v>352.99</v>
      </c>
      <c r="V496" s="19">
        <v>345.07</v>
      </c>
      <c r="W496" s="19">
        <v>346.9</v>
      </c>
      <c r="X496" s="19">
        <v>343.52</v>
      </c>
      <c r="Y496" s="19">
        <v>315.39999999999998</v>
      </c>
      <c r="Z496" s="32" t="s">
        <v>32</v>
      </c>
      <c r="AA496" s="25">
        <f>MIN($B$496:$Y$496)</f>
        <v>315.39999999999998</v>
      </c>
      <c r="AB496" s="25">
        <f>AVERAGE($B$496:$Y$496)</f>
        <v>381.15750000000003</v>
      </c>
    </row>
    <row r="497" spans="1:28">
      <c r="A497" s="30">
        <v>45787</v>
      </c>
      <c r="B497" s="19">
        <v>337.59</v>
      </c>
      <c r="C497" s="19">
        <v>331.89</v>
      </c>
      <c r="D497" s="19">
        <v>323.45</v>
      </c>
      <c r="E497" s="19">
        <v>315.08</v>
      </c>
      <c r="F497" s="19">
        <v>308.98</v>
      </c>
      <c r="G497" s="19">
        <v>303.12</v>
      </c>
      <c r="H497" s="19">
        <v>307.54000000000002</v>
      </c>
      <c r="I497" s="19">
        <v>312.19</v>
      </c>
      <c r="J497" s="19">
        <v>328.09</v>
      </c>
      <c r="K497" s="19">
        <v>327.97</v>
      </c>
      <c r="L497" s="19">
        <v>324.23</v>
      </c>
      <c r="M497" s="19">
        <v>317.06</v>
      </c>
      <c r="N497" s="19">
        <v>298.63</v>
      </c>
      <c r="O497" s="19">
        <v>301.08999999999997</v>
      </c>
      <c r="P497" s="19">
        <v>314.35000000000002</v>
      </c>
      <c r="Q497" s="19">
        <v>299.14</v>
      </c>
      <c r="R497" s="19">
        <v>312.01</v>
      </c>
      <c r="S497" s="19">
        <v>339.91</v>
      </c>
      <c r="T497" s="19">
        <v>324.31</v>
      </c>
      <c r="U497" s="19">
        <v>337.33</v>
      </c>
      <c r="V497" s="19">
        <v>332.37</v>
      </c>
      <c r="W497" s="19">
        <v>325.42</v>
      </c>
      <c r="X497" s="19">
        <v>310.83</v>
      </c>
      <c r="Y497" s="19">
        <v>300.2</v>
      </c>
      <c r="Z497" s="36" t="s">
        <v>36</v>
      </c>
      <c r="AA497" s="25">
        <f>MIN($B$497:$Y$497)</f>
        <v>298.63</v>
      </c>
      <c r="AB497" s="25">
        <f>AVERAGE($B$497:$Y$497)</f>
        <v>318.03250000000003</v>
      </c>
    </row>
    <row r="498" spans="1:28">
      <c r="A498" s="30">
        <v>45788</v>
      </c>
      <c r="B498" s="19">
        <v>281.8</v>
      </c>
      <c r="C498" s="19">
        <v>278.38</v>
      </c>
      <c r="D498" s="19">
        <v>267.04000000000002</v>
      </c>
      <c r="E498" s="19">
        <v>256.76</v>
      </c>
      <c r="F498" s="19">
        <v>245.08</v>
      </c>
      <c r="G498" s="19">
        <v>236.75</v>
      </c>
      <c r="H498" s="19">
        <v>215.67</v>
      </c>
      <c r="I498" s="19">
        <v>141.13999999999999</v>
      </c>
      <c r="J498" s="19">
        <v>219</v>
      </c>
      <c r="K498" s="19">
        <v>227.01</v>
      </c>
      <c r="L498" s="19">
        <v>216.01</v>
      </c>
      <c r="M498" s="19">
        <v>175.18</v>
      </c>
      <c r="N498" s="19">
        <v>93.39</v>
      </c>
      <c r="O498" s="19">
        <v>141.03</v>
      </c>
      <c r="P498" s="19">
        <v>206.95</v>
      </c>
      <c r="Q498" s="19">
        <v>218.41</v>
      </c>
      <c r="R498" s="19">
        <v>284.43</v>
      </c>
      <c r="S498" s="19">
        <v>295.14</v>
      </c>
      <c r="T498" s="19">
        <v>300.36</v>
      </c>
      <c r="U498" s="19">
        <v>315.13</v>
      </c>
      <c r="V498" s="19">
        <v>315.11</v>
      </c>
      <c r="W498" s="19">
        <v>311.14999999999998</v>
      </c>
      <c r="X498" s="19">
        <v>303.14</v>
      </c>
      <c r="Y498" s="19">
        <v>290.83999999999997</v>
      </c>
      <c r="Z498" s="37" t="s">
        <v>37</v>
      </c>
      <c r="AA498" s="25">
        <f>MIN($B$498:$Y$498)</f>
        <v>93.39</v>
      </c>
      <c r="AB498" s="25">
        <f>AVERAGE($B$498:$Y$498)</f>
        <v>243.120833333333</v>
      </c>
    </row>
    <row r="499" spans="1:28">
      <c r="A499" s="30">
        <v>45789</v>
      </c>
      <c r="B499" s="19">
        <v>280.48</v>
      </c>
      <c r="C499" s="19">
        <v>279.77999999999997</v>
      </c>
      <c r="D499" s="19">
        <v>276.17</v>
      </c>
      <c r="E499" s="19">
        <v>269.73</v>
      </c>
      <c r="F499" s="19">
        <v>264.92</v>
      </c>
      <c r="G499" s="19">
        <v>264.66000000000003</v>
      </c>
      <c r="H499" s="19">
        <v>275.07</v>
      </c>
      <c r="I499" s="19">
        <v>271.76</v>
      </c>
      <c r="J499" s="19">
        <v>262.33</v>
      </c>
      <c r="K499" s="19">
        <v>247.4</v>
      </c>
      <c r="L499" s="19">
        <v>205.05</v>
      </c>
      <c r="M499" s="19">
        <v>133.94999999999999</v>
      </c>
      <c r="N499" s="19">
        <v>0.68</v>
      </c>
      <c r="O499" s="19">
        <v>47.86</v>
      </c>
      <c r="P499" s="19">
        <v>132.82</v>
      </c>
      <c r="Q499" s="19">
        <v>221.51</v>
      </c>
      <c r="R499" s="19">
        <v>270.26</v>
      </c>
      <c r="S499" s="19">
        <v>286.8</v>
      </c>
      <c r="T499" s="19">
        <v>295.85000000000002</v>
      </c>
      <c r="U499" s="19">
        <v>311.13</v>
      </c>
      <c r="V499" s="19">
        <v>300.11</v>
      </c>
      <c r="W499" s="19">
        <v>293.8</v>
      </c>
      <c r="X499" s="19">
        <v>283.38</v>
      </c>
      <c r="Y499" s="19">
        <v>269.58</v>
      </c>
      <c r="Z499" s="33" t="s">
        <v>32</v>
      </c>
      <c r="AA499" s="25">
        <f>MIN($B$499:$Y$499)</f>
        <v>0.68</v>
      </c>
      <c r="AB499" s="25">
        <f>AVERAGE($B$499:$Y$499)</f>
        <v>239.37833333333299</v>
      </c>
    </row>
    <row r="500" spans="1:28">
      <c r="A500" s="30">
        <v>45790</v>
      </c>
      <c r="B500" s="19">
        <v>279.67</v>
      </c>
      <c r="C500" s="19">
        <v>269.39999999999998</v>
      </c>
      <c r="D500" s="19">
        <v>265.31</v>
      </c>
      <c r="E500" s="19">
        <v>258.52999999999997</v>
      </c>
      <c r="F500" s="19">
        <v>249.13</v>
      </c>
      <c r="G500" s="19">
        <v>249.06</v>
      </c>
      <c r="H500" s="19">
        <v>269.07</v>
      </c>
      <c r="I500" s="19">
        <v>256.51</v>
      </c>
      <c r="J500" s="19">
        <v>212.96</v>
      </c>
      <c r="K500" s="19">
        <v>247.37</v>
      </c>
      <c r="L500" s="19">
        <v>149.12</v>
      </c>
      <c r="M500" s="19">
        <v>130.26</v>
      </c>
      <c r="N500" s="19">
        <v>43.18</v>
      </c>
      <c r="O500" s="19">
        <v>87.91</v>
      </c>
      <c r="P500" s="19">
        <v>157.66999999999999</v>
      </c>
      <c r="Q500" s="19">
        <v>220</v>
      </c>
      <c r="R500" s="19">
        <v>291.18</v>
      </c>
      <c r="S500" s="19">
        <v>325.66000000000003</v>
      </c>
      <c r="T500" s="19">
        <v>330.13</v>
      </c>
      <c r="U500" s="19">
        <v>396.59</v>
      </c>
      <c r="V500" s="19">
        <v>347.38</v>
      </c>
      <c r="W500" s="19">
        <v>332.08</v>
      </c>
      <c r="X500" s="19">
        <v>314.41000000000003</v>
      </c>
      <c r="Y500" s="19">
        <v>302.35000000000002</v>
      </c>
      <c r="Z500" s="32" t="s">
        <v>32</v>
      </c>
      <c r="AA500" s="25">
        <f>MIN($B$500:$Y$500)</f>
        <v>43.18</v>
      </c>
      <c r="AB500" s="25">
        <f>AVERAGE($B$500:$Y$500)</f>
        <v>249.37208333333299</v>
      </c>
    </row>
    <row r="501" spans="1:28">
      <c r="A501" s="30">
        <v>45791</v>
      </c>
      <c r="B501" s="19">
        <v>301.18</v>
      </c>
      <c r="C501" s="19">
        <v>293.64</v>
      </c>
      <c r="D501" s="19">
        <v>287.02999999999997</v>
      </c>
      <c r="E501" s="19">
        <v>278.85000000000002</v>
      </c>
      <c r="F501" s="19">
        <v>274.14999999999998</v>
      </c>
      <c r="G501" s="19">
        <v>277.14999999999998</v>
      </c>
      <c r="H501" s="19">
        <v>287.07</v>
      </c>
      <c r="I501" s="19">
        <v>288.52</v>
      </c>
      <c r="J501" s="19">
        <v>299.91000000000003</v>
      </c>
      <c r="K501" s="19">
        <v>305.41000000000003</v>
      </c>
      <c r="L501" s="19">
        <v>297.38</v>
      </c>
      <c r="M501" s="19">
        <v>291.45999999999998</v>
      </c>
      <c r="N501" s="19">
        <v>259.63</v>
      </c>
      <c r="O501" s="19">
        <v>273.99</v>
      </c>
      <c r="P501" s="19">
        <v>302.57</v>
      </c>
      <c r="Q501" s="19">
        <v>316.33</v>
      </c>
      <c r="R501" s="19">
        <v>367.73</v>
      </c>
      <c r="S501" s="19">
        <v>415.17</v>
      </c>
      <c r="T501" s="19">
        <v>410.98</v>
      </c>
      <c r="U501" s="19">
        <v>641.75</v>
      </c>
      <c r="V501" s="19">
        <v>485.32</v>
      </c>
      <c r="W501" s="19">
        <v>408.43</v>
      </c>
      <c r="X501" s="19">
        <v>356.69</v>
      </c>
      <c r="Y501" s="19">
        <v>334.52</v>
      </c>
      <c r="Z501" s="33" t="s">
        <v>32</v>
      </c>
      <c r="AA501" s="25">
        <f>MIN($B$501:$Y$501)</f>
        <v>259.63</v>
      </c>
      <c r="AB501" s="25">
        <f>AVERAGE($B$501:$Y$501)</f>
        <v>335.61916666666701</v>
      </c>
    </row>
    <row r="502" spans="1:28">
      <c r="A502" s="30">
        <v>45792</v>
      </c>
      <c r="B502" s="19">
        <v>368.43</v>
      </c>
      <c r="C502" s="19">
        <v>349.69</v>
      </c>
      <c r="D502" s="19">
        <v>341.93</v>
      </c>
      <c r="E502" s="19">
        <v>328.22</v>
      </c>
      <c r="F502" s="19">
        <v>319.95</v>
      </c>
      <c r="G502" s="19">
        <v>320.07</v>
      </c>
      <c r="H502" s="19">
        <v>328.48</v>
      </c>
      <c r="I502" s="19">
        <v>322.5</v>
      </c>
      <c r="J502" s="19">
        <v>351.16</v>
      </c>
      <c r="K502" s="19">
        <v>355.9</v>
      </c>
      <c r="L502" s="19">
        <v>356.56</v>
      </c>
      <c r="M502" s="19">
        <v>340.57</v>
      </c>
      <c r="N502" s="19">
        <v>314.43</v>
      </c>
      <c r="O502" s="19">
        <v>327.52</v>
      </c>
      <c r="P502" s="19">
        <v>329.68</v>
      </c>
      <c r="Q502" s="19">
        <v>350.45</v>
      </c>
      <c r="R502" s="19">
        <v>404.21</v>
      </c>
      <c r="S502" s="19">
        <v>452.12</v>
      </c>
      <c r="T502" s="19">
        <v>442.81</v>
      </c>
      <c r="U502" s="19">
        <v>532.9</v>
      </c>
      <c r="V502" s="19">
        <v>483.37</v>
      </c>
      <c r="W502" s="19">
        <v>403.56</v>
      </c>
      <c r="X502" s="19">
        <v>378.49</v>
      </c>
      <c r="Y502" s="19">
        <v>356.21</v>
      </c>
      <c r="Z502" s="32" t="s">
        <v>32</v>
      </c>
      <c r="AA502" s="25">
        <f>MIN($B$502:$Y$502)</f>
        <v>314.43</v>
      </c>
      <c r="AB502" s="25">
        <f>AVERAGE($B$502:$Y$502)</f>
        <v>369.13375000000002</v>
      </c>
    </row>
    <row r="503" spans="1:28">
      <c r="A503" s="30">
        <v>45793</v>
      </c>
      <c r="B503" s="19">
        <v>356.58</v>
      </c>
      <c r="C503" s="19">
        <v>349.11</v>
      </c>
      <c r="D503" s="19">
        <v>344.77</v>
      </c>
      <c r="E503" s="19">
        <v>334.43</v>
      </c>
      <c r="F503" s="19">
        <v>324.08999999999997</v>
      </c>
      <c r="G503" s="19">
        <v>323.73</v>
      </c>
      <c r="H503" s="19">
        <v>334.14</v>
      </c>
      <c r="I503" s="19">
        <v>327.99</v>
      </c>
      <c r="J503" s="19">
        <v>342.62</v>
      </c>
      <c r="K503" s="19">
        <v>350.01</v>
      </c>
      <c r="L503" s="19">
        <v>347.02</v>
      </c>
      <c r="M503" s="19">
        <v>335.71</v>
      </c>
      <c r="N503" s="19">
        <v>309.60000000000002</v>
      </c>
      <c r="O503" s="19">
        <v>321.68</v>
      </c>
      <c r="P503" s="19">
        <v>333.2</v>
      </c>
      <c r="Q503" s="19">
        <v>347.35</v>
      </c>
      <c r="R503" s="19">
        <v>388.97</v>
      </c>
      <c r="S503" s="19">
        <v>398.5</v>
      </c>
      <c r="T503" s="19">
        <v>383.8</v>
      </c>
      <c r="U503" s="19">
        <v>548.02</v>
      </c>
      <c r="V503" s="19">
        <v>426.32</v>
      </c>
      <c r="W503" s="19">
        <v>382.2</v>
      </c>
      <c r="X503" s="19">
        <v>378.36</v>
      </c>
      <c r="Y503" s="19">
        <v>353.28</v>
      </c>
      <c r="Z503" s="33" t="s">
        <v>32</v>
      </c>
      <c r="AA503" s="25">
        <f>MIN($B$503:$Y$503)</f>
        <v>309.60000000000002</v>
      </c>
      <c r="AB503" s="25">
        <f>AVERAGE($B$503:$Y$503)</f>
        <v>360.06166666666701</v>
      </c>
    </row>
    <row r="504" spans="1:28">
      <c r="A504" s="30">
        <v>45794</v>
      </c>
      <c r="B504" s="19">
        <v>368.51</v>
      </c>
      <c r="C504" s="19">
        <v>351.78</v>
      </c>
      <c r="D504" s="19">
        <v>350.09</v>
      </c>
      <c r="E504" s="19">
        <v>337.91</v>
      </c>
      <c r="F504" s="19">
        <v>328.69</v>
      </c>
      <c r="G504" s="19">
        <v>326.14999999999998</v>
      </c>
      <c r="H504" s="19">
        <v>338.73</v>
      </c>
      <c r="I504" s="19">
        <v>324.73</v>
      </c>
      <c r="J504" s="19">
        <v>337.56</v>
      </c>
      <c r="K504" s="19">
        <v>355.65</v>
      </c>
      <c r="L504" s="19">
        <v>344.88</v>
      </c>
      <c r="M504" s="19">
        <v>353.26</v>
      </c>
      <c r="N504" s="19">
        <v>316.69</v>
      </c>
      <c r="O504" s="19">
        <v>331.06</v>
      </c>
      <c r="P504" s="19">
        <v>336.92</v>
      </c>
      <c r="Q504" s="19">
        <v>351.87</v>
      </c>
      <c r="R504" s="19">
        <v>375.76</v>
      </c>
      <c r="S504" s="19">
        <v>389.96</v>
      </c>
      <c r="T504" s="19">
        <v>379.32</v>
      </c>
      <c r="U504" s="19">
        <v>466.66</v>
      </c>
      <c r="V504" s="19">
        <v>408.24</v>
      </c>
      <c r="W504" s="19">
        <v>383.84</v>
      </c>
      <c r="X504" s="19">
        <v>375.05</v>
      </c>
      <c r="Y504" s="19">
        <v>357.5</v>
      </c>
      <c r="Z504" s="34" t="s">
        <v>36</v>
      </c>
      <c r="AA504" s="25">
        <f>MIN($B$504:$Y$504)</f>
        <v>316.69</v>
      </c>
      <c r="AB504" s="25">
        <f>AVERAGE($B$504:$Y$504)</f>
        <v>357.95041666666702</v>
      </c>
    </row>
    <row r="505" spans="1:28">
      <c r="A505" s="30">
        <v>45795</v>
      </c>
      <c r="B505" s="19">
        <v>359.71</v>
      </c>
      <c r="C505" s="19">
        <v>346.84</v>
      </c>
      <c r="D505" s="19">
        <v>344.11</v>
      </c>
      <c r="E505" s="19">
        <v>334.88</v>
      </c>
      <c r="F505" s="19">
        <v>327.2</v>
      </c>
      <c r="G505" s="19">
        <v>320.33</v>
      </c>
      <c r="H505" s="19">
        <v>324.32</v>
      </c>
      <c r="I505" s="19">
        <v>316.2</v>
      </c>
      <c r="J505" s="19">
        <v>315.55</v>
      </c>
      <c r="K505" s="19">
        <v>327.61</v>
      </c>
      <c r="L505" s="19">
        <v>325.66000000000003</v>
      </c>
      <c r="M505" s="19">
        <v>316.43</v>
      </c>
      <c r="N505" s="19">
        <v>297.73</v>
      </c>
      <c r="O505" s="19">
        <v>313.69</v>
      </c>
      <c r="P505" s="19">
        <v>318.06</v>
      </c>
      <c r="Q505" s="19">
        <v>331.92</v>
      </c>
      <c r="R505" s="19">
        <v>340.06</v>
      </c>
      <c r="S505" s="19">
        <v>346.89</v>
      </c>
      <c r="T505" s="19">
        <v>350.23</v>
      </c>
      <c r="U505" s="19">
        <v>370.82</v>
      </c>
      <c r="V505" s="19">
        <v>366.59</v>
      </c>
      <c r="W505" s="19">
        <v>365.9</v>
      </c>
      <c r="X505" s="19">
        <v>357.51</v>
      </c>
      <c r="Y505" s="19">
        <v>343.76</v>
      </c>
      <c r="Z505" s="35" t="s">
        <v>37</v>
      </c>
      <c r="AA505" s="25">
        <f>MIN($B$505:$Y$505)</f>
        <v>297.73</v>
      </c>
      <c r="AB505" s="25">
        <f>AVERAGE($B$505:$Y$505)</f>
        <v>335.91666666666703</v>
      </c>
    </row>
    <row r="506" spans="1:28">
      <c r="A506" s="30">
        <v>45796</v>
      </c>
      <c r="B506" s="19">
        <v>345.29</v>
      </c>
      <c r="C506" s="19">
        <v>329.52</v>
      </c>
      <c r="D506" s="19">
        <v>320.10000000000002</v>
      </c>
      <c r="E506" s="19">
        <v>311.14</v>
      </c>
      <c r="F506" s="19">
        <v>303.77</v>
      </c>
      <c r="G506" s="19">
        <v>301.75</v>
      </c>
      <c r="H506" s="19">
        <v>311.79000000000002</v>
      </c>
      <c r="I506" s="19">
        <v>308.39</v>
      </c>
      <c r="J506" s="19">
        <v>329.58</v>
      </c>
      <c r="K506" s="19">
        <v>352.39</v>
      </c>
      <c r="L506" s="19">
        <v>338.04</v>
      </c>
      <c r="M506" s="19">
        <v>323.69</v>
      </c>
      <c r="N506" s="19">
        <v>296.11</v>
      </c>
      <c r="O506" s="19">
        <v>305.61</v>
      </c>
      <c r="P506" s="19">
        <v>312.02999999999997</v>
      </c>
      <c r="Q506" s="19">
        <v>338.31</v>
      </c>
      <c r="R506" s="19">
        <v>382.09</v>
      </c>
      <c r="S506" s="19">
        <v>376.77</v>
      </c>
      <c r="T506" s="19">
        <v>357.07</v>
      </c>
      <c r="U506" s="19">
        <v>423.33</v>
      </c>
      <c r="V506" s="19">
        <v>369.21</v>
      </c>
      <c r="W506" s="19">
        <v>356.67</v>
      </c>
      <c r="X506" s="19">
        <v>350.75</v>
      </c>
      <c r="Y506" s="19">
        <v>330.07</v>
      </c>
      <c r="Z506" s="32" t="s">
        <v>32</v>
      </c>
      <c r="AA506" s="25">
        <f>MIN($B$506:$Y$506)</f>
        <v>296.11</v>
      </c>
      <c r="AB506" s="25">
        <f>AVERAGE($B$506:$Y$506)</f>
        <v>336.394583333333</v>
      </c>
    </row>
    <row r="507" spans="1:28">
      <c r="A507" s="30">
        <v>45797</v>
      </c>
      <c r="B507" s="19">
        <v>384.34</v>
      </c>
      <c r="C507" s="19">
        <v>338.92</v>
      </c>
      <c r="D507" s="19">
        <v>339.33</v>
      </c>
      <c r="E507" s="19">
        <v>322.87</v>
      </c>
      <c r="F507" s="19">
        <v>313.52</v>
      </c>
      <c r="G507" s="19">
        <v>309.32</v>
      </c>
      <c r="H507" s="19">
        <v>317.2</v>
      </c>
      <c r="I507" s="19">
        <v>303.85000000000002</v>
      </c>
      <c r="J507" s="19">
        <v>365.18</v>
      </c>
      <c r="K507" s="19">
        <v>415.39</v>
      </c>
      <c r="L507" s="19">
        <v>411.64</v>
      </c>
      <c r="M507" s="19">
        <v>429.7</v>
      </c>
      <c r="N507" s="19">
        <v>339.23</v>
      </c>
      <c r="O507" s="19">
        <v>446.42</v>
      </c>
      <c r="P507" s="19">
        <v>451.79</v>
      </c>
      <c r="Q507" s="19">
        <v>467.3</v>
      </c>
      <c r="R507" s="19">
        <v>448.97</v>
      </c>
      <c r="S507" s="19">
        <v>395.89</v>
      </c>
      <c r="T507" s="19">
        <v>349.85</v>
      </c>
      <c r="U507" s="19">
        <v>396.85</v>
      </c>
      <c r="V507" s="19">
        <v>386.61</v>
      </c>
      <c r="W507" s="19">
        <v>381.8</v>
      </c>
      <c r="X507" s="19">
        <v>358.64</v>
      </c>
      <c r="Y507" s="19">
        <v>315.86</v>
      </c>
      <c r="Z507" s="33" t="s">
        <v>32</v>
      </c>
      <c r="AA507" s="25">
        <f>MIN($B$507:$Y$507)</f>
        <v>303.85000000000002</v>
      </c>
      <c r="AB507" s="25">
        <f>AVERAGE($B$507:$Y$507)</f>
        <v>374.602916666667</v>
      </c>
    </row>
    <row r="508" spans="1:28">
      <c r="A508" s="30">
        <v>45798</v>
      </c>
      <c r="B508" s="19">
        <v>325.55</v>
      </c>
      <c r="C508" s="19">
        <v>320.16000000000003</v>
      </c>
      <c r="D508" s="19">
        <v>322.25</v>
      </c>
      <c r="E508" s="19">
        <v>311.26</v>
      </c>
      <c r="F508" s="19">
        <v>302.38</v>
      </c>
      <c r="G508" s="19">
        <v>302.23</v>
      </c>
      <c r="H508" s="19">
        <v>309.68</v>
      </c>
      <c r="I508" s="19">
        <v>291.13</v>
      </c>
      <c r="J508" s="19">
        <v>331.14</v>
      </c>
      <c r="K508" s="19">
        <v>483.5</v>
      </c>
      <c r="L508" s="19">
        <v>486.3</v>
      </c>
      <c r="M508" s="19">
        <v>534.62</v>
      </c>
      <c r="N508" s="19">
        <v>342.35</v>
      </c>
      <c r="O508" s="19">
        <v>403.53</v>
      </c>
      <c r="P508" s="19">
        <v>374.24</v>
      </c>
      <c r="Q508" s="19">
        <v>381.25</v>
      </c>
      <c r="R508" s="19">
        <v>449.68</v>
      </c>
      <c r="S508" s="19">
        <v>427.26</v>
      </c>
      <c r="T508" s="19">
        <v>354.97</v>
      </c>
      <c r="U508" s="19">
        <v>410.05</v>
      </c>
      <c r="V508" s="19">
        <v>420.49</v>
      </c>
      <c r="W508" s="19">
        <v>425.3</v>
      </c>
      <c r="X508" s="19">
        <v>391.42</v>
      </c>
      <c r="Y508" s="19">
        <v>333.17</v>
      </c>
      <c r="Z508" s="32" t="s">
        <v>32</v>
      </c>
      <c r="AA508" s="25">
        <f>MIN($B$508:$Y$508)</f>
        <v>291.13</v>
      </c>
      <c r="AB508" s="25">
        <f>AVERAGE($B$508:$Y$508)</f>
        <v>376.412916666667</v>
      </c>
    </row>
    <row r="509" spans="1:28">
      <c r="A509" s="30">
        <v>45799</v>
      </c>
      <c r="B509" s="19">
        <v>412.74</v>
      </c>
      <c r="C509" s="19">
        <v>371.74</v>
      </c>
      <c r="D509" s="19">
        <v>375.87</v>
      </c>
      <c r="E509" s="19">
        <v>345.9</v>
      </c>
      <c r="F509" s="19">
        <v>330</v>
      </c>
      <c r="G509" s="19">
        <v>324.35000000000002</v>
      </c>
      <c r="H509" s="19">
        <v>336.39</v>
      </c>
      <c r="I509" s="19">
        <v>311.36</v>
      </c>
      <c r="J509" s="19">
        <v>342.97</v>
      </c>
      <c r="K509" s="19">
        <v>373.16</v>
      </c>
      <c r="L509" s="19">
        <v>447.59</v>
      </c>
      <c r="M509" s="19">
        <v>669.98</v>
      </c>
      <c r="N509" s="19">
        <v>616.79</v>
      </c>
      <c r="O509" s="19">
        <v>800.82</v>
      </c>
      <c r="P509" s="19">
        <v>793.35</v>
      </c>
      <c r="Q509" s="19">
        <v>493</v>
      </c>
      <c r="R509" s="19">
        <v>461.69</v>
      </c>
      <c r="S509" s="19">
        <v>410.48</v>
      </c>
      <c r="T509" s="19">
        <v>360.91</v>
      </c>
      <c r="U509" s="19">
        <v>453.67</v>
      </c>
      <c r="V509" s="19">
        <v>460.27</v>
      </c>
      <c r="W509" s="19">
        <v>417.31</v>
      </c>
      <c r="X509" s="19">
        <v>384.32</v>
      </c>
      <c r="Y509" s="19">
        <v>327.92</v>
      </c>
      <c r="Z509" s="33" t="s">
        <v>32</v>
      </c>
      <c r="AA509" s="25">
        <f>MIN($B$509:$Y$509)</f>
        <v>311.36</v>
      </c>
      <c r="AB509" s="25">
        <f>AVERAGE($B$509:$Y$509)</f>
        <v>442.60750000000002</v>
      </c>
    </row>
    <row r="510" spans="1:28">
      <c r="A510" s="30">
        <v>45800</v>
      </c>
      <c r="B510" s="19">
        <v>348.8</v>
      </c>
      <c r="C510" s="19">
        <v>343.95</v>
      </c>
      <c r="D510" s="19">
        <v>355.6</v>
      </c>
      <c r="E510" s="19">
        <v>336.18</v>
      </c>
      <c r="F510" s="19">
        <v>325.56</v>
      </c>
      <c r="G510" s="19">
        <v>322.94</v>
      </c>
      <c r="H510" s="19">
        <v>329.96</v>
      </c>
      <c r="I510" s="19">
        <v>308.8</v>
      </c>
      <c r="J510" s="19">
        <v>332.5</v>
      </c>
      <c r="K510" s="19">
        <v>354.19</v>
      </c>
      <c r="L510" s="19">
        <v>351.22</v>
      </c>
      <c r="M510" s="19">
        <v>416.09</v>
      </c>
      <c r="N510" s="19">
        <v>366.26</v>
      </c>
      <c r="O510" s="19">
        <v>457.95</v>
      </c>
      <c r="P510" s="19">
        <v>522.74</v>
      </c>
      <c r="Q510" s="19">
        <v>432.5</v>
      </c>
      <c r="R510" s="19">
        <v>394.03</v>
      </c>
      <c r="S510" s="19">
        <v>358.19</v>
      </c>
      <c r="T510" s="19">
        <v>346.87</v>
      </c>
      <c r="U510" s="19">
        <v>427.27</v>
      </c>
      <c r="V510" s="19">
        <v>407.86</v>
      </c>
      <c r="W510" s="19">
        <v>395.63</v>
      </c>
      <c r="X510" s="19">
        <v>369.27</v>
      </c>
      <c r="Y510" s="19">
        <v>328.75</v>
      </c>
      <c r="Z510" s="32" t="s">
        <v>32</v>
      </c>
      <c r="AA510" s="25">
        <f>MIN($B$510:$Y$510)</f>
        <v>308.8</v>
      </c>
      <c r="AB510" s="25">
        <f>AVERAGE($B$510:$Y$510)</f>
        <v>372.21291666666701</v>
      </c>
    </row>
    <row r="511" spans="1:28">
      <c r="A511" s="30">
        <v>45801</v>
      </c>
      <c r="B511" s="19">
        <v>468.82</v>
      </c>
      <c r="C511" s="19">
        <v>412</v>
      </c>
      <c r="D511" s="19">
        <v>434.81</v>
      </c>
      <c r="E511" s="19">
        <v>387.87</v>
      </c>
      <c r="F511" s="19">
        <v>354.42</v>
      </c>
      <c r="G511" s="19">
        <v>339.11</v>
      </c>
      <c r="H511" s="19">
        <v>332.03</v>
      </c>
      <c r="I511" s="19">
        <v>307.26</v>
      </c>
      <c r="J511" s="19">
        <v>318.16000000000003</v>
      </c>
      <c r="K511" s="19">
        <v>350.1</v>
      </c>
      <c r="L511" s="19">
        <v>351.91</v>
      </c>
      <c r="M511" s="19">
        <v>417</v>
      </c>
      <c r="N511" s="19">
        <v>339.98</v>
      </c>
      <c r="O511" s="19">
        <v>393.92</v>
      </c>
      <c r="P511" s="19">
        <v>374.17</v>
      </c>
      <c r="Q511" s="19">
        <v>384.05</v>
      </c>
      <c r="R511" s="19">
        <v>422.73</v>
      </c>
      <c r="S511" s="19">
        <v>399.13</v>
      </c>
      <c r="T511" s="19">
        <v>341.49</v>
      </c>
      <c r="U511" s="19">
        <v>406.43</v>
      </c>
      <c r="V511" s="19">
        <v>358.52</v>
      </c>
      <c r="W511" s="19">
        <v>354.84</v>
      </c>
      <c r="X511" s="19">
        <v>329.56</v>
      </c>
      <c r="Y511" s="19">
        <v>294.07</v>
      </c>
      <c r="Z511" s="36" t="s">
        <v>36</v>
      </c>
      <c r="AA511" s="25">
        <f>MIN($B$511:$Y$511)</f>
        <v>294.07</v>
      </c>
      <c r="AB511" s="25">
        <f>AVERAGE($B$511:$Y$511)</f>
        <v>369.6825</v>
      </c>
    </row>
    <row r="512" spans="1:28">
      <c r="A512" s="30">
        <v>45802</v>
      </c>
      <c r="B512" s="19">
        <v>296.17</v>
      </c>
      <c r="C512" s="19">
        <v>302.99</v>
      </c>
      <c r="D512" s="19">
        <v>300.54000000000002</v>
      </c>
      <c r="E512" s="19">
        <v>296.95</v>
      </c>
      <c r="F512" s="19">
        <v>287.13</v>
      </c>
      <c r="G512" s="19">
        <v>280.12</v>
      </c>
      <c r="H512" s="19">
        <v>281.41000000000003</v>
      </c>
      <c r="I512" s="19">
        <v>268.77999999999997</v>
      </c>
      <c r="J512" s="19">
        <v>263.56</v>
      </c>
      <c r="K512" s="19">
        <v>201.49</v>
      </c>
      <c r="L512" s="19">
        <v>332.17</v>
      </c>
      <c r="M512" s="19">
        <v>260.69</v>
      </c>
      <c r="N512" s="19">
        <v>276.95999999999998</v>
      </c>
      <c r="O512" s="19">
        <v>288.5</v>
      </c>
      <c r="P512" s="19">
        <v>289.97000000000003</v>
      </c>
      <c r="Q512" s="19">
        <v>289.33999999999997</v>
      </c>
      <c r="R512" s="19">
        <v>293.89</v>
      </c>
      <c r="S512" s="19">
        <v>295.36</v>
      </c>
      <c r="T512" s="19">
        <v>294.02999999999997</v>
      </c>
      <c r="U512" s="19">
        <v>297.77</v>
      </c>
      <c r="V512" s="19">
        <v>297.58</v>
      </c>
      <c r="W512" s="19">
        <v>294.57</v>
      </c>
      <c r="X512" s="19">
        <v>291.55</v>
      </c>
      <c r="Y512" s="19">
        <v>266.32</v>
      </c>
      <c r="Z512" s="37" t="s">
        <v>37</v>
      </c>
      <c r="AA512" s="25">
        <f>MIN($B$512:$Y$512)</f>
        <v>201.49</v>
      </c>
      <c r="AB512" s="25">
        <f>AVERAGE($B$512:$Y$512)</f>
        <v>285.32666666666699</v>
      </c>
    </row>
    <row r="513" spans="1:28">
      <c r="A513" s="30">
        <v>45803</v>
      </c>
      <c r="B513" s="19">
        <v>210.32</v>
      </c>
      <c r="C513" s="19">
        <v>263.02</v>
      </c>
      <c r="D513" s="19">
        <v>264.36</v>
      </c>
      <c r="E513" s="19">
        <v>257.86</v>
      </c>
      <c r="F513" s="19">
        <v>250.06</v>
      </c>
      <c r="G513" s="19">
        <v>253.84</v>
      </c>
      <c r="H513" s="19">
        <v>270.64</v>
      </c>
      <c r="I513" s="19">
        <v>250.13</v>
      </c>
      <c r="J513" s="19">
        <v>280.63</v>
      </c>
      <c r="K513" s="19">
        <v>290.98</v>
      </c>
      <c r="L513" s="19">
        <v>283.24</v>
      </c>
      <c r="M513" s="19">
        <v>286.77</v>
      </c>
      <c r="N513" s="19">
        <v>270.69</v>
      </c>
      <c r="O513" s="19">
        <v>286.62</v>
      </c>
      <c r="P513" s="19">
        <v>301.85000000000002</v>
      </c>
      <c r="Q513" s="19">
        <v>295.87</v>
      </c>
      <c r="R513" s="19">
        <v>302.89</v>
      </c>
      <c r="S513" s="19">
        <v>297.52999999999997</v>
      </c>
      <c r="T513" s="19">
        <v>300.61</v>
      </c>
      <c r="U513" s="19">
        <v>314.02</v>
      </c>
      <c r="V513" s="19">
        <v>311.01</v>
      </c>
      <c r="W513" s="19">
        <v>296.43</v>
      </c>
      <c r="X513" s="19">
        <v>274.02999999999997</v>
      </c>
      <c r="Y513" s="19">
        <v>251.83</v>
      </c>
      <c r="Z513" s="33" t="s">
        <v>32</v>
      </c>
      <c r="AA513" s="25">
        <f>MIN($B$513:$Y$513)</f>
        <v>210.32</v>
      </c>
      <c r="AB513" s="25">
        <f>AVERAGE($B$513:$Y$513)</f>
        <v>277.71791666666701</v>
      </c>
    </row>
    <row r="514" spans="1:28">
      <c r="A514" s="30">
        <v>45804</v>
      </c>
      <c r="B514" s="19">
        <v>278.41000000000003</v>
      </c>
      <c r="C514" s="19">
        <v>280.10000000000002</v>
      </c>
      <c r="D514" s="19">
        <v>282.48</v>
      </c>
      <c r="E514" s="19">
        <v>285.91000000000003</v>
      </c>
      <c r="F514" s="19">
        <v>276.75</v>
      </c>
      <c r="G514" s="19">
        <v>279.27</v>
      </c>
      <c r="H514" s="19">
        <v>289.54000000000002</v>
      </c>
      <c r="I514" s="19">
        <v>271.57</v>
      </c>
      <c r="J514" s="19">
        <v>277.95999999999998</v>
      </c>
      <c r="K514" s="19">
        <v>276.8</v>
      </c>
      <c r="L514" s="19">
        <v>232.58</v>
      </c>
      <c r="M514" s="19">
        <v>266.48</v>
      </c>
      <c r="N514" s="19">
        <v>265.64</v>
      </c>
      <c r="O514" s="19">
        <v>285.86</v>
      </c>
      <c r="P514" s="19">
        <v>299.38</v>
      </c>
      <c r="Q514" s="19">
        <v>299.67</v>
      </c>
      <c r="R514" s="19">
        <v>305.06</v>
      </c>
      <c r="S514" s="19">
        <v>311.98</v>
      </c>
      <c r="T514" s="19">
        <v>315.98</v>
      </c>
      <c r="U514" s="19">
        <v>360.33</v>
      </c>
      <c r="V514" s="19">
        <v>315.05</v>
      </c>
      <c r="W514" s="19">
        <v>312.25</v>
      </c>
      <c r="X514" s="19">
        <v>288.12</v>
      </c>
      <c r="Y514" s="19">
        <v>267.82</v>
      </c>
      <c r="Z514" s="32" t="s">
        <v>32</v>
      </c>
      <c r="AA514" s="25">
        <f>MIN($B$514:$Y$514)</f>
        <v>232.58</v>
      </c>
      <c r="AB514" s="25">
        <f>AVERAGE($B$514:$Y$514)</f>
        <v>288.54124999999999</v>
      </c>
    </row>
    <row r="515" spans="1:28">
      <c r="A515" s="30">
        <v>45805</v>
      </c>
      <c r="B515" s="19">
        <v>273.07</v>
      </c>
      <c r="C515" s="19">
        <v>276.47000000000003</v>
      </c>
      <c r="D515" s="19">
        <v>278.95</v>
      </c>
      <c r="E515" s="19">
        <v>282.48</v>
      </c>
      <c r="F515" s="19">
        <v>269.67</v>
      </c>
      <c r="G515" s="19">
        <v>272.45</v>
      </c>
      <c r="H515" s="19">
        <v>280.43</v>
      </c>
      <c r="I515" s="19">
        <v>269.56</v>
      </c>
      <c r="J515" s="19">
        <v>290.82</v>
      </c>
      <c r="K515" s="19">
        <v>311.95</v>
      </c>
      <c r="L515" s="19">
        <v>305.8</v>
      </c>
      <c r="M515" s="19">
        <v>341.24</v>
      </c>
      <c r="N515" s="19">
        <v>309.95</v>
      </c>
      <c r="O515" s="19">
        <v>327.26</v>
      </c>
      <c r="P515" s="19">
        <v>332.2</v>
      </c>
      <c r="Q515" s="19">
        <v>329.42</v>
      </c>
      <c r="R515" s="19">
        <v>342.1</v>
      </c>
      <c r="S515" s="19">
        <v>338.36</v>
      </c>
      <c r="T515" s="19">
        <v>317.27999999999997</v>
      </c>
      <c r="U515" s="19">
        <v>353.47</v>
      </c>
      <c r="V515" s="19">
        <v>363.56</v>
      </c>
      <c r="W515" s="19">
        <v>350.81</v>
      </c>
      <c r="X515" s="19">
        <v>310.91000000000003</v>
      </c>
      <c r="Y515" s="19">
        <v>285.47000000000003</v>
      </c>
      <c r="Z515" s="33" t="s">
        <v>32</v>
      </c>
      <c r="AA515" s="25">
        <f>MIN($B$515:$Y$515)</f>
        <v>269.56</v>
      </c>
      <c r="AB515" s="25">
        <f>AVERAGE($B$515:$Y$515)</f>
        <v>308.90333333333302</v>
      </c>
    </row>
    <row r="516" spans="1:28">
      <c r="A516" s="30">
        <v>45806</v>
      </c>
      <c r="B516" s="19">
        <v>295.24</v>
      </c>
      <c r="C516" s="19">
        <v>295</v>
      </c>
      <c r="D516" s="19">
        <v>304.20999999999998</v>
      </c>
      <c r="E516" s="19">
        <v>302.52</v>
      </c>
      <c r="F516" s="19">
        <v>287.44</v>
      </c>
      <c r="G516" s="19">
        <v>288.14</v>
      </c>
      <c r="H516" s="19">
        <v>296.77</v>
      </c>
      <c r="I516" s="19">
        <v>282.87</v>
      </c>
      <c r="J516" s="19">
        <v>304.14999999999998</v>
      </c>
      <c r="K516" s="19">
        <v>326.63</v>
      </c>
      <c r="L516" s="19">
        <v>324.25</v>
      </c>
      <c r="M516" s="19">
        <v>343.4</v>
      </c>
      <c r="N516" s="19">
        <v>313.77999999999997</v>
      </c>
      <c r="O516" s="19">
        <v>317.51</v>
      </c>
      <c r="P516" s="19">
        <v>317.12</v>
      </c>
      <c r="Q516" s="19">
        <v>310.11</v>
      </c>
      <c r="R516" s="19">
        <v>319.97000000000003</v>
      </c>
      <c r="S516" s="19">
        <v>303.91000000000003</v>
      </c>
      <c r="T516" s="19">
        <v>292.55</v>
      </c>
      <c r="U516" s="19">
        <v>327.18</v>
      </c>
      <c r="V516" s="19">
        <v>308.95999999999998</v>
      </c>
      <c r="W516" s="19">
        <v>300.98</v>
      </c>
      <c r="X516" s="19">
        <v>275.69</v>
      </c>
      <c r="Y516" s="19">
        <v>252.35</v>
      </c>
      <c r="Z516" s="32" t="s">
        <v>32</v>
      </c>
      <c r="AA516" s="25">
        <f>MIN($B$516:$Y$516)</f>
        <v>252.35</v>
      </c>
      <c r="AB516" s="25">
        <f>AVERAGE($B$516:$Y$516)</f>
        <v>303.78041666666701</v>
      </c>
    </row>
    <row r="517" spans="1:28">
      <c r="A517" s="30">
        <v>45807</v>
      </c>
      <c r="B517" s="19">
        <v>279.99</v>
      </c>
      <c r="C517" s="19">
        <v>286.32</v>
      </c>
      <c r="D517" s="19">
        <v>298.02999999999997</v>
      </c>
      <c r="E517" s="19">
        <v>295.82</v>
      </c>
      <c r="F517" s="19">
        <v>287.13</v>
      </c>
      <c r="G517" s="19">
        <v>286.76</v>
      </c>
      <c r="H517" s="19">
        <v>286.42</v>
      </c>
      <c r="I517" s="19">
        <v>277.35000000000002</v>
      </c>
      <c r="J517" s="19">
        <v>294.95</v>
      </c>
      <c r="K517" s="19">
        <v>356.23</v>
      </c>
      <c r="L517" s="19">
        <v>348.13</v>
      </c>
      <c r="M517" s="19">
        <v>354.64</v>
      </c>
      <c r="N517" s="19">
        <v>301.87</v>
      </c>
      <c r="O517" s="19">
        <v>307.25</v>
      </c>
      <c r="P517" s="19">
        <v>311.74</v>
      </c>
      <c r="Q517" s="19">
        <v>323.8</v>
      </c>
      <c r="R517" s="19">
        <v>381</v>
      </c>
      <c r="S517" s="19">
        <v>374.96</v>
      </c>
      <c r="T517" s="19">
        <v>298.05</v>
      </c>
      <c r="U517" s="19">
        <v>306.43</v>
      </c>
      <c r="V517" s="19">
        <v>302.79000000000002</v>
      </c>
      <c r="W517" s="19">
        <v>298.52999999999997</v>
      </c>
      <c r="X517" s="19">
        <v>289.95999999999998</v>
      </c>
      <c r="Y517" s="19">
        <v>266.05</v>
      </c>
      <c r="Z517" s="33" t="s">
        <v>32</v>
      </c>
      <c r="AA517" s="25">
        <f>MIN($B$517:$Y$517)</f>
        <v>266.05</v>
      </c>
      <c r="AB517" s="25">
        <f>AVERAGE($B$517:$Y$517)</f>
        <v>308.92500000000001</v>
      </c>
    </row>
    <row r="518" spans="1:28">
      <c r="A518" s="30">
        <v>45808</v>
      </c>
      <c r="B518" s="19">
        <v>262.89</v>
      </c>
      <c r="C518" s="19">
        <v>269.45999999999998</v>
      </c>
      <c r="D518" s="19">
        <v>268.79000000000002</v>
      </c>
      <c r="E518" s="19">
        <v>234.17</v>
      </c>
      <c r="F518" s="19">
        <v>215.41</v>
      </c>
      <c r="G518" s="19">
        <v>205.14</v>
      </c>
      <c r="H518" s="19">
        <v>192.77</v>
      </c>
      <c r="I518" s="19">
        <v>4.25</v>
      </c>
      <c r="J518" s="19">
        <v>0</v>
      </c>
      <c r="K518" s="19">
        <v>0</v>
      </c>
      <c r="L518" s="19">
        <v>0</v>
      </c>
      <c r="M518" s="19">
        <v>0</v>
      </c>
      <c r="N518" s="19">
        <v>0</v>
      </c>
      <c r="O518" s="19">
        <v>0</v>
      </c>
      <c r="P518" s="19">
        <v>0</v>
      </c>
      <c r="Q518" s="19">
        <v>0</v>
      </c>
      <c r="R518" s="19">
        <v>0</v>
      </c>
      <c r="S518" s="19">
        <v>0</v>
      </c>
      <c r="T518" s="19">
        <v>1.82</v>
      </c>
      <c r="U518" s="19">
        <v>199.31</v>
      </c>
      <c r="V518" s="19">
        <v>233.33</v>
      </c>
      <c r="W518" s="19">
        <v>220.59</v>
      </c>
      <c r="X518" s="19">
        <v>244.54</v>
      </c>
      <c r="Y518" s="19">
        <v>258.5</v>
      </c>
      <c r="Z518" s="40" t="s">
        <v>31</v>
      </c>
      <c r="AA518" s="25">
        <f>MIN($B$518:$Y$518)</f>
        <v>0</v>
      </c>
      <c r="AB518" s="25">
        <f>AVERAGE($B$518:$Y$518)</f>
        <v>117.12375</v>
      </c>
    </row>
    <row r="519" spans="1:28">
      <c r="A519" s="30">
        <v>45809</v>
      </c>
      <c r="B519" s="19">
        <v>180</v>
      </c>
      <c r="C519" s="19">
        <v>193.03</v>
      </c>
      <c r="D519" s="19">
        <v>128.75</v>
      </c>
      <c r="E519" s="19">
        <v>123.75</v>
      </c>
      <c r="F519" s="19">
        <v>83.75</v>
      </c>
      <c r="G519" s="19">
        <v>55</v>
      </c>
      <c r="H519" s="19">
        <v>92.55</v>
      </c>
      <c r="I519" s="19">
        <v>107.42</v>
      </c>
      <c r="J519" s="19">
        <v>77.5</v>
      </c>
      <c r="K519" s="19">
        <v>205.84</v>
      </c>
      <c r="L519" s="19">
        <v>77.64</v>
      </c>
      <c r="M519" s="19">
        <v>176.74</v>
      </c>
      <c r="N519" s="19">
        <v>26.27</v>
      </c>
      <c r="O519" s="19">
        <v>114.7</v>
      </c>
      <c r="P519" s="19">
        <v>210.48</v>
      </c>
      <c r="Q519" s="19">
        <v>174.41</v>
      </c>
      <c r="R519" s="19">
        <v>244.22</v>
      </c>
      <c r="S519" s="19">
        <v>214.06</v>
      </c>
      <c r="T519" s="19">
        <v>244.88</v>
      </c>
      <c r="U519" s="19">
        <v>264.01</v>
      </c>
      <c r="V519" s="19">
        <v>257.70999999999998</v>
      </c>
      <c r="W519" s="19">
        <v>259.39</v>
      </c>
      <c r="X519" s="19">
        <v>260.25</v>
      </c>
      <c r="Y519" s="19">
        <v>260.62</v>
      </c>
      <c r="Z519" s="38" t="s">
        <v>35</v>
      </c>
      <c r="AA519" s="25">
        <f>MIN($B$519:$Y$519)</f>
        <v>26.27</v>
      </c>
      <c r="AB519" s="25">
        <f>AVERAGE($B$519:$Y$519)</f>
        <v>168.040416666667</v>
      </c>
    </row>
    <row r="520" spans="1:28">
      <c r="A520" s="30">
        <v>45810</v>
      </c>
      <c r="B520" s="19">
        <v>289.72000000000003</v>
      </c>
      <c r="C520" s="19">
        <v>266.44</v>
      </c>
      <c r="D520" s="19">
        <v>248.96</v>
      </c>
      <c r="E520" s="19">
        <v>239.6</v>
      </c>
      <c r="F520" s="19">
        <v>233.94</v>
      </c>
      <c r="G520" s="19">
        <v>230.23</v>
      </c>
      <c r="H520" s="19">
        <v>231.87</v>
      </c>
      <c r="I520" s="19">
        <v>218.17</v>
      </c>
      <c r="J520" s="19">
        <v>248.72</v>
      </c>
      <c r="K520" s="19">
        <v>256.99</v>
      </c>
      <c r="L520" s="19">
        <v>314.79000000000002</v>
      </c>
      <c r="M520" s="19">
        <v>283.77999999999997</v>
      </c>
      <c r="N520" s="19">
        <v>248.59</v>
      </c>
      <c r="O520" s="19">
        <v>266.52999999999997</v>
      </c>
      <c r="P520" s="19">
        <v>275.76</v>
      </c>
      <c r="Q520" s="19">
        <v>284.04000000000002</v>
      </c>
      <c r="R520" s="19">
        <v>294.94</v>
      </c>
      <c r="S520" s="19">
        <v>297.83999999999997</v>
      </c>
      <c r="T520" s="19">
        <v>271.13</v>
      </c>
      <c r="U520" s="19">
        <v>290.75</v>
      </c>
      <c r="V520" s="19">
        <v>292.63</v>
      </c>
      <c r="W520" s="19">
        <v>283</v>
      </c>
      <c r="X520" s="19">
        <v>281.82</v>
      </c>
      <c r="Y520" s="19">
        <v>281.16000000000003</v>
      </c>
      <c r="Z520" s="39" t="s">
        <v>35</v>
      </c>
      <c r="AA520" s="25">
        <f>MIN($B$520:$Y$520)</f>
        <v>218.17</v>
      </c>
      <c r="AB520" s="25">
        <f>AVERAGE($B$520:$Y$520)</f>
        <v>267.97500000000002</v>
      </c>
    </row>
    <row r="521" spans="1:28">
      <c r="A521" s="30">
        <v>45811</v>
      </c>
      <c r="B521" s="19">
        <v>510.95</v>
      </c>
      <c r="C521" s="19">
        <v>448.87</v>
      </c>
      <c r="D521" s="19">
        <v>427.57</v>
      </c>
      <c r="E521" s="19">
        <v>320.5</v>
      </c>
      <c r="F521" s="19">
        <v>297.51</v>
      </c>
      <c r="G521" s="19">
        <v>292.99</v>
      </c>
      <c r="H521" s="19">
        <v>293.26</v>
      </c>
      <c r="I521" s="19">
        <v>278.93</v>
      </c>
      <c r="J521" s="19">
        <v>307.91000000000003</v>
      </c>
      <c r="K521" s="19">
        <v>353.44</v>
      </c>
      <c r="L521" s="19">
        <v>370.1</v>
      </c>
      <c r="M521" s="19">
        <v>470.33</v>
      </c>
      <c r="N521" s="19">
        <v>305.01</v>
      </c>
      <c r="O521" s="19">
        <v>347.52</v>
      </c>
      <c r="P521" s="19">
        <v>362.02</v>
      </c>
      <c r="Q521" s="19">
        <v>345.9</v>
      </c>
      <c r="R521" s="19">
        <v>368.83</v>
      </c>
      <c r="S521" s="19">
        <v>332.79</v>
      </c>
      <c r="T521" s="19">
        <v>305.24</v>
      </c>
      <c r="U521" s="19">
        <v>330.17</v>
      </c>
      <c r="V521" s="19">
        <v>317.66000000000003</v>
      </c>
      <c r="W521" s="19">
        <v>325.35000000000002</v>
      </c>
      <c r="X521" s="19">
        <v>319.25</v>
      </c>
      <c r="Y521" s="19">
        <v>297.37</v>
      </c>
      <c r="Z521" s="33" t="s">
        <v>32</v>
      </c>
      <c r="AA521" s="25">
        <f>MIN($B$521:$Y$521)</f>
        <v>278.93</v>
      </c>
      <c r="AB521" s="25">
        <f>AVERAGE($B$521:$Y$521)</f>
        <v>347.06124999999997</v>
      </c>
    </row>
    <row r="522" spans="1:28">
      <c r="A522" s="30">
        <v>45812</v>
      </c>
      <c r="B522" s="19">
        <v>306.73</v>
      </c>
      <c r="C522" s="19">
        <v>310.77999999999997</v>
      </c>
      <c r="D522" s="19">
        <v>324.75</v>
      </c>
      <c r="E522" s="19">
        <v>307.22000000000003</v>
      </c>
      <c r="F522" s="19">
        <v>294.87</v>
      </c>
      <c r="G522" s="19">
        <v>294.06</v>
      </c>
      <c r="H522" s="19">
        <v>295.87</v>
      </c>
      <c r="I522" s="19">
        <v>276.14999999999998</v>
      </c>
      <c r="J522" s="19">
        <v>296.69</v>
      </c>
      <c r="K522" s="19">
        <v>348.07</v>
      </c>
      <c r="L522" s="19">
        <v>378.74</v>
      </c>
      <c r="M522" s="19">
        <v>396.64</v>
      </c>
      <c r="N522" s="19">
        <v>298.48</v>
      </c>
      <c r="O522" s="19">
        <v>356.55</v>
      </c>
      <c r="P522" s="19">
        <v>402.17</v>
      </c>
      <c r="Q522" s="19">
        <v>336.51</v>
      </c>
      <c r="R522" s="19">
        <v>342.88</v>
      </c>
      <c r="S522" s="19">
        <v>327.47000000000003</v>
      </c>
      <c r="T522" s="19">
        <v>318.60000000000002</v>
      </c>
      <c r="U522" s="19">
        <v>368.8</v>
      </c>
      <c r="V522" s="19">
        <v>348.02</v>
      </c>
      <c r="W522" s="19">
        <v>337.59</v>
      </c>
      <c r="X522" s="19">
        <v>307.45</v>
      </c>
      <c r="Y522" s="19">
        <v>293.58999999999997</v>
      </c>
      <c r="Z522" s="32" t="s">
        <v>32</v>
      </c>
      <c r="AA522" s="25">
        <f>MIN($B$522:$Y$522)</f>
        <v>276.14999999999998</v>
      </c>
      <c r="AB522" s="25">
        <f>AVERAGE($B$522:$Y$522)</f>
        <v>327.86166666666702</v>
      </c>
    </row>
    <row r="523" spans="1:28">
      <c r="A523" s="30">
        <v>45813</v>
      </c>
      <c r="B523" s="19">
        <v>273.39999999999998</v>
      </c>
      <c r="C523" s="19">
        <v>271.83</v>
      </c>
      <c r="D523" s="19">
        <v>272.05</v>
      </c>
      <c r="E523" s="19">
        <v>267.13</v>
      </c>
      <c r="F523" s="19">
        <v>254.83</v>
      </c>
      <c r="G523" s="19">
        <v>252.03</v>
      </c>
      <c r="H523" s="19">
        <v>256.20999999999998</v>
      </c>
      <c r="I523" s="19">
        <v>245.65</v>
      </c>
      <c r="J523" s="19">
        <v>264.89</v>
      </c>
      <c r="K523" s="19">
        <v>259.14</v>
      </c>
      <c r="L523" s="19">
        <v>259.61</v>
      </c>
      <c r="M523" s="19">
        <v>278.5</v>
      </c>
      <c r="N523" s="19">
        <v>239.68</v>
      </c>
      <c r="O523" s="19">
        <v>263.45</v>
      </c>
      <c r="P523" s="19">
        <v>286.92</v>
      </c>
      <c r="Q523" s="19">
        <v>287.39</v>
      </c>
      <c r="R523" s="19">
        <v>320.42</v>
      </c>
      <c r="S523" s="19">
        <v>308.77999999999997</v>
      </c>
      <c r="T523" s="19">
        <v>306.67</v>
      </c>
      <c r="U523" s="19">
        <v>353.87</v>
      </c>
      <c r="V523" s="19">
        <v>324.7</v>
      </c>
      <c r="W523" s="19">
        <v>304.99</v>
      </c>
      <c r="X523" s="19">
        <v>277.27999999999997</v>
      </c>
      <c r="Y523" s="19">
        <v>265.16000000000003</v>
      </c>
      <c r="Z523" s="33" t="s">
        <v>32</v>
      </c>
      <c r="AA523" s="25">
        <f>MIN($B$523:$Y$523)</f>
        <v>239.68</v>
      </c>
      <c r="AB523" s="25">
        <f>AVERAGE($B$523:$Y$523)</f>
        <v>278.94083333333299</v>
      </c>
    </row>
    <row r="524" spans="1:28">
      <c r="A524" s="30">
        <v>45814</v>
      </c>
      <c r="B524" s="19">
        <v>263.83999999999997</v>
      </c>
      <c r="C524" s="19">
        <v>267.14</v>
      </c>
      <c r="D524" s="19">
        <v>266.48</v>
      </c>
      <c r="E524" s="19">
        <v>264.31</v>
      </c>
      <c r="F524" s="19">
        <v>248.61</v>
      </c>
      <c r="G524" s="19">
        <v>248.52</v>
      </c>
      <c r="H524" s="19">
        <v>255.41</v>
      </c>
      <c r="I524" s="19">
        <v>242.58</v>
      </c>
      <c r="J524" s="19">
        <v>267.61</v>
      </c>
      <c r="K524" s="19">
        <v>303.68</v>
      </c>
      <c r="L524" s="19">
        <v>299.97000000000003</v>
      </c>
      <c r="M524" s="19">
        <v>298.42</v>
      </c>
      <c r="N524" s="19">
        <v>266.75</v>
      </c>
      <c r="O524" s="19">
        <v>281.33999999999997</v>
      </c>
      <c r="P524" s="19">
        <v>297.25</v>
      </c>
      <c r="Q524" s="19">
        <v>306.77</v>
      </c>
      <c r="R524" s="19">
        <v>324.02999999999997</v>
      </c>
      <c r="S524" s="19">
        <v>329.74</v>
      </c>
      <c r="T524" s="19">
        <v>309.23</v>
      </c>
      <c r="U524" s="19">
        <v>342.73</v>
      </c>
      <c r="V524" s="19">
        <v>349.34</v>
      </c>
      <c r="W524" s="19">
        <v>340.48</v>
      </c>
      <c r="X524" s="19">
        <v>303.81</v>
      </c>
      <c r="Y524" s="19">
        <v>292.83999999999997</v>
      </c>
      <c r="Z524" s="32" t="s">
        <v>32</v>
      </c>
      <c r="AA524" s="25">
        <f>MIN($B$524:$Y$524)</f>
        <v>242.58</v>
      </c>
      <c r="AB524" s="25">
        <f>AVERAGE($B$524:$Y$524)</f>
        <v>290.45333333333298</v>
      </c>
    </row>
    <row r="525" spans="1:28">
      <c r="A525" s="30">
        <v>45815</v>
      </c>
      <c r="B525" s="19">
        <v>322.95</v>
      </c>
      <c r="C525" s="19">
        <v>298.41000000000003</v>
      </c>
      <c r="D525" s="19">
        <v>289.36</v>
      </c>
      <c r="E525" s="19">
        <v>280.44</v>
      </c>
      <c r="F525" s="19">
        <v>269.66000000000003</v>
      </c>
      <c r="G525" s="19">
        <v>267.95999999999998</v>
      </c>
      <c r="H525" s="19">
        <v>268.02</v>
      </c>
      <c r="I525" s="19">
        <v>257.85000000000002</v>
      </c>
      <c r="J525" s="19">
        <v>270.44</v>
      </c>
      <c r="K525" s="19">
        <v>278.58999999999997</v>
      </c>
      <c r="L525" s="19">
        <v>273.38</v>
      </c>
      <c r="M525" s="19">
        <v>281.64</v>
      </c>
      <c r="N525" s="19">
        <v>269.52</v>
      </c>
      <c r="O525" s="19">
        <v>282.95999999999998</v>
      </c>
      <c r="P525" s="19">
        <v>285.73</v>
      </c>
      <c r="Q525" s="19">
        <v>289.08</v>
      </c>
      <c r="R525" s="19">
        <v>302.17</v>
      </c>
      <c r="S525" s="19">
        <v>309.83999999999997</v>
      </c>
      <c r="T525" s="19">
        <v>302.99</v>
      </c>
      <c r="U525" s="19">
        <v>330.22</v>
      </c>
      <c r="V525" s="19">
        <v>325.39</v>
      </c>
      <c r="W525" s="19">
        <v>355.39</v>
      </c>
      <c r="X525" s="19">
        <v>340.22</v>
      </c>
      <c r="Y525" s="19">
        <v>306.70999999999998</v>
      </c>
      <c r="Z525" s="36" t="s">
        <v>36</v>
      </c>
      <c r="AA525" s="25">
        <f>MIN($B$525:$Y$525)</f>
        <v>257.85000000000002</v>
      </c>
      <c r="AB525" s="25">
        <f>AVERAGE($B$525:$Y$525)</f>
        <v>294.12166666666701</v>
      </c>
    </row>
    <row r="526" spans="1:28">
      <c r="A526" s="30">
        <v>45816</v>
      </c>
      <c r="B526" s="19">
        <v>424.66</v>
      </c>
      <c r="C526" s="19">
        <v>356.23</v>
      </c>
      <c r="D526" s="19">
        <v>382.7</v>
      </c>
      <c r="E526" s="19">
        <v>375.35</v>
      </c>
      <c r="F526" s="19">
        <v>310.32</v>
      </c>
      <c r="G526" s="19">
        <v>301.37</v>
      </c>
      <c r="H526" s="19">
        <v>297.64999999999998</v>
      </c>
      <c r="I526" s="19">
        <v>263.95999999999998</v>
      </c>
      <c r="J526" s="19">
        <v>247.17</v>
      </c>
      <c r="K526" s="19">
        <v>263.91000000000003</v>
      </c>
      <c r="L526" s="19">
        <v>269.19</v>
      </c>
      <c r="M526" s="19">
        <v>279.18</v>
      </c>
      <c r="N526" s="19">
        <v>262.83</v>
      </c>
      <c r="O526" s="19">
        <v>303.17</v>
      </c>
      <c r="P526" s="19">
        <v>313.58</v>
      </c>
      <c r="Q526" s="19">
        <v>312.63</v>
      </c>
      <c r="R526" s="19">
        <v>317.89</v>
      </c>
      <c r="S526" s="19">
        <v>316.31</v>
      </c>
      <c r="T526" s="19">
        <v>302.97000000000003</v>
      </c>
      <c r="U526" s="19">
        <v>324.10000000000002</v>
      </c>
      <c r="V526" s="19">
        <v>340.41</v>
      </c>
      <c r="W526" s="19">
        <v>399.94</v>
      </c>
      <c r="X526" s="19">
        <v>403.33</v>
      </c>
      <c r="Y526" s="19">
        <v>359.97</v>
      </c>
      <c r="Z526" s="37" t="s">
        <v>37</v>
      </c>
      <c r="AA526" s="25">
        <f>MIN($B$526:$Y$526)</f>
        <v>247.17</v>
      </c>
      <c r="AB526" s="25">
        <f>AVERAGE($B$526:$Y$526)</f>
        <v>322.03416666666698</v>
      </c>
    </row>
    <row r="527" spans="1:28">
      <c r="A527" s="30">
        <v>45817</v>
      </c>
      <c r="B527" s="19">
        <v>364.71</v>
      </c>
      <c r="C527" s="19">
        <v>340.77</v>
      </c>
      <c r="D527" s="19">
        <v>363.57</v>
      </c>
      <c r="E527" s="19">
        <v>325.26</v>
      </c>
      <c r="F527" s="19">
        <v>300.7</v>
      </c>
      <c r="G527" s="19">
        <v>294.35000000000002</v>
      </c>
      <c r="H527" s="19">
        <v>290.39999999999998</v>
      </c>
      <c r="I527" s="19">
        <v>272.27</v>
      </c>
      <c r="J527" s="19">
        <v>323.74</v>
      </c>
      <c r="K527" s="19">
        <v>372.21</v>
      </c>
      <c r="L527" s="19">
        <v>386.71</v>
      </c>
      <c r="M527" s="19">
        <v>387.41</v>
      </c>
      <c r="N527" s="19">
        <v>303.52999999999997</v>
      </c>
      <c r="O527" s="19">
        <v>395.65</v>
      </c>
      <c r="P527" s="19">
        <v>469.27</v>
      </c>
      <c r="Q527" s="19">
        <v>406.86</v>
      </c>
      <c r="R527" s="19">
        <v>455.49</v>
      </c>
      <c r="S527" s="19">
        <v>515.5</v>
      </c>
      <c r="T527" s="19">
        <v>406.64</v>
      </c>
      <c r="U527" s="19">
        <v>491.08</v>
      </c>
      <c r="V527" s="19">
        <v>481.05</v>
      </c>
      <c r="W527" s="19">
        <v>431.97</v>
      </c>
      <c r="X527" s="19">
        <v>372.29</v>
      </c>
      <c r="Y527" s="19">
        <v>351.25</v>
      </c>
      <c r="Z527" s="33" t="s">
        <v>32</v>
      </c>
      <c r="AA527" s="25">
        <f>MIN($B$527:$Y$527)</f>
        <v>272.27</v>
      </c>
      <c r="AB527" s="25">
        <f>AVERAGE($B$527:$Y$527)</f>
        <v>379.27833333333302</v>
      </c>
    </row>
    <row r="528" spans="1:28">
      <c r="A528" s="30">
        <v>45818</v>
      </c>
      <c r="B528" s="19">
        <v>404.24</v>
      </c>
      <c r="C528" s="19">
        <v>421.5</v>
      </c>
      <c r="D528" s="19">
        <v>434.25</v>
      </c>
      <c r="E528" s="19">
        <v>381.99</v>
      </c>
      <c r="F528" s="19">
        <v>323.16000000000003</v>
      </c>
      <c r="G528" s="19">
        <v>307.38</v>
      </c>
      <c r="H528" s="19">
        <v>298.54000000000002</v>
      </c>
      <c r="I528" s="19">
        <v>269.02</v>
      </c>
      <c r="J528" s="19">
        <v>294.48</v>
      </c>
      <c r="K528" s="19">
        <v>320.37</v>
      </c>
      <c r="L528" s="19">
        <v>311.8</v>
      </c>
      <c r="M528" s="19">
        <v>323.13</v>
      </c>
      <c r="N528" s="19">
        <v>290.92</v>
      </c>
      <c r="O528" s="19">
        <v>357.34</v>
      </c>
      <c r="P528" s="19">
        <v>367.72</v>
      </c>
      <c r="Q528" s="19">
        <v>377.91</v>
      </c>
      <c r="R528" s="19">
        <v>423.9</v>
      </c>
      <c r="S528" s="19">
        <v>507.15</v>
      </c>
      <c r="T528" s="19">
        <v>365.28</v>
      </c>
      <c r="U528" s="19">
        <v>470.59</v>
      </c>
      <c r="V528" s="19">
        <v>400.14</v>
      </c>
      <c r="W528" s="19">
        <v>400.67</v>
      </c>
      <c r="X528" s="19">
        <v>371.27</v>
      </c>
      <c r="Y528" s="19">
        <v>346.09</v>
      </c>
      <c r="Z528" s="32" t="s">
        <v>32</v>
      </c>
      <c r="AA528" s="25">
        <f>MIN($B$528:$Y$528)</f>
        <v>269.02</v>
      </c>
      <c r="AB528" s="25">
        <f>AVERAGE($B$528:$Y$528)</f>
        <v>365.368333333333</v>
      </c>
    </row>
    <row r="529" spans="1:28">
      <c r="A529" s="30">
        <v>45819</v>
      </c>
      <c r="B529" s="19">
        <v>537.52</v>
      </c>
      <c r="C529" s="19">
        <v>516.09</v>
      </c>
      <c r="D529" s="19">
        <v>601.1</v>
      </c>
      <c r="E529" s="19">
        <v>498.83</v>
      </c>
      <c r="F529" s="19">
        <v>355.3</v>
      </c>
      <c r="G529" s="19">
        <v>312.07</v>
      </c>
      <c r="H529" s="19">
        <v>296.74</v>
      </c>
      <c r="I529" s="19">
        <v>259.39999999999998</v>
      </c>
      <c r="J529" s="19">
        <v>320.58</v>
      </c>
      <c r="K529" s="19">
        <v>371.71</v>
      </c>
      <c r="L529" s="19">
        <v>335.68</v>
      </c>
      <c r="M529" s="19">
        <v>357.5</v>
      </c>
      <c r="N529" s="19">
        <v>353.96</v>
      </c>
      <c r="O529" s="19">
        <v>534.30999999999995</v>
      </c>
      <c r="P529" s="19">
        <v>439.99</v>
      </c>
      <c r="Q529" s="19">
        <v>495.67</v>
      </c>
      <c r="R529" s="19">
        <v>621.61</v>
      </c>
      <c r="S529" s="19">
        <v>651.78</v>
      </c>
      <c r="T529" s="19">
        <v>480.08</v>
      </c>
      <c r="U529" s="19">
        <v>664.62</v>
      </c>
      <c r="V529" s="19">
        <v>508.82</v>
      </c>
      <c r="W529" s="19">
        <v>533.04</v>
      </c>
      <c r="X529" s="19">
        <v>399.86</v>
      </c>
      <c r="Y529" s="19">
        <v>324.8</v>
      </c>
      <c r="Z529" s="33" t="s">
        <v>32</v>
      </c>
      <c r="AA529" s="25">
        <f>MIN($B$529:$Y$529)</f>
        <v>259.39999999999998</v>
      </c>
      <c r="AB529" s="25">
        <f>AVERAGE($B$529:$Y$529)</f>
        <v>448.79416666666702</v>
      </c>
    </row>
    <row r="530" spans="1:28">
      <c r="A530" s="30">
        <v>45820</v>
      </c>
      <c r="B530" s="19">
        <v>359.25</v>
      </c>
      <c r="C530" s="19">
        <v>347.73</v>
      </c>
      <c r="D530" s="19">
        <v>340.83</v>
      </c>
      <c r="E530" s="19">
        <v>303.64999999999998</v>
      </c>
      <c r="F530" s="19">
        <v>284.97000000000003</v>
      </c>
      <c r="G530" s="19">
        <v>275.68</v>
      </c>
      <c r="H530" s="19">
        <v>268.57</v>
      </c>
      <c r="I530" s="19">
        <v>243.49</v>
      </c>
      <c r="J530" s="19">
        <v>265.5</v>
      </c>
      <c r="K530" s="19">
        <v>309.04000000000002</v>
      </c>
      <c r="L530" s="19">
        <v>312.29000000000002</v>
      </c>
      <c r="M530" s="19">
        <v>305.12</v>
      </c>
      <c r="N530" s="19">
        <v>300.13</v>
      </c>
      <c r="O530" s="19">
        <v>361.92</v>
      </c>
      <c r="P530" s="19">
        <v>365.71</v>
      </c>
      <c r="Q530" s="19">
        <v>383.78</v>
      </c>
      <c r="R530" s="19">
        <v>410.78</v>
      </c>
      <c r="S530" s="19">
        <v>554.29</v>
      </c>
      <c r="T530" s="19">
        <v>357.43</v>
      </c>
      <c r="U530" s="19">
        <v>472.35</v>
      </c>
      <c r="V530" s="19">
        <v>395.07</v>
      </c>
      <c r="W530" s="19">
        <v>384.57</v>
      </c>
      <c r="X530" s="19">
        <v>357.24</v>
      </c>
      <c r="Y530" s="19">
        <v>302.33</v>
      </c>
      <c r="Z530" s="32" t="s">
        <v>32</v>
      </c>
      <c r="AA530" s="25">
        <f>MIN($B$530:$Y$530)</f>
        <v>243.49</v>
      </c>
      <c r="AB530" s="25">
        <f>AVERAGE($B$530:$Y$530)</f>
        <v>344.238333333333</v>
      </c>
    </row>
    <row r="531" spans="1:28">
      <c r="A531" s="30">
        <v>45821</v>
      </c>
      <c r="B531" s="19">
        <v>321.58</v>
      </c>
      <c r="C531" s="19">
        <v>315.91000000000003</v>
      </c>
      <c r="D531" s="19">
        <v>309.91000000000003</v>
      </c>
      <c r="E531" s="19">
        <v>287.63</v>
      </c>
      <c r="F531" s="19">
        <v>269.98</v>
      </c>
      <c r="G531" s="19">
        <v>262.56</v>
      </c>
      <c r="H531" s="19">
        <v>266.69</v>
      </c>
      <c r="I531" s="19">
        <v>246.73</v>
      </c>
      <c r="J531" s="19">
        <v>323.5</v>
      </c>
      <c r="K531" s="19">
        <v>368.65</v>
      </c>
      <c r="L531" s="19">
        <v>339.59</v>
      </c>
      <c r="M531" s="19">
        <v>344.15</v>
      </c>
      <c r="N531" s="19">
        <v>287.2</v>
      </c>
      <c r="O531" s="19">
        <v>373.32</v>
      </c>
      <c r="P531" s="19">
        <v>370.22</v>
      </c>
      <c r="Q531" s="19">
        <v>356.76</v>
      </c>
      <c r="R531" s="19">
        <v>358.57</v>
      </c>
      <c r="S531" s="19">
        <v>364.31</v>
      </c>
      <c r="T531" s="19">
        <v>334.35</v>
      </c>
      <c r="U531" s="19">
        <v>409.08</v>
      </c>
      <c r="V531" s="19">
        <v>359.65</v>
      </c>
      <c r="W531" s="19">
        <v>351.78</v>
      </c>
      <c r="X531" s="19">
        <v>308.51</v>
      </c>
      <c r="Y531" s="19">
        <v>277.63</v>
      </c>
      <c r="Z531" s="33" t="s">
        <v>32</v>
      </c>
      <c r="AA531" s="25">
        <f>MIN($B$531:$Y$531)</f>
        <v>246.73</v>
      </c>
      <c r="AB531" s="25">
        <f>AVERAGE($B$531:$Y$531)</f>
        <v>325.34416666666698</v>
      </c>
    </row>
    <row r="532" spans="1:28">
      <c r="A532" s="30">
        <v>45822</v>
      </c>
      <c r="B532" s="19">
        <v>255.77</v>
      </c>
      <c r="C532" s="19">
        <v>277.54000000000002</v>
      </c>
      <c r="D532" s="19">
        <v>277.92</v>
      </c>
      <c r="E532" s="19">
        <v>263</v>
      </c>
      <c r="F532" s="19">
        <v>244.58</v>
      </c>
      <c r="G532" s="19">
        <v>240.14</v>
      </c>
      <c r="H532" s="19">
        <v>236.19</v>
      </c>
      <c r="I532" s="19">
        <v>217.34</v>
      </c>
      <c r="J532" s="19">
        <v>261.63</v>
      </c>
      <c r="K532" s="19">
        <v>330.89</v>
      </c>
      <c r="L532" s="19">
        <v>343.58</v>
      </c>
      <c r="M532" s="19">
        <v>302.14</v>
      </c>
      <c r="N532" s="19">
        <v>255.42</v>
      </c>
      <c r="O532" s="19">
        <v>287.02</v>
      </c>
      <c r="P532" s="19">
        <v>314.08</v>
      </c>
      <c r="Q532" s="19">
        <v>356.37</v>
      </c>
      <c r="R532" s="19">
        <v>313.81</v>
      </c>
      <c r="S532" s="19">
        <v>320</v>
      </c>
      <c r="T532" s="19">
        <v>288.06</v>
      </c>
      <c r="U532" s="19">
        <v>317.97000000000003</v>
      </c>
      <c r="V532" s="19">
        <v>309.8</v>
      </c>
      <c r="W532" s="19">
        <v>286.2</v>
      </c>
      <c r="X532" s="19">
        <v>272.83999999999997</v>
      </c>
      <c r="Y532" s="19">
        <v>242.93</v>
      </c>
      <c r="Z532" s="34" t="s">
        <v>36</v>
      </c>
      <c r="AA532" s="25">
        <f>MIN($B$532:$Y$532)</f>
        <v>217.34</v>
      </c>
      <c r="AB532" s="25">
        <f>AVERAGE($B$532:$Y$532)</f>
        <v>283.96749999999997</v>
      </c>
    </row>
    <row r="533" spans="1:28">
      <c r="A533" s="30">
        <v>45823</v>
      </c>
      <c r="B533" s="19">
        <v>211.04</v>
      </c>
      <c r="C533" s="19">
        <v>240.33</v>
      </c>
      <c r="D533" s="19">
        <v>235.05</v>
      </c>
      <c r="E533" s="19">
        <v>212.67</v>
      </c>
      <c r="F533" s="19">
        <v>80.83</v>
      </c>
      <c r="G533" s="19">
        <v>53.7</v>
      </c>
      <c r="H533" s="19">
        <v>7.3</v>
      </c>
      <c r="I533" s="19">
        <v>8.25</v>
      </c>
      <c r="J533" s="19">
        <v>16.14</v>
      </c>
      <c r="K533" s="19">
        <v>81.209999999999994</v>
      </c>
      <c r="L533" s="19">
        <v>64.95</v>
      </c>
      <c r="M533" s="19">
        <v>90.73</v>
      </c>
      <c r="N533" s="19">
        <v>42.65</v>
      </c>
      <c r="O533" s="19">
        <v>88.37</v>
      </c>
      <c r="P533" s="19">
        <v>94.04</v>
      </c>
      <c r="Q533" s="19">
        <v>102.39</v>
      </c>
      <c r="R533" s="19">
        <v>178.58</v>
      </c>
      <c r="S533" s="19">
        <v>248.91</v>
      </c>
      <c r="T533" s="19">
        <v>240.76</v>
      </c>
      <c r="U533" s="19">
        <v>267.08999999999997</v>
      </c>
      <c r="V533" s="19">
        <v>269.85000000000002</v>
      </c>
      <c r="W533" s="19">
        <v>270.35000000000002</v>
      </c>
      <c r="X533" s="19">
        <v>271.56</v>
      </c>
      <c r="Y533" s="19">
        <v>258.97000000000003</v>
      </c>
      <c r="Z533" s="35" t="s">
        <v>37</v>
      </c>
      <c r="AA533" s="25">
        <f>MIN($B$533:$Y$533)</f>
        <v>7.3</v>
      </c>
      <c r="AB533" s="25">
        <f>AVERAGE($B$533:$Y$533)</f>
        <v>151.488333333333</v>
      </c>
    </row>
    <row r="534" spans="1:28">
      <c r="A534" s="30">
        <v>45829</v>
      </c>
      <c r="B534" s="19">
        <v>290.23</v>
      </c>
      <c r="C534" s="19">
        <v>269.45</v>
      </c>
      <c r="D534" s="19">
        <v>262.69</v>
      </c>
      <c r="E534" s="19">
        <v>257.19</v>
      </c>
      <c r="F534" s="19">
        <v>246.26</v>
      </c>
      <c r="G534" s="19">
        <v>243.97</v>
      </c>
      <c r="H534" s="19">
        <v>247.91</v>
      </c>
      <c r="I534" s="19">
        <v>231.21</v>
      </c>
      <c r="J534" s="19">
        <v>254.29</v>
      </c>
      <c r="K534" s="19">
        <v>357.75</v>
      </c>
      <c r="L534" s="19">
        <v>322.37</v>
      </c>
      <c r="M534" s="19">
        <v>289.47000000000003</v>
      </c>
      <c r="N534" s="19">
        <v>263.41000000000003</v>
      </c>
      <c r="O534" s="19">
        <v>279.77</v>
      </c>
      <c r="P534" s="19">
        <v>286.02999999999997</v>
      </c>
      <c r="Q534" s="19">
        <v>295.97000000000003</v>
      </c>
      <c r="R534" s="19">
        <v>314.58999999999997</v>
      </c>
      <c r="S534" s="19">
        <v>324.3</v>
      </c>
      <c r="T534" s="19">
        <v>305.07</v>
      </c>
      <c r="U534" s="19">
        <v>351.6</v>
      </c>
      <c r="V534" s="19">
        <v>354.54</v>
      </c>
      <c r="W534" s="19">
        <v>324</v>
      </c>
      <c r="X534" s="19">
        <v>300.8</v>
      </c>
      <c r="Y534" s="19">
        <v>274.08</v>
      </c>
      <c r="Z534" s="32" t="s">
        <v>32</v>
      </c>
      <c r="AA534" s="25">
        <f>MIN($B$534:$Y$534)</f>
        <v>231.21</v>
      </c>
      <c r="AB534" s="25">
        <f>AVERAGE($B$534:$Y$534)</f>
        <v>289.45625000000001</v>
      </c>
    </row>
    <row r="535" spans="1:28">
      <c r="A535" s="30">
        <v>45830</v>
      </c>
      <c r="B535" s="19">
        <v>314.35000000000002</v>
      </c>
      <c r="C535" s="19">
        <v>285.63</v>
      </c>
      <c r="D535" s="19">
        <v>275.95</v>
      </c>
      <c r="E535" s="19">
        <v>262.70999999999998</v>
      </c>
      <c r="F535" s="19">
        <v>254.41</v>
      </c>
      <c r="G535" s="19">
        <v>249.58</v>
      </c>
      <c r="H535" s="19">
        <v>248.99</v>
      </c>
      <c r="I535" s="19">
        <v>225.86</v>
      </c>
      <c r="J535" s="19">
        <v>225.8</v>
      </c>
      <c r="K535" s="19">
        <v>226.12</v>
      </c>
      <c r="L535" s="19">
        <v>106.6</v>
      </c>
      <c r="M535" s="19">
        <v>163.51</v>
      </c>
      <c r="N535" s="19">
        <v>120.53</v>
      </c>
      <c r="O535" s="19">
        <v>156.91</v>
      </c>
      <c r="P535" s="19">
        <v>141.13</v>
      </c>
      <c r="Q535" s="19">
        <v>162.68</v>
      </c>
      <c r="R535" s="19">
        <v>201.83</v>
      </c>
      <c r="S535" s="19">
        <v>265.14999999999998</v>
      </c>
      <c r="T535" s="19">
        <v>270.02999999999997</v>
      </c>
      <c r="U535" s="19">
        <v>288.82</v>
      </c>
      <c r="V535" s="19">
        <v>291.14</v>
      </c>
      <c r="W535" s="19">
        <v>292.31</v>
      </c>
      <c r="X535" s="19">
        <v>295.02999999999997</v>
      </c>
      <c r="Y535" s="19">
        <v>281.17</v>
      </c>
      <c r="Z535" s="33" t="s">
        <v>32</v>
      </c>
      <c r="AA535" s="25">
        <f>MIN($B$535:$Y$535)</f>
        <v>106.6</v>
      </c>
      <c r="AB535" s="25">
        <f>AVERAGE($B$535:$Y$535)</f>
        <v>233.59333333333299</v>
      </c>
    </row>
    <row r="536" spans="1:28">
      <c r="A536" s="30">
        <v>45831</v>
      </c>
      <c r="B536" s="19">
        <v>273.7</v>
      </c>
      <c r="C536" s="19">
        <v>272.41000000000003</v>
      </c>
      <c r="D536" s="19">
        <v>261.64</v>
      </c>
      <c r="E536" s="19">
        <v>249.16</v>
      </c>
      <c r="F536" s="19">
        <v>236.12</v>
      </c>
      <c r="G536" s="19">
        <v>230.18</v>
      </c>
      <c r="H536" s="19">
        <v>235.62</v>
      </c>
      <c r="I536" s="19">
        <v>226.04</v>
      </c>
      <c r="J536" s="19">
        <v>257.45999999999998</v>
      </c>
      <c r="K536" s="19">
        <v>307.14</v>
      </c>
      <c r="L536" s="19">
        <v>323.19</v>
      </c>
      <c r="M536" s="19">
        <v>322.24</v>
      </c>
      <c r="N536" s="19">
        <v>236.23</v>
      </c>
      <c r="O536" s="19">
        <v>260.47000000000003</v>
      </c>
      <c r="P536" s="19">
        <v>271.95999999999998</v>
      </c>
      <c r="Q536" s="19">
        <v>279.23</v>
      </c>
      <c r="R536" s="19">
        <v>310.83999999999997</v>
      </c>
      <c r="S536" s="19">
        <v>321.91000000000003</v>
      </c>
      <c r="T536" s="19">
        <v>313.37</v>
      </c>
      <c r="U536" s="19">
        <v>426.47</v>
      </c>
      <c r="V536" s="19">
        <v>361.56</v>
      </c>
      <c r="W536" s="19">
        <v>345.34</v>
      </c>
      <c r="X536" s="19">
        <v>312.19</v>
      </c>
      <c r="Y536" s="19">
        <v>287.8</v>
      </c>
      <c r="Z536" s="32" t="s">
        <v>32</v>
      </c>
      <c r="AA536" s="25">
        <f>MIN($B$536:$Y$536)</f>
        <v>226.04</v>
      </c>
      <c r="AB536" s="25">
        <f>AVERAGE($B$536:$Y$536)</f>
        <v>288.42791666666699</v>
      </c>
    </row>
    <row r="537" spans="1:28">
      <c r="A537" s="30">
        <v>45832</v>
      </c>
      <c r="B537" s="19">
        <v>318.48</v>
      </c>
      <c r="C537" s="19">
        <v>314.56</v>
      </c>
      <c r="D537" s="19">
        <v>303.42</v>
      </c>
      <c r="E537" s="19">
        <v>281.22000000000003</v>
      </c>
      <c r="F537" s="19">
        <v>270.02999999999997</v>
      </c>
      <c r="G537" s="19">
        <v>265.91000000000003</v>
      </c>
      <c r="H537" s="19">
        <v>270.37</v>
      </c>
      <c r="I537" s="19">
        <v>253.57</v>
      </c>
      <c r="J537" s="19">
        <v>283.66000000000003</v>
      </c>
      <c r="K537" s="19">
        <v>431.37</v>
      </c>
      <c r="L537" s="19">
        <v>471.37</v>
      </c>
      <c r="M537" s="19">
        <v>454.14</v>
      </c>
      <c r="N537" s="19">
        <v>292.89</v>
      </c>
      <c r="O537" s="19">
        <v>384.11</v>
      </c>
      <c r="P537" s="19">
        <v>409.46</v>
      </c>
      <c r="Q537" s="19">
        <v>463.01</v>
      </c>
      <c r="R537" s="19">
        <v>415.31</v>
      </c>
      <c r="S537" s="19">
        <v>385.61</v>
      </c>
      <c r="T537" s="19">
        <v>325.41000000000003</v>
      </c>
      <c r="U537" s="19">
        <v>442.13</v>
      </c>
      <c r="V537" s="19">
        <v>370.24</v>
      </c>
      <c r="W537" s="19">
        <v>344.98</v>
      </c>
      <c r="X537" s="19">
        <v>337.03</v>
      </c>
      <c r="Y537" s="19">
        <v>297.31</v>
      </c>
      <c r="Z537" s="33" t="s">
        <v>32</v>
      </c>
      <c r="AA537" s="25">
        <f>MIN($B$537:$Y$537)</f>
        <v>253.57</v>
      </c>
      <c r="AB537" s="25">
        <f>AVERAGE($B$537:$Y$537)</f>
        <v>349.399583333333</v>
      </c>
    </row>
    <row r="538" spans="1:28">
      <c r="A538" s="30">
        <v>45833</v>
      </c>
      <c r="B538" s="19">
        <v>330.42</v>
      </c>
      <c r="C538" s="19">
        <v>311.8</v>
      </c>
      <c r="D538" s="19">
        <v>297.7</v>
      </c>
      <c r="E538" s="19">
        <v>277.33999999999997</v>
      </c>
      <c r="F538" s="19">
        <v>268.75</v>
      </c>
      <c r="G538" s="19">
        <v>260.88</v>
      </c>
      <c r="H538" s="19">
        <v>262.01</v>
      </c>
      <c r="I538" s="19">
        <v>239.56</v>
      </c>
      <c r="J538" s="19">
        <v>282.04000000000002</v>
      </c>
      <c r="K538" s="19">
        <v>333.38</v>
      </c>
      <c r="L538" s="19">
        <v>358.97</v>
      </c>
      <c r="M538" s="19">
        <v>331.23</v>
      </c>
      <c r="N538" s="19">
        <v>271.77</v>
      </c>
      <c r="O538" s="19">
        <v>296.24</v>
      </c>
      <c r="P538" s="19">
        <v>349.75</v>
      </c>
      <c r="Q538" s="19">
        <v>418.39</v>
      </c>
      <c r="R538" s="19">
        <v>555.30999999999995</v>
      </c>
      <c r="S538" s="19">
        <v>486.19</v>
      </c>
      <c r="T538" s="19">
        <v>333.49</v>
      </c>
      <c r="U538" s="19">
        <v>425.51</v>
      </c>
      <c r="V538" s="19">
        <v>416.04</v>
      </c>
      <c r="W538" s="19">
        <v>379.15</v>
      </c>
      <c r="X538" s="19">
        <v>343.78</v>
      </c>
      <c r="Y538" s="19">
        <v>289</v>
      </c>
      <c r="Z538" s="32" t="s">
        <v>32</v>
      </c>
      <c r="AA538" s="25">
        <f>MIN($B$538:$Y$538)</f>
        <v>239.56</v>
      </c>
      <c r="AB538" s="25">
        <f>AVERAGE($B$538:$Y$538)</f>
        <v>338.27916666666698</v>
      </c>
    </row>
    <row r="539" spans="1:28">
      <c r="A539" s="30">
        <v>45834</v>
      </c>
      <c r="B539" s="19">
        <v>313.89999999999998</v>
      </c>
      <c r="C539" s="19">
        <v>304.66000000000003</v>
      </c>
      <c r="D539" s="19">
        <v>287.23</v>
      </c>
      <c r="E539" s="19">
        <v>269.01</v>
      </c>
      <c r="F539" s="19">
        <v>257.5</v>
      </c>
      <c r="G539" s="19">
        <v>251.02</v>
      </c>
      <c r="H539" s="19">
        <v>251.13</v>
      </c>
      <c r="I539" s="19">
        <v>226.01</v>
      </c>
      <c r="J539" s="19">
        <v>295.07</v>
      </c>
      <c r="K539" s="19">
        <v>331.53</v>
      </c>
      <c r="L539" s="19">
        <v>432.07</v>
      </c>
      <c r="M539" s="19">
        <v>398.33</v>
      </c>
      <c r="N539" s="19">
        <v>231.43</v>
      </c>
      <c r="O539" s="19">
        <v>291.69</v>
      </c>
      <c r="P539" s="19">
        <v>333.84</v>
      </c>
      <c r="Q539" s="19">
        <v>315.05</v>
      </c>
      <c r="R539" s="19">
        <v>348.54</v>
      </c>
      <c r="S539" s="19">
        <v>327.05</v>
      </c>
      <c r="T539" s="19">
        <v>307.01</v>
      </c>
      <c r="U539" s="19">
        <v>347.83</v>
      </c>
      <c r="V539" s="19">
        <v>331.4</v>
      </c>
      <c r="W539" s="19">
        <v>345.71</v>
      </c>
      <c r="X539" s="19">
        <v>343.38</v>
      </c>
      <c r="Y539" s="19">
        <v>286.89</v>
      </c>
      <c r="Z539" s="36" t="s">
        <v>36</v>
      </c>
      <c r="AA539" s="25">
        <f>MIN($B$539:$Y$539)</f>
        <v>226.01</v>
      </c>
      <c r="AB539" s="25">
        <f>AVERAGE($B$539:$Y$539)</f>
        <v>309.47000000000003</v>
      </c>
    </row>
    <row r="540" spans="1:28">
      <c r="A540" s="30">
        <v>45835</v>
      </c>
      <c r="B540" s="19">
        <v>278.38</v>
      </c>
      <c r="C540" s="19">
        <v>273.89</v>
      </c>
      <c r="D540" s="19">
        <v>268.14999999999998</v>
      </c>
      <c r="E540" s="19">
        <v>262.02</v>
      </c>
      <c r="F540" s="19">
        <v>255</v>
      </c>
      <c r="G540" s="19">
        <v>253.28</v>
      </c>
      <c r="H540" s="19">
        <v>258.17</v>
      </c>
      <c r="I540" s="19">
        <v>247.85</v>
      </c>
      <c r="J540" s="19">
        <v>278.24</v>
      </c>
      <c r="K540" s="19">
        <v>313.64999999999998</v>
      </c>
      <c r="L540" s="19">
        <v>298.19</v>
      </c>
      <c r="M540" s="19">
        <v>288.25</v>
      </c>
      <c r="N540" s="19">
        <v>245.98</v>
      </c>
      <c r="O540" s="19">
        <v>280.31</v>
      </c>
      <c r="P540" s="19">
        <v>298.33999999999997</v>
      </c>
      <c r="Q540" s="19">
        <v>308.68</v>
      </c>
      <c r="R540" s="19">
        <v>375.77</v>
      </c>
      <c r="S540" s="19">
        <v>352.13</v>
      </c>
      <c r="T540" s="19">
        <v>331.83</v>
      </c>
      <c r="U540" s="19">
        <v>394.02</v>
      </c>
      <c r="V540" s="19">
        <v>344.64</v>
      </c>
      <c r="W540" s="19">
        <v>344.46</v>
      </c>
      <c r="X540" s="19">
        <v>314.67</v>
      </c>
      <c r="Y540" s="19">
        <v>284.75</v>
      </c>
      <c r="Z540" s="37" t="s">
        <v>37</v>
      </c>
      <c r="AA540" s="25">
        <f>MIN($B$540:$Y$540)</f>
        <v>245.98</v>
      </c>
      <c r="AB540" s="25">
        <f>AVERAGE($B$540:$Y$540)</f>
        <v>297.94375000000002</v>
      </c>
    </row>
    <row r="541" spans="1:28">
      <c r="A541" s="30">
        <v>45836</v>
      </c>
      <c r="B541" s="19">
        <v>313.22000000000003</v>
      </c>
      <c r="C541" s="19">
        <v>306.89</v>
      </c>
      <c r="D541" s="19">
        <v>283.64999999999998</v>
      </c>
      <c r="E541" s="19">
        <v>269.16000000000003</v>
      </c>
      <c r="F541" s="19">
        <v>258.64999999999998</v>
      </c>
      <c r="G541" s="19">
        <v>256.87</v>
      </c>
      <c r="H541" s="19">
        <v>257.52999999999997</v>
      </c>
      <c r="I541" s="19">
        <v>247.47</v>
      </c>
      <c r="J541" s="19">
        <v>246.25</v>
      </c>
      <c r="K541" s="19">
        <v>325.64999999999998</v>
      </c>
      <c r="L541" s="19">
        <v>296.02</v>
      </c>
      <c r="M541" s="19">
        <v>313.62</v>
      </c>
      <c r="N541" s="19">
        <v>263.19</v>
      </c>
      <c r="O541" s="19">
        <v>283.94</v>
      </c>
      <c r="P541" s="19">
        <v>295.24</v>
      </c>
      <c r="Q541" s="19">
        <v>293.42</v>
      </c>
      <c r="R541" s="19">
        <v>344.04</v>
      </c>
      <c r="S541" s="19">
        <v>329.79</v>
      </c>
      <c r="T541" s="19">
        <v>294.43</v>
      </c>
      <c r="U541" s="19">
        <v>312.7</v>
      </c>
      <c r="V541" s="19">
        <v>305.75</v>
      </c>
      <c r="W541" s="19">
        <v>303.52</v>
      </c>
      <c r="X541" s="19">
        <v>291.39999999999998</v>
      </c>
      <c r="Y541" s="19">
        <v>271.48</v>
      </c>
      <c r="Z541" s="33" t="s">
        <v>32</v>
      </c>
      <c r="AA541" s="25">
        <f>MIN($B$541:$Y$541)</f>
        <v>246.25</v>
      </c>
      <c r="AB541" s="25">
        <v>284</v>
      </c>
    </row>
    <row r="542" spans="1:28">
      <c r="A542" s="30">
        <v>45837</v>
      </c>
      <c r="B542" s="19">
        <v>280.2</v>
      </c>
      <c r="C542" s="19">
        <v>262.05</v>
      </c>
      <c r="D542" s="19">
        <v>250.84</v>
      </c>
      <c r="E542" s="19">
        <v>233.1</v>
      </c>
      <c r="F542" s="19">
        <v>218.08</v>
      </c>
      <c r="G542" s="19">
        <v>214.19</v>
      </c>
      <c r="H542" s="19">
        <v>219.85</v>
      </c>
      <c r="I542" s="19">
        <v>191.38</v>
      </c>
      <c r="J542" s="19">
        <v>156.18</v>
      </c>
      <c r="K542" s="19">
        <v>185.15</v>
      </c>
      <c r="L542" s="19">
        <v>192.58</v>
      </c>
      <c r="M542" s="19">
        <v>198.97</v>
      </c>
      <c r="N542" s="19">
        <v>152.15</v>
      </c>
      <c r="O542" s="19">
        <v>192.66</v>
      </c>
      <c r="P542" s="19">
        <v>193.41</v>
      </c>
      <c r="Q542" s="19">
        <v>218.82</v>
      </c>
      <c r="R542" s="19">
        <v>239.16</v>
      </c>
      <c r="S542" s="19">
        <v>273.47000000000003</v>
      </c>
      <c r="T542" s="19">
        <v>257.25</v>
      </c>
      <c r="U542" s="19">
        <v>274.95999999999998</v>
      </c>
      <c r="V542" s="19">
        <v>284.95</v>
      </c>
      <c r="W542" s="19">
        <v>287.51</v>
      </c>
      <c r="X542" s="19">
        <v>276.45</v>
      </c>
      <c r="Y542" s="19">
        <v>258.63</v>
      </c>
      <c r="Z542" s="32" t="s">
        <v>32</v>
      </c>
      <c r="AA542" s="25">
        <f>MIN($B$542:$Y$542)</f>
        <v>152.15</v>
      </c>
      <c r="AB542" s="25">
        <f>AVERAGE($B$542:$Y$542)</f>
        <v>229.66624999999999</v>
      </c>
    </row>
    <row r="543" spans="1:28">
      <c r="A543" s="30">
        <v>45838</v>
      </c>
      <c r="B543" s="19">
        <v>255.06</v>
      </c>
      <c r="C543" s="19">
        <v>248.36</v>
      </c>
      <c r="D543" s="19">
        <v>206.32</v>
      </c>
      <c r="E543" s="19">
        <v>175.76</v>
      </c>
      <c r="F543" s="19">
        <v>158.1</v>
      </c>
      <c r="G543" s="19">
        <v>149.19999999999999</v>
      </c>
      <c r="H543" s="19">
        <v>172.48</v>
      </c>
      <c r="I543" s="19">
        <v>151.52000000000001</v>
      </c>
      <c r="J543" s="19">
        <v>228.89</v>
      </c>
      <c r="K543" s="19">
        <v>259.93</v>
      </c>
      <c r="L543" s="19">
        <v>264.77</v>
      </c>
      <c r="M543" s="19">
        <v>274.14</v>
      </c>
      <c r="N543" s="19">
        <v>205.74</v>
      </c>
      <c r="O543" s="19">
        <v>265.20999999999998</v>
      </c>
      <c r="P543" s="19">
        <v>257.49</v>
      </c>
      <c r="Q543" s="19">
        <v>261.69</v>
      </c>
      <c r="R543" s="19">
        <v>284.35000000000002</v>
      </c>
      <c r="S543" s="19">
        <v>289.2</v>
      </c>
      <c r="T543" s="19">
        <v>275.42</v>
      </c>
      <c r="U543" s="19">
        <v>298.62</v>
      </c>
      <c r="V543" s="19">
        <v>265.91000000000003</v>
      </c>
      <c r="W543" s="19">
        <v>237.46</v>
      </c>
      <c r="X543" s="19">
        <v>279.45999999999998</v>
      </c>
      <c r="Y543" s="19">
        <v>247.66</v>
      </c>
      <c r="Z543" s="33" t="s">
        <v>32</v>
      </c>
      <c r="AA543" s="25">
        <f>MIN($B$543:$Y$543)</f>
        <v>149.19999999999999</v>
      </c>
      <c r="AB543" s="25">
        <f>AVERAGE($B$543:$Y$543)</f>
        <v>238.03083333333299</v>
      </c>
    </row>
    <row r="544" spans="1:28">
      <c r="A544" s="30">
        <v>45839</v>
      </c>
      <c r="B544" s="19">
        <v>278.08999999999997</v>
      </c>
      <c r="C544" s="19">
        <v>270.64999999999998</v>
      </c>
      <c r="D544" s="19">
        <v>254.56</v>
      </c>
      <c r="E544" s="19">
        <v>245.94</v>
      </c>
      <c r="F544" s="19">
        <v>234.68</v>
      </c>
      <c r="G544" s="19">
        <v>231.51</v>
      </c>
      <c r="H544" s="19">
        <v>236.38</v>
      </c>
      <c r="I544" s="19">
        <v>233.84</v>
      </c>
      <c r="J544" s="19">
        <v>264.11</v>
      </c>
      <c r="K544" s="19">
        <v>301.05</v>
      </c>
      <c r="L544" s="19">
        <v>297.17</v>
      </c>
      <c r="M544" s="19">
        <v>296.74</v>
      </c>
      <c r="N544" s="19">
        <v>264.95</v>
      </c>
      <c r="O544" s="19">
        <v>293.93</v>
      </c>
      <c r="P544" s="19">
        <v>303.44</v>
      </c>
      <c r="Q544" s="19">
        <v>329.51</v>
      </c>
      <c r="R544" s="19">
        <v>528.28</v>
      </c>
      <c r="S544" s="19">
        <v>508.85</v>
      </c>
      <c r="T544" s="19">
        <v>392.18</v>
      </c>
      <c r="U544" s="19">
        <v>655.61</v>
      </c>
      <c r="V544" s="19">
        <v>502.17</v>
      </c>
      <c r="W544" s="19">
        <v>439.53</v>
      </c>
      <c r="X544" s="19">
        <v>303.64999999999998</v>
      </c>
      <c r="Y544" s="19">
        <v>273.35000000000002</v>
      </c>
      <c r="Z544" s="32" t="s">
        <v>32</v>
      </c>
      <c r="AA544" s="25">
        <f>MIN($B$544:$Y$544)</f>
        <v>231.51</v>
      </c>
      <c r="AB544" s="25">
        <f>AVERAGE($B$544:$Y$544)</f>
        <v>330.84041666666701</v>
      </c>
    </row>
    <row r="545" spans="1:28">
      <c r="A545" s="30">
        <v>45840</v>
      </c>
      <c r="B545" s="19">
        <v>256.82</v>
      </c>
      <c r="C545" s="19">
        <v>247.74</v>
      </c>
      <c r="D545" s="19">
        <v>232.06</v>
      </c>
      <c r="E545" s="19">
        <v>225.34</v>
      </c>
      <c r="F545" s="19">
        <v>216.41</v>
      </c>
      <c r="G545" s="19">
        <v>215.51</v>
      </c>
      <c r="H545" s="19">
        <v>223.91</v>
      </c>
      <c r="I545" s="19">
        <v>212.55</v>
      </c>
      <c r="J545" s="19">
        <v>240.91</v>
      </c>
      <c r="K545" s="19">
        <v>258.81</v>
      </c>
      <c r="L545" s="19">
        <v>257.64999999999998</v>
      </c>
      <c r="M545" s="19">
        <v>255.92</v>
      </c>
      <c r="N545" s="19">
        <v>241.05</v>
      </c>
      <c r="O545" s="19">
        <v>256.13</v>
      </c>
      <c r="P545" s="19">
        <v>264.37</v>
      </c>
      <c r="Q545" s="19">
        <v>269.70999999999998</v>
      </c>
      <c r="R545" s="19">
        <v>299.94</v>
      </c>
      <c r="S545" s="19">
        <v>324.52999999999997</v>
      </c>
      <c r="T545" s="19">
        <v>289.85000000000002</v>
      </c>
      <c r="U545" s="19">
        <v>377.02</v>
      </c>
      <c r="V545" s="19">
        <v>326.91000000000003</v>
      </c>
      <c r="W545" s="19">
        <v>302.87</v>
      </c>
      <c r="X545" s="19">
        <v>292.24</v>
      </c>
      <c r="Y545" s="19">
        <v>274.29000000000002</v>
      </c>
      <c r="Z545" s="33" t="s">
        <v>32</v>
      </c>
      <c r="AA545" s="25">
        <f>MIN($B$545:$Y$545)</f>
        <v>212.55</v>
      </c>
      <c r="AB545" s="25">
        <f>AVERAGE($B$545:$Y$545)</f>
        <v>265.10583333333301</v>
      </c>
    </row>
    <row r="546" spans="1:28">
      <c r="A546" s="30">
        <v>45841</v>
      </c>
      <c r="B546" s="19">
        <v>273.91000000000003</v>
      </c>
      <c r="C546" s="19">
        <v>263.13</v>
      </c>
      <c r="D546" s="19">
        <v>246.69</v>
      </c>
      <c r="E546" s="19">
        <v>234.76</v>
      </c>
      <c r="F546" s="19">
        <v>227.43</v>
      </c>
      <c r="G546" s="19">
        <v>225.44</v>
      </c>
      <c r="H546" s="19">
        <v>227.7</v>
      </c>
      <c r="I546" s="19">
        <v>218.96</v>
      </c>
      <c r="J546" s="19">
        <v>258.73</v>
      </c>
      <c r="K546" s="19">
        <v>297.97000000000003</v>
      </c>
      <c r="L546" s="19">
        <v>293.35000000000002</v>
      </c>
      <c r="M546" s="19">
        <v>279.75</v>
      </c>
      <c r="N546" s="19">
        <v>236.13</v>
      </c>
      <c r="O546" s="19">
        <v>272.74</v>
      </c>
      <c r="P546" s="19">
        <v>304.02999999999997</v>
      </c>
      <c r="Q546" s="19">
        <v>315.95</v>
      </c>
      <c r="R546" s="19">
        <v>475.88</v>
      </c>
      <c r="S546" s="19">
        <v>516.95000000000005</v>
      </c>
      <c r="T546" s="19">
        <v>348.95</v>
      </c>
      <c r="U546" s="19">
        <v>598.04</v>
      </c>
      <c r="V546" s="19">
        <v>568.6</v>
      </c>
      <c r="W546" s="19">
        <v>443.85</v>
      </c>
      <c r="X546" s="19">
        <v>327.95</v>
      </c>
      <c r="Y546" s="19">
        <v>275.95</v>
      </c>
      <c r="Z546" s="34" t="s">
        <v>36</v>
      </c>
      <c r="AA546" s="25">
        <f>MIN($B$546:$Y$546)</f>
        <v>218.96</v>
      </c>
      <c r="AB546" s="25">
        <f>AVERAGE($B$546:$Y$546)</f>
        <v>322.20166666666699</v>
      </c>
    </row>
    <row r="547" spans="1:28">
      <c r="A547" s="30">
        <v>45842</v>
      </c>
      <c r="B547" s="19">
        <v>302.55</v>
      </c>
      <c r="C547" s="19">
        <v>283.02</v>
      </c>
      <c r="D547" s="19">
        <v>263.48</v>
      </c>
      <c r="E547" s="19">
        <v>254.52</v>
      </c>
      <c r="F547" s="19">
        <v>246.95</v>
      </c>
      <c r="G547" s="19">
        <v>242.8</v>
      </c>
      <c r="H547" s="19">
        <v>247.68</v>
      </c>
      <c r="I547" s="19">
        <v>226.34</v>
      </c>
      <c r="J547" s="19">
        <v>258.89</v>
      </c>
      <c r="K547" s="19">
        <v>285.22000000000003</v>
      </c>
      <c r="L547" s="19">
        <v>283.51</v>
      </c>
      <c r="M547" s="19">
        <v>268.44</v>
      </c>
      <c r="N547" s="19">
        <v>240.51</v>
      </c>
      <c r="O547" s="19">
        <v>266.36</v>
      </c>
      <c r="P547" s="19">
        <v>279.37</v>
      </c>
      <c r="Q547" s="19">
        <v>299.04000000000002</v>
      </c>
      <c r="R547" s="19">
        <v>365.42</v>
      </c>
      <c r="S547" s="19">
        <v>439.5</v>
      </c>
      <c r="T547" s="19">
        <v>335.17</v>
      </c>
      <c r="U547" s="19">
        <v>543.91999999999996</v>
      </c>
      <c r="V547" s="19">
        <v>500.34</v>
      </c>
      <c r="W547" s="19">
        <v>390</v>
      </c>
      <c r="X547" s="19">
        <v>352.9</v>
      </c>
      <c r="Y547" s="19">
        <v>297.33</v>
      </c>
      <c r="Z547" s="35" t="s">
        <v>37</v>
      </c>
      <c r="AA547" s="25">
        <f>MIN($B$547:$Y$547)</f>
        <v>226.34</v>
      </c>
      <c r="AB547" s="25">
        <f>AVERAGE($B$547:$Y$547)</f>
        <v>311.38583333333298</v>
      </c>
    </row>
    <row r="548" spans="1:28">
      <c r="A548" s="30">
        <v>45843</v>
      </c>
      <c r="B548" s="19">
        <v>303.7</v>
      </c>
      <c r="C548" s="19">
        <v>289.3</v>
      </c>
      <c r="D548" s="19">
        <v>273.51</v>
      </c>
      <c r="E548" s="19">
        <v>265.47000000000003</v>
      </c>
      <c r="F548" s="19">
        <v>259.86</v>
      </c>
      <c r="G548" s="19">
        <v>255.37</v>
      </c>
      <c r="H548" s="19">
        <v>254.71</v>
      </c>
      <c r="I548" s="19">
        <v>237.48</v>
      </c>
      <c r="J548" s="19">
        <v>245.45</v>
      </c>
      <c r="K548" s="19">
        <v>264.35000000000002</v>
      </c>
      <c r="L548" s="19">
        <v>262.26</v>
      </c>
      <c r="M548" s="19">
        <v>255.4</v>
      </c>
      <c r="N548" s="19">
        <v>222.32</v>
      </c>
      <c r="O548" s="19">
        <v>266.36</v>
      </c>
      <c r="P548" s="19">
        <v>274.08</v>
      </c>
      <c r="Q548" s="19">
        <v>283.99</v>
      </c>
      <c r="R548" s="19">
        <v>320.29000000000002</v>
      </c>
      <c r="S548" s="19">
        <v>333.24</v>
      </c>
      <c r="T548" s="19">
        <v>310.55</v>
      </c>
      <c r="U548" s="19">
        <v>350.35</v>
      </c>
      <c r="V548" s="19">
        <v>335.55</v>
      </c>
      <c r="W548" s="19">
        <v>343.79</v>
      </c>
      <c r="X548" s="19">
        <v>339.3</v>
      </c>
      <c r="Y548" s="19">
        <v>311.11</v>
      </c>
      <c r="Z548" s="32" t="s">
        <v>32</v>
      </c>
      <c r="AA548" s="25">
        <f>MIN($B$548:$Y$548)</f>
        <v>222.32</v>
      </c>
      <c r="AB548" s="25">
        <f>AVERAGE($B$548:$Y$548)</f>
        <v>285.74124999999998</v>
      </c>
    </row>
    <row r="549" spans="1:28">
      <c r="A549" s="30">
        <v>45844</v>
      </c>
      <c r="B549" s="19">
        <v>345.24</v>
      </c>
      <c r="C549" s="19">
        <v>333.73</v>
      </c>
      <c r="D549" s="19">
        <v>296.89999999999998</v>
      </c>
      <c r="E549" s="19">
        <v>285.10000000000002</v>
      </c>
      <c r="F549" s="19">
        <v>270.58</v>
      </c>
      <c r="G549" s="19">
        <v>265.58999999999997</v>
      </c>
      <c r="H549" s="19">
        <v>262.36</v>
      </c>
      <c r="I549" s="19">
        <v>242.94</v>
      </c>
      <c r="J549" s="19">
        <v>219.48</v>
      </c>
      <c r="K549" s="19">
        <v>228.41</v>
      </c>
      <c r="L549" s="19">
        <v>226</v>
      </c>
      <c r="M549" s="19">
        <v>223.01</v>
      </c>
      <c r="N549" s="19">
        <v>264.38</v>
      </c>
      <c r="O549" s="19">
        <v>246.26</v>
      </c>
      <c r="P549" s="19">
        <v>258.48</v>
      </c>
      <c r="Q549" s="19">
        <v>263.02999999999997</v>
      </c>
      <c r="R549" s="19">
        <v>274.88</v>
      </c>
      <c r="S549" s="19">
        <v>295.68</v>
      </c>
      <c r="T549" s="19">
        <v>292.04000000000002</v>
      </c>
      <c r="U549" s="19">
        <v>342.21</v>
      </c>
      <c r="V549" s="19">
        <v>403.53</v>
      </c>
      <c r="W549" s="19">
        <v>432.95</v>
      </c>
      <c r="X549" s="19">
        <v>373.92</v>
      </c>
      <c r="Y549" s="19">
        <v>316.58</v>
      </c>
      <c r="Z549" s="33" t="s">
        <v>32</v>
      </c>
      <c r="AA549" s="25">
        <f>MIN($B$549:$Y$549)</f>
        <v>219.48</v>
      </c>
      <c r="AB549" s="25">
        <f>AVERAGE($B$549:$Y$549)</f>
        <v>290.136666666667</v>
      </c>
    </row>
    <row r="550" spans="1:28">
      <c r="A550" s="30">
        <v>45845</v>
      </c>
      <c r="B550" s="19">
        <v>312.02999999999997</v>
      </c>
      <c r="C550" s="19">
        <v>282.85000000000002</v>
      </c>
      <c r="D550" s="19">
        <v>264.08</v>
      </c>
      <c r="E550" s="19">
        <v>255.19</v>
      </c>
      <c r="F550" s="19">
        <v>248.92</v>
      </c>
      <c r="G550" s="19">
        <v>246.64</v>
      </c>
      <c r="H550" s="19">
        <v>249.55</v>
      </c>
      <c r="I550" s="19">
        <v>231.78</v>
      </c>
      <c r="J550" s="19">
        <v>267.68</v>
      </c>
      <c r="K550" s="19">
        <v>292</v>
      </c>
      <c r="L550" s="19">
        <v>282.33999999999997</v>
      </c>
      <c r="M550" s="19">
        <v>286.06</v>
      </c>
      <c r="N550" s="19">
        <v>272.83999999999997</v>
      </c>
      <c r="O550" s="19">
        <v>329.04</v>
      </c>
      <c r="P550" s="19">
        <v>357.46</v>
      </c>
      <c r="Q550" s="19">
        <v>347.57</v>
      </c>
      <c r="R550" s="19">
        <v>398.48</v>
      </c>
      <c r="S550" s="19">
        <v>426.47</v>
      </c>
      <c r="T550" s="19">
        <v>343.43</v>
      </c>
      <c r="U550" s="19">
        <v>522.23</v>
      </c>
      <c r="V550" s="19">
        <v>412.14</v>
      </c>
      <c r="W550" s="19">
        <v>357.7</v>
      </c>
      <c r="X550" s="19">
        <v>321.8</v>
      </c>
      <c r="Y550" s="19">
        <v>288.13</v>
      </c>
      <c r="Z550" s="32" t="s">
        <v>32</v>
      </c>
      <c r="AA550" s="25">
        <f>MIN($B$550:$Y$550)</f>
        <v>231.78</v>
      </c>
      <c r="AB550" s="25">
        <f>AVERAGE($B$550:$Y$550)</f>
        <v>316.51708333333301</v>
      </c>
    </row>
    <row r="551" spans="1:28">
      <c r="A551" s="30">
        <v>45846</v>
      </c>
      <c r="B551" s="19">
        <v>314.66000000000003</v>
      </c>
      <c r="C551" s="19">
        <v>285.62</v>
      </c>
      <c r="D551" s="19">
        <v>262.35000000000002</v>
      </c>
      <c r="E551" s="19">
        <v>253.02</v>
      </c>
      <c r="F551" s="19">
        <v>245.97</v>
      </c>
      <c r="G551" s="19">
        <v>238.17</v>
      </c>
      <c r="H551" s="19">
        <v>239.94</v>
      </c>
      <c r="I551" s="19">
        <v>225.07</v>
      </c>
      <c r="J551" s="19">
        <v>244</v>
      </c>
      <c r="K551" s="19">
        <v>271.2</v>
      </c>
      <c r="L551" s="19">
        <v>264.76</v>
      </c>
      <c r="M551" s="19">
        <v>283.88</v>
      </c>
      <c r="N551" s="19">
        <v>278.29000000000002</v>
      </c>
      <c r="O551" s="19">
        <v>370.3</v>
      </c>
      <c r="P551" s="19">
        <v>382.4</v>
      </c>
      <c r="Q551" s="19">
        <v>361.45</v>
      </c>
      <c r="R551" s="19">
        <v>408.58</v>
      </c>
      <c r="S551" s="19">
        <v>399.38</v>
      </c>
      <c r="T551" s="19">
        <v>351.84</v>
      </c>
      <c r="U551" s="19">
        <v>415.48</v>
      </c>
      <c r="V551" s="19">
        <v>343.34</v>
      </c>
      <c r="W551" s="19">
        <v>346.01</v>
      </c>
      <c r="X551" s="19">
        <v>324.14</v>
      </c>
      <c r="Y551" s="19">
        <v>288.35000000000002</v>
      </c>
      <c r="Z551" s="33" t="s">
        <v>32</v>
      </c>
      <c r="AA551" s="25">
        <f>MIN($B$551:$Y$551)</f>
        <v>225.07</v>
      </c>
      <c r="AB551" s="25">
        <f>AVERAGE($B$551:$Y$551)</f>
        <v>308.25833333333298</v>
      </c>
    </row>
    <row r="552" spans="1:28">
      <c r="A552" s="30">
        <v>45847</v>
      </c>
      <c r="B552" s="19">
        <v>400.26</v>
      </c>
      <c r="C552" s="19">
        <v>340.06</v>
      </c>
      <c r="D552" s="19">
        <v>281.44</v>
      </c>
      <c r="E552" s="19">
        <v>269.69</v>
      </c>
      <c r="F552" s="19">
        <v>263.55</v>
      </c>
      <c r="G552" s="19">
        <v>259.14999999999998</v>
      </c>
      <c r="H552" s="19">
        <v>257.77999999999997</v>
      </c>
      <c r="I552" s="19">
        <v>242.37</v>
      </c>
      <c r="J552" s="19">
        <v>281.08</v>
      </c>
      <c r="K552" s="19">
        <v>356.37</v>
      </c>
      <c r="L552" s="19">
        <v>323.64</v>
      </c>
      <c r="M552" s="19">
        <v>344.72</v>
      </c>
      <c r="N552" s="19">
        <v>294.94</v>
      </c>
      <c r="O552" s="19">
        <v>390.86</v>
      </c>
      <c r="P552" s="19">
        <v>424</v>
      </c>
      <c r="Q552" s="19">
        <v>396.95</v>
      </c>
      <c r="R552" s="19">
        <v>445.24</v>
      </c>
      <c r="S552" s="19">
        <v>439.05</v>
      </c>
      <c r="T552" s="19">
        <v>347.5</v>
      </c>
      <c r="U552" s="19">
        <v>554.65</v>
      </c>
      <c r="V552" s="19">
        <v>448.64</v>
      </c>
      <c r="W552" s="19">
        <v>413.21</v>
      </c>
      <c r="X552" s="19">
        <v>374.36</v>
      </c>
      <c r="Y552" s="19">
        <v>341.6</v>
      </c>
      <c r="Z552" s="32" t="s">
        <v>32</v>
      </c>
      <c r="AA552" s="25">
        <f>MIN($B$552:$Y$552)</f>
        <v>242.37</v>
      </c>
      <c r="AB552" s="25">
        <f>AVERAGE($B$552:$Y$552)</f>
        <v>353.79624999999999</v>
      </c>
    </row>
    <row r="553" spans="1:28">
      <c r="A553" s="30">
        <v>45848</v>
      </c>
      <c r="B553" s="19">
        <v>330.59</v>
      </c>
      <c r="C553" s="19">
        <v>310.87</v>
      </c>
      <c r="D553" s="19">
        <v>277.45999999999998</v>
      </c>
      <c r="E553" s="19">
        <v>263.31</v>
      </c>
      <c r="F553" s="19">
        <v>254.09</v>
      </c>
      <c r="G553" s="19">
        <v>249.52</v>
      </c>
      <c r="H553" s="19">
        <v>249.68</v>
      </c>
      <c r="I553" s="19">
        <v>245.07</v>
      </c>
      <c r="J553" s="19">
        <v>284.62</v>
      </c>
      <c r="K553" s="19">
        <v>371.62</v>
      </c>
      <c r="L553" s="19">
        <v>373.97</v>
      </c>
      <c r="M553" s="19">
        <v>363.6</v>
      </c>
      <c r="N553" s="19">
        <v>300.39999999999998</v>
      </c>
      <c r="O553" s="19">
        <v>404.02</v>
      </c>
      <c r="P553" s="19">
        <v>473.77</v>
      </c>
      <c r="Q553" s="19">
        <v>397.55</v>
      </c>
      <c r="R553" s="19">
        <v>362.41</v>
      </c>
      <c r="S553" s="19">
        <v>376.24</v>
      </c>
      <c r="T553" s="19">
        <v>306.23</v>
      </c>
      <c r="U553" s="19">
        <v>326.97000000000003</v>
      </c>
      <c r="V553" s="19">
        <v>323.54000000000002</v>
      </c>
      <c r="W553" s="19">
        <v>306.08999999999997</v>
      </c>
      <c r="X553" s="19">
        <v>308.47000000000003</v>
      </c>
      <c r="Y553" s="19">
        <v>277.74</v>
      </c>
      <c r="Z553" s="36" t="s">
        <v>36</v>
      </c>
      <c r="AA553" s="25">
        <f>MIN($B$553:$Y$553)</f>
        <v>245.07</v>
      </c>
      <c r="AB553" s="25">
        <f>AVERAGE($B$553:$Y$553)</f>
        <v>322.40958333333299</v>
      </c>
    </row>
    <row r="554" spans="1:28">
      <c r="A554" s="30">
        <v>45849</v>
      </c>
      <c r="B554" s="19">
        <v>263.52</v>
      </c>
      <c r="C554" s="19">
        <v>259.64999999999998</v>
      </c>
      <c r="D554" s="19">
        <v>245.52</v>
      </c>
      <c r="E554" s="19">
        <v>237.24</v>
      </c>
      <c r="F554" s="19">
        <v>236.27</v>
      </c>
      <c r="G554" s="19">
        <v>234</v>
      </c>
      <c r="H554" s="19">
        <v>237.73</v>
      </c>
      <c r="I554" s="19">
        <v>236.1</v>
      </c>
      <c r="J554" s="19">
        <v>278.52</v>
      </c>
      <c r="K554" s="19">
        <v>327.24</v>
      </c>
      <c r="L554" s="19">
        <v>328.18</v>
      </c>
      <c r="M554" s="19">
        <v>319.37</v>
      </c>
      <c r="N554" s="19">
        <v>258.79000000000002</v>
      </c>
      <c r="O554" s="19">
        <v>306.33999999999997</v>
      </c>
      <c r="P554" s="19">
        <v>328.45</v>
      </c>
      <c r="Q554" s="19">
        <v>317.99</v>
      </c>
      <c r="R554" s="19">
        <v>327.66000000000003</v>
      </c>
      <c r="S554" s="19">
        <v>332.83</v>
      </c>
      <c r="T554" s="19">
        <v>274.52</v>
      </c>
      <c r="U554" s="19">
        <v>344.48</v>
      </c>
      <c r="V554" s="19">
        <v>341.25</v>
      </c>
      <c r="W554" s="19">
        <v>294.89999999999998</v>
      </c>
      <c r="X554" s="19">
        <v>238.35</v>
      </c>
      <c r="Y554" s="19">
        <v>259.85000000000002</v>
      </c>
      <c r="Z554" s="37" t="s">
        <v>37</v>
      </c>
      <c r="AA554" s="25">
        <f>MIN($B$554:$Y$554)</f>
        <v>234</v>
      </c>
      <c r="AB554" s="25">
        <f>AVERAGE($B$554:$Y$554)</f>
        <v>284.53125</v>
      </c>
    </row>
    <row r="555" spans="1:28">
      <c r="A555" s="30">
        <v>45850</v>
      </c>
      <c r="B555" s="19">
        <v>269.86</v>
      </c>
      <c r="C555" s="19">
        <v>278.27999999999997</v>
      </c>
      <c r="D555" s="19">
        <v>263.89999999999998</v>
      </c>
      <c r="E555" s="19">
        <v>253.79</v>
      </c>
      <c r="F555" s="19">
        <v>244.2</v>
      </c>
      <c r="G555" s="19">
        <v>238.12</v>
      </c>
      <c r="H555" s="19">
        <v>243.21</v>
      </c>
      <c r="I555" s="19">
        <v>238.97</v>
      </c>
      <c r="J555" s="19">
        <v>259.10000000000002</v>
      </c>
      <c r="K555" s="19">
        <v>281.05</v>
      </c>
      <c r="L555" s="19">
        <v>285.39</v>
      </c>
      <c r="M555" s="19">
        <v>285.89</v>
      </c>
      <c r="N555" s="19">
        <v>242.05</v>
      </c>
      <c r="O555" s="19">
        <v>260.83999999999997</v>
      </c>
      <c r="P555" s="19">
        <v>274.44</v>
      </c>
      <c r="Q555" s="19">
        <v>273.95999999999998</v>
      </c>
      <c r="R555" s="19">
        <v>283.85000000000002</v>
      </c>
      <c r="S555" s="19">
        <v>284.82</v>
      </c>
      <c r="T555" s="19">
        <v>279.38</v>
      </c>
      <c r="U555" s="19">
        <v>299.19</v>
      </c>
      <c r="V555" s="19">
        <v>314.06</v>
      </c>
      <c r="W555" s="19">
        <v>306.94</v>
      </c>
      <c r="X555" s="19">
        <v>291.51</v>
      </c>
      <c r="Y555" s="19">
        <v>279.41000000000003</v>
      </c>
      <c r="Z555" s="33" t="s">
        <v>32</v>
      </c>
      <c r="AA555" s="25">
        <f>MIN($B$555:$Y$555)</f>
        <v>238.12</v>
      </c>
      <c r="AB555" s="25">
        <f>AVERAGE($B$555:$Y$555)</f>
        <v>272.17541666666699</v>
      </c>
    </row>
    <row r="556" spans="1:28">
      <c r="A556" s="30">
        <v>45851</v>
      </c>
      <c r="B556" s="19">
        <v>292.25</v>
      </c>
      <c r="C556" s="19">
        <v>280.25</v>
      </c>
      <c r="D556" s="19">
        <v>266.67</v>
      </c>
      <c r="E556" s="19">
        <v>257.99</v>
      </c>
      <c r="F556" s="19">
        <v>248.31</v>
      </c>
      <c r="G556" s="19">
        <v>244.14</v>
      </c>
      <c r="H556" s="19">
        <v>248.61</v>
      </c>
      <c r="I556" s="19">
        <v>234.46</v>
      </c>
      <c r="J556" s="19">
        <v>228.33</v>
      </c>
      <c r="K556" s="19">
        <v>229.86</v>
      </c>
      <c r="L556" s="19">
        <v>229.17</v>
      </c>
      <c r="M556" s="19">
        <v>235.08</v>
      </c>
      <c r="N556" s="19">
        <v>207.88</v>
      </c>
      <c r="O556" s="19">
        <v>228.32</v>
      </c>
      <c r="P556" s="19">
        <v>243.52</v>
      </c>
      <c r="Q556" s="19">
        <v>244.05</v>
      </c>
      <c r="R556" s="19">
        <v>253.75</v>
      </c>
      <c r="S556" s="19">
        <v>266.14999999999998</v>
      </c>
      <c r="T556" s="19">
        <v>272.54000000000002</v>
      </c>
      <c r="U556" s="19">
        <v>291.94</v>
      </c>
      <c r="V556" s="19">
        <v>293.45999999999998</v>
      </c>
      <c r="W556" s="19">
        <v>318.61</v>
      </c>
      <c r="X556" s="19">
        <v>309.93</v>
      </c>
      <c r="Y556" s="19">
        <v>289.52</v>
      </c>
      <c r="Z556" s="32" t="s">
        <v>32</v>
      </c>
      <c r="AA556" s="25">
        <f>MIN($B$556:$Y$556)</f>
        <v>207.88</v>
      </c>
      <c r="AB556" s="25">
        <f>AVERAGE($B$556:$Y$556)</f>
        <v>258.94958333333301</v>
      </c>
    </row>
    <row r="557" spans="1:28">
      <c r="A557" s="30">
        <v>45852</v>
      </c>
      <c r="B557" s="19">
        <v>278.31</v>
      </c>
      <c r="C557" s="19">
        <v>268.57</v>
      </c>
      <c r="D557" s="19">
        <v>256.97000000000003</v>
      </c>
      <c r="E557" s="19">
        <v>253.57</v>
      </c>
      <c r="F557" s="19">
        <v>246.85</v>
      </c>
      <c r="G557" s="19">
        <v>245.55</v>
      </c>
      <c r="H557" s="19">
        <v>250.48</v>
      </c>
      <c r="I557" s="19">
        <v>241.32</v>
      </c>
      <c r="J557" s="19">
        <v>272.77</v>
      </c>
      <c r="K557" s="19">
        <v>330.33</v>
      </c>
      <c r="L557" s="19">
        <v>303.06</v>
      </c>
      <c r="M557" s="19">
        <v>294.45</v>
      </c>
      <c r="N557" s="19">
        <v>265.8</v>
      </c>
      <c r="O557" s="19">
        <v>293.82</v>
      </c>
      <c r="P557" s="19">
        <v>310.35000000000002</v>
      </c>
      <c r="Q557" s="19">
        <v>320.26</v>
      </c>
      <c r="R557" s="19">
        <v>362.16</v>
      </c>
      <c r="S557" s="19">
        <v>356.94</v>
      </c>
      <c r="T557" s="19">
        <v>318.33</v>
      </c>
      <c r="U557" s="19">
        <v>464.95</v>
      </c>
      <c r="V557" s="19">
        <v>413.03</v>
      </c>
      <c r="W557" s="19">
        <v>348.02</v>
      </c>
      <c r="X557" s="19">
        <v>326.39999999999998</v>
      </c>
      <c r="Y557" s="19">
        <v>303.37</v>
      </c>
      <c r="Z557" s="33" t="s">
        <v>32</v>
      </c>
      <c r="AA557" s="25">
        <f>MIN($B$557:$Y$557)</f>
        <v>241.32</v>
      </c>
      <c r="AB557" s="25">
        <f>AVERAGE($B$557:$Y$557)</f>
        <v>305.23583333333301</v>
      </c>
    </row>
    <row r="558" spans="1:28">
      <c r="A558" s="30">
        <v>45853</v>
      </c>
      <c r="B558" s="19">
        <v>320.79000000000002</v>
      </c>
      <c r="C558" s="19">
        <v>297.91000000000003</v>
      </c>
      <c r="D558" s="19">
        <v>272.39999999999998</v>
      </c>
      <c r="E558" s="19">
        <v>264.05</v>
      </c>
      <c r="F558" s="19">
        <v>257.52</v>
      </c>
      <c r="G558" s="19">
        <v>251.86</v>
      </c>
      <c r="H558" s="19">
        <v>254.17</v>
      </c>
      <c r="I558" s="19">
        <v>246.65</v>
      </c>
      <c r="J558" s="19">
        <v>281.06</v>
      </c>
      <c r="K558" s="19">
        <v>314.48</v>
      </c>
      <c r="L558" s="19">
        <v>301.12</v>
      </c>
      <c r="M558" s="19">
        <v>296.14</v>
      </c>
      <c r="N558" s="19">
        <v>297.43</v>
      </c>
      <c r="O558" s="19">
        <v>378</v>
      </c>
      <c r="P558" s="19">
        <v>390.45</v>
      </c>
      <c r="Q558" s="19">
        <v>386.69</v>
      </c>
      <c r="R558" s="19">
        <v>451.91</v>
      </c>
      <c r="S558" s="19">
        <v>422.57</v>
      </c>
      <c r="T558" s="19">
        <v>361.15</v>
      </c>
      <c r="U558" s="19">
        <v>506.84</v>
      </c>
      <c r="V558" s="19">
        <v>453.31</v>
      </c>
      <c r="W558" s="19">
        <v>375.41</v>
      </c>
      <c r="X558" s="19">
        <v>387.84</v>
      </c>
      <c r="Y558" s="19">
        <v>331.56</v>
      </c>
      <c r="Z558" s="32" t="s">
        <v>32</v>
      </c>
      <c r="AA558" s="25">
        <f>MIN($B$558:$Y$558)</f>
        <v>246.65</v>
      </c>
      <c r="AB558" s="25">
        <f>AVERAGE($B$558:$Y$558)</f>
        <v>337.55458333333303</v>
      </c>
    </row>
    <row r="559" spans="1:28">
      <c r="A559" s="30">
        <v>45854</v>
      </c>
      <c r="B559" s="19">
        <v>318.75</v>
      </c>
      <c r="C559" s="19">
        <v>297.93</v>
      </c>
      <c r="D559" s="19">
        <v>279.14999999999998</v>
      </c>
      <c r="E559" s="19">
        <v>272.92</v>
      </c>
      <c r="F559" s="19">
        <v>267.5</v>
      </c>
      <c r="G559" s="19">
        <v>263.18</v>
      </c>
      <c r="H559" s="19">
        <v>263.08</v>
      </c>
      <c r="I559" s="19">
        <v>256.22000000000003</v>
      </c>
      <c r="J559" s="19">
        <v>286.79000000000002</v>
      </c>
      <c r="K559" s="19">
        <v>335.06</v>
      </c>
      <c r="L559" s="19">
        <v>309.95999999999998</v>
      </c>
      <c r="M559" s="19">
        <v>304.36</v>
      </c>
      <c r="N559" s="19">
        <v>272.12</v>
      </c>
      <c r="O559" s="19">
        <v>357.16</v>
      </c>
      <c r="P559" s="19">
        <v>351.02</v>
      </c>
      <c r="Q559" s="19">
        <v>347.74</v>
      </c>
      <c r="R559" s="19">
        <v>381.3</v>
      </c>
      <c r="S559" s="19">
        <v>446</v>
      </c>
      <c r="T559" s="19">
        <v>375.51</v>
      </c>
      <c r="U559" s="19">
        <v>466.2</v>
      </c>
      <c r="V559" s="19">
        <v>405.35</v>
      </c>
      <c r="W559" s="19">
        <v>374.89</v>
      </c>
      <c r="X559" s="19">
        <v>365.63</v>
      </c>
      <c r="Y559" s="19">
        <v>334.07</v>
      </c>
      <c r="Z559" s="33" t="s">
        <v>32</v>
      </c>
      <c r="AA559" s="25">
        <f>MIN($B$559:$Y$559)</f>
        <v>256.22000000000003</v>
      </c>
      <c r="AB559" s="25">
        <f>AVERAGE($B$559:$Y$559)</f>
        <v>330.49541666666698</v>
      </c>
    </row>
    <row r="560" spans="1:28">
      <c r="A560" s="30">
        <v>45855</v>
      </c>
      <c r="B560" s="19">
        <v>357.05</v>
      </c>
      <c r="C560" s="19">
        <v>344.82</v>
      </c>
      <c r="D560" s="19">
        <v>339.77</v>
      </c>
      <c r="E560" s="19">
        <v>336.07</v>
      </c>
      <c r="F560" s="19">
        <v>316.82</v>
      </c>
      <c r="G560" s="19">
        <v>310.38</v>
      </c>
      <c r="H560" s="19">
        <v>312.04000000000002</v>
      </c>
      <c r="I560" s="19">
        <v>302.51</v>
      </c>
      <c r="J560" s="19">
        <v>329.17</v>
      </c>
      <c r="K560" s="19">
        <v>374.49</v>
      </c>
      <c r="L560" s="19">
        <v>381.89</v>
      </c>
      <c r="M560" s="19">
        <v>422</v>
      </c>
      <c r="N560" s="19">
        <v>349.17</v>
      </c>
      <c r="O560" s="19">
        <v>378.2</v>
      </c>
      <c r="P560" s="19">
        <v>404.03</v>
      </c>
      <c r="Q560" s="19">
        <v>376.37</v>
      </c>
      <c r="R560" s="19">
        <v>395.7</v>
      </c>
      <c r="S560" s="19">
        <v>411.64</v>
      </c>
      <c r="T560" s="19">
        <v>366.82</v>
      </c>
      <c r="U560" s="19">
        <v>414.33</v>
      </c>
      <c r="V560" s="19">
        <v>412.19</v>
      </c>
      <c r="W560" s="19">
        <v>535.86</v>
      </c>
      <c r="X560" s="19">
        <v>526.14</v>
      </c>
      <c r="Y560" s="19">
        <v>384.85</v>
      </c>
      <c r="Z560" s="34" t="s">
        <v>36</v>
      </c>
      <c r="AA560" s="25">
        <f>MIN($B$560:$Y$560)</f>
        <v>302.51</v>
      </c>
      <c r="AB560" s="25">
        <f>AVERAGE($B$560:$Y$560)</f>
        <v>378.42958333333303</v>
      </c>
    </row>
    <row r="561" spans="1:28">
      <c r="A561" s="30">
        <v>45856</v>
      </c>
      <c r="B561" s="19">
        <v>549.33000000000004</v>
      </c>
      <c r="C561" s="19">
        <v>576.51</v>
      </c>
      <c r="D561" s="19">
        <v>530.11</v>
      </c>
      <c r="E561" s="19">
        <v>424.44</v>
      </c>
      <c r="F561" s="19">
        <v>379.6</v>
      </c>
      <c r="G561" s="19">
        <v>366.78</v>
      </c>
      <c r="H561" s="19">
        <v>365.1</v>
      </c>
      <c r="I561" s="19">
        <v>347.69</v>
      </c>
      <c r="J561" s="19">
        <v>383.27</v>
      </c>
      <c r="K561" s="19">
        <v>484.25</v>
      </c>
      <c r="L561" s="19">
        <v>482.18</v>
      </c>
      <c r="M561" s="19">
        <v>492.09</v>
      </c>
      <c r="N561" s="19">
        <v>433.95</v>
      </c>
      <c r="O561" s="19">
        <v>490.54</v>
      </c>
      <c r="P561" s="19">
        <v>515.17999999999995</v>
      </c>
      <c r="Q561" s="19">
        <v>504.75</v>
      </c>
      <c r="R561" s="19">
        <v>515.96</v>
      </c>
      <c r="S561" s="19">
        <v>538.01</v>
      </c>
      <c r="T561" s="19">
        <v>498.55</v>
      </c>
      <c r="U561" s="19">
        <v>527.79</v>
      </c>
      <c r="V561" s="19">
        <v>547.19000000000005</v>
      </c>
      <c r="W561" s="19">
        <v>588.87</v>
      </c>
      <c r="X561" s="19">
        <v>590.99</v>
      </c>
      <c r="Y561" s="19">
        <v>511.11</v>
      </c>
      <c r="Z561" s="35" t="s">
        <v>37</v>
      </c>
      <c r="AA561" s="25">
        <f>MIN($B$561:$Y$561)</f>
        <v>347.69</v>
      </c>
      <c r="AB561" s="25">
        <f>AVERAGE($B$561:$Y$561)</f>
        <v>485.17666666666702</v>
      </c>
    </row>
    <row r="562" spans="1:28">
      <c r="A562" s="30">
        <v>45857</v>
      </c>
      <c r="B562" s="19">
        <v>436.99</v>
      </c>
      <c r="C562" s="19">
        <v>433.9</v>
      </c>
      <c r="D562" s="19">
        <v>385.94</v>
      </c>
      <c r="E562" s="19">
        <v>361.94</v>
      </c>
      <c r="F562" s="19">
        <v>345.69</v>
      </c>
      <c r="G562" s="19">
        <v>340.1</v>
      </c>
      <c r="H562" s="19">
        <v>333.8</v>
      </c>
      <c r="I562" s="19">
        <v>319.58999999999997</v>
      </c>
      <c r="J562" s="19">
        <v>335.59</v>
      </c>
      <c r="K562" s="19">
        <v>369.61</v>
      </c>
      <c r="L562" s="19">
        <v>360.56</v>
      </c>
      <c r="M562" s="19">
        <v>369.33</v>
      </c>
      <c r="N562" s="19">
        <v>328.87</v>
      </c>
      <c r="O562" s="19">
        <v>372.25</v>
      </c>
      <c r="P562" s="19">
        <v>393.12</v>
      </c>
      <c r="Q562" s="19">
        <v>376.73</v>
      </c>
      <c r="R562" s="19">
        <v>378.42</v>
      </c>
      <c r="S562" s="19">
        <v>393.68</v>
      </c>
      <c r="T562" s="19">
        <v>334.37</v>
      </c>
      <c r="U562" s="19">
        <v>490.33</v>
      </c>
      <c r="V562" s="19">
        <v>426.81</v>
      </c>
      <c r="W562" s="19">
        <v>421.25</v>
      </c>
      <c r="X562" s="19">
        <v>418.51</v>
      </c>
      <c r="Y562" s="19">
        <v>365.16</v>
      </c>
      <c r="Z562" s="32" t="s">
        <v>32</v>
      </c>
      <c r="AA562" s="25">
        <f>MIN($B$562:$Y$562)</f>
        <v>319.58999999999997</v>
      </c>
      <c r="AB562" s="25">
        <f>AVERAGE($B$562:$Y$562)</f>
        <v>378.85583333333301</v>
      </c>
    </row>
    <row r="563" spans="1:28">
      <c r="A563" s="30">
        <v>45858</v>
      </c>
      <c r="B563" s="19">
        <v>306.55</v>
      </c>
      <c r="C563" s="19">
        <v>298.94</v>
      </c>
      <c r="D563" s="19">
        <v>290.27</v>
      </c>
      <c r="E563" s="19">
        <v>274.05</v>
      </c>
      <c r="F563" s="19">
        <v>266.45999999999998</v>
      </c>
      <c r="G563" s="19">
        <v>260.64999999999998</v>
      </c>
      <c r="H563" s="19">
        <v>255.67</v>
      </c>
      <c r="I563" s="19">
        <v>245.98</v>
      </c>
      <c r="J563" s="19">
        <v>227.91</v>
      </c>
      <c r="K563" s="19">
        <v>234.48</v>
      </c>
      <c r="L563" s="19">
        <v>230.98</v>
      </c>
      <c r="M563" s="19">
        <v>232.68</v>
      </c>
      <c r="N563" s="19">
        <v>225.76</v>
      </c>
      <c r="O563" s="19">
        <v>231.89</v>
      </c>
      <c r="P563" s="19">
        <v>237.06</v>
      </c>
      <c r="Q563" s="19">
        <v>232</v>
      </c>
      <c r="R563" s="19">
        <v>236.43</v>
      </c>
      <c r="S563" s="19">
        <v>245.98</v>
      </c>
      <c r="T563" s="19">
        <v>244.79</v>
      </c>
      <c r="U563" s="19">
        <v>251.38</v>
      </c>
      <c r="V563" s="19">
        <v>254.16</v>
      </c>
      <c r="W563" s="19">
        <v>259.08</v>
      </c>
      <c r="X563" s="19">
        <v>261.32</v>
      </c>
      <c r="Y563" s="19">
        <v>248.72</v>
      </c>
      <c r="Z563" s="33" t="s">
        <v>32</v>
      </c>
      <c r="AA563" s="25">
        <f>MIN($B$563:$Y$563)</f>
        <v>225.76</v>
      </c>
      <c r="AB563" s="25">
        <f>AVERAGE($B$563:$Y$563)</f>
        <v>252.21625</v>
      </c>
    </row>
    <row r="564" spans="1:28">
      <c r="A564" s="30">
        <v>45859</v>
      </c>
      <c r="B564" s="19">
        <v>236.42</v>
      </c>
      <c r="C564" s="19">
        <v>226.76</v>
      </c>
      <c r="D564" s="19">
        <v>216.35</v>
      </c>
      <c r="E564" s="19">
        <v>203.63</v>
      </c>
      <c r="F564" s="19">
        <v>186.24</v>
      </c>
      <c r="G564" s="19">
        <v>177.22</v>
      </c>
      <c r="H564" s="19">
        <v>197.54</v>
      </c>
      <c r="I564" s="19">
        <v>204.99</v>
      </c>
      <c r="J564" s="19">
        <v>257.75</v>
      </c>
      <c r="K564" s="19">
        <v>288.22000000000003</v>
      </c>
      <c r="L564" s="19">
        <v>243.35</v>
      </c>
      <c r="M564" s="19">
        <v>272.92</v>
      </c>
      <c r="N564" s="19">
        <v>239.99</v>
      </c>
      <c r="O564" s="19">
        <v>117.9</v>
      </c>
      <c r="P564" s="19">
        <v>169.08</v>
      </c>
      <c r="Q564" s="19">
        <v>240.38</v>
      </c>
      <c r="R564" s="19">
        <v>286.89999999999998</v>
      </c>
      <c r="S564" s="19">
        <v>285.83999999999997</v>
      </c>
      <c r="T564" s="19">
        <v>272.64999999999998</v>
      </c>
      <c r="U564" s="19">
        <v>301.52</v>
      </c>
      <c r="V564" s="19">
        <v>305.43</v>
      </c>
      <c r="W564" s="19">
        <v>294.44</v>
      </c>
      <c r="X564" s="19">
        <v>274.37</v>
      </c>
      <c r="Y564" s="19">
        <v>250.08</v>
      </c>
      <c r="Z564" s="32" t="s">
        <v>32</v>
      </c>
      <c r="AA564" s="25">
        <f>MIN($B$564:$Y$564)</f>
        <v>117.9</v>
      </c>
      <c r="AB564" s="25">
        <f>AVERAGE($B$564:$Y$564)</f>
        <v>239.582083333333</v>
      </c>
    </row>
    <row r="565" spans="1:28">
      <c r="A565" s="30">
        <v>45860</v>
      </c>
      <c r="B565" s="19">
        <v>252.9</v>
      </c>
      <c r="C565" s="19">
        <v>250.87</v>
      </c>
      <c r="D565" s="19">
        <v>253.12</v>
      </c>
      <c r="E565" s="19">
        <v>248.33</v>
      </c>
      <c r="F565" s="19">
        <v>241.24</v>
      </c>
      <c r="G565" s="19">
        <v>240.72</v>
      </c>
      <c r="H565" s="19">
        <v>243.38</v>
      </c>
      <c r="I565" s="19">
        <v>244.06</v>
      </c>
      <c r="J565" s="19">
        <v>266.7</v>
      </c>
      <c r="K565" s="19">
        <v>300.60000000000002</v>
      </c>
      <c r="L565" s="19">
        <v>285.16000000000003</v>
      </c>
      <c r="M565" s="19">
        <v>282.95</v>
      </c>
      <c r="N565" s="19">
        <v>243.39</v>
      </c>
      <c r="O565" s="19">
        <v>269.35000000000002</v>
      </c>
      <c r="P565" s="19">
        <v>285.54000000000002</v>
      </c>
      <c r="Q565" s="19">
        <v>291.86</v>
      </c>
      <c r="R565" s="19">
        <v>305.36</v>
      </c>
      <c r="S565" s="19">
        <v>298.37</v>
      </c>
      <c r="T565" s="19">
        <v>284.61</v>
      </c>
      <c r="U565" s="19">
        <v>310.5</v>
      </c>
      <c r="V565" s="19">
        <v>308.35000000000002</v>
      </c>
      <c r="W565" s="19">
        <v>289.86</v>
      </c>
      <c r="X565" s="19">
        <v>278</v>
      </c>
      <c r="Y565" s="19">
        <v>263.44</v>
      </c>
      <c r="Z565" s="33" t="s">
        <v>32</v>
      </c>
      <c r="AA565" s="25">
        <f>MIN($B$565:$Y$565)</f>
        <v>240.72</v>
      </c>
      <c r="AB565" s="25">
        <f>AVERAGE($B$565:$Y$565)</f>
        <v>272.444166666667</v>
      </c>
    </row>
    <row r="566" spans="1:28">
      <c r="A566" s="30">
        <v>45861</v>
      </c>
      <c r="B566" s="19">
        <v>276.85000000000002</v>
      </c>
      <c r="C566" s="19">
        <v>273.77999999999997</v>
      </c>
      <c r="D566" s="19">
        <v>269.12</v>
      </c>
      <c r="E566" s="19">
        <v>265.98</v>
      </c>
      <c r="F566" s="19">
        <v>261.63</v>
      </c>
      <c r="G566" s="19">
        <v>261.16000000000003</v>
      </c>
      <c r="H566" s="19">
        <v>264.7</v>
      </c>
      <c r="I566" s="19">
        <v>264.20999999999998</v>
      </c>
      <c r="J566" s="19">
        <v>282.7</v>
      </c>
      <c r="K566" s="19">
        <v>302.66000000000003</v>
      </c>
      <c r="L566" s="19">
        <v>297.85000000000002</v>
      </c>
      <c r="M566" s="19">
        <v>304.76</v>
      </c>
      <c r="N566" s="19">
        <v>278.93</v>
      </c>
      <c r="O566" s="19">
        <v>289.58999999999997</v>
      </c>
      <c r="P566" s="19">
        <v>300.79000000000002</v>
      </c>
      <c r="Q566" s="19">
        <v>302.51</v>
      </c>
      <c r="R566" s="19">
        <v>314.05</v>
      </c>
      <c r="S566" s="19">
        <v>324.04000000000002</v>
      </c>
      <c r="T566" s="19">
        <v>299.74</v>
      </c>
      <c r="U566" s="19">
        <v>347.18</v>
      </c>
      <c r="V566" s="19">
        <v>343.64</v>
      </c>
      <c r="W566" s="19">
        <v>338.46</v>
      </c>
      <c r="X566" s="19">
        <v>313.73</v>
      </c>
      <c r="Y566" s="19">
        <v>289.27</v>
      </c>
      <c r="Z566" s="32" t="s">
        <v>32</v>
      </c>
      <c r="AA566" s="25">
        <f>MIN($B$566:$Y$566)</f>
        <v>261.16000000000003</v>
      </c>
      <c r="AB566" s="25">
        <f>AVERAGE($B$566:$Y$566)</f>
        <v>294.47208333333299</v>
      </c>
    </row>
    <row r="567" spans="1:28">
      <c r="A567" s="30">
        <v>45862</v>
      </c>
      <c r="B567" s="19">
        <v>296.19</v>
      </c>
      <c r="C567" s="19">
        <v>297.94</v>
      </c>
      <c r="D567" s="19">
        <v>288.13</v>
      </c>
      <c r="E567" s="19">
        <v>282.27</v>
      </c>
      <c r="F567" s="19">
        <v>276.87</v>
      </c>
      <c r="G567" s="19">
        <v>275.85000000000002</v>
      </c>
      <c r="H567" s="19">
        <v>278.38</v>
      </c>
      <c r="I567" s="19">
        <v>275.08</v>
      </c>
      <c r="J567" s="19">
        <v>264.11</v>
      </c>
      <c r="K567" s="19">
        <v>261.87</v>
      </c>
      <c r="L567" s="19">
        <v>222.01</v>
      </c>
      <c r="M567" s="19">
        <v>292.27999999999997</v>
      </c>
      <c r="N567" s="19">
        <v>276.5</v>
      </c>
      <c r="O567" s="19">
        <v>300.77</v>
      </c>
      <c r="P567" s="19">
        <v>264.98</v>
      </c>
      <c r="Q567" s="19">
        <v>317.56</v>
      </c>
      <c r="R567" s="19">
        <v>372.83</v>
      </c>
      <c r="S567" s="19">
        <v>429.41</v>
      </c>
      <c r="T567" s="19">
        <v>364.73</v>
      </c>
      <c r="U567" s="19">
        <v>637.02</v>
      </c>
      <c r="V567" s="19">
        <v>561.01</v>
      </c>
      <c r="W567" s="19">
        <v>447.59</v>
      </c>
      <c r="X567" s="19">
        <v>373.16</v>
      </c>
      <c r="Y567" s="19">
        <v>333.5</v>
      </c>
      <c r="Z567" s="36" t="s">
        <v>36</v>
      </c>
      <c r="AA567" s="25">
        <f>MIN($B$567:$Y$567)</f>
        <v>222.01</v>
      </c>
      <c r="AB567" s="25">
        <f>AVERAGE($B$567:$Y$567)</f>
        <v>332.91833333333301</v>
      </c>
    </row>
    <row r="568" spans="1:28">
      <c r="A568" s="30">
        <v>45863</v>
      </c>
      <c r="B568" s="19">
        <v>322.39999999999998</v>
      </c>
      <c r="C568" s="19">
        <v>313.94</v>
      </c>
      <c r="D568" s="19">
        <v>306</v>
      </c>
      <c r="E568" s="19">
        <v>293.39</v>
      </c>
      <c r="F568" s="19">
        <v>288.73</v>
      </c>
      <c r="G568" s="19">
        <v>283.2</v>
      </c>
      <c r="H568" s="19">
        <v>283.05</v>
      </c>
      <c r="I568" s="19">
        <v>276.19</v>
      </c>
      <c r="J568" s="19">
        <v>285.63</v>
      </c>
      <c r="K568" s="19">
        <v>306.66000000000003</v>
      </c>
      <c r="L568" s="19">
        <v>296.73</v>
      </c>
      <c r="M568" s="19">
        <v>293.51</v>
      </c>
      <c r="N568" s="19">
        <v>280.20999999999998</v>
      </c>
      <c r="O568" s="19">
        <v>315.33</v>
      </c>
      <c r="P568" s="19">
        <v>261.81</v>
      </c>
      <c r="Q568" s="19">
        <v>279.33</v>
      </c>
      <c r="R568" s="19">
        <v>439.84</v>
      </c>
      <c r="S568" s="19">
        <v>435.59</v>
      </c>
      <c r="T568" s="19">
        <v>335.53</v>
      </c>
      <c r="U568" s="19">
        <v>474.46</v>
      </c>
      <c r="V568" s="19">
        <v>381.95</v>
      </c>
      <c r="W568" s="19">
        <v>378.36</v>
      </c>
      <c r="X568" s="19">
        <v>368.45</v>
      </c>
      <c r="Y568" s="19">
        <v>343.94</v>
      </c>
      <c r="Z568" s="37" t="s">
        <v>37</v>
      </c>
      <c r="AA568" s="25">
        <f>MIN($B$568:$Y$568)</f>
        <v>261.81</v>
      </c>
      <c r="AB568" s="25">
        <f>AVERAGE($B$568:$Y$568)</f>
        <v>326.84291666666701</v>
      </c>
    </row>
    <row r="569" spans="1:28">
      <c r="A569" s="30">
        <v>45864</v>
      </c>
      <c r="B569" s="19">
        <v>349.35</v>
      </c>
      <c r="C569" s="19">
        <v>344.31</v>
      </c>
      <c r="D569" s="19">
        <v>333.55</v>
      </c>
      <c r="E569" s="19">
        <v>321.12</v>
      </c>
      <c r="F569" s="19">
        <v>309.32</v>
      </c>
      <c r="G569" s="19">
        <v>303.10000000000002</v>
      </c>
      <c r="H569" s="19">
        <v>303.17</v>
      </c>
      <c r="I569" s="19">
        <v>288.13</v>
      </c>
      <c r="J569" s="19">
        <v>274.94</v>
      </c>
      <c r="K569" s="19">
        <v>276.68</v>
      </c>
      <c r="L569" s="19">
        <v>271.36</v>
      </c>
      <c r="M569" s="19">
        <v>267.17</v>
      </c>
      <c r="N569" s="19">
        <v>255.63</v>
      </c>
      <c r="O569" s="19">
        <v>296.94</v>
      </c>
      <c r="P569" s="19">
        <v>325.41000000000003</v>
      </c>
      <c r="Q569" s="19">
        <v>318.89</v>
      </c>
      <c r="R569" s="19">
        <v>356.17</v>
      </c>
      <c r="S569" s="19">
        <v>352.51</v>
      </c>
      <c r="T569" s="19">
        <v>343.44</v>
      </c>
      <c r="U569" s="19">
        <v>443.54</v>
      </c>
      <c r="V569" s="19">
        <v>382.88</v>
      </c>
      <c r="W569" s="19">
        <v>374.14</v>
      </c>
      <c r="X569" s="19">
        <v>378.79</v>
      </c>
      <c r="Y569" s="19">
        <v>359.37</v>
      </c>
      <c r="Z569" s="33" t="s">
        <v>32</v>
      </c>
      <c r="AA569" s="25">
        <f>MIN($B$569:$Y$569)</f>
        <v>255.63</v>
      </c>
      <c r="AB569" s="25">
        <f>AVERAGE($B$569:$Y$569)</f>
        <v>326.24624999999997</v>
      </c>
    </row>
    <row r="570" spans="1:28">
      <c r="A570" s="30">
        <v>45865</v>
      </c>
      <c r="B570" s="19">
        <v>347.5</v>
      </c>
      <c r="C570" s="19">
        <v>334.25</v>
      </c>
      <c r="D570" s="19">
        <v>316.74</v>
      </c>
      <c r="E570" s="19">
        <v>311.52999999999997</v>
      </c>
      <c r="F570" s="19">
        <v>299.85000000000002</v>
      </c>
      <c r="G570" s="19">
        <v>284.74</v>
      </c>
      <c r="H570" s="19">
        <v>285.41000000000003</v>
      </c>
      <c r="I570" s="19">
        <v>262.19</v>
      </c>
      <c r="J570" s="19">
        <v>240.4</v>
      </c>
      <c r="K570" s="19">
        <v>239.67</v>
      </c>
      <c r="L570" s="19">
        <v>228.06</v>
      </c>
      <c r="M570" s="19">
        <v>224.95</v>
      </c>
      <c r="N570" s="19">
        <v>212.27</v>
      </c>
      <c r="O570" s="19">
        <v>255.1</v>
      </c>
      <c r="P570" s="19">
        <v>268.5</v>
      </c>
      <c r="Q570" s="19">
        <v>281.43</v>
      </c>
      <c r="R570" s="19">
        <v>296.62</v>
      </c>
      <c r="S570" s="19">
        <v>325.67</v>
      </c>
      <c r="T570" s="19">
        <v>332.11</v>
      </c>
      <c r="U570" s="19">
        <v>375.84</v>
      </c>
      <c r="V570" s="19">
        <v>381.31</v>
      </c>
      <c r="W570" s="19">
        <v>406.95</v>
      </c>
      <c r="X570" s="19">
        <v>402.51</v>
      </c>
      <c r="Y570" s="19">
        <v>366.97</v>
      </c>
      <c r="Z570" s="32" t="s">
        <v>32</v>
      </c>
      <c r="AA570" s="25">
        <f>MIN($B$570:$Y$570)</f>
        <v>212.27</v>
      </c>
      <c r="AB570" s="25">
        <f>AVERAGE($B$570:$Y$570)</f>
        <v>303.35708333333298</v>
      </c>
    </row>
    <row r="571" spans="1:28">
      <c r="A571" s="30">
        <v>45866</v>
      </c>
      <c r="B571" s="19">
        <v>350.81</v>
      </c>
      <c r="C571" s="19">
        <v>323.08</v>
      </c>
      <c r="D571" s="19">
        <v>307.69</v>
      </c>
      <c r="E571" s="19">
        <v>295.3</v>
      </c>
      <c r="F571" s="19">
        <v>280.89</v>
      </c>
      <c r="G571" s="19">
        <v>278.27999999999997</v>
      </c>
      <c r="H571" s="19">
        <v>278.2</v>
      </c>
      <c r="I571" s="19">
        <v>267.79000000000002</v>
      </c>
      <c r="J571" s="19">
        <v>287.99</v>
      </c>
      <c r="K571" s="19">
        <v>332.56</v>
      </c>
      <c r="L571" s="19">
        <v>325.11</v>
      </c>
      <c r="M571" s="19">
        <v>329.34</v>
      </c>
      <c r="N571" s="19">
        <v>304.68</v>
      </c>
      <c r="O571" s="19">
        <v>422.42</v>
      </c>
      <c r="P571" s="19">
        <v>441.79</v>
      </c>
      <c r="Q571" s="19">
        <v>365.02</v>
      </c>
      <c r="R571" s="19">
        <v>364.27</v>
      </c>
      <c r="S571" s="19">
        <v>360.94</v>
      </c>
      <c r="T571" s="19">
        <v>341.48</v>
      </c>
      <c r="U571" s="19">
        <v>403.98</v>
      </c>
      <c r="V571" s="19">
        <v>377.35</v>
      </c>
      <c r="W571" s="19">
        <v>389.67</v>
      </c>
      <c r="X571" s="19">
        <v>375.06</v>
      </c>
      <c r="Y571" s="19">
        <v>340.02</v>
      </c>
      <c r="Z571" s="33" t="s">
        <v>32</v>
      </c>
      <c r="AA571" s="25">
        <f>MIN($B$571:$Y$571)</f>
        <v>267.79000000000002</v>
      </c>
      <c r="AB571" s="25">
        <f>AVERAGE($B$571:$Y$571)</f>
        <v>339.321666666667</v>
      </c>
    </row>
    <row r="572" spans="1:28">
      <c r="A572" s="30">
        <v>45867</v>
      </c>
      <c r="B572" s="19">
        <v>375.74</v>
      </c>
      <c r="C572" s="19">
        <v>340.18</v>
      </c>
      <c r="D572" s="19">
        <v>315.36</v>
      </c>
      <c r="E572" s="19">
        <v>311.02999999999997</v>
      </c>
      <c r="F572" s="19">
        <v>298.22000000000003</v>
      </c>
      <c r="G572" s="19">
        <v>292.07</v>
      </c>
      <c r="H572" s="19">
        <v>294.32</v>
      </c>
      <c r="I572" s="19">
        <v>284.97000000000003</v>
      </c>
      <c r="J572" s="19">
        <v>302.72000000000003</v>
      </c>
      <c r="K572" s="19">
        <v>350.07</v>
      </c>
      <c r="L572" s="19">
        <v>355.18</v>
      </c>
      <c r="M572" s="19">
        <v>391.18</v>
      </c>
      <c r="N572" s="19">
        <v>304.27</v>
      </c>
      <c r="O572" s="19">
        <v>369.61</v>
      </c>
      <c r="P572" s="19">
        <v>411.99</v>
      </c>
      <c r="Q572" s="19">
        <v>382.38</v>
      </c>
      <c r="R572" s="19">
        <v>367.9</v>
      </c>
      <c r="S572" s="19">
        <v>353.09</v>
      </c>
      <c r="T572" s="19">
        <v>314.76</v>
      </c>
      <c r="U572" s="19">
        <v>358.78</v>
      </c>
      <c r="V572" s="19">
        <v>342.97</v>
      </c>
      <c r="W572" s="19">
        <v>356.1</v>
      </c>
      <c r="X572" s="19">
        <v>354.41</v>
      </c>
      <c r="Y572" s="19">
        <v>322.29000000000002</v>
      </c>
      <c r="Z572" s="32" t="s">
        <v>32</v>
      </c>
      <c r="AA572" s="25">
        <f>MIN($B$572:$Y$572)</f>
        <v>284.97000000000003</v>
      </c>
      <c r="AB572" s="25">
        <f>AVERAGE($B$572:$Y$572)</f>
        <v>339.56625000000003</v>
      </c>
    </row>
    <row r="573" spans="1:28">
      <c r="A573" s="30">
        <v>45868</v>
      </c>
      <c r="B573" s="19">
        <v>318.99</v>
      </c>
      <c r="C573" s="19">
        <v>303.60000000000002</v>
      </c>
      <c r="D573" s="19">
        <v>290.27</v>
      </c>
      <c r="E573" s="19">
        <v>279.44</v>
      </c>
      <c r="F573" s="19">
        <v>272.74</v>
      </c>
      <c r="G573" s="19">
        <v>269.17</v>
      </c>
      <c r="H573" s="19">
        <v>271.89</v>
      </c>
      <c r="I573" s="19">
        <v>257.97000000000003</v>
      </c>
      <c r="J573" s="19">
        <v>273.39999999999998</v>
      </c>
      <c r="K573" s="19">
        <v>299.66000000000003</v>
      </c>
      <c r="L573" s="19">
        <v>287.52</v>
      </c>
      <c r="M573" s="19">
        <v>289.01</v>
      </c>
      <c r="N573" s="19">
        <v>266.83</v>
      </c>
      <c r="O573" s="19">
        <v>313.07</v>
      </c>
      <c r="P573" s="19">
        <v>338.01</v>
      </c>
      <c r="Q573" s="19">
        <v>316.57</v>
      </c>
      <c r="R573" s="19">
        <v>331.59</v>
      </c>
      <c r="S573" s="19">
        <v>346.21</v>
      </c>
      <c r="T573" s="19">
        <v>328.17</v>
      </c>
      <c r="U573" s="19">
        <v>382.85</v>
      </c>
      <c r="V573" s="19">
        <v>342.42</v>
      </c>
      <c r="W573" s="19">
        <v>333.71</v>
      </c>
      <c r="X573" s="19">
        <v>321.31</v>
      </c>
      <c r="Y573" s="19">
        <v>302.55</v>
      </c>
      <c r="Z573" s="33" t="s">
        <v>32</v>
      </c>
      <c r="AA573" s="25">
        <f>MIN($B$573:$Y$573)</f>
        <v>257.97000000000003</v>
      </c>
      <c r="AB573" s="25">
        <f>AVERAGE($B$573:$Y$573)</f>
        <v>305.70625000000001</v>
      </c>
    </row>
    <row r="574" spans="1:28">
      <c r="A574" s="30">
        <v>45869</v>
      </c>
      <c r="B574" s="19">
        <v>322.2</v>
      </c>
      <c r="C574" s="19">
        <v>303.02999999999997</v>
      </c>
      <c r="D574" s="19">
        <v>295.57</v>
      </c>
      <c r="E574" s="19">
        <v>282.38</v>
      </c>
      <c r="F574" s="19">
        <v>271.33999999999997</v>
      </c>
      <c r="G574" s="19">
        <v>265.41000000000003</v>
      </c>
      <c r="H574" s="19">
        <v>265.25</v>
      </c>
      <c r="I574" s="19">
        <v>260.31</v>
      </c>
      <c r="J574" s="19">
        <v>273.79000000000002</v>
      </c>
      <c r="K574" s="19">
        <v>300.89999999999998</v>
      </c>
      <c r="L574" s="19">
        <v>298.04000000000002</v>
      </c>
      <c r="M574" s="19">
        <v>306.45</v>
      </c>
      <c r="N574" s="19">
        <v>277.35000000000002</v>
      </c>
      <c r="O574" s="19">
        <v>306.67</v>
      </c>
      <c r="P574" s="19">
        <v>317.26</v>
      </c>
      <c r="Q574" s="19">
        <v>313.92</v>
      </c>
      <c r="R574" s="19">
        <v>323.43</v>
      </c>
      <c r="S574" s="19">
        <v>289.41000000000003</v>
      </c>
      <c r="T574" s="19">
        <v>299.49</v>
      </c>
      <c r="U574" s="19">
        <v>321.58999999999997</v>
      </c>
      <c r="V574" s="19">
        <v>318.76</v>
      </c>
      <c r="W574" s="19">
        <v>333.54</v>
      </c>
      <c r="X574" s="19">
        <v>330.48</v>
      </c>
      <c r="Y574" s="19">
        <v>307.89</v>
      </c>
      <c r="Z574" s="34" t="s">
        <v>36</v>
      </c>
      <c r="AA574" s="25">
        <f>MIN($B$574:$Y$574)</f>
        <v>260.31</v>
      </c>
      <c r="AB574" s="25">
        <f>AVERAGE($B$574:$Y$574)</f>
        <v>299.35250000000002</v>
      </c>
    </row>
    <row r="575" spans="1:28">
      <c r="A575" s="30">
        <v>45870</v>
      </c>
      <c r="B575" s="19">
        <v>328.36</v>
      </c>
      <c r="C575" s="19">
        <v>308.77999999999997</v>
      </c>
      <c r="D575" s="19">
        <v>299.13</v>
      </c>
      <c r="E575" s="19">
        <v>292.77999999999997</v>
      </c>
      <c r="F575" s="19">
        <v>282.29000000000002</v>
      </c>
      <c r="G575" s="19">
        <v>277.91000000000003</v>
      </c>
      <c r="H575" s="19">
        <v>279.02</v>
      </c>
      <c r="I575" s="19">
        <v>263.08</v>
      </c>
      <c r="J575" s="19">
        <v>283.33</v>
      </c>
      <c r="K575" s="19">
        <v>310.3</v>
      </c>
      <c r="L575" s="19">
        <v>303.20999999999998</v>
      </c>
      <c r="M575" s="19">
        <v>303.14999999999998</v>
      </c>
      <c r="N575" s="19">
        <v>289.39999999999998</v>
      </c>
      <c r="O575" s="19">
        <v>337.43</v>
      </c>
      <c r="P575" s="19">
        <v>353</v>
      </c>
      <c r="Q575" s="19">
        <v>343.24</v>
      </c>
      <c r="R575" s="19">
        <v>361.4</v>
      </c>
      <c r="S575" s="19">
        <v>370.54</v>
      </c>
      <c r="T575" s="19">
        <v>330.4</v>
      </c>
      <c r="U575" s="19">
        <v>498.19</v>
      </c>
      <c r="V575" s="19">
        <v>360.67</v>
      </c>
      <c r="W575" s="19">
        <v>336.33</v>
      </c>
      <c r="X575" s="19">
        <v>342.24</v>
      </c>
      <c r="Y575" s="19">
        <v>317.17</v>
      </c>
      <c r="Z575" s="35" t="s">
        <v>37</v>
      </c>
      <c r="AA575" s="25">
        <f>MIN($B$575:$Y$575)</f>
        <v>263.08</v>
      </c>
      <c r="AB575" s="25">
        <f>AVERAGE($B$575:$Y$575)</f>
        <v>323.80624999999998</v>
      </c>
    </row>
    <row r="576" spans="1:28">
      <c r="A576" s="30">
        <v>45871</v>
      </c>
      <c r="B576" s="19">
        <v>315.89999999999998</v>
      </c>
      <c r="C576" s="19">
        <v>309.77999999999997</v>
      </c>
      <c r="D576" s="19">
        <v>301.52999999999997</v>
      </c>
      <c r="E576" s="19">
        <v>292.23</v>
      </c>
      <c r="F576" s="19">
        <v>283.44</v>
      </c>
      <c r="G576" s="19">
        <v>279.19</v>
      </c>
      <c r="H576" s="19">
        <v>277.95999999999998</v>
      </c>
      <c r="I576" s="19">
        <v>259.5</v>
      </c>
      <c r="J576" s="19">
        <v>265.3</v>
      </c>
      <c r="K576" s="19">
        <v>274.7</v>
      </c>
      <c r="L576" s="19">
        <v>279.29000000000002</v>
      </c>
      <c r="M576" s="19">
        <v>282.76</v>
      </c>
      <c r="N576" s="19">
        <v>269.45999999999998</v>
      </c>
      <c r="O576" s="19">
        <v>293.94</v>
      </c>
      <c r="P576" s="19">
        <v>298.41000000000003</v>
      </c>
      <c r="Q576" s="19">
        <v>293.42</v>
      </c>
      <c r="R576" s="19">
        <v>296.12</v>
      </c>
      <c r="S576" s="19">
        <v>301.49</v>
      </c>
      <c r="T576" s="19">
        <v>300.16000000000003</v>
      </c>
      <c r="U576" s="19">
        <v>322.95</v>
      </c>
      <c r="V576" s="19">
        <v>323.97000000000003</v>
      </c>
      <c r="W576" s="19">
        <v>320.99</v>
      </c>
      <c r="X576" s="19">
        <v>315.57</v>
      </c>
      <c r="Y576" s="19">
        <v>299.39</v>
      </c>
      <c r="Z576" s="32" t="s">
        <v>32</v>
      </c>
      <c r="AA576" s="25">
        <f>MIN($B$576:$Y$576)</f>
        <v>259.5</v>
      </c>
      <c r="AB576" s="25">
        <f>AVERAGE($B$576:$Y$576)</f>
        <v>294.06041666666698</v>
      </c>
    </row>
    <row r="577" spans="1:28">
      <c r="A577" s="30">
        <v>45872</v>
      </c>
      <c r="B577" s="19">
        <v>321.45999999999998</v>
      </c>
      <c r="C577" s="19">
        <v>291.93</v>
      </c>
      <c r="D577" s="19">
        <v>284.61</v>
      </c>
      <c r="E577" s="19">
        <v>279.43</v>
      </c>
      <c r="F577" s="19">
        <v>269.22000000000003</v>
      </c>
      <c r="G577" s="19">
        <v>265.16000000000003</v>
      </c>
      <c r="H577" s="19">
        <v>264.67</v>
      </c>
      <c r="I577" s="19">
        <v>251.26</v>
      </c>
      <c r="J577" s="19">
        <v>232.61</v>
      </c>
      <c r="K577" s="19">
        <v>237.6</v>
      </c>
      <c r="L577" s="19">
        <v>236.34</v>
      </c>
      <c r="M577" s="19">
        <v>239.95</v>
      </c>
      <c r="N577" s="19">
        <v>242.7</v>
      </c>
      <c r="O577" s="19">
        <v>250.53</v>
      </c>
      <c r="P577" s="19">
        <v>249.84</v>
      </c>
      <c r="Q577" s="19">
        <v>247.4</v>
      </c>
      <c r="R577" s="19">
        <v>252.27</v>
      </c>
      <c r="S577" s="19">
        <v>275.77</v>
      </c>
      <c r="T577" s="19">
        <v>269.22000000000003</v>
      </c>
      <c r="U577" s="19">
        <v>299.14</v>
      </c>
      <c r="V577" s="19">
        <v>301.10000000000002</v>
      </c>
      <c r="W577" s="19">
        <v>315.83</v>
      </c>
      <c r="X577" s="19">
        <v>310.73</v>
      </c>
      <c r="Y577" s="19">
        <v>284.31</v>
      </c>
      <c r="Z577" s="33" t="s">
        <v>32</v>
      </c>
      <c r="AA577" s="25">
        <f>MIN($B$577:$Y$577)</f>
        <v>232.61</v>
      </c>
      <c r="AB577" s="25">
        <f>AVERAGE($B$577:$Y$577)</f>
        <v>269.71166666666699</v>
      </c>
    </row>
    <row r="578" spans="1:28">
      <c r="A578" s="30">
        <v>45873</v>
      </c>
      <c r="B578" s="19">
        <v>271.69</v>
      </c>
      <c r="C578" s="19">
        <v>264.14</v>
      </c>
      <c r="D578" s="19">
        <v>256.61</v>
      </c>
      <c r="E578" s="19">
        <v>251.39</v>
      </c>
      <c r="F578" s="19">
        <v>243.64</v>
      </c>
      <c r="G578" s="19">
        <v>235.88</v>
      </c>
      <c r="H578" s="19">
        <v>240.72</v>
      </c>
      <c r="I578" s="19">
        <v>239.62</v>
      </c>
      <c r="J578" s="19">
        <v>267.18</v>
      </c>
      <c r="K578" s="19">
        <v>308.69</v>
      </c>
      <c r="L578" s="19">
        <v>308.8</v>
      </c>
      <c r="M578" s="19">
        <v>301.67</v>
      </c>
      <c r="N578" s="19">
        <v>271.99</v>
      </c>
      <c r="O578" s="19">
        <v>298.66000000000003</v>
      </c>
      <c r="P578" s="19">
        <v>308.55</v>
      </c>
      <c r="Q578" s="19">
        <v>298.76</v>
      </c>
      <c r="R578" s="19">
        <v>319.67</v>
      </c>
      <c r="S578" s="19">
        <v>312.73</v>
      </c>
      <c r="T578" s="19">
        <v>289.48</v>
      </c>
      <c r="U578" s="19">
        <v>303.75</v>
      </c>
      <c r="V578" s="19">
        <v>295.10000000000002</v>
      </c>
      <c r="W578" s="19">
        <v>297.66000000000003</v>
      </c>
      <c r="X578" s="19">
        <v>283.83</v>
      </c>
      <c r="Y578" s="19">
        <v>267.67</v>
      </c>
      <c r="Z578" s="32" t="s">
        <v>32</v>
      </c>
      <c r="AA578" s="25">
        <f>MIN($B$578:$Y$578)</f>
        <v>235.88</v>
      </c>
      <c r="AB578" s="25">
        <f>AVERAGE($B$578:$Y$578)</f>
        <v>280.745</v>
      </c>
    </row>
    <row r="579" spans="1:28">
      <c r="A579" s="30">
        <v>45874</v>
      </c>
      <c r="B579" s="19">
        <v>276.33999999999997</v>
      </c>
      <c r="C579" s="19">
        <v>265.18</v>
      </c>
      <c r="D579" s="19">
        <v>258.8</v>
      </c>
      <c r="E579" s="19">
        <v>255.76</v>
      </c>
      <c r="F579" s="19">
        <v>247.45</v>
      </c>
      <c r="G579" s="19">
        <v>244.91</v>
      </c>
      <c r="H579" s="19">
        <v>250.8</v>
      </c>
      <c r="I579" s="19">
        <v>252.61</v>
      </c>
      <c r="J579" s="19">
        <v>277.64999999999998</v>
      </c>
      <c r="K579" s="19">
        <v>312.38</v>
      </c>
      <c r="L579" s="19">
        <v>248.13</v>
      </c>
      <c r="M579" s="19">
        <v>291.54000000000002</v>
      </c>
      <c r="N579" s="19">
        <v>262.58999999999997</v>
      </c>
      <c r="O579" s="19">
        <v>279.89</v>
      </c>
      <c r="P579" s="19">
        <v>289.56</v>
      </c>
      <c r="Q579" s="19">
        <v>288.62</v>
      </c>
      <c r="R579" s="19">
        <v>302.31</v>
      </c>
      <c r="S579" s="19">
        <v>302.54000000000002</v>
      </c>
      <c r="T579" s="19">
        <v>290.73</v>
      </c>
      <c r="U579" s="19">
        <v>332.5</v>
      </c>
      <c r="V579" s="19">
        <v>301.14</v>
      </c>
      <c r="W579" s="19">
        <v>294.88</v>
      </c>
      <c r="X579" s="19">
        <v>281.26</v>
      </c>
      <c r="Y579" s="19">
        <v>267.51</v>
      </c>
      <c r="Z579" s="33" t="s">
        <v>32</v>
      </c>
      <c r="AA579" s="25">
        <f>MIN($B$579:$Y$579)</f>
        <v>244.91</v>
      </c>
      <c r="AB579" s="25">
        <f>AVERAGE($B$579:$Y$579)</f>
        <v>278.12833333333299</v>
      </c>
    </row>
    <row r="580" spans="1:28">
      <c r="A580" s="30">
        <v>45875</v>
      </c>
      <c r="B580" s="19">
        <v>263.79000000000002</v>
      </c>
      <c r="C580" s="19">
        <v>258.29000000000002</v>
      </c>
      <c r="D580" s="19">
        <v>246.12</v>
      </c>
      <c r="E580" s="19">
        <v>239.19</v>
      </c>
      <c r="F580" s="19">
        <v>235.96</v>
      </c>
      <c r="G580" s="19">
        <v>236.13</v>
      </c>
      <c r="H580" s="19">
        <v>239.18</v>
      </c>
      <c r="I580" s="19">
        <v>240.25</v>
      </c>
      <c r="J580" s="19">
        <v>257.17</v>
      </c>
      <c r="K580" s="19">
        <v>283.05</v>
      </c>
      <c r="L580" s="19">
        <v>273.38</v>
      </c>
      <c r="M580" s="19">
        <v>276.69</v>
      </c>
      <c r="N580" s="19">
        <v>256.32</v>
      </c>
      <c r="O580" s="19">
        <v>278.14999999999998</v>
      </c>
      <c r="P580" s="19">
        <v>287.20999999999998</v>
      </c>
      <c r="Q580" s="19">
        <v>288.73</v>
      </c>
      <c r="R580" s="19">
        <v>289.5</v>
      </c>
      <c r="S580" s="19">
        <v>291.70999999999998</v>
      </c>
      <c r="T580" s="19">
        <v>284.83999999999997</v>
      </c>
      <c r="U580" s="19">
        <v>297.58</v>
      </c>
      <c r="V580" s="19">
        <v>294.63</v>
      </c>
      <c r="W580" s="19">
        <v>290.67</v>
      </c>
      <c r="X580" s="19">
        <v>281.51</v>
      </c>
      <c r="Y580" s="19">
        <v>265.06</v>
      </c>
      <c r="Z580" s="32" t="s">
        <v>32</v>
      </c>
      <c r="AA580" s="25">
        <f>MIN($B$580:$Y$580)</f>
        <v>235.96</v>
      </c>
      <c r="AB580" s="25">
        <f>AVERAGE($B$580:$Y$580)</f>
        <v>268.96291666666701</v>
      </c>
    </row>
    <row r="581" spans="1:28">
      <c r="A581" s="30">
        <v>45876</v>
      </c>
      <c r="B581" s="19">
        <v>254.12</v>
      </c>
      <c r="C581" s="19">
        <v>252.96</v>
      </c>
      <c r="D581" s="19">
        <v>249.79</v>
      </c>
      <c r="E581" s="19">
        <v>244.36</v>
      </c>
      <c r="F581" s="19">
        <v>238.2</v>
      </c>
      <c r="G581" s="19">
        <v>233.03</v>
      </c>
      <c r="H581" s="19">
        <v>238.13</v>
      </c>
      <c r="I581" s="19">
        <v>231.26</v>
      </c>
      <c r="J581" s="19">
        <v>258.22000000000003</v>
      </c>
      <c r="K581" s="19">
        <v>287.62</v>
      </c>
      <c r="L581" s="19">
        <v>274.31</v>
      </c>
      <c r="M581" s="19">
        <v>269.06</v>
      </c>
      <c r="N581" s="19">
        <v>245.86</v>
      </c>
      <c r="O581" s="19">
        <v>258.95</v>
      </c>
      <c r="P581" s="19">
        <v>278.58</v>
      </c>
      <c r="Q581" s="19">
        <v>278.31</v>
      </c>
      <c r="R581" s="19">
        <v>288.47000000000003</v>
      </c>
      <c r="S581" s="19">
        <v>260.72000000000003</v>
      </c>
      <c r="T581" s="19">
        <v>286.07</v>
      </c>
      <c r="U581" s="19">
        <v>303.41000000000003</v>
      </c>
      <c r="V581" s="19">
        <v>291.95</v>
      </c>
      <c r="W581" s="19">
        <v>280.47000000000003</v>
      </c>
      <c r="X581" s="19">
        <v>273.67</v>
      </c>
      <c r="Y581" s="19">
        <v>261.44</v>
      </c>
      <c r="Z581" s="36" t="s">
        <v>36</v>
      </c>
      <c r="AA581" s="25">
        <f>MIN($B$581:$Y$581)</f>
        <v>231.26</v>
      </c>
      <c r="AB581" s="25">
        <f>AVERAGE($B$581:$Y$581)</f>
        <v>264.12333333333299</v>
      </c>
    </row>
    <row r="582" spans="1:28">
      <c r="A582" s="30">
        <v>45877</v>
      </c>
      <c r="B582" s="19">
        <v>267.92</v>
      </c>
      <c r="C582" s="19">
        <v>260.93</v>
      </c>
      <c r="D582" s="19">
        <v>254.74</v>
      </c>
      <c r="E582" s="19">
        <v>252.09</v>
      </c>
      <c r="F582" s="19">
        <v>247.96</v>
      </c>
      <c r="G582" s="19">
        <v>246.14</v>
      </c>
      <c r="H582" s="19">
        <v>250.17</v>
      </c>
      <c r="I582" s="19">
        <v>245.98</v>
      </c>
      <c r="J582" s="19">
        <v>258.25</v>
      </c>
      <c r="K582" s="19">
        <v>289.58</v>
      </c>
      <c r="L582" s="19">
        <v>267.99</v>
      </c>
      <c r="M582" s="19">
        <v>254.39</v>
      </c>
      <c r="N582" s="19">
        <v>225.56</v>
      </c>
      <c r="O582" s="19">
        <v>251.42</v>
      </c>
      <c r="P582" s="19">
        <v>265.85000000000002</v>
      </c>
      <c r="Q582" s="19">
        <v>271.42</v>
      </c>
      <c r="R582" s="19">
        <v>292.77</v>
      </c>
      <c r="S582" s="19">
        <v>274.55</v>
      </c>
      <c r="T582" s="19">
        <v>295.83</v>
      </c>
      <c r="U582" s="19">
        <v>310.36</v>
      </c>
      <c r="V582" s="19">
        <v>294.63</v>
      </c>
      <c r="W582" s="19">
        <v>292.12</v>
      </c>
      <c r="X582" s="19">
        <v>287.54000000000002</v>
      </c>
      <c r="Y582" s="19">
        <v>266.5</v>
      </c>
      <c r="Z582" s="37" t="s">
        <v>37</v>
      </c>
      <c r="AA582" s="25">
        <f>MIN($B$582:$Y$582)</f>
        <v>225.56</v>
      </c>
      <c r="AB582" s="25">
        <f>AVERAGE($B$582:$Y$582)</f>
        <v>267.69541666666697</v>
      </c>
    </row>
    <row r="583" spans="1:28">
      <c r="A583" s="30">
        <v>45878</v>
      </c>
      <c r="B583" s="19">
        <v>265.14999999999998</v>
      </c>
      <c r="C583" s="19">
        <v>265.11</v>
      </c>
      <c r="D583" s="19">
        <v>259.77999999999997</v>
      </c>
      <c r="E583" s="19">
        <v>259.76</v>
      </c>
      <c r="F583" s="19">
        <v>255.35</v>
      </c>
      <c r="G583" s="19">
        <v>250.26</v>
      </c>
      <c r="H583" s="19">
        <v>252.16</v>
      </c>
      <c r="I583" s="19">
        <v>236.6</v>
      </c>
      <c r="J583" s="19">
        <v>231.22</v>
      </c>
      <c r="K583" s="19">
        <v>241.58</v>
      </c>
      <c r="L583" s="19">
        <v>228</v>
      </c>
      <c r="M583" s="19">
        <v>215.72</v>
      </c>
      <c r="N583" s="19">
        <v>188.4</v>
      </c>
      <c r="O583" s="19">
        <v>220.32</v>
      </c>
      <c r="P583" s="19">
        <v>236.54</v>
      </c>
      <c r="Q583" s="19">
        <v>242.39</v>
      </c>
      <c r="R583" s="19">
        <v>276.74</v>
      </c>
      <c r="S583" s="19">
        <v>295.32</v>
      </c>
      <c r="T583" s="19">
        <v>286.99</v>
      </c>
      <c r="U583" s="19">
        <v>285.74</v>
      </c>
      <c r="V583" s="19">
        <v>280.02999999999997</v>
      </c>
      <c r="W583" s="19">
        <v>288.51</v>
      </c>
      <c r="X583" s="19">
        <v>297.64999999999998</v>
      </c>
      <c r="Y583" s="19">
        <v>282.33999999999997</v>
      </c>
      <c r="Z583" s="33" t="s">
        <v>32</v>
      </c>
      <c r="AA583" s="25">
        <f>MIN($B$583:$Y$583)</f>
        <v>188.4</v>
      </c>
      <c r="AB583" s="25">
        <f>AVERAGE($B$583:$Y$583)</f>
        <v>255.9025</v>
      </c>
    </row>
    <row r="584" spans="1:28">
      <c r="A584" s="30">
        <v>45879</v>
      </c>
      <c r="B584" s="19">
        <v>283.31</v>
      </c>
      <c r="C584" s="19">
        <v>325.82</v>
      </c>
      <c r="D584" s="19">
        <v>310.42</v>
      </c>
      <c r="E584" s="19">
        <v>302.93</v>
      </c>
      <c r="F584" s="19">
        <v>287.86</v>
      </c>
      <c r="G584" s="19">
        <v>275.68</v>
      </c>
      <c r="H584" s="19">
        <v>275.38</v>
      </c>
      <c r="I584" s="19">
        <v>253.46</v>
      </c>
      <c r="J584" s="19">
        <v>233.69</v>
      </c>
      <c r="K584" s="19">
        <v>229.48</v>
      </c>
      <c r="L584" s="19">
        <v>150.91</v>
      </c>
      <c r="M584" s="19">
        <v>202.87</v>
      </c>
      <c r="N584" s="19">
        <v>139.78</v>
      </c>
      <c r="O584" s="19">
        <v>212.2</v>
      </c>
      <c r="P584" s="19">
        <v>168.89</v>
      </c>
      <c r="Q584" s="19">
        <v>149.72</v>
      </c>
      <c r="R584" s="19">
        <v>253.02</v>
      </c>
      <c r="S584" s="19">
        <v>290.36</v>
      </c>
      <c r="T584" s="19">
        <v>298.56</v>
      </c>
      <c r="U584" s="19">
        <v>309.70999999999998</v>
      </c>
      <c r="V584" s="19">
        <v>319.52999999999997</v>
      </c>
      <c r="W584" s="19">
        <v>343.16</v>
      </c>
      <c r="X584" s="19">
        <v>348.61</v>
      </c>
      <c r="Y584" s="19">
        <v>318.16000000000003</v>
      </c>
      <c r="Z584" s="32" t="s">
        <v>32</v>
      </c>
      <c r="AA584" s="25">
        <f>MIN($B$584:$Y$584)</f>
        <v>139.78</v>
      </c>
      <c r="AB584" s="25">
        <f>AVERAGE($B$584:$Y$584)</f>
        <v>261.81291666666698</v>
      </c>
    </row>
    <row r="585" spans="1:28">
      <c r="A585" s="30">
        <v>45880</v>
      </c>
      <c r="B585" s="19">
        <v>312.66000000000003</v>
      </c>
      <c r="C585" s="19">
        <v>305.70999999999998</v>
      </c>
      <c r="D585" s="19">
        <v>300.57</v>
      </c>
      <c r="E585" s="19">
        <v>291.73</v>
      </c>
      <c r="F585" s="19">
        <v>283.35000000000002</v>
      </c>
      <c r="G585" s="19">
        <v>278.07</v>
      </c>
      <c r="H585" s="19">
        <v>279.26</v>
      </c>
      <c r="I585" s="19">
        <v>266.47000000000003</v>
      </c>
      <c r="J585" s="19">
        <v>258.52999999999997</v>
      </c>
      <c r="K585" s="19">
        <v>302.44</v>
      </c>
      <c r="L585" s="19">
        <v>294.55</v>
      </c>
      <c r="M585" s="19">
        <v>302.20999999999998</v>
      </c>
      <c r="N585" s="19">
        <v>272.01</v>
      </c>
      <c r="O585" s="19">
        <v>301.89999999999998</v>
      </c>
      <c r="P585" s="19">
        <v>339.62</v>
      </c>
      <c r="Q585" s="19">
        <v>328.81</v>
      </c>
      <c r="R585" s="19">
        <v>336.01</v>
      </c>
      <c r="S585" s="19">
        <v>380.75</v>
      </c>
      <c r="T585" s="19">
        <v>352.05</v>
      </c>
      <c r="U585" s="19">
        <v>571.54</v>
      </c>
      <c r="V585" s="19">
        <v>380.48</v>
      </c>
      <c r="W585" s="19">
        <v>349.49</v>
      </c>
      <c r="X585" s="19">
        <v>340.63</v>
      </c>
      <c r="Y585" s="19">
        <v>312.45999999999998</v>
      </c>
      <c r="Z585" s="33" t="s">
        <v>32</v>
      </c>
      <c r="AA585" s="25">
        <f>MIN($B$585:$Y$585)</f>
        <v>258.52999999999997</v>
      </c>
      <c r="AB585" s="25">
        <f>AVERAGE($B$585:$Y$585)</f>
        <v>322.55416666666702</v>
      </c>
    </row>
    <row r="586" spans="1:28">
      <c r="A586" s="30">
        <v>45881</v>
      </c>
      <c r="B586" s="19">
        <v>321.61</v>
      </c>
      <c r="C586" s="19">
        <v>316.64999999999998</v>
      </c>
      <c r="D586" s="19">
        <v>309.88</v>
      </c>
      <c r="E586" s="19">
        <v>303.05</v>
      </c>
      <c r="F586" s="19">
        <v>294.25</v>
      </c>
      <c r="G586" s="19">
        <v>287.5</v>
      </c>
      <c r="H586" s="19">
        <v>289.52</v>
      </c>
      <c r="I586" s="19">
        <v>266.27</v>
      </c>
      <c r="J586" s="19">
        <v>275.42</v>
      </c>
      <c r="K586" s="19">
        <v>297.19</v>
      </c>
      <c r="L586" s="19">
        <v>291.54000000000002</v>
      </c>
      <c r="M586" s="19">
        <v>299.57</v>
      </c>
      <c r="N586" s="19">
        <v>270.42</v>
      </c>
      <c r="O586" s="19">
        <v>305.49</v>
      </c>
      <c r="P586" s="19">
        <v>333.22</v>
      </c>
      <c r="Q586" s="19">
        <v>321.72000000000003</v>
      </c>
      <c r="R586" s="19">
        <v>342.5</v>
      </c>
      <c r="S586" s="19">
        <v>354.83</v>
      </c>
      <c r="T586" s="19">
        <v>342.67</v>
      </c>
      <c r="U586" s="19">
        <v>421.61</v>
      </c>
      <c r="V586" s="19">
        <v>380.27</v>
      </c>
      <c r="W586" s="19">
        <v>367.67</v>
      </c>
      <c r="X586" s="19">
        <v>339.36</v>
      </c>
      <c r="Y586" s="19">
        <v>314.10000000000002</v>
      </c>
      <c r="Z586" s="32" t="s">
        <v>32</v>
      </c>
      <c r="AA586" s="25">
        <f>MIN($B$586:$Y$586)</f>
        <v>266.27</v>
      </c>
      <c r="AB586" s="25">
        <f>AVERAGE($B$586:$Y$586)</f>
        <v>318.59625</v>
      </c>
    </row>
    <row r="587" spans="1:28">
      <c r="A587" s="30">
        <v>45882</v>
      </c>
      <c r="B587" s="19">
        <v>299.42</v>
      </c>
      <c r="C587" s="19">
        <v>281.52</v>
      </c>
      <c r="D587" s="19">
        <v>270.70999999999998</v>
      </c>
      <c r="E587" s="19">
        <v>263.20999999999998</v>
      </c>
      <c r="F587" s="19">
        <v>256.26</v>
      </c>
      <c r="G587" s="19">
        <v>253.31</v>
      </c>
      <c r="H587" s="19">
        <v>251.97</v>
      </c>
      <c r="I587" s="19">
        <v>241.37</v>
      </c>
      <c r="J587" s="19">
        <v>246.55</v>
      </c>
      <c r="K587" s="19">
        <v>265.07</v>
      </c>
      <c r="L587" s="19">
        <v>258.89999999999998</v>
      </c>
      <c r="M587" s="19">
        <v>265.76</v>
      </c>
      <c r="N587" s="19">
        <v>255.6</v>
      </c>
      <c r="O587" s="19">
        <v>267.45</v>
      </c>
      <c r="P587" s="19">
        <v>274.35000000000002</v>
      </c>
      <c r="Q587" s="19">
        <v>271.74</v>
      </c>
      <c r="R587" s="19">
        <v>292.92</v>
      </c>
      <c r="S587" s="19">
        <v>290.93</v>
      </c>
      <c r="T587" s="19">
        <v>285.98</v>
      </c>
      <c r="U587" s="19">
        <v>279.16000000000003</v>
      </c>
      <c r="V587" s="19">
        <v>304.33999999999997</v>
      </c>
      <c r="W587" s="19">
        <v>315.77</v>
      </c>
      <c r="X587" s="19">
        <v>302.27999999999997</v>
      </c>
      <c r="Y587" s="19">
        <v>291.94</v>
      </c>
      <c r="Z587" s="33" t="s">
        <v>32</v>
      </c>
      <c r="AA587" s="25">
        <f>MIN($B$587:$Y$587)</f>
        <v>241.37</v>
      </c>
      <c r="AB587" s="25">
        <f>AVERAGE($B$587:$Y$587)</f>
        <v>274.43791666666698</v>
      </c>
    </row>
    <row r="588" spans="1:28">
      <c r="A588" s="30">
        <v>45883</v>
      </c>
      <c r="B588" s="19">
        <v>330.02</v>
      </c>
      <c r="C588" s="19">
        <v>302.83</v>
      </c>
      <c r="D588" s="19">
        <v>289.18</v>
      </c>
      <c r="E588" s="19">
        <v>278.08999999999997</v>
      </c>
      <c r="F588" s="19">
        <v>266.02999999999997</v>
      </c>
      <c r="G588" s="19">
        <v>260.76</v>
      </c>
      <c r="H588" s="19">
        <v>260.98</v>
      </c>
      <c r="I588" s="19">
        <v>254.18</v>
      </c>
      <c r="J588" s="19">
        <v>264.41000000000003</v>
      </c>
      <c r="K588" s="19">
        <v>287.85000000000002</v>
      </c>
      <c r="L588" s="19">
        <v>274.83999999999997</v>
      </c>
      <c r="M588" s="19">
        <v>282.88</v>
      </c>
      <c r="N588" s="19">
        <v>237.92</v>
      </c>
      <c r="O588" s="19">
        <v>262.10000000000002</v>
      </c>
      <c r="P588" s="19">
        <v>202.32</v>
      </c>
      <c r="Q588" s="19">
        <v>282.81</v>
      </c>
      <c r="R588" s="19">
        <v>294.33</v>
      </c>
      <c r="S588" s="19">
        <v>293.37</v>
      </c>
      <c r="T588" s="19">
        <v>284.13</v>
      </c>
      <c r="U588" s="19">
        <v>315.68</v>
      </c>
      <c r="V588" s="19">
        <v>300.32</v>
      </c>
      <c r="W588" s="19">
        <v>289.58999999999997</v>
      </c>
      <c r="X588" s="19">
        <v>281.27</v>
      </c>
      <c r="Y588" s="19">
        <v>262.76</v>
      </c>
      <c r="Z588" s="34" t="s">
        <v>36</v>
      </c>
      <c r="AA588" s="25">
        <f>MIN($B$588:$Y$588)</f>
        <v>202.32</v>
      </c>
      <c r="AB588" s="25">
        <f>AVERAGE($B$588:$Y$588)</f>
        <v>277.44375000000002</v>
      </c>
    </row>
    <row r="589" spans="1:28">
      <c r="A589" s="30">
        <v>45884</v>
      </c>
      <c r="B589" s="19">
        <v>272.5</v>
      </c>
      <c r="C589" s="19">
        <v>265.22000000000003</v>
      </c>
      <c r="D589" s="19">
        <v>253.76</v>
      </c>
      <c r="E589" s="19">
        <v>247.17</v>
      </c>
      <c r="F589" s="19">
        <v>236.86</v>
      </c>
      <c r="G589" s="19">
        <v>231.63</v>
      </c>
      <c r="H589" s="19">
        <v>233.65</v>
      </c>
      <c r="I589" s="19">
        <v>228.42</v>
      </c>
      <c r="J589" s="19">
        <v>252.05</v>
      </c>
      <c r="K589" s="19">
        <v>279.74</v>
      </c>
      <c r="L589" s="19">
        <v>265.17</v>
      </c>
      <c r="M589" s="19">
        <v>273.54000000000002</v>
      </c>
      <c r="N589" s="19">
        <v>225.94</v>
      </c>
      <c r="O589" s="19">
        <v>255.84</v>
      </c>
      <c r="P589" s="19">
        <v>271.55</v>
      </c>
      <c r="Q589" s="19">
        <v>269.56</v>
      </c>
      <c r="R589" s="19">
        <v>297.12</v>
      </c>
      <c r="S589" s="19">
        <v>289.75</v>
      </c>
      <c r="T589" s="19">
        <v>277.63</v>
      </c>
      <c r="U589" s="19">
        <v>287.32</v>
      </c>
      <c r="V589" s="19">
        <v>281.83</v>
      </c>
      <c r="W589" s="19">
        <v>276.66000000000003</v>
      </c>
      <c r="X589" s="19">
        <v>268.7</v>
      </c>
      <c r="Y589" s="19">
        <v>254.26</v>
      </c>
      <c r="Z589" s="35" t="s">
        <v>37</v>
      </c>
      <c r="AA589" s="25">
        <f>MIN($B$589:$Y$589)</f>
        <v>225.94</v>
      </c>
      <c r="AB589" s="25">
        <f>AVERAGE($B$589:$Y$589)</f>
        <v>262.32791666666702</v>
      </c>
    </row>
    <row r="590" spans="1:28">
      <c r="A590" s="30">
        <v>45885</v>
      </c>
      <c r="B590" s="19">
        <v>261.12</v>
      </c>
      <c r="C590" s="19">
        <v>257.14</v>
      </c>
      <c r="D590" s="19">
        <v>239.66</v>
      </c>
      <c r="E590" s="19">
        <v>231.99</v>
      </c>
      <c r="F590" s="19">
        <v>225.17</v>
      </c>
      <c r="G590" s="19">
        <v>219.03</v>
      </c>
      <c r="H590" s="19">
        <v>220.24</v>
      </c>
      <c r="I590" s="19">
        <v>176.01</v>
      </c>
      <c r="J590" s="19">
        <v>209.35</v>
      </c>
      <c r="K590" s="19">
        <v>233.72</v>
      </c>
      <c r="L590" s="19">
        <v>204.42</v>
      </c>
      <c r="M590" s="19">
        <v>202.75</v>
      </c>
      <c r="N590" s="19">
        <v>168.43</v>
      </c>
      <c r="O590" s="19">
        <v>196.31</v>
      </c>
      <c r="P590" s="19">
        <v>223.01</v>
      </c>
      <c r="Q590" s="19">
        <v>251.49</v>
      </c>
      <c r="R590" s="19">
        <v>271.02</v>
      </c>
      <c r="S590" s="19">
        <v>299.14999999999998</v>
      </c>
      <c r="T590" s="19">
        <v>283.70999999999998</v>
      </c>
      <c r="U590" s="19">
        <v>300.02999999999997</v>
      </c>
      <c r="V590" s="19">
        <v>300.16000000000003</v>
      </c>
      <c r="W590" s="19">
        <v>288.41000000000003</v>
      </c>
      <c r="X590" s="19">
        <v>271.57</v>
      </c>
      <c r="Y590" s="19">
        <v>262.38</v>
      </c>
      <c r="Z590" s="32" t="s">
        <v>32</v>
      </c>
      <c r="AA590" s="25">
        <f>MIN($B$590:$Y$590)</f>
        <v>168.43</v>
      </c>
      <c r="AB590" s="25">
        <f>AVERAGE($B$590:$Y$590)</f>
        <v>241.51124999999999</v>
      </c>
    </row>
    <row r="591" spans="1:28">
      <c r="A591" s="30">
        <v>45886</v>
      </c>
      <c r="B591" s="19">
        <v>280.89</v>
      </c>
      <c r="C591" s="19">
        <v>278.63</v>
      </c>
      <c r="D591" s="19">
        <v>264.2</v>
      </c>
      <c r="E591" s="19">
        <v>257.61</v>
      </c>
      <c r="F591" s="19">
        <v>245.56</v>
      </c>
      <c r="G591" s="19">
        <v>228.71</v>
      </c>
      <c r="H591" s="19">
        <v>227.4</v>
      </c>
      <c r="I591" s="19">
        <v>163.89</v>
      </c>
      <c r="J591" s="19">
        <v>145.06</v>
      </c>
      <c r="K591" s="19">
        <v>115.42</v>
      </c>
      <c r="L591" s="19">
        <v>98.7</v>
      </c>
      <c r="M591" s="19">
        <v>96.99</v>
      </c>
      <c r="N591" s="19">
        <v>95.73</v>
      </c>
      <c r="O591" s="19">
        <v>108.48</v>
      </c>
      <c r="P591" s="19">
        <v>123.21</v>
      </c>
      <c r="Q591" s="19">
        <v>162.56</v>
      </c>
      <c r="R591" s="19">
        <v>189.82</v>
      </c>
      <c r="S591" s="19">
        <v>245.06</v>
      </c>
      <c r="T591" s="19">
        <v>252.44</v>
      </c>
      <c r="U591" s="19">
        <v>270.58</v>
      </c>
      <c r="V591" s="19">
        <v>275.99</v>
      </c>
      <c r="W591" s="19">
        <v>284.31</v>
      </c>
      <c r="X591" s="19">
        <v>273.54000000000002</v>
      </c>
      <c r="Y591" s="19">
        <v>263.25</v>
      </c>
      <c r="Z591" s="33" t="s">
        <v>32</v>
      </c>
      <c r="AA591" s="25">
        <f>MIN($B$591:$Y$591)</f>
        <v>95.73</v>
      </c>
      <c r="AB591" s="25">
        <f>AVERAGE($B$591:$Y$591)</f>
        <v>206.167916666667</v>
      </c>
    </row>
    <row r="592" spans="1:28">
      <c r="A592" s="30">
        <v>45887</v>
      </c>
      <c r="B592" s="19">
        <v>244.41</v>
      </c>
      <c r="C592" s="19">
        <v>240.21</v>
      </c>
      <c r="D592" s="19">
        <v>233.01</v>
      </c>
      <c r="E592" s="19">
        <v>224.17</v>
      </c>
      <c r="F592" s="19">
        <v>211.82</v>
      </c>
      <c r="G592" s="19">
        <v>207.78</v>
      </c>
      <c r="H592" s="19">
        <v>216.47</v>
      </c>
      <c r="I592" s="19">
        <v>206.46</v>
      </c>
      <c r="J592" s="19">
        <v>246.3</v>
      </c>
      <c r="K592" s="19">
        <v>273.98</v>
      </c>
      <c r="L592" s="19">
        <v>274.05</v>
      </c>
      <c r="M592" s="19">
        <v>224.35</v>
      </c>
      <c r="N592" s="19">
        <v>252.48</v>
      </c>
      <c r="O592" s="19">
        <v>272.19</v>
      </c>
      <c r="P592" s="19">
        <v>167.24</v>
      </c>
      <c r="Q592" s="19">
        <v>244.73</v>
      </c>
      <c r="R592" s="19">
        <v>316.64999999999998</v>
      </c>
      <c r="S592" s="19">
        <v>299.89999999999998</v>
      </c>
      <c r="T592" s="19">
        <v>286.31</v>
      </c>
      <c r="U592" s="19">
        <v>289.97000000000003</v>
      </c>
      <c r="V592" s="19">
        <v>280.16000000000003</v>
      </c>
      <c r="W592" s="19">
        <v>269.69</v>
      </c>
      <c r="X592" s="19">
        <v>260.08</v>
      </c>
      <c r="Y592" s="19">
        <v>247.12</v>
      </c>
      <c r="Z592" s="32" t="s">
        <v>32</v>
      </c>
      <c r="AA592" s="25">
        <f>MIN($B$592:$Y$592)</f>
        <v>167.24</v>
      </c>
      <c r="AB592" s="25">
        <f>AVERAGE($B$592:$Y$592)</f>
        <v>249.56375</v>
      </c>
    </row>
    <row r="593" spans="1:34">
      <c r="A593" s="30">
        <v>45888</v>
      </c>
      <c r="B593" s="19">
        <v>237.19</v>
      </c>
      <c r="C593" s="19">
        <v>234.79</v>
      </c>
      <c r="D593" s="19">
        <v>224.87</v>
      </c>
      <c r="E593" s="19">
        <v>218.44</v>
      </c>
      <c r="F593" s="19">
        <v>207.91</v>
      </c>
      <c r="G593" s="19">
        <v>203.14</v>
      </c>
      <c r="H593" s="19">
        <v>213.26</v>
      </c>
      <c r="I593" s="19">
        <v>211.32</v>
      </c>
      <c r="J593" s="19">
        <v>241.54</v>
      </c>
      <c r="K593" s="19">
        <v>271.91000000000003</v>
      </c>
      <c r="L593" s="19">
        <v>262.86</v>
      </c>
      <c r="M593" s="19">
        <v>264.55</v>
      </c>
      <c r="N593" s="19">
        <v>240.21</v>
      </c>
      <c r="O593" s="19">
        <v>254.02</v>
      </c>
      <c r="P593" s="19">
        <v>266.91000000000003</v>
      </c>
      <c r="Q593" s="19">
        <v>266.99</v>
      </c>
      <c r="R593" s="19">
        <v>276.42</v>
      </c>
      <c r="S593" s="19">
        <v>277.91000000000003</v>
      </c>
      <c r="T593" s="19">
        <v>266.63</v>
      </c>
      <c r="U593" s="19">
        <v>289.87</v>
      </c>
      <c r="V593" s="19">
        <v>279.11</v>
      </c>
      <c r="W593" s="19">
        <v>266.97000000000003</v>
      </c>
      <c r="X593" s="19">
        <v>254.21</v>
      </c>
      <c r="Y593" s="19">
        <v>239.41</v>
      </c>
      <c r="Z593" s="33" t="s">
        <v>32</v>
      </c>
      <c r="AA593" s="25">
        <f>MIN($B$593:$Y$593)</f>
        <v>203.14</v>
      </c>
      <c r="AB593" s="25">
        <f>AVERAGE($B$593:$Y$593)</f>
        <v>248.768333333333</v>
      </c>
    </row>
    <row r="594" spans="1:34">
      <c r="A594" s="30">
        <v>45889</v>
      </c>
      <c r="B594" s="19">
        <v>248.9</v>
      </c>
      <c r="C594" s="19">
        <v>245.46</v>
      </c>
      <c r="D594" s="19">
        <v>234.89</v>
      </c>
      <c r="E594" s="19">
        <v>227.53</v>
      </c>
      <c r="F594" s="19">
        <v>217.42</v>
      </c>
      <c r="G594" s="19">
        <v>208.2</v>
      </c>
      <c r="H594" s="19">
        <v>221.34</v>
      </c>
      <c r="I594" s="19">
        <v>219.14</v>
      </c>
      <c r="J594" s="19">
        <v>251.36</v>
      </c>
      <c r="K594" s="19">
        <v>280.38</v>
      </c>
      <c r="L594" s="19">
        <v>266.77</v>
      </c>
      <c r="M594" s="19">
        <v>281.51</v>
      </c>
      <c r="N594" s="19">
        <v>256.74</v>
      </c>
      <c r="O594" s="19">
        <v>268.99</v>
      </c>
      <c r="P594" s="19">
        <v>290.27</v>
      </c>
      <c r="Q594" s="19">
        <v>281.12</v>
      </c>
      <c r="R594" s="19">
        <v>319.67</v>
      </c>
      <c r="S594" s="19">
        <v>320.98</v>
      </c>
      <c r="T594" s="19">
        <v>281.64</v>
      </c>
      <c r="U594" s="19">
        <v>290.72000000000003</v>
      </c>
      <c r="V594" s="19">
        <v>282.87</v>
      </c>
      <c r="W594" s="19">
        <v>279.68</v>
      </c>
      <c r="X594" s="19">
        <v>257.18</v>
      </c>
      <c r="Y594" s="19">
        <v>246.4</v>
      </c>
      <c r="Z594" s="32" t="s">
        <v>32</v>
      </c>
      <c r="AA594" s="25">
        <f>MIN($B$594:$Y$594)</f>
        <v>208.2</v>
      </c>
      <c r="AB594" s="25">
        <f>AVERAGE($B$594:$Y$594)</f>
        <v>261.631666666667</v>
      </c>
    </row>
    <row r="595" spans="1:34">
      <c r="A595" s="30">
        <v>45890</v>
      </c>
      <c r="B595" s="19">
        <v>258.08999999999997</v>
      </c>
      <c r="C595" s="19">
        <v>253.78</v>
      </c>
      <c r="D595" s="19">
        <v>245.13</v>
      </c>
      <c r="E595" s="19">
        <v>234.62</v>
      </c>
      <c r="F595" s="19">
        <v>227.19</v>
      </c>
      <c r="G595" s="19">
        <v>227.79</v>
      </c>
      <c r="H595" s="19">
        <v>236.27</v>
      </c>
      <c r="I595" s="19">
        <v>230.33</v>
      </c>
      <c r="J595" s="19">
        <v>257.33</v>
      </c>
      <c r="K595" s="19">
        <v>268.85000000000002</v>
      </c>
      <c r="L595" s="19">
        <v>264.33</v>
      </c>
      <c r="M595" s="19">
        <v>264.44</v>
      </c>
      <c r="N595" s="19">
        <v>248.62</v>
      </c>
      <c r="O595" s="19">
        <v>264.27</v>
      </c>
      <c r="P595" s="19">
        <v>268.92</v>
      </c>
      <c r="Q595" s="19">
        <v>269.32</v>
      </c>
      <c r="R595" s="19">
        <v>289.16000000000003</v>
      </c>
      <c r="S595" s="19">
        <v>293.20999999999998</v>
      </c>
      <c r="T595" s="19">
        <v>286.47000000000003</v>
      </c>
      <c r="U595" s="19">
        <v>305.5</v>
      </c>
      <c r="V595" s="19">
        <v>283.77</v>
      </c>
      <c r="W595" s="19">
        <v>281.95</v>
      </c>
      <c r="X595" s="19">
        <v>265.51</v>
      </c>
      <c r="Y595" s="19">
        <v>253.73</v>
      </c>
      <c r="Z595" s="36" t="s">
        <v>36</v>
      </c>
      <c r="AA595" s="25">
        <f>MIN($B$595:$Y$595)</f>
        <v>227.19</v>
      </c>
      <c r="AB595" s="25">
        <f>AVERAGE($B$595:$Y$595)</f>
        <v>261.60750000000002</v>
      </c>
    </row>
    <row r="596" spans="1:34">
      <c r="A596" s="30">
        <v>45891</v>
      </c>
      <c r="B596" s="19">
        <v>263.18</v>
      </c>
      <c r="C596" s="19">
        <v>257.35000000000002</v>
      </c>
      <c r="D596" s="19">
        <v>253.75</v>
      </c>
      <c r="E596" s="19">
        <v>251.68</v>
      </c>
      <c r="F596" s="19">
        <v>244.98</v>
      </c>
      <c r="G596" s="19">
        <v>242.48</v>
      </c>
      <c r="H596" s="19">
        <v>248.61</v>
      </c>
      <c r="I596" s="19">
        <v>236.7</v>
      </c>
      <c r="J596" s="19">
        <v>256.86</v>
      </c>
      <c r="K596" s="19">
        <v>273.67</v>
      </c>
      <c r="L596" s="19">
        <v>263.16000000000003</v>
      </c>
      <c r="M596" s="19">
        <v>261.19</v>
      </c>
      <c r="N596" s="19">
        <v>257.95999999999998</v>
      </c>
      <c r="O596" s="19">
        <v>271.64</v>
      </c>
      <c r="P596" s="19">
        <v>266.41000000000003</v>
      </c>
      <c r="Q596" s="19">
        <v>272.88</v>
      </c>
      <c r="R596" s="19">
        <v>302.27999999999997</v>
      </c>
      <c r="S596" s="19">
        <v>313.39999999999998</v>
      </c>
      <c r="T596" s="19">
        <v>284.20999999999998</v>
      </c>
      <c r="U596" s="19">
        <v>300.91000000000003</v>
      </c>
      <c r="V596" s="19">
        <v>297.38</v>
      </c>
      <c r="W596" s="19">
        <v>293.14999999999998</v>
      </c>
      <c r="X596" s="19">
        <v>282.45</v>
      </c>
      <c r="Y596" s="19">
        <v>269.87</v>
      </c>
      <c r="Z596" s="37" t="s">
        <v>37</v>
      </c>
      <c r="AA596" s="25">
        <f>MIN($B$596:$Y$596)</f>
        <v>236.7</v>
      </c>
      <c r="AB596" s="25">
        <f>AVERAGE($B$596:$Y$596)</f>
        <v>269.42291666666699</v>
      </c>
    </row>
    <row r="597" spans="1:34">
      <c r="A597" s="30">
        <v>45892</v>
      </c>
      <c r="B597" s="19">
        <v>342.71</v>
      </c>
      <c r="C597" s="19">
        <v>288.87</v>
      </c>
      <c r="D597" s="19">
        <v>271.5</v>
      </c>
      <c r="E597" s="19">
        <v>260.33</v>
      </c>
      <c r="F597" s="19">
        <v>255.83</v>
      </c>
      <c r="G597" s="19">
        <v>252.94</v>
      </c>
      <c r="H597" s="19">
        <v>252.31</v>
      </c>
      <c r="I597" s="19">
        <v>237.09</v>
      </c>
      <c r="J597" s="19">
        <v>234.66</v>
      </c>
      <c r="K597" s="19">
        <v>246.43</v>
      </c>
      <c r="L597" s="19">
        <v>246.03</v>
      </c>
      <c r="M597" s="19">
        <v>241.29</v>
      </c>
      <c r="N597" s="19">
        <v>213.19</v>
      </c>
      <c r="O597" s="19">
        <v>236.17</v>
      </c>
      <c r="P597" s="19">
        <v>258.54000000000002</v>
      </c>
      <c r="Q597" s="19">
        <v>266.22000000000003</v>
      </c>
      <c r="R597" s="19">
        <v>288.91000000000003</v>
      </c>
      <c r="S597" s="19">
        <v>313.62</v>
      </c>
      <c r="T597" s="19">
        <v>293.33999999999997</v>
      </c>
      <c r="U597" s="19">
        <v>313.52999999999997</v>
      </c>
      <c r="V597" s="19">
        <v>310.24</v>
      </c>
      <c r="W597" s="19">
        <v>305.57</v>
      </c>
      <c r="X597" s="19">
        <v>302.64</v>
      </c>
      <c r="Y597" s="19">
        <v>285.63</v>
      </c>
      <c r="Z597" s="33" t="s">
        <v>32</v>
      </c>
      <c r="AA597" s="25">
        <f>MIN($B$597:$Y$597)</f>
        <v>213.19</v>
      </c>
      <c r="AB597" s="25">
        <f>AVERAGE($B$597:$Y$597)</f>
        <v>271.56625000000003</v>
      </c>
    </row>
    <row r="598" spans="1:34">
      <c r="A598" s="30">
        <v>45893</v>
      </c>
      <c r="B598" s="19">
        <v>289.35000000000002</v>
      </c>
      <c r="C598" s="19">
        <v>291.88</v>
      </c>
      <c r="D598" s="19">
        <v>267.23</v>
      </c>
      <c r="E598" s="19">
        <v>263.67</v>
      </c>
      <c r="F598" s="19">
        <v>257.05</v>
      </c>
      <c r="G598" s="19">
        <v>245.21</v>
      </c>
      <c r="H598" s="19">
        <v>243.3</v>
      </c>
      <c r="I598" s="19">
        <v>213.61</v>
      </c>
      <c r="J598" s="19">
        <v>190.04</v>
      </c>
      <c r="K598" s="19">
        <v>200.58</v>
      </c>
      <c r="L598" s="19">
        <v>171.89</v>
      </c>
      <c r="M598" s="19">
        <v>180.83</v>
      </c>
      <c r="N598" s="19">
        <v>160.09</v>
      </c>
      <c r="O598" s="19">
        <v>202.55</v>
      </c>
      <c r="P598" s="19">
        <v>203.68</v>
      </c>
      <c r="Q598" s="19">
        <v>223.04</v>
      </c>
      <c r="R598" s="19">
        <v>240.74</v>
      </c>
      <c r="S598" s="19">
        <v>253.51</v>
      </c>
      <c r="T598" s="19">
        <v>248.34</v>
      </c>
      <c r="U598" s="19">
        <v>269.37</v>
      </c>
      <c r="V598" s="19">
        <v>269.56</v>
      </c>
      <c r="W598" s="19">
        <v>272.93</v>
      </c>
      <c r="X598" s="19">
        <v>274.16000000000003</v>
      </c>
      <c r="Y598" s="19">
        <v>264.10000000000002</v>
      </c>
      <c r="Z598" s="32" t="s">
        <v>32</v>
      </c>
      <c r="AA598" s="25">
        <f>MIN($B$598:$Y$598)</f>
        <v>160.09</v>
      </c>
      <c r="AB598" s="25">
        <f>AVERAGE($B$598:$Y$598)</f>
        <v>237.36291666666699</v>
      </c>
    </row>
    <row r="599" spans="1:34">
      <c r="A599" s="30">
        <v>45894</v>
      </c>
      <c r="B599" s="19">
        <v>265.31</v>
      </c>
      <c r="C599" s="19">
        <v>253.73</v>
      </c>
      <c r="D599" s="19">
        <v>244.94</v>
      </c>
      <c r="E599" s="19">
        <v>241.32</v>
      </c>
      <c r="F599" s="19">
        <v>231.65</v>
      </c>
      <c r="G599" s="19">
        <v>215.37</v>
      </c>
      <c r="H599" s="19">
        <v>224</v>
      </c>
      <c r="I599" s="19">
        <v>218.42</v>
      </c>
      <c r="J599" s="19">
        <v>239.7</v>
      </c>
      <c r="K599" s="19">
        <v>284.19</v>
      </c>
      <c r="L599" s="19">
        <v>264.66000000000003</v>
      </c>
      <c r="M599" s="19">
        <v>264.94</v>
      </c>
      <c r="N599" s="19">
        <v>240.16</v>
      </c>
      <c r="O599" s="19">
        <v>260.82</v>
      </c>
      <c r="P599" s="19">
        <v>284.89</v>
      </c>
      <c r="Q599" s="19">
        <v>290.36</v>
      </c>
      <c r="R599" s="19">
        <v>339.38</v>
      </c>
      <c r="S599" s="19">
        <v>315.52999999999997</v>
      </c>
      <c r="T599" s="19">
        <v>273.01</v>
      </c>
      <c r="U599" s="19">
        <v>298.08999999999997</v>
      </c>
      <c r="V599" s="19">
        <v>283.35000000000002</v>
      </c>
      <c r="W599" s="19">
        <v>285.61</v>
      </c>
      <c r="X599" s="19">
        <v>278.37</v>
      </c>
      <c r="Y599" s="19">
        <v>266.16000000000003</v>
      </c>
      <c r="Z599" s="33" t="s">
        <v>32</v>
      </c>
      <c r="AA599" s="25">
        <f>MIN($B$599:$Y$599)</f>
        <v>215.37</v>
      </c>
      <c r="AB599" s="25">
        <f>AVERAGE($B$599:$Y$599)</f>
        <v>265.16500000000002</v>
      </c>
    </row>
    <row r="600" spans="1:34">
      <c r="A600" s="30">
        <v>45895</v>
      </c>
      <c r="B600" s="19">
        <v>306.62</v>
      </c>
      <c r="C600" s="19">
        <v>292.20999999999998</v>
      </c>
      <c r="D600" s="19">
        <v>275.47000000000003</v>
      </c>
      <c r="E600" s="19">
        <v>262.17</v>
      </c>
      <c r="F600" s="19">
        <v>255.95</v>
      </c>
      <c r="G600" s="19">
        <v>253.8</v>
      </c>
      <c r="H600" s="19">
        <v>255.81</v>
      </c>
      <c r="I600" s="19">
        <v>248.72</v>
      </c>
      <c r="J600" s="19">
        <v>260.35000000000002</v>
      </c>
      <c r="K600" s="19">
        <v>284.3</v>
      </c>
      <c r="L600" s="19">
        <v>285.69</v>
      </c>
      <c r="M600" s="19">
        <v>285.61</v>
      </c>
      <c r="N600" s="19">
        <v>258.74</v>
      </c>
      <c r="O600" s="19">
        <v>302.69</v>
      </c>
      <c r="P600" s="19">
        <v>315.27</v>
      </c>
      <c r="Q600" s="19">
        <v>318.48</v>
      </c>
      <c r="R600" s="19">
        <v>342.17</v>
      </c>
      <c r="S600" s="19">
        <v>350.34</v>
      </c>
      <c r="T600" s="19">
        <v>320.62</v>
      </c>
      <c r="U600" s="19">
        <v>329.73</v>
      </c>
      <c r="V600" s="19">
        <v>319.66000000000003</v>
      </c>
      <c r="W600" s="19">
        <v>320.55</v>
      </c>
      <c r="X600" s="19">
        <v>312.67</v>
      </c>
      <c r="Y600" s="19">
        <v>280.19</v>
      </c>
      <c r="Z600" s="32" t="s">
        <v>32</v>
      </c>
      <c r="AA600" s="25">
        <f t="shared" ref="AA600:AA610" si="12">MIN(B600:Y600)</f>
        <v>248.72</v>
      </c>
      <c r="AB600" s="25">
        <f t="shared" ref="AB600:AB610" si="13">AVERAGE(B600:Y600)</f>
        <v>293.24208333333303</v>
      </c>
    </row>
    <row r="601" spans="1:34">
      <c r="A601" s="30">
        <v>45896</v>
      </c>
      <c r="B601" s="19">
        <v>284.64999999999998</v>
      </c>
      <c r="C601" s="19">
        <v>274.98</v>
      </c>
      <c r="D601" s="19">
        <v>261.49</v>
      </c>
      <c r="E601" s="19">
        <v>255.76</v>
      </c>
      <c r="F601" s="19">
        <v>246.7</v>
      </c>
      <c r="G601" s="19">
        <v>241.15</v>
      </c>
      <c r="H601" s="19">
        <v>245.37</v>
      </c>
      <c r="I601" s="19">
        <v>230.49</v>
      </c>
      <c r="J601" s="19">
        <v>242.75</v>
      </c>
      <c r="K601" s="19">
        <v>269.27999999999997</v>
      </c>
      <c r="L601" s="19">
        <v>259.60000000000002</v>
      </c>
      <c r="M601" s="19">
        <v>261.75</v>
      </c>
      <c r="N601" s="19">
        <v>227.54</v>
      </c>
      <c r="O601" s="19">
        <v>258.76</v>
      </c>
      <c r="P601" s="19">
        <v>282.45</v>
      </c>
      <c r="Q601" s="19">
        <v>279.2</v>
      </c>
      <c r="R601" s="19">
        <v>306.70999999999998</v>
      </c>
      <c r="S601" s="19">
        <v>310.13</v>
      </c>
      <c r="T601" s="19">
        <v>286.92</v>
      </c>
      <c r="U601" s="19">
        <v>315.56</v>
      </c>
      <c r="V601" s="19">
        <v>311.23</v>
      </c>
      <c r="W601" s="19">
        <v>301.74</v>
      </c>
      <c r="X601" s="19">
        <v>282.23</v>
      </c>
      <c r="Y601" s="19">
        <v>262</v>
      </c>
      <c r="Z601" s="33" t="s">
        <v>32</v>
      </c>
      <c r="AA601" s="25">
        <f t="shared" si="12"/>
        <v>227.54</v>
      </c>
      <c r="AB601" s="25">
        <f t="shared" si="13"/>
        <v>270.76833333333298</v>
      </c>
      <c r="AF601" s="25"/>
      <c r="AG601" s="25"/>
      <c r="AH601" s="25"/>
    </row>
    <row r="602" spans="1:34">
      <c r="A602" s="30">
        <v>45897</v>
      </c>
      <c r="B602" s="19">
        <v>408.87</v>
      </c>
      <c r="C602" s="19">
        <v>306.12</v>
      </c>
      <c r="D602" s="19">
        <v>272.58</v>
      </c>
      <c r="E602" s="19">
        <v>259.89999999999998</v>
      </c>
      <c r="F602" s="19">
        <v>251.74</v>
      </c>
      <c r="G602" s="19">
        <v>245.05</v>
      </c>
      <c r="H602" s="19">
        <v>249.15</v>
      </c>
      <c r="I602" s="19">
        <v>234.11</v>
      </c>
      <c r="J602" s="19">
        <v>252.03</v>
      </c>
      <c r="K602" s="19">
        <v>242.25</v>
      </c>
      <c r="L602" s="19">
        <v>272.36</v>
      </c>
      <c r="M602" s="19">
        <v>271.83999999999997</v>
      </c>
      <c r="N602" s="19">
        <v>232.22</v>
      </c>
      <c r="O602" s="19">
        <v>264.86</v>
      </c>
      <c r="P602" s="19">
        <v>298.29000000000002</v>
      </c>
      <c r="Q602" s="19">
        <v>297.85000000000002</v>
      </c>
      <c r="R602" s="19">
        <v>320.08</v>
      </c>
      <c r="S602" s="19">
        <v>329.98</v>
      </c>
      <c r="T602" s="19">
        <v>283.52</v>
      </c>
      <c r="U602" s="19">
        <v>292.41000000000003</v>
      </c>
      <c r="V602" s="19">
        <v>285.58999999999997</v>
      </c>
      <c r="W602" s="19">
        <v>277.58</v>
      </c>
      <c r="X602" s="19">
        <v>264.42</v>
      </c>
      <c r="Y602" s="19">
        <v>247.05</v>
      </c>
      <c r="Z602" s="34" t="s">
        <v>36</v>
      </c>
      <c r="AA602" s="25">
        <f t="shared" si="12"/>
        <v>232.22</v>
      </c>
      <c r="AB602" s="25">
        <f t="shared" si="13"/>
        <v>277.49374999999998</v>
      </c>
      <c r="AF602" s="25"/>
      <c r="AG602" s="25"/>
      <c r="AH602" s="25"/>
    </row>
    <row r="603" spans="1:34">
      <c r="A603" s="30">
        <v>45898</v>
      </c>
      <c r="B603" s="19">
        <v>262.39999999999998</v>
      </c>
      <c r="C603" s="19">
        <v>248.14</v>
      </c>
      <c r="D603" s="19">
        <v>238.42</v>
      </c>
      <c r="E603" s="19">
        <v>231.07</v>
      </c>
      <c r="F603" s="19">
        <v>221.84</v>
      </c>
      <c r="G603" s="19">
        <v>217.57</v>
      </c>
      <c r="H603" s="19">
        <v>221.65</v>
      </c>
      <c r="I603" s="19">
        <v>211.41</v>
      </c>
      <c r="J603" s="19">
        <v>228.82</v>
      </c>
      <c r="K603" s="19">
        <v>247.96</v>
      </c>
      <c r="L603" s="19">
        <v>264.25</v>
      </c>
      <c r="M603" s="19">
        <v>247.55</v>
      </c>
      <c r="N603" s="19">
        <v>212.8</v>
      </c>
      <c r="O603" s="19">
        <v>249.58</v>
      </c>
      <c r="P603" s="19">
        <v>275.83</v>
      </c>
      <c r="Q603" s="19">
        <v>279.42</v>
      </c>
      <c r="R603" s="19">
        <v>307.22000000000003</v>
      </c>
      <c r="S603" s="19">
        <v>341.48</v>
      </c>
      <c r="T603" s="19">
        <v>292.11</v>
      </c>
      <c r="U603" s="19">
        <v>329.36</v>
      </c>
      <c r="V603" s="19">
        <v>320.92</v>
      </c>
      <c r="W603" s="19">
        <v>302.27</v>
      </c>
      <c r="X603" s="19">
        <v>281.54000000000002</v>
      </c>
      <c r="Y603" s="19">
        <v>260.94</v>
      </c>
      <c r="Z603" s="35" t="s">
        <v>37</v>
      </c>
      <c r="AA603" s="25">
        <f t="shared" si="12"/>
        <v>211.41</v>
      </c>
      <c r="AB603" s="25">
        <f t="shared" si="13"/>
        <v>262.27291666666702</v>
      </c>
      <c r="AF603" s="25"/>
      <c r="AG603" s="25"/>
      <c r="AH603" s="25"/>
    </row>
    <row r="604" spans="1:34">
      <c r="A604" s="30">
        <v>45899</v>
      </c>
      <c r="B604" s="19">
        <v>313.05</v>
      </c>
      <c r="C604" s="19">
        <v>286.87</v>
      </c>
      <c r="D604" s="19">
        <v>263.69</v>
      </c>
      <c r="E604" s="19">
        <v>250.72</v>
      </c>
      <c r="F604" s="19">
        <v>241.61</v>
      </c>
      <c r="G604" s="19">
        <v>238.81</v>
      </c>
      <c r="H604" s="19">
        <v>235.08</v>
      </c>
      <c r="I604" s="19">
        <v>223.08</v>
      </c>
      <c r="J604" s="19">
        <v>229.7</v>
      </c>
      <c r="K604" s="19">
        <v>243.61</v>
      </c>
      <c r="L604" s="19">
        <v>229.97</v>
      </c>
      <c r="M604" s="19">
        <v>219.65</v>
      </c>
      <c r="N604" s="19">
        <v>210.14</v>
      </c>
      <c r="O604" s="19">
        <v>234.26</v>
      </c>
      <c r="P604" s="19">
        <v>258.08999999999997</v>
      </c>
      <c r="Q604" s="19">
        <v>270.83999999999997</v>
      </c>
      <c r="R604" s="19">
        <v>305.67</v>
      </c>
      <c r="S604" s="19">
        <v>325.25</v>
      </c>
      <c r="T604" s="19">
        <v>303.48</v>
      </c>
      <c r="U604" s="19">
        <v>330.97</v>
      </c>
      <c r="V604" s="19">
        <v>316.95999999999998</v>
      </c>
      <c r="W604" s="19">
        <v>315.95999999999998</v>
      </c>
      <c r="X604" s="19">
        <v>310.89999999999998</v>
      </c>
      <c r="Y604" s="19">
        <v>299.04000000000002</v>
      </c>
      <c r="Z604" s="32" t="s">
        <v>32</v>
      </c>
      <c r="AA604" s="25">
        <f t="shared" si="12"/>
        <v>210.14</v>
      </c>
      <c r="AB604" s="25">
        <f t="shared" si="13"/>
        <v>269.058333333333</v>
      </c>
      <c r="AF604" s="25"/>
      <c r="AG604" s="25"/>
      <c r="AH604" s="25"/>
    </row>
    <row r="605" spans="1:34">
      <c r="A605" s="30">
        <v>45900</v>
      </c>
      <c r="B605" s="19">
        <v>398.08</v>
      </c>
      <c r="C605" s="19">
        <v>333.54</v>
      </c>
      <c r="D605" s="19">
        <v>301.01</v>
      </c>
      <c r="E605" s="19">
        <v>282.01</v>
      </c>
      <c r="F605" s="19">
        <v>266.14</v>
      </c>
      <c r="G605" s="19">
        <v>261.02999999999997</v>
      </c>
      <c r="H605" s="19">
        <v>258.74</v>
      </c>
      <c r="I605" s="19">
        <v>241.92</v>
      </c>
      <c r="J605" s="19">
        <v>208.54</v>
      </c>
      <c r="K605" s="19">
        <v>191.03</v>
      </c>
      <c r="L605" s="19">
        <v>186.59</v>
      </c>
      <c r="M605" s="19">
        <v>192.15</v>
      </c>
      <c r="N605" s="19">
        <v>189.7</v>
      </c>
      <c r="O605" s="19">
        <v>203.39</v>
      </c>
      <c r="P605" s="19">
        <v>222.4</v>
      </c>
      <c r="Q605" s="19">
        <v>234.61</v>
      </c>
      <c r="R605" s="19">
        <v>245.34</v>
      </c>
      <c r="S605" s="19">
        <v>263.52</v>
      </c>
      <c r="T605" s="19">
        <v>269.86</v>
      </c>
      <c r="U605" s="19">
        <v>290.73</v>
      </c>
      <c r="V605" s="19">
        <v>292.23</v>
      </c>
      <c r="W605" s="19">
        <v>303.89999999999998</v>
      </c>
      <c r="X605" s="19">
        <v>305.3</v>
      </c>
      <c r="Y605" s="19">
        <v>291.95999999999998</v>
      </c>
      <c r="Z605" s="33" t="s">
        <v>32</v>
      </c>
      <c r="AA605" s="25">
        <f t="shared" si="12"/>
        <v>186.59</v>
      </c>
      <c r="AB605" s="25">
        <f t="shared" si="13"/>
        <v>259.738333333333</v>
      </c>
      <c r="AF605" s="25"/>
      <c r="AG605" s="25"/>
      <c r="AH605" s="25"/>
    </row>
    <row r="606" spans="1:34">
      <c r="A606" s="30">
        <v>45901</v>
      </c>
      <c r="B606" s="19">
        <v>317.70999999999998</v>
      </c>
      <c r="C606" s="19">
        <v>308.92</v>
      </c>
      <c r="D606" s="19">
        <v>299.58</v>
      </c>
      <c r="E606" s="19">
        <v>292.19</v>
      </c>
      <c r="F606" s="19">
        <v>276.33</v>
      </c>
      <c r="G606" s="19">
        <v>270.77</v>
      </c>
      <c r="H606" s="19">
        <v>273.54000000000002</v>
      </c>
      <c r="I606" s="19">
        <v>256.14</v>
      </c>
      <c r="J606" s="19">
        <v>271.20999999999998</v>
      </c>
      <c r="K606" s="19">
        <v>292.73</v>
      </c>
      <c r="L606" s="19">
        <v>264.38</v>
      </c>
      <c r="M606" s="19">
        <v>242.93</v>
      </c>
      <c r="N606" s="19">
        <v>242.65</v>
      </c>
      <c r="O606" s="19">
        <v>273.70999999999998</v>
      </c>
      <c r="P606" s="19">
        <v>311.97000000000003</v>
      </c>
      <c r="Q606" s="19">
        <v>321.83999999999997</v>
      </c>
      <c r="R606" s="19">
        <v>364.61</v>
      </c>
      <c r="S606" s="19">
        <v>385.75</v>
      </c>
      <c r="T606" s="19">
        <v>336.13</v>
      </c>
      <c r="U606" s="19">
        <v>426.45</v>
      </c>
      <c r="V606" s="19">
        <v>350.53</v>
      </c>
      <c r="W606" s="19">
        <v>338.41</v>
      </c>
      <c r="X606" s="19">
        <v>317.79000000000002</v>
      </c>
      <c r="Y606" s="19">
        <v>295.89</v>
      </c>
      <c r="Z606" s="32" t="s">
        <v>32</v>
      </c>
      <c r="AA606" s="25">
        <f t="shared" si="12"/>
        <v>242.65</v>
      </c>
      <c r="AB606" s="25">
        <f t="shared" si="13"/>
        <v>305.506666666667</v>
      </c>
      <c r="AF606" s="25"/>
      <c r="AG606" s="25"/>
      <c r="AH606" s="25"/>
    </row>
    <row r="607" spans="1:34">
      <c r="A607" s="30">
        <v>45902</v>
      </c>
      <c r="B607" s="19">
        <v>343.76</v>
      </c>
      <c r="C607" s="19">
        <v>333.27</v>
      </c>
      <c r="D607" s="19">
        <v>326.64</v>
      </c>
      <c r="E607" s="19">
        <v>312.35000000000002</v>
      </c>
      <c r="F607" s="19">
        <v>295.52999999999997</v>
      </c>
      <c r="G607" s="19">
        <v>293.08</v>
      </c>
      <c r="H607" s="19">
        <v>297.67</v>
      </c>
      <c r="I607" s="19">
        <v>272.39999999999998</v>
      </c>
      <c r="J607" s="19">
        <v>282.07</v>
      </c>
      <c r="K607" s="19">
        <v>284.86</v>
      </c>
      <c r="L607" s="19">
        <v>278.82</v>
      </c>
      <c r="M607" s="19">
        <v>280.52999999999997</v>
      </c>
      <c r="N607" s="19">
        <v>296.98</v>
      </c>
      <c r="O607" s="19">
        <v>307.89999999999998</v>
      </c>
      <c r="P607" s="19">
        <v>335.04</v>
      </c>
      <c r="Q607" s="19">
        <v>324.55</v>
      </c>
      <c r="R607" s="19">
        <v>410.68</v>
      </c>
      <c r="S607" s="19">
        <v>473.53</v>
      </c>
      <c r="T607" s="19">
        <v>380.86</v>
      </c>
      <c r="U607" s="19">
        <v>591.13</v>
      </c>
      <c r="V607" s="19">
        <v>412.97</v>
      </c>
      <c r="W607" s="19">
        <v>433.96</v>
      </c>
      <c r="X607" s="19">
        <v>369.25</v>
      </c>
      <c r="Y607" s="19">
        <v>319</v>
      </c>
      <c r="Z607" s="33" t="s">
        <v>32</v>
      </c>
      <c r="AA607" s="25">
        <f t="shared" si="12"/>
        <v>272.39999999999998</v>
      </c>
      <c r="AB607" s="25">
        <f t="shared" si="13"/>
        <v>344.03458333333299</v>
      </c>
      <c r="AF607" s="25"/>
      <c r="AG607" s="25"/>
      <c r="AH607" s="25"/>
    </row>
    <row r="608" spans="1:34">
      <c r="A608" s="30">
        <v>45903</v>
      </c>
      <c r="B608" s="19">
        <v>410.16</v>
      </c>
      <c r="C608" s="19">
        <v>363.83</v>
      </c>
      <c r="D608" s="19">
        <v>330.89</v>
      </c>
      <c r="E608" s="19">
        <v>325.19</v>
      </c>
      <c r="F608" s="19">
        <v>311.22000000000003</v>
      </c>
      <c r="G608" s="19">
        <v>308.79000000000002</v>
      </c>
      <c r="H608" s="19">
        <v>313.33999999999997</v>
      </c>
      <c r="I608" s="19">
        <v>266.45</v>
      </c>
      <c r="J608" s="19">
        <v>306.95</v>
      </c>
      <c r="K608" s="19">
        <v>336.81</v>
      </c>
      <c r="L608" s="19">
        <v>309.08999999999997</v>
      </c>
      <c r="M608" s="19">
        <v>304.14</v>
      </c>
      <c r="N608" s="19">
        <v>295.94</v>
      </c>
      <c r="O608" s="19">
        <v>353.23</v>
      </c>
      <c r="P608" s="19">
        <v>375.04</v>
      </c>
      <c r="Q608" s="19">
        <v>403.37</v>
      </c>
      <c r="R608" s="19">
        <v>429.38</v>
      </c>
      <c r="S608" s="19">
        <v>405.75</v>
      </c>
      <c r="T608" s="19">
        <v>373.24</v>
      </c>
      <c r="U608" s="19">
        <v>451.03</v>
      </c>
      <c r="V608" s="19">
        <v>428.09</v>
      </c>
      <c r="W608" s="19">
        <v>460.97</v>
      </c>
      <c r="X608" s="19">
        <v>428.35</v>
      </c>
      <c r="Y608" s="19">
        <v>342.44</v>
      </c>
      <c r="Z608" s="32" t="s">
        <v>32</v>
      </c>
      <c r="AA608" s="25">
        <f t="shared" si="12"/>
        <v>266.45</v>
      </c>
      <c r="AB608" s="25">
        <f t="shared" si="13"/>
        <v>359.73708333333298</v>
      </c>
      <c r="AF608" s="25"/>
      <c r="AG608" s="25"/>
      <c r="AH608" s="25"/>
    </row>
    <row r="609" spans="1:34">
      <c r="A609" s="30">
        <v>45904</v>
      </c>
      <c r="B609" s="19">
        <v>339.38</v>
      </c>
      <c r="C609" s="19">
        <v>350.52</v>
      </c>
      <c r="D609" s="19">
        <v>331.59</v>
      </c>
      <c r="E609" s="19">
        <v>322.77999999999997</v>
      </c>
      <c r="F609" s="19">
        <v>310.45999999999998</v>
      </c>
      <c r="G609" s="19">
        <v>309.39999999999998</v>
      </c>
      <c r="H609" s="19">
        <v>313.49</v>
      </c>
      <c r="I609" s="19">
        <v>282.60000000000002</v>
      </c>
      <c r="J609" s="19">
        <v>307.62</v>
      </c>
      <c r="K609" s="19">
        <v>310.85000000000002</v>
      </c>
      <c r="L609" s="19">
        <v>287.58999999999997</v>
      </c>
      <c r="M609" s="19">
        <v>267.02999999999997</v>
      </c>
      <c r="N609" s="19">
        <v>284.64999999999998</v>
      </c>
      <c r="O609" s="19">
        <v>338.59</v>
      </c>
      <c r="P609" s="19">
        <v>353.43</v>
      </c>
      <c r="Q609" s="19">
        <v>388.84</v>
      </c>
      <c r="R609" s="19">
        <v>444.67</v>
      </c>
      <c r="S609" s="19">
        <v>448.21</v>
      </c>
      <c r="T609" s="19">
        <v>400.58</v>
      </c>
      <c r="U609" s="19">
        <v>434.63</v>
      </c>
      <c r="V609" s="19">
        <v>380.62</v>
      </c>
      <c r="W609" s="19">
        <v>361.08</v>
      </c>
      <c r="X609" s="19">
        <v>348.83</v>
      </c>
      <c r="Y609" s="19">
        <v>319.49</v>
      </c>
      <c r="Z609" s="36" t="s">
        <v>36</v>
      </c>
      <c r="AA609" s="25">
        <f t="shared" si="12"/>
        <v>267.02999999999997</v>
      </c>
      <c r="AB609" s="25">
        <f t="shared" si="13"/>
        <v>343.20541666666702</v>
      </c>
      <c r="AF609" s="25"/>
      <c r="AG609" s="25"/>
      <c r="AH609" s="25"/>
    </row>
    <row r="610" spans="1:34">
      <c r="A610" s="30">
        <v>45905</v>
      </c>
      <c r="B610" s="19">
        <v>468.56</v>
      </c>
      <c r="C610" s="19">
        <v>398.92</v>
      </c>
      <c r="D610" s="19">
        <v>369.67</v>
      </c>
      <c r="E610" s="19">
        <v>338.99</v>
      </c>
      <c r="F610" s="19">
        <v>307.64999999999998</v>
      </c>
      <c r="G610" s="19">
        <v>307.5</v>
      </c>
      <c r="H610" s="19">
        <v>316.12</v>
      </c>
      <c r="I610" s="19">
        <v>283.45</v>
      </c>
      <c r="J610" s="19">
        <v>308.52</v>
      </c>
      <c r="K610" s="19">
        <v>324.02999999999997</v>
      </c>
      <c r="L610" s="19">
        <v>310.01</v>
      </c>
      <c r="M610" s="19">
        <v>314.33</v>
      </c>
      <c r="N610" s="19">
        <v>299.87</v>
      </c>
      <c r="O610" s="19">
        <v>363.73</v>
      </c>
      <c r="P610" s="19">
        <v>360.39</v>
      </c>
      <c r="Q610" s="19">
        <v>342.87</v>
      </c>
      <c r="R610" s="19">
        <v>369.37</v>
      </c>
      <c r="S610" s="19">
        <v>376.99</v>
      </c>
      <c r="T610" s="19">
        <v>343.18</v>
      </c>
      <c r="U610" s="19">
        <v>369.07</v>
      </c>
      <c r="V610" s="19">
        <v>371.12</v>
      </c>
      <c r="W610" s="19">
        <v>378.2</v>
      </c>
      <c r="X610" s="19">
        <v>374.65</v>
      </c>
      <c r="Y610" s="19">
        <v>333.41</v>
      </c>
      <c r="Z610" s="36"/>
      <c r="AA610" s="25">
        <f t="shared" si="12"/>
        <v>283.45</v>
      </c>
      <c r="AB610" s="25">
        <f t="shared" si="13"/>
        <v>347.10833333333301</v>
      </c>
      <c r="AF610" s="25"/>
      <c r="AG610" s="25"/>
      <c r="AH610" s="25"/>
    </row>
    <row r="611" spans="1:34">
      <c r="A611" s="30">
        <v>45906</v>
      </c>
      <c r="B611" s="19">
        <v>485.71</v>
      </c>
      <c r="C611" s="19">
        <v>388.38</v>
      </c>
      <c r="D611" s="19">
        <v>368.85</v>
      </c>
      <c r="E611" s="19">
        <v>351.36</v>
      </c>
      <c r="F611" s="19">
        <v>332.97</v>
      </c>
      <c r="G611" s="19">
        <v>328.45</v>
      </c>
      <c r="H611" s="19">
        <v>329.73</v>
      </c>
      <c r="I611" s="19">
        <v>307.63</v>
      </c>
      <c r="J611" s="19">
        <v>285.57</v>
      </c>
      <c r="K611" s="19">
        <v>289.27999999999997</v>
      </c>
      <c r="L611" s="19">
        <v>307.10000000000002</v>
      </c>
      <c r="M611" s="19">
        <v>297.77</v>
      </c>
      <c r="N611" s="19">
        <v>293.12</v>
      </c>
      <c r="O611" s="19">
        <v>337.11</v>
      </c>
      <c r="P611" s="19">
        <v>343.33</v>
      </c>
      <c r="Q611" s="19">
        <v>329.93</v>
      </c>
      <c r="R611" s="19">
        <v>415.14</v>
      </c>
      <c r="S611" s="19">
        <v>482.96</v>
      </c>
      <c r="T611" s="19">
        <v>397.62</v>
      </c>
      <c r="U611" s="19">
        <v>458.85</v>
      </c>
      <c r="V611" s="19">
        <v>418.19</v>
      </c>
      <c r="W611" s="19">
        <v>434.29</v>
      </c>
      <c r="X611" s="19">
        <v>428.01</v>
      </c>
      <c r="Y611" s="19">
        <v>366.49</v>
      </c>
      <c r="Z611" s="37" t="s">
        <v>37</v>
      </c>
      <c r="AA611" s="25">
        <f t="shared" ref="AA611:AA620" si="14">MIN(B611:Y611)</f>
        <v>285.57</v>
      </c>
      <c r="AB611" s="25">
        <f t="shared" ref="AB611:AB620" si="15">AVERAGE(B611:Y611)</f>
        <v>365.743333333333</v>
      </c>
      <c r="AF611" s="25"/>
      <c r="AG611" s="25"/>
      <c r="AH611" s="25"/>
    </row>
    <row r="612" spans="1:34">
      <c r="A612" s="30">
        <v>45907</v>
      </c>
      <c r="B612" s="19">
        <v>496.46</v>
      </c>
      <c r="C612" s="19">
        <v>404.02</v>
      </c>
      <c r="D612" s="19">
        <v>370.63</v>
      </c>
      <c r="E612" s="19">
        <v>350.76</v>
      </c>
      <c r="F612" s="19">
        <v>327.18</v>
      </c>
      <c r="G612" s="19">
        <v>315.27</v>
      </c>
      <c r="H612" s="19">
        <v>308.07</v>
      </c>
      <c r="I612" s="19">
        <v>285.24</v>
      </c>
      <c r="J612" s="19">
        <v>262.18</v>
      </c>
      <c r="K612" s="19">
        <v>216.96</v>
      </c>
      <c r="L612" s="19">
        <v>238.72</v>
      </c>
      <c r="M612" s="19">
        <v>242.76</v>
      </c>
      <c r="N612" s="19">
        <v>239.48</v>
      </c>
      <c r="O612" s="19">
        <v>271.67</v>
      </c>
      <c r="P612" s="19">
        <v>272.60000000000002</v>
      </c>
      <c r="Q612" s="19">
        <v>280</v>
      </c>
      <c r="R612" s="19">
        <v>297.36</v>
      </c>
      <c r="S612" s="19">
        <v>295.75</v>
      </c>
      <c r="T612" s="19">
        <v>311.94</v>
      </c>
      <c r="U612" s="19">
        <v>331.23</v>
      </c>
      <c r="V612" s="19">
        <v>336.94</v>
      </c>
      <c r="W612" s="19">
        <v>349.37</v>
      </c>
      <c r="X612" s="19">
        <v>344.33</v>
      </c>
      <c r="Y612" s="19">
        <v>314.77</v>
      </c>
      <c r="Z612" s="33" t="s">
        <v>32</v>
      </c>
      <c r="AA612" s="25">
        <f t="shared" si="14"/>
        <v>216.96</v>
      </c>
      <c r="AB612" s="25">
        <f t="shared" si="15"/>
        <v>310.98708333333298</v>
      </c>
      <c r="AF612" s="25"/>
      <c r="AG612" s="25"/>
      <c r="AH612" s="25"/>
    </row>
    <row r="613" spans="1:34">
      <c r="A613" s="30">
        <v>45908</v>
      </c>
      <c r="B613" s="19">
        <v>303.05</v>
      </c>
      <c r="C613" s="19">
        <v>289.44</v>
      </c>
      <c r="D613" s="19">
        <v>270.02999999999997</v>
      </c>
      <c r="E613" s="19">
        <v>264.86</v>
      </c>
      <c r="F613" s="19">
        <v>256.54000000000002</v>
      </c>
      <c r="G613" s="19">
        <v>252.06</v>
      </c>
      <c r="H613" s="19">
        <v>255.9</v>
      </c>
      <c r="I613" s="19">
        <v>244.08</v>
      </c>
      <c r="J613" s="19">
        <v>267.64999999999998</v>
      </c>
      <c r="K613" s="19">
        <v>293.75</v>
      </c>
      <c r="L613" s="19">
        <v>300.3</v>
      </c>
      <c r="M613" s="19">
        <v>290.35000000000002</v>
      </c>
      <c r="N613" s="19">
        <v>246.67</v>
      </c>
      <c r="O613" s="19">
        <v>269.26</v>
      </c>
      <c r="P613" s="19">
        <v>307.68</v>
      </c>
      <c r="Q613" s="19">
        <v>276.67</v>
      </c>
      <c r="R613" s="19">
        <v>294.36</v>
      </c>
      <c r="S613" s="19">
        <v>267.25</v>
      </c>
      <c r="T613" s="19">
        <v>289.92</v>
      </c>
      <c r="U613" s="19">
        <v>319.83</v>
      </c>
      <c r="V613" s="19">
        <v>313.81</v>
      </c>
      <c r="W613" s="19">
        <v>303.70999999999998</v>
      </c>
      <c r="X613" s="19">
        <v>287.06</v>
      </c>
      <c r="Y613" s="19">
        <v>270.92</v>
      </c>
      <c r="Z613" s="32" t="s">
        <v>32</v>
      </c>
      <c r="AA613" s="25">
        <f t="shared" si="14"/>
        <v>244.08</v>
      </c>
      <c r="AB613" s="25">
        <f t="shared" si="15"/>
        <v>280.63125000000002</v>
      </c>
      <c r="AF613" s="25"/>
      <c r="AG613" s="25"/>
      <c r="AH613" s="25"/>
    </row>
    <row r="614" spans="1:34">
      <c r="A614" s="30">
        <v>45909</v>
      </c>
      <c r="B614" s="19">
        <v>267.61</v>
      </c>
      <c r="C614" s="19">
        <v>250.61</v>
      </c>
      <c r="D614" s="19">
        <v>246.52</v>
      </c>
      <c r="E614" s="19">
        <v>241.2</v>
      </c>
      <c r="F614" s="19">
        <v>234.54</v>
      </c>
      <c r="G614" s="19">
        <v>233.47</v>
      </c>
      <c r="H614" s="19">
        <v>238.54</v>
      </c>
      <c r="I614" s="19">
        <v>243.77</v>
      </c>
      <c r="J614" s="19">
        <v>274.47000000000003</v>
      </c>
      <c r="K614" s="19">
        <v>297.41000000000003</v>
      </c>
      <c r="L614" s="19">
        <v>274.27</v>
      </c>
      <c r="M614" s="19">
        <v>280</v>
      </c>
      <c r="N614" s="19">
        <v>229.67</v>
      </c>
      <c r="O614" s="19">
        <v>267.66000000000003</v>
      </c>
      <c r="P614" s="19">
        <v>313.60000000000002</v>
      </c>
      <c r="Q614" s="19">
        <v>314.56</v>
      </c>
      <c r="R614" s="19">
        <v>327.48</v>
      </c>
      <c r="S614" s="19">
        <v>353.63</v>
      </c>
      <c r="T614" s="19">
        <v>307.58</v>
      </c>
      <c r="U614" s="19">
        <v>364.42</v>
      </c>
      <c r="V614" s="19">
        <v>337.56</v>
      </c>
      <c r="W614" s="19">
        <v>319.25</v>
      </c>
      <c r="X614" s="19">
        <v>303.64999999999998</v>
      </c>
      <c r="Y614" s="19">
        <v>272.48</v>
      </c>
      <c r="Z614" s="33" t="s">
        <v>32</v>
      </c>
      <c r="AA614" s="25">
        <f t="shared" si="14"/>
        <v>229.67</v>
      </c>
      <c r="AB614" s="25">
        <f t="shared" si="15"/>
        <v>283.08125000000001</v>
      </c>
      <c r="AF614" s="25"/>
      <c r="AG614" s="25"/>
      <c r="AH614" s="25"/>
    </row>
    <row r="615" spans="1:34">
      <c r="A615" s="30">
        <v>45910</v>
      </c>
      <c r="B615" s="19">
        <v>277.47000000000003</v>
      </c>
      <c r="C615" s="19">
        <v>268.74</v>
      </c>
      <c r="D615" s="19">
        <v>263.75</v>
      </c>
      <c r="E615" s="19">
        <v>262.36</v>
      </c>
      <c r="F615" s="19">
        <v>252.06</v>
      </c>
      <c r="G615" s="19">
        <v>250.39</v>
      </c>
      <c r="H615" s="19">
        <v>252.21</v>
      </c>
      <c r="I615" s="19">
        <v>247.87</v>
      </c>
      <c r="J615" s="19">
        <v>267.82</v>
      </c>
      <c r="K615" s="19">
        <v>295.20999999999998</v>
      </c>
      <c r="L615" s="19">
        <v>280.18</v>
      </c>
      <c r="M615" s="19">
        <v>286.36</v>
      </c>
      <c r="N615" s="19">
        <v>234.22</v>
      </c>
      <c r="O615" s="19">
        <v>286.26</v>
      </c>
      <c r="P615" s="19">
        <v>321.95999999999998</v>
      </c>
      <c r="Q615" s="19">
        <v>323.02</v>
      </c>
      <c r="R615" s="19">
        <v>370.29</v>
      </c>
      <c r="S615" s="19">
        <v>382.56</v>
      </c>
      <c r="T615" s="19">
        <v>309.67</v>
      </c>
      <c r="U615" s="19">
        <v>349.11</v>
      </c>
      <c r="V615" s="19">
        <v>335.3</v>
      </c>
      <c r="W615" s="19">
        <v>316.51</v>
      </c>
      <c r="X615" s="19">
        <v>298.35000000000002</v>
      </c>
      <c r="Y615" s="19">
        <v>268.57</v>
      </c>
      <c r="Z615" s="32" t="s">
        <v>32</v>
      </c>
      <c r="AA615" s="25">
        <f t="shared" si="14"/>
        <v>234.22</v>
      </c>
      <c r="AB615" s="25">
        <f t="shared" si="15"/>
        <v>291.67666666666702</v>
      </c>
      <c r="AF615" s="25"/>
      <c r="AG615" s="25"/>
      <c r="AH615" s="25"/>
    </row>
    <row r="616" spans="1:34">
      <c r="A616" s="30">
        <v>45911</v>
      </c>
      <c r="B616" s="19">
        <v>329.74</v>
      </c>
      <c r="C616" s="19">
        <v>295.79000000000002</v>
      </c>
      <c r="D616" s="19">
        <v>278.66000000000003</v>
      </c>
      <c r="E616" s="19">
        <v>273.27</v>
      </c>
      <c r="F616" s="19">
        <v>262.81</v>
      </c>
      <c r="G616" s="19">
        <v>261.68</v>
      </c>
      <c r="H616" s="19">
        <v>265.25</v>
      </c>
      <c r="I616" s="19">
        <v>259.83999999999997</v>
      </c>
      <c r="J616" s="19">
        <v>275.74</v>
      </c>
      <c r="K616" s="19">
        <v>311.73</v>
      </c>
      <c r="L616" s="19">
        <v>253.72</v>
      </c>
      <c r="M616" s="19">
        <v>272.45</v>
      </c>
      <c r="N616" s="19">
        <v>236.76</v>
      </c>
      <c r="O616" s="19">
        <v>280.91000000000003</v>
      </c>
      <c r="P616" s="19">
        <v>311.68</v>
      </c>
      <c r="Q616" s="19">
        <v>308.43</v>
      </c>
      <c r="R616" s="19">
        <v>379.08</v>
      </c>
      <c r="S616" s="19">
        <v>394.74</v>
      </c>
      <c r="T616" s="19">
        <v>330.43</v>
      </c>
      <c r="U616" s="19">
        <v>376.11</v>
      </c>
      <c r="V616" s="19">
        <v>361.42</v>
      </c>
      <c r="W616" s="19">
        <v>353.4</v>
      </c>
      <c r="X616" s="19">
        <v>330.51</v>
      </c>
      <c r="Y616" s="19">
        <v>298.93</v>
      </c>
      <c r="Z616" s="33" t="s">
        <v>32</v>
      </c>
      <c r="AA616" s="25">
        <f t="shared" si="14"/>
        <v>236.76</v>
      </c>
      <c r="AB616" s="25">
        <f t="shared" si="15"/>
        <v>304.29500000000002</v>
      </c>
      <c r="AF616" s="25"/>
      <c r="AG616" s="25"/>
      <c r="AH616" s="25"/>
    </row>
    <row r="617" spans="1:34">
      <c r="A617" s="30">
        <v>45912</v>
      </c>
      <c r="B617" s="19">
        <v>311.48</v>
      </c>
      <c r="C617" s="19">
        <v>287.58</v>
      </c>
      <c r="D617" s="19">
        <v>268.64999999999998</v>
      </c>
      <c r="E617" s="19">
        <v>259.26</v>
      </c>
      <c r="F617" s="19">
        <v>252.78</v>
      </c>
      <c r="G617" s="19">
        <v>250.32</v>
      </c>
      <c r="H617" s="19">
        <v>255.29</v>
      </c>
      <c r="I617" s="19">
        <v>245.09</v>
      </c>
      <c r="J617" s="19">
        <v>255.74</v>
      </c>
      <c r="K617" s="19">
        <v>278.95</v>
      </c>
      <c r="L617" s="19">
        <v>269.67</v>
      </c>
      <c r="M617" s="19">
        <v>290.64</v>
      </c>
      <c r="N617" s="19">
        <v>243.41</v>
      </c>
      <c r="O617" s="19">
        <v>287.12</v>
      </c>
      <c r="P617" s="19">
        <v>301.63</v>
      </c>
      <c r="Q617" s="19">
        <v>316.48</v>
      </c>
      <c r="R617" s="19">
        <v>362.89</v>
      </c>
      <c r="S617" s="19">
        <v>381.69</v>
      </c>
      <c r="T617" s="19">
        <v>357.85</v>
      </c>
      <c r="U617" s="19">
        <v>383.57</v>
      </c>
      <c r="V617" s="19">
        <v>372.83</v>
      </c>
      <c r="W617" s="19">
        <v>354.29</v>
      </c>
      <c r="X617" s="19">
        <v>323.57</v>
      </c>
      <c r="Y617" s="19">
        <v>291.41000000000003</v>
      </c>
      <c r="Z617" s="34" t="s">
        <v>36</v>
      </c>
      <c r="AA617" s="25">
        <f t="shared" si="14"/>
        <v>243.41</v>
      </c>
      <c r="AB617" s="25">
        <f t="shared" si="15"/>
        <v>300.09125</v>
      </c>
      <c r="AF617" s="25"/>
      <c r="AG617" s="25"/>
      <c r="AH617" s="25"/>
    </row>
    <row r="618" spans="1:34">
      <c r="A618" s="30">
        <v>45913</v>
      </c>
      <c r="B618" s="19">
        <v>336.74</v>
      </c>
      <c r="C618" s="19">
        <v>324.77</v>
      </c>
      <c r="D618" s="19">
        <v>303.01</v>
      </c>
      <c r="E618" s="19">
        <v>289.37</v>
      </c>
      <c r="F618" s="19">
        <v>279.3</v>
      </c>
      <c r="G618" s="19">
        <v>275.11</v>
      </c>
      <c r="H618" s="19">
        <v>279.92</v>
      </c>
      <c r="I618" s="19">
        <v>269.29000000000002</v>
      </c>
      <c r="J618" s="19">
        <v>282.33</v>
      </c>
      <c r="K618" s="19">
        <v>289.89999999999998</v>
      </c>
      <c r="L618" s="19">
        <v>270.95</v>
      </c>
      <c r="M618" s="19">
        <v>270.27</v>
      </c>
      <c r="N618" s="19">
        <v>243.03</v>
      </c>
      <c r="O618" s="19">
        <v>281.48</v>
      </c>
      <c r="P618" s="19">
        <v>327.19</v>
      </c>
      <c r="Q618" s="19">
        <v>355.95</v>
      </c>
      <c r="R618" s="19">
        <v>416.08</v>
      </c>
      <c r="S618" s="19">
        <v>469.28</v>
      </c>
      <c r="T618" s="19">
        <v>383.52</v>
      </c>
      <c r="U618" s="19">
        <v>453.84</v>
      </c>
      <c r="V618" s="19">
        <v>379.89</v>
      </c>
      <c r="W618" s="19">
        <v>367.8</v>
      </c>
      <c r="X618" s="19">
        <v>346.39</v>
      </c>
      <c r="Y618" s="19">
        <v>305.89999999999998</v>
      </c>
      <c r="Z618" s="35" t="s">
        <v>37</v>
      </c>
      <c r="AA618" s="25">
        <f t="shared" si="14"/>
        <v>243.03</v>
      </c>
      <c r="AB618" s="25">
        <f t="shared" si="15"/>
        <v>325.05458333333303</v>
      </c>
      <c r="AF618" s="25"/>
      <c r="AG618" s="25"/>
      <c r="AH618" s="25"/>
    </row>
    <row r="619" spans="1:34">
      <c r="A619" s="30">
        <v>45914</v>
      </c>
      <c r="B619" s="19">
        <v>387.31</v>
      </c>
      <c r="C619" s="19">
        <v>380.16</v>
      </c>
      <c r="D619" s="19">
        <v>302.3</v>
      </c>
      <c r="E619" s="19">
        <v>284.82</v>
      </c>
      <c r="F619" s="19">
        <v>271.37</v>
      </c>
      <c r="G619" s="19">
        <v>263.38</v>
      </c>
      <c r="H619" s="19">
        <v>263.02</v>
      </c>
      <c r="I619" s="19">
        <v>246.48</v>
      </c>
      <c r="J619" s="19">
        <v>220.59</v>
      </c>
      <c r="K619" s="19">
        <v>204.04</v>
      </c>
      <c r="L619" s="19">
        <v>204.29</v>
      </c>
      <c r="M619" s="19">
        <v>215.38</v>
      </c>
      <c r="N619" s="19">
        <v>210.88</v>
      </c>
      <c r="O619" s="19">
        <v>232.1</v>
      </c>
      <c r="P619" s="19">
        <v>226.96</v>
      </c>
      <c r="Q619" s="19">
        <v>233.03</v>
      </c>
      <c r="R619" s="19">
        <v>255.51</v>
      </c>
      <c r="S619" s="19">
        <v>318.14</v>
      </c>
      <c r="T619" s="19">
        <v>295</v>
      </c>
      <c r="U619" s="19">
        <v>325.64999999999998</v>
      </c>
      <c r="V619" s="19">
        <v>319.22000000000003</v>
      </c>
      <c r="W619" s="19">
        <v>343.06</v>
      </c>
      <c r="X619" s="19">
        <v>320.19</v>
      </c>
      <c r="Y619" s="19">
        <v>285.64</v>
      </c>
      <c r="Z619" s="32" t="s">
        <v>32</v>
      </c>
      <c r="AA619" s="25">
        <f t="shared" si="14"/>
        <v>204.04</v>
      </c>
      <c r="AB619" s="25">
        <f t="shared" si="15"/>
        <v>275.35500000000002</v>
      </c>
      <c r="AF619" s="25"/>
      <c r="AG619" s="25"/>
      <c r="AH619" s="25"/>
    </row>
    <row r="620" spans="1:34">
      <c r="A620" s="30">
        <v>45915</v>
      </c>
      <c r="B620" s="19">
        <v>329.18</v>
      </c>
      <c r="C620" s="19">
        <v>321.3</v>
      </c>
      <c r="D620" s="19">
        <v>298.61</v>
      </c>
      <c r="E620" s="19">
        <v>281.95</v>
      </c>
      <c r="F620" s="19">
        <v>273.22000000000003</v>
      </c>
      <c r="G620" s="19">
        <v>267.27</v>
      </c>
      <c r="H620" s="19">
        <v>275.73</v>
      </c>
      <c r="I620" s="19">
        <v>256.62</v>
      </c>
      <c r="J620" s="19">
        <v>290.52999999999997</v>
      </c>
      <c r="K620" s="19">
        <v>308.07</v>
      </c>
      <c r="L620" s="19">
        <v>282.70999999999998</v>
      </c>
      <c r="M620" s="19">
        <v>275.29000000000002</v>
      </c>
      <c r="N620" s="19">
        <v>258.29000000000002</v>
      </c>
      <c r="O620" s="19">
        <v>337.37</v>
      </c>
      <c r="P620" s="19">
        <v>390.69</v>
      </c>
      <c r="Q620" s="19">
        <v>371.92</v>
      </c>
      <c r="R620" s="19">
        <v>475.92</v>
      </c>
      <c r="S620" s="19">
        <v>443.21</v>
      </c>
      <c r="T620" s="19">
        <v>368.68</v>
      </c>
      <c r="U620" s="19">
        <v>468.11</v>
      </c>
      <c r="V620" s="19">
        <v>372.05</v>
      </c>
      <c r="W620" s="19">
        <v>365.11</v>
      </c>
      <c r="X620" s="19">
        <v>332.44</v>
      </c>
      <c r="Y620" s="19">
        <v>289.2</v>
      </c>
      <c r="Z620" s="32"/>
      <c r="AA620" s="25">
        <f t="shared" si="14"/>
        <v>256.62</v>
      </c>
      <c r="AB620" s="25">
        <f t="shared" si="15"/>
        <v>330.56124999999997</v>
      </c>
      <c r="AF620" s="25"/>
      <c r="AG620" s="25"/>
      <c r="AH620" s="25"/>
    </row>
    <row r="621" spans="1:34">
      <c r="A621" s="30">
        <v>45916</v>
      </c>
      <c r="B621" s="19">
        <v>317.56</v>
      </c>
      <c r="C621" s="19">
        <v>309.14</v>
      </c>
      <c r="D621" s="19">
        <v>299.58999999999997</v>
      </c>
      <c r="E621" s="19">
        <v>293.66000000000003</v>
      </c>
      <c r="F621" s="19">
        <v>282.04000000000002</v>
      </c>
      <c r="G621" s="19">
        <v>278.31</v>
      </c>
      <c r="H621" s="19">
        <v>282.26</v>
      </c>
      <c r="I621" s="19">
        <v>265.16000000000003</v>
      </c>
      <c r="J621" s="19">
        <v>280.19</v>
      </c>
      <c r="K621" s="19">
        <v>318.07</v>
      </c>
      <c r="L621" s="19">
        <v>287.99</v>
      </c>
      <c r="M621" s="19">
        <v>287.07</v>
      </c>
      <c r="N621" s="19">
        <v>290.77999999999997</v>
      </c>
      <c r="O621" s="19">
        <v>312.27</v>
      </c>
      <c r="P621" s="19">
        <v>312.94</v>
      </c>
      <c r="Q621" s="19">
        <v>333.09</v>
      </c>
      <c r="R621" s="19">
        <v>398.3</v>
      </c>
      <c r="S621" s="19">
        <v>466.18</v>
      </c>
      <c r="T621" s="19">
        <v>350.4</v>
      </c>
      <c r="U621" s="19">
        <v>443.9</v>
      </c>
      <c r="V621" s="19">
        <v>363.41</v>
      </c>
      <c r="W621" s="19">
        <v>328.81</v>
      </c>
      <c r="X621" s="19">
        <v>316.58999999999997</v>
      </c>
      <c r="Y621" s="19">
        <v>295.36</v>
      </c>
      <c r="Z621" s="33" t="s">
        <v>32</v>
      </c>
      <c r="AA621" s="25">
        <f t="shared" ref="AA621:AA635" si="16">MIN(B621:Y621)</f>
        <v>265.16000000000003</v>
      </c>
      <c r="AB621" s="25">
        <f t="shared" ref="AB621:AB635" si="17">AVERAGE(B621:Y621)</f>
        <v>321.37791666666698</v>
      </c>
      <c r="AF621" s="25"/>
      <c r="AG621" s="25"/>
      <c r="AH621" s="25"/>
    </row>
    <row r="622" spans="1:34">
      <c r="A622" s="30">
        <v>45917</v>
      </c>
      <c r="B622" s="19">
        <v>322.83999999999997</v>
      </c>
      <c r="C622" s="19">
        <v>318.79000000000002</v>
      </c>
      <c r="D622" s="19">
        <v>302.27</v>
      </c>
      <c r="E622" s="19">
        <v>288.3</v>
      </c>
      <c r="F622" s="19">
        <v>278</v>
      </c>
      <c r="G622" s="19">
        <v>276.83999999999997</v>
      </c>
      <c r="H622" s="19">
        <v>286.52999999999997</v>
      </c>
      <c r="I622" s="19">
        <v>272.89999999999998</v>
      </c>
      <c r="J622" s="19">
        <v>295.10000000000002</v>
      </c>
      <c r="K622" s="19">
        <v>311.02</v>
      </c>
      <c r="L622" s="19">
        <v>304.25</v>
      </c>
      <c r="M622" s="19">
        <v>291.54000000000002</v>
      </c>
      <c r="N622" s="19">
        <v>273.64999999999998</v>
      </c>
      <c r="O622" s="19">
        <v>344.81</v>
      </c>
      <c r="P622" s="19">
        <v>346.74</v>
      </c>
      <c r="Q622" s="19">
        <v>334.36</v>
      </c>
      <c r="R622" s="19">
        <v>450.97</v>
      </c>
      <c r="S622" s="19">
        <v>524.86</v>
      </c>
      <c r="T622" s="19">
        <v>382.91</v>
      </c>
      <c r="U622" s="19">
        <v>572.09</v>
      </c>
      <c r="V622" s="19">
        <v>397.67</v>
      </c>
      <c r="W622" s="19">
        <v>374.98</v>
      </c>
      <c r="X622" s="19">
        <v>356.67</v>
      </c>
      <c r="Y622" s="19">
        <v>313.32</v>
      </c>
      <c r="Z622" s="32" t="s">
        <v>32</v>
      </c>
      <c r="AA622" s="25">
        <f t="shared" si="16"/>
        <v>272.89999999999998</v>
      </c>
      <c r="AB622" s="25">
        <f t="shared" si="17"/>
        <v>342.55874999999997</v>
      </c>
      <c r="AF622" s="25"/>
      <c r="AG622" s="25"/>
      <c r="AH622" s="25"/>
    </row>
    <row r="623" spans="1:34">
      <c r="A623" s="30">
        <v>45918</v>
      </c>
      <c r="B623" s="19">
        <v>333.04</v>
      </c>
      <c r="C623" s="19">
        <v>318.18</v>
      </c>
      <c r="D623" s="19">
        <v>303.33</v>
      </c>
      <c r="E623" s="19">
        <v>291.89</v>
      </c>
      <c r="F623" s="19">
        <v>281.08999999999997</v>
      </c>
      <c r="G623" s="19">
        <v>277.45999999999998</v>
      </c>
      <c r="H623" s="19">
        <v>260.98</v>
      </c>
      <c r="I623" s="19">
        <v>251.59</v>
      </c>
      <c r="J623" s="19">
        <v>295.24</v>
      </c>
      <c r="K623" s="19">
        <v>331.59</v>
      </c>
      <c r="L623" s="19">
        <v>309.20999999999998</v>
      </c>
      <c r="M623" s="19">
        <v>304.07</v>
      </c>
      <c r="N623" s="19">
        <v>265.02999999999997</v>
      </c>
      <c r="O623" s="19">
        <v>309.82</v>
      </c>
      <c r="P623" s="19">
        <v>366.6</v>
      </c>
      <c r="Q623" s="19">
        <v>375.1</v>
      </c>
      <c r="R623" s="19">
        <v>409.46</v>
      </c>
      <c r="S623" s="19">
        <v>414.85</v>
      </c>
      <c r="T623" s="19">
        <v>302.41000000000003</v>
      </c>
      <c r="U623" s="19">
        <v>420.85</v>
      </c>
      <c r="V623" s="19">
        <v>388.46</v>
      </c>
      <c r="W623" s="19">
        <v>363.76</v>
      </c>
      <c r="X623" s="19">
        <v>325.08</v>
      </c>
      <c r="Y623" s="19">
        <v>300.95</v>
      </c>
      <c r="Z623" s="33" t="s">
        <v>32</v>
      </c>
      <c r="AA623" s="25">
        <f t="shared" si="16"/>
        <v>251.59</v>
      </c>
      <c r="AB623" s="25">
        <f t="shared" si="17"/>
        <v>325.00166666666701</v>
      </c>
      <c r="AF623" s="25"/>
      <c r="AG623" s="25"/>
      <c r="AH623" s="25"/>
    </row>
    <row r="624" spans="1:34">
      <c r="A624" s="30">
        <v>45919</v>
      </c>
      <c r="B624" s="19">
        <v>293.89</v>
      </c>
      <c r="C624" s="19">
        <v>291.18</v>
      </c>
      <c r="D624" s="19">
        <v>277.92</v>
      </c>
      <c r="E624" s="19">
        <v>266.33</v>
      </c>
      <c r="F624" s="19">
        <v>255.63</v>
      </c>
      <c r="G624" s="19">
        <v>251.97</v>
      </c>
      <c r="H624" s="19">
        <v>266.38</v>
      </c>
      <c r="I624" s="19">
        <v>244</v>
      </c>
      <c r="J624" s="19">
        <v>261.83999999999997</v>
      </c>
      <c r="K624" s="19">
        <v>310.95</v>
      </c>
      <c r="L624" s="19">
        <v>311.41000000000003</v>
      </c>
      <c r="M624" s="19">
        <v>325.27</v>
      </c>
      <c r="N624" s="19">
        <v>256.91000000000003</v>
      </c>
      <c r="O624" s="19">
        <v>306.82</v>
      </c>
      <c r="P624" s="19">
        <v>372.21</v>
      </c>
      <c r="Q624" s="19">
        <v>366.31</v>
      </c>
      <c r="R624" s="19">
        <v>375.72</v>
      </c>
      <c r="S624" s="19">
        <v>343.58</v>
      </c>
      <c r="T624" s="19">
        <v>302.20999999999998</v>
      </c>
      <c r="U624" s="19">
        <v>315.33999999999997</v>
      </c>
      <c r="V624" s="19">
        <v>303.91000000000003</v>
      </c>
      <c r="W624" s="19">
        <v>296.77999999999997</v>
      </c>
      <c r="X624" s="19">
        <v>279.93</v>
      </c>
      <c r="Y624" s="19">
        <v>262.95</v>
      </c>
      <c r="Z624" s="32" t="s">
        <v>32</v>
      </c>
      <c r="AA624" s="25">
        <f t="shared" si="16"/>
        <v>244</v>
      </c>
      <c r="AB624" s="25">
        <f t="shared" si="17"/>
        <v>297.47666666666697</v>
      </c>
      <c r="AF624" s="25"/>
      <c r="AG624" s="25"/>
      <c r="AH624" s="25"/>
    </row>
    <row r="625" spans="1:34">
      <c r="A625" s="30">
        <v>45920</v>
      </c>
      <c r="B625" s="19">
        <v>295.86</v>
      </c>
      <c r="C625" s="19">
        <v>280.27999999999997</v>
      </c>
      <c r="D625" s="19">
        <v>263.10000000000002</v>
      </c>
      <c r="E625" s="19">
        <v>251.09</v>
      </c>
      <c r="F625" s="19">
        <v>243.52</v>
      </c>
      <c r="G625" s="19">
        <v>241.61</v>
      </c>
      <c r="H625" s="19">
        <v>242.82</v>
      </c>
      <c r="I625" s="19">
        <v>223.75</v>
      </c>
      <c r="J625" s="19">
        <v>243.38</v>
      </c>
      <c r="K625" s="19">
        <v>261.61</v>
      </c>
      <c r="L625" s="19">
        <v>262.41000000000003</v>
      </c>
      <c r="M625" s="19">
        <v>266.7</v>
      </c>
      <c r="N625" s="19">
        <v>237.83</v>
      </c>
      <c r="O625" s="19">
        <v>265.07</v>
      </c>
      <c r="P625" s="19">
        <v>266.02</v>
      </c>
      <c r="Q625" s="19">
        <v>296.06</v>
      </c>
      <c r="R625" s="19">
        <v>299.33</v>
      </c>
      <c r="S625" s="19">
        <v>270.08999999999997</v>
      </c>
      <c r="T625" s="19">
        <v>278.58</v>
      </c>
      <c r="U625" s="19">
        <v>292.68</v>
      </c>
      <c r="V625" s="19">
        <v>281.33</v>
      </c>
      <c r="W625" s="19">
        <v>267.60000000000002</v>
      </c>
      <c r="X625" s="19">
        <v>256.52999999999997</v>
      </c>
      <c r="Y625" s="19">
        <v>235.36</v>
      </c>
      <c r="Z625" s="36" t="s">
        <v>36</v>
      </c>
      <c r="AA625" s="25">
        <f t="shared" si="16"/>
        <v>223.75</v>
      </c>
      <c r="AB625" s="25">
        <f t="shared" si="17"/>
        <v>263.44208333333302</v>
      </c>
      <c r="AF625" s="25"/>
      <c r="AG625" s="25"/>
      <c r="AH625" s="25"/>
    </row>
    <row r="626" spans="1:34">
      <c r="A626" s="30">
        <v>45921</v>
      </c>
      <c r="B626" s="19">
        <v>248.99</v>
      </c>
      <c r="C626" s="19">
        <v>252.32</v>
      </c>
      <c r="D626" s="19">
        <v>241.45</v>
      </c>
      <c r="E626" s="19">
        <v>226.55</v>
      </c>
      <c r="F626" s="19">
        <v>216.22</v>
      </c>
      <c r="G626" s="19">
        <v>214.03</v>
      </c>
      <c r="H626" s="19">
        <v>217.04</v>
      </c>
      <c r="I626" s="19">
        <v>209.03</v>
      </c>
      <c r="J626" s="19">
        <v>213.29</v>
      </c>
      <c r="K626" s="19">
        <v>224.54</v>
      </c>
      <c r="L626" s="19">
        <v>232</v>
      </c>
      <c r="M626" s="19">
        <v>230.44</v>
      </c>
      <c r="N626" s="19">
        <v>203.75</v>
      </c>
      <c r="O626" s="19">
        <v>231.96</v>
      </c>
      <c r="P626" s="19">
        <v>241.33</v>
      </c>
      <c r="Q626" s="19">
        <v>239.05</v>
      </c>
      <c r="R626" s="19">
        <v>246.08</v>
      </c>
      <c r="S626" s="19">
        <v>260.83999999999997</v>
      </c>
      <c r="T626" s="19">
        <v>268.93</v>
      </c>
      <c r="U626" s="19">
        <v>261.29000000000002</v>
      </c>
      <c r="V626" s="19">
        <v>261.3</v>
      </c>
      <c r="W626" s="19">
        <v>270.83999999999997</v>
      </c>
      <c r="X626" s="19">
        <v>252.68</v>
      </c>
      <c r="Y626" s="19">
        <v>228.12</v>
      </c>
      <c r="Z626" s="37" t="s">
        <v>37</v>
      </c>
      <c r="AA626" s="25">
        <f t="shared" si="16"/>
        <v>203.75</v>
      </c>
      <c r="AB626" s="25">
        <f t="shared" si="17"/>
        <v>237.16958333333301</v>
      </c>
      <c r="AF626" s="25"/>
      <c r="AG626" s="25"/>
      <c r="AH626" s="25"/>
    </row>
    <row r="627" spans="1:34">
      <c r="A627" s="30">
        <v>45922</v>
      </c>
      <c r="B627" s="19">
        <v>239.05</v>
      </c>
      <c r="C627" s="19">
        <v>228.43</v>
      </c>
      <c r="D627" s="19">
        <v>218.33</v>
      </c>
      <c r="E627" s="19">
        <v>215.47</v>
      </c>
      <c r="F627" s="19">
        <v>206.22</v>
      </c>
      <c r="G627" s="19">
        <v>205.22</v>
      </c>
      <c r="H627" s="19">
        <v>216.52</v>
      </c>
      <c r="I627" s="19">
        <v>205.02</v>
      </c>
      <c r="J627" s="19">
        <v>245.58</v>
      </c>
      <c r="K627" s="19">
        <v>278.10000000000002</v>
      </c>
      <c r="L627" s="19">
        <v>260.75</v>
      </c>
      <c r="M627" s="19">
        <v>254.47</v>
      </c>
      <c r="N627" s="19">
        <v>232.38</v>
      </c>
      <c r="O627" s="19">
        <v>265.45</v>
      </c>
      <c r="P627" s="19">
        <v>288.93</v>
      </c>
      <c r="Q627" s="19">
        <v>309.17</v>
      </c>
      <c r="R627" s="19">
        <v>333.99</v>
      </c>
      <c r="S627" s="19">
        <v>332.58</v>
      </c>
      <c r="T627" s="19">
        <v>308.08999999999997</v>
      </c>
      <c r="U627" s="19">
        <v>329.68</v>
      </c>
      <c r="V627" s="19">
        <v>296.58</v>
      </c>
      <c r="W627" s="19">
        <v>303.08999999999997</v>
      </c>
      <c r="X627" s="19">
        <v>295.81</v>
      </c>
      <c r="Y627" s="19">
        <v>259.36</v>
      </c>
      <c r="Z627" s="33" t="s">
        <v>32</v>
      </c>
      <c r="AA627" s="25">
        <f t="shared" si="16"/>
        <v>205.02</v>
      </c>
      <c r="AB627" s="25">
        <f t="shared" si="17"/>
        <v>263.67791666666699</v>
      </c>
      <c r="AF627" s="25"/>
      <c r="AG627" s="25"/>
      <c r="AH627" s="25"/>
    </row>
    <row r="628" spans="1:34">
      <c r="A628" s="30">
        <v>45923</v>
      </c>
      <c r="B628" s="19">
        <v>290.49</v>
      </c>
      <c r="C628" s="19">
        <v>272.51</v>
      </c>
      <c r="D628" s="19">
        <v>259.37</v>
      </c>
      <c r="E628" s="19">
        <v>241.51</v>
      </c>
      <c r="F628" s="19">
        <v>225.89</v>
      </c>
      <c r="G628" s="19">
        <v>211.75</v>
      </c>
      <c r="H628" s="19">
        <v>233.97</v>
      </c>
      <c r="I628" s="19">
        <v>209.88</v>
      </c>
      <c r="J628" s="19">
        <v>256.74</v>
      </c>
      <c r="K628" s="19">
        <v>289.42</v>
      </c>
      <c r="L628" s="19">
        <v>277.86</v>
      </c>
      <c r="M628" s="19">
        <v>299.43</v>
      </c>
      <c r="N628" s="19">
        <v>281.45999999999998</v>
      </c>
      <c r="O628" s="19">
        <v>322.08999999999997</v>
      </c>
      <c r="P628" s="19">
        <v>333.95</v>
      </c>
      <c r="Q628" s="19">
        <v>347.57</v>
      </c>
      <c r="R628" s="19">
        <v>388.99</v>
      </c>
      <c r="S628" s="19">
        <v>392.14</v>
      </c>
      <c r="T628" s="19">
        <v>295.75</v>
      </c>
      <c r="U628" s="19">
        <v>431.74</v>
      </c>
      <c r="V628" s="19">
        <v>418.95</v>
      </c>
      <c r="W628" s="19">
        <v>355.84</v>
      </c>
      <c r="X628" s="19">
        <v>285.06</v>
      </c>
      <c r="Y628" s="19">
        <v>256.62</v>
      </c>
      <c r="Z628" s="32" t="s">
        <v>32</v>
      </c>
      <c r="AA628" s="25">
        <f t="shared" si="16"/>
        <v>209.88</v>
      </c>
      <c r="AB628" s="25">
        <f t="shared" si="17"/>
        <v>299.12416666666701</v>
      </c>
      <c r="AF628" s="25"/>
      <c r="AG628" s="25"/>
      <c r="AH628" s="25"/>
    </row>
    <row r="629" spans="1:34">
      <c r="A629" s="30">
        <v>45924</v>
      </c>
      <c r="B629" s="19">
        <v>98.9</v>
      </c>
      <c r="C629" s="19">
        <v>31.56</v>
      </c>
      <c r="D629" s="19">
        <v>21.73</v>
      </c>
      <c r="E629" s="19">
        <v>23.26</v>
      </c>
      <c r="F629" s="19">
        <v>7.66</v>
      </c>
      <c r="G629" s="19">
        <v>-7.8</v>
      </c>
      <c r="H629" s="19">
        <v>-13.23</v>
      </c>
      <c r="I629" s="19">
        <v>-29.9</v>
      </c>
      <c r="J629" s="19">
        <v>-39</v>
      </c>
      <c r="K629" s="19">
        <v>-41.79</v>
      </c>
      <c r="L629" s="19">
        <v>-55.49</v>
      </c>
      <c r="M629" s="19">
        <v>-63.6</v>
      </c>
      <c r="N629" s="19">
        <v>-47.24</v>
      </c>
      <c r="O629" s="19">
        <v>-38.24</v>
      </c>
      <c r="P629" s="19">
        <v>-50.78</v>
      </c>
      <c r="Q629" s="19">
        <v>-61.48</v>
      </c>
      <c r="R629" s="19">
        <v>-78.41</v>
      </c>
      <c r="S629" s="19">
        <v>-103.94</v>
      </c>
      <c r="T629" s="19">
        <v>-108.03</v>
      </c>
      <c r="U629" s="19">
        <v>-99.81</v>
      </c>
      <c r="V629" s="19">
        <v>-92.17</v>
      </c>
      <c r="W629" s="19">
        <v>-82.91</v>
      </c>
      <c r="X629" s="19">
        <v>-67.39</v>
      </c>
      <c r="Y629" s="19">
        <v>-46.11</v>
      </c>
      <c r="Z629" s="33" t="s">
        <v>32</v>
      </c>
      <c r="AA629" s="25">
        <f t="shared" si="16"/>
        <v>-108.03</v>
      </c>
      <c r="AB629" s="25">
        <f t="shared" si="17"/>
        <v>-39.342083333333299</v>
      </c>
      <c r="AF629" s="25"/>
      <c r="AG629" s="25"/>
      <c r="AH629" s="25"/>
    </row>
    <row r="630" spans="1:34">
      <c r="A630" s="30">
        <v>45925</v>
      </c>
      <c r="B630" s="19">
        <v>336.23</v>
      </c>
      <c r="C630" s="19">
        <v>163.31</v>
      </c>
      <c r="D630" s="19">
        <v>142.04</v>
      </c>
      <c r="E630" s="19">
        <v>141.68</v>
      </c>
      <c r="F630" s="19">
        <v>141.33000000000001</v>
      </c>
      <c r="G630" s="19">
        <v>141.11000000000001</v>
      </c>
      <c r="H630" s="19">
        <v>140.46</v>
      </c>
      <c r="I630" s="19">
        <v>144.55000000000001</v>
      </c>
      <c r="J630" s="19">
        <v>274.73</v>
      </c>
      <c r="K630" s="19">
        <v>299.14</v>
      </c>
      <c r="L630" s="19">
        <v>302.22000000000003</v>
      </c>
      <c r="M630" s="19">
        <v>292.48</v>
      </c>
      <c r="N630" s="19">
        <v>189.98</v>
      </c>
      <c r="O630" s="19">
        <v>204.71</v>
      </c>
      <c r="P630" s="19">
        <v>253.66</v>
      </c>
      <c r="Q630" s="19">
        <v>265.60000000000002</v>
      </c>
      <c r="R630" s="19">
        <v>324.95999999999998</v>
      </c>
      <c r="S630" s="19">
        <v>325.89999999999998</v>
      </c>
      <c r="T630" s="19">
        <v>268.48</v>
      </c>
      <c r="U630" s="19">
        <v>314.63</v>
      </c>
      <c r="V630" s="19">
        <v>293.05</v>
      </c>
      <c r="W630" s="19">
        <v>267.45999999999998</v>
      </c>
      <c r="X630" s="19">
        <v>251.6</v>
      </c>
      <c r="Y630" s="19">
        <v>198.33</v>
      </c>
      <c r="Z630" s="32" t="s">
        <v>32</v>
      </c>
      <c r="AA630" s="25">
        <f t="shared" si="16"/>
        <v>140.46</v>
      </c>
      <c r="AB630" s="25">
        <f t="shared" si="17"/>
        <v>236.56833333333299</v>
      </c>
      <c r="AF630" s="25"/>
      <c r="AG630" s="25"/>
      <c r="AH630" s="25"/>
    </row>
    <row r="631" spans="1:34">
      <c r="A631" s="30">
        <v>45926</v>
      </c>
      <c r="B631" s="19">
        <v>280.48</v>
      </c>
      <c r="C631" s="19">
        <v>254.88</v>
      </c>
      <c r="D631" s="19">
        <v>229.29</v>
      </c>
      <c r="E631" s="19">
        <v>199.51</v>
      </c>
      <c r="F631" s="19">
        <v>172.36</v>
      </c>
      <c r="G631" s="19">
        <v>169.97</v>
      </c>
      <c r="H631" s="19">
        <v>188.23</v>
      </c>
      <c r="I631" s="19">
        <v>181.35</v>
      </c>
      <c r="J631" s="19">
        <v>242.7</v>
      </c>
      <c r="K631" s="19">
        <v>278.68</v>
      </c>
      <c r="L631" s="19">
        <v>273.14</v>
      </c>
      <c r="M631" s="19">
        <v>252.65</v>
      </c>
      <c r="N631" s="19">
        <v>204.1</v>
      </c>
      <c r="O631" s="19">
        <v>261.61</v>
      </c>
      <c r="P631" s="19">
        <v>271.43</v>
      </c>
      <c r="Q631" s="19">
        <v>289.02999999999997</v>
      </c>
      <c r="R631" s="19">
        <v>368.95</v>
      </c>
      <c r="S631" s="19">
        <v>386.75</v>
      </c>
      <c r="T631" s="19">
        <v>342.81</v>
      </c>
      <c r="U631" s="19">
        <v>416.13</v>
      </c>
      <c r="V631" s="19">
        <v>349.19</v>
      </c>
      <c r="W631" s="19">
        <v>311.86</v>
      </c>
      <c r="X631" s="19">
        <v>277.45999999999998</v>
      </c>
      <c r="Y631" s="19">
        <v>246.04</v>
      </c>
      <c r="Z631" s="33" t="s">
        <v>32</v>
      </c>
      <c r="AA631" s="25">
        <f t="shared" si="16"/>
        <v>169.97</v>
      </c>
      <c r="AB631" s="25">
        <f t="shared" si="17"/>
        <v>268.691666666667</v>
      </c>
      <c r="AF631" s="25"/>
      <c r="AG631" s="25"/>
      <c r="AH631" s="25"/>
    </row>
    <row r="632" spans="1:34">
      <c r="A632" s="30">
        <v>45927</v>
      </c>
      <c r="B632" s="19">
        <v>307.26</v>
      </c>
      <c r="C632" s="19">
        <v>294.5</v>
      </c>
      <c r="D632" s="19">
        <v>274.81</v>
      </c>
      <c r="E632" s="19">
        <v>253.12</v>
      </c>
      <c r="F632" s="19">
        <v>242.95</v>
      </c>
      <c r="G632" s="19">
        <v>242.57</v>
      </c>
      <c r="H632" s="19">
        <v>244.66</v>
      </c>
      <c r="I632" s="19">
        <v>234.07</v>
      </c>
      <c r="J632" s="19">
        <v>203.4</v>
      </c>
      <c r="K632" s="19">
        <v>253.55</v>
      </c>
      <c r="L632" s="19">
        <v>243.78</v>
      </c>
      <c r="M632" s="19">
        <v>239.67</v>
      </c>
      <c r="N632" s="19">
        <v>206.14</v>
      </c>
      <c r="O632" s="19">
        <v>247.8</v>
      </c>
      <c r="P632" s="19">
        <v>266.58</v>
      </c>
      <c r="Q632" s="19">
        <v>299.33999999999997</v>
      </c>
      <c r="R632" s="19">
        <v>358.25</v>
      </c>
      <c r="S632" s="19">
        <v>382.49</v>
      </c>
      <c r="T632" s="19">
        <v>309.32</v>
      </c>
      <c r="U632" s="19">
        <v>355.26</v>
      </c>
      <c r="V632" s="19">
        <v>302.36</v>
      </c>
      <c r="W632" s="19">
        <v>299.73</v>
      </c>
      <c r="X632" s="19">
        <v>302.33999999999997</v>
      </c>
      <c r="Y632" s="19">
        <v>282.11</v>
      </c>
      <c r="Z632" s="34" t="s">
        <v>36</v>
      </c>
      <c r="AA632" s="25">
        <f t="shared" si="16"/>
        <v>203.4</v>
      </c>
      <c r="AB632" s="25">
        <f t="shared" si="17"/>
        <v>276.91916666666702</v>
      </c>
      <c r="AF632" s="25"/>
      <c r="AG632" s="25"/>
      <c r="AH632" s="25"/>
    </row>
    <row r="633" spans="1:34">
      <c r="A633" s="30">
        <v>45928</v>
      </c>
      <c r="B633" s="19">
        <v>345.65</v>
      </c>
      <c r="C633" s="19">
        <v>379.59</v>
      </c>
      <c r="D633" s="19">
        <v>292.63</v>
      </c>
      <c r="E633" s="19">
        <v>261.75</v>
      </c>
      <c r="F633" s="19">
        <v>236.77</v>
      </c>
      <c r="G633" s="19">
        <v>231.54</v>
      </c>
      <c r="H633" s="19">
        <v>238.24</v>
      </c>
      <c r="I633" s="19">
        <v>225.03</v>
      </c>
      <c r="J633" s="19">
        <v>268.36</v>
      </c>
      <c r="K633" s="19">
        <v>278.76</v>
      </c>
      <c r="L633" s="19">
        <v>281.98</v>
      </c>
      <c r="M633" s="19">
        <v>314.7</v>
      </c>
      <c r="N633" s="19">
        <v>257.58</v>
      </c>
      <c r="O633" s="19">
        <v>282.77</v>
      </c>
      <c r="P633" s="19">
        <v>283.14999999999998</v>
      </c>
      <c r="Q633" s="19">
        <v>330.6</v>
      </c>
      <c r="R633" s="19">
        <v>330.62</v>
      </c>
      <c r="S633" s="19">
        <v>343.59</v>
      </c>
      <c r="T633" s="19">
        <v>312.02</v>
      </c>
      <c r="U633" s="19">
        <v>371.8</v>
      </c>
      <c r="V633" s="19">
        <v>330.44</v>
      </c>
      <c r="W633" s="19">
        <v>350.65</v>
      </c>
      <c r="X633" s="19">
        <v>314</v>
      </c>
      <c r="Y633" s="19">
        <v>268.64</v>
      </c>
      <c r="Z633" s="35" t="s">
        <v>37</v>
      </c>
      <c r="AA633" s="25">
        <f t="shared" si="16"/>
        <v>225.03</v>
      </c>
      <c r="AB633" s="25">
        <f t="shared" si="17"/>
        <v>297.11916666666701</v>
      </c>
      <c r="AF633" s="25"/>
      <c r="AG633" s="25"/>
      <c r="AH633" s="25"/>
    </row>
    <row r="634" spans="1:34">
      <c r="A634" s="30">
        <v>45929</v>
      </c>
      <c r="B634" s="19">
        <v>415.18</v>
      </c>
      <c r="C634" s="19">
        <v>414.6</v>
      </c>
      <c r="D634" s="19">
        <v>361.8</v>
      </c>
      <c r="E634" s="19">
        <v>302.20999999999998</v>
      </c>
      <c r="F634" s="19">
        <v>278.88</v>
      </c>
      <c r="G634" s="19">
        <v>269.52</v>
      </c>
      <c r="H634" s="19">
        <v>287.33999999999997</v>
      </c>
      <c r="I634" s="19">
        <v>270.52999999999997</v>
      </c>
      <c r="J634" s="19">
        <v>137.63</v>
      </c>
      <c r="K634" s="19">
        <v>179.91</v>
      </c>
      <c r="L634" s="19">
        <v>271.48</v>
      </c>
      <c r="M634" s="19">
        <v>328.11</v>
      </c>
      <c r="N634" s="19">
        <v>319.16000000000003</v>
      </c>
      <c r="O634" s="19">
        <v>388.76</v>
      </c>
      <c r="P634" s="19">
        <v>384.01</v>
      </c>
      <c r="Q634" s="19">
        <v>415.45</v>
      </c>
      <c r="R634" s="19">
        <v>470.53</v>
      </c>
      <c r="S634" s="19">
        <v>489.76</v>
      </c>
      <c r="T634" s="19">
        <v>447.88</v>
      </c>
      <c r="U634" s="19">
        <v>482.53</v>
      </c>
      <c r="V634" s="19">
        <v>421.77</v>
      </c>
      <c r="W634" s="19">
        <v>484.07</v>
      </c>
      <c r="X634" s="19">
        <v>439.49</v>
      </c>
      <c r="Y634" s="19">
        <v>324.52999999999997</v>
      </c>
      <c r="Z634" s="32" t="s">
        <v>32</v>
      </c>
      <c r="AA634" s="25">
        <f t="shared" si="16"/>
        <v>137.63</v>
      </c>
      <c r="AB634" s="25">
        <f t="shared" si="17"/>
        <v>357.71375</v>
      </c>
      <c r="AF634" s="25"/>
      <c r="AG634" s="25"/>
      <c r="AH634" s="25"/>
    </row>
    <row r="635" spans="1:34">
      <c r="A635" s="30">
        <v>45930</v>
      </c>
      <c r="B635" s="19">
        <v>378.75</v>
      </c>
      <c r="C635" s="19">
        <v>402.05</v>
      </c>
      <c r="D635" s="19">
        <v>318.83999999999997</v>
      </c>
      <c r="E635" s="19">
        <v>296.19</v>
      </c>
      <c r="F635" s="19">
        <v>281.88</v>
      </c>
      <c r="G635" s="19">
        <v>280.61</v>
      </c>
      <c r="H635" s="19">
        <v>288.23</v>
      </c>
      <c r="I635" s="19">
        <v>279.89</v>
      </c>
      <c r="J635" s="19">
        <v>305.51</v>
      </c>
      <c r="K635" s="19">
        <v>263.52</v>
      </c>
      <c r="L635" s="19">
        <v>239.21</v>
      </c>
      <c r="M635" s="19">
        <v>292.33999999999997</v>
      </c>
      <c r="N635" s="19">
        <v>243.15</v>
      </c>
      <c r="O635" s="19">
        <v>276.74</v>
      </c>
      <c r="P635" s="19">
        <v>238.43</v>
      </c>
      <c r="Q635" s="19">
        <v>311.74</v>
      </c>
      <c r="R635" s="19">
        <v>354.65</v>
      </c>
      <c r="S635" s="19">
        <v>413.58</v>
      </c>
      <c r="T635" s="19">
        <v>353.82</v>
      </c>
      <c r="U635" s="19">
        <v>354.32</v>
      </c>
      <c r="V635" s="19">
        <v>346.08</v>
      </c>
      <c r="W635" s="19">
        <v>345.21</v>
      </c>
      <c r="X635" s="19">
        <v>335.58</v>
      </c>
      <c r="Y635" s="19">
        <v>301.29000000000002</v>
      </c>
      <c r="Z635" s="33" t="s">
        <v>32</v>
      </c>
      <c r="AA635" s="25">
        <f t="shared" si="16"/>
        <v>238.43</v>
      </c>
      <c r="AB635" s="25">
        <f t="shared" si="17"/>
        <v>312.56708333333302</v>
      </c>
      <c r="AF635" s="25"/>
      <c r="AG635" s="25"/>
      <c r="AH635" s="25"/>
    </row>
    <row r="636" spans="1:34">
      <c r="A636" s="30">
        <v>45931</v>
      </c>
      <c r="B636" s="19">
        <v>407.98</v>
      </c>
      <c r="C636" s="19">
        <v>379.28</v>
      </c>
      <c r="D636" s="19">
        <v>297.62</v>
      </c>
      <c r="E636" s="19">
        <v>278.68</v>
      </c>
      <c r="F636" s="19">
        <v>262.95999999999998</v>
      </c>
      <c r="G636" s="19">
        <v>248.71</v>
      </c>
      <c r="H636" s="19">
        <v>249.57</v>
      </c>
      <c r="I636" s="19">
        <v>202.53</v>
      </c>
      <c r="J636" s="19">
        <v>146.27000000000001</v>
      </c>
      <c r="K636" s="19">
        <v>142.84</v>
      </c>
      <c r="L636" s="19">
        <v>99.22</v>
      </c>
      <c r="M636" s="19">
        <v>103.27</v>
      </c>
      <c r="N636" s="19">
        <v>78.92</v>
      </c>
      <c r="O636" s="19">
        <v>110.79</v>
      </c>
      <c r="P636" s="19">
        <v>130.28</v>
      </c>
      <c r="Q636" s="19">
        <v>139.91</v>
      </c>
      <c r="R636" s="19">
        <v>159.71</v>
      </c>
      <c r="S636" s="19">
        <v>199.38</v>
      </c>
      <c r="T636" s="19">
        <v>247.35</v>
      </c>
      <c r="U636" s="19">
        <v>252.68</v>
      </c>
      <c r="V636" s="19">
        <v>257.23</v>
      </c>
      <c r="W636" s="19">
        <v>265.37</v>
      </c>
      <c r="X636" s="19">
        <v>252.55</v>
      </c>
      <c r="Y636" s="19">
        <v>246.13</v>
      </c>
      <c r="Z636" s="32" t="s">
        <v>32</v>
      </c>
      <c r="AA636" s="25">
        <f t="shared" ref="AA636:AA666" si="18">MIN(B636:Y636)</f>
        <v>78.92</v>
      </c>
      <c r="AB636" s="25">
        <f t="shared" ref="AB636:AB666" si="19">AVERAGE(B636:Y636)</f>
        <v>214.96791666666701</v>
      </c>
      <c r="AF636" s="25"/>
      <c r="AG636" s="25"/>
      <c r="AH636" s="25"/>
    </row>
    <row r="637" spans="1:34">
      <c r="A637" s="30">
        <v>45932</v>
      </c>
      <c r="B637" s="19">
        <v>222.68</v>
      </c>
      <c r="C637" s="19">
        <v>234.26</v>
      </c>
      <c r="D637" s="19">
        <v>208.8</v>
      </c>
      <c r="E637" s="19">
        <v>206.88</v>
      </c>
      <c r="F637" s="19">
        <v>199.11</v>
      </c>
      <c r="G637" s="19">
        <v>149.03</v>
      </c>
      <c r="H637" s="19">
        <v>170.18</v>
      </c>
      <c r="I637" s="19">
        <v>187.72</v>
      </c>
      <c r="J637" s="19">
        <v>143.22999999999999</v>
      </c>
      <c r="K637" s="19">
        <v>146.80000000000001</v>
      </c>
      <c r="L637" s="19">
        <v>147.47999999999999</v>
      </c>
      <c r="M637" s="19">
        <v>147.44999999999999</v>
      </c>
      <c r="N637" s="19">
        <v>119.71</v>
      </c>
      <c r="O637" s="19">
        <v>144.31</v>
      </c>
      <c r="P637" s="19">
        <v>148.26</v>
      </c>
      <c r="Q637" s="19">
        <v>151.01</v>
      </c>
      <c r="R637" s="19">
        <v>211.51</v>
      </c>
      <c r="S637" s="19">
        <v>260.70999999999998</v>
      </c>
      <c r="T637" s="19">
        <v>248.06</v>
      </c>
      <c r="U637" s="19">
        <v>285.52</v>
      </c>
      <c r="V637" s="19">
        <v>288.81</v>
      </c>
      <c r="W637" s="19">
        <v>263.06</v>
      </c>
      <c r="X637" s="19">
        <v>279</v>
      </c>
      <c r="Y637" s="19">
        <v>254.86</v>
      </c>
      <c r="Z637" s="33" t="s">
        <v>32</v>
      </c>
      <c r="AA637" s="25">
        <f t="shared" si="18"/>
        <v>119.71</v>
      </c>
      <c r="AB637" s="25">
        <f t="shared" si="19"/>
        <v>200.768333333333</v>
      </c>
      <c r="AF637" s="25"/>
      <c r="AG637" s="25"/>
      <c r="AH637" s="25"/>
    </row>
    <row r="638" spans="1:34">
      <c r="A638" s="30">
        <v>45933</v>
      </c>
      <c r="B638" s="19">
        <v>324.89</v>
      </c>
      <c r="C638" s="19">
        <v>305.97000000000003</v>
      </c>
      <c r="D638" s="19">
        <v>267.17</v>
      </c>
      <c r="E638" s="19">
        <v>246.36</v>
      </c>
      <c r="F638" s="19">
        <v>245.95</v>
      </c>
      <c r="G638" s="19">
        <v>248.1</v>
      </c>
      <c r="H638" s="19">
        <v>254.84</v>
      </c>
      <c r="I638" s="19">
        <v>249.77</v>
      </c>
      <c r="J638" s="19">
        <v>238.56</v>
      </c>
      <c r="K638" s="19">
        <v>229.48</v>
      </c>
      <c r="L638" s="19">
        <v>222.37</v>
      </c>
      <c r="M638" s="19">
        <v>228.57</v>
      </c>
      <c r="N638" s="19">
        <v>221.16</v>
      </c>
      <c r="O638" s="19">
        <v>230.05</v>
      </c>
      <c r="P638" s="19">
        <v>239.87</v>
      </c>
      <c r="Q638" s="19">
        <v>209.02</v>
      </c>
      <c r="R638" s="19">
        <v>308.13</v>
      </c>
      <c r="S638" s="19">
        <v>339.4</v>
      </c>
      <c r="T638" s="19">
        <v>344.24</v>
      </c>
      <c r="U638" s="19">
        <v>359.29</v>
      </c>
      <c r="V638" s="19">
        <v>349.62</v>
      </c>
      <c r="W638" s="19">
        <v>390.95</v>
      </c>
      <c r="X638" s="19">
        <v>345.72</v>
      </c>
      <c r="Y638" s="19">
        <v>334.47</v>
      </c>
      <c r="Z638" s="32" t="s">
        <v>32</v>
      </c>
      <c r="AA638" s="25">
        <f t="shared" si="18"/>
        <v>209.02</v>
      </c>
      <c r="AB638" s="25">
        <f t="shared" si="19"/>
        <v>280.58125000000001</v>
      </c>
      <c r="AF638" s="25"/>
      <c r="AG638" s="25"/>
      <c r="AH638" s="25"/>
    </row>
    <row r="639" spans="1:34">
      <c r="A639" s="30">
        <v>45934</v>
      </c>
      <c r="B639" s="19">
        <v>377.72</v>
      </c>
      <c r="C639" s="19">
        <v>347.78</v>
      </c>
      <c r="D639" s="19">
        <v>300.76</v>
      </c>
      <c r="E639" s="19">
        <v>284.64</v>
      </c>
      <c r="F639" s="19">
        <v>274.79000000000002</v>
      </c>
      <c r="G639" s="19">
        <v>273.64</v>
      </c>
      <c r="H639" s="19">
        <v>266.19</v>
      </c>
      <c r="I639" s="19">
        <v>261.27</v>
      </c>
      <c r="J639" s="19">
        <v>221.53</v>
      </c>
      <c r="K639" s="19">
        <v>175.81</v>
      </c>
      <c r="L639" s="19">
        <v>158.66999999999999</v>
      </c>
      <c r="M639" s="19">
        <v>176.62</v>
      </c>
      <c r="N639" s="19">
        <v>173.68</v>
      </c>
      <c r="O639" s="19">
        <v>208.66</v>
      </c>
      <c r="P639" s="19">
        <v>228.84</v>
      </c>
      <c r="Q639" s="19">
        <v>241.75</v>
      </c>
      <c r="R639" s="19">
        <v>291.55</v>
      </c>
      <c r="S639" s="19">
        <v>340.68</v>
      </c>
      <c r="T639" s="19">
        <v>324.33</v>
      </c>
      <c r="U639" s="19">
        <v>348.07</v>
      </c>
      <c r="V639" s="19">
        <v>334.26</v>
      </c>
      <c r="W639" s="19">
        <v>326.38</v>
      </c>
      <c r="X639" s="19">
        <v>317.27</v>
      </c>
      <c r="Y639" s="19">
        <v>292.49</v>
      </c>
      <c r="Z639" s="36" t="s">
        <v>36</v>
      </c>
      <c r="AA639" s="25">
        <f t="shared" si="18"/>
        <v>158.66999999999999</v>
      </c>
      <c r="AB639" s="25">
        <f t="shared" si="19"/>
        <v>272.8075</v>
      </c>
      <c r="AF639" s="25"/>
      <c r="AG639" s="25"/>
      <c r="AH639" s="25"/>
    </row>
    <row r="640" spans="1:34">
      <c r="A640" s="30">
        <v>45935</v>
      </c>
      <c r="B640" s="19">
        <v>360.72</v>
      </c>
      <c r="C640" s="19">
        <v>324.58</v>
      </c>
      <c r="D640" s="19">
        <v>288.56</v>
      </c>
      <c r="E640" s="19">
        <v>267.58999999999997</v>
      </c>
      <c r="F640" s="19">
        <v>253.78</v>
      </c>
      <c r="G640" s="19">
        <v>251.81</v>
      </c>
      <c r="H640" s="19">
        <v>251.72</v>
      </c>
      <c r="I640" s="19">
        <v>245.72</v>
      </c>
      <c r="J640" s="19">
        <v>241.05</v>
      </c>
      <c r="K640" s="19">
        <v>269.81</v>
      </c>
      <c r="L640" s="19">
        <v>271.19</v>
      </c>
      <c r="M640" s="19">
        <v>267.91000000000003</v>
      </c>
      <c r="N640" s="19">
        <v>266.51</v>
      </c>
      <c r="O640" s="19">
        <v>297.32</v>
      </c>
      <c r="P640" s="19">
        <v>306.13</v>
      </c>
      <c r="Q640" s="19">
        <v>311.64</v>
      </c>
      <c r="R640" s="19">
        <v>319.18</v>
      </c>
      <c r="S640" s="19">
        <v>330.73</v>
      </c>
      <c r="T640" s="19">
        <v>313.89999999999998</v>
      </c>
      <c r="U640" s="19">
        <v>337.77</v>
      </c>
      <c r="V640" s="19">
        <v>322.33</v>
      </c>
      <c r="W640" s="19">
        <v>316.32</v>
      </c>
      <c r="X640" s="19">
        <v>316.02999999999997</v>
      </c>
      <c r="Y640" s="19">
        <v>295.60000000000002</v>
      </c>
      <c r="Z640" s="32" t="s">
        <v>32</v>
      </c>
      <c r="AA640" s="25">
        <f t="shared" si="18"/>
        <v>241.05</v>
      </c>
      <c r="AB640" s="25">
        <f t="shared" si="19"/>
        <v>292.82916666666699</v>
      </c>
      <c r="AF640" s="25"/>
      <c r="AG640" s="25"/>
      <c r="AH640" s="25"/>
    </row>
    <row r="641" spans="1:34">
      <c r="A641" s="30">
        <v>45936</v>
      </c>
      <c r="B641" s="19">
        <v>274.24</v>
      </c>
      <c r="C641" s="19">
        <v>269.82</v>
      </c>
      <c r="D641" s="19">
        <v>263.77</v>
      </c>
      <c r="E641" s="19">
        <v>237.37</v>
      </c>
      <c r="F641" s="19">
        <v>210.28</v>
      </c>
      <c r="G641" s="19">
        <v>201.64</v>
      </c>
      <c r="H641" s="19">
        <v>184.32</v>
      </c>
      <c r="I641" s="19">
        <v>147.80000000000001</v>
      </c>
      <c r="J641" s="19">
        <v>103.32</v>
      </c>
      <c r="K641" s="19">
        <v>85.49</v>
      </c>
      <c r="L641" s="19">
        <v>-18.04</v>
      </c>
      <c r="M641" s="19">
        <v>-6.38</v>
      </c>
      <c r="N641" s="19">
        <v>91.84</v>
      </c>
      <c r="O641" s="19">
        <v>137.94999999999999</v>
      </c>
      <c r="P641" s="19">
        <v>126.15</v>
      </c>
      <c r="Q641" s="19">
        <v>145.47</v>
      </c>
      <c r="R641" s="19">
        <v>155.46</v>
      </c>
      <c r="S641" s="19">
        <v>204.78</v>
      </c>
      <c r="T641" s="19">
        <v>232.93</v>
      </c>
      <c r="U641" s="19">
        <v>234.52</v>
      </c>
      <c r="V641" s="19">
        <v>236.09</v>
      </c>
      <c r="W641" s="19">
        <v>248.18</v>
      </c>
      <c r="X641" s="19">
        <v>247.37</v>
      </c>
      <c r="Y641" s="19">
        <v>240.62</v>
      </c>
      <c r="Z641" s="33" t="s">
        <v>32</v>
      </c>
      <c r="AA641" s="25">
        <f t="shared" si="18"/>
        <v>-18.04</v>
      </c>
      <c r="AB641" s="25">
        <f t="shared" si="19"/>
        <v>177.29124999999999</v>
      </c>
      <c r="AF641" s="25"/>
      <c r="AG641" s="25"/>
      <c r="AH641" s="25"/>
    </row>
    <row r="642" spans="1:34">
      <c r="A642" s="30">
        <v>45937</v>
      </c>
      <c r="B642" s="19">
        <v>293.68</v>
      </c>
      <c r="C642" s="19">
        <v>265.17</v>
      </c>
      <c r="D642" s="19">
        <v>247.34</v>
      </c>
      <c r="E642" s="19">
        <v>233.96</v>
      </c>
      <c r="F642" s="19">
        <v>219.19</v>
      </c>
      <c r="G642" s="19">
        <v>215.29</v>
      </c>
      <c r="H642" s="19">
        <v>219.81</v>
      </c>
      <c r="I642" s="19">
        <v>213.38</v>
      </c>
      <c r="J642" s="19">
        <v>212.63</v>
      </c>
      <c r="K642" s="19">
        <v>248.9</v>
      </c>
      <c r="L642" s="19">
        <v>236.74</v>
      </c>
      <c r="M642" s="19">
        <v>234.9</v>
      </c>
      <c r="N642" s="19">
        <v>218.61</v>
      </c>
      <c r="O642" s="19">
        <v>247.14</v>
      </c>
      <c r="P642" s="19">
        <v>270.10000000000002</v>
      </c>
      <c r="Q642" s="19">
        <v>285.89</v>
      </c>
      <c r="R642" s="19">
        <v>323.07</v>
      </c>
      <c r="S642" s="19">
        <v>332.53</v>
      </c>
      <c r="T642" s="19">
        <v>323.17</v>
      </c>
      <c r="U642" s="19">
        <v>335.48</v>
      </c>
      <c r="V642" s="19">
        <v>402.02</v>
      </c>
      <c r="W642" s="19">
        <v>326.27</v>
      </c>
      <c r="X642" s="19">
        <v>324.77</v>
      </c>
      <c r="Y642" s="19">
        <v>306.62</v>
      </c>
      <c r="Z642" s="32" t="s">
        <v>32</v>
      </c>
      <c r="AA642" s="25">
        <f t="shared" si="18"/>
        <v>212.63</v>
      </c>
      <c r="AB642" s="25">
        <f t="shared" si="19"/>
        <v>272.36083333333301</v>
      </c>
      <c r="AF642" s="25"/>
      <c r="AG642" s="25"/>
      <c r="AH642" s="25"/>
    </row>
    <row r="643" spans="1:34">
      <c r="A643" s="30">
        <v>45938</v>
      </c>
      <c r="B643" s="19">
        <v>353.18</v>
      </c>
      <c r="C643" s="19">
        <v>338.24</v>
      </c>
      <c r="D643" s="19">
        <v>516.65</v>
      </c>
      <c r="E643" s="19">
        <v>529.55999999999995</v>
      </c>
      <c r="F643" s="19">
        <v>295.08999999999997</v>
      </c>
      <c r="G643" s="19">
        <v>404.81</v>
      </c>
      <c r="H643" s="19">
        <v>424.4</v>
      </c>
      <c r="I643" s="19">
        <v>273.95</v>
      </c>
      <c r="J643" s="19">
        <v>296.45</v>
      </c>
      <c r="K643" s="19">
        <v>303.43</v>
      </c>
      <c r="L643" s="19">
        <v>292.38</v>
      </c>
      <c r="M643" s="19">
        <v>294.08</v>
      </c>
      <c r="N643" s="19">
        <v>254.31</v>
      </c>
      <c r="O643" s="19">
        <v>298.95</v>
      </c>
      <c r="P643" s="19">
        <v>381.87</v>
      </c>
      <c r="Q643" s="19">
        <v>402.82</v>
      </c>
      <c r="R643" s="19">
        <v>388.58</v>
      </c>
      <c r="S643" s="19">
        <v>399.69</v>
      </c>
      <c r="T643" s="19">
        <v>646.57000000000005</v>
      </c>
      <c r="U643" s="19">
        <v>481</v>
      </c>
      <c r="V643" s="19">
        <v>427.74</v>
      </c>
      <c r="W643" s="19">
        <v>438.54</v>
      </c>
      <c r="X643" s="19">
        <v>430.45</v>
      </c>
      <c r="Y643" s="19">
        <v>371</v>
      </c>
      <c r="Z643" s="41" t="s">
        <v>31</v>
      </c>
      <c r="AA643" s="25">
        <f t="shared" si="18"/>
        <v>254.31</v>
      </c>
      <c r="AB643" s="25">
        <f t="shared" si="19"/>
        <v>385.15583333333302</v>
      </c>
      <c r="AF643" s="25"/>
      <c r="AG643" s="25"/>
      <c r="AH643" s="25"/>
    </row>
    <row r="644" spans="1:34">
      <c r="A644" s="30">
        <v>45939</v>
      </c>
      <c r="B644" s="19">
        <v>394.86</v>
      </c>
      <c r="C644" s="19">
        <v>420.7</v>
      </c>
      <c r="D644" s="19">
        <v>374.83</v>
      </c>
      <c r="E644" s="19">
        <v>337.91</v>
      </c>
      <c r="F644" s="19">
        <v>322.68</v>
      </c>
      <c r="G644" s="19">
        <v>317.97000000000003</v>
      </c>
      <c r="H644" s="19">
        <v>293.77</v>
      </c>
      <c r="I644" s="19">
        <v>317.83999999999997</v>
      </c>
      <c r="J644" s="19">
        <v>321.89</v>
      </c>
      <c r="K644" s="19">
        <v>339.25</v>
      </c>
      <c r="L644" s="19">
        <v>309.72000000000003</v>
      </c>
      <c r="M644" s="19">
        <v>299.12</v>
      </c>
      <c r="N644" s="19">
        <v>287.60000000000002</v>
      </c>
      <c r="O644" s="19">
        <v>366.32</v>
      </c>
      <c r="P644" s="19">
        <v>436.85</v>
      </c>
      <c r="Q644" s="19">
        <v>408.38</v>
      </c>
      <c r="R644" s="19">
        <v>436.42</v>
      </c>
      <c r="S644" s="19">
        <v>452.73</v>
      </c>
      <c r="T644" s="19">
        <v>435.86</v>
      </c>
      <c r="U644" s="19">
        <v>509.76</v>
      </c>
      <c r="V644" s="19">
        <v>476.99</v>
      </c>
      <c r="W644" s="19">
        <v>448.35</v>
      </c>
      <c r="X644" s="19">
        <v>417.67</v>
      </c>
      <c r="Y644" s="19">
        <v>351.33</v>
      </c>
      <c r="Z644" s="40" t="s">
        <v>31</v>
      </c>
      <c r="AA644" s="25">
        <f t="shared" si="18"/>
        <v>287.60000000000002</v>
      </c>
      <c r="AB644" s="25">
        <f t="shared" si="19"/>
        <v>378.28333333333302</v>
      </c>
      <c r="AF644" s="25"/>
      <c r="AG644" s="25"/>
      <c r="AH644" s="25"/>
    </row>
    <row r="645" spans="1:34">
      <c r="A645" s="30">
        <v>45940</v>
      </c>
      <c r="B645" s="19">
        <v>464.57</v>
      </c>
      <c r="C645" s="19">
        <v>478.52</v>
      </c>
      <c r="D645" s="19">
        <v>432.59</v>
      </c>
      <c r="E645" s="19">
        <v>389.74</v>
      </c>
      <c r="F645" s="19">
        <v>347.9</v>
      </c>
      <c r="G645" s="19">
        <v>337.1</v>
      </c>
      <c r="H645" s="19">
        <v>347.34</v>
      </c>
      <c r="I645" s="19">
        <v>327.71</v>
      </c>
      <c r="J645" s="19">
        <v>373.05</v>
      </c>
      <c r="K645" s="19">
        <v>467.31</v>
      </c>
      <c r="L645" s="19">
        <v>379.46</v>
      </c>
      <c r="M645" s="19">
        <v>396.04</v>
      </c>
      <c r="N645" s="19">
        <v>362.4</v>
      </c>
      <c r="O645" s="19">
        <v>426.04</v>
      </c>
      <c r="P645" s="19">
        <v>422.34</v>
      </c>
      <c r="Q645" s="19">
        <v>443.07</v>
      </c>
      <c r="R645" s="19">
        <v>482.1</v>
      </c>
      <c r="S645" s="19">
        <v>533.98</v>
      </c>
      <c r="T645" s="19">
        <v>496.24</v>
      </c>
      <c r="U645" s="19">
        <v>591.51</v>
      </c>
      <c r="V645" s="19">
        <v>525.63</v>
      </c>
      <c r="W645" s="19">
        <v>502.72</v>
      </c>
      <c r="X645" s="19">
        <v>493.88</v>
      </c>
      <c r="Y645" s="19">
        <v>376.69</v>
      </c>
      <c r="Z645" s="41" t="s">
        <v>31</v>
      </c>
      <c r="AA645" s="25">
        <f t="shared" si="18"/>
        <v>327.71</v>
      </c>
      <c r="AB645" s="25">
        <f t="shared" si="19"/>
        <v>433.24708333333302</v>
      </c>
      <c r="AF645" s="25"/>
      <c r="AG645" s="25"/>
      <c r="AH645" s="25"/>
    </row>
    <row r="646" spans="1:34">
      <c r="A646" s="30">
        <v>45941</v>
      </c>
      <c r="B646" s="19">
        <v>424.43</v>
      </c>
      <c r="C646" s="19">
        <v>413.72</v>
      </c>
      <c r="D646" s="19">
        <v>356.67</v>
      </c>
      <c r="E646" s="19">
        <v>335.33</v>
      </c>
      <c r="F646" s="19">
        <v>320.87</v>
      </c>
      <c r="G646" s="19">
        <v>315.14</v>
      </c>
      <c r="H646" s="19">
        <v>327.42</v>
      </c>
      <c r="I646" s="19">
        <v>317.54000000000002</v>
      </c>
      <c r="J646" s="19">
        <v>317.18</v>
      </c>
      <c r="K646" s="19">
        <v>322.92</v>
      </c>
      <c r="L646" s="19">
        <v>311.47000000000003</v>
      </c>
      <c r="M646" s="19">
        <v>298.51</v>
      </c>
      <c r="N646" s="19">
        <v>281.68</v>
      </c>
      <c r="O646" s="19">
        <v>355.93</v>
      </c>
      <c r="P646" s="19">
        <v>411.12</v>
      </c>
      <c r="Q646" s="19">
        <v>459.19</v>
      </c>
      <c r="R646" s="19">
        <v>499.67</v>
      </c>
      <c r="S646" s="19">
        <v>516.94000000000005</v>
      </c>
      <c r="T646" s="19">
        <v>498.12</v>
      </c>
      <c r="U646" s="19">
        <v>538.16999999999996</v>
      </c>
      <c r="V646" s="19">
        <v>474.49</v>
      </c>
      <c r="W646" s="19">
        <v>460.31</v>
      </c>
      <c r="X646" s="19">
        <v>458.28</v>
      </c>
      <c r="Y646" s="19">
        <v>389.6</v>
      </c>
      <c r="Z646" s="39" t="s">
        <v>35</v>
      </c>
      <c r="AA646" s="25">
        <f t="shared" si="18"/>
        <v>281.68</v>
      </c>
      <c r="AB646" s="25">
        <f t="shared" si="19"/>
        <v>391.86250000000001</v>
      </c>
      <c r="AF646" s="25"/>
      <c r="AG646" s="25"/>
      <c r="AH646" s="25"/>
    </row>
    <row r="647" spans="1:34">
      <c r="A647" s="30">
        <v>45942</v>
      </c>
      <c r="B647" s="19">
        <v>460.23</v>
      </c>
      <c r="C647" s="19">
        <v>471.83</v>
      </c>
      <c r="D647" s="19">
        <v>429.01</v>
      </c>
      <c r="E647" s="19">
        <v>377.44</v>
      </c>
      <c r="F647" s="19">
        <v>334.78</v>
      </c>
      <c r="G647" s="19">
        <v>325.27</v>
      </c>
      <c r="H647" s="19">
        <v>324.5</v>
      </c>
      <c r="I647" s="19">
        <v>310.73</v>
      </c>
      <c r="J647" s="19">
        <v>287.76</v>
      </c>
      <c r="K647" s="19">
        <v>281.32</v>
      </c>
      <c r="L647" s="19">
        <v>278</v>
      </c>
      <c r="M647" s="19">
        <v>285.92</v>
      </c>
      <c r="N647" s="19">
        <v>268.58</v>
      </c>
      <c r="O647" s="19">
        <v>291.68</v>
      </c>
      <c r="P647" s="19">
        <v>309.52999999999997</v>
      </c>
      <c r="Q647" s="19">
        <v>315.55</v>
      </c>
      <c r="R647" s="19">
        <v>343.41</v>
      </c>
      <c r="S647" s="19">
        <v>395.09</v>
      </c>
      <c r="T647" s="19">
        <v>428.99</v>
      </c>
      <c r="U647" s="19">
        <v>454.18</v>
      </c>
      <c r="V647" s="19">
        <v>399.26</v>
      </c>
      <c r="W647" s="19">
        <v>407.49</v>
      </c>
      <c r="X647" s="19">
        <v>370.13</v>
      </c>
      <c r="Y647" s="19">
        <v>342.88</v>
      </c>
      <c r="Z647" s="38" t="s">
        <v>35</v>
      </c>
      <c r="AA647" s="25">
        <f t="shared" si="18"/>
        <v>268.58</v>
      </c>
      <c r="AB647" s="25">
        <f t="shared" si="19"/>
        <v>353.89833333333303</v>
      </c>
      <c r="AF647" s="25"/>
      <c r="AG647" s="25"/>
      <c r="AH647" s="25"/>
    </row>
    <row r="648" spans="1:34">
      <c r="A648" s="30">
        <v>45943</v>
      </c>
      <c r="B648" s="19">
        <v>452.02</v>
      </c>
      <c r="C648" s="19">
        <v>431.04</v>
      </c>
      <c r="D648" s="19">
        <v>418.91</v>
      </c>
      <c r="E648" s="19">
        <v>398.51</v>
      </c>
      <c r="F648" s="19">
        <v>388.37</v>
      </c>
      <c r="G648" s="19">
        <v>389.62</v>
      </c>
      <c r="H648" s="19">
        <v>413.57</v>
      </c>
      <c r="I648" s="19">
        <v>380.56</v>
      </c>
      <c r="J648" s="19">
        <v>396.27</v>
      </c>
      <c r="K648" s="19">
        <v>450.65</v>
      </c>
      <c r="L648" s="19">
        <v>424.65</v>
      </c>
      <c r="M648" s="19">
        <v>287.83</v>
      </c>
      <c r="N648" s="19">
        <v>349.73</v>
      </c>
      <c r="O648" s="19">
        <v>388.79</v>
      </c>
      <c r="P648" s="19">
        <v>413.36</v>
      </c>
      <c r="Q648" s="19">
        <v>434.08</v>
      </c>
      <c r="R648" s="19">
        <v>452.98</v>
      </c>
      <c r="S648" s="19">
        <v>479.23</v>
      </c>
      <c r="T648" s="19">
        <v>468</v>
      </c>
      <c r="U648" s="19">
        <v>506.62</v>
      </c>
      <c r="V648" s="19">
        <v>472.3</v>
      </c>
      <c r="W648" s="19">
        <v>469.36</v>
      </c>
      <c r="X648" s="19">
        <v>424.65</v>
      </c>
      <c r="Y648" s="19">
        <v>366.32</v>
      </c>
      <c r="Z648" s="40" t="s">
        <v>31</v>
      </c>
      <c r="AA648" s="25">
        <f t="shared" si="18"/>
        <v>287.83</v>
      </c>
      <c r="AB648" s="25">
        <f t="shared" si="19"/>
        <v>419.05916666666701</v>
      </c>
      <c r="AF648" s="25"/>
      <c r="AG648" s="25"/>
      <c r="AH648" s="25"/>
    </row>
    <row r="649" spans="1:34">
      <c r="A649" s="30">
        <v>45944</v>
      </c>
      <c r="B649" s="19">
        <v>521.37</v>
      </c>
      <c r="C649" s="19">
        <v>543.75</v>
      </c>
      <c r="D649" s="19">
        <v>448.71</v>
      </c>
      <c r="E649" s="19">
        <v>406.59</v>
      </c>
      <c r="F649" s="19">
        <v>412.02</v>
      </c>
      <c r="G649" s="19">
        <v>392.28</v>
      </c>
      <c r="H649" s="19">
        <v>392.05</v>
      </c>
      <c r="I649" s="19">
        <v>371.02</v>
      </c>
      <c r="J649" s="19">
        <v>452.18</v>
      </c>
      <c r="K649" s="19">
        <v>504</v>
      </c>
      <c r="L649" s="19">
        <v>488.11</v>
      </c>
      <c r="M649" s="19">
        <v>461.29</v>
      </c>
      <c r="N649" s="19">
        <v>394.99</v>
      </c>
      <c r="O649" s="19">
        <v>500.44</v>
      </c>
      <c r="P649" s="19">
        <v>549.55999999999995</v>
      </c>
      <c r="Q649" s="19">
        <v>557.36</v>
      </c>
      <c r="R649" s="19">
        <v>548.83000000000004</v>
      </c>
      <c r="S649" s="19">
        <v>535.14</v>
      </c>
      <c r="T649" s="19">
        <v>536.36</v>
      </c>
      <c r="U649" s="19">
        <v>595.96</v>
      </c>
      <c r="V649" s="19">
        <v>541.84</v>
      </c>
      <c r="W649" s="19">
        <v>572.34</v>
      </c>
      <c r="X649" s="19">
        <v>543.6</v>
      </c>
      <c r="Y649" s="19">
        <v>404.42</v>
      </c>
      <c r="Z649" s="38" t="s">
        <v>35</v>
      </c>
      <c r="AA649" s="25">
        <f t="shared" si="18"/>
        <v>371.02</v>
      </c>
      <c r="AB649" s="25">
        <f t="shared" si="19"/>
        <v>486.42541666666699</v>
      </c>
      <c r="AF649" s="25"/>
      <c r="AG649" s="25"/>
      <c r="AH649" s="25"/>
    </row>
    <row r="650" spans="1:34">
      <c r="A650" s="30">
        <v>45945</v>
      </c>
      <c r="B650" s="19">
        <v>521.34</v>
      </c>
      <c r="C650" s="19">
        <v>544.64</v>
      </c>
      <c r="D650" s="19">
        <v>464.4</v>
      </c>
      <c r="E650" s="19">
        <v>458.23</v>
      </c>
      <c r="F650" s="19">
        <v>422.95</v>
      </c>
      <c r="G650" s="19">
        <v>429.91</v>
      </c>
      <c r="H650" s="19">
        <v>442.67</v>
      </c>
      <c r="I650" s="19">
        <v>417.86</v>
      </c>
      <c r="J650" s="19">
        <v>452.35</v>
      </c>
      <c r="K650" s="19">
        <v>474.69</v>
      </c>
      <c r="L650" s="19">
        <v>536.62</v>
      </c>
      <c r="M650" s="19">
        <v>465.09</v>
      </c>
      <c r="N650" s="19">
        <v>402.57</v>
      </c>
      <c r="O650" s="19">
        <v>458.06</v>
      </c>
      <c r="P650" s="19">
        <v>473.69</v>
      </c>
      <c r="Q650" s="19">
        <v>523.38</v>
      </c>
      <c r="R650" s="19">
        <v>633.39</v>
      </c>
      <c r="S650" s="19">
        <v>616.5</v>
      </c>
      <c r="T650" s="19">
        <v>577.27</v>
      </c>
      <c r="U650" s="19">
        <v>655.16999999999996</v>
      </c>
      <c r="V650" s="19">
        <v>568.14</v>
      </c>
      <c r="W650" s="19">
        <v>586.77</v>
      </c>
      <c r="X650" s="19">
        <v>545.36</v>
      </c>
      <c r="Y650" s="19">
        <v>421.84</v>
      </c>
      <c r="Z650" s="39" t="s">
        <v>35</v>
      </c>
      <c r="AA650" s="25">
        <f t="shared" si="18"/>
        <v>402.57</v>
      </c>
      <c r="AB650" s="25">
        <f t="shared" si="19"/>
        <v>503.87041666666698</v>
      </c>
      <c r="AF650" s="25"/>
      <c r="AG650" s="25"/>
      <c r="AH650" s="25"/>
    </row>
    <row r="651" spans="1:34">
      <c r="A651" s="30">
        <v>45946</v>
      </c>
      <c r="B651" s="19">
        <v>478.77</v>
      </c>
      <c r="C651" s="19">
        <v>513.57000000000005</v>
      </c>
      <c r="D651" s="19">
        <v>491.22</v>
      </c>
      <c r="E651" s="19">
        <v>488.37</v>
      </c>
      <c r="F651" s="19">
        <v>446.03</v>
      </c>
      <c r="G651" s="19">
        <v>425.55</v>
      </c>
      <c r="H651" s="19">
        <v>442.09</v>
      </c>
      <c r="I651" s="19">
        <v>424.94</v>
      </c>
      <c r="J651" s="19">
        <v>437.28</v>
      </c>
      <c r="K651" s="19">
        <v>438.89</v>
      </c>
      <c r="L651" s="19">
        <v>407.11</v>
      </c>
      <c r="M651" s="19">
        <v>524.57000000000005</v>
      </c>
      <c r="N651" s="19">
        <v>399.22</v>
      </c>
      <c r="O651" s="19">
        <v>395.55</v>
      </c>
      <c r="P651" s="19">
        <v>456.71</v>
      </c>
      <c r="Q651" s="19">
        <v>529.6</v>
      </c>
      <c r="R651" s="19">
        <v>494.39</v>
      </c>
      <c r="S651" s="19">
        <v>519.30999999999995</v>
      </c>
      <c r="T651" s="19">
        <v>524.44000000000005</v>
      </c>
      <c r="U651" s="19">
        <v>563.91</v>
      </c>
      <c r="V651" s="19">
        <v>549.88</v>
      </c>
      <c r="W651" s="19">
        <v>561.17999999999995</v>
      </c>
      <c r="X651" s="19">
        <v>512.21</v>
      </c>
      <c r="Y651" s="19">
        <v>460.69</v>
      </c>
      <c r="Z651" s="33" t="s">
        <v>32</v>
      </c>
      <c r="AA651" s="25">
        <f t="shared" si="18"/>
        <v>395.55</v>
      </c>
      <c r="AB651" s="25">
        <f t="shared" si="19"/>
        <v>478.56166666666701</v>
      </c>
      <c r="AF651" s="25"/>
      <c r="AG651" s="25"/>
      <c r="AH651" s="25"/>
    </row>
    <row r="652" spans="1:34">
      <c r="A652" s="30">
        <v>45947</v>
      </c>
      <c r="B652" s="19">
        <v>453.51</v>
      </c>
      <c r="C652" s="19">
        <v>446.34</v>
      </c>
      <c r="D652" s="19">
        <v>441.32</v>
      </c>
      <c r="E652" s="19">
        <v>442.16</v>
      </c>
      <c r="F652" s="19">
        <v>400.15</v>
      </c>
      <c r="G652" s="19">
        <v>392.68</v>
      </c>
      <c r="H652" s="19">
        <v>430.81</v>
      </c>
      <c r="I652" s="19">
        <v>413.96</v>
      </c>
      <c r="J652" s="19">
        <v>403.1</v>
      </c>
      <c r="K652" s="19">
        <v>423.55</v>
      </c>
      <c r="L652" s="19">
        <v>388.87</v>
      </c>
      <c r="M652" s="19">
        <v>365.49</v>
      </c>
      <c r="N652" s="19">
        <v>326.48</v>
      </c>
      <c r="O652" s="19">
        <v>380.31</v>
      </c>
      <c r="P652" s="19">
        <v>401.65</v>
      </c>
      <c r="Q652" s="19">
        <v>473.56</v>
      </c>
      <c r="R652" s="19">
        <v>479.02</v>
      </c>
      <c r="S652" s="19">
        <v>517.26</v>
      </c>
      <c r="T652" s="19">
        <v>540.82000000000005</v>
      </c>
      <c r="U652" s="19">
        <v>586.04</v>
      </c>
      <c r="V652" s="19">
        <v>498</v>
      </c>
      <c r="W652" s="19">
        <v>497.11</v>
      </c>
      <c r="X652" s="19">
        <v>490.47</v>
      </c>
      <c r="Y652" s="19">
        <v>460.12</v>
      </c>
      <c r="Z652" s="32" t="s">
        <v>32</v>
      </c>
      <c r="AA652" s="25">
        <f t="shared" si="18"/>
        <v>326.48</v>
      </c>
      <c r="AB652" s="25">
        <f t="shared" si="19"/>
        <v>443.865833333333</v>
      </c>
      <c r="AF652" s="25"/>
      <c r="AG652" s="25"/>
      <c r="AH652" s="25"/>
    </row>
    <row r="653" spans="1:34">
      <c r="A653" s="30">
        <v>45948</v>
      </c>
      <c r="B653" s="19">
        <v>521.54</v>
      </c>
      <c r="C653" s="19">
        <v>492.42</v>
      </c>
      <c r="D653" s="19">
        <v>470.11</v>
      </c>
      <c r="E653" s="19">
        <v>446.76</v>
      </c>
      <c r="F653" s="19">
        <v>446.98</v>
      </c>
      <c r="G653" s="19">
        <v>429.34</v>
      </c>
      <c r="H653" s="19">
        <v>422.36</v>
      </c>
      <c r="I653" s="19">
        <v>401</v>
      </c>
      <c r="J653" s="19">
        <v>389.77</v>
      </c>
      <c r="K653" s="19">
        <v>382.98</v>
      </c>
      <c r="L653" s="19">
        <v>358.03</v>
      </c>
      <c r="M653" s="19">
        <v>361.08</v>
      </c>
      <c r="N653" s="19">
        <v>324.87</v>
      </c>
      <c r="O653" s="19">
        <v>370.96</v>
      </c>
      <c r="P653" s="19">
        <v>370.02</v>
      </c>
      <c r="Q653" s="19">
        <v>416.92</v>
      </c>
      <c r="R653" s="19">
        <v>462.88</v>
      </c>
      <c r="S653" s="19">
        <v>493.45</v>
      </c>
      <c r="T653" s="19">
        <v>397.06</v>
      </c>
      <c r="U653" s="19">
        <v>502.55</v>
      </c>
      <c r="V653" s="19">
        <v>505.06</v>
      </c>
      <c r="W653" s="19">
        <v>531.1</v>
      </c>
      <c r="X653" s="19">
        <v>470.25</v>
      </c>
      <c r="Y653" s="19">
        <v>471.17</v>
      </c>
      <c r="Z653" s="33" t="s">
        <v>32</v>
      </c>
      <c r="AA653" s="25">
        <f t="shared" si="18"/>
        <v>324.87</v>
      </c>
      <c r="AB653" s="25">
        <f t="shared" si="19"/>
        <v>434.944166666667</v>
      </c>
      <c r="AF653" s="25"/>
      <c r="AG653" s="25"/>
      <c r="AH653" s="25"/>
    </row>
    <row r="654" spans="1:34">
      <c r="A654" s="30">
        <v>45949</v>
      </c>
      <c r="B654" s="19">
        <v>528.67999999999995</v>
      </c>
      <c r="C654" s="19">
        <v>491.62</v>
      </c>
      <c r="D654" s="19">
        <v>471.51</v>
      </c>
      <c r="E654" s="19">
        <v>455.39</v>
      </c>
      <c r="F654" s="19">
        <v>458.95</v>
      </c>
      <c r="G654" s="19">
        <v>443.25</v>
      </c>
      <c r="H654" s="19">
        <v>427.81</v>
      </c>
      <c r="I654" s="19">
        <v>380.4</v>
      </c>
      <c r="J654" s="19">
        <v>330.41</v>
      </c>
      <c r="K654" s="19">
        <v>331.74</v>
      </c>
      <c r="L654" s="19">
        <v>292.93</v>
      </c>
      <c r="M654" s="19">
        <v>290.10000000000002</v>
      </c>
      <c r="N654" s="19">
        <v>285.62</v>
      </c>
      <c r="O654" s="19">
        <v>313.62</v>
      </c>
      <c r="P654" s="19">
        <v>334.92</v>
      </c>
      <c r="Q654" s="19">
        <v>339.96</v>
      </c>
      <c r="R654" s="19">
        <v>450.61</v>
      </c>
      <c r="S654" s="19">
        <v>488.12</v>
      </c>
      <c r="T654" s="19">
        <v>479.36</v>
      </c>
      <c r="U654" s="19">
        <v>482.31</v>
      </c>
      <c r="V654" s="19">
        <v>470.08</v>
      </c>
      <c r="W654" s="19">
        <v>470.72</v>
      </c>
      <c r="X654" s="19">
        <v>447.9</v>
      </c>
      <c r="Y654" s="19">
        <v>343.37</v>
      </c>
      <c r="Z654" s="37" t="s">
        <v>37</v>
      </c>
      <c r="AA654" s="25">
        <f t="shared" si="18"/>
        <v>285.62</v>
      </c>
      <c r="AB654" s="25">
        <f t="shared" si="19"/>
        <v>408.72416666666697</v>
      </c>
      <c r="AF654" s="25"/>
      <c r="AG654" s="25"/>
      <c r="AH654" s="25"/>
    </row>
    <row r="655" spans="1:34">
      <c r="A655" s="30">
        <v>45950</v>
      </c>
      <c r="B655" s="19">
        <v>538.76</v>
      </c>
      <c r="C655" s="19">
        <v>526.13</v>
      </c>
      <c r="D655" s="19">
        <v>474.16</v>
      </c>
      <c r="E655" s="19">
        <v>431.93</v>
      </c>
      <c r="F655" s="19">
        <v>404.54</v>
      </c>
      <c r="G655" s="19">
        <v>345.34</v>
      </c>
      <c r="H655" s="19">
        <v>501.1</v>
      </c>
      <c r="I655" s="19">
        <v>518.05999999999995</v>
      </c>
      <c r="J655" s="19">
        <v>492.29</v>
      </c>
      <c r="K655" s="19">
        <v>550.52</v>
      </c>
      <c r="L655" s="19">
        <v>527.22</v>
      </c>
      <c r="M655" s="19">
        <v>616</v>
      </c>
      <c r="N655" s="19">
        <v>434.61</v>
      </c>
      <c r="O655" s="19">
        <v>584.80999999999995</v>
      </c>
      <c r="P655" s="19">
        <v>614.59</v>
      </c>
      <c r="Q655" s="19">
        <v>684.19</v>
      </c>
      <c r="R655" s="19">
        <v>541.38</v>
      </c>
      <c r="S655" s="19">
        <v>531.88</v>
      </c>
      <c r="T655" s="19">
        <v>546.25</v>
      </c>
      <c r="U655" s="19">
        <v>555.11</v>
      </c>
      <c r="V655" s="19">
        <v>478.09</v>
      </c>
      <c r="W655" s="19">
        <v>498.19</v>
      </c>
      <c r="X655" s="19">
        <v>408.6</v>
      </c>
      <c r="Y655" s="19">
        <v>297.52</v>
      </c>
      <c r="Z655" s="33" t="s">
        <v>32</v>
      </c>
      <c r="AA655" s="25">
        <f t="shared" si="18"/>
        <v>297.52</v>
      </c>
      <c r="AB655" s="25">
        <f t="shared" si="19"/>
        <v>504.21958333333299</v>
      </c>
      <c r="AF655" s="25"/>
      <c r="AG655" s="25"/>
      <c r="AH655" s="25"/>
    </row>
    <row r="656" spans="1:34">
      <c r="A656" s="30">
        <v>45951</v>
      </c>
      <c r="B656" s="19">
        <v>273.07</v>
      </c>
      <c r="C656" s="19">
        <v>441.06</v>
      </c>
      <c r="D656" s="19">
        <v>432.41</v>
      </c>
      <c r="E656" s="19">
        <v>403.5</v>
      </c>
      <c r="F656" s="19">
        <v>292.52999999999997</v>
      </c>
      <c r="G656" s="19">
        <v>285.49</v>
      </c>
      <c r="H656" s="19">
        <v>375.26</v>
      </c>
      <c r="I656" s="19">
        <v>388.48</v>
      </c>
      <c r="J656" s="19">
        <v>422.53</v>
      </c>
      <c r="K656" s="19">
        <v>384.2</v>
      </c>
      <c r="L656" s="19">
        <v>334.99</v>
      </c>
      <c r="M656" s="19">
        <v>317.14</v>
      </c>
      <c r="N656" s="19">
        <v>277.27</v>
      </c>
      <c r="O656" s="19">
        <v>353.33</v>
      </c>
      <c r="P656" s="19">
        <v>338.46</v>
      </c>
      <c r="Q656" s="19">
        <v>338.01</v>
      </c>
      <c r="R656" s="19">
        <v>377.82</v>
      </c>
      <c r="S656" s="19">
        <v>387.71</v>
      </c>
      <c r="T656" s="19">
        <v>415.05</v>
      </c>
      <c r="U656" s="19">
        <v>470.68</v>
      </c>
      <c r="V656" s="19">
        <v>381.03</v>
      </c>
      <c r="W656" s="19">
        <v>320.8</v>
      </c>
      <c r="X656" s="19">
        <v>265.17</v>
      </c>
      <c r="Y656" s="19">
        <v>235.66</v>
      </c>
      <c r="Z656" s="32" t="s">
        <v>32</v>
      </c>
      <c r="AA656" s="25">
        <f t="shared" si="18"/>
        <v>235.66</v>
      </c>
      <c r="AB656" s="25">
        <f t="shared" si="19"/>
        <v>354.652083333333</v>
      </c>
      <c r="AF656" s="25"/>
      <c r="AG656" s="25"/>
      <c r="AH656" s="25"/>
    </row>
    <row r="657" spans="1:34">
      <c r="A657" s="30">
        <v>45952</v>
      </c>
      <c r="B657" s="19">
        <v>232.38</v>
      </c>
      <c r="C657" s="19">
        <v>259.08</v>
      </c>
      <c r="D657" s="19">
        <v>254.97</v>
      </c>
      <c r="E657" s="19">
        <v>247.28</v>
      </c>
      <c r="F657" s="19">
        <v>239.33</v>
      </c>
      <c r="G657" s="19">
        <v>239.32</v>
      </c>
      <c r="H657" s="19">
        <v>257.45</v>
      </c>
      <c r="I657" s="19">
        <v>293.49</v>
      </c>
      <c r="J657" s="19">
        <v>307.76</v>
      </c>
      <c r="K657" s="19">
        <v>319.38</v>
      </c>
      <c r="L657" s="19">
        <v>253.69</v>
      </c>
      <c r="M657" s="19">
        <v>332.03</v>
      </c>
      <c r="N657" s="19">
        <v>208.42</v>
      </c>
      <c r="O657" s="19">
        <v>231.67</v>
      </c>
      <c r="P657" s="19">
        <v>240.79</v>
      </c>
      <c r="Q657" s="19">
        <v>259.11</v>
      </c>
      <c r="R657" s="19">
        <v>283.19</v>
      </c>
      <c r="S657" s="19">
        <v>303.39999999999998</v>
      </c>
      <c r="T657" s="19">
        <v>311.38</v>
      </c>
      <c r="U657" s="19">
        <v>237.84</v>
      </c>
      <c r="V657" s="19">
        <v>308.66000000000003</v>
      </c>
      <c r="W657" s="19">
        <v>290.81</v>
      </c>
      <c r="X657" s="19">
        <v>262.49</v>
      </c>
      <c r="Y657" s="19">
        <v>249.67</v>
      </c>
      <c r="Z657" s="33" t="s">
        <v>32</v>
      </c>
      <c r="AA657" s="25">
        <f t="shared" si="18"/>
        <v>208.42</v>
      </c>
      <c r="AB657" s="25">
        <f t="shared" si="19"/>
        <v>267.649583333333</v>
      </c>
      <c r="AF657" s="25"/>
      <c r="AG657" s="25"/>
      <c r="AH657" s="25"/>
    </row>
    <row r="658" spans="1:34">
      <c r="A658" s="30">
        <v>45953</v>
      </c>
      <c r="B658" s="19">
        <v>214.67</v>
      </c>
      <c r="C658" s="19">
        <v>240.73</v>
      </c>
      <c r="D658" s="19">
        <v>233.37</v>
      </c>
      <c r="E658" s="19">
        <v>199.55</v>
      </c>
      <c r="F658" s="19">
        <v>198.15</v>
      </c>
      <c r="G658" s="19">
        <v>200.95</v>
      </c>
      <c r="H658" s="19">
        <v>243.38</v>
      </c>
      <c r="I658" s="19">
        <v>253.8</v>
      </c>
      <c r="J658" s="19">
        <v>268.52</v>
      </c>
      <c r="K658" s="19">
        <v>273.18</v>
      </c>
      <c r="L658" s="19">
        <v>279.76</v>
      </c>
      <c r="M658" s="19">
        <v>281.97000000000003</v>
      </c>
      <c r="N658" s="19">
        <v>160.04</v>
      </c>
      <c r="O658" s="19">
        <v>157.13</v>
      </c>
      <c r="P658" s="19">
        <v>244.41</v>
      </c>
      <c r="Q658" s="19">
        <v>265.14999999999998</v>
      </c>
      <c r="R658" s="19">
        <v>268.70999999999998</v>
      </c>
      <c r="S658" s="19">
        <v>292.68</v>
      </c>
      <c r="T658" s="19">
        <v>312.2</v>
      </c>
      <c r="U658" s="19">
        <v>310.94</v>
      </c>
      <c r="V658" s="19">
        <v>301.02</v>
      </c>
      <c r="W658" s="19">
        <v>294.55</v>
      </c>
      <c r="X658" s="19">
        <v>272</v>
      </c>
      <c r="Y658" s="19">
        <v>249.09</v>
      </c>
      <c r="Z658" s="32" t="s">
        <v>32</v>
      </c>
      <c r="AA658" s="25">
        <f t="shared" si="18"/>
        <v>157.13</v>
      </c>
      <c r="AB658" s="25">
        <f t="shared" si="19"/>
        <v>250.66458333333301</v>
      </c>
      <c r="AF658" s="25"/>
      <c r="AG658" s="25"/>
      <c r="AH658" s="25"/>
    </row>
    <row r="659" spans="1:34">
      <c r="A659" s="30">
        <v>45954</v>
      </c>
      <c r="B659" s="19">
        <v>225.11</v>
      </c>
      <c r="C659" s="19">
        <v>257.5</v>
      </c>
      <c r="D659" s="19">
        <v>245.01</v>
      </c>
      <c r="E659" s="19">
        <v>302.87</v>
      </c>
      <c r="F659" s="19">
        <v>249.03</v>
      </c>
      <c r="G659" s="19">
        <v>199.67</v>
      </c>
      <c r="H659" s="19">
        <v>247.46</v>
      </c>
      <c r="I659" s="19">
        <v>258.32</v>
      </c>
      <c r="J659" s="19">
        <v>270.08</v>
      </c>
      <c r="K659" s="19">
        <v>281.75</v>
      </c>
      <c r="L659" s="19">
        <v>208.55</v>
      </c>
      <c r="M659" s="19">
        <v>196.58</v>
      </c>
      <c r="N659" s="19">
        <v>145.47999999999999</v>
      </c>
      <c r="O659" s="19">
        <v>276.02999999999997</v>
      </c>
      <c r="P659" s="19">
        <v>237.89</v>
      </c>
      <c r="Q659" s="19">
        <v>219.68</v>
      </c>
      <c r="R659" s="19">
        <v>262.77</v>
      </c>
      <c r="S659" s="19">
        <v>283.58</v>
      </c>
      <c r="T659" s="19">
        <v>315.14999999999998</v>
      </c>
      <c r="U659" s="19">
        <v>317.05</v>
      </c>
      <c r="V659" s="19">
        <v>296.02999999999997</v>
      </c>
      <c r="W659" s="19">
        <v>285.39</v>
      </c>
      <c r="X659" s="19">
        <v>266.64999999999998</v>
      </c>
      <c r="Y659" s="19">
        <v>247.06</v>
      </c>
      <c r="Z659" s="33" t="s">
        <v>32</v>
      </c>
      <c r="AA659" s="25">
        <f t="shared" si="18"/>
        <v>145.47999999999999</v>
      </c>
      <c r="AB659" s="25">
        <f t="shared" si="19"/>
        <v>253.945416666667</v>
      </c>
      <c r="AF659" s="25"/>
      <c r="AG659" s="25"/>
      <c r="AH659" s="25"/>
    </row>
    <row r="660" spans="1:34">
      <c r="A660" s="30">
        <v>45955</v>
      </c>
      <c r="B660" s="19">
        <v>186.91</v>
      </c>
      <c r="C660" s="19">
        <v>251.53</v>
      </c>
      <c r="D660" s="19">
        <v>248.09</v>
      </c>
      <c r="E660" s="19">
        <v>231.06</v>
      </c>
      <c r="F660" s="19">
        <v>208.6</v>
      </c>
      <c r="G660" s="19">
        <v>208.02</v>
      </c>
      <c r="H660" s="19">
        <v>243.56</v>
      </c>
      <c r="I660" s="19">
        <v>229.85</v>
      </c>
      <c r="J660" s="19">
        <v>248.49</v>
      </c>
      <c r="K660" s="19">
        <v>209.6</v>
      </c>
      <c r="L660" s="19">
        <v>206.69</v>
      </c>
      <c r="M660" s="19">
        <v>208.51</v>
      </c>
      <c r="N660" s="19">
        <v>134.04</v>
      </c>
      <c r="O660" s="19">
        <v>222.51</v>
      </c>
      <c r="P660" s="19">
        <v>251.74</v>
      </c>
      <c r="Q660" s="19">
        <v>196.64</v>
      </c>
      <c r="R660" s="19">
        <v>255.24</v>
      </c>
      <c r="S660" s="19">
        <v>282.76</v>
      </c>
      <c r="T660" s="19">
        <v>306.02</v>
      </c>
      <c r="U660" s="19">
        <v>303.29000000000002</v>
      </c>
      <c r="V660" s="19">
        <v>288.97000000000003</v>
      </c>
      <c r="W660" s="19">
        <v>285.27</v>
      </c>
      <c r="X660" s="19">
        <v>271.25</v>
      </c>
      <c r="Y660" s="19">
        <v>218.41</v>
      </c>
      <c r="Z660" s="34" t="s">
        <v>36</v>
      </c>
      <c r="AA660" s="25">
        <f t="shared" si="18"/>
        <v>134.04</v>
      </c>
      <c r="AB660" s="25">
        <f t="shared" si="19"/>
        <v>237.37708333333299</v>
      </c>
      <c r="AF660" s="25"/>
      <c r="AG660" s="25"/>
      <c r="AH660" s="25"/>
    </row>
    <row r="661" spans="1:34">
      <c r="A661" s="30">
        <v>45956</v>
      </c>
      <c r="B661" s="19">
        <v>259.68</v>
      </c>
      <c r="C661" s="19">
        <v>260.58999999999997</v>
      </c>
      <c r="D661" s="19">
        <v>253.85</v>
      </c>
      <c r="E661" s="19">
        <v>249.33</v>
      </c>
      <c r="F661" s="19">
        <v>252</v>
      </c>
      <c r="G661" s="19">
        <v>280.58999999999997</v>
      </c>
      <c r="H661" s="19">
        <v>257.72000000000003</v>
      </c>
      <c r="I661" s="19">
        <v>242.3</v>
      </c>
      <c r="J661" s="19">
        <v>224.22</v>
      </c>
      <c r="K661" s="19">
        <v>203.88</v>
      </c>
      <c r="L661" s="19">
        <v>116.7</v>
      </c>
      <c r="M661" s="19">
        <v>91.09</v>
      </c>
      <c r="N661" s="19">
        <v>3.49</v>
      </c>
      <c r="O661" s="19">
        <v>78.53</v>
      </c>
      <c r="P661" s="19">
        <v>66.84</v>
      </c>
      <c r="Q661" s="19">
        <v>196.28</v>
      </c>
      <c r="R661" s="19">
        <v>240.66</v>
      </c>
      <c r="S661" s="19">
        <v>276.35000000000002</v>
      </c>
      <c r="T661" s="19">
        <v>327.20999999999998</v>
      </c>
      <c r="U661" s="19">
        <v>343.85</v>
      </c>
      <c r="V661" s="19">
        <v>296.02</v>
      </c>
      <c r="W661" s="19">
        <v>284.51</v>
      </c>
      <c r="X661" s="19">
        <v>267.85000000000002</v>
      </c>
      <c r="Y661" s="19">
        <v>244.56</v>
      </c>
      <c r="Z661" s="35" t="s">
        <v>37</v>
      </c>
      <c r="AA661" s="25">
        <f t="shared" si="18"/>
        <v>3.49</v>
      </c>
      <c r="AB661" s="25">
        <f t="shared" si="19"/>
        <v>221.58750000000001</v>
      </c>
      <c r="AF661" s="25"/>
      <c r="AG661" s="25"/>
      <c r="AH661" s="25"/>
    </row>
    <row r="662" spans="1:34">
      <c r="A662" s="30">
        <v>45957</v>
      </c>
      <c r="B662" s="19">
        <v>206.63</v>
      </c>
      <c r="C662" s="19">
        <v>309.8</v>
      </c>
      <c r="D662" s="19">
        <v>288.39</v>
      </c>
      <c r="E662" s="19">
        <v>282.51</v>
      </c>
      <c r="F662" s="19">
        <v>239.39</v>
      </c>
      <c r="G662" s="19">
        <v>222.74</v>
      </c>
      <c r="H662" s="19">
        <v>217.49</v>
      </c>
      <c r="I662" s="19">
        <v>231.95</v>
      </c>
      <c r="J662" s="19">
        <v>254.54</v>
      </c>
      <c r="K662" s="19">
        <v>308.14999999999998</v>
      </c>
      <c r="L662" s="19">
        <v>318.39999999999998</v>
      </c>
      <c r="M662" s="19">
        <v>313.81</v>
      </c>
      <c r="N662" s="19">
        <v>25.99</v>
      </c>
      <c r="O662" s="19">
        <v>287.64</v>
      </c>
      <c r="P662" s="19">
        <v>306.93</v>
      </c>
      <c r="Q662" s="19">
        <v>294.45999999999998</v>
      </c>
      <c r="R662" s="19">
        <v>268.39999999999998</v>
      </c>
      <c r="S662" s="19">
        <v>304.14999999999998</v>
      </c>
      <c r="T662" s="19">
        <v>344.37</v>
      </c>
      <c r="U662" s="19">
        <v>388.42</v>
      </c>
      <c r="V662" s="19">
        <v>306.08</v>
      </c>
      <c r="W662" s="19">
        <v>310.3</v>
      </c>
      <c r="X662" s="19">
        <v>273.82</v>
      </c>
      <c r="Y662" s="19">
        <v>235.25</v>
      </c>
      <c r="Z662" s="32" t="s">
        <v>32</v>
      </c>
      <c r="AA662" s="25">
        <f t="shared" si="18"/>
        <v>25.99</v>
      </c>
      <c r="AB662" s="25">
        <f t="shared" si="19"/>
        <v>272.48374999999999</v>
      </c>
      <c r="AF662" s="25"/>
      <c r="AG662" s="25"/>
      <c r="AH662" s="25"/>
    </row>
    <row r="663" spans="1:34">
      <c r="A663" s="30">
        <v>45958</v>
      </c>
      <c r="B663" s="19">
        <v>263.85000000000002</v>
      </c>
      <c r="C663" s="19">
        <v>332.33</v>
      </c>
      <c r="D663" s="19">
        <v>374.42</v>
      </c>
      <c r="E663" s="19">
        <v>368.28</v>
      </c>
      <c r="F663" s="19">
        <v>267.13</v>
      </c>
      <c r="G663" s="19">
        <v>166.05</v>
      </c>
      <c r="H663" s="19">
        <v>247.71</v>
      </c>
      <c r="I663" s="19">
        <v>251.72</v>
      </c>
      <c r="J663" s="19">
        <v>265.66000000000003</v>
      </c>
      <c r="K663" s="19">
        <v>342.71</v>
      </c>
      <c r="L663" s="19">
        <v>201.53</v>
      </c>
      <c r="M663" s="19">
        <v>179.69</v>
      </c>
      <c r="N663" s="19">
        <v>95.39</v>
      </c>
      <c r="O663" s="19">
        <v>165.71</v>
      </c>
      <c r="P663" s="19">
        <v>189.41</v>
      </c>
      <c r="Q663" s="19">
        <v>229.75</v>
      </c>
      <c r="R663" s="19">
        <v>273.86</v>
      </c>
      <c r="S663" s="19">
        <v>353.63</v>
      </c>
      <c r="T663" s="19">
        <v>364.59</v>
      </c>
      <c r="U663" s="19">
        <v>394.87</v>
      </c>
      <c r="V663" s="19">
        <v>317.94</v>
      </c>
      <c r="W663" s="19">
        <v>284.17</v>
      </c>
      <c r="X663" s="19">
        <v>254.4</v>
      </c>
      <c r="Y663" s="19">
        <v>229.46</v>
      </c>
      <c r="Z663" s="33" t="s">
        <v>32</v>
      </c>
      <c r="AA663" s="25">
        <f t="shared" si="18"/>
        <v>95.39</v>
      </c>
      <c r="AB663" s="25">
        <f t="shared" si="19"/>
        <v>267.26083333333298</v>
      </c>
      <c r="AF663" s="25"/>
      <c r="AG663" s="25"/>
      <c r="AH663" s="25"/>
    </row>
    <row r="664" spans="1:34">
      <c r="A664" s="30">
        <v>45959</v>
      </c>
      <c r="B664" s="19">
        <v>264.56</v>
      </c>
      <c r="C664" s="19">
        <v>323.07</v>
      </c>
      <c r="D664" s="19">
        <v>290.99</v>
      </c>
      <c r="E664" s="19">
        <v>240.41</v>
      </c>
      <c r="F664" s="19">
        <v>208.85</v>
      </c>
      <c r="G664" s="19">
        <v>243.6</v>
      </c>
      <c r="H664" s="19">
        <v>283.17</v>
      </c>
      <c r="I664" s="19">
        <v>247.48</v>
      </c>
      <c r="J664" s="19">
        <v>255.47</v>
      </c>
      <c r="K664" s="19">
        <v>307.52999999999997</v>
      </c>
      <c r="L664" s="19">
        <v>332.88</v>
      </c>
      <c r="M664" s="19">
        <v>251.55</v>
      </c>
      <c r="N664" s="19">
        <v>157.87</v>
      </c>
      <c r="O664" s="19">
        <v>183.25</v>
      </c>
      <c r="P664" s="19">
        <v>213.07</v>
      </c>
      <c r="Q664" s="19">
        <v>246.57</v>
      </c>
      <c r="R664" s="19">
        <v>273</v>
      </c>
      <c r="S664" s="19">
        <v>284</v>
      </c>
      <c r="T664" s="19">
        <v>326.64999999999998</v>
      </c>
      <c r="U664" s="19">
        <v>318.33999999999997</v>
      </c>
      <c r="V664" s="19">
        <v>315.27</v>
      </c>
      <c r="W664" s="19">
        <v>293.64999999999998</v>
      </c>
      <c r="X664" s="19">
        <v>265.08999999999997</v>
      </c>
      <c r="Y664" s="19">
        <v>226.58</v>
      </c>
      <c r="Z664" s="32" t="s">
        <v>32</v>
      </c>
      <c r="AA664" s="25">
        <f t="shared" si="18"/>
        <v>157.87</v>
      </c>
      <c r="AB664" s="25">
        <f t="shared" si="19"/>
        <v>264.70416666666699</v>
      </c>
      <c r="AF664" s="25"/>
      <c r="AG664" s="25"/>
      <c r="AH664" s="25"/>
    </row>
    <row r="665" spans="1:34">
      <c r="A665" s="30">
        <v>45960</v>
      </c>
      <c r="B665" s="19">
        <v>255.58</v>
      </c>
      <c r="C665" s="19">
        <v>259.33999999999997</v>
      </c>
      <c r="D665" s="19">
        <v>221.64</v>
      </c>
      <c r="E665" s="19">
        <v>245.76</v>
      </c>
      <c r="F665" s="19">
        <v>238.1</v>
      </c>
      <c r="G665" s="19">
        <v>240.49</v>
      </c>
      <c r="H665" s="19">
        <v>254.95</v>
      </c>
      <c r="I665" s="19">
        <v>271.32</v>
      </c>
      <c r="J665" s="19">
        <v>270.94</v>
      </c>
      <c r="K665" s="19">
        <v>293.77999999999997</v>
      </c>
      <c r="L665" s="19">
        <v>253.5</v>
      </c>
      <c r="M665" s="19">
        <v>226.02</v>
      </c>
      <c r="N665" s="19">
        <v>206.71</v>
      </c>
      <c r="O665" s="19">
        <v>231.65</v>
      </c>
      <c r="P665" s="19">
        <v>258.14</v>
      </c>
      <c r="Q665" s="19">
        <v>273.27</v>
      </c>
      <c r="R665" s="19">
        <v>300.11</v>
      </c>
      <c r="S665" s="19">
        <v>378.35</v>
      </c>
      <c r="T665" s="19">
        <v>392.97</v>
      </c>
      <c r="U665" s="19">
        <v>565.96</v>
      </c>
      <c r="V665" s="19">
        <v>392.79</v>
      </c>
      <c r="W665" s="19">
        <v>364.52</v>
      </c>
      <c r="X665" s="19">
        <v>297.08999999999997</v>
      </c>
      <c r="Y665" s="19">
        <v>256.81</v>
      </c>
      <c r="Z665" s="33" t="s">
        <v>32</v>
      </c>
      <c r="AA665" s="25">
        <f t="shared" si="18"/>
        <v>206.71</v>
      </c>
      <c r="AB665" s="25">
        <f t="shared" si="19"/>
        <v>289.57458333333301</v>
      </c>
      <c r="AF665" s="25"/>
      <c r="AG665" s="25"/>
      <c r="AH665" s="25"/>
    </row>
    <row r="666" spans="1:34">
      <c r="A666" s="30">
        <v>45961</v>
      </c>
      <c r="B666" s="19">
        <v>289.95999999999998</v>
      </c>
      <c r="C666" s="19">
        <v>290.56</v>
      </c>
      <c r="D666" s="19">
        <v>282.41000000000003</v>
      </c>
      <c r="E666" s="19">
        <v>277.27</v>
      </c>
      <c r="F666" s="19">
        <v>270.91000000000003</v>
      </c>
      <c r="G666" s="19">
        <v>268.19</v>
      </c>
      <c r="H666" s="19">
        <v>285.66000000000003</v>
      </c>
      <c r="I666" s="19">
        <v>281.98</v>
      </c>
      <c r="J666" s="19">
        <v>287.39999999999998</v>
      </c>
      <c r="K666" s="19">
        <v>291.33999999999997</v>
      </c>
      <c r="L666" s="19">
        <v>267.04000000000002</v>
      </c>
      <c r="M666" s="19">
        <v>259.08999999999997</v>
      </c>
      <c r="N666" s="19">
        <v>242.5</v>
      </c>
      <c r="O666" s="19">
        <v>261.3</v>
      </c>
      <c r="P666" s="19">
        <v>269.64</v>
      </c>
      <c r="Q666" s="19">
        <v>283.37</v>
      </c>
      <c r="R666" s="19">
        <v>350.74</v>
      </c>
      <c r="S666" s="19">
        <v>460.39</v>
      </c>
      <c r="T666" s="19">
        <v>505.9</v>
      </c>
      <c r="U666" s="19">
        <v>494.16</v>
      </c>
      <c r="V666" s="19">
        <v>396.69</v>
      </c>
      <c r="W666" s="19">
        <v>305.27</v>
      </c>
      <c r="X666" s="19">
        <v>283.77999999999997</v>
      </c>
      <c r="Y666" s="19">
        <v>260.94</v>
      </c>
      <c r="Z666" s="32" t="s">
        <v>32</v>
      </c>
      <c r="AA666" s="25">
        <f t="shared" si="18"/>
        <v>242.5</v>
      </c>
      <c r="AB666" s="25">
        <f t="shared" si="19"/>
        <v>311.10374999999999</v>
      </c>
      <c r="AF666" s="25"/>
      <c r="AG666" s="25"/>
      <c r="AH666" s="25"/>
    </row>
    <row r="667" spans="1:34">
      <c r="A667" s="30">
        <v>45962</v>
      </c>
      <c r="B667" s="19">
        <v>424.15</v>
      </c>
      <c r="C667" s="19">
        <v>466.35</v>
      </c>
      <c r="D667" s="19">
        <v>330.69</v>
      </c>
      <c r="E667" s="19">
        <v>268.81</v>
      </c>
      <c r="F667" s="19">
        <v>253.1</v>
      </c>
      <c r="G667" s="19">
        <v>394.95</v>
      </c>
      <c r="H667" s="19">
        <v>247.21</v>
      </c>
      <c r="I667" s="19">
        <v>250.94</v>
      </c>
      <c r="J667" s="19">
        <v>255.61</v>
      </c>
      <c r="K667" s="19">
        <v>255.84</v>
      </c>
      <c r="L667" s="19">
        <v>246.34</v>
      </c>
      <c r="M667" s="19">
        <v>239.25</v>
      </c>
      <c r="N667" s="19">
        <v>237.49</v>
      </c>
      <c r="O667" s="19">
        <v>253.19</v>
      </c>
      <c r="P667" s="19">
        <v>257.92</v>
      </c>
      <c r="Q667" s="19">
        <v>269.07</v>
      </c>
      <c r="R667" s="19">
        <v>328.76</v>
      </c>
      <c r="S667" s="19">
        <v>441.85</v>
      </c>
      <c r="T667" s="19">
        <v>539.08000000000004</v>
      </c>
      <c r="U667" s="19">
        <v>475.25</v>
      </c>
      <c r="V667" s="19">
        <v>435.12</v>
      </c>
      <c r="W667" s="19">
        <v>394.59</v>
      </c>
      <c r="X667" s="19">
        <v>321.13</v>
      </c>
      <c r="Y667" s="19">
        <v>269.24</v>
      </c>
      <c r="Z667" s="36" t="s">
        <v>36</v>
      </c>
      <c r="AA667" s="25">
        <f t="shared" ref="AA667:AA698" si="20">MIN(B667:Y667)</f>
        <v>237.49</v>
      </c>
      <c r="AB667" s="25">
        <f t="shared" ref="AB667:AB698" si="21">AVERAGE(B667:Y667)</f>
        <v>327.33041666666702</v>
      </c>
      <c r="AF667" s="25">
        <f>MAX($B$667:$AE$667)</f>
        <v>539.08000000000004</v>
      </c>
      <c r="AG667" s="25">
        <f>MIN($B$667:$AE$667)</f>
        <v>237.49</v>
      </c>
      <c r="AH667" s="25">
        <f>AVERAGE($B$667:$AE$667)</f>
        <v>323.875016025641</v>
      </c>
    </row>
    <row r="668" spans="1:34">
      <c r="A668" s="30">
        <v>45963</v>
      </c>
      <c r="B668" s="19">
        <v>276.16000000000003</v>
      </c>
      <c r="C668" s="19">
        <v>263.33999999999997</v>
      </c>
      <c r="D668" s="19">
        <v>257.45999999999998</v>
      </c>
      <c r="E668" s="19">
        <v>252.09</v>
      </c>
      <c r="F668" s="19">
        <v>241.88</v>
      </c>
      <c r="G668" s="19">
        <v>229.1</v>
      </c>
      <c r="H668" s="19">
        <v>230.78</v>
      </c>
      <c r="I668" s="19">
        <v>227.95</v>
      </c>
      <c r="J668" s="19">
        <v>210.07</v>
      </c>
      <c r="K668" s="19">
        <v>215.64</v>
      </c>
      <c r="L668" s="19">
        <v>215.41</v>
      </c>
      <c r="M668" s="19">
        <v>205.64</v>
      </c>
      <c r="N668" s="19">
        <v>182.91</v>
      </c>
      <c r="O668" s="19">
        <v>205.03</v>
      </c>
      <c r="P668" s="19">
        <v>224.73</v>
      </c>
      <c r="Q668" s="19">
        <v>219.45</v>
      </c>
      <c r="R668" s="19">
        <v>230.29</v>
      </c>
      <c r="S668" s="19">
        <v>264.85000000000002</v>
      </c>
      <c r="T668" s="19">
        <v>274.13</v>
      </c>
      <c r="U668" s="19">
        <v>260.23</v>
      </c>
      <c r="V668" s="19">
        <v>249.95</v>
      </c>
      <c r="W668" s="19">
        <v>257.75</v>
      </c>
      <c r="X668" s="19">
        <v>241.94</v>
      </c>
      <c r="Y668" s="19">
        <v>222.7</v>
      </c>
      <c r="Z668" s="37" t="s">
        <v>37</v>
      </c>
      <c r="AA668" s="25">
        <f t="shared" si="20"/>
        <v>182.91</v>
      </c>
      <c r="AB668" s="25">
        <f t="shared" si="21"/>
        <v>235.81166666666701</v>
      </c>
      <c r="AF668" s="25">
        <f>MAX($B$668:$AE$668)</f>
        <v>276.16000000000003</v>
      </c>
      <c r="AG668" s="25">
        <f>MIN($B$668:$AE$668)</f>
        <v>182.91</v>
      </c>
      <c r="AH668" s="25">
        <f>AVERAGE($B$668:$AE$668)</f>
        <v>233.77698717948701</v>
      </c>
    </row>
    <row r="669" spans="1:34">
      <c r="A669" s="30">
        <v>45964</v>
      </c>
      <c r="B669" s="19">
        <v>241.43</v>
      </c>
      <c r="C669" s="19">
        <v>236.29</v>
      </c>
      <c r="D669" s="19">
        <v>224.55</v>
      </c>
      <c r="E669" s="19">
        <v>218.03</v>
      </c>
      <c r="F669" s="19">
        <v>204.75</v>
      </c>
      <c r="G669" s="19">
        <v>210.84</v>
      </c>
      <c r="H669" s="19">
        <v>229.49</v>
      </c>
      <c r="I669" s="19">
        <v>241.39</v>
      </c>
      <c r="J669" s="19">
        <v>261.76</v>
      </c>
      <c r="K669" s="19">
        <v>279.62</v>
      </c>
      <c r="L669" s="19">
        <v>268.47000000000003</v>
      </c>
      <c r="M669" s="19">
        <v>263.87</v>
      </c>
      <c r="N669" s="19">
        <v>243.68</v>
      </c>
      <c r="O669" s="19">
        <v>269.68</v>
      </c>
      <c r="P669" s="19">
        <v>289.20999999999998</v>
      </c>
      <c r="Q669" s="19">
        <v>306.08</v>
      </c>
      <c r="R669" s="19">
        <v>337.57</v>
      </c>
      <c r="S669" s="19">
        <v>394.27</v>
      </c>
      <c r="T669" s="19">
        <v>432.96</v>
      </c>
      <c r="U669" s="19">
        <v>376.68</v>
      </c>
      <c r="V669" s="19">
        <v>358.24</v>
      </c>
      <c r="W669" s="19">
        <v>328.45</v>
      </c>
      <c r="X669" s="19">
        <v>289.52</v>
      </c>
      <c r="Y669" s="19">
        <v>244.82</v>
      </c>
      <c r="Z669" s="33" t="s">
        <v>32</v>
      </c>
      <c r="AA669" s="25">
        <f t="shared" si="20"/>
        <v>204.75</v>
      </c>
      <c r="AB669" s="25">
        <f t="shared" si="21"/>
        <v>281.31875000000002</v>
      </c>
      <c r="AF669" s="25">
        <f>MAX($B$669:$AE$669)</f>
        <v>432.96</v>
      </c>
      <c r="AG669" s="25">
        <f>MIN($B$669:$AE$669)</f>
        <v>204.75</v>
      </c>
      <c r="AH669" s="25">
        <f>AVERAGE($B$669:$AE$669)</f>
        <v>278.37379807692298</v>
      </c>
    </row>
    <row r="670" spans="1:34">
      <c r="A670" s="30">
        <v>45965</v>
      </c>
      <c r="B670" s="19">
        <v>270.43</v>
      </c>
      <c r="C670" s="19">
        <v>258.8</v>
      </c>
      <c r="D670" s="19">
        <v>250.83</v>
      </c>
      <c r="E670" s="19">
        <v>247.55</v>
      </c>
      <c r="F670" s="19">
        <v>246.94</v>
      </c>
      <c r="G670" s="19">
        <v>250.28</v>
      </c>
      <c r="H670" s="19">
        <v>257.92</v>
      </c>
      <c r="I670" s="19">
        <v>274.08</v>
      </c>
      <c r="J670" s="19">
        <v>302.56</v>
      </c>
      <c r="K670" s="19">
        <v>357.67</v>
      </c>
      <c r="L670" s="19">
        <v>301.61</v>
      </c>
      <c r="M670" s="19">
        <v>289.97000000000003</v>
      </c>
      <c r="N670" s="19">
        <v>263.77999999999997</v>
      </c>
      <c r="O670" s="19">
        <v>276.35000000000002</v>
      </c>
      <c r="P670" s="19">
        <v>289.43</v>
      </c>
      <c r="Q670" s="19">
        <v>290.54000000000002</v>
      </c>
      <c r="R670" s="19">
        <v>364.8</v>
      </c>
      <c r="S670" s="19">
        <v>480.78</v>
      </c>
      <c r="T670" s="19">
        <v>489.59</v>
      </c>
      <c r="U670" s="19">
        <v>546.96</v>
      </c>
      <c r="V670" s="19">
        <v>456.88</v>
      </c>
      <c r="W670" s="19">
        <v>367.29</v>
      </c>
      <c r="X670" s="19">
        <v>307.95</v>
      </c>
      <c r="Y670" s="19">
        <v>249.69</v>
      </c>
      <c r="Z670" s="32" t="s">
        <v>32</v>
      </c>
      <c r="AA670" s="25">
        <f t="shared" si="20"/>
        <v>246.94</v>
      </c>
      <c r="AB670" s="25">
        <f t="shared" si="21"/>
        <v>320.52833333333302</v>
      </c>
      <c r="AF670" s="25">
        <f>MAX($B$670:$AE$670)</f>
        <v>546.96</v>
      </c>
      <c r="AG670" s="25">
        <f>MIN($B$670:$AE$670)</f>
        <v>246.94</v>
      </c>
      <c r="AH670" s="25">
        <f>AVERAGE($B$670:$AE$670)</f>
        <v>317.69801282051299</v>
      </c>
    </row>
    <row r="671" spans="1:34">
      <c r="A671" s="30">
        <v>45966</v>
      </c>
      <c r="B671" s="19">
        <v>265.89</v>
      </c>
      <c r="C671" s="19">
        <v>264.3</v>
      </c>
      <c r="D671" s="19">
        <v>265.17</v>
      </c>
      <c r="E671" s="19">
        <v>265.07</v>
      </c>
      <c r="F671" s="19">
        <v>261.77999999999997</v>
      </c>
      <c r="G671" s="19">
        <v>262.45</v>
      </c>
      <c r="H671" s="19">
        <v>275.08999999999997</v>
      </c>
      <c r="I671" s="19">
        <v>287.33</v>
      </c>
      <c r="J671" s="19">
        <v>303.45999999999998</v>
      </c>
      <c r="K671" s="19">
        <v>296.08999999999997</v>
      </c>
      <c r="L671" s="19">
        <v>262.56</v>
      </c>
      <c r="M671" s="19">
        <v>251.13</v>
      </c>
      <c r="N671" s="19">
        <v>239.83</v>
      </c>
      <c r="O671" s="19">
        <v>246.17</v>
      </c>
      <c r="P671" s="19">
        <v>261.48</v>
      </c>
      <c r="Q671" s="19">
        <v>280.36</v>
      </c>
      <c r="R671" s="19">
        <v>402.6</v>
      </c>
      <c r="S671" s="19">
        <v>483</v>
      </c>
      <c r="T671" s="19">
        <v>557.57000000000005</v>
      </c>
      <c r="U671" s="19">
        <v>568.79999999999995</v>
      </c>
      <c r="V671" s="19">
        <v>482.9</v>
      </c>
      <c r="W671" s="19">
        <v>441.04</v>
      </c>
      <c r="X671" s="19">
        <v>328.38</v>
      </c>
      <c r="Y671" s="19">
        <v>269.06</v>
      </c>
      <c r="Z671" s="33" t="s">
        <v>32</v>
      </c>
      <c r="AA671" s="25">
        <f t="shared" si="20"/>
        <v>239.83</v>
      </c>
      <c r="AB671" s="25">
        <f t="shared" si="21"/>
        <v>325.89625000000001</v>
      </c>
      <c r="AF671" s="25">
        <f>MAX($B$671:$AE$671)</f>
        <v>568.79999999999995</v>
      </c>
      <c r="AG671" s="25">
        <f>MIN($B$671:$AE$671)</f>
        <v>239.83</v>
      </c>
      <c r="AH671" s="25">
        <f>AVERAGE($B$671:$AE$671)</f>
        <v>322.58600961538502</v>
      </c>
    </row>
    <row r="672" spans="1:34">
      <c r="A672" s="30">
        <v>45967</v>
      </c>
      <c r="B672" s="19">
        <v>268.58999999999997</v>
      </c>
      <c r="C672" s="19">
        <v>267.57</v>
      </c>
      <c r="D672" s="19">
        <v>267.92</v>
      </c>
      <c r="E672" s="19">
        <v>266.14999999999998</v>
      </c>
      <c r="F672" s="19">
        <v>261.49</v>
      </c>
      <c r="G672" s="19">
        <v>263.13</v>
      </c>
      <c r="H672" s="19">
        <v>270.97000000000003</v>
      </c>
      <c r="I672" s="19">
        <v>272.58999999999997</v>
      </c>
      <c r="J672" s="19">
        <v>269.70999999999998</v>
      </c>
      <c r="K672" s="19">
        <v>255.09</v>
      </c>
      <c r="L672" s="19">
        <v>191.4</v>
      </c>
      <c r="M672" s="19">
        <v>162.79</v>
      </c>
      <c r="N672" s="19">
        <v>123.09</v>
      </c>
      <c r="O672" s="19">
        <v>178.19</v>
      </c>
      <c r="P672" s="19">
        <v>202.05</v>
      </c>
      <c r="Q672" s="19">
        <v>262.92</v>
      </c>
      <c r="R672" s="19">
        <v>310.35000000000002</v>
      </c>
      <c r="S672" s="19">
        <v>452.8</v>
      </c>
      <c r="T672" s="19">
        <v>511.3</v>
      </c>
      <c r="U672" s="19">
        <v>490.41</v>
      </c>
      <c r="V672" s="19">
        <v>457.46</v>
      </c>
      <c r="W672" s="19">
        <v>433.08</v>
      </c>
      <c r="X672" s="19">
        <v>315.32</v>
      </c>
      <c r="Y672" s="19">
        <v>267.87</v>
      </c>
      <c r="Z672" s="32" t="s">
        <v>32</v>
      </c>
      <c r="AA672" s="25">
        <f t="shared" si="20"/>
        <v>123.09</v>
      </c>
      <c r="AB672" s="25">
        <f t="shared" si="21"/>
        <v>292.59333333333302</v>
      </c>
      <c r="AF672" s="25">
        <f>MAX($B$672:$AE$672)</f>
        <v>511.3</v>
      </c>
      <c r="AG672" s="25">
        <f>MIN($B$672:$AE$672)</f>
        <v>123.09</v>
      </c>
      <c r="AH672" s="25">
        <f>AVERAGE($B$672:$AE$672)</f>
        <v>286.073974358974</v>
      </c>
    </row>
    <row r="673" spans="1:34">
      <c r="A673" s="30">
        <v>45968</v>
      </c>
      <c r="B673" s="19">
        <v>262.87</v>
      </c>
      <c r="C673" s="19">
        <v>255.67</v>
      </c>
      <c r="D673" s="19">
        <v>254.02</v>
      </c>
      <c r="E673" s="19">
        <v>254.23</v>
      </c>
      <c r="F673" s="19">
        <v>249.45</v>
      </c>
      <c r="G673" s="19">
        <v>247.28</v>
      </c>
      <c r="H673" s="19">
        <v>259.44</v>
      </c>
      <c r="I673" s="19">
        <v>265.04000000000002</v>
      </c>
      <c r="J673" s="19">
        <v>276.10000000000002</v>
      </c>
      <c r="K673" s="19">
        <v>275.91000000000003</v>
      </c>
      <c r="L673" s="19">
        <v>265.35000000000002</v>
      </c>
      <c r="M673" s="19">
        <v>261.12</v>
      </c>
      <c r="N673" s="19">
        <v>233.81</v>
      </c>
      <c r="O673" s="19">
        <v>244.67</v>
      </c>
      <c r="P673" s="19">
        <v>266.52999999999997</v>
      </c>
      <c r="Q673" s="19">
        <v>275.27999999999997</v>
      </c>
      <c r="R673" s="19">
        <v>301.8</v>
      </c>
      <c r="S673" s="19">
        <v>347.55</v>
      </c>
      <c r="T673" s="19">
        <v>432.54</v>
      </c>
      <c r="U673" s="19">
        <v>416.97</v>
      </c>
      <c r="V673" s="19">
        <v>369.75</v>
      </c>
      <c r="W673" s="19">
        <v>342.59</v>
      </c>
      <c r="X673" s="19">
        <v>309.48</v>
      </c>
      <c r="Y673" s="19">
        <v>272.95999999999998</v>
      </c>
      <c r="Z673" s="33" t="s">
        <v>32</v>
      </c>
      <c r="AA673" s="25">
        <f t="shared" si="20"/>
        <v>233.81</v>
      </c>
      <c r="AB673" s="25">
        <f t="shared" si="21"/>
        <v>289.18374999999997</v>
      </c>
      <c r="AF673" s="25">
        <f>MAX($B$673:$AE$673)</f>
        <v>432.54</v>
      </c>
      <c r="AG673" s="25">
        <f>MIN($B$673:$AE$673)</f>
        <v>233.81</v>
      </c>
      <c r="AH673" s="25">
        <f>AVERAGE($B$673:$AE$673)</f>
        <v>287.05399038461502</v>
      </c>
    </row>
    <row r="674" spans="1:34">
      <c r="A674" s="30">
        <v>45969</v>
      </c>
      <c r="B674" s="19">
        <v>299.05</v>
      </c>
      <c r="C674" s="19">
        <v>285.01</v>
      </c>
      <c r="D674" s="19">
        <v>283.05</v>
      </c>
      <c r="E674" s="19">
        <v>281.61</v>
      </c>
      <c r="F674" s="19">
        <v>275.39999999999998</v>
      </c>
      <c r="G674" s="19">
        <v>274.45</v>
      </c>
      <c r="H674" s="19">
        <v>278.47000000000003</v>
      </c>
      <c r="I674" s="19">
        <v>272.54000000000002</v>
      </c>
      <c r="J674" s="19">
        <v>266.32</v>
      </c>
      <c r="K674" s="19">
        <v>283.75</v>
      </c>
      <c r="L674" s="19">
        <v>278.47000000000003</v>
      </c>
      <c r="M674" s="19">
        <v>269.64999999999998</v>
      </c>
      <c r="N674" s="19">
        <v>229.48</v>
      </c>
      <c r="O674" s="19">
        <v>261.82</v>
      </c>
      <c r="P674" s="19">
        <v>261.35000000000002</v>
      </c>
      <c r="Q674" s="19">
        <v>278.88</v>
      </c>
      <c r="R674" s="19">
        <v>306.04000000000002</v>
      </c>
      <c r="S674" s="19">
        <v>366.35</v>
      </c>
      <c r="T674" s="19">
        <v>403.79</v>
      </c>
      <c r="U674" s="19">
        <v>347.79</v>
      </c>
      <c r="V674" s="19">
        <v>327.55</v>
      </c>
      <c r="W674" s="19">
        <v>327.02</v>
      </c>
      <c r="X674" s="19">
        <v>298.97000000000003</v>
      </c>
      <c r="Y674" s="19">
        <v>279.14</v>
      </c>
      <c r="Z674" s="34" t="s">
        <v>36</v>
      </c>
      <c r="AA674" s="25">
        <f t="shared" si="20"/>
        <v>229.48</v>
      </c>
      <c r="AB674" s="25">
        <f t="shared" si="21"/>
        <v>293.16458333333298</v>
      </c>
      <c r="AF674" s="25">
        <f>MAX($B$674:$AE$674)</f>
        <v>403.79</v>
      </c>
      <c r="AG674" s="25">
        <f>MIN($B$674:$AE$674)</f>
        <v>229.48</v>
      </c>
      <c r="AH674" s="25">
        <f>AVERAGE($B$674:$AE$674)</f>
        <v>290.715176282051</v>
      </c>
    </row>
    <row r="675" spans="1:34">
      <c r="A675" s="30">
        <v>45970</v>
      </c>
      <c r="B675" s="19">
        <v>291.86</v>
      </c>
      <c r="C675" s="19">
        <v>285.29000000000002</v>
      </c>
      <c r="D675" s="19">
        <v>282.11</v>
      </c>
      <c r="E675" s="19">
        <v>278.79000000000002</v>
      </c>
      <c r="F675" s="19">
        <v>273.51</v>
      </c>
      <c r="G675" s="19">
        <v>270.77999999999997</v>
      </c>
      <c r="H675" s="19">
        <v>271.37</v>
      </c>
      <c r="I675" s="19">
        <v>269.58</v>
      </c>
      <c r="J675" s="19">
        <v>267.57</v>
      </c>
      <c r="K675" s="19">
        <v>265.14999999999998</v>
      </c>
      <c r="L675" s="19">
        <v>263.20999999999998</v>
      </c>
      <c r="M675" s="19">
        <v>261.77999999999997</v>
      </c>
      <c r="N675" s="19">
        <v>258.95</v>
      </c>
      <c r="O675" s="19">
        <v>263.2</v>
      </c>
      <c r="P675" s="19">
        <v>265.02999999999997</v>
      </c>
      <c r="Q675" s="19">
        <v>273.06</v>
      </c>
      <c r="R675" s="19">
        <v>291.66000000000003</v>
      </c>
      <c r="S675" s="19">
        <v>331.5</v>
      </c>
      <c r="T675" s="19">
        <v>340.1</v>
      </c>
      <c r="U675" s="19">
        <v>322.97000000000003</v>
      </c>
      <c r="V675" s="19">
        <v>302.89999999999998</v>
      </c>
      <c r="W675" s="19">
        <v>298.2</v>
      </c>
      <c r="X675" s="19">
        <v>285.73</v>
      </c>
      <c r="Y675" s="19">
        <v>268.14999999999998</v>
      </c>
      <c r="Z675" s="35" t="s">
        <v>37</v>
      </c>
      <c r="AA675" s="25">
        <f t="shared" si="20"/>
        <v>258.95</v>
      </c>
      <c r="AB675" s="25">
        <f t="shared" si="21"/>
        <v>282.60208333333298</v>
      </c>
      <c r="AF675" s="25">
        <f>MAX($B$675:$AE$675)</f>
        <v>340.1</v>
      </c>
      <c r="AG675" s="25">
        <f>MIN($B$675:$AE$675)</f>
        <v>258.95</v>
      </c>
      <c r="AH675" s="25">
        <f>AVERAGE($B$675:$AE$675)</f>
        <v>281.69238782051298</v>
      </c>
    </row>
    <row r="676" spans="1:34">
      <c r="A676" s="30">
        <v>45971</v>
      </c>
      <c r="B676" s="19">
        <v>271.66000000000003</v>
      </c>
      <c r="C676" s="19">
        <v>266.04000000000002</v>
      </c>
      <c r="D676" s="19">
        <v>263.37</v>
      </c>
      <c r="E676" s="19">
        <v>262.05</v>
      </c>
      <c r="F676" s="19">
        <v>258.12</v>
      </c>
      <c r="G676" s="19">
        <v>257.11</v>
      </c>
      <c r="H676" s="19">
        <v>263.48</v>
      </c>
      <c r="I676" s="19">
        <v>264.88</v>
      </c>
      <c r="J676" s="19">
        <v>270.37</v>
      </c>
      <c r="K676" s="19">
        <v>282.79000000000002</v>
      </c>
      <c r="L676" s="19">
        <v>230.42</v>
      </c>
      <c r="M676" s="19">
        <v>201.52</v>
      </c>
      <c r="N676" s="19">
        <v>164.64</v>
      </c>
      <c r="O676" s="19">
        <v>205.39</v>
      </c>
      <c r="P676" s="19">
        <v>258.44</v>
      </c>
      <c r="Q676" s="19">
        <v>272.14999999999998</v>
      </c>
      <c r="R676" s="19">
        <v>294.62</v>
      </c>
      <c r="S676" s="19">
        <v>308.95</v>
      </c>
      <c r="T676" s="19">
        <v>328.07</v>
      </c>
      <c r="U676" s="19">
        <v>319.61</v>
      </c>
      <c r="V676" s="19">
        <v>303.66000000000003</v>
      </c>
      <c r="W676" s="19">
        <v>294.62</v>
      </c>
      <c r="X676" s="19">
        <v>277.35000000000002</v>
      </c>
      <c r="Y676" s="19">
        <v>261.85000000000002</v>
      </c>
      <c r="Z676" s="32" t="s">
        <v>32</v>
      </c>
      <c r="AA676" s="25">
        <f t="shared" si="20"/>
        <v>164.64</v>
      </c>
      <c r="AB676" s="25">
        <f t="shared" si="21"/>
        <v>265.881666666667</v>
      </c>
      <c r="AF676" s="25">
        <f>MAX($B$676:$AE$676)</f>
        <v>328.07</v>
      </c>
      <c r="AG676" s="25">
        <f>MIN($B$676:$AE$676)</f>
        <v>164.64</v>
      </c>
      <c r="AH676" s="25">
        <f>AVERAGE($B$676:$AE$676)</f>
        <v>261.987756410256</v>
      </c>
    </row>
    <row r="677" spans="1:34">
      <c r="A677" s="30">
        <v>45972</v>
      </c>
      <c r="B677" s="19">
        <v>265.83999999999997</v>
      </c>
      <c r="C677" s="19">
        <v>261.06</v>
      </c>
      <c r="D677" s="19">
        <v>256.83999999999997</v>
      </c>
      <c r="E677" s="19">
        <v>255.58</v>
      </c>
      <c r="F677" s="19">
        <v>250.5</v>
      </c>
      <c r="G677" s="19">
        <v>249.46</v>
      </c>
      <c r="H677" s="19">
        <v>257.89</v>
      </c>
      <c r="I677" s="19">
        <v>260.56</v>
      </c>
      <c r="J677" s="19">
        <v>265.92</v>
      </c>
      <c r="K677" s="19">
        <v>247.06</v>
      </c>
      <c r="L677" s="19">
        <v>208.41</v>
      </c>
      <c r="M677" s="19">
        <v>194.63</v>
      </c>
      <c r="N677" s="19">
        <v>167.62</v>
      </c>
      <c r="O677" s="19">
        <v>182.3</v>
      </c>
      <c r="P677" s="19">
        <v>197.34</v>
      </c>
      <c r="Q677" s="19">
        <v>239.96</v>
      </c>
      <c r="R677" s="19">
        <v>268.42</v>
      </c>
      <c r="S677" s="19">
        <v>286.20999999999998</v>
      </c>
      <c r="T677" s="19">
        <v>297.66000000000003</v>
      </c>
      <c r="U677" s="19">
        <v>303.39</v>
      </c>
      <c r="V677" s="19">
        <v>287.95999999999998</v>
      </c>
      <c r="W677" s="19">
        <v>276.19</v>
      </c>
      <c r="X677" s="19">
        <v>262.93</v>
      </c>
      <c r="Y677" s="19">
        <v>247.06</v>
      </c>
      <c r="Z677" s="33" t="s">
        <v>32</v>
      </c>
      <c r="AA677" s="25">
        <f t="shared" si="20"/>
        <v>167.62</v>
      </c>
      <c r="AB677" s="25">
        <f t="shared" si="21"/>
        <v>249.61625000000001</v>
      </c>
      <c r="AF677" s="25">
        <f>MAX($B$677:$AE$677)</f>
        <v>303.39</v>
      </c>
      <c r="AG677" s="25">
        <f>MIN($B$677:$AE$677)</f>
        <v>167.62</v>
      </c>
      <c r="AH677" s="25">
        <f>AVERAGE($B$677:$AE$677)</f>
        <v>246.46254807692301</v>
      </c>
    </row>
    <row r="678" spans="1:34">
      <c r="A678" s="30">
        <v>45973</v>
      </c>
      <c r="B678" s="19">
        <v>242.02</v>
      </c>
      <c r="C678" s="19">
        <v>245.74</v>
      </c>
      <c r="D678" s="19">
        <v>240.85</v>
      </c>
      <c r="E678" s="19">
        <v>233.79</v>
      </c>
      <c r="F678" s="19">
        <v>211.07</v>
      </c>
      <c r="G678" s="19">
        <v>217.37</v>
      </c>
      <c r="H678" s="19">
        <v>248.28</v>
      </c>
      <c r="I678" s="19">
        <v>252.46</v>
      </c>
      <c r="J678" s="19">
        <v>253.56</v>
      </c>
      <c r="K678" s="19">
        <v>223.08</v>
      </c>
      <c r="L678" s="19">
        <v>190.11</v>
      </c>
      <c r="M678" s="19">
        <v>174.14</v>
      </c>
      <c r="N678" s="19">
        <v>113.56</v>
      </c>
      <c r="O678" s="19">
        <v>152.79</v>
      </c>
      <c r="P678" s="19">
        <v>189.82</v>
      </c>
      <c r="Q678" s="19">
        <v>212.48</v>
      </c>
      <c r="R678" s="19">
        <v>264.35000000000002</v>
      </c>
      <c r="S678" s="19">
        <v>278.20999999999998</v>
      </c>
      <c r="T678" s="19">
        <v>293.14999999999998</v>
      </c>
      <c r="U678" s="19">
        <v>288.93</v>
      </c>
      <c r="V678" s="19">
        <v>285.3</v>
      </c>
      <c r="W678" s="19">
        <v>278.35000000000002</v>
      </c>
      <c r="X678" s="19">
        <v>268.48</v>
      </c>
      <c r="Y678" s="19">
        <v>247.83</v>
      </c>
      <c r="Z678" s="32" t="s">
        <v>32</v>
      </c>
      <c r="AA678" s="25">
        <f t="shared" si="20"/>
        <v>113.56</v>
      </c>
      <c r="AB678" s="25">
        <f t="shared" si="21"/>
        <v>233.571666666667</v>
      </c>
      <c r="AF678" s="25">
        <f>MAX($B$678:$AE$678)</f>
        <v>293.14999999999998</v>
      </c>
      <c r="AG678" s="25">
        <f>MIN($B$678:$AE$678)</f>
        <v>113.56</v>
      </c>
      <c r="AH678" s="25">
        <f>AVERAGE($B$678:$AE$678)</f>
        <v>228.955833333333</v>
      </c>
    </row>
    <row r="679" spans="1:34">
      <c r="A679" s="30">
        <v>45974</v>
      </c>
      <c r="B679" s="19">
        <v>256.11</v>
      </c>
      <c r="C679" s="19">
        <v>255.1</v>
      </c>
      <c r="D679" s="19">
        <v>250.98</v>
      </c>
      <c r="E679" s="19">
        <v>248.8</v>
      </c>
      <c r="F679" s="19">
        <v>242.45</v>
      </c>
      <c r="G679" s="19">
        <v>242.44</v>
      </c>
      <c r="H679" s="19">
        <v>253.73</v>
      </c>
      <c r="I679" s="19">
        <v>256.52</v>
      </c>
      <c r="J679" s="19">
        <v>209.89</v>
      </c>
      <c r="K679" s="19">
        <v>198.93</v>
      </c>
      <c r="L679" s="19">
        <v>240.04</v>
      </c>
      <c r="M679" s="19">
        <v>185.57</v>
      </c>
      <c r="N679" s="19">
        <v>128.66</v>
      </c>
      <c r="O679" s="19">
        <v>161.44</v>
      </c>
      <c r="P679" s="19">
        <v>182.93</v>
      </c>
      <c r="Q679" s="19">
        <v>205.53</v>
      </c>
      <c r="R679" s="19">
        <v>253.66</v>
      </c>
      <c r="S679" s="19">
        <v>283.77</v>
      </c>
      <c r="T679" s="19">
        <v>311.52</v>
      </c>
      <c r="U679" s="19">
        <v>308.58999999999997</v>
      </c>
      <c r="V679" s="19">
        <v>286.87</v>
      </c>
      <c r="W679" s="19">
        <v>276.02</v>
      </c>
      <c r="X679" s="19">
        <v>266</v>
      </c>
      <c r="Y679" s="19">
        <v>244.92</v>
      </c>
      <c r="Z679" s="33" t="s">
        <v>32</v>
      </c>
      <c r="AA679" s="25">
        <f t="shared" si="20"/>
        <v>128.66</v>
      </c>
      <c r="AB679" s="25">
        <f t="shared" si="21"/>
        <v>239.602916666667</v>
      </c>
      <c r="AF679" s="25">
        <f>MAX($B$679:$AE$679)</f>
        <v>311.52</v>
      </c>
      <c r="AG679" s="25">
        <f>MIN($B$679:$AE$679)</f>
        <v>128.66</v>
      </c>
      <c r="AH679" s="25">
        <f>AVERAGE($B$679:$AE$679)</f>
        <v>235.33588141025601</v>
      </c>
    </row>
    <row r="680" spans="1:34">
      <c r="A680" s="30">
        <v>45975</v>
      </c>
      <c r="B680" s="19">
        <v>250.2</v>
      </c>
      <c r="C680" s="19">
        <v>247.61</v>
      </c>
      <c r="D680" s="19">
        <v>245.05</v>
      </c>
      <c r="E680" s="19">
        <v>237.49</v>
      </c>
      <c r="F680" s="19">
        <v>219.98</v>
      </c>
      <c r="G680" s="19">
        <v>218.34</v>
      </c>
      <c r="H680" s="19">
        <v>244.53</v>
      </c>
      <c r="I680" s="19">
        <v>252.35</v>
      </c>
      <c r="J680" s="19">
        <v>235.08</v>
      </c>
      <c r="K680" s="19">
        <v>189</v>
      </c>
      <c r="L680" s="19">
        <v>162.34</v>
      </c>
      <c r="M680" s="19">
        <v>156.56</v>
      </c>
      <c r="N680" s="19">
        <v>95.04</v>
      </c>
      <c r="O680" s="19">
        <v>125.98</v>
      </c>
      <c r="P680" s="19">
        <v>157.69</v>
      </c>
      <c r="Q680" s="19">
        <v>192.34</v>
      </c>
      <c r="R680" s="19">
        <v>246.24</v>
      </c>
      <c r="S680" s="19">
        <v>288.64999999999998</v>
      </c>
      <c r="T680" s="19">
        <v>314.95</v>
      </c>
      <c r="U680" s="19">
        <v>307.7</v>
      </c>
      <c r="V680" s="19">
        <v>291.31</v>
      </c>
      <c r="W680" s="19">
        <v>282.92</v>
      </c>
      <c r="X680" s="19">
        <v>265.89999999999998</v>
      </c>
      <c r="Y680" s="19">
        <v>240.62</v>
      </c>
      <c r="Z680" s="32" t="s">
        <v>32</v>
      </c>
      <c r="AA680" s="25">
        <f t="shared" si="20"/>
        <v>95.04</v>
      </c>
      <c r="AB680" s="25">
        <f t="shared" si="21"/>
        <v>227.82791666666699</v>
      </c>
      <c r="AF680" s="25">
        <f>MAX($B$680:$AE$680)</f>
        <v>314.95</v>
      </c>
      <c r="AG680" s="25">
        <f>MIN($B$680:$AE$680)</f>
        <v>95.04</v>
      </c>
      <c r="AH680" s="25">
        <f>AVERAGE($B$680:$AE$680)</f>
        <v>222.72068910256399</v>
      </c>
    </row>
    <row r="681" spans="1:34">
      <c r="A681" s="30">
        <v>45976</v>
      </c>
      <c r="B681" s="19">
        <v>256.39</v>
      </c>
      <c r="C681" s="19">
        <v>254.86</v>
      </c>
      <c r="D681" s="19">
        <v>247.08</v>
      </c>
      <c r="E681" s="19">
        <v>242.27</v>
      </c>
      <c r="F681" s="19">
        <v>225.67</v>
      </c>
      <c r="G681" s="19">
        <v>215.36</v>
      </c>
      <c r="H681" s="19">
        <v>230.23</v>
      </c>
      <c r="I681" s="19">
        <v>247.49</v>
      </c>
      <c r="J681" s="19">
        <v>235.19</v>
      </c>
      <c r="K681" s="19">
        <v>173.7</v>
      </c>
      <c r="L681" s="19">
        <v>119.57</v>
      </c>
      <c r="M681" s="19">
        <v>87.55</v>
      </c>
      <c r="N681" s="19">
        <v>49.88</v>
      </c>
      <c r="O681" s="19">
        <v>83.06</v>
      </c>
      <c r="P681" s="19">
        <v>106.91</v>
      </c>
      <c r="Q681" s="19">
        <v>155.91999999999999</v>
      </c>
      <c r="R681" s="19">
        <v>260.64</v>
      </c>
      <c r="S681" s="19">
        <v>295.52999999999997</v>
      </c>
      <c r="T681" s="19">
        <v>329.03</v>
      </c>
      <c r="U681" s="19">
        <v>313.14999999999998</v>
      </c>
      <c r="V681" s="19">
        <v>295.82</v>
      </c>
      <c r="W681" s="19">
        <v>280.45</v>
      </c>
      <c r="X681" s="19">
        <v>268.83999999999997</v>
      </c>
      <c r="Y681" s="19">
        <v>253.37</v>
      </c>
      <c r="Z681" s="36" t="s">
        <v>36</v>
      </c>
      <c r="AA681" s="25">
        <f t="shared" si="20"/>
        <v>49.88</v>
      </c>
      <c r="AB681" s="25">
        <f t="shared" si="21"/>
        <v>217.83166666666699</v>
      </c>
      <c r="AF681" s="25">
        <f>MAX($B$681:$AE$681)</f>
        <v>329.03</v>
      </c>
      <c r="AG681" s="25">
        <f>MIN($B$681:$AE$681)</f>
        <v>49.88</v>
      </c>
      <c r="AH681" s="25">
        <f>AVERAGE($B$681:$AE$681)</f>
        <v>211.37198717948701</v>
      </c>
    </row>
    <row r="682" spans="1:34">
      <c r="A682" s="30">
        <v>45977</v>
      </c>
      <c r="B682" s="19">
        <v>255.5</v>
      </c>
      <c r="C682" s="19">
        <v>241.57</v>
      </c>
      <c r="D682" s="19">
        <v>234.25</v>
      </c>
      <c r="E682" s="19">
        <v>226.38</v>
      </c>
      <c r="F682" s="19">
        <v>156.22</v>
      </c>
      <c r="G682" s="19">
        <v>118.91</v>
      </c>
      <c r="H682" s="19">
        <v>172.61</v>
      </c>
      <c r="I682" s="19">
        <v>172.42</v>
      </c>
      <c r="J682" s="19">
        <v>98.24</v>
      </c>
      <c r="K682" s="19">
        <v>16.059999999999999</v>
      </c>
      <c r="L682" s="19">
        <v>-5.61</v>
      </c>
      <c r="M682" s="19">
        <v>-10.78</v>
      </c>
      <c r="N682" s="19">
        <v>1.52</v>
      </c>
      <c r="O682" s="19">
        <v>4.43</v>
      </c>
      <c r="P682" s="19">
        <v>-0.73</v>
      </c>
      <c r="Q682" s="19">
        <v>98.84</v>
      </c>
      <c r="R682" s="19">
        <v>170.59</v>
      </c>
      <c r="S682" s="19">
        <v>266.02999999999997</v>
      </c>
      <c r="T682" s="19">
        <v>282.82</v>
      </c>
      <c r="U682" s="19">
        <v>277.52999999999997</v>
      </c>
      <c r="V682" s="19">
        <v>276.5</v>
      </c>
      <c r="W682" s="19">
        <v>275.89</v>
      </c>
      <c r="X682" s="19">
        <v>263.79000000000002</v>
      </c>
      <c r="Y682" s="19">
        <v>229.1</v>
      </c>
      <c r="Z682" s="37" t="s">
        <v>37</v>
      </c>
      <c r="AA682" s="25">
        <f t="shared" si="20"/>
        <v>-10.78</v>
      </c>
      <c r="AB682" s="25">
        <f t="shared" si="21"/>
        <v>159.25333333333299</v>
      </c>
      <c r="AF682" s="25">
        <f>MAX($B$682:$AE$682)</f>
        <v>282.82</v>
      </c>
      <c r="AG682" s="25">
        <f>MIN($B$682:$AE$682)</f>
        <v>-10.78</v>
      </c>
      <c r="AH682" s="25">
        <f>AVERAGE($B$682:$AE$682)</f>
        <v>152.71358974359001</v>
      </c>
    </row>
    <row r="683" spans="1:34">
      <c r="A683" s="30">
        <v>45978</v>
      </c>
      <c r="B683" s="19">
        <v>236.73</v>
      </c>
      <c r="C683" s="19">
        <v>234.9</v>
      </c>
      <c r="D683" s="19">
        <v>235.69</v>
      </c>
      <c r="E683" s="19">
        <v>232.48</v>
      </c>
      <c r="F683" s="19">
        <v>220.22</v>
      </c>
      <c r="G683" s="19">
        <v>214.43</v>
      </c>
      <c r="H683" s="19">
        <v>236.77</v>
      </c>
      <c r="I683" s="19">
        <v>249.56</v>
      </c>
      <c r="J683" s="19">
        <v>253.6</v>
      </c>
      <c r="K683" s="19">
        <v>222.31</v>
      </c>
      <c r="L683" s="19">
        <v>178.5</v>
      </c>
      <c r="M683" s="19">
        <v>164.43</v>
      </c>
      <c r="N683" s="19">
        <v>94.36</v>
      </c>
      <c r="O683" s="19">
        <v>142.35</v>
      </c>
      <c r="P683" s="19">
        <v>194.72</v>
      </c>
      <c r="Q683" s="19">
        <v>247.51</v>
      </c>
      <c r="R683" s="19">
        <v>273.31</v>
      </c>
      <c r="S683" s="19">
        <v>281.97000000000003</v>
      </c>
      <c r="T683" s="19">
        <v>287.76</v>
      </c>
      <c r="U683" s="19">
        <v>284.82</v>
      </c>
      <c r="V683" s="19">
        <v>277.32</v>
      </c>
      <c r="W683" s="19">
        <v>270.7</v>
      </c>
      <c r="X683" s="19">
        <v>251.31</v>
      </c>
      <c r="Y683" s="19">
        <v>192.62</v>
      </c>
      <c r="Z683" s="33" t="s">
        <v>32</v>
      </c>
      <c r="AA683" s="25">
        <f t="shared" si="20"/>
        <v>94.36</v>
      </c>
      <c r="AB683" s="25">
        <f t="shared" si="21"/>
        <v>228.26541666666699</v>
      </c>
      <c r="AF683" s="25">
        <f>MAX($B$683:$AE$683)</f>
        <v>287.76</v>
      </c>
      <c r="AG683" s="25">
        <f>MIN($B$683:$AE$683)</f>
        <v>94.36</v>
      </c>
      <c r="AH683" s="25">
        <f>AVERAGE($B$683:$AE$683)</f>
        <v>223.11520833333299</v>
      </c>
    </row>
    <row r="684" spans="1:34">
      <c r="A684" s="30">
        <v>45979</v>
      </c>
      <c r="B684" s="19">
        <v>242.38</v>
      </c>
      <c r="C684" s="19">
        <v>244.73</v>
      </c>
      <c r="D684" s="19">
        <v>213.31</v>
      </c>
      <c r="E684" s="19">
        <v>195.08</v>
      </c>
      <c r="F684" s="19">
        <v>191.75</v>
      </c>
      <c r="G684" s="19">
        <v>190.98</v>
      </c>
      <c r="H684" s="19">
        <v>214.61</v>
      </c>
      <c r="I684" s="19">
        <v>235</v>
      </c>
      <c r="J684" s="19">
        <v>242.45</v>
      </c>
      <c r="K684" s="19">
        <v>253.25</v>
      </c>
      <c r="L684" s="19">
        <v>231.92</v>
      </c>
      <c r="M684" s="19">
        <v>220.56</v>
      </c>
      <c r="N684" s="19">
        <v>209.96</v>
      </c>
      <c r="O684" s="19">
        <v>215.27</v>
      </c>
      <c r="P684" s="19">
        <v>220.52</v>
      </c>
      <c r="Q684" s="19">
        <v>229.46</v>
      </c>
      <c r="R684" s="19">
        <v>249.26</v>
      </c>
      <c r="S684" s="19">
        <v>259.54000000000002</v>
      </c>
      <c r="T684" s="19">
        <v>269.45999999999998</v>
      </c>
      <c r="U684" s="19">
        <v>265.83</v>
      </c>
      <c r="V684" s="19">
        <v>260.49</v>
      </c>
      <c r="W684" s="19">
        <v>256.45</v>
      </c>
      <c r="X684" s="19">
        <v>242.8</v>
      </c>
      <c r="Y684" s="19">
        <v>201.53</v>
      </c>
      <c r="Z684" s="32" t="s">
        <v>32</v>
      </c>
      <c r="AA684" s="25">
        <f t="shared" si="20"/>
        <v>190.98</v>
      </c>
      <c r="AB684" s="25">
        <f t="shared" si="21"/>
        <v>231.524583333333</v>
      </c>
      <c r="AF684" s="25">
        <f>MAX($B$684:$AE$684)</f>
        <v>269.45999999999998</v>
      </c>
      <c r="AG684" s="25">
        <f>MIN($B$684:$AE$684)</f>
        <v>190.98</v>
      </c>
      <c r="AH684" s="25">
        <f>AVERAGE($B$684:$AE$684)</f>
        <v>229.965176282051</v>
      </c>
    </row>
    <row r="685" spans="1:34">
      <c r="A685" s="30">
        <v>45980</v>
      </c>
      <c r="B685" s="19">
        <v>207.8</v>
      </c>
      <c r="C685" s="19">
        <v>237.25</v>
      </c>
      <c r="D685" s="19">
        <v>230.41</v>
      </c>
      <c r="E685" s="19">
        <v>206.47</v>
      </c>
      <c r="F685" s="19">
        <v>184.8</v>
      </c>
      <c r="G685" s="19">
        <v>196.23</v>
      </c>
      <c r="H685" s="19">
        <v>233.8</v>
      </c>
      <c r="I685" s="19">
        <v>241.04</v>
      </c>
      <c r="J685" s="19">
        <v>243.59</v>
      </c>
      <c r="K685" s="19">
        <v>244.46</v>
      </c>
      <c r="L685" s="19">
        <v>205.68</v>
      </c>
      <c r="M685" s="19">
        <v>190.89</v>
      </c>
      <c r="N685" s="19">
        <v>179.24</v>
      </c>
      <c r="O685" s="19">
        <v>174.67</v>
      </c>
      <c r="P685" s="19">
        <v>204.49</v>
      </c>
      <c r="Q685" s="19">
        <v>249.27</v>
      </c>
      <c r="R685" s="19">
        <v>278.49</v>
      </c>
      <c r="S685" s="19">
        <v>345.08</v>
      </c>
      <c r="T685" s="19">
        <v>384.45</v>
      </c>
      <c r="U685" s="19">
        <v>373.5</v>
      </c>
      <c r="V685" s="19">
        <v>344.42</v>
      </c>
      <c r="W685" s="19">
        <v>302.87</v>
      </c>
      <c r="X685" s="19">
        <v>267.08999999999997</v>
      </c>
      <c r="Y685" s="19">
        <v>255.03</v>
      </c>
      <c r="Z685" s="33" t="s">
        <v>32</v>
      </c>
      <c r="AA685" s="25">
        <f t="shared" si="20"/>
        <v>174.67</v>
      </c>
      <c r="AB685" s="25">
        <f t="shared" si="21"/>
        <v>249.20916666666699</v>
      </c>
      <c r="AF685" s="25">
        <f>MAX($B$685:$AE$685)</f>
        <v>384.45</v>
      </c>
      <c r="AG685" s="25">
        <f>MIN($B$685:$AE$685)</f>
        <v>174.67</v>
      </c>
      <c r="AH685" s="25">
        <f>AVERAGE($B$685:$AE$685)</f>
        <v>246.34227564102599</v>
      </c>
    </row>
    <row r="686" spans="1:34">
      <c r="A686" s="30">
        <v>45981</v>
      </c>
      <c r="B686" s="19">
        <v>231.84</v>
      </c>
      <c r="C686" s="19">
        <v>240.12</v>
      </c>
      <c r="D686" s="19">
        <v>227.98</v>
      </c>
      <c r="E686" s="19">
        <v>208.02</v>
      </c>
      <c r="F686" s="19">
        <v>204.35</v>
      </c>
      <c r="G686" s="19">
        <v>207.12</v>
      </c>
      <c r="H686" s="19">
        <v>239.46</v>
      </c>
      <c r="I686" s="19">
        <v>245.88</v>
      </c>
      <c r="J686" s="19">
        <v>250.88</v>
      </c>
      <c r="K686" s="19">
        <v>246.99</v>
      </c>
      <c r="L686" s="19">
        <v>208.78</v>
      </c>
      <c r="M686" s="19">
        <v>177.08</v>
      </c>
      <c r="N686" s="19">
        <v>136.47</v>
      </c>
      <c r="O686" s="19">
        <v>156.66</v>
      </c>
      <c r="P686" s="19">
        <v>210.44</v>
      </c>
      <c r="Q686" s="19">
        <v>239.21</v>
      </c>
      <c r="R686" s="19">
        <v>273.81</v>
      </c>
      <c r="S686" s="19">
        <v>310.5</v>
      </c>
      <c r="T686" s="19">
        <v>369.06</v>
      </c>
      <c r="U686" s="19">
        <v>355.54</v>
      </c>
      <c r="V686" s="19">
        <v>324.06</v>
      </c>
      <c r="W686" s="19">
        <v>304.20999999999998</v>
      </c>
      <c r="X686" s="19">
        <v>277.39999999999998</v>
      </c>
      <c r="Y686" s="19">
        <v>248.61</v>
      </c>
      <c r="Z686" s="32" t="s">
        <v>32</v>
      </c>
      <c r="AA686" s="25">
        <f t="shared" si="20"/>
        <v>136.47</v>
      </c>
      <c r="AB686" s="25">
        <f t="shared" si="21"/>
        <v>245.602916666667</v>
      </c>
      <c r="AF686" s="25">
        <f>MAX($B$686:$AE$686)</f>
        <v>369.06</v>
      </c>
      <c r="AG686" s="25">
        <f>MIN($B$686:$AE$686)</f>
        <v>136.47</v>
      </c>
      <c r="AH686" s="25">
        <f>AVERAGE($B$686:$AE$686)</f>
        <v>241.40549679487199</v>
      </c>
    </row>
    <row r="687" spans="1:34">
      <c r="A687" s="30">
        <v>45982</v>
      </c>
      <c r="B687" s="19">
        <v>248.39</v>
      </c>
      <c r="C687" s="19">
        <v>249.88</v>
      </c>
      <c r="D687" s="19">
        <v>228.04</v>
      </c>
      <c r="E687" s="19">
        <v>191.17</v>
      </c>
      <c r="F687" s="19">
        <v>177.24</v>
      </c>
      <c r="G687" s="19">
        <v>179.77</v>
      </c>
      <c r="H687" s="19">
        <v>239.46</v>
      </c>
      <c r="I687" s="19">
        <v>260.19</v>
      </c>
      <c r="J687" s="19">
        <v>249.72</v>
      </c>
      <c r="K687" s="19">
        <v>213.8</v>
      </c>
      <c r="L687" s="19">
        <v>158.25</v>
      </c>
      <c r="M687" s="19">
        <v>141.58000000000001</v>
      </c>
      <c r="N687" s="19">
        <v>78.72</v>
      </c>
      <c r="O687" s="19">
        <v>90.48</v>
      </c>
      <c r="P687" s="19">
        <v>136.81</v>
      </c>
      <c r="Q687" s="19">
        <v>194.25</v>
      </c>
      <c r="R687" s="19">
        <v>256.37</v>
      </c>
      <c r="S687" s="19">
        <v>317.01</v>
      </c>
      <c r="T687" s="19">
        <v>401.73</v>
      </c>
      <c r="U687" s="19">
        <v>403.49</v>
      </c>
      <c r="V687" s="19">
        <v>356.95</v>
      </c>
      <c r="W687" s="19">
        <v>317.85000000000002</v>
      </c>
      <c r="X687" s="19">
        <v>284.31</v>
      </c>
      <c r="Y687" s="19">
        <v>259.42</v>
      </c>
      <c r="Z687" s="33" t="s">
        <v>32</v>
      </c>
      <c r="AA687" s="25">
        <f t="shared" si="20"/>
        <v>78.72</v>
      </c>
      <c r="AB687" s="25">
        <f t="shared" si="21"/>
        <v>234.786666666667</v>
      </c>
      <c r="AF687" s="25">
        <f>MAX($B$687:$AE$687)</f>
        <v>403.49</v>
      </c>
      <c r="AG687" s="25">
        <f>MIN($B$687:$AE$687)</f>
        <v>78.72</v>
      </c>
      <c r="AH687" s="25">
        <f>AVERAGE($B$687:$AE$687)</f>
        <v>228.78410256410299</v>
      </c>
    </row>
    <row r="688" spans="1:34">
      <c r="A688" s="30">
        <v>45983</v>
      </c>
      <c r="B688" s="19">
        <v>268.72000000000003</v>
      </c>
      <c r="C688" s="19">
        <v>257.70999999999998</v>
      </c>
      <c r="D688" s="19">
        <v>247.16</v>
      </c>
      <c r="E688" s="19">
        <v>232.35</v>
      </c>
      <c r="F688" s="19">
        <v>229.19</v>
      </c>
      <c r="G688" s="19">
        <v>217.82</v>
      </c>
      <c r="H688" s="19">
        <v>235.31</v>
      </c>
      <c r="I688" s="19">
        <v>252.05</v>
      </c>
      <c r="J688" s="19">
        <v>262.95999999999998</v>
      </c>
      <c r="K688" s="19">
        <v>231.32</v>
      </c>
      <c r="L688" s="19">
        <v>118.05</v>
      </c>
      <c r="M688" s="19">
        <v>80.98</v>
      </c>
      <c r="N688" s="19">
        <v>5.59</v>
      </c>
      <c r="O688" s="19">
        <v>47.36</v>
      </c>
      <c r="P688" s="19">
        <v>122.73</v>
      </c>
      <c r="Q688" s="19">
        <v>184.53</v>
      </c>
      <c r="R688" s="19">
        <v>273.68</v>
      </c>
      <c r="S688" s="19">
        <v>325.39999999999998</v>
      </c>
      <c r="T688" s="19">
        <v>433.86</v>
      </c>
      <c r="U688" s="19">
        <v>456.53</v>
      </c>
      <c r="V688" s="19">
        <v>415.4</v>
      </c>
      <c r="W688" s="19">
        <v>365.03</v>
      </c>
      <c r="X688" s="19">
        <v>294.89999999999998</v>
      </c>
      <c r="Y688" s="19">
        <v>266.83</v>
      </c>
      <c r="Z688" s="34" t="s">
        <v>36</v>
      </c>
      <c r="AA688" s="25">
        <f t="shared" si="20"/>
        <v>5.59</v>
      </c>
      <c r="AB688" s="25">
        <f t="shared" si="21"/>
        <v>242.72749999999999</v>
      </c>
      <c r="AF688" s="25">
        <f>MAX($B$688:$AE$688)</f>
        <v>456.53</v>
      </c>
      <c r="AG688" s="25">
        <f>MIN($B$688:$AE$688)</f>
        <v>5.59</v>
      </c>
      <c r="AH688" s="25">
        <f>AVERAGE($B$688:$AE$688)</f>
        <v>233.60682692307699</v>
      </c>
    </row>
    <row r="689" spans="1:34">
      <c r="A689" s="30">
        <v>45984</v>
      </c>
      <c r="B689" s="19">
        <v>273.14999999999998</v>
      </c>
      <c r="C689" s="19">
        <v>267.17</v>
      </c>
      <c r="D689" s="19">
        <v>265.33999999999997</v>
      </c>
      <c r="E689" s="19">
        <v>258.26</v>
      </c>
      <c r="F689" s="19">
        <v>253.83</v>
      </c>
      <c r="G689" s="19">
        <v>249.42</v>
      </c>
      <c r="H689" s="19">
        <v>256.7</v>
      </c>
      <c r="I689" s="19">
        <v>258.75</v>
      </c>
      <c r="J689" s="19">
        <v>245.1</v>
      </c>
      <c r="K689" s="19">
        <v>214.45</v>
      </c>
      <c r="L689" s="19">
        <v>63.61</v>
      </c>
      <c r="M689" s="19">
        <v>8.44</v>
      </c>
      <c r="N689" s="19">
        <v>-12.07</v>
      </c>
      <c r="O689" s="19">
        <v>16.16</v>
      </c>
      <c r="P689" s="19">
        <v>82.67</v>
      </c>
      <c r="Q689" s="19">
        <v>200.65</v>
      </c>
      <c r="R689" s="19">
        <v>254.07</v>
      </c>
      <c r="S689" s="19">
        <v>282.07</v>
      </c>
      <c r="T689" s="19">
        <v>295.85000000000002</v>
      </c>
      <c r="U689" s="19">
        <v>293.72000000000003</v>
      </c>
      <c r="V689" s="19">
        <v>294.3</v>
      </c>
      <c r="W689" s="19">
        <v>292.76</v>
      </c>
      <c r="X689" s="19">
        <v>277.94</v>
      </c>
      <c r="Y689" s="19">
        <v>256.66000000000003</v>
      </c>
      <c r="Z689" s="35" t="s">
        <v>37</v>
      </c>
      <c r="AA689" s="25">
        <f t="shared" si="20"/>
        <v>-12.07</v>
      </c>
      <c r="AB689" s="25">
        <f t="shared" si="21"/>
        <v>214.541666666667</v>
      </c>
      <c r="AF689" s="25">
        <f>MAX($B$689:$AE$689)</f>
        <v>295.85000000000002</v>
      </c>
      <c r="AG689" s="25">
        <f>MIN($B$689:$AE$689)</f>
        <v>-12.07</v>
      </c>
      <c r="AH689" s="25">
        <f>AVERAGE($B$689:$AE$689)</f>
        <v>205.82583333333301</v>
      </c>
    </row>
    <row r="690" spans="1:34">
      <c r="A690" s="30">
        <v>45985</v>
      </c>
      <c r="B690" s="19">
        <v>269.14999999999998</v>
      </c>
      <c r="C690" s="19">
        <v>263.68</v>
      </c>
      <c r="D690" s="19">
        <v>260.81</v>
      </c>
      <c r="E690" s="19">
        <v>256.58</v>
      </c>
      <c r="F690" s="19">
        <v>252.39</v>
      </c>
      <c r="G690" s="19">
        <v>248.77</v>
      </c>
      <c r="H690" s="19">
        <v>262.10000000000002</v>
      </c>
      <c r="I690" s="19">
        <v>273.20999999999998</v>
      </c>
      <c r="J690" s="19">
        <v>284.43</v>
      </c>
      <c r="K690" s="19">
        <v>279.42</v>
      </c>
      <c r="L690" s="19">
        <v>191.11</v>
      </c>
      <c r="M690" s="19">
        <v>140.03</v>
      </c>
      <c r="N690" s="19">
        <v>107.54</v>
      </c>
      <c r="O690" s="19">
        <v>110.75</v>
      </c>
      <c r="P690" s="19">
        <v>167.08</v>
      </c>
      <c r="Q690" s="19">
        <v>230.32</v>
      </c>
      <c r="R690" s="19">
        <v>280.19</v>
      </c>
      <c r="S690" s="19">
        <v>317.02999999999997</v>
      </c>
      <c r="T690" s="19">
        <v>336.27</v>
      </c>
      <c r="U690" s="19">
        <v>336.22</v>
      </c>
      <c r="V690" s="19">
        <v>308.77</v>
      </c>
      <c r="W690" s="19">
        <v>298.02999999999997</v>
      </c>
      <c r="X690" s="19">
        <v>281.39</v>
      </c>
      <c r="Y690" s="19">
        <v>240.5</v>
      </c>
      <c r="Z690" s="32" t="s">
        <v>32</v>
      </c>
      <c r="AA690" s="25">
        <f t="shared" si="20"/>
        <v>107.54</v>
      </c>
      <c r="AB690" s="25">
        <f t="shared" si="21"/>
        <v>249.82374999999999</v>
      </c>
      <c r="AF690" s="25">
        <f>MAX($B$690:$AE$690)</f>
        <v>336.27</v>
      </c>
      <c r="AG690" s="25">
        <f>MIN($B$690:$AE$690)</f>
        <v>107.54</v>
      </c>
      <c r="AH690" s="25">
        <f>AVERAGE($B$690:$AE$690)</f>
        <v>244.351298076923</v>
      </c>
    </row>
    <row r="691" spans="1:34">
      <c r="A691" s="30">
        <v>45986</v>
      </c>
      <c r="B691" s="19">
        <v>217.5</v>
      </c>
      <c r="C691" s="19">
        <v>224.55</v>
      </c>
      <c r="D691" s="19">
        <v>216.33</v>
      </c>
      <c r="E691" s="19">
        <v>195.67</v>
      </c>
      <c r="F691" s="19">
        <v>173.36</v>
      </c>
      <c r="G691" s="19">
        <v>150.72999999999999</v>
      </c>
      <c r="H691" s="19">
        <v>219.71</v>
      </c>
      <c r="I691" s="19">
        <v>246.43</v>
      </c>
      <c r="J691" s="19">
        <v>232.31</v>
      </c>
      <c r="K691" s="19">
        <v>179.51</v>
      </c>
      <c r="L691" s="19">
        <v>58.14</v>
      </c>
      <c r="M691" s="19">
        <v>26.31</v>
      </c>
      <c r="N691" s="19">
        <v>-2.7</v>
      </c>
      <c r="O691" s="19">
        <v>10.59</v>
      </c>
      <c r="P691" s="19">
        <v>60.16</v>
      </c>
      <c r="Q691" s="19">
        <v>111.36</v>
      </c>
      <c r="R691" s="19">
        <v>236.8</v>
      </c>
      <c r="S691" s="19">
        <v>295.87</v>
      </c>
      <c r="T691" s="19">
        <v>429.96</v>
      </c>
      <c r="U691" s="19">
        <v>434.36</v>
      </c>
      <c r="V691" s="19">
        <v>348.7</v>
      </c>
      <c r="W691" s="19">
        <v>298.67</v>
      </c>
      <c r="X691" s="19">
        <v>266.17</v>
      </c>
      <c r="Y691" s="19">
        <v>231.62</v>
      </c>
      <c r="Z691" s="33" t="s">
        <v>32</v>
      </c>
      <c r="AA691" s="25">
        <f t="shared" si="20"/>
        <v>-2.7</v>
      </c>
      <c r="AB691" s="25">
        <f t="shared" si="21"/>
        <v>202.58791666666701</v>
      </c>
      <c r="AF691" s="25">
        <f>MAX($B$691:$AE$691)</f>
        <v>434.36</v>
      </c>
      <c r="AG691" s="25">
        <f>MIN($B$691:$AE$691)</f>
        <v>-2.7</v>
      </c>
      <c r="AH691" s="25">
        <f>AVERAGE($B$691:$AE$691)</f>
        <v>194.69222756410301</v>
      </c>
    </row>
    <row r="692" spans="1:34">
      <c r="A692" s="30">
        <v>45987</v>
      </c>
      <c r="B692" s="19">
        <v>245.41</v>
      </c>
      <c r="C692" s="19">
        <v>241.35</v>
      </c>
      <c r="D692" s="19">
        <v>239.69</v>
      </c>
      <c r="E692" s="19">
        <v>237.73</v>
      </c>
      <c r="F692" s="19">
        <v>230.66</v>
      </c>
      <c r="G692" s="19">
        <v>227.01</v>
      </c>
      <c r="H692" s="19">
        <v>247.72</v>
      </c>
      <c r="I692" s="19">
        <v>255.41</v>
      </c>
      <c r="J692" s="19">
        <v>250.27</v>
      </c>
      <c r="K692" s="19">
        <v>175.62</v>
      </c>
      <c r="L692" s="19">
        <v>16.59</v>
      </c>
      <c r="M692" s="19">
        <v>-29.2</v>
      </c>
      <c r="N692" s="19">
        <v>-66.489999999999995</v>
      </c>
      <c r="O692" s="19">
        <v>-17.86</v>
      </c>
      <c r="P692" s="19">
        <v>52.9</v>
      </c>
      <c r="Q692" s="19">
        <v>134.63999999999999</v>
      </c>
      <c r="R692" s="19">
        <v>258.8</v>
      </c>
      <c r="S692" s="19">
        <v>292.12</v>
      </c>
      <c r="T692" s="19">
        <v>304.3</v>
      </c>
      <c r="U692" s="19">
        <v>300.83999999999997</v>
      </c>
      <c r="V692" s="19">
        <v>294.58999999999997</v>
      </c>
      <c r="W692" s="19">
        <v>286.5</v>
      </c>
      <c r="X692" s="19">
        <v>269.32</v>
      </c>
      <c r="Y692" s="19">
        <v>210.14</v>
      </c>
      <c r="Z692" s="32" t="s">
        <v>32</v>
      </c>
      <c r="AA692" s="25">
        <f t="shared" si="20"/>
        <v>-66.489999999999995</v>
      </c>
      <c r="AB692" s="25">
        <f t="shared" si="21"/>
        <v>194.085833333333</v>
      </c>
      <c r="AF692" s="25">
        <f>MAX($B$692:$AE$692)</f>
        <v>304.3</v>
      </c>
      <c r="AG692" s="25">
        <f>MIN($B$692:$AE$692)</f>
        <v>-66.489999999999995</v>
      </c>
      <c r="AH692" s="25">
        <f>AVERAGE($B$692:$AE$692)</f>
        <v>184.06368589743599</v>
      </c>
    </row>
    <row r="693" spans="1:34">
      <c r="A693" s="30">
        <v>45988</v>
      </c>
      <c r="B693" s="19">
        <v>212.98</v>
      </c>
      <c r="C693" s="19">
        <v>241.67</v>
      </c>
      <c r="D693" s="19">
        <v>226.93</v>
      </c>
      <c r="E693" s="19">
        <v>200.65</v>
      </c>
      <c r="F693" s="19">
        <v>193.1</v>
      </c>
      <c r="G693" s="19">
        <v>208.35</v>
      </c>
      <c r="H693" s="19">
        <v>230.08</v>
      </c>
      <c r="I693" s="19">
        <v>243.12</v>
      </c>
      <c r="J693" s="19">
        <v>261.93</v>
      </c>
      <c r="K693" s="19">
        <v>136.06</v>
      </c>
      <c r="L693" s="19">
        <v>43.17</v>
      </c>
      <c r="M693" s="19">
        <v>4.38</v>
      </c>
      <c r="N693" s="19">
        <v>-47.21</v>
      </c>
      <c r="O693" s="19">
        <v>-13</v>
      </c>
      <c r="P693" s="19">
        <v>14.1</v>
      </c>
      <c r="Q693" s="19">
        <v>104.49</v>
      </c>
      <c r="R693" s="19">
        <v>212.66</v>
      </c>
      <c r="S693" s="19">
        <v>274.55</v>
      </c>
      <c r="T693" s="19">
        <v>302.74</v>
      </c>
      <c r="U693" s="19">
        <v>294.76</v>
      </c>
      <c r="V693" s="19">
        <v>286.36</v>
      </c>
      <c r="W693" s="19">
        <v>279.57</v>
      </c>
      <c r="X693" s="19">
        <v>257.47000000000003</v>
      </c>
      <c r="Y693" s="19">
        <v>235.71</v>
      </c>
      <c r="Z693" s="33" t="s">
        <v>32</v>
      </c>
      <c r="AA693" s="25">
        <f t="shared" si="20"/>
        <v>-47.21</v>
      </c>
      <c r="AB693" s="25">
        <f t="shared" si="21"/>
        <v>183.525833333333</v>
      </c>
      <c r="AF693" s="25">
        <f>MAX($B$693:$AE$693)</f>
        <v>302.74</v>
      </c>
      <c r="AG693" s="25">
        <f>MIN($B$693:$AE$693)</f>
        <v>-47.21</v>
      </c>
      <c r="AH693" s="25">
        <f>AVERAGE($B$693:$AE$693)</f>
        <v>174.651378205128</v>
      </c>
    </row>
    <row r="694" spans="1:34">
      <c r="A694" s="30">
        <v>45989</v>
      </c>
      <c r="B694" s="19">
        <v>257.01</v>
      </c>
      <c r="C694" s="19">
        <v>244.61</v>
      </c>
      <c r="D694" s="19">
        <v>243.79</v>
      </c>
      <c r="E694" s="19">
        <v>240.74</v>
      </c>
      <c r="F694" s="19">
        <v>232.94</v>
      </c>
      <c r="G694" s="19">
        <v>233.04</v>
      </c>
      <c r="H694" s="19">
        <v>250.35</v>
      </c>
      <c r="I694" s="19">
        <v>263.2</v>
      </c>
      <c r="J694" s="19">
        <v>253.74</v>
      </c>
      <c r="K694" s="19">
        <v>182.56</v>
      </c>
      <c r="L694" s="19">
        <v>91.23</v>
      </c>
      <c r="M694" s="19">
        <v>94.57</v>
      </c>
      <c r="N694" s="19">
        <v>-13.38</v>
      </c>
      <c r="O694" s="19">
        <v>38.130000000000003</v>
      </c>
      <c r="P694" s="19">
        <v>99.26</v>
      </c>
      <c r="Q694" s="19">
        <v>163.51</v>
      </c>
      <c r="R694" s="19">
        <v>270.05</v>
      </c>
      <c r="S694" s="19">
        <v>357.07</v>
      </c>
      <c r="T694" s="19">
        <v>461.15</v>
      </c>
      <c r="U694" s="19">
        <v>410.13</v>
      </c>
      <c r="V694" s="19">
        <v>377.43</v>
      </c>
      <c r="W694" s="19">
        <v>341.69</v>
      </c>
      <c r="X694" s="19">
        <v>302.91000000000003</v>
      </c>
      <c r="Y694" s="19">
        <v>270.64999999999998</v>
      </c>
      <c r="Z694" s="32" t="s">
        <v>32</v>
      </c>
      <c r="AA694" s="25">
        <f t="shared" si="20"/>
        <v>-13.38</v>
      </c>
      <c r="AB694" s="25">
        <f t="shared" si="21"/>
        <v>236.099166666667</v>
      </c>
      <c r="AF694" s="25">
        <f>MAX($B$694:$AE$694)</f>
        <v>461.15</v>
      </c>
      <c r="AG694" s="25">
        <f>MIN($B$694:$AE$694)</f>
        <v>-13.38</v>
      </c>
      <c r="AH694" s="25">
        <f>AVERAGE($B$694:$AE$694)</f>
        <v>226.50381410256401</v>
      </c>
    </row>
    <row r="695" spans="1:34">
      <c r="A695" s="30">
        <v>45990</v>
      </c>
      <c r="B695" s="19">
        <v>296.79000000000002</v>
      </c>
      <c r="C695" s="19">
        <v>280.99</v>
      </c>
      <c r="D695" s="19">
        <v>276.87</v>
      </c>
      <c r="E695" s="19">
        <v>273.7</v>
      </c>
      <c r="F695" s="19">
        <v>271.74</v>
      </c>
      <c r="G695" s="19">
        <v>271.02</v>
      </c>
      <c r="H695" s="19">
        <v>282.56</v>
      </c>
      <c r="I695" s="19">
        <v>298.52999999999997</v>
      </c>
      <c r="J695" s="19">
        <v>279.54000000000002</v>
      </c>
      <c r="K695" s="19">
        <v>246.42</v>
      </c>
      <c r="L695" s="19">
        <v>108.22</v>
      </c>
      <c r="M695" s="19">
        <v>46.19</v>
      </c>
      <c r="N695" s="19">
        <v>10.46</v>
      </c>
      <c r="O695" s="19">
        <v>54.09</v>
      </c>
      <c r="P695" s="19">
        <v>109.23</v>
      </c>
      <c r="Q695" s="19">
        <v>205.65</v>
      </c>
      <c r="R695" s="19">
        <v>268.10000000000002</v>
      </c>
      <c r="S695" s="19">
        <v>352.97</v>
      </c>
      <c r="T695" s="19">
        <v>457.9</v>
      </c>
      <c r="U695" s="19">
        <v>466.84</v>
      </c>
      <c r="V695" s="19">
        <v>398.91</v>
      </c>
      <c r="W695" s="19">
        <v>352.23</v>
      </c>
      <c r="X695" s="19">
        <v>315.26</v>
      </c>
      <c r="Y695" s="19">
        <v>281.26</v>
      </c>
      <c r="Z695" s="36" t="s">
        <v>36</v>
      </c>
      <c r="AA695" s="25">
        <f t="shared" si="20"/>
        <v>10.46</v>
      </c>
      <c r="AB695" s="25">
        <f t="shared" si="21"/>
        <v>258.56124999999997</v>
      </c>
      <c r="AF695" s="25">
        <f>MAX($B$695:$AE$695)</f>
        <v>466.84</v>
      </c>
      <c r="AG695" s="25">
        <f>MIN($B$695:$AE$695)</f>
        <v>10.46</v>
      </c>
      <c r="AH695" s="25">
        <f>AVERAGE($B$695:$AE$695)</f>
        <v>249.01889423076901</v>
      </c>
    </row>
    <row r="696" spans="1:34">
      <c r="A696" s="30">
        <v>45991</v>
      </c>
      <c r="B696" s="19">
        <v>324.66000000000003</v>
      </c>
      <c r="C696" s="19">
        <v>303.06</v>
      </c>
      <c r="D696" s="19">
        <v>297.98</v>
      </c>
      <c r="E696" s="19">
        <v>294.89999999999998</v>
      </c>
      <c r="F696" s="19">
        <v>286.61</v>
      </c>
      <c r="G696" s="19">
        <v>284.88</v>
      </c>
      <c r="H696" s="19">
        <v>290.89</v>
      </c>
      <c r="I696" s="19">
        <v>296.66000000000003</v>
      </c>
      <c r="J696" s="19">
        <v>287.77999999999997</v>
      </c>
      <c r="K696" s="19">
        <v>262.56</v>
      </c>
      <c r="L696" s="19">
        <v>179.84</v>
      </c>
      <c r="M696" s="19">
        <v>111.15</v>
      </c>
      <c r="N696" s="19">
        <v>111.69</v>
      </c>
      <c r="O696" s="19">
        <v>134.88999999999999</v>
      </c>
      <c r="P696" s="19">
        <v>185.2</v>
      </c>
      <c r="Q696" s="19">
        <v>246.62</v>
      </c>
      <c r="R696" s="19">
        <v>285.14</v>
      </c>
      <c r="S696" s="19">
        <v>397.83</v>
      </c>
      <c r="T696" s="19">
        <v>481.44</v>
      </c>
      <c r="U696" s="19">
        <v>493.73</v>
      </c>
      <c r="V696" s="19">
        <v>498.36</v>
      </c>
      <c r="W696" s="19">
        <v>411.16</v>
      </c>
      <c r="X696" s="19">
        <v>346.5</v>
      </c>
      <c r="Y696" s="19">
        <v>298</v>
      </c>
      <c r="Z696" s="37" t="s">
        <v>37</v>
      </c>
      <c r="AA696" s="25">
        <f t="shared" si="20"/>
        <v>111.15</v>
      </c>
      <c r="AB696" s="25">
        <f t="shared" si="21"/>
        <v>296.31375000000003</v>
      </c>
      <c r="AF696" s="25">
        <f>MAX($B$696:$AE$696)</f>
        <v>498.36</v>
      </c>
      <c r="AG696" s="25">
        <f>MIN($B$696:$AE$696)</f>
        <v>111.15</v>
      </c>
      <c r="AH696" s="25">
        <f>AVERAGE($B$696:$AE$696)</f>
        <v>289.19206730769201</v>
      </c>
    </row>
    <row r="697" spans="1:34">
      <c r="A697" s="30">
        <v>45992</v>
      </c>
      <c r="B697" s="19">
        <v>424.58</v>
      </c>
      <c r="C697" s="19">
        <v>369.07</v>
      </c>
      <c r="D697" s="19">
        <v>332.16</v>
      </c>
      <c r="E697" s="19">
        <v>314.43</v>
      </c>
      <c r="F697" s="19">
        <v>303.14</v>
      </c>
      <c r="G697" s="19">
        <v>303.05</v>
      </c>
      <c r="H697" s="19">
        <v>390.99</v>
      </c>
      <c r="I697" s="19">
        <v>454.88</v>
      </c>
      <c r="J697" s="19">
        <v>498.98</v>
      </c>
      <c r="K697" s="19">
        <v>394.38</v>
      </c>
      <c r="L697" s="19">
        <v>273.39</v>
      </c>
      <c r="M697" s="19">
        <v>292.35000000000002</v>
      </c>
      <c r="N697" s="19">
        <v>260.76</v>
      </c>
      <c r="O697" s="19">
        <v>281.95</v>
      </c>
      <c r="P697" s="19">
        <v>263.06</v>
      </c>
      <c r="Q697" s="19">
        <v>281.45</v>
      </c>
      <c r="R697" s="19">
        <v>405.88</v>
      </c>
      <c r="S697" s="19">
        <v>657.29</v>
      </c>
      <c r="T697" s="19">
        <v>692.17</v>
      </c>
      <c r="U697" s="19">
        <v>773.49</v>
      </c>
      <c r="V697" s="19">
        <v>634.92999999999995</v>
      </c>
      <c r="W697" s="19">
        <v>599.04</v>
      </c>
      <c r="X697" s="19">
        <v>499.42</v>
      </c>
      <c r="Y697" s="19">
        <v>376.11</v>
      </c>
      <c r="Z697" s="33" t="s">
        <v>32</v>
      </c>
      <c r="AA697" s="25">
        <f t="shared" si="20"/>
        <v>260.76</v>
      </c>
      <c r="AB697" s="25">
        <f t="shared" si="21"/>
        <v>419.87291666666698</v>
      </c>
      <c r="AF697" s="25">
        <f>MAX($B$697:$AE$697)</f>
        <v>773.49</v>
      </c>
      <c r="AG697" s="25">
        <f>MIN($B$697:$AE$697)</f>
        <v>260.76</v>
      </c>
      <c r="AH697" s="25">
        <f>AVERAGE($B$697:$AE$697)</f>
        <v>413.75318910256402</v>
      </c>
    </row>
    <row r="698" spans="1:34">
      <c r="A698" s="30">
        <v>45993</v>
      </c>
      <c r="B698" s="19">
        <v>425.07</v>
      </c>
      <c r="C698" s="19">
        <v>400.51</v>
      </c>
      <c r="D698" s="19">
        <v>391.29</v>
      </c>
      <c r="E698" s="19">
        <v>362.56</v>
      </c>
      <c r="F698" s="19">
        <v>329.38</v>
      </c>
      <c r="G698" s="19">
        <v>355.6</v>
      </c>
      <c r="H698" s="19">
        <v>420.5</v>
      </c>
      <c r="I698" s="19">
        <v>466.52</v>
      </c>
      <c r="J698" s="19">
        <v>494.78</v>
      </c>
      <c r="K698" s="19">
        <v>452.92</v>
      </c>
      <c r="L698" s="19">
        <v>343.97</v>
      </c>
      <c r="M698" s="19">
        <v>295.19</v>
      </c>
      <c r="N698" s="19">
        <v>262.55</v>
      </c>
      <c r="O698" s="19">
        <v>273.14</v>
      </c>
      <c r="P698" s="19">
        <v>278.7</v>
      </c>
      <c r="Q698" s="19">
        <v>313.76</v>
      </c>
      <c r="R698" s="19">
        <v>419.18</v>
      </c>
      <c r="S698" s="19">
        <v>539.47</v>
      </c>
      <c r="T698" s="19">
        <v>711.11</v>
      </c>
      <c r="U698" s="19">
        <v>542.94000000000005</v>
      </c>
      <c r="V698" s="19">
        <v>493.8</v>
      </c>
      <c r="W698" s="19">
        <v>427.56</v>
      </c>
      <c r="X698" s="19">
        <v>310.64999999999998</v>
      </c>
      <c r="Y698" s="19">
        <v>268.83999999999997</v>
      </c>
      <c r="Z698" s="32" t="s">
        <v>32</v>
      </c>
      <c r="AA698" s="25">
        <f t="shared" si="20"/>
        <v>262.55</v>
      </c>
      <c r="AB698" s="25">
        <f t="shared" si="21"/>
        <v>399.16624999999999</v>
      </c>
      <c r="AF698" s="25">
        <f>MAX($B$698:$AE$698)</f>
        <v>711.11</v>
      </c>
      <c r="AG698" s="25">
        <f>MIN($B$698:$AE$698)</f>
        <v>262.55</v>
      </c>
      <c r="AH698" s="25">
        <f>AVERAGE($B$698:$AE$698)</f>
        <v>393.91177884615399</v>
      </c>
    </row>
    <row r="699" spans="1:34">
      <c r="A699" s="30">
        <v>45994</v>
      </c>
      <c r="B699" s="19">
        <v>295.81</v>
      </c>
      <c r="C699" s="19">
        <v>282.19</v>
      </c>
      <c r="D699" s="19">
        <v>274.17</v>
      </c>
      <c r="E699" s="19">
        <v>267.83</v>
      </c>
      <c r="F699" s="19">
        <v>261.72000000000003</v>
      </c>
      <c r="G699" s="19">
        <v>259.14</v>
      </c>
      <c r="H699" s="19">
        <v>260</v>
      </c>
      <c r="I699" s="19">
        <v>261.52999999999997</v>
      </c>
      <c r="J699" s="19">
        <v>293.45999999999998</v>
      </c>
      <c r="K699" s="19">
        <v>289.35000000000002</v>
      </c>
      <c r="L699" s="19">
        <v>280.99</v>
      </c>
      <c r="M699" s="19">
        <v>256.44</v>
      </c>
      <c r="N699" s="19">
        <v>254.73</v>
      </c>
      <c r="O699" s="19">
        <v>244.51</v>
      </c>
      <c r="P699" s="19">
        <v>248.09</v>
      </c>
      <c r="Q699" s="19">
        <v>259.86</v>
      </c>
      <c r="R699" s="19">
        <v>290.63</v>
      </c>
      <c r="S699" s="19">
        <v>364.28</v>
      </c>
      <c r="T699" s="19">
        <v>387.34</v>
      </c>
      <c r="U699" s="19">
        <v>372.52</v>
      </c>
      <c r="V699" s="19">
        <v>355.32</v>
      </c>
      <c r="W699" s="19">
        <v>324.88</v>
      </c>
      <c r="X699" s="19">
        <v>290.75</v>
      </c>
      <c r="Y699" s="19">
        <v>261.42</v>
      </c>
      <c r="Z699" s="33" t="s">
        <v>32</v>
      </c>
      <c r="AA699" s="25">
        <f t="shared" ref="AA699:AA725" si="22">MIN(B699:Y699)</f>
        <v>244.51</v>
      </c>
      <c r="AB699" s="25">
        <f t="shared" ref="AB699:AB725" si="23">AVERAGE(B699:Y699)</f>
        <v>289.04000000000002</v>
      </c>
      <c r="AF699" s="25">
        <f>MAX($B$699:$AE$699)</f>
        <v>387.34</v>
      </c>
      <c r="AG699" s="25">
        <f>MIN($B$699:$AE$699)</f>
        <v>244.51</v>
      </c>
      <c r="AH699" s="25">
        <f>AVERAGE($B$699:$AE$699)</f>
        <v>287.32730769230801</v>
      </c>
    </row>
    <row r="700" spans="1:34">
      <c r="A700" s="30">
        <v>45995</v>
      </c>
      <c r="B700" s="19">
        <v>275.92</v>
      </c>
      <c r="C700" s="19">
        <v>263.74</v>
      </c>
      <c r="D700" s="19">
        <v>267.82</v>
      </c>
      <c r="E700" s="19">
        <v>266.58</v>
      </c>
      <c r="F700" s="19">
        <v>258.42</v>
      </c>
      <c r="G700" s="19">
        <v>251.38</v>
      </c>
      <c r="H700" s="19">
        <v>264.29000000000002</v>
      </c>
      <c r="I700" s="19">
        <v>279.97000000000003</v>
      </c>
      <c r="J700" s="19">
        <v>295.35000000000002</v>
      </c>
      <c r="K700" s="19">
        <v>290.91000000000003</v>
      </c>
      <c r="L700" s="19">
        <v>250.63</v>
      </c>
      <c r="M700" s="19">
        <v>233.4</v>
      </c>
      <c r="N700" s="19">
        <v>133.83000000000001</v>
      </c>
      <c r="O700" s="19">
        <v>187.97</v>
      </c>
      <c r="P700" s="19">
        <v>246.27</v>
      </c>
      <c r="Q700" s="19">
        <v>263.43</v>
      </c>
      <c r="R700" s="19">
        <v>301.91000000000003</v>
      </c>
      <c r="S700" s="19">
        <v>387.49</v>
      </c>
      <c r="T700" s="19">
        <v>440.33</v>
      </c>
      <c r="U700" s="19">
        <v>424.08</v>
      </c>
      <c r="V700" s="19">
        <v>371.14</v>
      </c>
      <c r="W700" s="19">
        <v>335.75</v>
      </c>
      <c r="X700" s="19">
        <v>304.89</v>
      </c>
      <c r="Y700" s="19">
        <v>273.94</v>
      </c>
      <c r="Z700" s="32" t="s">
        <v>32</v>
      </c>
      <c r="AA700" s="25">
        <f t="shared" si="22"/>
        <v>133.83000000000001</v>
      </c>
      <c r="AB700" s="25">
        <f t="shared" si="23"/>
        <v>286.22666666666697</v>
      </c>
      <c r="AF700" s="25">
        <f>MAX($B$700:$AE$700)</f>
        <v>440.33</v>
      </c>
      <c r="AG700" s="25">
        <f>MIN($B$700:$AE$700)</f>
        <v>133.83000000000001</v>
      </c>
      <c r="AH700" s="25">
        <f>AVERAGE($B$700:$AE$700)</f>
        <v>280.36525641025599</v>
      </c>
    </row>
    <row r="701" spans="1:34">
      <c r="A701" s="30">
        <v>45996</v>
      </c>
      <c r="B701" s="19">
        <v>294.77</v>
      </c>
      <c r="C701" s="19">
        <v>289.83999999999997</v>
      </c>
      <c r="D701" s="19">
        <v>287.68</v>
      </c>
      <c r="E701" s="19">
        <v>274.08</v>
      </c>
      <c r="F701" s="19">
        <v>267.12</v>
      </c>
      <c r="G701" s="19">
        <v>267.33</v>
      </c>
      <c r="H701" s="19">
        <v>298.27999999999997</v>
      </c>
      <c r="I701" s="19">
        <v>315.85000000000002</v>
      </c>
      <c r="J701" s="19">
        <v>345.25</v>
      </c>
      <c r="K701" s="19">
        <v>326.72000000000003</v>
      </c>
      <c r="L701" s="19">
        <v>278.41000000000003</v>
      </c>
      <c r="M701" s="19">
        <v>291.72000000000003</v>
      </c>
      <c r="N701" s="19">
        <v>282.45999999999998</v>
      </c>
      <c r="O701" s="19">
        <v>407.66</v>
      </c>
      <c r="P701" s="19">
        <v>285.64</v>
      </c>
      <c r="Q701" s="19">
        <v>280.35000000000002</v>
      </c>
      <c r="R701" s="19">
        <v>335.89</v>
      </c>
      <c r="S701" s="19">
        <v>466.23</v>
      </c>
      <c r="T701" s="19">
        <v>512.22</v>
      </c>
      <c r="U701" s="19">
        <v>530.67999999999995</v>
      </c>
      <c r="V701" s="19">
        <v>476.82</v>
      </c>
      <c r="W701" s="19">
        <v>460</v>
      </c>
      <c r="X701" s="19">
        <v>379.04</v>
      </c>
      <c r="Y701" s="19">
        <v>301.99</v>
      </c>
      <c r="Z701" s="33" t="s">
        <v>32</v>
      </c>
      <c r="AA701" s="25">
        <f t="shared" si="22"/>
        <v>267.12</v>
      </c>
      <c r="AB701" s="25">
        <f t="shared" si="23"/>
        <v>344.00125000000003</v>
      </c>
      <c r="AF701" s="25">
        <f>MAX($B$701:$AE$701)</f>
        <v>530.67999999999995</v>
      </c>
      <c r="AG701" s="25">
        <f>MIN($B$701:$AE$701)</f>
        <v>267.12</v>
      </c>
      <c r="AH701" s="25">
        <f>AVERAGE($B$701:$AE$701)</f>
        <v>341.04427884615399</v>
      </c>
    </row>
    <row r="702" spans="1:34">
      <c r="A702" s="30">
        <v>45997</v>
      </c>
      <c r="B702" s="19">
        <v>314.79000000000002</v>
      </c>
      <c r="C702" s="19">
        <v>294.81</v>
      </c>
      <c r="D702" s="19">
        <v>293.42</v>
      </c>
      <c r="E702" s="19">
        <v>289.13</v>
      </c>
      <c r="F702" s="19">
        <v>280.01</v>
      </c>
      <c r="G702" s="19">
        <v>277.77</v>
      </c>
      <c r="H702" s="19">
        <v>288.14999999999998</v>
      </c>
      <c r="I702" s="19">
        <v>299.22000000000003</v>
      </c>
      <c r="J702" s="19">
        <v>302.66000000000003</v>
      </c>
      <c r="K702" s="19">
        <v>285.73</v>
      </c>
      <c r="L702" s="19">
        <v>258.62</v>
      </c>
      <c r="M702" s="19">
        <v>212.65</v>
      </c>
      <c r="N702" s="19">
        <v>139.15</v>
      </c>
      <c r="O702" s="19">
        <v>148.63999999999999</v>
      </c>
      <c r="P702" s="19">
        <v>186.07</v>
      </c>
      <c r="Q702" s="19">
        <v>254.68</v>
      </c>
      <c r="R702" s="19">
        <v>292.39999999999998</v>
      </c>
      <c r="S702" s="19">
        <v>317.37</v>
      </c>
      <c r="T702" s="19">
        <v>347.09</v>
      </c>
      <c r="U702" s="19">
        <v>360.19</v>
      </c>
      <c r="V702" s="19">
        <v>347.2</v>
      </c>
      <c r="W702" s="19">
        <v>332.78</v>
      </c>
      <c r="X702" s="19">
        <v>311.74</v>
      </c>
      <c r="Y702" s="19">
        <v>287.91000000000003</v>
      </c>
      <c r="Z702" s="34" t="s">
        <v>36</v>
      </c>
      <c r="AA702" s="25">
        <f t="shared" si="22"/>
        <v>139.15</v>
      </c>
      <c r="AB702" s="25">
        <f t="shared" si="23"/>
        <v>280.09083333333302</v>
      </c>
      <c r="AF702" s="25">
        <f>MAX($B$702:$AE$702)</f>
        <v>360.19</v>
      </c>
      <c r="AG702" s="25">
        <f>MIN($B$702:$AE$702)</f>
        <v>139.15</v>
      </c>
      <c r="AH702" s="25">
        <f>AVERAGE($B$702:$AE$702)</f>
        <v>274.67003205128202</v>
      </c>
    </row>
    <row r="703" spans="1:34">
      <c r="A703" s="30">
        <v>45998</v>
      </c>
      <c r="B703" s="19">
        <v>298.73</v>
      </c>
      <c r="C703" s="19">
        <v>293.58</v>
      </c>
      <c r="D703" s="19">
        <v>287.87</v>
      </c>
      <c r="E703" s="19">
        <v>283.32</v>
      </c>
      <c r="F703" s="19">
        <v>278.17</v>
      </c>
      <c r="G703" s="19">
        <v>277.32</v>
      </c>
      <c r="H703" s="19">
        <v>279.27</v>
      </c>
      <c r="I703" s="19">
        <v>280</v>
      </c>
      <c r="J703" s="19">
        <v>271.67</v>
      </c>
      <c r="K703" s="19">
        <v>265.22000000000003</v>
      </c>
      <c r="L703" s="19">
        <v>214.97</v>
      </c>
      <c r="M703" s="19">
        <v>149.01</v>
      </c>
      <c r="N703" s="19">
        <v>150.81</v>
      </c>
      <c r="O703" s="19">
        <v>154.75</v>
      </c>
      <c r="P703" s="19">
        <v>167.22</v>
      </c>
      <c r="Q703" s="19">
        <v>233.33</v>
      </c>
      <c r="R703" s="19">
        <v>274.47000000000003</v>
      </c>
      <c r="S703" s="19">
        <v>307.06</v>
      </c>
      <c r="T703" s="19">
        <v>324.82</v>
      </c>
      <c r="U703" s="19">
        <v>330.51</v>
      </c>
      <c r="V703" s="19">
        <v>319.5</v>
      </c>
      <c r="W703" s="19">
        <v>311.79000000000002</v>
      </c>
      <c r="X703" s="19">
        <v>292.07</v>
      </c>
      <c r="Y703" s="19">
        <v>269.31</v>
      </c>
      <c r="Z703" s="35" t="s">
        <v>37</v>
      </c>
      <c r="AA703" s="25">
        <f t="shared" si="22"/>
        <v>149.01</v>
      </c>
      <c r="AB703" s="25">
        <f t="shared" si="23"/>
        <v>263.11541666666699</v>
      </c>
      <c r="AF703" s="25">
        <f>MAX($B$703:$AE$703)</f>
        <v>330.51</v>
      </c>
      <c r="AG703" s="25">
        <f>MIN($B$703:$AE$703)</f>
        <v>149.01</v>
      </c>
      <c r="AH703" s="25">
        <f>AVERAGE($B$703:$AE$703)</f>
        <v>258.72674679487199</v>
      </c>
    </row>
    <row r="704" spans="1:34">
      <c r="A704" s="30">
        <v>45999</v>
      </c>
      <c r="B704" s="19">
        <v>280.17</v>
      </c>
      <c r="C704" s="19">
        <v>272.08</v>
      </c>
      <c r="D704" s="19">
        <v>265.99</v>
      </c>
      <c r="E704" s="19">
        <v>262.42</v>
      </c>
      <c r="F704" s="19">
        <v>258.49</v>
      </c>
      <c r="G704" s="19">
        <v>258.95999999999998</v>
      </c>
      <c r="H704" s="19">
        <v>267.51</v>
      </c>
      <c r="I704" s="19">
        <v>271.37</v>
      </c>
      <c r="J704" s="19">
        <v>283.26</v>
      </c>
      <c r="K704" s="19">
        <v>278.45999999999998</v>
      </c>
      <c r="L704" s="19">
        <v>228.63</v>
      </c>
      <c r="M704" s="19">
        <v>160.58000000000001</v>
      </c>
      <c r="N704" s="19">
        <v>96.51</v>
      </c>
      <c r="O704" s="19">
        <v>122.93</v>
      </c>
      <c r="P704" s="19">
        <v>166.06</v>
      </c>
      <c r="Q704" s="19">
        <v>252</v>
      </c>
      <c r="R704" s="19">
        <v>282.89999999999998</v>
      </c>
      <c r="S704" s="19">
        <v>317.10000000000002</v>
      </c>
      <c r="T704" s="19">
        <v>344.49</v>
      </c>
      <c r="U704" s="19">
        <v>351.18</v>
      </c>
      <c r="V704" s="19">
        <v>337.96</v>
      </c>
      <c r="W704" s="19">
        <v>314.98</v>
      </c>
      <c r="X704" s="19">
        <v>299.64999999999998</v>
      </c>
      <c r="Y704" s="19">
        <v>275.02999999999997</v>
      </c>
      <c r="Z704" s="32" t="s">
        <v>32</v>
      </c>
      <c r="AA704" s="25">
        <f t="shared" si="22"/>
        <v>96.51</v>
      </c>
      <c r="AB704" s="25">
        <f t="shared" si="23"/>
        <v>260.36291666666699</v>
      </c>
      <c r="AF704" s="25">
        <f>MAX($B$704:$AE$704)</f>
        <v>351.18</v>
      </c>
      <c r="AG704" s="25">
        <f>MIN($B$704:$AE$704)</f>
        <v>96.51</v>
      </c>
      <c r="AH704" s="25">
        <f>AVERAGE($B$704:$AE$704)</f>
        <v>254.060881410256</v>
      </c>
    </row>
    <row r="705" spans="1:34">
      <c r="A705" s="30">
        <v>46000</v>
      </c>
      <c r="B705" s="19">
        <v>284.13</v>
      </c>
      <c r="C705" s="19">
        <v>278.79000000000002</v>
      </c>
      <c r="D705" s="19">
        <v>275.57</v>
      </c>
      <c r="E705" s="19">
        <v>270.33999999999997</v>
      </c>
      <c r="F705" s="19">
        <v>267.69</v>
      </c>
      <c r="G705" s="19">
        <v>266.02999999999997</v>
      </c>
      <c r="H705" s="19">
        <v>272</v>
      </c>
      <c r="I705" s="19">
        <v>276.29000000000002</v>
      </c>
      <c r="J705" s="19">
        <v>284.26</v>
      </c>
      <c r="K705" s="19">
        <v>271.74</v>
      </c>
      <c r="L705" s="19">
        <v>207.6</v>
      </c>
      <c r="M705" s="19">
        <v>131.61000000000001</v>
      </c>
      <c r="N705" s="19">
        <v>106.08</v>
      </c>
      <c r="O705" s="19">
        <v>143.66999999999999</v>
      </c>
      <c r="P705" s="19">
        <v>156.16999999999999</v>
      </c>
      <c r="Q705" s="19">
        <v>241.74</v>
      </c>
      <c r="R705" s="19">
        <v>280.20999999999998</v>
      </c>
      <c r="S705" s="19">
        <v>317.27</v>
      </c>
      <c r="T705" s="19">
        <v>345.66</v>
      </c>
      <c r="U705" s="19">
        <v>345.44</v>
      </c>
      <c r="V705" s="19">
        <v>323.94</v>
      </c>
      <c r="W705" s="19">
        <v>317.64</v>
      </c>
      <c r="X705" s="19">
        <v>298.54000000000002</v>
      </c>
      <c r="Y705" s="19">
        <v>273.86</v>
      </c>
      <c r="Z705" s="33" t="s">
        <v>32</v>
      </c>
      <c r="AA705" s="25">
        <f t="shared" si="22"/>
        <v>106.08</v>
      </c>
      <c r="AB705" s="25">
        <f t="shared" si="23"/>
        <v>259.84458333333299</v>
      </c>
      <c r="AF705" s="25">
        <f>MAX($B$705:$AE$705)</f>
        <v>345.66</v>
      </c>
      <c r="AG705" s="25">
        <f>MIN($B$705:$AE$705)</f>
        <v>106.08</v>
      </c>
      <c r="AH705" s="25">
        <f>AVERAGE($B$705:$AE$705)</f>
        <v>253.93056089743601</v>
      </c>
    </row>
    <row r="706" spans="1:34">
      <c r="A706" s="30">
        <v>46001</v>
      </c>
      <c r="B706" s="19">
        <v>300</v>
      </c>
      <c r="C706" s="19">
        <v>298.57</v>
      </c>
      <c r="D706" s="19">
        <v>294.23</v>
      </c>
      <c r="E706" s="19">
        <v>289.67</v>
      </c>
      <c r="F706" s="19">
        <v>283.55</v>
      </c>
      <c r="G706" s="19">
        <v>281.41000000000003</v>
      </c>
      <c r="H706" s="19">
        <v>293.33999999999997</v>
      </c>
      <c r="I706" s="19">
        <v>301.87</v>
      </c>
      <c r="J706" s="19">
        <v>316.5</v>
      </c>
      <c r="K706" s="19">
        <v>305.7</v>
      </c>
      <c r="L706" s="19">
        <v>282.48</v>
      </c>
      <c r="M706" s="19">
        <v>262.05</v>
      </c>
      <c r="N706" s="19">
        <v>246.51</v>
      </c>
      <c r="O706" s="19">
        <v>258.13</v>
      </c>
      <c r="P706" s="19">
        <v>259.85000000000002</v>
      </c>
      <c r="Q706" s="19">
        <v>279.7</v>
      </c>
      <c r="R706" s="19">
        <v>306.07</v>
      </c>
      <c r="S706" s="19">
        <v>353.94</v>
      </c>
      <c r="T706" s="19">
        <v>422.07</v>
      </c>
      <c r="U706" s="19">
        <v>423.57</v>
      </c>
      <c r="V706" s="19">
        <v>418.69</v>
      </c>
      <c r="W706" s="19">
        <v>389.93</v>
      </c>
      <c r="X706" s="19">
        <v>339.96</v>
      </c>
      <c r="Y706" s="19">
        <v>301.20999999999998</v>
      </c>
      <c r="Z706" s="32" t="s">
        <v>32</v>
      </c>
      <c r="AA706" s="25">
        <f t="shared" si="22"/>
        <v>246.51</v>
      </c>
      <c r="AB706" s="25">
        <f t="shared" si="23"/>
        <v>312.875</v>
      </c>
      <c r="AF706" s="25">
        <f>MAX($B$706:$AE$706)</f>
        <v>423.57</v>
      </c>
      <c r="AG706" s="25">
        <f>MIN($B$706:$AE$706)</f>
        <v>246.51</v>
      </c>
      <c r="AH706" s="25">
        <f>AVERAGE($B$706:$AE$706)</f>
        <v>310.32249999999999</v>
      </c>
    </row>
    <row r="707" spans="1:34">
      <c r="A707" s="30">
        <v>46002</v>
      </c>
      <c r="B707" s="19">
        <v>331.19</v>
      </c>
      <c r="C707" s="19">
        <v>320.33999999999997</v>
      </c>
      <c r="D707" s="19">
        <v>317.10000000000002</v>
      </c>
      <c r="E707" s="19">
        <v>307.13</v>
      </c>
      <c r="F707" s="19">
        <v>304.79000000000002</v>
      </c>
      <c r="G707" s="19">
        <v>302.37</v>
      </c>
      <c r="H707" s="19">
        <v>313.63</v>
      </c>
      <c r="I707" s="19">
        <v>319.27</v>
      </c>
      <c r="J707" s="19">
        <v>332.99</v>
      </c>
      <c r="K707" s="19">
        <v>320.77</v>
      </c>
      <c r="L707" s="19">
        <v>288.25</v>
      </c>
      <c r="M707" s="19">
        <v>265.57</v>
      </c>
      <c r="N707" s="19">
        <v>235.61</v>
      </c>
      <c r="O707" s="19">
        <v>254.33</v>
      </c>
      <c r="P707" s="19">
        <v>263.98</v>
      </c>
      <c r="Q707" s="19">
        <v>276.08999999999997</v>
      </c>
      <c r="R707" s="19">
        <v>307.37</v>
      </c>
      <c r="S707" s="19">
        <v>348.52</v>
      </c>
      <c r="T707" s="19">
        <v>389.6</v>
      </c>
      <c r="U707" s="19">
        <v>376.19</v>
      </c>
      <c r="V707" s="19">
        <v>360.48</v>
      </c>
      <c r="W707" s="19">
        <v>341.7</v>
      </c>
      <c r="X707" s="19">
        <v>318.27</v>
      </c>
      <c r="Y707" s="19">
        <v>292.77999999999997</v>
      </c>
      <c r="Z707" s="33" t="s">
        <v>32</v>
      </c>
      <c r="AA707" s="25">
        <f t="shared" si="22"/>
        <v>235.61</v>
      </c>
      <c r="AB707" s="25">
        <f t="shared" si="23"/>
        <v>312.01333333333298</v>
      </c>
      <c r="AF707" s="25">
        <f>MAX($B$707:$AE$707)</f>
        <v>389.6</v>
      </c>
      <c r="AG707" s="25">
        <f>MIN($B$707:$AE$707)</f>
        <v>235.61</v>
      </c>
      <c r="AH707" s="25">
        <f>AVERAGE($B$707:$AE$707)</f>
        <v>309.074743589744</v>
      </c>
    </row>
    <row r="708" spans="1:34">
      <c r="A708" s="30">
        <v>46003</v>
      </c>
      <c r="B708" s="19">
        <v>313</v>
      </c>
      <c r="C708" s="19">
        <v>304.8</v>
      </c>
      <c r="D708" s="19">
        <v>299.10000000000002</v>
      </c>
      <c r="E708" s="19">
        <v>292.49</v>
      </c>
      <c r="F708" s="19">
        <v>286.08999999999997</v>
      </c>
      <c r="G708" s="19">
        <v>284.95</v>
      </c>
      <c r="H708" s="19">
        <v>297.08999999999997</v>
      </c>
      <c r="I708" s="19">
        <v>302.05</v>
      </c>
      <c r="J708" s="19">
        <v>316.67</v>
      </c>
      <c r="K708" s="19">
        <v>306.17</v>
      </c>
      <c r="L708" s="19">
        <v>280.3</v>
      </c>
      <c r="M708" s="19">
        <v>259.14999999999998</v>
      </c>
      <c r="N708" s="19">
        <v>227.53</v>
      </c>
      <c r="O708" s="19">
        <v>244.49</v>
      </c>
      <c r="P708" s="19">
        <v>259.27</v>
      </c>
      <c r="Q708" s="19">
        <v>272.35000000000002</v>
      </c>
      <c r="R708" s="19">
        <v>304.87</v>
      </c>
      <c r="S708" s="19">
        <v>333.89</v>
      </c>
      <c r="T708" s="19">
        <v>378.34</v>
      </c>
      <c r="U708" s="19">
        <v>355.11</v>
      </c>
      <c r="V708" s="19">
        <v>346.75</v>
      </c>
      <c r="W708" s="19">
        <v>341.13</v>
      </c>
      <c r="X708" s="19">
        <v>323.16000000000003</v>
      </c>
      <c r="Y708" s="19">
        <v>298.93</v>
      </c>
      <c r="Z708" s="32" t="s">
        <v>32</v>
      </c>
      <c r="AA708" s="25">
        <f t="shared" si="22"/>
        <v>227.53</v>
      </c>
      <c r="AB708" s="25">
        <f t="shared" si="23"/>
        <v>301.15333333333302</v>
      </c>
      <c r="AF708" s="25">
        <f>MAX($B$708:$AE$708)</f>
        <v>378.34</v>
      </c>
      <c r="AG708" s="25">
        <f>MIN($B$708:$AE$708)</f>
        <v>227.53</v>
      </c>
      <c r="AH708" s="25">
        <f>AVERAGE($B$708:$AE$708)</f>
        <v>298.321666666667</v>
      </c>
    </row>
    <row r="709" spans="1:34">
      <c r="A709" s="30">
        <v>46004</v>
      </c>
      <c r="B709" s="19">
        <v>323.27999999999997</v>
      </c>
      <c r="C709" s="19">
        <v>318.52999999999997</v>
      </c>
      <c r="D709" s="19">
        <v>313.26</v>
      </c>
      <c r="E709" s="19">
        <v>308.18</v>
      </c>
      <c r="F709" s="19">
        <v>300.39</v>
      </c>
      <c r="G709" s="19">
        <v>281.51</v>
      </c>
      <c r="H709" s="19">
        <v>286.75</v>
      </c>
      <c r="I709" s="19">
        <v>278.77999999999997</v>
      </c>
      <c r="J709" s="19">
        <v>289.24</v>
      </c>
      <c r="K709" s="19">
        <v>326.8</v>
      </c>
      <c r="L709" s="19">
        <v>310.58</v>
      </c>
      <c r="M709" s="19">
        <v>286.43</v>
      </c>
      <c r="N709" s="19">
        <v>273</v>
      </c>
      <c r="O709" s="19">
        <v>289.58</v>
      </c>
      <c r="P709" s="19">
        <v>279</v>
      </c>
      <c r="Q709" s="19">
        <v>278.92</v>
      </c>
      <c r="R709" s="19">
        <v>292.32</v>
      </c>
      <c r="S709" s="19">
        <v>308.67</v>
      </c>
      <c r="T709" s="19">
        <v>302.75</v>
      </c>
      <c r="U709" s="19">
        <v>291.64</v>
      </c>
      <c r="V709" s="19">
        <v>309.52</v>
      </c>
      <c r="W709" s="19">
        <v>306.23</v>
      </c>
      <c r="X709" s="19">
        <v>286.93</v>
      </c>
      <c r="Y709" s="19">
        <v>264.74</v>
      </c>
      <c r="Z709" s="36" t="s">
        <v>36</v>
      </c>
      <c r="AA709" s="25">
        <f t="shared" si="22"/>
        <v>264.74</v>
      </c>
      <c r="AB709" s="25">
        <f t="shared" si="23"/>
        <v>296.12625000000003</v>
      </c>
      <c r="AF709" s="25">
        <f>MAX($B$709:$AE$709)</f>
        <v>326.8</v>
      </c>
      <c r="AG709" s="25">
        <f>MIN($B$709:$AE$709)</f>
        <v>264.74</v>
      </c>
      <c r="AH709" s="25">
        <f>AVERAGE($B$709:$AE$709)</f>
        <v>294.91908653846099</v>
      </c>
    </row>
    <row r="710" spans="1:34">
      <c r="A710" s="30">
        <v>46005</v>
      </c>
      <c r="B710" s="19">
        <v>280.27999999999997</v>
      </c>
      <c r="C710" s="19">
        <v>272.58999999999997</v>
      </c>
      <c r="D710" s="19">
        <v>261.99</v>
      </c>
      <c r="E710" s="19">
        <v>256.97000000000003</v>
      </c>
      <c r="F710" s="19">
        <v>250.75</v>
      </c>
      <c r="G710" s="19">
        <v>248.15</v>
      </c>
      <c r="H710" s="19">
        <v>251</v>
      </c>
      <c r="I710" s="19">
        <v>252.99</v>
      </c>
      <c r="J710" s="19">
        <v>242.38</v>
      </c>
      <c r="K710" s="19">
        <v>223.22</v>
      </c>
      <c r="L710" s="19">
        <v>169.67</v>
      </c>
      <c r="M710" s="19">
        <v>106.16</v>
      </c>
      <c r="N710" s="19">
        <v>10.34</v>
      </c>
      <c r="O710" s="19">
        <v>49.7</v>
      </c>
      <c r="P710" s="19">
        <v>119</v>
      </c>
      <c r="Q710" s="19">
        <v>188.35</v>
      </c>
      <c r="R710" s="19">
        <v>277.37</v>
      </c>
      <c r="S710" s="19">
        <v>324.43</v>
      </c>
      <c r="T710" s="19">
        <v>333.98</v>
      </c>
      <c r="U710" s="19">
        <v>334.49</v>
      </c>
      <c r="V710" s="19">
        <v>328.78</v>
      </c>
      <c r="W710" s="19">
        <v>327.16000000000003</v>
      </c>
      <c r="X710" s="19">
        <v>305.3</v>
      </c>
      <c r="Y710" s="19">
        <v>277.49</v>
      </c>
      <c r="Z710" s="37" t="s">
        <v>37</v>
      </c>
      <c r="AA710" s="25">
        <f t="shared" si="22"/>
        <v>10.34</v>
      </c>
      <c r="AB710" s="25">
        <f t="shared" si="23"/>
        <v>237.18916666666701</v>
      </c>
      <c r="AF710" s="25">
        <f>MAX($B$710:$AE$710)</f>
        <v>334.49</v>
      </c>
      <c r="AG710" s="25">
        <f>MIN($B$710:$AE$710)</f>
        <v>10.34</v>
      </c>
      <c r="AH710" s="25">
        <f>AVERAGE($B$710:$AE$710)</f>
        <v>228.46419871794899</v>
      </c>
    </row>
    <row r="711" spans="1:34">
      <c r="A711" s="30">
        <v>46006</v>
      </c>
      <c r="B711" s="19">
        <v>294.83</v>
      </c>
      <c r="C711" s="19">
        <v>290.04000000000002</v>
      </c>
      <c r="D711" s="19">
        <v>280.74</v>
      </c>
      <c r="E711" s="19">
        <v>276.8</v>
      </c>
      <c r="F711" s="19">
        <v>270.58999999999997</v>
      </c>
      <c r="G711" s="19">
        <v>271.66000000000003</v>
      </c>
      <c r="H711" s="19">
        <v>284.11</v>
      </c>
      <c r="I711" s="19">
        <v>297.68</v>
      </c>
      <c r="J711" s="19">
        <v>305.64</v>
      </c>
      <c r="K711" s="19">
        <v>290.3</v>
      </c>
      <c r="L711" s="19">
        <v>257.45</v>
      </c>
      <c r="M711" s="19">
        <v>209.66</v>
      </c>
      <c r="N711" s="19">
        <v>120.2</v>
      </c>
      <c r="O711" s="19">
        <v>167.12</v>
      </c>
      <c r="P711" s="19">
        <v>187.86</v>
      </c>
      <c r="Q711" s="19">
        <v>249.11</v>
      </c>
      <c r="R711" s="19">
        <v>298.41000000000003</v>
      </c>
      <c r="S711" s="19">
        <v>348.29</v>
      </c>
      <c r="T711" s="19">
        <v>379.12</v>
      </c>
      <c r="U711" s="19">
        <v>367.65</v>
      </c>
      <c r="V711" s="19">
        <v>358.03</v>
      </c>
      <c r="W711" s="19">
        <v>355.2</v>
      </c>
      <c r="X711" s="19">
        <v>323.54000000000002</v>
      </c>
      <c r="Y711" s="19">
        <v>298.39</v>
      </c>
      <c r="Z711" s="33" t="s">
        <v>32</v>
      </c>
      <c r="AA711" s="25">
        <f t="shared" si="22"/>
        <v>120.2</v>
      </c>
      <c r="AB711" s="25">
        <f t="shared" si="23"/>
        <v>282.60083333333301</v>
      </c>
      <c r="AF711" s="25">
        <f>MAX($B$711:$AE$711)</f>
        <v>379.12</v>
      </c>
      <c r="AG711" s="25">
        <f>MIN($B$711:$AE$711)</f>
        <v>120.2</v>
      </c>
      <c r="AH711" s="25">
        <f>AVERAGE($B$711:$AE$711)</f>
        <v>276.35464743589699</v>
      </c>
    </row>
    <row r="712" spans="1:34">
      <c r="A712" s="30">
        <v>46007</v>
      </c>
      <c r="B712" s="19">
        <v>323.29000000000002</v>
      </c>
      <c r="C712" s="19">
        <v>316.55</v>
      </c>
      <c r="D712" s="19">
        <v>314.49</v>
      </c>
      <c r="E712" s="19">
        <v>311.12</v>
      </c>
      <c r="F712" s="19">
        <v>305.62</v>
      </c>
      <c r="G712" s="19">
        <v>302.81</v>
      </c>
      <c r="H712" s="19">
        <v>319.94</v>
      </c>
      <c r="I712" s="19">
        <v>339.09</v>
      </c>
      <c r="J712" s="19">
        <v>358.14</v>
      </c>
      <c r="K712" s="19">
        <v>343</v>
      </c>
      <c r="L712" s="19">
        <v>299.16000000000003</v>
      </c>
      <c r="M712" s="19">
        <v>278.3</v>
      </c>
      <c r="N712" s="19">
        <v>255.89</v>
      </c>
      <c r="O712" s="19">
        <v>267.85000000000002</v>
      </c>
      <c r="P712" s="19">
        <v>274.31</v>
      </c>
      <c r="Q712" s="19">
        <v>297.12</v>
      </c>
      <c r="R712" s="19">
        <v>357.38</v>
      </c>
      <c r="S712" s="19">
        <v>431.02</v>
      </c>
      <c r="T712" s="19">
        <v>492.97</v>
      </c>
      <c r="U712" s="19">
        <v>529.36</v>
      </c>
      <c r="V712" s="19">
        <v>485.91</v>
      </c>
      <c r="W712" s="19">
        <v>453.6</v>
      </c>
      <c r="X712" s="19">
        <v>406.31</v>
      </c>
      <c r="Y712" s="19">
        <v>338.04</v>
      </c>
      <c r="Z712" s="32" t="s">
        <v>32</v>
      </c>
      <c r="AA712" s="25">
        <f t="shared" si="22"/>
        <v>255.89</v>
      </c>
      <c r="AB712" s="25">
        <f t="shared" si="23"/>
        <v>350.05291666666699</v>
      </c>
      <c r="AF712" s="25">
        <f>MAX($B$712:$AE$712)</f>
        <v>529.36</v>
      </c>
      <c r="AG712" s="25">
        <f>MIN($B$712:$AE$712)</f>
        <v>255.89</v>
      </c>
      <c r="AH712" s="25">
        <f>AVERAGE($B$712:$AE$712)</f>
        <v>346.43126602564098</v>
      </c>
    </row>
    <row r="713" spans="1:34">
      <c r="A713" s="30">
        <v>46008</v>
      </c>
      <c r="B713" s="19">
        <v>355.02</v>
      </c>
      <c r="C713" s="19">
        <v>320.18</v>
      </c>
      <c r="D713" s="19">
        <v>314.85000000000002</v>
      </c>
      <c r="E713" s="19">
        <v>304.45999999999998</v>
      </c>
      <c r="F713" s="19">
        <v>297.64999999999998</v>
      </c>
      <c r="G713" s="19">
        <v>295.5</v>
      </c>
      <c r="H713" s="19">
        <v>306.26</v>
      </c>
      <c r="I713" s="19">
        <v>316.26</v>
      </c>
      <c r="J713" s="19">
        <v>342.22</v>
      </c>
      <c r="K713" s="19">
        <v>320.47000000000003</v>
      </c>
      <c r="L713" s="19">
        <v>276.82</v>
      </c>
      <c r="M713" s="19">
        <v>235.68</v>
      </c>
      <c r="N713" s="19">
        <v>163.19</v>
      </c>
      <c r="O713" s="19">
        <v>207.69</v>
      </c>
      <c r="P713" s="19">
        <v>201.99</v>
      </c>
      <c r="Q713" s="19">
        <v>258.08</v>
      </c>
      <c r="R713" s="19">
        <v>315.82</v>
      </c>
      <c r="S713" s="19">
        <v>364.58</v>
      </c>
      <c r="T713" s="19">
        <v>417.75</v>
      </c>
      <c r="U713" s="19">
        <v>427.59</v>
      </c>
      <c r="V713" s="19">
        <v>402.18</v>
      </c>
      <c r="W713" s="19">
        <v>363.64</v>
      </c>
      <c r="X713" s="19">
        <v>317.29000000000002</v>
      </c>
      <c r="Y713" s="19">
        <v>282.72000000000003</v>
      </c>
      <c r="Z713" s="33" t="s">
        <v>32</v>
      </c>
      <c r="AA713" s="25">
        <f t="shared" si="22"/>
        <v>163.19</v>
      </c>
      <c r="AB713" s="25">
        <f t="shared" si="23"/>
        <v>308.66208333333299</v>
      </c>
      <c r="AF713" s="25">
        <f>MAX($B$713:$AE$713)</f>
        <v>427.59</v>
      </c>
      <c r="AG713" s="25">
        <f>MIN($B$713:$AE$713)</f>
        <v>163.19</v>
      </c>
      <c r="AH713" s="25">
        <f>AVERAGE($B$713:$AE$713)</f>
        <v>303.067003205128</v>
      </c>
    </row>
    <row r="714" spans="1:34">
      <c r="A714" s="30">
        <v>46009</v>
      </c>
      <c r="B714" s="19">
        <v>309.08999999999997</v>
      </c>
      <c r="C714" s="19">
        <v>304.8</v>
      </c>
      <c r="D714" s="19">
        <v>304.24</v>
      </c>
      <c r="E714" s="19">
        <v>297.33999999999997</v>
      </c>
      <c r="F714" s="19">
        <v>287.85000000000002</v>
      </c>
      <c r="G714" s="19">
        <v>285.47000000000003</v>
      </c>
      <c r="H714" s="19">
        <v>298.5</v>
      </c>
      <c r="I714" s="19">
        <v>305.14999999999998</v>
      </c>
      <c r="J714" s="19">
        <v>337.62</v>
      </c>
      <c r="K714" s="19">
        <v>316.16000000000003</v>
      </c>
      <c r="L714" s="19">
        <v>265.89999999999998</v>
      </c>
      <c r="M714" s="19">
        <v>89.67</v>
      </c>
      <c r="N714" s="19">
        <v>-16</v>
      </c>
      <c r="O714" s="19">
        <v>60.88</v>
      </c>
      <c r="P714" s="19">
        <v>60.38</v>
      </c>
      <c r="Q714" s="19">
        <v>223</v>
      </c>
      <c r="R714" s="19">
        <v>310.10000000000002</v>
      </c>
      <c r="S714" s="19">
        <v>369.04</v>
      </c>
      <c r="T714" s="19">
        <v>452.17</v>
      </c>
      <c r="U714" s="19">
        <v>477.28</v>
      </c>
      <c r="V714" s="19">
        <v>429.51</v>
      </c>
      <c r="W714" s="19">
        <v>401.59</v>
      </c>
      <c r="X714" s="19">
        <v>345.01</v>
      </c>
      <c r="Y714" s="19">
        <v>297.81</v>
      </c>
      <c r="Z714" s="32" t="s">
        <v>32</v>
      </c>
      <c r="AA714" s="25">
        <f t="shared" si="22"/>
        <v>-16</v>
      </c>
      <c r="AB714" s="25">
        <f t="shared" si="23"/>
        <v>283.85666666666702</v>
      </c>
      <c r="AF714" s="25">
        <f>MAX($B$714:$AE$714)</f>
        <v>477.28</v>
      </c>
      <c r="AG714" s="25">
        <f>MIN($B$714:$AE$714)</f>
        <v>-16</v>
      </c>
      <c r="AH714" s="25">
        <f>AVERAGE($B$714:$AE$714)</f>
        <v>272.32371794871801</v>
      </c>
    </row>
    <row r="715" spans="1:34">
      <c r="A715" s="30">
        <v>46010</v>
      </c>
      <c r="B715" s="19">
        <v>344.2</v>
      </c>
      <c r="C715" s="19">
        <v>333.32</v>
      </c>
      <c r="D715" s="19">
        <v>308.44</v>
      </c>
      <c r="E715" s="19">
        <v>321.89999999999998</v>
      </c>
      <c r="F715" s="19">
        <v>327.69</v>
      </c>
      <c r="G715" s="19">
        <v>323.42</v>
      </c>
      <c r="H715" s="19">
        <v>350.37</v>
      </c>
      <c r="I715" s="19">
        <v>372.23</v>
      </c>
      <c r="J715" s="19">
        <v>404.8</v>
      </c>
      <c r="K715" s="19">
        <v>352.34</v>
      </c>
      <c r="L715" s="19">
        <v>298.43</v>
      </c>
      <c r="M715" s="19">
        <v>265.97000000000003</v>
      </c>
      <c r="N715" s="19">
        <v>191.73</v>
      </c>
      <c r="O715" s="19">
        <v>225.97</v>
      </c>
      <c r="P715" s="19">
        <v>280.08999999999997</v>
      </c>
      <c r="Q715" s="19">
        <v>259.44</v>
      </c>
      <c r="R715" s="19">
        <v>346.34</v>
      </c>
      <c r="S715" s="19">
        <v>448.06</v>
      </c>
      <c r="T715" s="19">
        <v>526.66</v>
      </c>
      <c r="U715" s="19">
        <v>505.03</v>
      </c>
      <c r="V715" s="19">
        <v>491.53</v>
      </c>
      <c r="W715" s="19">
        <v>486.24</v>
      </c>
      <c r="X715" s="19">
        <v>408.15</v>
      </c>
      <c r="Y715" s="19">
        <v>346.2</v>
      </c>
      <c r="Z715" s="33" t="s">
        <v>32</v>
      </c>
      <c r="AA715" s="25">
        <f t="shared" si="22"/>
        <v>191.73</v>
      </c>
      <c r="AB715" s="25">
        <f t="shared" si="23"/>
        <v>354.93958333333302</v>
      </c>
      <c r="AF715" s="25">
        <f>MAX($B$715:$AE$715)</f>
        <v>526.66</v>
      </c>
      <c r="AG715" s="25">
        <f>MIN($B$715:$AE$715)</f>
        <v>191.73</v>
      </c>
      <c r="AH715" s="25">
        <f>AVERAGE($B$715:$AE$715)</f>
        <v>348.66229166666699</v>
      </c>
    </row>
    <row r="716" spans="1:34">
      <c r="A716" s="30">
        <v>46011</v>
      </c>
      <c r="B716" s="19">
        <v>352.43</v>
      </c>
      <c r="C716" s="19">
        <v>333.07</v>
      </c>
      <c r="D716" s="19">
        <v>328.55</v>
      </c>
      <c r="E716" s="19">
        <v>313.54000000000002</v>
      </c>
      <c r="F716" s="19">
        <v>309.13</v>
      </c>
      <c r="G716" s="19">
        <v>309.2</v>
      </c>
      <c r="H716" s="19">
        <v>321.19</v>
      </c>
      <c r="I716" s="19">
        <v>339.32</v>
      </c>
      <c r="J716" s="19">
        <v>366.92</v>
      </c>
      <c r="K716" s="19">
        <v>357.89</v>
      </c>
      <c r="L716" s="19">
        <v>301.62</v>
      </c>
      <c r="M716" s="19">
        <v>244.7</v>
      </c>
      <c r="N716" s="19">
        <v>190.36</v>
      </c>
      <c r="O716" s="19">
        <v>230.89</v>
      </c>
      <c r="P716" s="19">
        <v>258.08</v>
      </c>
      <c r="Q716" s="19">
        <v>296.33</v>
      </c>
      <c r="R716" s="19">
        <v>351.12</v>
      </c>
      <c r="S716" s="19">
        <v>398.98</v>
      </c>
      <c r="T716" s="19">
        <v>423.03</v>
      </c>
      <c r="U716" s="19">
        <v>412.78</v>
      </c>
      <c r="V716" s="19">
        <v>408.2</v>
      </c>
      <c r="W716" s="19">
        <v>400.11</v>
      </c>
      <c r="X716" s="19">
        <v>372.53</v>
      </c>
      <c r="Y716" s="19">
        <v>317.17</v>
      </c>
      <c r="Z716" s="34" t="s">
        <v>36</v>
      </c>
      <c r="AA716" s="25">
        <f t="shared" si="22"/>
        <v>190.36</v>
      </c>
      <c r="AB716" s="25">
        <f t="shared" si="23"/>
        <v>330.71416666666698</v>
      </c>
      <c r="AF716" s="25">
        <f>MAX($B$716:$AE$716)</f>
        <v>423.03</v>
      </c>
      <c r="AG716" s="25">
        <f>MIN($B$716:$AE$716)</f>
        <v>190.36</v>
      </c>
      <c r="AH716" s="25">
        <f>AVERAGE($B$716:$AE$716)</f>
        <v>325.31592948717901</v>
      </c>
    </row>
    <row r="717" spans="1:34">
      <c r="A717" s="30">
        <v>46012</v>
      </c>
      <c r="B717" s="19">
        <v>329.63</v>
      </c>
      <c r="C717" s="19">
        <v>309.64999999999998</v>
      </c>
      <c r="D717" s="19">
        <v>298.36</v>
      </c>
      <c r="E717" s="19">
        <v>293.22000000000003</v>
      </c>
      <c r="F717" s="19">
        <v>286.77</v>
      </c>
      <c r="G717" s="19">
        <v>277.7</v>
      </c>
      <c r="H717" s="19">
        <v>276.45</v>
      </c>
      <c r="I717" s="19">
        <v>269.20999999999998</v>
      </c>
      <c r="J717" s="19">
        <v>264.48</v>
      </c>
      <c r="K717" s="19">
        <v>239.07</v>
      </c>
      <c r="L717" s="19">
        <v>79.52</v>
      </c>
      <c r="M717" s="19">
        <v>-25.63</v>
      </c>
      <c r="N717" s="19">
        <v>-53.68</v>
      </c>
      <c r="O717" s="19">
        <v>-28.22</v>
      </c>
      <c r="P717" s="19">
        <v>-19.78</v>
      </c>
      <c r="Q717" s="19">
        <v>67.400000000000006</v>
      </c>
      <c r="R717" s="19">
        <v>241.54</v>
      </c>
      <c r="S717" s="19">
        <v>304.2</v>
      </c>
      <c r="T717" s="19">
        <v>324.67</v>
      </c>
      <c r="U717" s="19">
        <v>322.83999999999997</v>
      </c>
      <c r="V717" s="19">
        <v>320.88</v>
      </c>
      <c r="W717" s="19">
        <v>321.20999999999998</v>
      </c>
      <c r="X717" s="19">
        <v>297.37</v>
      </c>
      <c r="Y717" s="19">
        <v>262.26</v>
      </c>
      <c r="Z717" s="35" t="s">
        <v>37</v>
      </c>
      <c r="AA717" s="25">
        <f t="shared" si="22"/>
        <v>-53.68</v>
      </c>
      <c r="AB717" s="25">
        <f t="shared" si="23"/>
        <v>219.13</v>
      </c>
      <c r="AF717" s="25">
        <f>MAX($B$717:$AE$717)</f>
        <v>329.63</v>
      </c>
      <c r="AG717" s="25">
        <f>MIN($B$717:$AE$717)</f>
        <v>-53.68</v>
      </c>
      <c r="AH717" s="25">
        <f>AVERAGE($B$717:$AE$717)</f>
        <v>208.63730769230801</v>
      </c>
    </row>
    <row r="718" spans="1:34">
      <c r="A718" s="30">
        <v>46013</v>
      </c>
      <c r="B718" s="19">
        <v>288.72000000000003</v>
      </c>
      <c r="C718" s="19">
        <v>280.29000000000002</v>
      </c>
      <c r="D718" s="19">
        <v>271.67</v>
      </c>
      <c r="E718" s="19">
        <v>255.46</v>
      </c>
      <c r="F718" s="19">
        <v>244.96</v>
      </c>
      <c r="G718" s="19">
        <v>249.75</v>
      </c>
      <c r="H718" s="19">
        <v>271.25</v>
      </c>
      <c r="I718" s="19">
        <v>291.92</v>
      </c>
      <c r="J718" s="19">
        <v>309.37</v>
      </c>
      <c r="K718" s="19">
        <v>296.55</v>
      </c>
      <c r="L718" s="19">
        <v>216.79</v>
      </c>
      <c r="M718" s="19">
        <v>192.68</v>
      </c>
      <c r="N718" s="19">
        <v>29.51</v>
      </c>
      <c r="O718" s="19">
        <v>42.69</v>
      </c>
      <c r="P718" s="19">
        <v>53.71</v>
      </c>
      <c r="Q718" s="19">
        <v>162.38999999999999</v>
      </c>
      <c r="R718" s="19">
        <v>295.92</v>
      </c>
      <c r="S718" s="19">
        <v>364.66</v>
      </c>
      <c r="T718" s="19">
        <v>387.17</v>
      </c>
      <c r="U718" s="19">
        <v>385.77</v>
      </c>
      <c r="V718" s="19">
        <v>387.28</v>
      </c>
      <c r="W718" s="19">
        <v>393.01</v>
      </c>
      <c r="X718" s="19">
        <v>353.55</v>
      </c>
      <c r="Y718" s="19">
        <v>299.51</v>
      </c>
      <c r="Z718" s="32" t="s">
        <v>32</v>
      </c>
      <c r="AA718" s="25">
        <f t="shared" si="22"/>
        <v>29.51</v>
      </c>
      <c r="AB718" s="25">
        <f t="shared" si="23"/>
        <v>263.52416666666699</v>
      </c>
      <c r="AF718" s="25">
        <f>MAX($B$718:$AE$718)</f>
        <v>393.01</v>
      </c>
      <c r="AG718" s="25">
        <f>MIN($B$718:$AE$718)</f>
        <v>29.51</v>
      </c>
      <c r="AH718" s="25">
        <f>AVERAGE($B$718:$AE$718)</f>
        <v>254.52362179487201</v>
      </c>
    </row>
    <row r="719" spans="1:34">
      <c r="A719" s="30">
        <v>46014</v>
      </c>
      <c r="B719" s="19">
        <v>312.75</v>
      </c>
      <c r="C719" s="19">
        <v>300.72000000000003</v>
      </c>
      <c r="D719" s="19">
        <v>297.26</v>
      </c>
      <c r="E719" s="19">
        <v>287.32</v>
      </c>
      <c r="F719" s="19">
        <v>274.33999999999997</v>
      </c>
      <c r="G719" s="19">
        <v>272.73</v>
      </c>
      <c r="H719" s="19">
        <v>289.26</v>
      </c>
      <c r="I719" s="19">
        <v>310.62</v>
      </c>
      <c r="J719" s="19">
        <v>354.42</v>
      </c>
      <c r="K719" s="19">
        <v>355.98</v>
      </c>
      <c r="L719" s="19">
        <v>292.51</v>
      </c>
      <c r="M719" s="19">
        <v>260.93</v>
      </c>
      <c r="N719" s="19">
        <v>216.5</v>
      </c>
      <c r="O719" s="19">
        <v>246.27</v>
      </c>
      <c r="P719" s="19">
        <v>249.68</v>
      </c>
      <c r="Q719" s="19">
        <v>291.89999999999998</v>
      </c>
      <c r="R719" s="19">
        <v>359.44</v>
      </c>
      <c r="S719" s="19">
        <v>423.06</v>
      </c>
      <c r="T719" s="19">
        <v>467.43</v>
      </c>
      <c r="U719" s="19">
        <v>513</v>
      </c>
      <c r="V719" s="19">
        <v>447.94</v>
      </c>
      <c r="W719" s="19">
        <v>451.63</v>
      </c>
      <c r="X719" s="19">
        <v>409.26</v>
      </c>
      <c r="Y719" s="19">
        <v>341.73</v>
      </c>
      <c r="Z719" s="33" t="s">
        <v>32</v>
      </c>
      <c r="AA719" s="25">
        <f t="shared" si="22"/>
        <v>216.5</v>
      </c>
      <c r="AB719" s="25">
        <f t="shared" si="23"/>
        <v>334.44499999999999</v>
      </c>
      <c r="AF719" s="25">
        <f>MAX($B$719:$AE$719)</f>
        <v>513</v>
      </c>
      <c r="AG719" s="25">
        <f>MIN($B$719:$AE$719)</f>
        <v>216.5</v>
      </c>
      <c r="AH719" s="25">
        <f>AVERAGE($B$719:$AE$719)</f>
        <v>329.90865384615398</v>
      </c>
    </row>
    <row r="720" spans="1:34">
      <c r="A720" s="30">
        <v>46015</v>
      </c>
      <c r="B720" s="19">
        <v>360.38</v>
      </c>
      <c r="C720" s="19">
        <v>339.42</v>
      </c>
      <c r="D720" s="19">
        <v>331.62</v>
      </c>
      <c r="E720" s="19">
        <v>313.83999999999997</v>
      </c>
      <c r="F720" s="19">
        <v>309.39</v>
      </c>
      <c r="G720" s="19">
        <v>309.85000000000002</v>
      </c>
      <c r="H720" s="19">
        <v>339.95</v>
      </c>
      <c r="I720" s="19">
        <v>361.29</v>
      </c>
      <c r="J720" s="19">
        <v>391</v>
      </c>
      <c r="K720" s="19">
        <v>378.91</v>
      </c>
      <c r="L720" s="19">
        <v>321.95999999999998</v>
      </c>
      <c r="M720" s="19">
        <v>281.44</v>
      </c>
      <c r="N720" s="19">
        <v>245.02</v>
      </c>
      <c r="O720" s="19">
        <v>263.70999999999998</v>
      </c>
      <c r="P720" s="19">
        <v>268.92</v>
      </c>
      <c r="Q720" s="19">
        <v>292.01</v>
      </c>
      <c r="R720" s="19">
        <v>351.76</v>
      </c>
      <c r="S720" s="19">
        <v>400.03</v>
      </c>
      <c r="T720" s="19">
        <v>427.55</v>
      </c>
      <c r="U720" s="19">
        <v>449.92</v>
      </c>
      <c r="V720" s="19">
        <v>421.09</v>
      </c>
      <c r="W720" s="19">
        <v>413.78</v>
      </c>
      <c r="X720" s="19">
        <v>379.47</v>
      </c>
      <c r="Y720" s="19">
        <v>306.08</v>
      </c>
      <c r="Z720" s="32" t="s">
        <v>32</v>
      </c>
      <c r="AA720" s="25">
        <f t="shared" si="22"/>
        <v>245.02</v>
      </c>
      <c r="AB720" s="25">
        <f t="shared" si="23"/>
        <v>344.09958333333299</v>
      </c>
      <c r="AF720" s="25">
        <f>MAX($B$720:$AE$720)</f>
        <v>449.92</v>
      </c>
      <c r="AG720" s="25">
        <f>MIN($B$720:$AE$720)</f>
        <v>245.02</v>
      </c>
      <c r="AH720" s="25">
        <f>AVERAGE($B$720:$AE$720)</f>
        <v>340.28883012820501</v>
      </c>
    </row>
    <row r="721" spans="1:34">
      <c r="A721" s="30">
        <v>46016</v>
      </c>
      <c r="B721" s="19">
        <v>321.14</v>
      </c>
      <c r="C721" s="19">
        <v>304.18</v>
      </c>
      <c r="D721" s="19">
        <v>302.66000000000003</v>
      </c>
      <c r="E721" s="19">
        <v>287.87</v>
      </c>
      <c r="F721" s="19">
        <v>277.89999999999998</v>
      </c>
      <c r="G721" s="19">
        <v>270.82</v>
      </c>
      <c r="H721" s="19">
        <v>282.68</v>
      </c>
      <c r="I721" s="19">
        <v>290.39999999999998</v>
      </c>
      <c r="J721" s="19">
        <v>305.99</v>
      </c>
      <c r="K721" s="19">
        <v>304.58</v>
      </c>
      <c r="L721" s="19">
        <v>265.76</v>
      </c>
      <c r="M721" s="19">
        <v>240.16</v>
      </c>
      <c r="N721" s="19">
        <v>218.8</v>
      </c>
      <c r="O721" s="19">
        <v>222.66</v>
      </c>
      <c r="P721" s="19">
        <v>229.22</v>
      </c>
      <c r="Q721" s="19">
        <v>262.38</v>
      </c>
      <c r="R721" s="19">
        <v>300.55</v>
      </c>
      <c r="S721" s="19">
        <v>350.4</v>
      </c>
      <c r="T721" s="19">
        <v>385.15</v>
      </c>
      <c r="U721" s="19">
        <v>372</v>
      </c>
      <c r="V721" s="19">
        <v>374.7</v>
      </c>
      <c r="W721" s="19">
        <v>370.48</v>
      </c>
      <c r="X721" s="19">
        <v>309.05</v>
      </c>
      <c r="Y721" s="19">
        <v>261.77</v>
      </c>
      <c r="Z721" s="33" t="s">
        <v>32</v>
      </c>
      <c r="AA721" s="25">
        <f t="shared" si="22"/>
        <v>218.8</v>
      </c>
      <c r="AB721" s="25">
        <f t="shared" si="23"/>
        <v>296.30416666666702</v>
      </c>
      <c r="AF721" s="25">
        <f>MAX($B$721:$AE$721)</f>
        <v>385.15</v>
      </c>
      <c r="AG721" s="25">
        <f>MIN($B$721:$AE$721)</f>
        <v>218.8</v>
      </c>
      <c r="AH721" s="25">
        <f>AVERAGE($B$721:$AE$721)</f>
        <v>293.32323717948702</v>
      </c>
    </row>
    <row r="722" spans="1:34">
      <c r="A722" s="30">
        <v>46017</v>
      </c>
      <c r="B722" s="19">
        <v>276.19</v>
      </c>
      <c r="C722" s="19">
        <v>270.64999999999998</v>
      </c>
      <c r="D722" s="19">
        <v>263.89999999999998</v>
      </c>
      <c r="E722" s="19">
        <v>256.32</v>
      </c>
      <c r="F722" s="19">
        <v>254.63</v>
      </c>
      <c r="G722" s="19">
        <v>253.01</v>
      </c>
      <c r="H722" s="19">
        <v>275.89999999999998</v>
      </c>
      <c r="I722" s="19">
        <v>286.92</v>
      </c>
      <c r="J722" s="19">
        <v>316.61</v>
      </c>
      <c r="K722" s="19">
        <v>292.93</v>
      </c>
      <c r="L722" s="19">
        <v>237.7</v>
      </c>
      <c r="M722" s="19">
        <v>174.94</v>
      </c>
      <c r="N722" s="19">
        <v>17.79</v>
      </c>
      <c r="O722" s="19">
        <v>81.39</v>
      </c>
      <c r="P722" s="19">
        <v>172.15</v>
      </c>
      <c r="Q722" s="19">
        <v>237.84</v>
      </c>
      <c r="R722" s="19">
        <v>312.32</v>
      </c>
      <c r="S722" s="19">
        <v>385.91</v>
      </c>
      <c r="T722" s="19">
        <v>466.48</v>
      </c>
      <c r="U722" s="19">
        <v>488.05</v>
      </c>
      <c r="V722" s="19">
        <v>465.87</v>
      </c>
      <c r="W722" s="19">
        <v>446.61</v>
      </c>
      <c r="X722" s="19">
        <v>372.7</v>
      </c>
      <c r="Y722" s="19">
        <v>307.10000000000002</v>
      </c>
      <c r="Z722" s="32" t="s">
        <v>32</v>
      </c>
      <c r="AA722" s="25">
        <f t="shared" si="22"/>
        <v>17.79</v>
      </c>
      <c r="AB722" s="25">
        <f t="shared" si="23"/>
        <v>288.07958333333301</v>
      </c>
      <c r="AF722" s="25">
        <f>MAX($B$722:$AE$722)</f>
        <v>488.05</v>
      </c>
      <c r="AG722" s="25">
        <f>MIN($B$722:$AE$722)</f>
        <v>17.79</v>
      </c>
      <c r="AH722" s="25">
        <f>AVERAGE($B$722:$AE$722)</f>
        <v>277.68383012820499</v>
      </c>
    </row>
    <row r="723" spans="1:34">
      <c r="A723" s="30">
        <v>46018</v>
      </c>
      <c r="B723" s="19">
        <v>367.69</v>
      </c>
      <c r="C723" s="19">
        <v>352.4</v>
      </c>
      <c r="D723" s="19">
        <v>333.49</v>
      </c>
      <c r="E723" s="19">
        <v>308.72000000000003</v>
      </c>
      <c r="F723" s="19">
        <v>301.26</v>
      </c>
      <c r="G723" s="19">
        <v>301.17</v>
      </c>
      <c r="H723" s="19">
        <v>315.44</v>
      </c>
      <c r="I723" s="19">
        <v>319.97000000000003</v>
      </c>
      <c r="J723" s="19">
        <v>360.43</v>
      </c>
      <c r="K723" s="19">
        <v>332.65</v>
      </c>
      <c r="L723" s="19">
        <v>262.89999999999998</v>
      </c>
      <c r="M723" s="19">
        <v>217.29</v>
      </c>
      <c r="N723" s="19">
        <v>62.4</v>
      </c>
      <c r="O723" s="19">
        <v>107.47</v>
      </c>
      <c r="P723" s="19">
        <v>185.39</v>
      </c>
      <c r="Q723" s="19">
        <v>240.71</v>
      </c>
      <c r="R723" s="19">
        <v>306.52999999999997</v>
      </c>
      <c r="S723" s="19">
        <v>403.33</v>
      </c>
      <c r="T723" s="19">
        <v>463.15</v>
      </c>
      <c r="U723" s="19">
        <v>558.92999999999995</v>
      </c>
      <c r="V723" s="19">
        <v>541.77</v>
      </c>
      <c r="W723" s="19">
        <v>467.91</v>
      </c>
      <c r="X723" s="19">
        <v>413.21</v>
      </c>
      <c r="Y723" s="19">
        <v>359.27</v>
      </c>
      <c r="Z723" s="36" t="s">
        <v>36</v>
      </c>
      <c r="AA723" s="25">
        <f t="shared" si="22"/>
        <v>62.4</v>
      </c>
      <c r="AB723" s="25">
        <f t="shared" si="23"/>
        <v>328.47833333333301</v>
      </c>
      <c r="AF723" s="25">
        <f>MAX($B$723:$AE$723)</f>
        <v>558.92999999999995</v>
      </c>
      <c r="AG723" s="25">
        <f>MIN($B$723:$AE$723)</f>
        <v>62.4</v>
      </c>
      <c r="AH723" s="25">
        <f>AVERAGE($B$723:$AE$723)</f>
        <v>318.24455128205102</v>
      </c>
    </row>
    <row r="724" spans="1:34">
      <c r="A724" s="30">
        <v>46019</v>
      </c>
      <c r="B724" s="19">
        <v>433.59</v>
      </c>
      <c r="C724" s="19">
        <v>428.96</v>
      </c>
      <c r="D724" s="19">
        <v>406.07</v>
      </c>
      <c r="E724" s="19">
        <v>376.25</v>
      </c>
      <c r="F724" s="19">
        <v>341.54</v>
      </c>
      <c r="G724" s="19">
        <v>323.94</v>
      </c>
      <c r="H724" s="19">
        <v>367.47</v>
      </c>
      <c r="I724" s="19">
        <v>398.22</v>
      </c>
      <c r="J724" s="19">
        <v>411.78</v>
      </c>
      <c r="K724" s="19">
        <v>340.5</v>
      </c>
      <c r="L724" s="19">
        <v>262.7</v>
      </c>
      <c r="M724" s="19">
        <v>214.86</v>
      </c>
      <c r="N724" s="19">
        <v>109.72</v>
      </c>
      <c r="O724" s="19">
        <v>145.21</v>
      </c>
      <c r="P724" s="19">
        <v>143.56</v>
      </c>
      <c r="Q724" s="19">
        <v>227.58</v>
      </c>
      <c r="R724" s="19">
        <v>317.66000000000003</v>
      </c>
      <c r="S724" s="19">
        <v>425.57</v>
      </c>
      <c r="T724" s="19">
        <v>470.09</v>
      </c>
      <c r="U724" s="19">
        <v>484.8</v>
      </c>
      <c r="V724" s="19">
        <v>475.46</v>
      </c>
      <c r="W724" s="19">
        <v>481.28</v>
      </c>
      <c r="X724" s="19">
        <v>440.7</v>
      </c>
      <c r="Y724" s="19">
        <v>357.36</v>
      </c>
      <c r="Z724" s="37" t="s">
        <v>37</v>
      </c>
      <c r="AA724" s="25">
        <f t="shared" si="22"/>
        <v>109.72</v>
      </c>
      <c r="AB724" s="25">
        <f t="shared" si="23"/>
        <v>349.36958333333303</v>
      </c>
      <c r="AF724" s="25">
        <f>MAX($B$724:$AE$724)</f>
        <v>484.8</v>
      </c>
      <c r="AG724" s="25">
        <f>MIN($B$724:$AE$724)</f>
        <v>109.72</v>
      </c>
      <c r="AH724" s="25">
        <f>AVERAGE($B$724:$AE$724)</f>
        <v>340.152291666667</v>
      </c>
    </row>
    <row r="725" spans="1:34">
      <c r="A725" s="30">
        <v>46020</v>
      </c>
      <c r="B725" s="19">
        <v>357.17</v>
      </c>
      <c r="C725" s="19">
        <v>332.35</v>
      </c>
      <c r="D725" s="19">
        <v>322.13</v>
      </c>
      <c r="E725" s="19">
        <v>296.16000000000003</v>
      </c>
      <c r="F725" s="19">
        <v>294.99</v>
      </c>
      <c r="G725" s="19">
        <v>293.18</v>
      </c>
      <c r="H725" s="19">
        <v>327.58</v>
      </c>
      <c r="I725" s="19">
        <v>366.96</v>
      </c>
      <c r="J725" s="19">
        <v>390.52</v>
      </c>
      <c r="K725" s="19">
        <v>366.12</v>
      </c>
      <c r="L725" s="19">
        <v>279.74</v>
      </c>
      <c r="M725" s="19">
        <v>241.82</v>
      </c>
      <c r="N725" s="19">
        <v>160.18</v>
      </c>
      <c r="O725" s="19">
        <v>214.27</v>
      </c>
      <c r="P725" s="19">
        <v>230.98</v>
      </c>
      <c r="Q725" s="19">
        <v>263.2</v>
      </c>
      <c r="R725" s="19">
        <v>342.65</v>
      </c>
      <c r="S725" s="19">
        <v>408.91</v>
      </c>
      <c r="T725" s="19">
        <v>555.33000000000004</v>
      </c>
      <c r="U725" s="19">
        <v>646.88</v>
      </c>
      <c r="V725" s="19">
        <v>565.37</v>
      </c>
      <c r="W725" s="19">
        <v>438.17</v>
      </c>
      <c r="X725" s="19">
        <v>403.95</v>
      </c>
      <c r="Y725" s="19">
        <v>344.65</v>
      </c>
      <c r="Z725" s="33" t="s">
        <v>32</v>
      </c>
      <c r="AA725" s="25">
        <f t="shared" si="22"/>
        <v>160.18</v>
      </c>
      <c r="AB725" s="25">
        <f t="shared" si="23"/>
        <v>351.80250000000001</v>
      </c>
      <c r="AF725" s="25">
        <f>MAX($B$725:$AE$725)</f>
        <v>646.88</v>
      </c>
      <c r="AG725" s="25">
        <f>MIN($B$725:$AE$725)</f>
        <v>160.18</v>
      </c>
      <c r="AH725" s="25">
        <f>AVERAGE($B$725:$AE$725)</f>
        <v>344.43240384615399</v>
      </c>
    </row>
    <row r="726" spans="1:34">
      <c r="A726" s="30">
        <v>46021</v>
      </c>
      <c r="B726" s="19">
        <v>376.68</v>
      </c>
      <c r="C726" s="19">
        <v>351.81</v>
      </c>
      <c r="D726" s="19">
        <v>343.8</v>
      </c>
      <c r="E726" s="19">
        <v>331.16</v>
      </c>
      <c r="F726" s="19">
        <v>319.10000000000002</v>
      </c>
      <c r="G726" s="19">
        <v>315.61</v>
      </c>
      <c r="H726" s="19">
        <v>341.89</v>
      </c>
      <c r="I726" s="19">
        <v>366.14</v>
      </c>
      <c r="J726" s="19">
        <v>394.12</v>
      </c>
      <c r="K726" s="19">
        <v>359.05</v>
      </c>
      <c r="L726" s="19">
        <v>290.60000000000002</v>
      </c>
      <c r="M726" s="19">
        <v>247.11</v>
      </c>
      <c r="N726" s="19">
        <v>152.1</v>
      </c>
      <c r="O726" s="19">
        <v>234.7</v>
      </c>
      <c r="P726" s="19">
        <v>243.43</v>
      </c>
      <c r="Q726" s="19">
        <v>261.97000000000003</v>
      </c>
      <c r="R726" s="19">
        <v>320.95999999999998</v>
      </c>
      <c r="S726" s="19">
        <v>384.64</v>
      </c>
      <c r="T726" s="19">
        <v>442.28</v>
      </c>
      <c r="U726" s="19">
        <v>568.37</v>
      </c>
      <c r="V726" s="19">
        <v>482.02</v>
      </c>
      <c r="W726" s="19">
        <v>420.29</v>
      </c>
      <c r="X726" s="19">
        <v>374.43</v>
      </c>
      <c r="Y726" s="19">
        <v>330.15</v>
      </c>
      <c r="Z726" s="32" t="s">
        <v>32</v>
      </c>
      <c r="AA726" s="25">
        <f>MIN(B726:Y726)</f>
        <v>152.1</v>
      </c>
      <c r="AB726" s="25">
        <f>AVERAGE(B726:Y726)</f>
        <v>343.850416666667</v>
      </c>
      <c r="AF726" s="25">
        <f>MAX($B$726:$AE$726)</f>
        <v>568.37</v>
      </c>
      <c r="AG726" s="25">
        <f>MIN($B$726:$AE$726)</f>
        <v>152.1</v>
      </c>
      <c r="AH726" s="25">
        <f>AVERAGE($B$726:$AE$726)</f>
        <v>336.475400641026</v>
      </c>
    </row>
    <row r="727" spans="1:34">
      <c r="A727" s="30">
        <v>46022</v>
      </c>
      <c r="B727" s="19">
        <v>302.3</v>
      </c>
      <c r="C727" s="19">
        <v>303.92</v>
      </c>
      <c r="D727" s="19">
        <v>306.43</v>
      </c>
      <c r="E727" s="19">
        <v>296</v>
      </c>
      <c r="F727" s="19">
        <v>288.36</v>
      </c>
      <c r="G727" s="19">
        <v>284.89</v>
      </c>
      <c r="H727" s="19">
        <v>296.69</v>
      </c>
      <c r="I727" s="19">
        <v>310.27</v>
      </c>
      <c r="J727" s="19">
        <v>321.01</v>
      </c>
      <c r="K727" s="19">
        <v>309.89</v>
      </c>
      <c r="L727" s="19">
        <v>274.11</v>
      </c>
      <c r="M727" s="19">
        <v>234.2</v>
      </c>
      <c r="N727" s="19">
        <v>147.66</v>
      </c>
      <c r="O727" s="19">
        <v>204.44</v>
      </c>
      <c r="P727" s="19">
        <v>223.61</v>
      </c>
      <c r="Q727" s="19">
        <v>250.62</v>
      </c>
      <c r="R727" s="19">
        <v>288.7</v>
      </c>
      <c r="S727" s="19">
        <v>323</v>
      </c>
      <c r="T727" s="19">
        <v>334.95</v>
      </c>
      <c r="U727" s="19">
        <v>335.17</v>
      </c>
      <c r="V727" s="19">
        <v>335.72</v>
      </c>
      <c r="W727" s="19">
        <v>335.47</v>
      </c>
      <c r="X727" s="19">
        <v>323.12</v>
      </c>
      <c r="Y727" s="19">
        <v>297.42</v>
      </c>
      <c r="Z727" s="33" t="s">
        <v>32</v>
      </c>
      <c r="AA727" s="25">
        <f>MIN(B727:Y727)</f>
        <v>147.66</v>
      </c>
      <c r="AB727" s="25">
        <f>AVERAGE(B727:Y727)</f>
        <v>288.66458333333298</v>
      </c>
      <c r="AF727" s="25">
        <f>MAX($B$727:$AE$727)</f>
        <v>335.72</v>
      </c>
      <c r="AG727" s="25">
        <f>MIN($B$727:$AE$727)</f>
        <v>147.66</v>
      </c>
      <c r="AH727" s="25">
        <f>AVERAGE($B$727:$AE$727)</f>
        <v>283.24133012820499</v>
      </c>
    </row>
  </sheetData>
  <phoneticPr fontId="12" type="noConversion"/>
  <pageMargins left="0.7" right="0.7" top="0.75" bottom="0.75" header="0.3" footer="0.3"/>
  <pageSetup paperSize="9"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AC727"/>
  <sheetViews>
    <sheetView workbookViewId="0">
      <pane ySplit="1" topLeftCell="A703" activePane="bottomLeft" state="frozen"/>
      <selection pane="bottomLeft" activeCell="A728" sqref="A728:XFD734"/>
    </sheetView>
  </sheetViews>
  <sheetFormatPr baseColWidth="10" defaultColWidth="9" defaultRowHeight="15"/>
  <cols>
    <col min="1" max="1" width="10.5" style="6" customWidth="1"/>
    <col min="2" max="26" width="9" style="12"/>
    <col min="27" max="16384" width="9" style="6"/>
  </cols>
  <sheetData>
    <row r="1" spans="1:29" ht="16">
      <c r="A1" s="2" t="s">
        <v>0</v>
      </c>
      <c r="B1" s="13" t="s">
        <v>1</v>
      </c>
      <c r="C1" s="13" t="s">
        <v>2</v>
      </c>
      <c r="D1" s="13" t="s">
        <v>3</v>
      </c>
      <c r="E1" s="13" t="s">
        <v>4</v>
      </c>
      <c r="F1" s="13" t="s">
        <v>5</v>
      </c>
      <c r="G1" s="13" t="s">
        <v>6</v>
      </c>
      <c r="H1" s="13" t="s">
        <v>7</v>
      </c>
      <c r="I1" s="13" t="s">
        <v>8</v>
      </c>
      <c r="J1" s="13" t="s">
        <v>9</v>
      </c>
      <c r="K1" s="13" t="s">
        <v>10</v>
      </c>
      <c r="L1" s="13" t="s">
        <v>11</v>
      </c>
      <c r="M1" s="13" t="s">
        <v>12</v>
      </c>
      <c r="N1" s="13" t="s">
        <v>13</v>
      </c>
      <c r="O1" s="13" t="s">
        <v>14</v>
      </c>
      <c r="P1" s="13" t="s">
        <v>15</v>
      </c>
      <c r="Q1" s="13" t="s">
        <v>16</v>
      </c>
      <c r="R1" s="13" t="s">
        <v>17</v>
      </c>
      <c r="S1" s="13" t="s">
        <v>18</v>
      </c>
      <c r="T1" s="13" t="s">
        <v>19</v>
      </c>
      <c r="U1" s="13" t="s">
        <v>20</v>
      </c>
      <c r="V1" s="13" t="s">
        <v>21</v>
      </c>
      <c r="W1" s="13" t="s">
        <v>22</v>
      </c>
      <c r="X1" s="13" t="s">
        <v>23</v>
      </c>
      <c r="Y1" s="13" t="s">
        <v>24</v>
      </c>
      <c r="Z1" s="14"/>
      <c r="AA1" s="15" t="s">
        <v>38</v>
      </c>
      <c r="AB1" s="15" t="s">
        <v>26</v>
      </c>
      <c r="AC1" s="15" t="s">
        <v>27</v>
      </c>
    </row>
    <row r="2" spans="1:29">
      <c r="A2" s="8">
        <v>45292</v>
      </c>
      <c r="B2" s="16">
        <v>351.3075</v>
      </c>
      <c r="C2" s="16">
        <v>262.22519999999997</v>
      </c>
      <c r="D2" s="16">
        <v>186.67240000000001</v>
      </c>
      <c r="E2" s="16">
        <v>34.004899999999999</v>
      </c>
      <c r="F2" s="16">
        <v>0</v>
      </c>
      <c r="G2" s="16">
        <v>2.282</v>
      </c>
      <c r="H2" s="16">
        <v>0</v>
      </c>
      <c r="I2" s="16">
        <v>73.153099999999995</v>
      </c>
      <c r="J2" s="16">
        <v>0</v>
      </c>
      <c r="K2" s="16">
        <v>0</v>
      </c>
      <c r="L2" s="16">
        <v>0</v>
      </c>
      <c r="M2" s="16">
        <v>296.18360000000001</v>
      </c>
      <c r="N2" s="16">
        <v>486.75580000000002</v>
      </c>
      <c r="O2" s="16">
        <v>104.831</v>
      </c>
      <c r="P2" s="16">
        <v>10.3218</v>
      </c>
      <c r="Q2" s="16">
        <v>451.40120000000002</v>
      </c>
      <c r="R2" s="16">
        <v>404.04700000000003</v>
      </c>
      <c r="S2" s="16">
        <v>704.00409999999999</v>
      </c>
      <c r="T2" s="16">
        <v>481.5</v>
      </c>
      <c r="U2" s="16">
        <v>338.89640000000003</v>
      </c>
      <c r="V2" s="16">
        <v>340.8734</v>
      </c>
      <c r="W2" s="16">
        <v>357.92700000000002</v>
      </c>
      <c r="X2" s="16">
        <v>331.52269999999999</v>
      </c>
      <c r="Y2" s="16">
        <v>257.13130000000001</v>
      </c>
      <c r="Z2" s="16"/>
      <c r="AA2" s="17">
        <f>MAX($B2:$Y2)</f>
        <v>704.00409999999999</v>
      </c>
      <c r="AB2" s="17">
        <f t="shared" ref="AB2:AB65" si="0">MIN($B2:$Y2)</f>
        <v>0</v>
      </c>
      <c r="AC2" s="17">
        <f t="shared" ref="AC2:AC65" si="1">AVERAGE($B2:$Y2)</f>
        <v>228.12668333333301</v>
      </c>
    </row>
    <row r="3" spans="1:29">
      <c r="A3" s="8">
        <v>45293</v>
      </c>
      <c r="B3" s="16">
        <v>646.21190000000001</v>
      </c>
      <c r="C3" s="16">
        <v>353.0908</v>
      </c>
      <c r="D3" s="16">
        <v>344.31180000000001</v>
      </c>
      <c r="E3" s="16">
        <v>358</v>
      </c>
      <c r="F3" s="16">
        <v>325.40969999999999</v>
      </c>
      <c r="G3" s="16">
        <v>322.63040000000001</v>
      </c>
      <c r="H3" s="16">
        <v>404.99040000000002</v>
      </c>
      <c r="I3" s="16">
        <v>454.93490000000003</v>
      </c>
      <c r="J3" s="16">
        <v>708.36450000000002</v>
      </c>
      <c r="K3" s="16">
        <v>756.66570000000002</v>
      </c>
      <c r="L3" s="16">
        <v>644.83619999999996</v>
      </c>
      <c r="M3" s="16">
        <v>530.94010000000003</v>
      </c>
      <c r="N3" s="16">
        <v>358.79259999999999</v>
      </c>
      <c r="O3" s="16">
        <v>411.83980000000003</v>
      </c>
      <c r="P3" s="16">
        <v>450.05759999999998</v>
      </c>
      <c r="Q3" s="16">
        <v>475.11360000000002</v>
      </c>
      <c r="R3" s="16">
        <v>509.67200000000003</v>
      </c>
      <c r="S3" s="16">
        <v>515.79859999999996</v>
      </c>
      <c r="T3" s="16">
        <v>519.09209999999996</v>
      </c>
      <c r="U3" s="16">
        <v>513.53070000000002</v>
      </c>
      <c r="V3" s="16">
        <v>606.14189999999996</v>
      </c>
      <c r="W3" s="16">
        <v>624.55319999999995</v>
      </c>
      <c r="X3" s="16">
        <v>652.41290000000004</v>
      </c>
      <c r="Y3" s="16">
        <v>437.53</v>
      </c>
      <c r="Z3" s="16"/>
      <c r="AA3" s="17">
        <f t="shared" ref="AA3:AA65" si="2">MAX($B3:$Y3)</f>
        <v>756.66570000000002</v>
      </c>
      <c r="AB3" s="17">
        <f t="shared" si="0"/>
        <v>322.63040000000001</v>
      </c>
      <c r="AC3" s="17">
        <f t="shared" si="1"/>
        <v>496.87172500000003</v>
      </c>
    </row>
    <row r="4" spans="1:29">
      <c r="A4" s="8">
        <v>45294</v>
      </c>
      <c r="B4" s="16">
        <v>568.82960000000003</v>
      </c>
      <c r="C4" s="16">
        <v>460.21010000000001</v>
      </c>
      <c r="D4" s="16">
        <v>446.88589999999999</v>
      </c>
      <c r="E4" s="16">
        <v>419.63869999999997</v>
      </c>
      <c r="F4" s="16">
        <v>401.07639999999998</v>
      </c>
      <c r="G4" s="16">
        <v>394.72980000000001</v>
      </c>
      <c r="H4" s="16">
        <v>462.5</v>
      </c>
      <c r="I4" s="16">
        <v>558.44039999999995</v>
      </c>
      <c r="J4" s="16">
        <v>937.47490000000005</v>
      </c>
      <c r="K4" s="16">
        <v>862.13890000000004</v>
      </c>
      <c r="L4" s="16">
        <v>584.19209999999998</v>
      </c>
      <c r="M4" s="16">
        <v>471.93939999999998</v>
      </c>
      <c r="N4" s="16">
        <v>245.6249</v>
      </c>
      <c r="O4" s="16">
        <v>355.10910000000001</v>
      </c>
      <c r="P4" s="16">
        <v>424.1003</v>
      </c>
      <c r="Q4" s="16">
        <v>460.55959999999999</v>
      </c>
      <c r="R4" s="16">
        <v>637.44470000000001</v>
      </c>
      <c r="S4" s="16">
        <v>683.42499999999995</v>
      </c>
      <c r="T4" s="16">
        <v>580.65300000000002</v>
      </c>
      <c r="U4" s="16">
        <v>678.5797</v>
      </c>
      <c r="V4" s="16">
        <v>659.12369999999999</v>
      </c>
      <c r="W4" s="16">
        <v>679.97370000000001</v>
      </c>
      <c r="X4" s="16">
        <v>539.19370000000004</v>
      </c>
      <c r="Y4" s="16">
        <v>425.50900000000001</v>
      </c>
      <c r="Z4" s="16"/>
      <c r="AA4" s="17">
        <f t="shared" si="2"/>
        <v>937.47490000000005</v>
      </c>
      <c r="AB4" s="17">
        <f t="shared" si="0"/>
        <v>245.6249</v>
      </c>
      <c r="AC4" s="17">
        <f t="shared" si="1"/>
        <v>539.05635833333304</v>
      </c>
    </row>
    <row r="5" spans="1:29">
      <c r="A5" s="8">
        <v>45295</v>
      </c>
      <c r="B5" s="16">
        <v>447.11470000000003</v>
      </c>
      <c r="C5" s="16">
        <v>412.30950000000001</v>
      </c>
      <c r="D5" s="16">
        <v>387.22820000000002</v>
      </c>
      <c r="E5" s="16">
        <v>366.00959999999998</v>
      </c>
      <c r="F5" s="16">
        <v>348.31</v>
      </c>
      <c r="G5" s="16">
        <v>375.5</v>
      </c>
      <c r="H5" s="16">
        <v>414.60879999999997</v>
      </c>
      <c r="I5" s="16">
        <v>482.4203</v>
      </c>
      <c r="J5" s="16">
        <v>867.63480000000004</v>
      </c>
      <c r="K5" s="16">
        <v>1009.5126</v>
      </c>
      <c r="L5" s="16">
        <v>644.05079999999998</v>
      </c>
      <c r="M5" s="16">
        <v>399.68650000000002</v>
      </c>
      <c r="N5" s="16">
        <v>50.512999999999998</v>
      </c>
      <c r="O5" s="16">
        <v>250.18879999999999</v>
      </c>
      <c r="P5" s="16">
        <v>407.87040000000002</v>
      </c>
      <c r="Q5" s="16">
        <v>467.4828</v>
      </c>
      <c r="R5" s="16">
        <v>687.72400000000005</v>
      </c>
      <c r="S5" s="16">
        <v>619.24800000000005</v>
      </c>
      <c r="T5" s="16">
        <v>730.95280000000002</v>
      </c>
      <c r="U5" s="16">
        <v>883.84659999999997</v>
      </c>
      <c r="V5" s="16">
        <v>869.69359999999995</v>
      </c>
      <c r="W5" s="16">
        <v>701.46450000000004</v>
      </c>
      <c r="X5" s="16">
        <v>511.9948</v>
      </c>
      <c r="Y5" s="16">
        <v>428.7473</v>
      </c>
      <c r="Z5" s="16"/>
      <c r="AA5" s="17">
        <f t="shared" si="2"/>
        <v>1009.5126</v>
      </c>
      <c r="AB5" s="17">
        <f t="shared" si="0"/>
        <v>50.512999999999998</v>
      </c>
      <c r="AC5" s="17">
        <f t="shared" si="1"/>
        <v>531.83801666666704</v>
      </c>
    </row>
    <row r="6" spans="1:29">
      <c r="A6" s="8">
        <v>45296</v>
      </c>
      <c r="B6" s="16">
        <v>456.10520000000002</v>
      </c>
      <c r="C6" s="16">
        <v>442.0378</v>
      </c>
      <c r="D6" s="16">
        <v>425.8091</v>
      </c>
      <c r="E6" s="16">
        <v>415.0831</v>
      </c>
      <c r="F6" s="16">
        <v>403.27879999999999</v>
      </c>
      <c r="G6" s="16">
        <v>401.27749999999997</v>
      </c>
      <c r="H6" s="16">
        <v>438.25479999999999</v>
      </c>
      <c r="I6" s="16">
        <v>475.10340000000002</v>
      </c>
      <c r="J6" s="16">
        <v>559.6943</v>
      </c>
      <c r="K6" s="16">
        <v>610.07259999999997</v>
      </c>
      <c r="L6" s="16">
        <v>492.09160000000003</v>
      </c>
      <c r="M6" s="16">
        <v>431.0772</v>
      </c>
      <c r="N6" s="16">
        <v>256.82859999999999</v>
      </c>
      <c r="O6" s="16">
        <v>374.2201</v>
      </c>
      <c r="P6" s="16">
        <v>403.62849999999997</v>
      </c>
      <c r="Q6" s="16">
        <v>459.15890000000002</v>
      </c>
      <c r="R6" s="16">
        <v>544.45399999999995</v>
      </c>
      <c r="S6" s="16">
        <v>550.87879999999996</v>
      </c>
      <c r="T6" s="16">
        <v>543.88869999999997</v>
      </c>
      <c r="U6" s="16">
        <v>630.39250000000004</v>
      </c>
      <c r="V6" s="16">
        <v>635.76580000000001</v>
      </c>
      <c r="W6" s="16">
        <v>507.44130000000001</v>
      </c>
      <c r="X6" s="16">
        <v>517.19719999999995</v>
      </c>
      <c r="Y6" s="16">
        <v>456.67200000000003</v>
      </c>
      <c r="Z6" s="16"/>
      <c r="AA6" s="17">
        <f t="shared" si="2"/>
        <v>635.76580000000001</v>
      </c>
      <c r="AB6" s="17">
        <f t="shared" si="0"/>
        <v>256.82859999999999</v>
      </c>
      <c r="AC6" s="17">
        <f t="shared" si="1"/>
        <v>476.26715833333299</v>
      </c>
    </row>
    <row r="7" spans="1:29">
      <c r="A7" s="8">
        <v>45297</v>
      </c>
      <c r="B7" s="16">
        <v>487.77820000000003</v>
      </c>
      <c r="C7" s="16">
        <v>455.01089999999999</v>
      </c>
      <c r="D7" s="16">
        <v>439.3467</v>
      </c>
      <c r="E7" s="16">
        <v>417.1035</v>
      </c>
      <c r="F7" s="16">
        <v>402.584</v>
      </c>
      <c r="G7" s="16">
        <v>402.0813</v>
      </c>
      <c r="H7" s="16">
        <v>427.8997</v>
      </c>
      <c r="I7" s="16">
        <v>471.44159999999999</v>
      </c>
      <c r="J7" s="16">
        <v>570.08169999999996</v>
      </c>
      <c r="K7" s="16">
        <v>552.54190000000006</v>
      </c>
      <c r="L7" s="16">
        <v>474.76139999999998</v>
      </c>
      <c r="M7" s="16">
        <v>429.4323</v>
      </c>
      <c r="N7" s="16">
        <v>264.34160000000003</v>
      </c>
      <c r="O7" s="16">
        <v>373.2285</v>
      </c>
      <c r="P7" s="16">
        <v>414.21949999999998</v>
      </c>
      <c r="Q7" s="16">
        <v>438.5428</v>
      </c>
      <c r="R7" s="16">
        <v>493.38569999999999</v>
      </c>
      <c r="S7" s="16">
        <v>500.10660000000001</v>
      </c>
      <c r="T7" s="16">
        <v>496.69909999999999</v>
      </c>
      <c r="U7" s="16">
        <v>488.65050000000002</v>
      </c>
      <c r="V7" s="16">
        <v>492.30040000000002</v>
      </c>
      <c r="W7" s="16">
        <v>487.4563</v>
      </c>
      <c r="X7" s="16">
        <v>487.35809999999998</v>
      </c>
      <c r="Y7" s="16">
        <v>430.94720000000001</v>
      </c>
      <c r="Z7" s="16"/>
      <c r="AA7" s="17">
        <f t="shared" si="2"/>
        <v>570.08169999999996</v>
      </c>
      <c r="AB7" s="17">
        <f t="shared" si="0"/>
        <v>264.34160000000003</v>
      </c>
      <c r="AC7" s="17">
        <f t="shared" si="1"/>
        <v>454.054145833333</v>
      </c>
    </row>
    <row r="8" spans="1:29">
      <c r="A8" s="8">
        <v>45298</v>
      </c>
      <c r="B8" s="16">
        <v>470.10770000000002</v>
      </c>
      <c r="C8" s="16">
        <v>431.17899999999997</v>
      </c>
      <c r="D8" s="16">
        <v>418.35320000000002</v>
      </c>
      <c r="E8" s="16">
        <v>400.25450000000001</v>
      </c>
      <c r="F8" s="16">
        <v>385.79559999999998</v>
      </c>
      <c r="G8" s="16">
        <v>387.6377</v>
      </c>
      <c r="H8" s="16">
        <v>399.63240000000002</v>
      </c>
      <c r="I8" s="16">
        <v>432.39139999999998</v>
      </c>
      <c r="J8" s="16">
        <v>446.42270000000002</v>
      </c>
      <c r="K8" s="16">
        <v>435.6028</v>
      </c>
      <c r="L8" s="16">
        <v>414.22160000000002</v>
      </c>
      <c r="M8" s="16">
        <v>343.93599999999998</v>
      </c>
      <c r="N8" s="16">
        <v>208.51009999999999</v>
      </c>
      <c r="O8" s="16">
        <v>287.10210000000001</v>
      </c>
      <c r="P8" s="16">
        <v>319.55309999999997</v>
      </c>
      <c r="Q8" s="16">
        <v>349.22730000000001</v>
      </c>
      <c r="R8" s="16">
        <v>434.33589999999998</v>
      </c>
      <c r="S8" s="16">
        <v>440.83890000000002</v>
      </c>
      <c r="T8" s="16">
        <v>460.37139999999999</v>
      </c>
      <c r="U8" s="16">
        <v>446.827</v>
      </c>
      <c r="V8" s="16">
        <v>449.10700000000003</v>
      </c>
      <c r="W8" s="16">
        <v>449.07909999999998</v>
      </c>
      <c r="X8" s="16">
        <v>424.78949999999998</v>
      </c>
      <c r="Y8" s="16">
        <v>376.19799999999998</v>
      </c>
      <c r="Z8" s="16"/>
      <c r="AA8" s="17">
        <f t="shared" si="2"/>
        <v>470.10770000000002</v>
      </c>
      <c r="AB8" s="17">
        <f t="shared" si="0"/>
        <v>208.51009999999999</v>
      </c>
      <c r="AC8" s="17">
        <f t="shared" si="1"/>
        <v>400.47808333333302</v>
      </c>
    </row>
    <row r="9" spans="1:29">
      <c r="A9" s="8">
        <v>45299</v>
      </c>
      <c r="B9" s="16">
        <v>391.50330000000002</v>
      </c>
      <c r="C9" s="16">
        <v>366.10570000000001</v>
      </c>
      <c r="D9" s="16">
        <v>343.4502</v>
      </c>
      <c r="E9" s="16">
        <v>245.35169999999999</v>
      </c>
      <c r="F9" s="16">
        <v>264.8528</v>
      </c>
      <c r="G9" s="16">
        <v>329.42529999999999</v>
      </c>
      <c r="H9" s="16">
        <v>393.49919999999997</v>
      </c>
      <c r="I9" s="16">
        <v>429.17809999999997</v>
      </c>
      <c r="J9" s="16">
        <v>476.14350000000002</v>
      </c>
      <c r="K9" s="16">
        <v>468.8347</v>
      </c>
      <c r="L9" s="16">
        <v>436.76830000000001</v>
      </c>
      <c r="M9" s="16">
        <v>434.53289999999998</v>
      </c>
      <c r="N9" s="16">
        <v>257.0992</v>
      </c>
      <c r="O9" s="16">
        <v>389.32440000000003</v>
      </c>
      <c r="P9" s="16">
        <v>413.8349</v>
      </c>
      <c r="Q9" s="16">
        <v>444.65100000000001</v>
      </c>
      <c r="R9" s="16">
        <v>493.79239999999999</v>
      </c>
      <c r="S9" s="16">
        <v>480.58280000000002</v>
      </c>
      <c r="T9" s="16">
        <v>474.72449999999998</v>
      </c>
      <c r="U9" s="16">
        <v>488.1189</v>
      </c>
      <c r="V9" s="16">
        <v>490.61849999999998</v>
      </c>
      <c r="W9" s="16">
        <v>479.43619999999999</v>
      </c>
      <c r="X9" s="16">
        <v>447.76139999999998</v>
      </c>
      <c r="Y9" s="16">
        <v>406.44819999999999</v>
      </c>
      <c r="Z9" s="16"/>
      <c r="AA9" s="17">
        <f t="shared" si="2"/>
        <v>493.79239999999999</v>
      </c>
      <c r="AB9" s="17">
        <f t="shared" si="0"/>
        <v>245.35169999999999</v>
      </c>
      <c r="AC9" s="17">
        <f t="shared" si="1"/>
        <v>410.25158750000003</v>
      </c>
    </row>
    <row r="10" spans="1:29">
      <c r="A10" s="8">
        <v>45300</v>
      </c>
      <c r="B10" s="16">
        <v>431.05930000000001</v>
      </c>
      <c r="C10" s="16">
        <v>411.38440000000003</v>
      </c>
      <c r="D10" s="16">
        <v>395.9425</v>
      </c>
      <c r="E10" s="16">
        <v>382.58710000000002</v>
      </c>
      <c r="F10" s="16">
        <v>374.17860000000002</v>
      </c>
      <c r="G10" s="16">
        <v>382.55840000000001</v>
      </c>
      <c r="H10" s="16">
        <v>421.22280000000001</v>
      </c>
      <c r="I10" s="16">
        <v>470.29770000000002</v>
      </c>
      <c r="J10" s="16">
        <v>892.61270000000002</v>
      </c>
      <c r="K10" s="16">
        <v>855.03200000000004</v>
      </c>
      <c r="L10" s="16">
        <v>668.19529999999997</v>
      </c>
      <c r="M10" s="16">
        <v>504.85879999999997</v>
      </c>
      <c r="N10" s="16">
        <v>383.72829999999999</v>
      </c>
      <c r="O10" s="16">
        <v>457.23579999999998</v>
      </c>
      <c r="P10" s="16">
        <v>564.68449999999996</v>
      </c>
      <c r="Q10" s="16">
        <v>806.77710000000002</v>
      </c>
      <c r="R10" s="16">
        <v>881.41880000000003</v>
      </c>
      <c r="S10" s="16">
        <v>679.52419999999995</v>
      </c>
      <c r="T10" s="16">
        <v>764.06150000000002</v>
      </c>
      <c r="U10" s="16">
        <v>840.71479999999997</v>
      </c>
      <c r="V10" s="16">
        <v>864.29610000000002</v>
      </c>
      <c r="W10" s="16">
        <v>837.71400000000006</v>
      </c>
      <c r="X10" s="16">
        <v>577.43050000000005</v>
      </c>
      <c r="Y10" s="16">
        <v>434.86200000000002</v>
      </c>
      <c r="Z10" s="16"/>
      <c r="AA10" s="17">
        <f t="shared" si="2"/>
        <v>892.61270000000002</v>
      </c>
      <c r="AB10" s="17">
        <f t="shared" si="0"/>
        <v>374.17860000000002</v>
      </c>
      <c r="AC10" s="17">
        <f t="shared" si="1"/>
        <v>595.09905000000003</v>
      </c>
    </row>
    <row r="11" spans="1:29">
      <c r="A11" s="8">
        <v>45301</v>
      </c>
      <c r="B11" s="16">
        <v>449.00569999999999</v>
      </c>
      <c r="C11" s="16">
        <v>427.16430000000003</v>
      </c>
      <c r="D11" s="16">
        <v>413.69170000000003</v>
      </c>
      <c r="E11" s="16">
        <v>389.89870000000002</v>
      </c>
      <c r="F11" s="16">
        <v>380.57580000000002</v>
      </c>
      <c r="G11" s="16">
        <v>385.49540000000002</v>
      </c>
      <c r="H11" s="16">
        <v>419.1551</v>
      </c>
      <c r="I11" s="16">
        <v>467.87200000000001</v>
      </c>
      <c r="J11" s="16">
        <v>545.06730000000005</v>
      </c>
      <c r="K11" s="16">
        <v>474.40309999999999</v>
      </c>
      <c r="L11" s="16">
        <v>466.95190000000002</v>
      </c>
      <c r="M11" s="16">
        <v>415.22660000000002</v>
      </c>
      <c r="N11" s="16">
        <v>263.77760000000001</v>
      </c>
      <c r="O11" s="16">
        <v>407.78870000000001</v>
      </c>
      <c r="P11" s="16">
        <v>438.18220000000002</v>
      </c>
      <c r="Q11" s="16">
        <v>451.05180000000001</v>
      </c>
      <c r="R11" s="16">
        <v>480.85660000000001</v>
      </c>
      <c r="S11" s="16">
        <v>482.92930000000001</v>
      </c>
      <c r="T11" s="16">
        <v>526.08209999999997</v>
      </c>
      <c r="U11" s="16">
        <v>510.8981</v>
      </c>
      <c r="V11" s="16">
        <v>504.77089999999998</v>
      </c>
      <c r="W11" s="16">
        <v>488.83069999999998</v>
      </c>
      <c r="X11" s="16">
        <v>454.65820000000002</v>
      </c>
      <c r="Y11" s="16">
        <v>412.97469999999998</v>
      </c>
      <c r="Z11" s="16"/>
      <c r="AA11" s="17">
        <f t="shared" si="2"/>
        <v>545.06730000000005</v>
      </c>
      <c r="AB11" s="17">
        <f t="shared" si="0"/>
        <v>263.77760000000001</v>
      </c>
      <c r="AC11" s="17">
        <f t="shared" si="1"/>
        <v>444.05452083333302</v>
      </c>
    </row>
    <row r="12" spans="1:29">
      <c r="A12" s="8">
        <v>45302</v>
      </c>
      <c r="B12" s="16">
        <v>418.77460000000002</v>
      </c>
      <c r="C12" s="16">
        <v>414.63400000000001</v>
      </c>
      <c r="D12" s="16">
        <v>383.3605</v>
      </c>
      <c r="E12" s="16">
        <v>360.39580000000001</v>
      </c>
      <c r="F12" s="16">
        <v>303.01409999999998</v>
      </c>
      <c r="G12" s="16">
        <v>348.32150000000001</v>
      </c>
      <c r="H12" s="16">
        <v>399.22050000000002</v>
      </c>
      <c r="I12" s="16">
        <v>441.45100000000002</v>
      </c>
      <c r="J12" s="16">
        <v>486.90960000000001</v>
      </c>
      <c r="K12" s="16">
        <v>576.26030000000003</v>
      </c>
      <c r="L12" s="16">
        <v>505.88479999999998</v>
      </c>
      <c r="M12" s="16">
        <v>434.34629999999999</v>
      </c>
      <c r="N12" s="16">
        <v>294.13619999999997</v>
      </c>
      <c r="O12" s="16">
        <v>376.30009999999999</v>
      </c>
      <c r="P12" s="16">
        <v>427.56459999999998</v>
      </c>
      <c r="Q12" s="16">
        <v>447.93119999999999</v>
      </c>
      <c r="R12" s="16">
        <v>489.85079999999999</v>
      </c>
      <c r="S12" s="16">
        <v>493.91559999999998</v>
      </c>
      <c r="T12" s="16">
        <v>659.78200000000004</v>
      </c>
      <c r="U12" s="16">
        <v>824.55960000000005</v>
      </c>
      <c r="V12" s="16">
        <v>769.99270000000001</v>
      </c>
      <c r="W12" s="16">
        <v>818.81389999999999</v>
      </c>
      <c r="X12" s="16">
        <v>524.54909999999995</v>
      </c>
      <c r="Y12" s="16">
        <v>420.8519</v>
      </c>
      <c r="Z12" s="16"/>
      <c r="AA12" s="17">
        <f t="shared" si="2"/>
        <v>824.55960000000005</v>
      </c>
      <c r="AB12" s="17">
        <f t="shared" si="0"/>
        <v>294.13619999999997</v>
      </c>
      <c r="AC12" s="17">
        <f t="shared" si="1"/>
        <v>484.20086250000003</v>
      </c>
    </row>
    <row r="13" spans="1:29">
      <c r="A13" s="8">
        <v>45303</v>
      </c>
      <c r="B13" s="16">
        <v>436.31970000000001</v>
      </c>
      <c r="C13" s="16">
        <v>385.79520000000002</v>
      </c>
      <c r="D13" s="16">
        <v>355.56760000000003</v>
      </c>
      <c r="E13" s="16">
        <v>383.50080000000003</v>
      </c>
      <c r="F13" s="16">
        <v>392.79860000000002</v>
      </c>
      <c r="G13" s="16">
        <v>387.23689999999999</v>
      </c>
      <c r="H13" s="16">
        <v>437.40100000000001</v>
      </c>
      <c r="I13" s="16">
        <v>534.62609999999995</v>
      </c>
      <c r="J13" s="16">
        <v>809.77739999999994</v>
      </c>
      <c r="K13" s="16">
        <v>862.66510000000005</v>
      </c>
      <c r="L13" s="16">
        <v>625.75099999999998</v>
      </c>
      <c r="M13" s="16">
        <v>466.89830000000001</v>
      </c>
      <c r="N13" s="16">
        <v>356.7928</v>
      </c>
      <c r="O13" s="16">
        <v>405.05250000000001</v>
      </c>
      <c r="P13" s="16">
        <v>462.38380000000001</v>
      </c>
      <c r="Q13" s="16">
        <v>482.03570000000002</v>
      </c>
      <c r="R13" s="16">
        <v>478.51589999999999</v>
      </c>
      <c r="S13" s="16">
        <v>496.86399999999998</v>
      </c>
      <c r="T13" s="16">
        <v>522.87660000000005</v>
      </c>
      <c r="U13" s="16">
        <v>686.92960000000005</v>
      </c>
      <c r="V13" s="16">
        <v>587.72180000000003</v>
      </c>
      <c r="W13" s="16">
        <v>510.53100000000001</v>
      </c>
      <c r="X13" s="16">
        <v>455.30149999999998</v>
      </c>
      <c r="Y13" s="16">
        <v>410.82560000000001</v>
      </c>
      <c r="Z13" s="16"/>
      <c r="AA13" s="17">
        <f t="shared" si="2"/>
        <v>862.66510000000005</v>
      </c>
      <c r="AB13" s="17">
        <f t="shared" si="0"/>
        <v>355.56760000000003</v>
      </c>
      <c r="AC13" s="17">
        <f t="shared" si="1"/>
        <v>497.257020833333</v>
      </c>
    </row>
    <row r="14" spans="1:29">
      <c r="A14" s="8">
        <v>45304</v>
      </c>
      <c r="B14" s="16">
        <v>483.86430000000001</v>
      </c>
      <c r="C14" s="16">
        <v>423.22410000000002</v>
      </c>
      <c r="D14" s="16">
        <v>404.17380000000003</v>
      </c>
      <c r="E14" s="16">
        <v>387.55610000000001</v>
      </c>
      <c r="F14" s="16">
        <v>370.57279999999997</v>
      </c>
      <c r="G14" s="16">
        <v>355.66550000000001</v>
      </c>
      <c r="H14" s="16">
        <v>377.94970000000001</v>
      </c>
      <c r="I14" s="16">
        <v>413.09219999999999</v>
      </c>
      <c r="J14" s="16">
        <v>483.02769999999998</v>
      </c>
      <c r="K14" s="16">
        <v>603.25620000000004</v>
      </c>
      <c r="L14" s="16">
        <v>485.55889999999999</v>
      </c>
      <c r="M14" s="16">
        <v>437.31670000000003</v>
      </c>
      <c r="N14" s="16">
        <v>235.53489999999999</v>
      </c>
      <c r="O14" s="16">
        <v>402.87060000000002</v>
      </c>
      <c r="P14" s="16">
        <v>434.03219999999999</v>
      </c>
      <c r="Q14" s="16">
        <v>451.28449999999998</v>
      </c>
      <c r="R14" s="16">
        <v>465.78429999999997</v>
      </c>
      <c r="S14" s="16">
        <v>471.25979999999998</v>
      </c>
      <c r="T14" s="16">
        <v>459.3603</v>
      </c>
      <c r="U14" s="16">
        <v>494.1277</v>
      </c>
      <c r="V14" s="16">
        <v>487.97519999999997</v>
      </c>
      <c r="W14" s="16">
        <v>463.25810000000001</v>
      </c>
      <c r="X14" s="16">
        <v>431.26530000000002</v>
      </c>
      <c r="Y14" s="16">
        <v>397.5711</v>
      </c>
      <c r="Z14" s="16"/>
      <c r="AA14" s="17">
        <f t="shared" si="2"/>
        <v>603.25620000000004</v>
      </c>
      <c r="AB14" s="17">
        <f t="shared" si="0"/>
        <v>235.53489999999999</v>
      </c>
      <c r="AC14" s="17">
        <f t="shared" si="1"/>
        <v>434.14924999999999</v>
      </c>
    </row>
    <row r="15" spans="1:29">
      <c r="A15" s="8">
        <v>45305</v>
      </c>
      <c r="B15" s="16">
        <v>432.64519999999999</v>
      </c>
      <c r="C15" s="16">
        <v>427.19439999999997</v>
      </c>
      <c r="D15" s="16">
        <v>409.87610000000001</v>
      </c>
      <c r="E15" s="16">
        <v>386.96510000000001</v>
      </c>
      <c r="F15" s="16">
        <v>356.93400000000003</v>
      </c>
      <c r="G15" s="16">
        <v>367.3005</v>
      </c>
      <c r="H15" s="16">
        <v>379.71710000000002</v>
      </c>
      <c r="I15" s="16">
        <v>412.72390000000001</v>
      </c>
      <c r="J15" s="16">
        <v>431.91320000000002</v>
      </c>
      <c r="K15" s="16">
        <v>432.72399999999999</v>
      </c>
      <c r="L15" s="16">
        <v>388.7731</v>
      </c>
      <c r="M15" s="16">
        <v>344.85930000000002</v>
      </c>
      <c r="N15" s="16">
        <v>148.9581</v>
      </c>
      <c r="O15" s="16">
        <v>335.3818</v>
      </c>
      <c r="P15" s="16">
        <v>359.52719999999999</v>
      </c>
      <c r="Q15" s="16">
        <v>385.18669999999997</v>
      </c>
      <c r="R15" s="16">
        <v>418.76870000000002</v>
      </c>
      <c r="S15" s="16">
        <v>453.07479999999998</v>
      </c>
      <c r="T15" s="16">
        <v>464.15179999999998</v>
      </c>
      <c r="U15" s="16">
        <v>480.5573</v>
      </c>
      <c r="V15" s="16">
        <v>478.76330000000002</v>
      </c>
      <c r="W15" s="16">
        <v>498.3347</v>
      </c>
      <c r="X15" s="16">
        <v>450.86540000000002</v>
      </c>
      <c r="Y15" s="16">
        <v>394.89879999999999</v>
      </c>
      <c r="Z15" s="16"/>
      <c r="AA15" s="17">
        <f t="shared" si="2"/>
        <v>498.3347</v>
      </c>
      <c r="AB15" s="17">
        <f t="shared" si="0"/>
        <v>148.9581</v>
      </c>
      <c r="AC15" s="17">
        <f t="shared" si="1"/>
        <v>401.67060416666698</v>
      </c>
    </row>
    <row r="16" spans="1:29">
      <c r="A16" s="8">
        <v>45306</v>
      </c>
      <c r="B16" s="16">
        <v>438.35219999999998</v>
      </c>
      <c r="C16" s="16">
        <v>418.14800000000002</v>
      </c>
      <c r="D16" s="16">
        <v>405.86070000000001</v>
      </c>
      <c r="E16" s="16">
        <v>388.69049999999999</v>
      </c>
      <c r="F16" s="16">
        <v>376.13569999999999</v>
      </c>
      <c r="G16" s="16">
        <v>387.4042</v>
      </c>
      <c r="H16" s="16">
        <v>424.90640000000002</v>
      </c>
      <c r="I16" s="16">
        <v>460.72750000000002</v>
      </c>
      <c r="J16" s="16">
        <v>815.84270000000004</v>
      </c>
      <c r="K16" s="16">
        <v>677.05730000000005</v>
      </c>
      <c r="L16" s="16">
        <v>446.72730000000001</v>
      </c>
      <c r="M16" s="16">
        <v>405.6096</v>
      </c>
      <c r="N16" s="16">
        <v>209.761</v>
      </c>
      <c r="O16" s="16">
        <v>382.26159999999999</v>
      </c>
      <c r="P16" s="16">
        <v>401.08609999999999</v>
      </c>
      <c r="Q16" s="16">
        <v>446.02859999999998</v>
      </c>
      <c r="R16" s="16">
        <v>631.33979999999997</v>
      </c>
      <c r="S16" s="16">
        <v>646.56759999999997</v>
      </c>
      <c r="T16" s="16">
        <v>655.01239999999996</v>
      </c>
      <c r="U16" s="16">
        <v>807.88919999999996</v>
      </c>
      <c r="V16" s="16">
        <v>659.30920000000003</v>
      </c>
      <c r="W16" s="16">
        <v>490.7457</v>
      </c>
      <c r="X16" s="16">
        <v>439.6678</v>
      </c>
      <c r="Y16" s="16">
        <v>377.93610000000001</v>
      </c>
      <c r="Z16" s="16"/>
      <c r="AA16" s="17">
        <f t="shared" si="2"/>
        <v>815.84270000000004</v>
      </c>
      <c r="AB16" s="17">
        <f t="shared" si="0"/>
        <v>209.761</v>
      </c>
      <c r="AC16" s="17">
        <f t="shared" si="1"/>
        <v>491.37779999999998</v>
      </c>
    </row>
    <row r="17" spans="1:29">
      <c r="A17" s="8">
        <v>45307</v>
      </c>
      <c r="B17" s="16">
        <v>397.68119999999999</v>
      </c>
      <c r="C17" s="16">
        <v>376.31450000000001</v>
      </c>
      <c r="D17" s="16">
        <v>354.55700000000002</v>
      </c>
      <c r="E17" s="16">
        <v>327.9923</v>
      </c>
      <c r="F17" s="16">
        <v>306.77359999999999</v>
      </c>
      <c r="G17" s="16">
        <v>318.8433</v>
      </c>
      <c r="H17" s="16">
        <v>356.09960000000001</v>
      </c>
      <c r="I17" s="16">
        <v>398.79410000000001</v>
      </c>
      <c r="J17" s="16">
        <v>458.91070000000002</v>
      </c>
      <c r="K17" s="16">
        <v>425.69040000000001</v>
      </c>
      <c r="L17" s="16">
        <v>397.82889999999998</v>
      </c>
      <c r="M17" s="16">
        <v>356.02670000000001</v>
      </c>
      <c r="N17" s="16">
        <v>86.345699999999994</v>
      </c>
      <c r="O17" s="16">
        <v>278.84679999999997</v>
      </c>
      <c r="P17" s="16">
        <v>353.11270000000002</v>
      </c>
      <c r="Q17" s="16">
        <v>382.82960000000003</v>
      </c>
      <c r="R17" s="16">
        <v>443.37400000000002</v>
      </c>
      <c r="S17" s="16">
        <v>459.74959999999999</v>
      </c>
      <c r="T17" s="16">
        <v>507.25060000000002</v>
      </c>
      <c r="U17" s="16">
        <v>586.62440000000004</v>
      </c>
      <c r="V17" s="16">
        <v>488.19830000000002</v>
      </c>
      <c r="W17" s="16">
        <v>455.02019999999999</v>
      </c>
      <c r="X17" s="16">
        <v>428.37860000000001</v>
      </c>
      <c r="Y17" s="16">
        <v>391.62599999999998</v>
      </c>
      <c r="Z17" s="16"/>
      <c r="AA17" s="17">
        <f t="shared" si="2"/>
        <v>586.62440000000004</v>
      </c>
      <c r="AB17" s="17">
        <f t="shared" si="0"/>
        <v>86.345699999999994</v>
      </c>
      <c r="AC17" s="17">
        <f t="shared" si="1"/>
        <v>389.03620000000001</v>
      </c>
    </row>
    <row r="18" spans="1:29">
      <c r="A18" s="8">
        <v>45308</v>
      </c>
      <c r="B18" s="16">
        <v>399.8424</v>
      </c>
      <c r="C18" s="16">
        <v>384.21230000000003</v>
      </c>
      <c r="D18" s="16">
        <v>366.8965</v>
      </c>
      <c r="E18" s="16">
        <v>338.495</v>
      </c>
      <c r="F18" s="16">
        <v>327.5634</v>
      </c>
      <c r="G18" s="16">
        <v>326.6619</v>
      </c>
      <c r="H18" s="16">
        <v>378.59249999999997</v>
      </c>
      <c r="I18" s="16">
        <v>426.3322</v>
      </c>
      <c r="J18" s="16">
        <v>484.53879999999998</v>
      </c>
      <c r="K18" s="16">
        <v>466.24220000000003</v>
      </c>
      <c r="L18" s="16">
        <v>421.47250000000003</v>
      </c>
      <c r="M18" s="16">
        <v>385.83969999999999</v>
      </c>
      <c r="N18" s="16">
        <v>253.1765</v>
      </c>
      <c r="O18" s="16">
        <v>364.23500000000001</v>
      </c>
      <c r="P18" s="16">
        <v>403.74930000000001</v>
      </c>
      <c r="Q18" s="16">
        <v>438.7688</v>
      </c>
      <c r="R18" s="16">
        <v>471.4375</v>
      </c>
      <c r="S18" s="16">
        <v>478.03019999999998</v>
      </c>
      <c r="T18" s="16">
        <v>591.75729999999999</v>
      </c>
      <c r="U18" s="16">
        <v>566.15830000000005</v>
      </c>
      <c r="V18" s="16">
        <v>492.92700000000002</v>
      </c>
      <c r="W18" s="16">
        <v>484.71469999999999</v>
      </c>
      <c r="X18" s="16">
        <v>456.09289999999999</v>
      </c>
      <c r="Y18" s="16">
        <v>415.10599999999999</v>
      </c>
      <c r="Z18" s="16"/>
      <c r="AA18" s="17">
        <f t="shared" si="2"/>
        <v>591.75729999999999</v>
      </c>
      <c r="AB18" s="17">
        <f t="shared" si="0"/>
        <v>253.1765</v>
      </c>
      <c r="AC18" s="17">
        <f t="shared" si="1"/>
        <v>421.785120833333</v>
      </c>
    </row>
    <row r="19" spans="1:29">
      <c r="A19" s="8">
        <v>45309</v>
      </c>
      <c r="B19" s="16">
        <v>423.43529999999998</v>
      </c>
      <c r="C19" s="16">
        <v>410.72629999999998</v>
      </c>
      <c r="D19" s="16">
        <v>391.03449999999998</v>
      </c>
      <c r="E19" s="16">
        <v>361.10759999999999</v>
      </c>
      <c r="F19" s="16">
        <v>366.90129999999999</v>
      </c>
      <c r="G19" s="16">
        <v>324.1037</v>
      </c>
      <c r="H19" s="16">
        <v>394.54750000000001</v>
      </c>
      <c r="I19" s="16">
        <v>437.31450000000001</v>
      </c>
      <c r="J19" s="16">
        <v>671.69219999999996</v>
      </c>
      <c r="K19" s="16">
        <v>618.4701</v>
      </c>
      <c r="L19" s="16">
        <v>455.10759999999999</v>
      </c>
      <c r="M19" s="16">
        <v>419.97179999999997</v>
      </c>
      <c r="N19" s="16">
        <v>172.07230000000001</v>
      </c>
      <c r="O19" s="16">
        <v>305.80669999999998</v>
      </c>
      <c r="P19" s="16">
        <v>392.89510000000001</v>
      </c>
      <c r="Q19" s="16">
        <v>419.40859999999998</v>
      </c>
      <c r="R19" s="16">
        <v>551.09730000000002</v>
      </c>
      <c r="S19" s="16">
        <v>489.89670000000001</v>
      </c>
      <c r="T19" s="16">
        <v>486.30900000000003</v>
      </c>
      <c r="U19" s="16">
        <v>559.30430000000001</v>
      </c>
      <c r="V19" s="16">
        <v>493.2715</v>
      </c>
      <c r="W19" s="16">
        <v>480.9255</v>
      </c>
      <c r="X19" s="16">
        <v>459.7373</v>
      </c>
      <c r="Y19" s="16">
        <v>417.31169999999997</v>
      </c>
      <c r="Z19" s="16"/>
      <c r="AA19" s="17">
        <f t="shared" si="2"/>
        <v>671.69219999999996</v>
      </c>
      <c r="AB19" s="17">
        <f t="shared" si="0"/>
        <v>172.07230000000001</v>
      </c>
      <c r="AC19" s="17">
        <f t="shared" si="1"/>
        <v>437.602016666667</v>
      </c>
    </row>
    <row r="20" spans="1:29">
      <c r="A20" s="8">
        <v>45310</v>
      </c>
      <c r="B20" s="16">
        <v>454.28710000000001</v>
      </c>
      <c r="C20" s="16">
        <v>425.94330000000002</v>
      </c>
      <c r="D20" s="16">
        <v>411.48669999999998</v>
      </c>
      <c r="E20" s="16">
        <v>392.03800000000001</v>
      </c>
      <c r="F20" s="16">
        <v>380.21710000000002</v>
      </c>
      <c r="G20" s="16">
        <v>376.27499999999998</v>
      </c>
      <c r="H20" s="16">
        <v>400.02749999999997</v>
      </c>
      <c r="I20" s="16">
        <v>441.5702</v>
      </c>
      <c r="J20" s="16">
        <v>556.95740000000001</v>
      </c>
      <c r="K20" s="16">
        <v>638.62019999999995</v>
      </c>
      <c r="L20" s="16">
        <v>447.25009999999997</v>
      </c>
      <c r="M20" s="16">
        <v>411.69589999999999</v>
      </c>
      <c r="N20" s="16">
        <v>242.02160000000001</v>
      </c>
      <c r="O20" s="16">
        <v>355.20060000000001</v>
      </c>
      <c r="P20" s="16">
        <v>377.56979999999999</v>
      </c>
      <c r="Q20" s="16">
        <v>401.50040000000001</v>
      </c>
      <c r="R20" s="16">
        <v>456.1737</v>
      </c>
      <c r="S20" s="16">
        <v>492.88869999999997</v>
      </c>
      <c r="T20" s="16">
        <v>473.67290000000003</v>
      </c>
      <c r="U20" s="16">
        <v>473.44540000000001</v>
      </c>
      <c r="V20" s="16">
        <v>469.21460000000002</v>
      </c>
      <c r="W20" s="16">
        <v>469.37479999999999</v>
      </c>
      <c r="X20" s="16">
        <v>435.6438</v>
      </c>
      <c r="Y20" s="16">
        <v>407.47129999999999</v>
      </c>
      <c r="Z20" s="16"/>
      <c r="AA20" s="17">
        <f t="shared" si="2"/>
        <v>638.62019999999995</v>
      </c>
      <c r="AB20" s="17">
        <f t="shared" si="0"/>
        <v>242.02160000000001</v>
      </c>
      <c r="AC20" s="17">
        <f t="shared" si="1"/>
        <v>432.93942083333297</v>
      </c>
    </row>
    <row r="21" spans="1:29">
      <c r="A21" s="8">
        <v>45311</v>
      </c>
      <c r="B21" s="16">
        <v>416.12799999999999</v>
      </c>
      <c r="C21" s="16">
        <v>402.77080000000001</v>
      </c>
      <c r="D21" s="16">
        <v>384.53440000000001</v>
      </c>
      <c r="E21" s="16">
        <v>366.11239999999998</v>
      </c>
      <c r="F21" s="16">
        <v>359.2407</v>
      </c>
      <c r="G21" s="16">
        <v>375.03</v>
      </c>
      <c r="H21" s="16">
        <v>386.75</v>
      </c>
      <c r="I21" s="16">
        <v>437.05399999999997</v>
      </c>
      <c r="J21" s="16">
        <v>523.92349999999999</v>
      </c>
      <c r="K21" s="16">
        <v>601.13149999999996</v>
      </c>
      <c r="L21" s="16">
        <v>516.94680000000005</v>
      </c>
      <c r="M21" s="16">
        <v>463.99489999999997</v>
      </c>
      <c r="N21" s="16">
        <v>395.00630000000001</v>
      </c>
      <c r="O21" s="16">
        <v>415.40559999999999</v>
      </c>
      <c r="P21" s="16">
        <v>431.91210000000001</v>
      </c>
      <c r="Q21" s="16">
        <v>438.34050000000002</v>
      </c>
      <c r="R21" s="16">
        <v>581.64340000000004</v>
      </c>
      <c r="S21" s="16">
        <v>599.71199999999999</v>
      </c>
      <c r="T21" s="16">
        <v>470.16109999999998</v>
      </c>
      <c r="U21" s="16">
        <v>482.99200000000002</v>
      </c>
      <c r="V21" s="16">
        <v>463.5059</v>
      </c>
      <c r="W21" s="16">
        <v>442.46190000000001</v>
      </c>
      <c r="X21" s="16">
        <v>428.20030000000003</v>
      </c>
      <c r="Y21" s="16">
        <v>403.99400000000003</v>
      </c>
      <c r="Z21" s="16"/>
      <c r="AA21" s="17">
        <f t="shared" si="2"/>
        <v>601.13149999999996</v>
      </c>
      <c r="AB21" s="17">
        <f t="shared" si="0"/>
        <v>359.2407</v>
      </c>
      <c r="AC21" s="17">
        <f t="shared" si="1"/>
        <v>449.45633750000002</v>
      </c>
    </row>
    <row r="22" spans="1:29">
      <c r="A22" s="8">
        <v>45312</v>
      </c>
      <c r="B22" s="16">
        <v>414.0634</v>
      </c>
      <c r="C22" s="16">
        <v>396.13459999999998</v>
      </c>
      <c r="D22" s="16">
        <v>378.42439999999999</v>
      </c>
      <c r="E22" s="16">
        <v>342.27510000000001</v>
      </c>
      <c r="F22" s="16">
        <v>279.42160000000001</v>
      </c>
      <c r="G22" s="16">
        <v>328.26560000000001</v>
      </c>
      <c r="H22" s="16">
        <v>354.58</v>
      </c>
      <c r="I22" s="16">
        <v>383.9</v>
      </c>
      <c r="J22" s="16">
        <v>536.54750000000001</v>
      </c>
      <c r="K22" s="16">
        <v>404.97919999999999</v>
      </c>
      <c r="L22" s="16">
        <v>389.18299999999999</v>
      </c>
      <c r="M22" s="16">
        <v>337.42099999999999</v>
      </c>
      <c r="N22" s="16">
        <v>123.0917</v>
      </c>
      <c r="O22" s="16">
        <v>226.57669999999999</v>
      </c>
      <c r="P22" s="16">
        <v>376.16419999999999</v>
      </c>
      <c r="Q22" s="16">
        <v>384.89519999999999</v>
      </c>
      <c r="R22" s="16">
        <v>429.4522</v>
      </c>
      <c r="S22" s="16">
        <v>434.43560000000002</v>
      </c>
      <c r="T22" s="16">
        <v>435.89319999999998</v>
      </c>
      <c r="U22" s="16">
        <v>430.97989999999999</v>
      </c>
      <c r="V22" s="16">
        <v>420.42790000000002</v>
      </c>
      <c r="W22" s="16">
        <v>418.98160000000001</v>
      </c>
      <c r="X22" s="16">
        <v>421.23270000000002</v>
      </c>
      <c r="Y22" s="16">
        <v>392.20740000000001</v>
      </c>
      <c r="Z22" s="16"/>
      <c r="AA22" s="17">
        <f t="shared" si="2"/>
        <v>536.54750000000001</v>
      </c>
      <c r="AB22" s="17">
        <f t="shared" si="0"/>
        <v>123.0917</v>
      </c>
      <c r="AC22" s="17">
        <f t="shared" si="1"/>
        <v>376.64723750000002</v>
      </c>
    </row>
    <row r="23" spans="1:29">
      <c r="A23" s="8">
        <v>45313</v>
      </c>
      <c r="B23" s="16">
        <v>403.02440000000001</v>
      </c>
      <c r="C23" s="16">
        <v>274.69330000000002</v>
      </c>
      <c r="D23" s="16">
        <v>305.59969999999998</v>
      </c>
      <c r="E23" s="16">
        <v>50</v>
      </c>
      <c r="F23" s="16">
        <v>0</v>
      </c>
      <c r="G23" s="16">
        <v>0</v>
      </c>
      <c r="H23" s="16">
        <v>162.8065</v>
      </c>
      <c r="I23" s="16">
        <v>375.92270000000002</v>
      </c>
      <c r="J23" s="16">
        <v>447.7174</v>
      </c>
      <c r="K23" s="16">
        <v>448.40280000000001</v>
      </c>
      <c r="L23" s="16">
        <v>443.78899999999999</v>
      </c>
      <c r="M23" s="16">
        <v>415.2715</v>
      </c>
      <c r="N23" s="16">
        <v>373.15899999999999</v>
      </c>
      <c r="O23" s="16">
        <v>435.48610000000002</v>
      </c>
      <c r="P23" s="16">
        <v>444.36450000000002</v>
      </c>
      <c r="Q23" s="16">
        <v>455.67009999999999</v>
      </c>
      <c r="R23" s="16">
        <v>607.84320000000002</v>
      </c>
      <c r="S23" s="16">
        <v>600.51679999999999</v>
      </c>
      <c r="T23" s="16">
        <v>489.9873</v>
      </c>
      <c r="U23" s="16">
        <v>465.03699999999998</v>
      </c>
      <c r="V23" s="16">
        <v>467.31819999999999</v>
      </c>
      <c r="W23" s="16">
        <v>481.33589999999998</v>
      </c>
      <c r="X23" s="16">
        <v>480.7371</v>
      </c>
      <c r="Y23" s="16">
        <v>390.10180000000003</v>
      </c>
      <c r="Z23" s="16"/>
      <c r="AA23" s="17">
        <f t="shared" si="2"/>
        <v>607.84320000000002</v>
      </c>
      <c r="AB23" s="17">
        <f t="shared" si="0"/>
        <v>0</v>
      </c>
      <c r="AC23" s="17">
        <f t="shared" si="1"/>
        <v>375.78267916666698</v>
      </c>
    </row>
    <row r="24" spans="1:29">
      <c r="A24" s="8">
        <v>45314</v>
      </c>
      <c r="B24" s="16">
        <v>414.03280000000001</v>
      </c>
      <c r="C24" s="16">
        <v>378.72680000000003</v>
      </c>
      <c r="D24" s="16">
        <v>365.08109999999999</v>
      </c>
      <c r="E24" s="16">
        <v>282.73390000000001</v>
      </c>
      <c r="F24" s="16">
        <v>112.02809999999999</v>
      </c>
      <c r="G24" s="16">
        <v>184.85310000000001</v>
      </c>
      <c r="H24" s="16">
        <v>384.40429999999998</v>
      </c>
      <c r="I24" s="16">
        <v>423.68950000000001</v>
      </c>
      <c r="J24" s="16">
        <v>800.47900000000004</v>
      </c>
      <c r="K24" s="16">
        <v>773.76859999999999</v>
      </c>
      <c r="L24" s="16">
        <v>766.99339999999995</v>
      </c>
      <c r="M24" s="16">
        <v>521.00149999999996</v>
      </c>
      <c r="N24" s="16">
        <v>441.73869999999999</v>
      </c>
      <c r="O24" s="16">
        <v>483.73750000000001</v>
      </c>
      <c r="P24" s="16">
        <v>448.60449999999997</v>
      </c>
      <c r="Q24" s="16">
        <v>458.54860000000002</v>
      </c>
      <c r="R24" s="16">
        <v>589.18809999999996</v>
      </c>
      <c r="S24" s="16">
        <v>663.43920000000003</v>
      </c>
      <c r="T24" s="16">
        <v>695.13030000000003</v>
      </c>
      <c r="U24" s="16">
        <v>766.13819999999998</v>
      </c>
      <c r="V24" s="16">
        <v>758.84860000000003</v>
      </c>
      <c r="W24" s="16">
        <v>755.20129999999995</v>
      </c>
      <c r="X24" s="16">
        <v>766.65380000000005</v>
      </c>
      <c r="Y24" s="16">
        <v>460.57130000000001</v>
      </c>
      <c r="Z24" s="16"/>
      <c r="AA24" s="17">
        <f t="shared" si="2"/>
        <v>800.47900000000004</v>
      </c>
      <c r="AB24" s="17">
        <f t="shared" si="0"/>
        <v>112.02809999999999</v>
      </c>
      <c r="AC24" s="17">
        <f t="shared" si="1"/>
        <v>528.98300833333303</v>
      </c>
    </row>
    <row r="25" spans="1:29">
      <c r="A25" s="8">
        <v>45315</v>
      </c>
      <c r="B25" s="16">
        <v>480.00729999999999</v>
      </c>
      <c r="C25" s="16">
        <v>441.2518</v>
      </c>
      <c r="D25" s="16">
        <v>397.1857</v>
      </c>
      <c r="E25" s="16">
        <v>379.06639999999999</v>
      </c>
      <c r="F25" s="16">
        <v>378.49270000000001</v>
      </c>
      <c r="G25" s="16">
        <v>369.49880000000002</v>
      </c>
      <c r="H25" s="16">
        <v>389.05070000000001</v>
      </c>
      <c r="I25" s="16">
        <v>476.73849999999999</v>
      </c>
      <c r="J25" s="16">
        <v>676.58810000000005</v>
      </c>
      <c r="K25" s="16">
        <v>765.46770000000004</v>
      </c>
      <c r="L25" s="16">
        <v>566.32309999999995</v>
      </c>
      <c r="M25" s="16">
        <v>475.10129999999998</v>
      </c>
      <c r="N25" s="16">
        <v>432.85250000000002</v>
      </c>
      <c r="O25" s="16">
        <v>619.22550000000001</v>
      </c>
      <c r="P25" s="16">
        <v>640.2328</v>
      </c>
      <c r="Q25" s="16">
        <v>511.9314</v>
      </c>
      <c r="R25" s="16">
        <v>472.61970000000002</v>
      </c>
      <c r="S25" s="16">
        <v>461.35</v>
      </c>
      <c r="T25" s="16">
        <v>481.53910000000002</v>
      </c>
      <c r="U25" s="16">
        <v>565.55589999999995</v>
      </c>
      <c r="V25" s="16">
        <v>496.5059</v>
      </c>
      <c r="W25" s="16">
        <v>724.94060000000002</v>
      </c>
      <c r="X25" s="16">
        <v>832.87109999999996</v>
      </c>
      <c r="Y25" s="16">
        <v>482.31560000000002</v>
      </c>
      <c r="Z25" s="16"/>
      <c r="AA25" s="17">
        <f t="shared" si="2"/>
        <v>832.87109999999996</v>
      </c>
      <c r="AB25" s="17">
        <f t="shared" si="0"/>
        <v>369.49880000000002</v>
      </c>
      <c r="AC25" s="17">
        <f t="shared" si="1"/>
        <v>521.529675</v>
      </c>
    </row>
    <row r="26" spans="1:29">
      <c r="A26" s="8">
        <v>45316</v>
      </c>
      <c r="B26" s="16">
        <v>705.83090000000004</v>
      </c>
      <c r="C26" s="16">
        <v>488.38220000000001</v>
      </c>
      <c r="D26" s="16">
        <v>436.91890000000001</v>
      </c>
      <c r="E26" s="16">
        <v>440.22829999999999</v>
      </c>
      <c r="F26" s="16">
        <v>422.86709999999999</v>
      </c>
      <c r="G26" s="16">
        <v>410.98919999999998</v>
      </c>
      <c r="H26" s="16">
        <v>428.4855</v>
      </c>
      <c r="I26" s="16">
        <v>466.762</v>
      </c>
      <c r="J26" s="16">
        <v>530.34559999999999</v>
      </c>
      <c r="K26" s="16">
        <v>481.31240000000003</v>
      </c>
      <c r="L26" s="16">
        <v>464.77960000000002</v>
      </c>
      <c r="M26" s="16">
        <v>436.54480000000001</v>
      </c>
      <c r="N26" s="16">
        <v>417.6112</v>
      </c>
      <c r="O26" s="16">
        <v>439.54719999999998</v>
      </c>
      <c r="P26" s="16">
        <v>427.28519999999997</v>
      </c>
      <c r="Q26" s="16">
        <v>434.0498</v>
      </c>
      <c r="R26" s="16">
        <v>445.58960000000002</v>
      </c>
      <c r="S26" s="16">
        <v>441.60739999999998</v>
      </c>
      <c r="T26" s="16">
        <v>449.7518</v>
      </c>
      <c r="U26" s="16">
        <v>474.3107</v>
      </c>
      <c r="V26" s="16">
        <v>487.3252</v>
      </c>
      <c r="W26" s="16">
        <v>523.33100000000002</v>
      </c>
      <c r="X26" s="16">
        <v>511.37110000000001</v>
      </c>
      <c r="Y26" s="16">
        <v>449.34120000000001</v>
      </c>
      <c r="Z26" s="16"/>
      <c r="AA26" s="17">
        <f t="shared" si="2"/>
        <v>705.83090000000004</v>
      </c>
      <c r="AB26" s="17">
        <f t="shared" si="0"/>
        <v>410.98919999999998</v>
      </c>
      <c r="AC26" s="17">
        <f t="shared" si="1"/>
        <v>467.2736625</v>
      </c>
    </row>
    <row r="27" spans="1:29">
      <c r="A27" s="8">
        <v>45317</v>
      </c>
      <c r="B27" s="16">
        <v>459.90019999999998</v>
      </c>
      <c r="C27" s="16">
        <v>430.96570000000003</v>
      </c>
      <c r="D27" s="16">
        <v>409.12</v>
      </c>
      <c r="E27" s="16">
        <v>395.75299999999999</v>
      </c>
      <c r="F27" s="16">
        <v>368.16059999999999</v>
      </c>
      <c r="G27" s="16">
        <v>349.73500000000001</v>
      </c>
      <c r="H27" s="16">
        <v>377.53</v>
      </c>
      <c r="I27" s="16">
        <v>424.84789999999998</v>
      </c>
      <c r="J27" s="16">
        <v>449.0523</v>
      </c>
      <c r="K27" s="16">
        <v>452.14479999999998</v>
      </c>
      <c r="L27" s="16">
        <v>449.1465</v>
      </c>
      <c r="M27" s="16">
        <v>448.8571</v>
      </c>
      <c r="N27" s="16">
        <v>418.9864</v>
      </c>
      <c r="O27" s="16">
        <v>441.82900000000001</v>
      </c>
      <c r="P27" s="16">
        <v>457.44420000000002</v>
      </c>
      <c r="Q27" s="16">
        <v>468.70929999999998</v>
      </c>
      <c r="R27" s="16">
        <v>495.28829999999999</v>
      </c>
      <c r="S27" s="16">
        <v>475.39499999999998</v>
      </c>
      <c r="T27" s="16">
        <v>454.94880000000001</v>
      </c>
      <c r="U27" s="16">
        <v>459.84679999999997</v>
      </c>
      <c r="V27" s="16">
        <v>467.36079999999998</v>
      </c>
      <c r="W27" s="16">
        <v>480.57100000000003</v>
      </c>
      <c r="X27" s="16">
        <v>465.96800000000002</v>
      </c>
      <c r="Y27" s="16">
        <v>440.05720000000002</v>
      </c>
      <c r="Z27" s="16"/>
      <c r="AA27" s="17">
        <f t="shared" si="2"/>
        <v>495.28829999999999</v>
      </c>
      <c r="AB27" s="17">
        <f t="shared" si="0"/>
        <v>349.73500000000001</v>
      </c>
      <c r="AC27" s="17">
        <f t="shared" si="1"/>
        <v>439.23407916666702</v>
      </c>
    </row>
    <row r="28" spans="1:29">
      <c r="A28" s="8">
        <v>45318</v>
      </c>
      <c r="B28" s="16">
        <v>609.76930000000004</v>
      </c>
      <c r="C28" s="16">
        <v>437.63339999999999</v>
      </c>
      <c r="D28" s="16">
        <v>418.43529999999998</v>
      </c>
      <c r="E28" s="16">
        <v>405.70069999999998</v>
      </c>
      <c r="F28" s="16">
        <v>398.17020000000002</v>
      </c>
      <c r="G28" s="16">
        <v>392.44409999999999</v>
      </c>
      <c r="H28" s="16">
        <v>401.48599999999999</v>
      </c>
      <c r="I28" s="16">
        <v>420.08249999999998</v>
      </c>
      <c r="J28" s="16">
        <v>465.1739</v>
      </c>
      <c r="K28" s="16">
        <v>492.58760000000001</v>
      </c>
      <c r="L28" s="16">
        <v>566.14120000000003</v>
      </c>
      <c r="M28" s="16">
        <v>665.07169999999996</v>
      </c>
      <c r="N28" s="16">
        <v>482.31909999999999</v>
      </c>
      <c r="O28" s="16">
        <v>590.50940000000003</v>
      </c>
      <c r="P28" s="16">
        <v>851.10550000000001</v>
      </c>
      <c r="Q28" s="16">
        <v>850.45809999999994</v>
      </c>
      <c r="R28" s="16">
        <v>766.35440000000006</v>
      </c>
      <c r="S28" s="16">
        <v>587.77650000000006</v>
      </c>
      <c r="T28" s="16">
        <v>595.81709999999998</v>
      </c>
      <c r="U28" s="16">
        <v>639.43859999999995</v>
      </c>
      <c r="V28" s="16">
        <v>839.21299999999997</v>
      </c>
      <c r="W28" s="16">
        <v>674.79060000000004</v>
      </c>
      <c r="X28" s="16">
        <v>656.01130000000001</v>
      </c>
      <c r="Y28" s="16">
        <v>455.45780000000002</v>
      </c>
      <c r="Z28" s="16"/>
      <c r="AA28" s="17">
        <f t="shared" si="2"/>
        <v>851.10550000000001</v>
      </c>
      <c r="AB28" s="17">
        <f t="shared" si="0"/>
        <v>392.44409999999999</v>
      </c>
      <c r="AC28" s="17">
        <f t="shared" si="1"/>
        <v>569.24780416666704</v>
      </c>
    </row>
    <row r="29" spans="1:29">
      <c r="A29" s="8">
        <v>45319</v>
      </c>
      <c r="B29" s="16">
        <v>563.69730000000004</v>
      </c>
      <c r="C29" s="16">
        <v>440.22800000000001</v>
      </c>
      <c r="D29" s="16">
        <v>411.00720000000001</v>
      </c>
      <c r="E29" s="16">
        <v>397.30489999999998</v>
      </c>
      <c r="F29" s="16">
        <v>383.9271</v>
      </c>
      <c r="G29" s="16">
        <v>389.69200000000001</v>
      </c>
      <c r="H29" s="16">
        <v>386.32850000000002</v>
      </c>
      <c r="I29" s="16">
        <v>406.17720000000003</v>
      </c>
      <c r="J29" s="16">
        <v>609.82249999999999</v>
      </c>
      <c r="K29" s="16">
        <v>866.21159999999998</v>
      </c>
      <c r="L29" s="16">
        <v>924.3107</v>
      </c>
      <c r="M29" s="16">
        <v>746.83609999999999</v>
      </c>
      <c r="N29" s="16">
        <v>620.72739999999999</v>
      </c>
      <c r="O29" s="16">
        <v>645.8546</v>
      </c>
      <c r="P29" s="16">
        <v>721.80060000000003</v>
      </c>
      <c r="Q29" s="16">
        <v>939.77049999999997</v>
      </c>
      <c r="R29" s="16">
        <v>720.29930000000002</v>
      </c>
      <c r="S29" s="16">
        <v>762.07579999999996</v>
      </c>
      <c r="T29" s="16">
        <v>558.36810000000003</v>
      </c>
      <c r="U29" s="16">
        <v>812.04259999999999</v>
      </c>
      <c r="V29" s="16">
        <v>905.20450000000005</v>
      </c>
      <c r="W29" s="16">
        <v>861.24130000000002</v>
      </c>
      <c r="X29" s="16">
        <v>789.91499999999996</v>
      </c>
      <c r="Y29" s="16">
        <v>512.78549999999996</v>
      </c>
      <c r="Z29" s="16"/>
      <c r="AA29" s="17">
        <f t="shared" si="2"/>
        <v>939.77049999999997</v>
      </c>
      <c r="AB29" s="17">
        <f t="shared" si="0"/>
        <v>383.9271</v>
      </c>
      <c r="AC29" s="17">
        <f t="shared" si="1"/>
        <v>640.65117916666702</v>
      </c>
    </row>
    <row r="30" spans="1:29">
      <c r="A30" s="8">
        <v>45320</v>
      </c>
      <c r="B30" s="16">
        <v>755.16539999999998</v>
      </c>
      <c r="C30" s="16">
        <v>455.28680000000003</v>
      </c>
      <c r="D30" s="16">
        <v>408.6626</v>
      </c>
      <c r="E30" s="16">
        <v>400.79579999999999</v>
      </c>
      <c r="F30" s="16">
        <v>381.64780000000002</v>
      </c>
      <c r="G30" s="16">
        <v>384.63</v>
      </c>
      <c r="H30" s="16">
        <v>395.09980000000002</v>
      </c>
      <c r="I30" s="16">
        <v>422.23090000000002</v>
      </c>
      <c r="J30" s="16">
        <v>458.83530000000002</v>
      </c>
      <c r="K30" s="16">
        <v>475.59280000000001</v>
      </c>
      <c r="L30" s="16">
        <v>462.51659999999998</v>
      </c>
      <c r="M30" s="16">
        <v>445.01060000000001</v>
      </c>
      <c r="N30" s="16">
        <v>426.37819999999999</v>
      </c>
      <c r="O30" s="16">
        <v>446.00189999999998</v>
      </c>
      <c r="P30" s="16">
        <v>432.31079999999997</v>
      </c>
      <c r="Q30" s="16">
        <v>431.37119999999999</v>
      </c>
      <c r="R30" s="16">
        <v>467.79860000000002</v>
      </c>
      <c r="S30" s="16">
        <v>453.16160000000002</v>
      </c>
      <c r="T30" s="16">
        <v>559.25369999999998</v>
      </c>
      <c r="U30" s="16">
        <v>579.12149999999997</v>
      </c>
      <c r="V30" s="16">
        <v>499.00580000000002</v>
      </c>
      <c r="W30" s="16">
        <v>555.1671</v>
      </c>
      <c r="X30" s="16">
        <v>472.73680000000002</v>
      </c>
      <c r="Y30" s="16">
        <v>421.06959999999998</v>
      </c>
      <c r="Z30" s="16"/>
      <c r="AA30" s="17">
        <f t="shared" si="2"/>
        <v>755.16539999999998</v>
      </c>
      <c r="AB30" s="17">
        <f t="shared" si="0"/>
        <v>381.64780000000002</v>
      </c>
      <c r="AC30" s="17">
        <f t="shared" si="1"/>
        <v>466.20213333333299</v>
      </c>
    </row>
    <row r="31" spans="1:29">
      <c r="A31" s="8">
        <v>45321</v>
      </c>
      <c r="B31" s="16">
        <v>450.1266</v>
      </c>
      <c r="C31" s="16">
        <v>411.52249999999998</v>
      </c>
      <c r="D31" s="16">
        <v>398.21530000000001</v>
      </c>
      <c r="E31" s="16">
        <v>280.10289999999998</v>
      </c>
      <c r="F31" s="16">
        <v>212.13229999999999</v>
      </c>
      <c r="G31" s="16">
        <v>169.84530000000001</v>
      </c>
      <c r="H31" s="16">
        <v>391.20409999999998</v>
      </c>
      <c r="I31" s="16">
        <v>419.77690000000001</v>
      </c>
      <c r="J31" s="16">
        <v>459.64519999999999</v>
      </c>
      <c r="K31" s="16">
        <v>455.08839999999998</v>
      </c>
      <c r="L31" s="16">
        <v>564.90089999999998</v>
      </c>
      <c r="M31" s="16">
        <v>408.52539999999999</v>
      </c>
      <c r="N31" s="16">
        <v>303.4957</v>
      </c>
      <c r="O31" s="16">
        <v>393.53030000000001</v>
      </c>
      <c r="P31" s="16">
        <v>372.9649</v>
      </c>
      <c r="Q31" s="16">
        <v>397.09030000000001</v>
      </c>
      <c r="R31" s="16">
        <v>412.49990000000003</v>
      </c>
      <c r="S31" s="16">
        <v>429.33699999999999</v>
      </c>
      <c r="T31" s="16">
        <v>448.50389999999999</v>
      </c>
      <c r="U31" s="16">
        <v>470.18810000000002</v>
      </c>
      <c r="V31" s="16">
        <v>462.49110000000002</v>
      </c>
      <c r="W31" s="16">
        <v>573.28949999999998</v>
      </c>
      <c r="X31" s="16">
        <v>455.79500000000002</v>
      </c>
      <c r="Y31" s="16">
        <v>416.005</v>
      </c>
      <c r="Z31" s="16"/>
      <c r="AA31" s="17">
        <f t="shared" si="2"/>
        <v>573.28949999999998</v>
      </c>
      <c r="AB31" s="17">
        <f t="shared" si="0"/>
        <v>169.84530000000001</v>
      </c>
      <c r="AC31" s="17">
        <f t="shared" si="1"/>
        <v>406.51152083333301</v>
      </c>
    </row>
    <row r="32" spans="1:29">
      <c r="A32" s="8">
        <v>45322</v>
      </c>
      <c r="B32" s="16">
        <v>420.10480000000001</v>
      </c>
      <c r="C32" s="16">
        <v>397.82279999999997</v>
      </c>
      <c r="D32" s="16">
        <v>346.6859</v>
      </c>
      <c r="E32" s="16">
        <v>336.56389999999999</v>
      </c>
      <c r="F32" s="16">
        <v>326.51940000000002</v>
      </c>
      <c r="G32" s="16">
        <v>74.747</v>
      </c>
      <c r="H32" s="16">
        <v>263.84089999999998</v>
      </c>
      <c r="I32" s="16">
        <v>399.53919999999999</v>
      </c>
      <c r="J32" s="16">
        <v>426.68579999999997</v>
      </c>
      <c r="K32" s="16">
        <v>405.58580000000001</v>
      </c>
      <c r="L32" s="16">
        <v>391.79509999999999</v>
      </c>
      <c r="M32" s="16">
        <v>359.61349999999999</v>
      </c>
      <c r="N32" s="16">
        <v>316.06779999999998</v>
      </c>
      <c r="O32" s="16">
        <v>374.9126</v>
      </c>
      <c r="P32" s="16">
        <v>237.2225</v>
      </c>
      <c r="Q32" s="16">
        <v>358.17829999999998</v>
      </c>
      <c r="R32" s="16">
        <v>406.31889999999999</v>
      </c>
      <c r="S32" s="16">
        <v>409.51589999999999</v>
      </c>
      <c r="T32" s="16">
        <v>428.32330000000002</v>
      </c>
      <c r="U32" s="16">
        <v>466.95510000000002</v>
      </c>
      <c r="V32" s="16">
        <v>423.39210000000003</v>
      </c>
      <c r="W32" s="16">
        <v>443.92230000000001</v>
      </c>
      <c r="X32" s="16">
        <v>423.38</v>
      </c>
      <c r="Y32" s="16">
        <v>400.69979999999998</v>
      </c>
      <c r="Z32" s="16"/>
      <c r="AA32" s="17">
        <f t="shared" si="2"/>
        <v>466.95510000000002</v>
      </c>
      <c r="AB32" s="17">
        <f t="shared" si="0"/>
        <v>74.747</v>
      </c>
      <c r="AC32" s="17">
        <f t="shared" si="1"/>
        <v>368.26636250000001</v>
      </c>
    </row>
    <row r="33" spans="1:29">
      <c r="A33" s="8">
        <v>45323</v>
      </c>
      <c r="B33" s="16">
        <v>406.68819999999999</v>
      </c>
      <c r="C33" s="16">
        <v>388.73349999999999</v>
      </c>
      <c r="D33" s="16">
        <v>346.40100000000001</v>
      </c>
      <c r="E33" s="16">
        <v>287.26089999999999</v>
      </c>
      <c r="F33" s="16">
        <v>346.1524</v>
      </c>
      <c r="G33" s="16">
        <v>347.26979999999998</v>
      </c>
      <c r="H33" s="16">
        <v>371.31720000000001</v>
      </c>
      <c r="I33" s="16">
        <v>434.93209999999999</v>
      </c>
      <c r="J33" s="16">
        <v>424.74509999999998</v>
      </c>
      <c r="K33" s="16">
        <v>407.17849999999999</v>
      </c>
      <c r="L33" s="16">
        <v>387.57139999999998</v>
      </c>
      <c r="M33" s="16">
        <v>349.45859999999999</v>
      </c>
      <c r="N33" s="16">
        <v>271.06009999999998</v>
      </c>
      <c r="O33" s="16">
        <v>363.61219999999997</v>
      </c>
      <c r="P33" s="16">
        <v>376.26170000000002</v>
      </c>
      <c r="Q33" s="16">
        <v>388.2946</v>
      </c>
      <c r="R33" s="16">
        <v>405.0908</v>
      </c>
      <c r="S33" s="16">
        <v>456.85730000000001</v>
      </c>
      <c r="T33" s="16">
        <v>584.04870000000005</v>
      </c>
      <c r="U33" s="16">
        <v>482.25819999999999</v>
      </c>
      <c r="V33" s="16">
        <v>442.31670000000003</v>
      </c>
      <c r="W33" s="16">
        <v>464.51220000000001</v>
      </c>
      <c r="X33" s="16">
        <v>449.08080000000001</v>
      </c>
      <c r="Y33" s="16">
        <v>413.24369999999999</v>
      </c>
      <c r="Z33" s="16"/>
      <c r="AA33" s="17">
        <f t="shared" si="2"/>
        <v>584.04870000000005</v>
      </c>
      <c r="AB33" s="17">
        <f t="shared" si="0"/>
        <v>271.06009999999998</v>
      </c>
      <c r="AC33" s="17">
        <f t="shared" si="1"/>
        <v>399.76440416666702</v>
      </c>
    </row>
    <row r="34" spans="1:29">
      <c r="A34" s="8">
        <v>45324</v>
      </c>
      <c r="B34" s="16">
        <v>383.67110000000002</v>
      </c>
      <c r="C34" s="16">
        <v>376.69869999999997</v>
      </c>
      <c r="D34" s="16">
        <v>366.5659</v>
      </c>
      <c r="E34" s="16">
        <v>348.29570000000001</v>
      </c>
      <c r="F34" s="16">
        <v>339.08120000000002</v>
      </c>
      <c r="G34" s="16">
        <v>339.72109999999998</v>
      </c>
      <c r="H34" s="16">
        <v>362.07799999999997</v>
      </c>
      <c r="I34" s="16">
        <v>390.41070000000002</v>
      </c>
      <c r="J34" s="16">
        <v>393.54590000000002</v>
      </c>
      <c r="K34" s="16">
        <v>376.01319999999998</v>
      </c>
      <c r="L34" s="16">
        <v>337.30579999999998</v>
      </c>
      <c r="M34" s="16">
        <v>105.25239999999999</v>
      </c>
      <c r="N34" s="16">
        <v>56.819899999999997</v>
      </c>
      <c r="O34" s="16">
        <v>4.5499999999999999E-2</v>
      </c>
      <c r="P34" s="16">
        <v>2.2800000000000001E-2</v>
      </c>
      <c r="Q34" s="16">
        <v>3.6520000000000001</v>
      </c>
      <c r="R34" s="16">
        <v>252.51900000000001</v>
      </c>
      <c r="S34" s="16">
        <v>375.17189999999999</v>
      </c>
      <c r="T34" s="16">
        <v>400.15989999999999</v>
      </c>
      <c r="U34" s="16">
        <v>395.46539999999999</v>
      </c>
      <c r="V34" s="16">
        <v>371.54149999999998</v>
      </c>
      <c r="W34" s="16">
        <v>370.20319999999998</v>
      </c>
      <c r="X34" s="16">
        <v>374.0582</v>
      </c>
      <c r="Y34" s="16">
        <v>356.3571</v>
      </c>
      <c r="Z34" s="16"/>
      <c r="AA34" s="17">
        <f t="shared" si="2"/>
        <v>400.15989999999999</v>
      </c>
      <c r="AB34" s="17">
        <f t="shared" si="0"/>
        <v>2.2800000000000001E-2</v>
      </c>
      <c r="AC34" s="17">
        <f t="shared" si="1"/>
        <v>294.77733749999999</v>
      </c>
    </row>
    <row r="35" spans="1:29">
      <c r="A35" s="8">
        <v>45325</v>
      </c>
      <c r="B35" s="16">
        <v>346.58640000000003</v>
      </c>
      <c r="C35" s="16">
        <v>327.05059999999997</v>
      </c>
      <c r="D35" s="16">
        <v>238.6756</v>
      </c>
      <c r="E35" s="16">
        <v>0</v>
      </c>
      <c r="F35" s="16">
        <v>12.632300000000001</v>
      </c>
      <c r="G35" s="16">
        <v>0</v>
      </c>
      <c r="H35" s="16">
        <v>88.460999999999999</v>
      </c>
      <c r="I35" s="16">
        <v>283.00830000000002</v>
      </c>
      <c r="J35" s="16">
        <v>334.89890000000003</v>
      </c>
      <c r="K35" s="16">
        <v>287.58210000000003</v>
      </c>
      <c r="L35" s="16">
        <v>33.658799999999999</v>
      </c>
      <c r="M35" s="16">
        <v>208.05619999999999</v>
      </c>
      <c r="N35" s="16">
        <v>2.6768999999999998</v>
      </c>
      <c r="O35" s="16">
        <v>0</v>
      </c>
      <c r="P35" s="16">
        <v>18.262799999999999</v>
      </c>
      <c r="Q35" s="16">
        <v>0</v>
      </c>
      <c r="R35" s="16">
        <v>249.74940000000001</v>
      </c>
      <c r="S35" s="16">
        <v>372.01729999999998</v>
      </c>
      <c r="T35" s="16">
        <v>410.7869</v>
      </c>
      <c r="U35" s="16">
        <v>372.07279999999997</v>
      </c>
      <c r="V35" s="16">
        <v>358.96679999999998</v>
      </c>
      <c r="W35" s="16">
        <v>373.34829999999999</v>
      </c>
      <c r="X35" s="16">
        <v>388.31459999999998</v>
      </c>
      <c r="Y35" s="16">
        <v>346.29880000000003</v>
      </c>
      <c r="Z35" s="16"/>
      <c r="AA35" s="17">
        <f t="shared" si="2"/>
        <v>410.7869</v>
      </c>
      <c r="AB35" s="17">
        <f t="shared" si="0"/>
        <v>0</v>
      </c>
      <c r="AC35" s="17">
        <f t="shared" si="1"/>
        <v>210.54603333333301</v>
      </c>
    </row>
    <row r="36" spans="1:29">
      <c r="A36" s="8">
        <v>45326</v>
      </c>
      <c r="B36" s="16">
        <v>387.68450000000001</v>
      </c>
      <c r="C36" s="16">
        <v>286.98610000000002</v>
      </c>
      <c r="D36" s="16">
        <v>321.12079999999997</v>
      </c>
      <c r="E36" s="16">
        <v>168.31549999999999</v>
      </c>
      <c r="F36" s="16">
        <v>248.86279999999999</v>
      </c>
      <c r="G36" s="16">
        <v>0</v>
      </c>
      <c r="H36" s="16">
        <v>80.210300000000004</v>
      </c>
      <c r="I36" s="16">
        <v>344.4393</v>
      </c>
      <c r="J36" s="16">
        <v>324.96359999999999</v>
      </c>
      <c r="K36" s="16">
        <v>334.43950000000001</v>
      </c>
      <c r="L36" s="16">
        <v>238.52600000000001</v>
      </c>
      <c r="M36" s="16">
        <v>339.43150000000003</v>
      </c>
      <c r="N36" s="16">
        <v>180.8306</v>
      </c>
      <c r="O36" s="16">
        <v>0</v>
      </c>
      <c r="P36" s="16">
        <v>243.0633</v>
      </c>
      <c r="Q36" s="16">
        <v>230.5489</v>
      </c>
      <c r="R36" s="16">
        <v>241.77330000000001</v>
      </c>
      <c r="S36" s="16">
        <v>271.15870000000001</v>
      </c>
      <c r="T36" s="16">
        <v>390.28190000000001</v>
      </c>
      <c r="U36" s="16">
        <v>397.05739999999997</v>
      </c>
      <c r="V36" s="16">
        <v>377.35390000000001</v>
      </c>
      <c r="W36" s="16">
        <v>370.33280000000002</v>
      </c>
      <c r="X36" s="16">
        <v>380.87200000000001</v>
      </c>
      <c r="Y36" s="16">
        <v>355.63760000000002</v>
      </c>
      <c r="Z36" s="16"/>
      <c r="AA36" s="17">
        <f t="shared" si="2"/>
        <v>397.05739999999997</v>
      </c>
      <c r="AB36" s="17">
        <f t="shared" si="0"/>
        <v>0</v>
      </c>
      <c r="AC36" s="17">
        <f t="shared" si="1"/>
        <v>271.41209583333301</v>
      </c>
    </row>
    <row r="37" spans="1:29">
      <c r="A37" s="8">
        <v>45327</v>
      </c>
      <c r="B37" s="16">
        <v>387.08139999999997</v>
      </c>
      <c r="C37" s="16">
        <v>400.43650000000002</v>
      </c>
      <c r="D37" s="16">
        <v>350.7765</v>
      </c>
      <c r="E37" s="16">
        <v>321.93520000000001</v>
      </c>
      <c r="F37" s="16">
        <v>285.46699999999998</v>
      </c>
      <c r="G37" s="16">
        <v>311.35210000000001</v>
      </c>
      <c r="H37" s="16">
        <v>353.69459999999998</v>
      </c>
      <c r="I37" s="16">
        <v>355.654</v>
      </c>
      <c r="J37" s="16">
        <v>236.48750000000001</v>
      </c>
      <c r="K37" s="16">
        <v>312.48779999999999</v>
      </c>
      <c r="L37" s="16">
        <v>50.037300000000002</v>
      </c>
      <c r="M37" s="16">
        <v>229.8261</v>
      </c>
      <c r="N37" s="16">
        <v>196.07679999999999</v>
      </c>
      <c r="O37" s="16">
        <v>76.135800000000003</v>
      </c>
      <c r="P37" s="16">
        <v>76.365600000000001</v>
      </c>
      <c r="Q37" s="16">
        <v>0</v>
      </c>
      <c r="R37" s="16">
        <v>0</v>
      </c>
      <c r="S37" s="16">
        <v>0</v>
      </c>
      <c r="T37" s="16">
        <v>328.21609999999998</v>
      </c>
      <c r="U37" s="16">
        <v>320.61290000000002</v>
      </c>
      <c r="V37" s="16">
        <v>326.37450000000001</v>
      </c>
      <c r="W37" s="16">
        <v>0</v>
      </c>
      <c r="X37" s="16">
        <v>174.3212</v>
      </c>
      <c r="Y37" s="16">
        <v>125.5622</v>
      </c>
      <c r="Z37" s="16"/>
      <c r="AA37" s="17">
        <f t="shared" si="2"/>
        <v>400.43650000000002</v>
      </c>
      <c r="AB37" s="17">
        <f t="shared" si="0"/>
        <v>0</v>
      </c>
      <c r="AC37" s="17">
        <f t="shared" si="1"/>
        <v>217.45421250000001</v>
      </c>
    </row>
    <row r="38" spans="1:29">
      <c r="A38" s="8">
        <v>45328</v>
      </c>
      <c r="B38" s="16">
        <v>351.06580000000002</v>
      </c>
      <c r="C38" s="16">
        <v>346.34589999999997</v>
      </c>
      <c r="D38" s="16">
        <v>306.03910000000002</v>
      </c>
      <c r="E38" s="16">
        <v>302.62220000000002</v>
      </c>
      <c r="F38" s="16">
        <v>312.29000000000002</v>
      </c>
      <c r="G38" s="16">
        <v>312.66750000000002</v>
      </c>
      <c r="H38" s="16">
        <v>296.90129999999999</v>
      </c>
      <c r="I38" s="16">
        <v>401.96620000000001</v>
      </c>
      <c r="J38" s="16">
        <v>377.49</v>
      </c>
      <c r="K38" s="16">
        <v>395</v>
      </c>
      <c r="L38" s="16">
        <v>294.20620000000002</v>
      </c>
      <c r="M38" s="16">
        <v>211.55500000000001</v>
      </c>
      <c r="N38" s="16">
        <v>314.80500000000001</v>
      </c>
      <c r="O38" s="16">
        <v>257.08</v>
      </c>
      <c r="P38" s="16">
        <v>318.75</v>
      </c>
      <c r="Q38" s="16">
        <v>255.3475</v>
      </c>
      <c r="R38" s="16">
        <v>350.47250000000003</v>
      </c>
      <c r="S38" s="16">
        <v>545.41499999999996</v>
      </c>
      <c r="T38" s="16">
        <v>864.52499999999998</v>
      </c>
      <c r="U38" s="16">
        <v>662.04349999999999</v>
      </c>
      <c r="V38" s="16">
        <v>597.37900000000002</v>
      </c>
      <c r="W38" s="16">
        <v>810.92719999999997</v>
      </c>
      <c r="X38" s="16">
        <v>548.49180000000001</v>
      </c>
      <c r="Y38" s="16">
        <v>591.0299</v>
      </c>
      <c r="Z38" s="16"/>
      <c r="AA38" s="17">
        <f t="shared" si="2"/>
        <v>864.52499999999998</v>
      </c>
      <c r="AB38" s="17">
        <f t="shared" si="0"/>
        <v>211.55500000000001</v>
      </c>
      <c r="AC38" s="17">
        <f t="shared" si="1"/>
        <v>417.683983333333</v>
      </c>
    </row>
    <row r="39" spans="1:29">
      <c r="A39" s="8">
        <v>45329</v>
      </c>
      <c r="B39" s="16">
        <v>376.5684</v>
      </c>
      <c r="C39" s="16">
        <v>395.02499999999998</v>
      </c>
      <c r="D39" s="16">
        <v>397.5</v>
      </c>
      <c r="E39" s="16">
        <v>336.55</v>
      </c>
      <c r="F39" s="16">
        <v>316.71749999999997</v>
      </c>
      <c r="G39" s="16">
        <v>338.83249999999998</v>
      </c>
      <c r="H39" s="16">
        <v>363.75</v>
      </c>
      <c r="I39" s="16">
        <v>543.8021</v>
      </c>
      <c r="J39" s="16">
        <v>605.31809999999996</v>
      </c>
      <c r="K39" s="16">
        <v>781.88199999999995</v>
      </c>
      <c r="L39" s="16">
        <v>963.5</v>
      </c>
      <c r="M39" s="16">
        <v>927</v>
      </c>
      <c r="N39" s="16">
        <v>823.91499999999996</v>
      </c>
      <c r="O39" s="16">
        <v>563.25</v>
      </c>
      <c r="P39" s="16">
        <v>395.02499999999998</v>
      </c>
      <c r="Q39" s="16">
        <v>503.5</v>
      </c>
      <c r="R39" s="16">
        <v>687.44860000000006</v>
      </c>
      <c r="S39" s="16">
        <v>907.82370000000003</v>
      </c>
      <c r="T39" s="16">
        <v>844.1019</v>
      </c>
      <c r="U39" s="16">
        <v>579.51220000000001</v>
      </c>
      <c r="V39" s="16">
        <v>416.32490000000001</v>
      </c>
      <c r="W39" s="16">
        <v>428.32799999999997</v>
      </c>
      <c r="X39" s="16">
        <v>389.286</v>
      </c>
      <c r="Y39" s="16">
        <v>376.28769999999997</v>
      </c>
      <c r="Z39" s="16"/>
      <c r="AA39" s="17">
        <f t="shared" si="2"/>
        <v>963.5</v>
      </c>
      <c r="AB39" s="17">
        <f t="shared" si="0"/>
        <v>316.71749999999997</v>
      </c>
      <c r="AC39" s="17">
        <f t="shared" si="1"/>
        <v>552.55202499999996</v>
      </c>
    </row>
    <row r="40" spans="1:29">
      <c r="A40" s="8">
        <v>45330</v>
      </c>
      <c r="B40" s="16">
        <v>547.05349999999999</v>
      </c>
      <c r="C40" s="16">
        <v>333.63099999999997</v>
      </c>
      <c r="D40" s="16">
        <v>295.94400000000002</v>
      </c>
      <c r="E40" s="16">
        <v>149.99600000000001</v>
      </c>
      <c r="F40" s="16">
        <v>0</v>
      </c>
      <c r="G40" s="16">
        <v>0</v>
      </c>
      <c r="H40" s="16">
        <v>196.33</v>
      </c>
      <c r="I40" s="16">
        <v>224.9846</v>
      </c>
      <c r="J40" s="16">
        <v>306.23270000000002</v>
      </c>
      <c r="K40" s="16">
        <v>310.1062</v>
      </c>
      <c r="L40" s="16">
        <v>318.77749999999997</v>
      </c>
      <c r="M40" s="16">
        <v>329.77499999999998</v>
      </c>
      <c r="N40" s="16">
        <v>328.99669999999998</v>
      </c>
      <c r="O40" s="16">
        <v>337</v>
      </c>
      <c r="P40" s="16">
        <v>342.5</v>
      </c>
      <c r="Q40" s="16">
        <v>383.75</v>
      </c>
      <c r="R40" s="16">
        <v>439.0025</v>
      </c>
      <c r="S40" s="16">
        <v>408.88249999999999</v>
      </c>
      <c r="T40" s="16">
        <v>418.80500000000001</v>
      </c>
      <c r="U40" s="16">
        <v>527.505</v>
      </c>
      <c r="V40" s="16">
        <v>424.55500000000001</v>
      </c>
      <c r="W40" s="16">
        <v>652.05499999999995</v>
      </c>
      <c r="X40" s="16">
        <v>644.5</v>
      </c>
      <c r="Y40" s="16">
        <v>508.27</v>
      </c>
      <c r="Z40" s="16"/>
      <c r="AA40" s="17">
        <f t="shared" si="2"/>
        <v>652.05499999999995</v>
      </c>
      <c r="AB40" s="17">
        <f t="shared" si="0"/>
        <v>0</v>
      </c>
      <c r="AC40" s="17">
        <f t="shared" si="1"/>
        <v>351.19384166666703</v>
      </c>
    </row>
    <row r="41" spans="1:29">
      <c r="A41" s="8">
        <v>45331</v>
      </c>
      <c r="B41" s="16">
        <v>697</v>
      </c>
      <c r="C41" s="16">
        <v>646.16560000000004</v>
      </c>
      <c r="D41" s="16">
        <v>423.49340000000001</v>
      </c>
      <c r="E41" s="16">
        <v>398</v>
      </c>
      <c r="F41" s="16">
        <v>386.25</v>
      </c>
      <c r="G41" s="16">
        <v>410.41500000000002</v>
      </c>
      <c r="H41" s="16">
        <v>431.93180000000001</v>
      </c>
      <c r="I41" s="16">
        <v>541.23889999999994</v>
      </c>
      <c r="J41" s="16">
        <v>504.57850000000002</v>
      </c>
      <c r="K41" s="16">
        <v>387.49709999999999</v>
      </c>
      <c r="L41" s="16">
        <v>348.75</v>
      </c>
      <c r="M41" s="16">
        <v>507.91500000000002</v>
      </c>
      <c r="N41" s="16">
        <v>436.31</v>
      </c>
      <c r="O41" s="16">
        <v>377.5</v>
      </c>
      <c r="P41" s="16">
        <v>392.91500000000002</v>
      </c>
      <c r="Q41" s="16">
        <v>563.61</v>
      </c>
      <c r="R41" s="16">
        <v>826</v>
      </c>
      <c r="S41" s="16">
        <v>579.44000000000005</v>
      </c>
      <c r="T41" s="16">
        <v>336.66</v>
      </c>
      <c r="U41" s="16">
        <v>375.03250000000003</v>
      </c>
      <c r="V41" s="16">
        <v>364.38589999999999</v>
      </c>
      <c r="W41" s="16">
        <v>374.3775</v>
      </c>
      <c r="X41" s="16">
        <v>779.58249999999998</v>
      </c>
      <c r="Y41" s="16">
        <v>591.80960000000005</v>
      </c>
      <c r="Z41" s="16"/>
      <c r="AA41" s="17">
        <f t="shared" si="2"/>
        <v>826</v>
      </c>
      <c r="AB41" s="17">
        <f t="shared" si="0"/>
        <v>336.66</v>
      </c>
      <c r="AC41" s="17">
        <f t="shared" si="1"/>
        <v>486.702429166667</v>
      </c>
    </row>
    <row r="42" spans="1:29">
      <c r="A42" s="8">
        <v>45332</v>
      </c>
      <c r="B42" s="16">
        <v>702.92259999999999</v>
      </c>
      <c r="C42" s="16">
        <v>744.35530000000006</v>
      </c>
      <c r="D42" s="16">
        <v>883.01459999999997</v>
      </c>
      <c r="E42" s="16">
        <v>647.41499999999996</v>
      </c>
      <c r="F42" s="16">
        <v>400</v>
      </c>
      <c r="G42" s="16">
        <v>400.55500000000001</v>
      </c>
      <c r="H42" s="16">
        <v>353.80500000000001</v>
      </c>
      <c r="I42" s="16">
        <v>353.87720000000002</v>
      </c>
      <c r="J42" s="16">
        <v>0</v>
      </c>
      <c r="K42" s="16">
        <v>64.523899999999998</v>
      </c>
      <c r="L42" s="16">
        <v>50</v>
      </c>
      <c r="M42" s="16">
        <v>484.49549999999999</v>
      </c>
      <c r="N42" s="16">
        <v>499.34969999999998</v>
      </c>
      <c r="O42" s="16">
        <v>0</v>
      </c>
      <c r="P42" s="16">
        <v>500</v>
      </c>
      <c r="Q42" s="16">
        <v>1000</v>
      </c>
      <c r="R42" s="16">
        <v>398.91500000000002</v>
      </c>
      <c r="S42" s="16">
        <v>502.60500000000002</v>
      </c>
      <c r="T42" s="16">
        <v>652.90170000000001</v>
      </c>
      <c r="U42" s="16">
        <v>750.50260000000003</v>
      </c>
      <c r="V42" s="16">
        <v>647.3279</v>
      </c>
      <c r="W42" s="16">
        <v>609.91499999999996</v>
      </c>
      <c r="X42" s="16">
        <v>921.48119999999994</v>
      </c>
      <c r="Y42" s="16">
        <v>652.73339999999996</v>
      </c>
      <c r="Z42" s="16"/>
      <c r="AA42" s="17">
        <f t="shared" si="2"/>
        <v>1000</v>
      </c>
      <c r="AB42" s="17">
        <f t="shared" si="0"/>
        <v>0</v>
      </c>
      <c r="AC42" s="17">
        <f t="shared" si="1"/>
        <v>509.19565</v>
      </c>
    </row>
    <row r="43" spans="1:29">
      <c r="A43" s="8">
        <v>45333</v>
      </c>
      <c r="B43" s="16">
        <v>522.17340000000002</v>
      </c>
      <c r="C43" s="16">
        <v>523.52499999999998</v>
      </c>
      <c r="D43" s="16">
        <v>407.58249999999998</v>
      </c>
      <c r="E43" s="16">
        <v>381.5</v>
      </c>
      <c r="F43" s="16">
        <v>347.5575</v>
      </c>
      <c r="G43" s="16">
        <v>344.05500000000001</v>
      </c>
      <c r="H43" s="16">
        <v>386.25</v>
      </c>
      <c r="I43" s="16">
        <v>400.07749999999999</v>
      </c>
      <c r="J43" s="16">
        <v>155.29140000000001</v>
      </c>
      <c r="K43" s="16">
        <v>90.75</v>
      </c>
      <c r="L43" s="16">
        <v>628.87519999999995</v>
      </c>
      <c r="M43" s="16">
        <v>855.15200000000004</v>
      </c>
      <c r="N43" s="16">
        <v>496.14249999999998</v>
      </c>
      <c r="O43" s="16">
        <v>102.3083</v>
      </c>
      <c r="P43" s="16">
        <v>496.2321</v>
      </c>
      <c r="Q43" s="16">
        <v>847.5</v>
      </c>
      <c r="R43" s="16">
        <v>325.05500000000001</v>
      </c>
      <c r="S43" s="16">
        <v>120.08</v>
      </c>
      <c r="T43" s="16">
        <v>0</v>
      </c>
      <c r="U43" s="16">
        <v>0</v>
      </c>
      <c r="V43" s="16">
        <v>0</v>
      </c>
      <c r="W43" s="16">
        <v>0</v>
      </c>
      <c r="X43" s="16">
        <v>75.415000000000006</v>
      </c>
      <c r="Y43" s="16">
        <v>250.63499999999999</v>
      </c>
      <c r="Z43" s="16"/>
      <c r="AA43" s="17">
        <f t="shared" si="2"/>
        <v>855.15200000000004</v>
      </c>
      <c r="AB43" s="17">
        <f t="shared" si="0"/>
        <v>0</v>
      </c>
      <c r="AC43" s="17">
        <f t="shared" si="1"/>
        <v>323.173225</v>
      </c>
    </row>
    <row r="44" spans="1:29">
      <c r="A44" s="8">
        <v>45334</v>
      </c>
      <c r="B44" s="16">
        <v>479.08249999999998</v>
      </c>
      <c r="C44" s="16">
        <v>152.91499999999999</v>
      </c>
      <c r="D44" s="16">
        <v>166.5</v>
      </c>
      <c r="E44" s="16">
        <v>245.38</v>
      </c>
      <c r="F44" s="16">
        <v>270.16500000000002</v>
      </c>
      <c r="G44" s="16">
        <v>100.58</v>
      </c>
      <c r="H44" s="16">
        <v>0</v>
      </c>
      <c r="I44" s="16">
        <v>75</v>
      </c>
      <c r="J44" s="16">
        <v>100.27500000000001</v>
      </c>
      <c r="K44" s="16">
        <v>724.1259</v>
      </c>
      <c r="L44" s="16">
        <v>996.46900000000005</v>
      </c>
      <c r="M44" s="16">
        <v>1000</v>
      </c>
      <c r="N44" s="16">
        <v>750</v>
      </c>
      <c r="O44" s="16">
        <v>0</v>
      </c>
      <c r="P44" s="16">
        <v>1000</v>
      </c>
      <c r="Q44" s="16">
        <v>1000</v>
      </c>
      <c r="R44" s="16">
        <v>0</v>
      </c>
      <c r="S44" s="16">
        <v>70.165000000000006</v>
      </c>
      <c r="T44" s="16">
        <v>0</v>
      </c>
      <c r="U44" s="16">
        <v>0</v>
      </c>
      <c r="V44" s="16">
        <v>0</v>
      </c>
      <c r="W44" s="16">
        <v>0</v>
      </c>
      <c r="X44" s="16">
        <v>141.25</v>
      </c>
      <c r="Y44" s="16">
        <v>0.25</v>
      </c>
      <c r="Z44" s="16"/>
      <c r="AA44" s="17">
        <f t="shared" si="2"/>
        <v>1000</v>
      </c>
      <c r="AB44" s="17">
        <f t="shared" si="0"/>
        <v>0</v>
      </c>
      <c r="AC44" s="17">
        <f t="shared" si="1"/>
        <v>303.00655833333298</v>
      </c>
    </row>
    <row r="45" spans="1:29">
      <c r="A45" s="8">
        <v>45335</v>
      </c>
      <c r="B45" s="16">
        <v>340.065</v>
      </c>
      <c r="C45" s="16">
        <v>153.16499999999999</v>
      </c>
      <c r="D45" s="16">
        <v>262.02499999999998</v>
      </c>
      <c r="E45" s="16">
        <v>272.77749999999997</v>
      </c>
      <c r="F45" s="16">
        <v>75.25</v>
      </c>
      <c r="G45" s="16">
        <v>0</v>
      </c>
      <c r="H45" s="16">
        <v>139.7525</v>
      </c>
      <c r="I45" s="16">
        <v>325.53250000000003</v>
      </c>
      <c r="J45" s="16">
        <v>339.28250000000003</v>
      </c>
      <c r="K45" s="16">
        <v>356.49</v>
      </c>
      <c r="L45" s="16">
        <v>170.25</v>
      </c>
      <c r="M45" s="16">
        <v>292.19929999999999</v>
      </c>
      <c r="N45" s="16">
        <v>280.98399999999998</v>
      </c>
      <c r="O45" s="16">
        <v>171.12950000000001</v>
      </c>
      <c r="P45" s="16">
        <v>170.60050000000001</v>
      </c>
      <c r="Q45" s="16">
        <v>350.82929999999999</v>
      </c>
      <c r="R45" s="16">
        <v>298.11970000000002</v>
      </c>
      <c r="S45" s="16">
        <v>342.34589999999997</v>
      </c>
      <c r="T45" s="16">
        <v>358.91500000000002</v>
      </c>
      <c r="U45" s="16">
        <v>395</v>
      </c>
      <c r="V45" s="16">
        <v>374.75</v>
      </c>
      <c r="W45" s="16">
        <v>361.33</v>
      </c>
      <c r="X45" s="16">
        <v>366.30250000000001</v>
      </c>
      <c r="Y45" s="16">
        <v>373.75</v>
      </c>
      <c r="Z45" s="16"/>
      <c r="AA45" s="17">
        <f t="shared" si="2"/>
        <v>395</v>
      </c>
      <c r="AB45" s="17">
        <f t="shared" si="0"/>
        <v>0</v>
      </c>
      <c r="AC45" s="17">
        <f t="shared" si="1"/>
        <v>273.78523749999999</v>
      </c>
    </row>
    <row r="46" spans="1:29">
      <c r="A46" s="8">
        <v>45336</v>
      </c>
      <c r="B46" s="16">
        <v>533.505</v>
      </c>
      <c r="C46" s="16">
        <v>533.5</v>
      </c>
      <c r="D46" s="16">
        <v>541.08249999999998</v>
      </c>
      <c r="E46" s="16">
        <v>409.85750000000002</v>
      </c>
      <c r="F46" s="16">
        <v>422.5</v>
      </c>
      <c r="G46" s="16">
        <v>538</v>
      </c>
      <c r="H46" s="16">
        <v>467.77249999999998</v>
      </c>
      <c r="I46" s="16">
        <v>782.59630000000004</v>
      </c>
      <c r="J46" s="16">
        <v>411.41</v>
      </c>
      <c r="K46" s="16">
        <v>186</v>
      </c>
      <c r="L46" s="16">
        <v>211.8252</v>
      </c>
      <c r="M46" s="16">
        <v>156.8321</v>
      </c>
      <c r="N46" s="16">
        <v>244.25</v>
      </c>
      <c r="O46" s="16">
        <v>155.08000000000001</v>
      </c>
      <c r="P46" s="16">
        <v>230.745</v>
      </c>
      <c r="Q46" s="16">
        <v>288.83</v>
      </c>
      <c r="R46" s="16">
        <v>330.12380000000002</v>
      </c>
      <c r="S46" s="16">
        <v>339.61250000000001</v>
      </c>
      <c r="T46" s="16">
        <v>347.61250000000001</v>
      </c>
      <c r="U46" s="16">
        <v>380.08</v>
      </c>
      <c r="V46" s="16">
        <v>340.66</v>
      </c>
      <c r="W46" s="16">
        <v>336.85750000000002</v>
      </c>
      <c r="X46" s="16">
        <v>358.75</v>
      </c>
      <c r="Y46" s="16">
        <v>414.41800000000001</v>
      </c>
      <c r="Z46" s="16"/>
      <c r="AA46" s="17">
        <f t="shared" si="2"/>
        <v>782.59630000000004</v>
      </c>
      <c r="AB46" s="17">
        <f t="shared" si="0"/>
        <v>155.08000000000001</v>
      </c>
      <c r="AC46" s="17">
        <f t="shared" si="1"/>
        <v>373.41251666666699</v>
      </c>
    </row>
    <row r="47" spans="1:29">
      <c r="A47" s="8">
        <v>45337</v>
      </c>
      <c r="B47" s="16">
        <v>775.05669999999998</v>
      </c>
      <c r="C47" s="16">
        <v>884.53949999999998</v>
      </c>
      <c r="D47" s="16">
        <v>854</v>
      </c>
      <c r="E47" s="16">
        <v>586.03</v>
      </c>
      <c r="F47" s="16">
        <v>543.91499999999996</v>
      </c>
      <c r="G47" s="16">
        <v>437.69</v>
      </c>
      <c r="H47" s="16">
        <v>506.18099999999998</v>
      </c>
      <c r="I47" s="16">
        <v>492.91500000000002</v>
      </c>
      <c r="J47" s="16">
        <v>392.5</v>
      </c>
      <c r="K47" s="16">
        <v>345</v>
      </c>
      <c r="L47" s="16">
        <v>372.44749999999999</v>
      </c>
      <c r="M47" s="16">
        <v>479.7878</v>
      </c>
      <c r="N47" s="16">
        <v>373.15460000000002</v>
      </c>
      <c r="O47" s="16">
        <v>327.61279999999999</v>
      </c>
      <c r="P47" s="16">
        <v>322.33249999999998</v>
      </c>
      <c r="Q47" s="16">
        <v>362.68189999999998</v>
      </c>
      <c r="R47" s="16">
        <v>371.90890000000002</v>
      </c>
      <c r="S47" s="16">
        <v>529.48450000000003</v>
      </c>
      <c r="T47" s="16">
        <v>729.25</v>
      </c>
      <c r="U47" s="16">
        <v>437.53750000000002</v>
      </c>
      <c r="V47" s="16">
        <v>404.12450000000001</v>
      </c>
      <c r="W47" s="16">
        <v>371.15190000000001</v>
      </c>
      <c r="X47" s="16">
        <v>377.75</v>
      </c>
      <c r="Y47" s="16">
        <v>405.0625</v>
      </c>
      <c r="Z47" s="16"/>
      <c r="AA47" s="17">
        <f t="shared" si="2"/>
        <v>884.53949999999998</v>
      </c>
      <c r="AB47" s="17">
        <f t="shared" si="0"/>
        <v>322.33249999999998</v>
      </c>
      <c r="AC47" s="17">
        <f t="shared" si="1"/>
        <v>486.754754166667</v>
      </c>
    </row>
    <row r="48" spans="1:29">
      <c r="A48" s="8">
        <v>45338</v>
      </c>
      <c r="B48" s="16">
        <v>734.25</v>
      </c>
      <c r="C48" s="16">
        <v>548.66499999999996</v>
      </c>
      <c r="D48" s="16">
        <v>497.38350000000003</v>
      </c>
      <c r="E48" s="16">
        <v>417.0052</v>
      </c>
      <c r="F48" s="16">
        <v>381.27499999999998</v>
      </c>
      <c r="G48" s="16">
        <v>354</v>
      </c>
      <c r="H48" s="16">
        <v>334.91500000000002</v>
      </c>
      <c r="I48" s="16">
        <v>379.26</v>
      </c>
      <c r="J48" s="16">
        <v>349.33</v>
      </c>
      <c r="K48" s="16">
        <v>350.255</v>
      </c>
      <c r="L48" s="16">
        <v>130.08000000000001</v>
      </c>
      <c r="M48" s="16">
        <v>107.58</v>
      </c>
      <c r="N48" s="16">
        <v>219.91749999999999</v>
      </c>
      <c r="O48" s="16">
        <v>87.5</v>
      </c>
      <c r="P48" s="16">
        <v>253.24629999999999</v>
      </c>
      <c r="Q48" s="16">
        <v>253.16499999999999</v>
      </c>
      <c r="R48" s="16">
        <v>247.5</v>
      </c>
      <c r="S48" s="16">
        <v>346.30930000000001</v>
      </c>
      <c r="T48" s="16">
        <v>289.32530000000003</v>
      </c>
      <c r="U48" s="16">
        <v>353.08780000000002</v>
      </c>
      <c r="V48" s="16">
        <v>343.4323</v>
      </c>
      <c r="W48" s="16">
        <v>328.74090000000001</v>
      </c>
      <c r="X48" s="16">
        <v>306.4461</v>
      </c>
      <c r="Y48" s="16">
        <v>369.96039999999999</v>
      </c>
      <c r="Z48" s="16"/>
      <c r="AA48" s="17">
        <f t="shared" si="2"/>
        <v>734.25</v>
      </c>
      <c r="AB48" s="17">
        <f t="shared" si="0"/>
        <v>87.5</v>
      </c>
      <c r="AC48" s="17">
        <f t="shared" si="1"/>
        <v>332.60956666666698</v>
      </c>
    </row>
    <row r="49" spans="1:29">
      <c r="A49" s="8">
        <v>45339</v>
      </c>
      <c r="B49" s="16">
        <v>407.58</v>
      </c>
      <c r="C49" s="16">
        <v>341.5</v>
      </c>
      <c r="D49" s="16">
        <v>229.625</v>
      </c>
      <c r="E49" s="16">
        <v>180.08</v>
      </c>
      <c r="F49" s="16">
        <v>229.52500000000001</v>
      </c>
      <c r="G49" s="16">
        <v>207.2525</v>
      </c>
      <c r="H49" s="16">
        <v>291.63749999999999</v>
      </c>
      <c r="I49" s="16">
        <v>359.55</v>
      </c>
      <c r="J49" s="16">
        <v>387.75</v>
      </c>
      <c r="K49" s="16">
        <v>423.83240000000001</v>
      </c>
      <c r="L49" s="16">
        <v>369.20319999999998</v>
      </c>
      <c r="M49" s="16">
        <v>360.09039999999999</v>
      </c>
      <c r="N49" s="16">
        <v>340.99880000000002</v>
      </c>
      <c r="O49" s="16">
        <v>213.00970000000001</v>
      </c>
      <c r="P49" s="16">
        <v>318.7525</v>
      </c>
      <c r="Q49" s="16">
        <v>292.19</v>
      </c>
      <c r="R49" s="16">
        <v>245.715</v>
      </c>
      <c r="S49" s="16">
        <v>342.75</v>
      </c>
      <c r="T49" s="16">
        <v>363.1927</v>
      </c>
      <c r="U49" s="16">
        <v>377.5</v>
      </c>
      <c r="V49" s="16">
        <v>371.63200000000001</v>
      </c>
      <c r="W49" s="16">
        <v>372.25</v>
      </c>
      <c r="X49" s="16">
        <v>311.31689999999998</v>
      </c>
      <c r="Y49" s="16">
        <v>367.24540000000002</v>
      </c>
      <c r="Z49" s="16"/>
      <c r="AA49" s="17">
        <f t="shared" si="2"/>
        <v>423.83240000000001</v>
      </c>
      <c r="AB49" s="17">
        <f t="shared" si="0"/>
        <v>180.08</v>
      </c>
      <c r="AC49" s="17">
        <f t="shared" si="1"/>
        <v>321.00745833333298</v>
      </c>
    </row>
    <row r="50" spans="1:29">
      <c r="A50" s="8">
        <v>45340</v>
      </c>
      <c r="B50" s="16">
        <v>466.25</v>
      </c>
      <c r="C50" s="16">
        <v>255.25</v>
      </c>
      <c r="D50" s="16">
        <v>225.5</v>
      </c>
      <c r="E50" s="16">
        <v>115.08</v>
      </c>
      <c r="F50" s="16">
        <v>304.7525</v>
      </c>
      <c r="G50" s="16">
        <v>253.5575</v>
      </c>
      <c r="H50" s="16">
        <v>345.755</v>
      </c>
      <c r="I50" s="16">
        <v>472.8075</v>
      </c>
      <c r="J50" s="16">
        <v>386.77749999999997</v>
      </c>
      <c r="K50" s="16">
        <v>382.495</v>
      </c>
      <c r="L50" s="16">
        <v>364</v>
      </c>
      <c r="M50" s="16">
        <v>321.22710000000001</v>
      </c>
      <c r="N50" s="16">
        <v>166.4425</v>
      </c>
      <c r="O50" s="16">
        <v>240.24</v>
      </c>
      <c r="P50" s="16">
        <v>134.75</v>
      </c>
      <c r="Q50" s="16">
        <v>340.0575</v>
      </c>
      <c r="R50" s="16">
        <v>337.5</v>
      </c>
      <c r="S50" s="16">
        <v>275.08</v>
      </c>
      <c r="T50" s="16">
        <v>374.18990000000002</v>
      </c>
      <c r="U50" s="16">
        <v>421.25</v>
      </c>
      <c r="V50" s="16">
        <v>389.95350000000002</v>
      </c>
      <c r="W50" s="16">
        <v>380</v>
      </c>
      <c r="X50" s="16">
        <v>365.005</v>
      </c>
      <c r="Y50" s="16">
        <v>341.36750000000001</v>
      </c>
      <c r="Z50" s="16"/>
      <c r="AA50" s="17">
        <f t="shared" si="2"/>
        <v>472.8075</v>
      </c>
      <c r="AB50" s="17">
        <f t="shared" si="0"/>
        <v>115.08</v>
      </c>
      <c r="AC50" s="17">
        <f t="shared" si="1"/>
        <v>319.137</v>
      </c>
    </row>
    <row r="51" spans="1:29">
      <c r="A51" s="8">
        <v>45341</v>
      </c>
      <c r="B51" s="16">
        <v>355.3075</v>
      </c>
      <c r="C51" s="16">
        <v>355</v>
      </c>
      <c r="D51" s="16">
        <v>355</v>
      </c>
      <c r="E51" s="16">
        <v>334</v>
      </c>
      <c r="F51" s="16">
        <v>335.3075</v>
      </c>
      <c r="G51" s="16">
        <v>341.25</v>
      </c>
      <c r="H51" s="16">
        <v>348.755</v>
      </c>
      <c r="I51" s="16">
        <v>370</v>
      </c>
      <c r="J51" s="16">
        <v>531</v>
      </c>
      <c r="K51" s="16">
        <v>549.75</v>
      </c>
      <c r="L51" s="16">
        <v>400.16500000000002</v>
      </c>
      <c r="M51" s="16">
        <v>347.5</v>
      </c>
      <c r="N51" s="16">
        <v>166.49510000000001</v>
      </c>
      <c r="O51" s="16">
        <v>249</v>
      </c>
      <c r="P51" s="16">
        <v>343.53</v>
      </c>
      <c r="Q51" s="16">
        <v>294.13080000000002</v>
      </c>
      <c r="R51" s="16">
        <v>406.11200000000002</v>
      </c>
      <c r="S51" s="16">
        <v>399.3836</v>
      </c>
      <c r="T51" s="16">
        <v>399.81599999999997</v>
      </c>
      <c r="U51" s="16">
        <v>397.87560000000002</v>
      </c>
      <c r="V51" s="16">
        <v>374.11369999999999</v>
      </c>
      <c r="W51" s="16">
        <v>372.43200000000002</v>
      </c>
      <c r="X51" s="16">
        <v>319.15350000000001</v>
      </c>
      <c r="Y51" s="16">
        <v>292.46929999999998</v>
      </c>
      <c r="Z51" s="16"/>
      <c r="AA51" s="17">
        <f t="shared" si="2"/>
        <v>549.75</v>
      </c>
      <c r="AB51" s="17">
        <f t="shared" si="0"/>
        <v>166.49510000000001</v>
      </c>
      <c r="AC51" s="17">
        <f t="shared" si="1"/>
        <v>359.89777500000002</v>
      </c>
    </row>
    <row r="52" spans="1:29">
      <c r="A52" s="8">
        <v>45342</v>
      </c>
      <c r="B52" s="16">
        <v>348.9674</v>
      </c>
      <c r="C52" s="16">
        <v>346.81760000000003</v>
      </c>
      <c r="D52" s="16">
        <v>318.18290000000002</v>
      </c>
      <c r="E52" s="16">
        <v>152.94839999999999</v>
      </c>
      <c r="F52" s="16">
        <v>75.240099999999998</v>
      </c>
      <c r="G52" s="16">
        <v>254.04949999999999</v>
      </c>
      <c r="H52" s="16">
        <v>351.42110000000002</v>
      </c>
      <c r="I52" s="16">
        <v>384.16489999999999</v>
      </c>
      <c r="J52" s="16">
        <v>399.23169999999999</v>
      </c>
      <c r="K52" s="16">
        <v>371.52850000000001</v>
      </c>
      <c r="L52" s="16">
        <v>328.84589999999997</v>
      </c>
      <c r="M52" s="16">
        <v>237.11</v>
      </c>
      <c r="N52" s="16">
        <v>0</v>
      </c>
      <c r="O52" s="16">
        <v>0</v>
      </c>
      <c r="P52" s="16">
        <v>186.66499999999999</v>
      </c>
      <c r="Q52" s="16">
        <v>247.7029</v>
      </c>
      <c r="R52" s="16">
        <v>366.15449999999998</v>
      </c>
      <c r="S52" s="16">
        <v>357.72879999999998</v>
      </c>
      <c r="T52" s="16">
        <v>376.45839999999998</v>
      </c>
      <c r="U52" s="16">
        <v>398.01960000000003</v>
      </c>
      <c r="V52" s="16">
        <v>388.8587</v>
      </c>
      <c r="W52" s="16">
        <v>383.20870000000002</v>
      </c>
      <c r="X52" s="16">
        <v>371.27159999999998</v>
      </c>
      <c r="Y52" s="16">
        <v>349.7654</v>
      </c>
      <c r="Z52" s="16"/>
      <c r="AA52" s="17">
        <f t="shared" si="2"/>
        <v>399.23169999999999</v>
      </c>
      <c r="AB52" s="17">
        <f t="shared" si="0"/>
        <v>0</v>
      </c>
      <c r="AC52" s="17">
        <f t="shared" si="1"/>
        <v>291.43090000000001</v>
      </c>
    </row>
    <row r="53" spans="1:29">
      <c r="A53" s="8">
        <v>45343</v>
      </c>
      <c r="B53" s="16">
        <v>356.76130000000001</v>
      </c>
      <c r="C53" s="16">
        <v>345.07850000000002</v>
      </c>
      <c r="D53" s="16">
        <v>267.9744</v>
      </c>
      <c r="E53" s="16">
        <v>223.3706</v>
      </c>
      <c r="F53" s="16">
        <v>298.01830000000001</v>
      </c>
      <c r="G53" s="16">
        <v>315.4477</v>
      </c>
      <c r="H53" s="16">
        <v>353.03980000000001</v>
      </c>
      <c r="I53" s="16">
        <v>373.23759999999999</v>
      </c>
      <c r="J53" s="16">
        <v>419.58010000000002</v>
      </c>
      <c r="K53" s="16">
        <v>405.96539999999999</v>
      </c>
      <c r="L53" s="16">
        <v>360.17590000000001</v>
      </c>
      <c r="M53" s="16">
        <v>309.5575</v>
      </c>
      <c r="N53" s="16">
        <v>260.14249999999998</v>
      </c>
      <c r="O53" s="16">
        <v>307.66269999999997</v>
      </c>
      <c r="P53" s="16">
        <v>340.29250000000002</v>
      </c>
      <c r="Q53" s="16">
        <v>354.8075</v>
      </c>
      <c r="R53" s="16">
        <v>399.9624</v>
      </c>
      <c r="S53" s="16">
        <v>381.3254</v>
      </c>
      <c r="T53" s="16">
        <v>386.15019999999998</v>
      </c>
      <c r="U53" s="16">
        <v>398.77080000000001</v>
      </c>
      <c r="V53" s="16">
        <v>389.77749999999997</v>
      </c>
      <c r="W53" s="16">
        <v>388.5487</v>
      </c>
      <c r="X53" s="16">
        <v>369.49029999999999</v>
      </c>
      <c r="Y53" s="16">
        <v>334.5</v>
      </c>
      <c r="Z53" s="16"/>
      <c r="AA53" s="17">
        <f t="shared" si="2"/>
        <v>419.58010000000002</v>
      </c>
      <c r="AB53" s="17">
        <f t="shared" si="0"/>
        <v>223.3706</v>
      </c>
      <c r="AC53" s="17">
        <f t="shared" si="1"/>
        <v>347.48489999999998</v>
      </c>
    </row>
    <row r="54" spans="1:29">
      <c r="A54" s="8">
        <v>45344</v>
      </c>
      <c r="B54" s="16">
        <v>374.06849999999997</v>
      </c>
      <c r="C54" s="16">
        <v>371.3938</v>
      </c>
      <c r="D54" s="16">
        <v>364.43150000000003</v>
      </c>
      <c r="E54" s="16">
        <v>353.54840000000002</v>
      </c>
      <c r="F54" s="16">
        <v>348.5</v>
      </c>
      <c r="G54" s="16">
        <v>356.5</v>
      </c>
      <c r="H54" s="16">
        <v>381.07709999999997</v>
      </c>
      <c r="I54" s="16">
        <v>404.32979999999998</v>
      </c>
      <c r="J54" s="16">
        <v>638.02890000000002</v>
      </c>
      <c r="K54" s="16">
        <v>654.69920000000002</v>
      </c>
      <c r="L54" s="16">
        <v>420.92669999999998</v>
      </c>
      <c r="M54" s="16">
        <v>385.22879999999998</v>
      </c>
      <c r="N54" s="16">
        <v>357.28</v>
      </c>
      <c r="O54" s="16">
        <v>374.46260000000001</v>
      </c>
      <c r="P54" s="16">
        <v>375.01859999999999</v>
      </c>
      <c r="Q54" s="16">
        <v>370</v>
      </c>
      <c r="R54" s="16">
        <v>380.96870000000001</v>
      </c>
      <c r="S54" s="16">
        <v>375.36720000000003</v>
      </c>
      <c r="T54" s="16">
        <v>380.16969999999998</v>
      </c>
      <c r="U54" s="16">
        <v>375.16079999999999</v>
      </c>
      <c r="V54" s="16">
        <v>381.13979999999998</v>
      </c>
      <c r="W54" s="16">
        <v>384.87419999999997</v>
      </c>
      <c r="X54" s="16">
        <v>363.43099999999998</v>
      </c>
      <c r="Y54" s="16">
        <v>336.86500000000001</v>
      </c>
      <c r="Z54" s="16"/>
      <c r="AA54" s="17">
        <f t="shared" si="2"/>
        <v>654.69920000000002</v>
      </c>
      <c r="AB54" s="17">
        <f t="shared" si="0"/>
        <v>336.86500000000001</v>
      </c>
      <c r="AC54" s="17">
        <f t="shared" si="1"/>
        <v>396.14459583333303</v>
      </c>
    </row>
    <row r="55" spans="1:29">
      <c r="A55" s="8">
        <v>45345</v>
      </c>
      <c r="B55" s="16">
        <v>364.41919999999999</v>
      </c>
      <c r="C55" s="16">
        <v>349.86279999999999</v>
      </c>
      <c r="D55" s="16">
        <v>328.91500000000002</v>
      </c>
      <c r="E55" s="16">
        <v>315.16250000000002</v>
      </c>
      <c r="F55" s="16">
        <v>318.9975</v>
      </c>
      <c r="G55" s="16">
        <v>318.41000000000003</v>
      </c>
      <c r="H55" s="16">
        <v>334.78</v>
      </c>
      <c r="I55" s="16">
        <v>354.91210000000001</v>
      </c>
      <c r="J55" s="16">
        <v>384.18119999999999</v>
      </c>
      <c r="K55" s="16">
        <v>382.15609999999998</v>
      </c>
      <c r="L55" s="16">
        <v>374.21640000000002</v>
      </c>
      <c r="M55" s="16">
        <v>353.89019999999999</v>
      </c>
      <c r="N55" s="16">
        <v>243.05369999999999</v>
      </c>
      <c r="O55" s="16">
        <v>361.23590000000002</v>
      </c>
      <c r="P55" s="16">
        <v>361.83089999999999</v>
      </c>
      <c r="Q55" s="16">
        <v>367.24349999999998</v>
      </c>
      <c r="R55" s="16">
        <v>369.63479999999998</v>
      </c>
      <c r="S55" s="16">
        <v>371.96379999999999</v>
      </c>
      <c r="T55" s="16">
        <v>373.16250000000002</v>
      </c>
      <c r="U55" s="16">
        <v>378.267</v>
      </c>
      <c r="V55" s="16">
        <v>373.0976</v>
      </c>
      <c r="W55" s="16">
        <v>374.41079999999999</v>
      </c>
      <c r="X55" s="16">
        <v>360.86919999999998</v>
      </c>
      <c r="Y55" s="16">
        <v>350</v>
      </c>
      <c r="Z55" s="16"/>
      <c r="AA55" s="17">
        <f t="shared" si="2"/>
        <v>384.18119999999999</v>
      </c>
      <c r="AB55" s="17">
        <f t="shared" si="0"/>
        <v>243.05369999999999</v>
      </c>
      <c r="AC55" s="17">
        <f t="shared" si="1"/>
        <v>352.69469583333301</v>
      </c>
    </row>
    <row r="56" spans="1:29">
      <c r="A56" s="8">
        <v>45346</v>
      </c>
      <c r="B56" s="16">
        <v>365.37470000000002</v>
      </c>
      <c r="C56" s="16">
        <v>336.66160000000002</v>
      </c>
      <c r="D56" s="16">
        <v>317.82749999999999</v>
      </c>
      <c r="E56" s="16">
        <v>317.87470000000002</v>
      </c>
      <c r="F56" s="16">
        <v>218.16499999999999</v>
      </c>
      <c r="G56" s="16">
        <v>217.91499999999999</v>
      </c>
      <c r="H56" s="16">
        <v>313.75</v>
      </c>
      <c r="I56" s="16">
        <v>350.92430000000002</v>
      </c>
      <c r="J56" s="16">
        <v>382.4425</v>
      </c>
      <c r="K56" s="16">
        <v>385.24130000000002</v>
      </c>
      <c r="L56" s="16">
        <v>382.5</v>
      </c>
      <c r="M56" s="16">
        <v>359.0376</v>
      </c>
      <c r="N56" s="16">
        <v>226.26230000000001</v>
      </c>
      <c r="O56" s="16">
        <v>387.96039999999999</v>
      </c>
      <c r="P56" s="16">
        <v>369.54880000000003</v>
      </c>
      <c r="Q56" s="16">
        <v>376.98</v>
      </c>
      <c r="R56" s="16">
        <v>381.5</v>
      </c>
      <c r="S56" s="16">
        <v>381.5</v>
      </c>
      <c r="T56" s="16">
        <v>380.5</v>
      </c>
      <c r="U56" s="16">
        <v>375.05500000000001</v>
      </c>
      <c r="V56" s="16">
        <v>363.25</v>
      </c>
      <c r="W56" s="16">
        <v>370.75</v>
      </c>
      <c r="X56" s="16">
        <v>363.53019999999998</v>
      </c>
      <c r="Y56" s="16">
        <v>355.81599999999997</v>
      </c>
      <c r="Z56" s="16"/>
      <c r="AA56" s="17">
        <f t="shared" si="2"/>
        <v>387.96039999999999</v>
      </c>
      <c r="AB56" s="17">
        <f t="shared" si="0"/>
        <v>217.91499999999999</v>
      </c>
      <c r="AC56" s="17">
        <f t="shared" si="1"/>
        <v>345.0152875</v>
      </c>
    </row>
    <row r="57" spans="1:29">
      <c r="A57" s="8">
        <v>45347</v>
      </c>
      <c r="B57" s="16">
        <v>401.065</v>
      </c>
      <c r="C57" s="16">
        <v>340.5</v>
      </c>
      <c r="D57" s="16">
        <v>324.33</v>
      </c>
      <c r="E57" s="16">
        <v>307.91250000000002</v>
      </c>
      <c r="F57" s="16">
        <v>284.67</v>
      </c>
      <c r="G57" s="16">
        <v>226.33250000000001</v>
      </c>
      <c r="H57" s="16">
        <v>304.7525</v>
      </c>
      <c r="I57" s="16">
        <v>349.6198</v>
      </c>
      <c r="J57" s="16">
        <v>370.75</v>
      </c>
      <c r="K57" s="16">
        <v>371.51560000000001</v>
      </c>
      <c r="L57" s="16">
        <v>367.49040000000002</v>
      </c>
      <c r="M57" s="16">
        <v>365.5043</v>
      </c>
      <c r="N57" s="16">
        <v>359.97030000000001</v>
      </c>
      <c r="O57" s="16">
        <v>360.04289999999997</v>
      </c>
      <c r="P57" s="16">
        <v>339.7389</v>
      </c>
      <c r="Q57" s="16">
        <v>343.1069</v>
      </c>
      <c r="R57" s="16">
        <v>372.18349999999998</v>
      </c>
      <c r="S57" s="16">
        <v>395.54899999999998</v>
      </c>
      <c r="T57" s="16">
        <v>421.85599999999999</v>
      </c>
      <c r="U57" s="16">
        <v>482.34070000000003</v>
      </c>
      <c r="V57" s="16">
        <v>453.7158</v>
      </c>
      <c r="W57" s="16">
        <v>482.32900000000001</v>
      </c>
      <c r="X57" s="16">
        <v>400.1739</v>
      </c>
      <c r="Y57" s="16">
        <v>372.91449999999998</v>
      </c>
      <c r="Z57" s="16"/>
      <c r="AA57" s="17">
        <f t="shared" si="2"/>
        <v>482.34070000000003</v>
      </c>
      <c r="AB57" s="17">
        <f t="shared" si="0"/>
        <v>226.33250000000001</v>
      </c>
      <c r="AC57" s="17">
        <f t="shared" si="1"/>
        <v>366.5985</v>
      </c>
    </row>
    <row r="58" spans="1:29">
      <c r="A58" s="8">
        <v>45348</v>
      </c>
      <c r="B58" s="16">
        <v>389.40190000000001</v>
      </c>
      <c r="C58" s="16">
        <v>366.67970000000003</v>
      </c>
      <c r="D58" s="16">
        <v>356.12400000000002</v>
      </c>
      <c r="E58" s="16">
        <v>333.74340000000001</v>
      </c>
      <c r="F58" s="16">
        <v>326.03129999999999</v>
      </c>
      <c r="G58" s="16">
        <v>304.15859999999998</v>
      </c>
      <c r="H58" s="16">
        <v>358.00799999999998</v>
      </c>
      <c r="I58" s="16">
        <v>374.95080000000002</v>
      </c>
      <c r="J58" s="16">
        <v>407.24250000000001</v>
      </c>
      <c r="K58" s="16">
        <v>421.55599999999998</v>
      </c>
      <c r="L58" s="16">
        <v>390.78480000000002</v>
      </c>
      <c r="M58" s="16">
        <v>351.00990000000002</v>
      </c>
      <c r="N58" s="16">
        <v>237.0916</v>
      </c>
      <c r="O58" s="16">
        <v>219.41589999999999</v>
      </c>
      <c r="P58" s="16">
        <v>338.00920000000002</v>
      </c>
      <c r="Q58" s="16">
        <v>359.03140000000002</v>
      </c>
      <c r="R58" s="16">
        <v>373.72859999999997</v>
      </c>
      <c r="S58" s="16">
        <v>379.3646</v>
      </c>
      <c r="T58" s="16">
        <v>387.60109999999997</v>
      </c>
      <c r="U58" s="16">
        <v>408.6191</v>
      </c>
      <c r="V58" s="16">
        <v>429.55169999999998</v>
      </c>
      <c r="W58" s="16">
        <v>434.12439999999998</v>
      </c>
      <c r="X58" s="16">
        <v>380.30919999999998</v>
      </c>
      <c r="Y58" s="16">
        <v>326.6619</v>
      </c>
      <c r="Z58" s="16"/>
      <c r="AA58" s="17">
        <f t="shared" si="2"/>
        <v>434.12439999999998</v>
      </c>
      <c r="AB58" s="17">
        <f t="shared" si="0"/>
        <v>219.41589999999999</v>
      </c>
      <c r="AC58" s="17">
        <f t="shared" si="1"/>
        <v>360.54998333333299</v>
      </c>
    </row>
    <row r="59" spans="1:29">
      <c r="A59" s="8">
        <v>45349</v>
      </c>
      <c r="B59" s="16">
        <v>326.738</v>
      </c>
      <c r="C59" s="16">
        <v>329.81560000000002</v>
      </c>
      <c r="D59" s="16">
        <v>322.80610000000001</v>
      </c>
      <c r="E59" s="16">
        <v>303.72309999999999</v>
      </c>
      <c r="F59" s="16">
        <v>301.14920000000001</v>
      </c>
      <c r="G59" s="16">
        <v>270.63799999999998</v>
      </c>
      <c r="H59" s="16">
        <v>332.11869999999999</v>
      </c>
      <c r="I59" s="16">
        <v>384.43920000000003</v>
      </c>
      <c r="J59" s="16">
        <v>458.80959999999999</v>
      </c>
      <c r="K59" s="16">
        <v>433.19970000000001</v>
      </c>
      <c r="L59" s="16">
        <v>408.83139999999997</v>
      </c>
      <c r="M59" s="16">
        <v>370.9316</v>
      </c>
      <c r="N59" s="16">
        <v>305.51209999999998</v>
      </c>
      <c r="O59" s="16">
        <v>353.49430000000001</v>
      </c>
      <c r="P59" s="16">
        <v>361.78890000000001</v>
      </c>
      <c r="Q59" s="16">
        <v>374.00380000000001</v>
      </c>
      <c r="R59" s="16">
        <v>383.7353</v>
      </c>
      <c r="S59" s="16">
        <v>395.22109999999998</v>
      </c>
      <c r="T59" s="16">
        <v>403.46280000000002</v>
      </c>
      <c r="U59" s="16">
        <v>419.35879999999997</v>
      </c>
      <c r="V59" s="16">
        <v>414.90249999999997</v>
      </c>
      <c r="W59" s="16">
        <v>401.43150000000003</v>
      </c>
      <c r="X59" s="16">
        <v>387.37279999999998</v>
      </c>
      <c r="Y59" s="16">
        <v>356.40159999999997</v>
      </c>
      <c r="Z59" s="16"/>
      <c r="AA59" s="17">
        <f t="shared" si="2"/>
        <v>458.80959999999999</v>
      </c>
      <c r="AB59" s="17">
        <f t="shared" si="0"/>
        <v>270.63799999999998</v>
      </c>
      <c r="AC59" s="17">
        <f t="shared" si="1"/>
        <v>366.661904166667</v>
      </c>
    </row>
    <row r="60" spans="1:29">
      <c r="A60" s="8">
        <v>45350</v>
      </c>
      <c r="B60" s="16">
        <v>365.17489999999998</v>
      </c>
      <c r="C60" s="16">
        <v>351.7466</v>
      </c>
      <c r="D60" s="16">
        <v>324.315</v>
      </c>
      <c r="E60" s="16">
        <v>313.55500000000001</v>
      </c>
      <c r="F60" s="16">
        <v>227.82249999999999</v>
      </c>
      <c r="G60" s="16">
        <v>302.2525</v>
      </c>
      <c r="H60" s="16">
        <v>351.68990000000002</v>
      </c>
      <c r="I60" s="16">
        <v>387.44979999999998</v>
      </c>
      <c r="J60" s="16">
        <v>512.07249999999999</v>
      </c>
      <c r="K60" s="16">
        <v>565.05129999999997</v>
      </c>
      <c r="L60" s="16">
        <v>500.12630000000001</v>
      </c>
      <c r="M60" s="16">
        <v>386.31610000000001</v>
      </c>
      <c r="N60" s="16">
        <v>341.2919</v>
      </c>
      <c r="O60" s="16">
        <v>367.88189999999997</v>
      </c>
      <c r="P60" s="16">
        <v>374.01049999999998</v>
      </c>
      <c r="Q60" s="16">
        <v>386.03440000000001</v>
      </c>
      <c r="R60" s="16">
        <v>398.76620000000003</v>
      </c>
      <c r="S60" s="16">
        <v>391.27</v>
      </c>
      <c r="T60" s="16">
        <v>407.14850000000001</v>
      </c>
      <c r="U60" s="16">
        <v>447.21499999999997</v>
      </c>
      <c r="V60" s="16">
        <v>433.95359999999999</v>
      </c>
      <c r="W60" s="16">
        <v>423.55329999999998</v>
      </c>
      <c r="X60" s="16">
        <v>385.5</v>
      </c>
      <c r="Y60" s="16">
        <v>357.5</v>
      </c>
      <c r="Z60" s="16"/>
      <c r="AA60" s="17">
        <f t="shared" si="2"/>
        <v>565.05129999999997</v>
      </c>
      <c r="AB60" s="17">
        <f t="shared" si="0"/>
        <v>227.82249999999999</v>
      </c>
      <c r="AC60" s="17">
        <f t="shared" si="1"/>
        <v>387.57073750000001</v>
      </c>
    </row>
    <row r="61" spans="1:29">
      <c r="A61" s="8">
        <v>45351</v>
      </c>
      <c r="B61" s="16">
        <v>371.74990000000003</v>
      </c>
      <c r="C61" s="16">
        <v>364.75</v>
      </c>
      <c r="D61" s="16">
        <v>355.815</v>
      </c>
      <c r="E61" s="16">
        <v>335.065</v>
      </c>
      <c r="F61" s="16">
        <v>330.25</v>
      </c>
      <c r="G61" s="16">
        <v>343.815</v>
      </c>
      <c r="H61" s="16">
        <v>364.16989999999998</v>
      </c>
      <c r="I61" s="16">
        <v>384.24200000000002</v>
      </c>
      <c r="J61" s="16">
        <v>400.64589999999998</v>
      </c>
      <c r="K61" s="16">
        <v>411.6379</v>
      </c>
      <c r="L61" s="16">
        <v>408.42500000000001</v>
      </c>
      <c r="M61" s="16">
        <v>397.20659999999998</v>
      </c>
      <c r="N61" s="16">
        <v>352.28550000000001</v>
      </c>
      <c r="O61" s="16">
        <v>369.07150000000001</v>
      </c>
      <c r="P61" s="16">
        <v>376.01670000000001</v>
      </c>
      <c r="Q61" s="16">
        <v>379.12029999999999</v>
      </c>
      <c r="R61" s="16">
        <v>386.7466</v>
      </c>
      <c r="S61" s="16">
        <v>384.74869999999999</v>
      </c>
      <c r="T61" s="16">
        <v>382.30759999999998</v>
      </c>
      <c r="U61" s="16">
        <v>377.50720000000001</v>
      </c>
      <c r="V61" s="16">
        <v>397.25779999999997</v>
      </c>
      <c r="W61" s="16">
        <v>398.4982</v>
      </c>
      <c r="X61" s="16">
        <v>353.2441</v>
      </c>
      <c r="Y61" s="16">
        <v>329.57440000000003</v>
      </c>
      <c r="Z61" s="16"/>
      <c r="AA61" s="17">
        <f t="shared" si="2"/>
        <v>411.6379</v>
      </c>
      <c r="AB61" s="17">
        <f t="shared" si="0"/>
        <v>329.57440000000003</v>
      </c>
      <c r="AC61" s="17">
        <f t="shared" si="1"/>
        <v>373.08961666666698</v>
      </c>
    </row>
    <row r="62" spans="1:29">
      <c r="A62" s="8">
        <v>45352</v>
      </c>
      <c r="B62" s="16">
        <v>346.49849999999998</v>
      </c>
      <c r="C62" s="16">
        <v>349.72519999999997</v>
      </c>
      <c r="D62" s="16">
        <v>302.05070000000001</v>
      </c>
      <c r="E62" s="16">
        <v>147.96250000000001</v>
      </c>
      <c r="F62" s="16">
        <v>285.39350000000002</v>
      </c>
      <c r="G62" s="16">
        <v>174.89250000000001</v>
      </c>
      <c r="H62" s="16">
        <v>340.5652</v>
      </c>
      <c r="I62" s="16">
        <v>381.36959999999999</v>
      </c>
      <c r="J62" s="16">
        <v>391.8476</v>
      </c>
      <c r="K62" s="16">
        <v>403.06229999999999</v>
      </c>
      <c r="L62" s="16">
        <v>410.52140000000003</v>
      </c>
      <c r="M62" s="16">
        <v>395.9529</v>
      </c>
      <c r="N62" s="16">
        <v>264.81420000000003</v>
      </c>
      <c r="O62" s="16">
        <v>369.50659999999999</v>
      </c>
      <c r="P62" s="16">
        <v>386.83589999999998</v>
      </c>
      <c r="Q62" s="16">
        <v>377.70699999999999</v>
      </c>
      <c r="R62" s="16">
        <v>386.75889999999998</v>
      </c>
      <c r="S62" s="16">
        <v>400.9615</v>
      </c>
      <c r="T62" s="16">
        <v>382.71690000000001</v>
      </c>
      <c r="U62" s="16">
        <v>410.98820000000001</v>
      </c>
      <c r="V62" s="16">
        <v>424.80540000000002</v>
      </c>
      <c r="W62" s="16">
        <v>409.7285</v>
      </c>
      <c r="X62" s="16">
        <v>391.54950000000002</v>
      </c>
      <c r="Y62" s="16">
        <v>366.6551</v>
      </c>
      <c r="Z62" s="16"/>
      <c r="AA62" s="17">
        <f t="shared" si="2"/>
        <v>424.80540000000002</v>
      </c>
      <c r="AB62" s="17">
        <f t="shared" si="0"/>
        <v>147.96250000000001</v>
      </c>
      <c r="AC62" s="17">
        <f t="shared" si="1"/>
        <v>354.28623333333297</v>
      </c>
    </row>
    <row r="63" spans="1:29">
      <c r="A63" s="8">
        <v>45353</v>
      </c>
      <c r="B63" s="16">
        <v>387.33909999999997</v>
      </c>
      <c r="C63" s="16">
        <v>362.78230000000002</v>
      </c>
      <c r="D63" s="16">
        <v>345.09070000000003</v>
      </c>
      <c r="E63" s="16">
        <v>238.71600000000001</v>
      </c>
      <c r="F63" s="16">
        <v>178.3725</v>
      </c>
      <c r="G63" s="16">
        <v>225.0103</v>
      </c>
      <c r="H63" s="16">
        <v>320.9708</v>
      </c>
      <c r="I63" s="16">
        <v>364.8639</v>
      </c>
      <c r="J63" s="16">
        <v>406.05549999999999</v>
      </c>
      <c r="K63" s="16">
        <v>436.00909999999999</v>
      </c>
      <c r="L63" s="16">
        <v>440.47050000000002</v>
      </c>
      <c r="M63" s="16">
        <v>397.01080000000002</v>
      </c>
      <c r="N63" s="16">
        <v>342.83460000000002</v>
      </c>
      <c r="O63" s="16">
        <v>359.93529999999998</v>
      </c>
      <c r="P63" s="16">
        <v>375.11599999999999</v>
      </c>
      <c r="Q63" s="16">
        <v>394.71699999999998</v>
      </c>
      <c r="R63" s="16">
        <v>425.2484</v>
      </c>
      <c r="S63" s="16">
        <v>433.87259999999998</v>
      </c>
      <c r="T63" s="16">
        <v>428.2602</v>
      </c>
      <c r="U63" s="16">
        <v>448.89679999999998</v>
      </c>
      <c r="V63" s="16">
        <v>429.45490000000001</v>
      </c>
      <c r="W63" s="16">
        <v>430.71969999999999</v>
      </c>
      <c r="X63" s="16">
        <v>404.8854</v>
      </c>
      <c r="Y63" s="16">
        <v>382.35660000000001</v>
      </c>
      <c r="Z63" s="16"/>
      <c r="AA63" s="17">
        <f t="shared" si="2"/>
        <v>448.89679999999998</v>
      </c>
      <c r="AB63" s="17">
        <f t="shared" si="0"/>
        <v>178.3725</v>
      </c>
      <c r="AC63" s="17">
        <f t="shared" si="1"/>
        <v>373.29120833333297</v>
      </c>
    </row>
    <row r="64" spans="1:29">
      <c r="A64" s="8">
        <v>45354</v>
      </c>
      <c r="B64" s="16">
        <v>420.01479999999998</v>
      </c>
      <c r="C64" s="16">
        <v>398.44130000000001</v>
      </c>
      <c r="D64" s="16">
        <v>372.5</v>
      </c>
      <c r="E64" s="16">
        <v>353.75</v>
      </c>
      <c r="F64" s="16">
        <v>340.5</v>
      </c>
      <c r="G64" s="16">
        <v>320.02749999999997</v>
      </c>
      <c r="H64" s="16">
        <v>335.88749999999999</v>
      </c>
      <c r="I64" s="16">
        <v>358.20530000000002</v>
      </c>
      <c r="J64" s="16">
        <v>371.72829999999999</v>
      </c>
      <c r="K64" s="16">
        <v>378.36590000000001</v>
      </c>
      <c r="L64" s="16">
        <v>370.04759999999999</v>
      </c>
      <c r="M64" s="16">
        <v>343.14600000000002</v>
      </c>
      <c r="N64" s="16">
        <v>213.6925</v>
      </c>
      <c r="O64" s="16">
        <v>230.72470000000001</v>
      </c>
      <c r="P64" s="16">
        <v>315.84750000000003</v>
      </c>
      <c r="Q64" s="16">
        <v>339.91269999999997</v>
      </c>
      <c r="R64" s="16">
        <v>374.82909999999998</v>
      </c>
      <c r="S64" s="16">
        <v>383.43150000000003</v>
      </c>
      <c r="T64" s="16">
        <v>370.15589999999997</v>
      </c>
      <c r="U64" s="16">
        <v>347.7079</v>
      </c>
      <c r="V64" s="16">
        <v>356.9205</v>
      </c>
      <c r="W64" s="16">
        <v>347.49779999999998</v>
      </c>
      <c r="X64" s="16">
        <v>354.15929999999997</v>
      </c>
      <c r="Y64" s="16">
        <v>111.28700000000001</v>
      </c>
      <c r="Z64" s="16"/>
      <c r="AA64" s="17">
        <f t="shared" si="2"/>
        <v>420.01479999999998</v>
      </c>
      <c r="AB64" s="17">
        <f t="shared" si="0"/>
        <v>111.28700000000001</v>
      </c>
      <c r="AC64" s="17">
        <f t="shared" si="1"/>
        <v>337.86585833333299</v>
      </c>
    </row>
    <row r="65" spans="1:29">
      <c r="A65" s="8">
        <v>45355</v>
      </c>
      <c r="B65" s="16">
        <v>178.03280000000001</v>
      </c>
      <c r="C65" s="16">
        <v>318.70519999999999</v>
      </c>
      <c r="D65" s="16">
        <v>309.65280000000001</v>
      </c>
      <c r="E65" s="16">
        <v>260.29469999999998</v>
      </c>
      <c r="F65" s="16">
        <v>97.051599999999993</v>
      </c>
      <c r="G65" s="16">
        <v>388.76760000000002</v>
      </c>
      <c r="H65" s="16">
        <v>205.93109999999999</v>
      </c>
      <c r="I65" s="16">
        <v>367.45330000000001</v>
      </c>
      <c r="J65" s="16">
        <v>390.4357</v>
      </c>
      <c r="K65" s="16">
        <v>417.93689999999998</v>
      </c>
      <c r="L65" s="16">
        <v>386.82049999999998</v>
      </c>
      <c r="M65" s="16">
        <v>361.5394</v>
      </c>
      <c r="N65" s="16">
        <v>198.131</v>
      </c>
      <c r="O65" s="16">
        <v>286.0136</v>
      </c>
      <c r="P65" s="16">
        <v>351.36369999999999</v>
      </c>
      <c r="Q65" s="16">
        <v>372.53460000000001</v>
      </c>
      <c r="R65" s="16">
        <v>381.56049999999999</v>
      </c>
      <c r="S65" s="16">
        <v>395.4008</v>
      </c>
      <c r="T65" s="16">
        <v>386.3408</v>
      </c>
      <c r="U65" s="16">
        <v>400.09550000000002</v>
      </c>
      <c r="V65" s="16">
        <v>386.02</v>
      </c>
      <c r="W65" s="16">
        <v>377.28179999999998</v>
      </c>
      <c r="X65" s="16">
        <v>358.9006</v>
      </c>
      <c r="Y65" s="16">
        <v>283.4991</v>
      </c>
      <c r="Z65" s="16"/>
      <c r="AA65" s="17">
        <f t="shared" si="2"/>
        <v>417.93689999999998</v>
      </c>
      <c r="AB65" s="17">
        <f t="shared" si="0"/>
        <v>97.051599999999993</v>
      </c>
      <c r="AC65" s="17">
        <f t="shared" si="1"/>
        <v>327.49015000000003</v>
      </c>
    </row>
    <row r="66" spans="1:29">
      <c r="A66" s="8">
        <v>45356</v>
      </c>
      <c r="B66" s="16">
        <v>353.26339999999999</v>
      </c>
      <c r="C66" s="16">
        <v>328.90269999999998</v>
      </c>
      <c r="D66" s="16">
        <v>277.87</v>
      </c>
      <c r="E66" s="16">
        <v>303.46449999999999</v>
      </c>
      <c r="F66" s="16">
        <v>243.08070000000001</v>
      </c>
      <c r="G66" s="16">
        <v>316.83460000000002</v>
      </c>
      <c r="H66" s="16">
        <v>350.3843</v>
      </c>
      <c r="I66" s="16">
        <v>391.67099999999999</v>
      </c>
      <c r="J66" s="16">
        <v>410.33940000000001</v>
      </c>
      <c r="K66" s="16">
        <v>512.03009999999995</v>
      </c>
      <c r="L66" s="16">
        <v>399.33870000000002</v>
      </c>
      <c r="M66" s="16">
        <v>386.40890000000002</v>
      </c>
      <c r="N66" s="16">
        <v>247.45910000000001</v>
      </c>
      <c r="O66" s="16">
        <v>419.53489999999999</v>
      </c>
      <c r="P66" s="16">
        <v>350.63220000000001</v>
      </c>
      <c r="Q66" s="16">
        <v>379.10509999999999</v>
      </c>
      <c r="R66" s="16">
        <v>410.71789999999999</v>
      </c>
      <c r="S66" s="16">
        <v>409.5403</v>
      </c>
      <c r="T66" s="16">
        <v>411.26729999999998</v>
      </c>
      <c r="U66" s="16">
        <v>415.9973</v>
      </c>
      <c r="V66" s="16">
        <v>420.42469999999997</v>
      </c>
      <c r="W66" s="16">
        <v>401.6875</v>
      </c>
      <c r="X66" s="16">
        <v>382.4418</v>
      </c>
      <c r="Y66" s="16">
        <v>365.28870000000001</v>
      </c>
      <c r="Z66" s="16"/>
      <c r="AA66" s="17">
        <f t="shared" ref="AA66:AA129" si="3">MAX($B66:$Y66)</f>
        <v>512.03009999999995</v>
      </c>
      <c r="AB66" s="17">
        <f t="shared" ref="AB66:AB129" si="4">MIN($B66:$Y66)</f>
        <v>243.08070000000001</v>
      </c>
      <c r="AC66" s="17">
        <f t="shared" ref="AC66:AC129" si="5">AVERAGE($B66:$Y66)</f>
        <v>370.32021250000003</v>
      </c>
    </row>
    <row r="67" spans="1:29">
      <c r="A67" s="8">
        <v>45357</v>
      </c>
      <c r="B67" s="16">
        <v>389.54599999999999</v>
      </c>
      <c r="C67" s="16">
        <v>379.89260000000002</v>
      </c>
      <c r="D67" s="16">
        <v>364.43950000000001</v>
      </c>
      <c r="E67" s="16">
        <v>361.30059999999997</v>
      </c>
      <c r="F67" s="16">
        <v>356.85050000000001</v>
      </c>
      <c r="G67" s="16">
        <v>354.75</v>
      </c>
      <c r="H67" s="16">
        <v>375.42469999999997</v>
      </c>
      <c r="I67" s="16">
        <v>404.83109999999999</v>
      </c>
      <c r="J67" s="16">
        <v>417.5102</v>
      </c>
      <c r="K67" s="16">
        <v>407.09800000000001</v>
      </c>
      <c r="L67" s="16">
        <v>383.61799999999999</v>
      </c>
      <c r="M67" s="16">
        <v>370.57490000000001</v>
      </c>
      <c r="N67" s="16">
        <v>313.54360000000003</v>
      </c>
      <c r="O67" s="16">
        <v>335.27370000000002</v>
      </c>
      <c r="P67" s="16">
        <v>350.30040000000002</v>
      </c>
      <c r="Q67" s="16">
        <v>345.29689999999999</v>
      </c>
      <c r="R67" s="16">
        <v>370.1139</v>
      </c>
      <c r="S67" s="16">
        <v>364.63010000000003</v>
      </c>
      <c r="T67" s="16">
        <v>364.37580000000003</v>
      </c>
      <c r="U67" s="16">
        <v>360.7568</v>
      </c>
      <c r="V67" s="16">
        <v>357.24200000000002</v>
      </c>
      <c r="W67" s="16">
        <v>345.166</v>
      </c>
      <c r="X67" s="16">
        <v>315.46429999999998</v>
      </c>
      <c r="Y67" s="16">
        <v>233.80590000000001</v>
      </c>
      <c r="Z67" s="16"/>
      <c r="AA67" s="17">
        <f t="shared" si="3"/>
        <v>417.5102</v>
      </c>
      <c r="AB67" s="17">
        <f t="shared" si="4"/>
        <v>233.80590000000001</v>
      </c>
      <c r="AC67" s="17">
        <f t="shared" si="5"/>
        <v>359.24189583333299</v>
      </c>
    </row>
    <row r="68" spans="1:29">
      <c r="A68" s="8">
        <v>45358</v>
      </c>
      <c r="B68" s="16">
        <v>292.2133</v>
      </c>
      <c r="C68" s="16">
        <v>323.80189999999999</v>
      </c>
      <c r="D68" s="16">
        <v>289.68220000000002</v>
      </c>
      <c r="E68" s="16">
        <v>273.38229999999999</v>
      </c>
      <c r="F68" s="16">
        <v>162.76400000000001</v>
      </c>
      <c r="G68" s="16">
        <v>151.65280000000001</v>
      </c>
      <c r="H68" s="16">
        <v>322.5761</v>
      </c>
      <c r="I68" s="16">
        <v>363.76569999999998</v>
      </c>
      <c r="J68" s="16">
        <v>389.63249999999999</v>
      </c>
      <c r="K68" s="16">
        <v>393.49650000000003</v>
      </c>
      <c r="L68" s="16">
        <v>356.0729</v>
      </c>
      <c r="M68" s="16">
        <v>348.60770000000002</v>
      </c>
      <c r="N68" s="16">
        <v>235.24529999999999</v>
      </c>
      <c r="O68" s="16">
        <v>330.18110000000001</v>
      </c>
      <c r="P68" s="16">
        <v>359.36369999999999</v>
      </c>
      <c r="Q68" s="16">
        <v>371.53899999999999</v>
      </c>
      <c r="R68" s="16">
        <v>385.6823</v>
      </c>
      <c r="S68" s="16">
        <v>379.59399999999999</v>
      </c>
      <c r="T68" s="16">
        <v>383.66539999999998</v>
      </c>
      <c r="U68" s="16">
        <v>388.27030000000002</v>
      </c>
      <c r="V68" s="16">
        <v>387.4674</v>
      </c>
      <c r="W68" s="16">
        <v>382.13380000000001</v>
      </c>
      <c r="X68" s="16">
        <v>353.35590000000002</v>
      </c>
      <c r="Y68" s="16">
        <v>238.50739999999999</v>
      </c>
      <c r="Z68" s="16"/>
      <c r="AA68" s="17">
        <f t="shared" si="3"/>
        <v>393.49650000000003</v>
      </c>
      <c r="AB68" s="17">
        <f t="shared" si="4"/>
        <v>151.65280000000001</v>
      </c>
      <c r="AC68" s="17">
        <f t="shared" si="5"/>
        <v>327.61056250000001</v>
      </c>
    </row>
    <row r="69" spans="1:29">
      <c r="A69" s="8">
        <v>45359</v>
      </c>
      <c r="B69" s="16">
        <v>340.75110000000001</v>
      </c>
      <c r="C69" s="16">
        <v>344.36380000000003</v>
      </c>
      <c r="D69" s="16">
        <v>317.51310000000001</v>
      </c>
      <c r="E69" s="16">
        <v>280.96539999999999</v>
      </c>
      <c r="F69" s="16">
        <v>291.76830000000001</v>
      </c>
      <c r="G69" s="16">
        <v>304.98849999999999</v>
      </c>
      <c r="H69" s="16">
        <v>335.79239999999999</v>
      </c>
      <c r="I69" s="16">
        <v>359.80290000000002</v>
      </c>
      <c r="J69" s="16">
        <v>381.96749999999997</v>
      </c>
      <c r="K69" s="16">
        <v>364.79759999999999</v>
      </c>
      <c r="L69" s="16">
        <v>312.04140000000001</v>
      </c>
      <c r="M69" s="16">
        <v>310.38010000000003</v>
      </c>
      <c r="N69" s="16">
        <v>101.5775</v>
      </c>
      <c r="O69" s="16">
        <v>156.2764</v>
      </c>
      <c r="P69" s="16">
        <v>317.41879999999998</v>
      </c>
      <c r="Q69" s="16">
        <v>324.8494</v>
      </c>
      <c r="R69" s="16">
        <v>346.29430000000002</v>
      </c>
      <c r="S69" s="16">
        <v>349.59050000000002</v>
      </c>
      <c r="T69" s="16">
        <v>351.5163</v>
      </c>
      <c r="U69" s="16">
        <v>367.48250000000002</v>
      </c>
      <c r="V69" s="16">
        <v>365.43579999999997</v>
      </c>
      <c r="W69" s="16">
        <v>354.89400000000001</v>
      </c>
      <c r="X69" s="16">
        <v>347.78660000000002</v>
      </c>
      <c r="Y69" s="16">
        <v>329.26560000000001</v>
      </c>
      <c r="Z69" s="16"/>
      <c r="AA69" s="17">
        <f t="shared" si="3"/>
        <v>381.96749999999997</v>
      </c>
      <c r="AB69" s="17">
        <f t="shared" si="4"/>
        <v>101.5775</v>
      </c>
      <c r="AC69" s="17">
        <f t="shared" si="5"/>
        <v>319.06332500000002</v>
      </c>
    </row>
    <row r="70" spans="1:29">
      <c r="A70" s="8">
        <v>45360</v>
      </c>
      <c r="B70" s="16">
        <v>370.12909999999999</v>
      </c>
      <c r="C70" s="16">
        <v>364.34870000000001</v>
      </c>
      <c r="D70" s="16">
        <v>353.0557</v>
      </c>
      <c r="E70" s="16">
        <v>341.7398</v>
      </c>
      <c r="F70" s="16">
        <v>331.84660000000002</v>
      </c>
      <c r="G70" s="16">
        <v>332.43599999999998</v>
      </c>
      <c r="H70" s="16">
        <v>348.37029999999999</v>
      </c>
      <c r="I70" s="16">
        <v>371.27330000000001</v>
      </c>
      <c r="J70" s="16">
        <v>391.32679999999999</v>
      </c>
      <c r="K70" s="16">
        <v>397.13839999999999</v>
      </c>
      <c r="L70" s="16">
        <v>393.69569999999999</v>
      </c>
      <c r="M70" s="16">
        <v>389.91059999999999</v>
      </c>
      <c r="N70" s="16">
        <v>265.56900000000002</v>
      </c>
      <c r="O70" s="16">
        <v>370.6558</v>
      </c>
      <c r="P70" s="16">
        <v>389.71899999999999</v>
      </c>
      <c r="Q70" s="16">
        <v>381.24059999999997</v>
      </c>
      <c r="R70" s="16">
        <v>393.09769999999997</v>
      </c>
      <c r="S70" s="16">
        <v>397.60969999999998</v>
      </c>
      <c r="T70" s="16">
        <v>370.04730000000001</v>
      </c>
      <c r="U70" s="16">
        <v>362.4049</v>
      </c>
      <c r="V70" s="16">
        <v>350.23930000000001</v>
      </c>
      <c r="W70" s="16">
        <v>352.8639</v>
      </c>
      <c r="X70" s="16">
        <v>354.12670000000003</v>
      </c>
      <c r="Y70" s="16">
        <v>337.24959999999999</v>
      </c>
      <c r="Z70" s="16"/>
      <c r="AA70" s="17">
        <f t="shared" si="3"/>
        <v>397.60969999999998</v>
      </c>
      <c r="AB70" s="17">
        <f t="shared" si="4"/>
        <v>265.56900000000002</v>
      </c>
      <c r="AC70" s="17">
        <f t="shared" si="5"/>
        <v>362.92060416666698</v>
      </c>
    </row>
    <row r="71" spans="1:29">
      <c r="A71" s="8">
        <v>45361</v>
      </c>
      <c r="B71" s="16">
        <v>355.01479999999998</v>
      </c>
      <c r="C71" s="16">
        <v>343.67529999999999</v>
      </c>
      <c r="D71" s="16">
        <v>329.04950000000002</v>
      </c>
      <c r="E71" s="16">
        <v>273.4298</v>
      </c>
      <c r="F71" s="16">
        <v>203.5762</v>
      </c>
      <c r="G71" s="16">
        <v>241.3365</v>
      </c>
      <c r="H71" s="16">
        <v>315.88729999999998</v>
      </c>
      <c r="I71" s="16">
        <v>333.6103</v>
      </c>
      <c r="J71" s="16">
        <v>354.31659999999999</v>
      </c>
      <c r="K71" s="16">
        <v>362.70830000000001</v>
      </c>
      <c r="L71" s="16">
        <v>371.71179999999998</v>
      </c>
      <c r="M71" s="16">
        <v>361.17129999999997</v>
      </c>
      <c r="N71" s="16">
        <v>190.3777</v>
      </c>
      <c r="O71" s="16">
        <v>325.78629999999998</v>
      </c>
      <c r="P71" s="16">
        <v>331.21620000000001</v>
      </c>
      <c r="Q71" s="16">
        <v>352.18060000000003</v>
      </c>
      <c r="R71" s="16">
        <v>370.86</v>
      </c>
      <c r="S71" s="16">
        <v>362.91550000000001</v>
      </c>
      <c r="T71" s="16">
        <v>358.82170000000002</v>
      </c>
      <c r="U71" s="16">
        <v>369.93900000000002</v>
      </c>
      <c r="V71" s="16">
        <v>371.05119999999999</v>
      </c>
      <c r="W71" s="16">
        <v>362.01519999999999</v>
      </c>
      <c r="X71" s="16">
        <v>344.9905</v>
      </c>
      <c r="Y71" s="16">
        <v>318.20400000000001</v>
      </c>
      <c r="Z71" s="16"/>
      <c r="AA71" s="17">
        <f t="shared" si="3"/>
        <v>371.71179999999998</v>
      </c>
      <c r="AB71" s="17">
        <f t="shared" si="4"/>
        <v>190.3777</v>
      </c>
      <c r="AC71" s="17">
        <f t="shared" si="5"/>
        <v>329.32690000000002</v>
      </c>
    </row>
    <row r="72" spans="1:29">
      <c r="A72" s="8">
        <v>45362</v>
      </c>
      <c r="B72" s="16">
        <v>337.43759999999997</v>
      </c>
      <c r="C72" s="16">
        <v>344.61219999999997</v>
      </c>
      <c r="D72" s="16">
        <v>320.81869999999998</v>
      </c>
      <c r="E72" s="16">
        <v>308.83049999999997</v>
      </c>
      <c r="F72" s="16">
        <v>305.91210000000001</v>
      </c>
      <c r="G72" s="16">
        <v>315.21969999999999</v>
      </c>
      <c r="H72" s="16">
        <v>354.48869999999999</v>
      </c>
      <c r="I72" s="16">
        <v>375.65050000000002</v>
      </c>
      <c r="J72" s="16">
        <v>393.68549999999999</v>
      </c>
      <c r="K72" s="16">
        <v>395.9984</v>
      </c>
      <c r="L72" s="16">
        <v>383.14299999999997</v>
      </c>
      <c r="M72" s="16">
        <v>371.02210000000002</v>
      </c>
      <c r="N72" s="16">
        <v>317.0926</v>
      </c>
      <c r="O72" s="16">
        <v>337.25349999999997</v>
      </c>
      <c r="P72" s="16">
        <v>336.59390000000002</v>
      </c>
      <c r="Q72" s="16">
        <v>354.87860000000001</v>
      </c>
      <c r="R72" s="16">
        <v>361.70769999999999</v>
      </c>
      <c r="S72" s="16">
        <v>346.1918</v>
      </c>
      <c r="T72" s="16">
        <v>357.67540000000002</v>
      </c>
      <c r="U72" s="16">
        <v>378.50400000000002</v>
      </c>
      <c r="V72" s="16">
        <v>382.73669999999998</v>
      </c>
      <c r="W72" s="16">
        <v>388.9975</v>
      </c>
      <c r="X72" s="16">
        <v>380.79410000000001</v>
      </c>
      <c r="Y72" s="16">
        <v>359.78800000000001</v>
      </c>
      <c r="Z72" s="16"/>
      <c r="AA72" s="17">
        <f t="shared" si="3"/>
        <v>395.9984</v>
      </c>
      <c r="AB72" s="17">
        <f t="shared" si="4"/>
        <v>305.91210000000001</v>
      </c>
      <c r="AC72" s="17">
        <f t="shared" si="5"/>
        <v>354.54303333333303</v>
      </c>
    </row>
    <row r="73" spans="1:29">
      <c r="A73" s="8">
        <v>45363</v>
      </c>
      <c r="B73" s="16">
        <v>371.56790000000001</v>
      </c>
      <c r="C73" s="16">
        <v>364.30549999999999</v>
      </c>
      <c r="D73" s="16">
        <v>348.93150000000003</v>
      </c>
      <c r="E73" s="16">
        <v>340.29669999999999</v>
      </c>
      <c r="F73" s="16">
        <v>347.01389999999998</v>
      </c>
      <c r="G73" s="16">
        <v>341.75</v>
      </c>
      <c r="H73" s="16">
        <v>355.90440000000001</v>
      </c>
      <c r="I73" s="16">
        <v>375.89240000000001</v>
      </c>
      <c r="J73" s="16">
        <v>382.03570000000002</v>
      </c>
      <c r="K73" s="16">
        <v>366.1028</v>
      </c>
      <c r="L73" s="16">
        <v>347.15109999999999</v>
      </c>
      <c r="M73" s="16">
        <v>331.09289999999999</v>
      </c>
      <c r="N73" s="16">
        <v>12.227399999999999</v>
      </c>
      <c r="O73" s="16">
        <v>224.88030000000001</v>
      </c>
      <c r="P73" s="16">
        <v>191.41730000000001</v>
      </c>
      <c r="Q73" s="16">
        <v>331.9092</v>
      </c>
      <c r="R73" s="16">
        <v>357.5548</v>
      </c>
      <c r="S73" s="16">
        <v>358.23509999999999</v>
      </c>
      <c r="T73" s="16">
        <v>391.4975</v>
      </c>
      <c r="U73" s="16">
        <v>388.35</v>
      </c>
      <c r="V73" s="16">
        <v>380.69990000000001</v>
      </c>
      <c r="W73" s="16">
        <v>371.40350000000001</v>
      </c>
      <c r="X73" s="16">
        <v>358.14679999999998</v>
      </c>
      <c r="Y73" s="16">
        <v>348</v>
      </c>
      <c r="Z73" s="16"/>
      <c r="AA73" s="17">
        <f t="shared" si="3"/>
        <v>391.4975</v>
      </c>
      <c r="AB73" s="17">
        <f t="shared" si="4"/>
        <v>12.227399999999999</v>
      </c>
      <c r="AC73" s="17">
        <f t="shared" si="5"/>
        <v>332.76527499999997</v>
      </c>
    </row>
    <row r="74" spans="1:29">
      <c r="A74" s="8">
        <v>45364</v>
      </c>
      <c r="B74" s="16">
        <v>349.4051</v>
      </c>
      <c r="C74" s="16">
        <v>339.96269999999998</v>
      </c>
      <c r="D74" s="16">
        <v>326.68060000000003</v>
      </c>
      <c r="E74" s="16">
        <v>324.91030000000001</v>
      </c>
      <c r="F74" s="16">
        <v>303.81130000000002</v>
      </c>
      <c r="G74" s="16">
        <v>302.60140000000001</v>
      </c>
      <c r="H74" s="16">
        <v>332.8295</v>
      </c>
      <c r="I74" s="16">
        <v>341.95170000000002</v>
      </c>
      <c r="J74" s="16">
        <v>373.80160000000001</v>
      </c>
      <c r="K74" s="16">
        <v>374.68709999999999</v>
      </c>
      <c r="L74" s="16">
        <v>357.01740000000001</v>
      </c>
      <c r="M74" s="16">
        <v>324.23840000000001</v>
      </c>
      <c r="N74" s="16">
        <v>184.48920000000001</v>
      </c>
      <c r="O74" s="16">
        <v>328.74310000000003</v>
      </c>
      <c r="P74" s="16">
        <v>355.03320000000002</v>
      </c>
      <c r="Q74" s="16">
        <v>369.3888</v>
      </c>
      <c r="R74" s="16">
        <v>391.68630000000002</v>
      </c>
      <c r="S74" s="16">
        <v>374.24639999999999</v>
      </c>
      <c r="T74" s="16">
        <v>403.79169999999999</v>
      </c>
      <c r="U74" s="16">
        <v>410.5052</v>
      </c>
      <c r="V74" s="16">
        <v>389.58030000000002</v>
      </c>
      <c r="W74" s="16">
        <v>380.43049999999999</v>
      </c>
      <c r="X74" s="16">
        <v>349.68400000000003</v>
      </c>
      <c r="Y74" s="16">
        <v>324.57709999999997</v>
      </c>
      <c r="Z74" s="16"/>
      <c r="AA74" s="17">
        <f t="shared" si="3"/>
        <v>410.5052</v>
      </c>
      <c r="AB74" s="17">
        <f t="shared" si="4"/>
        <v>184.48920000000001</v>
      </c>
      <c r="AC74" s="17">
        <f t="shared" si="5"/>
        <v>346.41887083333302</v>
      </c>
    </row>
    <row r="75" spans="1:29">
      <c r="A75" s="8">
        <v>45365</v>
      </c>
      <c r="B75" s="16">
        <v>342.65179999999998</v>
      </c>
      <c r="C75" s="16">
        <v>338.59179999999998</v>
      </c>
      <c r="D75" s="16">
        <v>326.22250000000003</v>
      </c>
      <c r="E75" s="16">
        <v>316.81360000000001</v>
      </c>
      <c r="F75" s="16">
        <v>305.21379999999999</v>
      </c>
      <c r="G75" s="16">
        <v>321.79149999999998</v>
      </c>
      <c r="H75" s="16">
        <v>340.19119999999998</v>
      </c>
      <c r="I75" s="16">
        <v>369.98950000000002</v>
      </c>
      <c r="J75" s="16">
        <v>428.99450000000002</v>
      </c>
      <c r="K75" s="16">
        <v>542.28779999999995</v>
      </c>
      <c r="L75" s="16">
        <v>410.01729999999998</v>
      </c>
      <c r="M75" s="16">
        <v>375.73689999999999</v>
      </c>
      <c r="N75" s="16">
        <v>247.1635</v>
      </c>
      <c r="O75" s="16">
        <v>342.66030000000001</v>
      </c>
      <c r="P75" s="16">
        <v>364.32510000000002</v>
      </c>
      <c r="Q75" s="16">
        <v>416.73379999999997</v>
      </c>
      <c r="R75" s="16">
        <v>637.75469999999996</v>
      </c>
      <c r="S75" s="16">
        <v>464.66230000000002</v>
      </c>
      <c r="T75" s="16">
        <v>384.59249999999997</v>
      </c>
      <c r="U75" s="16">
        <v>382.16030000000001</v>
      </c>
      <c r="V75" s="16">
        <v>381.44159999999999</v>
      </c>
      <c r="W75" s="16">
        <v>378.58710000000002</v>
      </c>
      <c r="X75" s="16">
        <v>361.56229999999999</v>
      </c>
      <c r="Y75" s="16">
        <v>341.46140000000003</v>
      </c>
      <c r="Z75" s="16"/>
      <c r="AA75" s="17">
        <f t="shared" si="3"/>
        <v>637.75469999999996</v>
      </c>
      <c r="AB75" s="17">
        <f t="shared" si="4"/>
        <v>247.1635</v>
      </c>
      <c r="AC75" s="17">
        <f t="shared" si="5"/>
        <v>380.06696249999999</v>
      </c>
    </row>
    <row r="76" spans="1:29">
      <c r="A76" s="8">
        <v>45366</v>
      </c>
      <c r="B76" s="16">
        <v>361.62099999999998</v>
      </c>
      <c r="C76" s="16">
        <v>350.75599999999997</v>
      </c>
      <c r="D76" s="16">
        <v>336.18310000000002</v>
      </c>
      <c r="E76" s="16">
        <v>336.48379999999997</v>
      </c>
      <c r="F76" s="16">
        <v>318.733</v>
      </c>
      <c r="G76" s="16">
        <v>330.3442</v>
      </c>
      <c r="H76" s="16">
        <v>344.24380000000002</v>
      </c>
      <c r="I76" s="16">
        <v>367.428</v>
      </c>
      <c r="J76" s="16">
        <v>373.92439999999999</v>
      </c>
      <c r="K76" s="16">
        <v>383.03449999999998</v>
      </c>
      <c r="L76" s="16">
        <v>369.08960000000002</v>
      </c>
      <c r="M76" s="16">
        <v>346.64409999999998</v>
      </c>
      <c r="N76" s="16">
        <v>209.39019999999999</v>
      </c>
      <c r="O76" s="16">
        <v>241.3227</v>
      </c>
      <c r="P76" s="16">
        <v>347.64980000000003</v>
      </c>
      <c r="Q76" s="16">
        <v>344.97719999999998</v>
      </c>
      <c r="R76" s="16">
        <v>364.04500000000002</v>
      </c>
      <c r="S76" s="16">
        <v>367.1542</v>
      </c>
      <c r="T76" s="16">
        <v>366.52760000000001</v>
      </c>
      <c r="U76" s="16">
        <v>365.3965</v>
      </c>
      <c r="V76" s="16">
        <v>353.71210000000002</v>
      </c>
      <c r="W76" s="16">
        <v>343.52019999999999</v>
      </c>
      <c r="X76" s="16">
        <v>345.79390000000001</v>
      </c>
      <c r="Y76" s="16">
        <v>340.47680000000003</v>
      </c>
      <c r="Z76" s="16"/>
      <c r="AA76" s="17">
        <f t="shared" si="3"/>
        <v>383.03449999999998</v>
      </c>
      <c r="AB76" s="17">
        <f t="shared" si="4"/>
        <v>209.39019999999999</v>
      </c>
      <c r="AC76" s="17">
        <f t="shared" si="5"/>
        <v>342.018820833333</v>
      </c>
    </row>
    <row r="77" spans="1:29">
      <c r="A77" s="8">
        <v>45367</v>
      </c>
      <c r="B77" s="16">
        <v>346.41149999999999</v>
      </c>
      <c r="C77" s="16">
        <v>338.7106</v>
      </c>
      <c r="D77" s="16">
        <v>339.29910000000001</v>
      </c>
      <c r="E77" s="16">
        <v>324.47030000000001</v>
      </c>
      <c r="F77" s="16">
        <v>305.16050000000001</v>
      </c>
      <c r="G77" s="16">
        <v>300.91660000000002</v>
      </c>
      <c r="H77" s="16">
        <v>319.99169999999998</v>
      </c>
      <c r="I77" s="16">
        <v>340.61450000000002</v>
      </c>
      <c r="J77" s="16">
        <v>352.91469999999998</v>
      </c>
      <c r="K77" s="16">
        <v>368.6037</v>
      </c>
      <c r="L77" s="16">
        <v>359.7903</v>
      </c>
      <c r="M77" s="16">
        <v>333.59269999999998</v>
      </c>
      <c r="N77" s="16">
        <v>221.5513</v>
      </c>
      <c r="O77" s="16">
        <v>320.15649999999999</v>
      </c>
      <c r="P77" s="16">
        <v>342.83120000000002</v>
      </c>
      <c r="Q77" s="16">
        <v>342.76010000000002</v>
      </c>
      <c r="R77" s="16">
        <v>362.94580000000002</v>
      </c>
      <c r="S77" s="16">
        <v>363.16230000000002</v>
      </c>
      <c r="T77" s="16">
        <v>367.23070000000001</v>
      </c>
      <c r="U77" s="16">
        <v>368.93900000000002</v>
      </c>
      <c r="V77" s="16">
        <v>362.14920000000001</v>
      </c>
      <c r="W77" s="16">
        <v>362.54309999999998</v>
      </c>
      <c r="X77" s="16">
        <v>367.92090000000002</v>
      </c>
      <c r="Y77" s="16">
        <v>351.26580000000001</v>
      </c>
      <c r="Z77" s="16"/>
      <c r="AA77" s="17">
        <f t="shared" si="3"/>
        <v>368.93900000000002</v>
      </c>
      <c r="AB77" s="17">
        <f t="shared" si="4"/>
        <v>221.5513</v>
      </c>
      <c r="AC77" s="17">
        <f t="shared" si="5"/>
        <v>340.1638375</v>
      </c>
    </row>
    <row r="78" spans="1:29">
      <c r="A78" s="8">
        <v>45368</v>
      </c>
      <c r="B78" s="16">
        <v>422.9248</v>
      </c>
      <c r="C78" s="16">
        <v>347.99650000000003</v>
      </c>
      <c r="D78" s="16">
        <v>334.76609999999999</v>
      </c>
      <c r="E78" s="16">
        <v>337.09</v>
      </c>
      <c r="F78" s="16">
        <v>338.76150000000001</v>
      </c>
      <c r="G78" s="16">
        <v>339.92009999999999</v>
      </c>
      <c r="H78" s="16">
        <v>346.75670000000002</v>
      </c>
      <c r="I78" s="16">
        <v>356.346</v>
      </c>
      <c r="J78" s="16">
        <v>342.62869999999998</v>
      </c>
      <c r="K78" s="16">
        <v>347.70909999999998</v>
      </c>
      <c r="L78" s="16">
        <v>335.69779999999997</v>
      </c>
      <c r="M78" s="16">
        <v>329.21890000000002</v>
      </c>
      <c r="N78" s="16">
        <v>12.4169</v>
      </c>
      <c r="O78" s="16">
        <v>85.993200000000002</v>
      </c>
      <c r="P78" s="16">
        <v>302.89159999999998</v>
      </c>
      <c r="Q78" s="16">
        <v>324.33539999999999</v>
      </c>
      <c r="R78" s="16">
        <v>339.29739999999998</v>
      </c>
      <c r="S78" s="16">
        <v>354.94729999999998</v>
      </c>
      <c r="T78" s="16">
        <v>361.2801</v>
      </c>
      <c r="U78" s="16">
        <v>366.95569999999998</v>
      </c>
      <c r="V78" s="16">
        <v>406.40300000000002</v>
      </c>
      <c r="W78" s="16">
        <v>387.57619999999997</v>
      </c>
      <c r="X78" s="16">
        <v>375.8338</v>
      </c>
      <c r="Y78" s="16">
        <v>354.899</v>
      </c>
      <c r="Z78" s="16"/>
      <c r="AA78" s="17">
        <f t="shared" si="3"/>
        <v>422.9248</v>
      </c>
      <c r="AB78" s="17">
        <f t="shared" si="4"/>
        <v>12.4169</v>
      </c>
      <c r="AC78" s="17">
        <f t="shared" si="5"/>
        <v>327.19357500000001</v>
      </c>
    </row>
    <row r="79" spans="1:29">
      <c r="A79" s="8">
        <v>45369</v>
      </c>
      <c r="B79" s="16">
        <v>365.03410000000002</v>
      </c>
      <c r="C79" s="16">
        <v>357.83210000000003</v>
      </c>
      <c r="D79" s="16">
        <v>342.07429999999999</v>
      </c>
      <c r="E79" s="16">
        <v>336.44499999999999</v>
      </c>
      <c r="F79" s="16">
        <v>325.53129999999999</v>
      </c>
      <c r="G79" s="16">
        <v>318.5215</v>
      </c>
      <c r="H79" s="16">
        <v>343.88990000000001</v>
      </c>
      <c r="I79" s="16">
        <v>360.51859999999999</v>
      </c>
      <c r="J79" s="16">
        <v>385.5822</v>
      </c>
      <c r="K79" s="16">
        <v>424.86040000000003</v>
      </c>
      <c r="L79" s="16">
        <v>395.8374</v>
      </c>
      <c r="M79" s="16">
        <v>362.69220000000001</v>
      </c>
      <c r="N79" s="16">
        <v>249.83189999999999</v>
      </c>
      <c r="O79" s="16">
        <v>331.95659999999998</v>
      </c>
      <c r="P79" s="16">
        <v>360.73970000000003</v>
      </c>
      <c r="Q79" s="16">
        <v>371.82490000000001</v>
      </c>
      <c r="R79" s="16">
        <v>382.53469999999999</v>
      </c>
      <c r="S79" s="16">
        <v>367.72239999999999</v>
      </c>
      <c r="T79" s="16">
        <v>382.57209999999998</v>
      </c>
      <c r="U79" s="16">
        <v>388.08749999999998</v>
      </c>
      <c r="V79" s="16">
        <v>367.76499999999999</v>
      </c>
      <c r="W79" s="16">
        <v>366.39120000000003</v>
      </c>
      <c r="X79" s="16">
        <v>363.95339999999999</v>
      </c>
      <c r="Y79" s="16">
        <v>336.90280000000001</v>
      </c>
      <c r="Z79" s="16"/>
      <c r="AA79" s="17">
        <f t="shared" si="3"/>
        <v>424.86040000000003</v>
      </c>
      <c r="AB79" s="17">
        <f t="shared" si="4"/>
        <v>249.83189999999999</v>
      </c>
      <c r="AC79" s="17">
        <f t="shared" si="5"/>
        <v>357.87921666666699</v>
      </c>
    </row>
    <row r="80" spans="1:29">
      <c r="A80" s="8">
        <v>45370</v>
      </c>
      <c r="B80" s="16">
        <v>364.30430000000001</v>
      </c>
      <c r="C80" s="16">
        <v>344.94690000000003</v>
      </c>
      <c r="D80" s="16">
        <v>335.4864</v>
      </c>
      <c r="E80" s="16">
        <v>327.14580000000001</v>
      </c>
      <c r="F80" s="16">
        <v>314.03789999999998</v>
      </c>
      <c r="G80" s="16">
        <v>320.0883</v>
      </c>
      <c r="H80" s="16">
        <v>334.84030000000001</v>
      </c>
      <c r="I80" s="16">
        <v>354.92320000000001</v>
      </c>
      <c r="J80" s="16">
        <v>362.14850000000001</v>
      </c>
      <c r="K80" s="16">
        <v>363.70769999999999</v>
      </c>
      <c r="L80" s="16">
        <v>351.75909999999999</v>
      </c>
      <c r="M80" s="16">
        <v>322.2851</v>
      </c>
      <c r="N80" s="16">
        <v>73.860200000000006</v>
      </c>
      <c r="O80" s="16">
        <v>229.87729999999999</v>
      </c>
      <c r="P80" s="16">
        <v>297.7439</v>
      </c>
      <c r="Q80" s="16">
        <v>318.77409999999998</v>
      </c>
      <c r="R80" s="16">
        <v>323.97949999999997</v>
      </c>
      <c r="S80" s="16">
        <v>334.49450000000002</v>
      </c>
      <c r="T80" s="16">
        <v>340.0677</v>
      </c>
      <c r="U80" s="16">
        <v>362.09320000000002</v>
      </c>
      <c r="V80" s="16">
        <v>353.93060000000003</v>
      </c>
      <c r="W80" s="16">
        <v>342.61279999999999</v>
      </c>
      <c r="X80" s="16">
        <v>329.6789</v>
      </c>
      <c r="Y80" s="16">
        <v>317.7038</v>
      </c>
      <c r="Z80" s="16"/>
      <c r="AA80" s="17">
        <f t="shared" si="3"/>
        <v>364.30430000000001</v>
      </c>
      <c r="AB80" s="17">
        <f t="shared" si="4"/>
        <v>73.860200000000006</v>
      </c>
      <c r="AC80" s="17">
        <f t="shared" si="5"/>
        <v>321.68708333333302</v>
      </c>
    </row>
    <row r="81" spans="1:29">
      <c r="A81" s="8">
        <v>45371</v>
      </c>
      <c r="B81" s="16">
        <v>383.9357</v>
      </c>
      <c r="C81" s="16">
        <v>342.30889999999999</v>
      </c>
      <c r="D81" s="16">
        <v>320.87220000000002</v>
      </c>
      <c r="E81" s="16">
        <v>304.2996</v>
      </c>
      <c r="F81" s="16">
        <v>293.51900000000001</v>
      </c>
      <c r="G81" s="16">
        <v>304.51010000000002</v>
      </c>
      <c r="H81" s="16">
        <v>335.49220000000003</v>
      </c>
      <c r="I81" s="16">
        <v>343.94439999999997</v>
      </c>
      <c r="J81" s="16">
        <v>353.45589999999999</v>
      </c>
      <c r="K81" s="16">
        <v>307.70190000000002</v>
      </c>
      <c r="L81" s="16">
        <v>273.12400000000002</v>
      </c>
      <c r="M81" s="16">
        <v>254.5514</v>
      </c>
      <c r="N81" s="16">
        <v>84.045699999999997</v>
      </c>
      <c r="O81" s="16">
        <v>257.37139999999999</v>
      </c>
      <c r="P81" s="16">
        <v>318.55099999999999</v>
      </c>
      <c r="Q81" s="16">
        <v>340.48610000000002</v>
      </c>
      <c r="R81" s="16">
        <v>374.85149999999999</v>
      </c>
      <c r="S81" s="16">
        <v>348.16419999999999</v>
      </c>
      <c r="T81" s="16">
        <v>358.16059999999999</v>
      </c>
      <c r="U81" s="16">
        <v>369.27929999999998</v>
      </c>
      <c r="V81" s="16">
        <v>350.64190000000002</v>
      </c>
      <c r="W81" s="16">
        <v>337.1825</v>
      </c>
      <c r="X81" s="16">
        <v>332.53750000000002</v>
      </c>
      <c r="Y81" s="16">
        <v>317.00069999999999</v>
      </c>
      <c r="Z81" s="16"/>
      <c r="AA81" s="17">
        <f t="shared" si="3"/>
        <v>383.9357</v>
      </c>
      <c r="AB81" s="17">
        <f t="shared" si="4"/>
        <v>84.045699999999997</v>
      </c>
      <c r="AC81" s="17">
        <f t="shared" si="5"/>
        <v>316.91615416666701</v>
      </c>
    </row>
    <row r="82" spans="1:29">
      <c r="A82" s="8">
        <v>45372</v>
      </c>
      <c r="B82" s="16">
        <v>368.53960000000001</v>
      </c>
      <c r="C82" s="16">
        <v>345.4787</v>
      </c>
      <c r="D82" s="16">
        <v>332.76330000000002</v>
      </c>
      <c r="E82" s="16">
        <v>315.84910000000002</v>
      </c>
      <c r="F82" s="16">
        <v>316.2808</v>
      </c>
      <c r="G82" s="16">
        <v>314.5976</v>
      </c>
      <c r="H82" s="16">
        <v>343.46339999999998</v>
      </c>
      <c r="I82" s="16">
        <v>358.43340000000001</v>
      </c>
      <c r="J82" s="16">
        <v>361.95870000000002</v>
      </c>
      <c r="K82" s="16">
        <v>350.83800000000002</v>
      </c>
      <c r="L82" s="16">
        <v>335.6952</v>
      </c>
      <c r="M82" s="16">
        <v>285.67290000000003</v>
      </c>
      <c r="N82" s="16">
        <v>170.91800000000001</v>
      </c>
      <c r="O82" s="16">
        <v>286.49009999999998</v>
      </c>
      <c r="P82" s="16">
        <v>323.22370000000001</v>
      </c>
      <c r="Q82" s="16">
        <v>360.05560000000003</v>
      </c>
      <c r="R82" s="16">
        <v>411.72519999999997</v>
      </c>
      <c r="S82" s="16">
        <v>370.327</v>
      </c>
      <c r="T82" s="16">
        <v>357.63600000000002</v>
      </c>
      <c r="U82" s="16">
        <v>392.1848</v>
      </c>
      <c r="V82" s="16">
        <v>356.4708</v>
      </c>
      <c r="W82" s="16">
        <v>361.32859999999999</v>
      </c>
      <c r="X82" s="16">
        <v>347.23849999999999</v>
      </c>
      <c r="Y82" s="16">
        <v>328.03840000000002</v>
      </c>
      <c r="Z82" s="16"/>
      <c r="AA82" s="17">
        <f t="shared" si="3"/>
        <v>411.72519999999997</v>
      </c>
      <c r="AB82" s="17">
        <f t="shared" si="4"/>
        <v>170.91800000000001</v>
      </c>
      <c r="AC82" s="17">
        <f t="shared" si="5"/>
        <v>337.30030833333302</v>
      </c>
    </row>
    <row r="83" spans="1:29">
      <c r="A83" s="8">
        <v>45373</v>
      </c>
      <c r="B83" s="16">
        <v>379.1909</v>
      </c>
      <c r="C83" s="16">
        <v>339.84469999999999</v>
      </c>
      <c r="D83" s="16">
        <v>326.54149999999998</v>
      </c>
      <c r="E83" s="16">
        <v>312.26249999999999</v>
      </c>
      <c r="F83" s="16">
        <v>302.87470000000002</v>
      </c>
      <c r="G83" s="16">
        <v>310.57260000000002</v>
      </c>
      <c r="H83" s="16">
        <v>334.42320000000001</v>
      </c>
      <c r="I83" s="16">
        <v>355.90350000000001</v>
      </c>
      <c r="J83" s="16">
        <v>551.0951</v>
      </c>
      <c r="K83" s="16">
        <v>458.1986</v>
      </c>
      <c r="L83" s="16">
        <v>558.42439999999999</v>
      </c>
      <c r="M83" s="16">
        <v>384.42910000000001</v>
      </c>
      <c r="N83" s="16">
        <v>272.64920000000001</v>
      </c>
      <c r="O83" s="16">
        <v>370.74959999999999</v>
      </c>
      <c r="P83" s="16">
        <v>443.49610000000001</v>
      </c>
      <c r="Q83" s="16">
        <v>432.93189999999998</v>
      </c>
      <c r="R83" s="16">
        <v>515.72329999999999</v>
      </c>
      <c r="S83" s="16">
        <v>378.98219999999998</v>
      </c>
      <c r="T83" s="16">
        <v>378.12889999999999</v>
      </c>
      <c r="U83" s="16">
        <v>404.30070000000001</v>
      </c>
      <c r="V83" s="16">
        <v>366.5564</v>
      </c>
      <c r="W83" s="16">
        <v>357.7287</v>
      </c>
      <c r="X83" s="16">
        <v>354.80619999999999</v>
      </c>
      <c r="Y83" s="16">
        <v>323.101</v>
      </c>
      <c r="Z83" s="16"/>
      <c r="AA83" s="17">
        <f t="shared" si="3"/>
        <v>558.42439999999999</v>
      </c>
      <c r="AB83" s="17">
        <f t="shared" si="4"/>
        <v>272.64920000000001</v>
      </c>
      <c r="AC83" s="17">
        <f t="shared" si="5"/>
        <v>383.87145833333301</v>
      </c>
    </row>
    <row r="84" spans="1:29">
      <c r="A84" s="8">
        <v>45374</v>
      </c>
      <c r="B84" s="16">
        <v>578.54190000000006</v>
      </c>
      <c r="C84" s="16">
        <v>354.74740000000003</v>
      </c>
      <c r="D84" s="16">
        <v>334.53559999999999</v>
      </c>
      <c r="E84" s="16">
        <v>316.92320000000001</v>
      </c>
      <c r="F84" s="16">
        <v>309.15140000000002</v>
      </c>
      <c r="G84" s="16">
        <v>320.45330000000001</v>
      </c>
      <c r="H84" s="16">
        <v>316.82549999999998</v>
      </c>
      <c r="I84" s="16">
        <v>352.97820000000002</v>
      </c>
      <c r="J84" s="16">
        <v>594.38490000000002</v>
      </c>
      <c r="K84" s="16">
        <v>630.81460000000004</v>
      </c>
      <c r="L84" s="16">
        <v>419.7928</v>
      </c>
      <c r="M84" s="16">
        <v>352.10939999999999</v>
      </c>
      <c r="N84" s="16">
        <v>220.68440000000001</v>
      </c>
      <c r="O84" s="16">
        <v>325.94139999999999</v>
      </c>
      <c r="P84" s="16">
        <v>347.77589999999998</v>
      </c>
      <c r="Q84" s="16">
        <v>366.74549999999999</v>
      </c>
      <c r="R84" s="16">
        <v>526.10929999999996</v>
      </c>
      <c r="S84" s="16">
        <v>391.57600000000002</v>
      </c>
      <c r="T84" s="16">
        <v>361.61369999999999</v>
      </c>
      <c r="U84" s="16">
        <v>380.70280000000002</v>
      </c>
      <c r="V84" s="16">
        <v>374.64620000000002</v>
      </c>
      <c r="W84" s="16">
        <v>369.96910000000003</v>
      </c>
      <c r="X84" s="16">
        <v>372.46550000000002</v>
      </c>
      <c r="Y84" s="16">
        <v>357.45639999999997</v>
      </c>
      <c r="Z84" s="16"/>
      <c r="AA84" s="17">
        <f t="shared" si="3"/>
        <v>630.81460000000004</v>
      </c>
      <c r="AB84" s="17">
        <f t="shared" si="4"/>
        <v>220.68440000000001</v>
      </c>
      <c r="AC84" s="17">
        <f t="shared" si="5"/>
        <v>386.53935000000001</v>
      </c>
    </row>
    <row r="85" spans="1:29">
      <c r="A85" s="8">
        <v>45375</v>
      </c>
      <c r="B85" s="16">
        <v>629.58889999999997</v>
      </c>
      <c r="C85" s="16">
        <v>381.75119999999998</v>
      </c>
      <c r="D85" s="16">
        <v>356.73509999999999</v>
      </c>
      <c r="E85" s="16">
        <v>359.52190000000002</v>
      </c>
      <c r="F85" s="16">
        <v>330.62639999999999</v>
      </c>
      <c r="G85" s="16">
        <v>330.43639999999999</v>
      </c>
      <c r="H85" s="16">
        <v>342.94330000000002</v>
      </c>
      <c r="I85" s="16">
        <v>353.89269999999999</v>
      </c>
      <c r="J85" s="16">
        <v>351.85430000000002</v>
      </c>
      <c r="K85" s="16">
        <v>343.91820000000001</v>
      </c>
      <c r="L85" s="16">
        <v>318.4316</v>
      </c>
      <c r="M85" s="16">
        <v>312.32929999999999</v>
      </c>
      <c r="N85" s="16">
        <v>125.7244</v>
      </c>
      <c r="O85" s="16">
        <v>321.67689999999999</v>
      </c>
      <c r="P85" s="16">
        <v>324.1952</v>
      </c>
      <c r="Q85" s="16">
        <v>338.14909999999998</v>
      </c>
      <c r="R85" s="16">
        <v>355.4948</v>
      </c>
      <c r="S85" s="16">
        <v>362.351</v>
      </c>
      <c r="T85" s="16">
        <v>374.06560000000002</v>
      </c>
      <c r="U85" s="16">
        <v>417.61739999999998</v>
      </c>
      <c r="V85" s="16">
        <v>531.20619999999997</v>
      </c>
      <c r="W85" s="16">
        <v>424.1728</v>
      </c>
      <c r="X85" s="16">
        <v>395.35649999999998</v>
      </c>
      <c r="Y85" s="16">
        <v>367.33749999999998</v>
      </c>
      <c r="Z85" s="16"/>
      <c r="AA85" s="17">
        <f t="shared" si="3"/>
        <v>629.58889999999997</v>
      </c>
      <c r="AB85" s="17">
        <f t="shared" si="4"/>
        <v>125.7244</v>
      </c>
      <c r="AC85" s="17">
        <f t="shared" si="5"/>
        <v>364.55736250000001</v>
      </c>
    </row>
    <row r="86" spans="1:29">
      <c r="A86" s="8">
        <v>45376</v>
      </c>
      <c r="B86" s="16">
        <v>535.77970000000005</v>
      </c>
      <c r="C86" s="16">
        <v>425.30450000000002</v>
      </c>
      <c r="D86" s="16">
        <v>364.59640000000002</v>
      </c>
      <c r="E86" s="16">
        <v>352.20179999999999</v>
      </c>
      <c r="F86" s="16">
        <v>347.57549999999998</v>
      </c>
      <c r="G86" s="16">
        <v>353.5795</v>
      </c>
      <c r="H86" s="16">
        <v>423.76409999999998</v>
      </c>
      <c r="I86" s="16">
        <v>623.31240000000003</v>
      </c>
      <c r="J86" s="16">
        <v>798.697</v>
      </c>
      <c r="K86" s="16">
        <v>939.97540000000004</v>
      </c>
      <c r="L86" s="16">
        <v>582.89549999999997</v>
      </c>
      <c r="M86" s="16">
        <v>439.1816</v>
      </c>
      <c r="N86" s="16">
        <v>358.18020000000001</v>
      </c>
      <c r="O86" s="16">
        <v>560.12519999999995</v>
      </c>
      <c r="P86" s="16">
        <v>540.83040000000005</v>
      </c>
      <c r="Q86" s="16">
        <v>518.39390000000003</v>
      </c>
      <c r="R86" s="16">
        <v>527.20249999999999</v>
      </c>
      <c r="S86" s="16">
        <v>402.89839999999998</v>
      </c>
      <c r="T86" s="16">
        <v>420.89170000000001</v>
      </c>
      <c r="U86" s="16">
        <v>490.63709999999998</v>
      </c>
      <c r="V86" s="16">
        <v>411.91210000000001</v>
      </c>
      <c r="W86" s="16">
        <v>427.29050000000001</v>
      </c>
      <c r="X86" s="16">
        <v>403.73070000000001</v>
      </c>
      <c r="Y86" s="16">
        <v>360.077</v>
      </c>
      <c r="Z86" s="16"/>
      <c r="AA86" s="17">
        <f t="shared" si="3"/>
        <v>939.97540000000004</v>
      </c>
      <c r="AB86" s="17">
        <f t="shared" si="4"/>
        <v>347.57549999999998</v>
      </c>
      <c r="AC86" s="17">
        <f t="shared" si="5"/>
        <v>483.70971250000002</v>
      </c>
    </row>
    <row r="87" spans="1:29">
      <c r="A87" s="8">
        <v>45377</v>
      </c>
      <c r="B87" s="16">
        <v>817.04319999999996</v>
      </c>
      <c r="C87" s="16">
        <v>457.44959999999998</v>
      </c>
      <c r="D87" s="16">
        <v>376.86439999999999</v>
      </c>
      <c r="E87" s="16">
        <v>355.39350000000002</v>
      </c>
      <c r="F87" s="16">
        <v>338.95179999999999</v>
      </c>
      <c r="G87" s="16">
        <v>337.08449999999999</v>
      </c>
      <c r="H87" s="16">
        <v>375.00069999999999</v>
      </c>
      <c r="I87" s="16">
        <v>464.27550000000002</v>
      </c>
      <c r="J87" s="16">
        <v>617.12279999999998</v>
      </c>
      <c r="K87" s="16">
        <v>465.54309999999998</v>
      </c>
      <c r="L87" s="16">
        <v>384.96859999999998</v>
      </c>
      <c r="M87" s="16">
        <v>355.01479999999998</v>
      </c>
      <c r="N87" s="16">
        <v>226.81729999999999</v>
      </c>
      <c r="O87" s="16">
        <v>333.77690000000001</v>
      </c>
      <c r="P87" s="16">
        <v>364.24529999999999</v>
      </c>
      <c r="Q87" s="16">
        <v>406.31169999999997</v>
      </c>
      <c r="R87" s="16">
        <v>497.60770000000002</v>
      </c>
      <c r="S87" s="16">
        <v>438.39389999999997</v>
      </c>
      <c r="T87" s="16">
        <v>418.77710000000002</v>
      </c>
      <c r="U87" s="16">
        <v>563.23760000000004</v>
      </c>
      <c r="V87" s="16">
        <v>440.53980000000001</v>
      </c>
      <c r="W87" s="16">
        <v>420.82990000000001</v>
      </c>
      <c r="X87" s="16">
        <v>377.39339999999999</v>
      </c>
      <c r="Y87" s="16">
        <v>350.66539999999998</v>
      </c>
      <c r="Z87" s="16"/>
      <c r="AA87" s="17">
        <f t="shared" si="3"/>
        <v>817.04319999999996</v>
      </c>
      <c r="AB87" s="17">
        <f t="shared" si="4"/>
        <v>226.81729999999999</v>
      </c>
      <c r="AC87" s="17">
        <f t="shared" si="5"/>
        <v>424.30452083333302</v>
      </c>
    </row>
    <row r="88" spans="1:29">
      <c r="A88" s="8">
        <v>45378</v>
      </c>
      <c r="B88" s="16">
        <v>506.2774</v>
      </c>
      <c r="C88" s="16">
        <v>368.38099999999997</v>
      </c>
      <c r="D88" s="16">
        <v>350.45510000000002</v>
      </c>
      <c r="E88" s="16">
        <v>338.49529999999999</v>
      </c>
      <c r="F88" s="16">
        <v>323.80169999999998</v>
      </c>
      <c r="G88" s="16">
        <v>337.67430000000002</v>
      </c>
      <c r="H88" s="16">
        <v>370.64940000000001</v>
      </c>
      <c r="I88" s="16">
        <v>406.35509999999999</v>
      </c>
      <c r="J88" s="16">
        <v>670.47249999999997</v>
      </c>
      <c r="K88" s="16">
        <v>596.22919999999999</v>
      </c>
      <c r="L88" s="16">
        <v>377.02010000000001</v>
      </c>
      <c r="M88" s="16">
        <v>351.09980000000002</v>
      </c>
      <c r="N88" s="16">
        <v>154.59549999999999</v>
      </c>
      <c r="O88" s="16">
        <v>310.35469999999998</v>
      </c>
      <c r="P88" s="16">
        <v>343.34199999999998</v>
      </c>
      <c r="Q88" s="16">
        <v>353.90600000000001</v>
      </c>
      <c r="R88" s="16">
        <v>357.82409999999999</v>
      </c>
      <c r="S88" s="16">
        <v>354.96280000000002</v>
      </c>
      <c r="T88" s="16">
        <v>360.10649999999998</v>
      </c>
      <c r="U88" s="16">
        <v>373.82170000000002</v>
      </c>
      <c r="V88" s="16">
        <v>364.80009999999999</v>
      </c>
      <c r="W88" s="16">
        <v>355.97719999999998</v>
      </c>
      <c r="X88" s="16">
        <v>353.57130000000001</v>
      </c>
      <c r="Y88" s="16">
        <v>318.09050000000002</v>
      </c>
      <c r="Z88" s="16"/>
      <c r="AA88" s="17">
        <f t="shared" si="3"/>
        <v>670.47249999999997</v>
      </c>
      <c r="AB88" s="17">
        <f t="shared" si="4"/>
        <v>154.59549999999999</v>
      </c>
      <c r="AC88" s="17">
        <f t="shared" si="5"/>
        <v>374.9276375</v>
      </c>
    </row>
    <row r="89" spans="1:29">
      <c r="A89" s="8">
        <v>45379</v>
      </c>
      <c r="B89" s="16">
        <v>327.93630000000002</v>
      </c>
      <c r="C89" s="16">
        <v>355.43549999999999</v>
      </c>
      <c r="D89" s="16">
        <v>354.11520000000002</v>
      </c>
      <c r="E89" s="16">
        <v>327.6139</v>
      </c>
      <c r="F89" s="16">
        <v>287.15460000000002</v>
      </c>
      <c r="G89" s="16">
        <v>304.29239999999999</v>
      </c>
      <c r="H89" s="16">
        <v>385.96539999999999</v>
      </c>
      <c r="I89" s="16">
        <v>469.77409999999998</v>
      </c>
      <c r="J89" s="16">
        <v>511.38799999999998</v>
      </c>
      <c r="K89" s="16">
        <v>504.57139999999998</v>
      </c>
      <c r="L89" s="16">
        <v>403.95330000000001</v>
      </c>
      <c r="M89" s="16">
        <v>408.1662</v>
      </c>
      <c r="N89" s="16">
        <v>356.90589999999997</v>
      </c>
      <c r="O89" s="16">
        <v>404.13679999999999</v>
      </c>
      <c r="P89" s="16">
        <v>424.34800000000001</v>
      </c>
      <c r="Q89" s="16">
        <v>419.4828</v>
      </c>
      <c r="R89" s="16">
        <v>413.2629</v>
      </c>
      <c r="S89" s="16">
        <v>444.47449999999998</v>
      </c>
      <c r="T89" s="16">
        <v>448.52730000000003</v>
      </c>
      <c r="U89" s="16">
        <v>454.8648</v>
      </c>
      <c r="V89" s="16">
        <v>398.78370000000001</v>
      </c>
      <c r="W89" s="16">
        <v>436.6893</v>
      </c>
      <c r="X89" s="16">
        <v>420.06200000000001</v>
      </c>
      <c r="Y89" s="16">
        <v>404.07979999999998</v>
      </c>
      <c r="Z89" s="16"/>
      <c r="AA89" s="17">
        <f t="shared" si="3"/>
        <v>511.38799999999998</v>
      </c>
      <c r="AB89" s="17">
        <f t="shared" si="4"/>
        <v>287.15460000000002</v>
      </c>
      <c r="AC89" s="17">
        <f t="shared" si="5"/>
        <v>402.74933750000002</v>
      </c>
    </row>
    <row r="90" spans="1:29">
      <c r="A90" s="8">
        <v>45380</v>
      </c>
      <c r="B90" s="16">
        <v>423.96800000000002</v>
      </c>
      <c r="C90" s="16">
        <v>417.98480000000001</v>
      </c>
      <c r="D90" s="16">
        <v>372.27449999999999</v>
      </c>
      <c r="E90" s="16">
        <v>351.41399999999999</v>
      </c>
      <c r="F90" s="16">
        <v>340.73910000000001</v>
      </c>
      <c r="G90" s="16">
        <v>341.13220000000001</v>
      </c>
      <c r="H90" s="16">
        <v>385.79790000000003</v>
      </c>
      <c r="I90" s="16">
        <v>419.96640000000002</v>
      </c>
      <c r="J90" s="16">
        <v>468.4126</v>
      </c>
      <c r="K90" s="16">
        <v>459.27730000000003</v>
      </c>
      <c r="L90" s="16">
        <v>376.74</v>
      </c>
      <c r="M90" s="16">
        <v>344.52300000000002</v>
      </c>
      <c r="N90" s="16">
        <v>226.0684</v>
      </c>
      <c r="O90" s="16">
        <v>324.56619999999998</v>
      </c>
      <c r="P90" s="16">
        <v>371.65410000000003</v>
      </c>
      <c r="Q90" s="16">
        <v>401.35160000000002</v>
      </c>
      <c r="R90" s="16">
        <v>429.10160000000002</v>
      </c>
      <c r="S90" s="16">
        <v>465.3931</v>
      </c>
      <c r="T90" s="16">
        <v>446.7192</v>
      </c>
      <c r="U90" s="16">
        <v>383.34780000000001</v>
      </c>
      <c r="V90" s="16">
        <v>386.09030000000001</v>
      </c>
      <c r="W90" s="16">
        <v>396.28429999999997</v>
      </c>
      <c r="X90" s="16">
        <v>394.75369999999998</v>
      </c>
      <c r="Y90" s="16">
        <v>365.70699999999999</v>
      </c>
      <c r="Z90" s="16"/>
      <c r="AA90" s="17">
        <f t="shared" si="3"/>
        <v>468.4126</v>
      </c>
      <c r="AB90" s="17">
        <f t="shared" si="4"/>
        <v>226.0684</v>
      </c>
      <c r="AC90" s="17">
        <f t="shared" si="5"/>
        <v>387.21946250000002</v>
      </c>
    </row>
    <row r="91" spans="1:29">
      <c r="A91" s="8">
        <v>45381</v>
      </c>
      <c r="B91" s="16">
        <v>401.13889999999998</v>
      </c>
      <c r="C91" s="16">
        <v>376.88589999999999</v>
      </c>
      <c r="D91" s="16">
        <v>347.30650000000003</v>
      </c>
      <c r="E91" s="16">
        <v>322.84960000000001</v>
      </c>
      <c r="F91" s="16">
        <v>309.09519999999998</v>
      </c>
      <c r="G91" s="16">
        <v>314.29989999999998</v>
      </c>
      <c r="H91" s="16">
        <v>350.70909999999998</v>
      </c>
      <c r="I91" s="16">
        <v>374.47570000000002</v>
      </c>
      <c r="J91" s="16">
        <v>402.7355</v>
      </c>
      <c r="K91" s="16">
        <v>396.20330000000001</v>
      </c>
      <c r="L91" s="16">
        <v>374.2022</v>
      </c>
      <c r="M91" s="16">
        <v>419.27159999999998</v>
      </c>
      <c r="N91" s="16">
        <v>305.37220000000002</v>
      </c>
      <c r="O91" s="16">
        <v>363.7654</v>
      </c>
      <c r="P91" s="16">
        <v>428.1345</v>
      </c>
      <c r="Q91" s="16">
        <v>474.57170000000002</v>
      </c>
      <c r="R91" s="16">
        <v>508.55040000000002</v>
      </c>
      <c r="S91" s="16">
        <v>458.88630000000001</v>
      </c>
      <c r="T91" s="16">
        <v>426.12880000000001</v>
      </c>
      <c r="U91" s="16">
        <v>417.82159999999999</v>
      </c>
      <c r="V91" s="16">
        <v>406.15350000000001</v>
      </c>
      <c r="W91" s="16">
        <v>402.03269999999998</v>
      </c>
      <c r="X91" s="16">
        <v>422.89780000000002</v>
      </c>
      <c r="Y91" s="16">
        <v>365.28480000000002</v>
      </c>
      <c r="Z91" s="16"/>
      <c r="AA91" s="17">
        <f t="shared" si="3"/>
        <v>508.55040000000002</v>
      </c>
      <c r="AB91" s="17">
        <f t="shared" si="4"/>
        <v>305.37220000000002</v>
      </c>
      <c r="AC91" s="17">
        <f t="shared" si="5"/>
        <v>390.36554583333299</v>
      </c>
    </row>
    <row r="92" spans="1:29">
      <c r="A92" s="8">
        <v>45382</v>
      </c>
      <c r="B92" s="16">
        <v>382.27969999999999</v>
      </c>
      <c r="C92" s="16">
        <v>368.40050000000002</v>
      </c>
      <c r="D92" s="16">
        <v>338.738</v>
      </c>
      <c r="E92" s="16">
        <v>332.43880000000001</v>
      </c>
      <c r="F92" s="16">
        <v>323.2407</v>
      </c>
      <c r="G92" s="16">
        <v>320.69029999999998</v>
      </c>
      <c r="H92" s="16">
        <v>327.45</v>
      </c>
      <c r="I92" s="16">
        <v>333.25119999999998</v>
      </c>
      <c r="J92" s="16">
        <v>332.04140000000001</v>
      </c>
      <c r="K92" s="16">
        <v>343.55270000000002</v>
      </c>
      <c r="L92" s="16">
        <v>335.74349999999998</v>
      </c>
      <c r="M92" s="16">
        <v>308.91390000000001</v>
      </c>
      <c r="N92" s="16">
        <v>286.79989999999998</v>
      </c>
      <c r="O92" s="16">
        <v>404.26190000000003</v>
      </c>
      <c r="P92" s="16">
        <v>463.13659999999999</v>
      </c>
      <c r="Q92" s="16">
        <v>396.66070000000002</v>
      </c>
      <c r="R92" s="16">
        <v>435.68599999999998</v>
      </c>
      <c r="S92" s="16">
        <v>544.96019999999999</v>
      </c>
      <c r="T92" s="16">
        <v>490.16109999999998</v>
      </c>
      <c r="U92" s="16">
        <v>480.9776</v>
      </c>
      <c r="V92" s="16">
        <v>470.82060000000001</v>
      </c>
      <c r="W92" s="16">
        <v>423.5675</v>
      </c>
      <c r="X92" s="16">
        <v>389.05880000000002</v>
      </c>
      <c r="Y92" s="16">
        <v>341.38979999999998</v>
      </c>
      <c r="Z92" s="16"/>
      <c r="AA92" s="17">
        <f t="shared" si="3"/>
        <v>544.96019999999999</v>
      </c>
      <c r="AB92" s="17">
        <f t="shared" si="4"/>
        <v>286.79989999999998</v>
      </c>
      <c r="AC92" s="17">
        <f t="shared" si="5"/>
        <v>382.25922500000001</v>
      </c>
    </row>
    <row r="93" spans="1:29">
      <c r="A93" s="8">
        <v>45383</v>
      </c>
      <c r="B93" s="16">
        <v>371.66</v>
      </c>
      <c r="C93" s="16">
        <v>372.24</v>
      </c>
      <c r="D93" s="16">
        <v>345.66</v>
      </c>
      <c r="E93" s="16">
        <v>333.73</v>
      </c>
      <c r="F93" s="16">
        <v>311.75</v>
      </c>
      <c r="G93" s="16">
        <v>330.72</v>
      </c>
      <c r="H93" s="16">
        <v>354.65</v>
      </c>
      <c r="I93" s="16">
        <v>371.17</v>
      </c>
      <c r="J93" s="16">
        <v>707</v>
      </c>
      <c r="K93" s="16">
        <v>604.41999999999996</v>
      </c>
      <c r="L93" s="16">
        <v>433.46</v>
      </c>
      <c r="M93" s="16">
        <v>359.63</v>
      </c>
      <c r="N93" s="16">
        <v>227.84</v>
      </c>
      <c r="O93" s="16">
        <v>339.8</v>
      </c>
      <c r="P93" s="16">
        <v>387.01</v>
      </c>
      <c r="Q93" s="16">
        <v>378.64</v>
      </c>
      <c r="R93" s="16">
        <v>439.04</v>
      </c>
      <c r="S93" s="16">
        <v>491.63</v>
      </c>
      <c r="T93" s="16">
        <v>375.22</v>
      </c>
      <c r="U93" s="16">
        <v>385.14</v>
      </c>
      <c r="V93" s="16">
        <v>370.94</v>
      </c>
      <c r="W93" s="16">
        <v>360.27</v>
      </c>
      <c r="X93" s="16">
        <v>343.21</v>
      </c>
      <c r="Y93" s="16">
        <v>331.15</v>
      </c>
      <c r="Z93" s="16"/>
      <c r="AA93" s="17">
        <f t="shared" si="3"/>
        <v>707</v>
      </c>
      <c r="AB93" s="17">
        <f t="shared" si="4"/>
        <v>227.84</v>
      </c>
      <c r="AC93" s="17">
        <f t="shared" si="5"/>
        <v>388.58249999999998</v>
      </c>
    </row>
    <row r="94" spans="1:29">
      <c r="A94" s="8">
        <v>45384</v>
      </c>
      <c r="B94" s="16">
        <v>353.78359999999998</v>
      </c>
      <c r="C94" s="16">
        <v>355.48579999999998</v>
      </c>
      <c r="D94" s="16">
        <v>345.3245</v>
      </c>
      <c r="E94" s="16">
        <v>322.72460000000001</v>
      </c>
      <c r="F94" s="16">
        <v>274.98399999999998</v>
      </c>
      <c r="G94" s="16">
        <v>327.24099999999999</v>
      </c>
      <c r="H94" s="16">
        <v>347.34930000000003</v>
      </c>
      <c r="I94" s="16">
        <v>363.8732</v>
      </c>
      <c r="J94" s="16">
        <v>388.04899999999998</v>
      </c>
      <c r="K94" s="16">
        <v>368.16950000000003</v>
      </c>
      <c r="L94" s="16">
        <v>359.25670000000002</v>
      </c>
      <c r="M94" s="16">
        <v>343.92750000000001</v>
      </c>
      <c r="N94" s="16">
        <v>178.97749999999999</v>
      </c>
      <c r="O94" s="16">
        <v>311.21469999999999</v>
      </c>
      <c r="P94" s="16">
        <v>338.62549999999999</v>
      </c>
      <c r="Q94" s="16">
        <v>360.68740000000003</v>
      </c>
      <c r="R94" s="16">
        <v>381.75459999999998</v>
      </c>
      <c r="S94" s="16">
        <v>360.76740000000001</v>
      </c>
      <c r="T94" s="16">
        <v>354.57339999999999</v>
      </c>
      <c r="U94" s="16">
        <v>365.51240000000001</v>
      </c>
      <c r="V94" s="16">
        <v>362.34989999999999</v>
      </c>
      <c r="W94" s="16">
        <v>377.928</v>
      </c>
      <c r="X94" s="16">
        <v>363.45429999999999</v>
      </c>
      <c r="Y94" s="16">
        <v>345.87180000000001</v>
      </c>
      <c r="Z94" s="16"/>
      <c r="AA94" s="17">
        <f t="shared" si="3"/>
        <v>388.04899999999998</v>
      </c>
      <c r="AB94" s="17">
        <f t="shared" si="4"/>
        <v>178.97749999999999</v>
      </c>
      <c r="AC94" s="17">
        <f t="shared" si="5"/>
        <v>343.82856666666697</v>
      </c>
    </row>
    <row r="95" spans="1:29">
      <c r="A95" s="8">
        <v>45385</v>
      </c>
      <c r="B95" s="16">
        <v>404.714</v>
      </c>
      <c r="C95" s="16">
        <v>413.6748</v>
      </c>
      <c r="D95" s="16">
        <v>364.19850000000002</v>
      </c>
      <c r="E95" s="16">
        <v>344.1103</v>
      </c>
      <c r="F95" s="16">
        <v>342.24200000000002</v>
      </c>
      <c r="G95" s="16">
        <v>343.94130000000001</v>
      </c>
      <c r="H95" s="16">
        <v>365.04270000000002</v>
      </c>
      <c r="I95" s="16">
        <v>369.1395</v>
      </c>
      <c r="J95" s="16">
        <v>451.38940000000002</v>
      </c>
      <c r="K95" s="16">
        <v>439.8159</v>
      </c>
      <c r="L95" s="16">
        <v>420.995</v>
      </c>
      <c r="M95" s="16">
        <v>393.63740000000001</v>
      </c>
      <c r="N95" s="16">
        <v>343.35829999999999</v>
      </c>
      <c r="O95" s="16">
        <v>374.7072</v>
      </c>
      <c r="P95" s="16">
        <v>400.67619999999999</v>
      </c>
      <c r="Q95" s="16">
        <v>400.94869999999997</v>
      </c>
      <c r="R95" s="16">
        <v>388.60899999999998</v>
      </c>
      <c r="S95" s="16">
        <v>367.23869999999999</v>
      </c>
      <c r="T95" s="16">
        <v>358.31400000000002</v>
      </c>
      <c r="U95" s="16">
        <v>367.1524</v>
      </c>
      <c r="V95" s="16">
        <v>358.19940000000003</v>
      </c>
      <c r="W95" s="16">
        <v>362.39749999999998</v>
      </c>
      <c r="X95" s="16">
        <v>363.33819999999997</v>
      </c>
      <c r="Y95" s="16">
        <v>364.25080000000003</v>
      </c>
      <c r="Z95" s="16"/>
      <c r="AA95" s="17">
        <f t="shared" si="3"/>
        <v>451.38940000000002</v>
      </c>
      <c r="AB95" s="17">
        <f t="shared" si="4"/>
        <v>342.24200000000002</v>
      </c>
      <c r="AC95" s="17">
        <f t="shared" si="5"/>
        <v>379.25380000000001</v>
      </c>
    </row>
    <row r="96" spans="1:29">
      <c r="A96" s="8">
        <v>45386</v>
      </c>
      <c r="B96" s="16">
        <v>627.42160000000001</v>
      </c>
      <c r="C96" s="16">
        <v>500.39870000000002</v>
      </c>
      <c r="D96" s="16">
        <v>386.1318</v>
      </c>
      <c r="E96" s="16">
        <v>367.44330000000002</v>
      </c>
      <c r="F96" s="16">
        <v>366.62619999999998</v>
      </c>
      <c r="G96" s="16">
        <v>361.2552</v>
      </c>
      <c r="H96" s="16">
        <v>368.75</v>
      </c>
      <c r="I96" s="16">
        <v>365.1746</v>
      </c>
      <c r="J96" s="16">
        <v>197.50210000000001</v>
      </c>
      <c r="K96" s="16">
        <v>195.1311</v>
      </c>
      <c r="L96" s="16">
        <v>21.537099999999999</v>
      </c>
      <c r="M96" s="16">
        <v>49.609299999999998</v>
      </c>
      <c r="N96" s="16">
        <v>94.340999999999994</v>
      </c>
      <c r="O96" s="16">
        <v>0</v>
      </c>
      <c r="P96" s="16">
        <v>0</v>
      </c>
      <c r="Q96" s="16">
        <v>120.2287</v>
      </c>
      <c r="R96" s="16">
        <v>259.96859999999998</v>
      </c>
      <c r="S96" s="16">
        <v>326.81259999999997</v>
      </c>
      <c r="T96" s="16">
        <v>241.87979999999999</v>
      </c>
      <c r="U96" s="16">
        <v>353.81760000000003</v>
      </c>
      <c r="V96" s="16">
        <v>357.91800000000001</v>
      </c>
      <c r="W96" s="16">
        <v>359.5</v>
      </c>
      <c r="X96" s="16">
        <v>357.02749999999997</v>
      </c>
      <c r="Y96" s="16">
        <v>338.75</v>
      </c>
      <c r="Z96" s="16"/>
      <c r="AA96" s="17">
        <f t="shared" si="3"/>
        <v>627.42160000000001</v>
      </c>
      <c r="AB96" s="17">
        <f t="shared" si="4"/>
        <v>0</v>
      </c>
      <c r="AC96" s="17">
        <f t="shared" si="5"/>
        <v>275.71769999999998</v>
      </c>
    </row>
    <row r="97" spans="1:29">
      <c r="A97" s="8">
        <v>45387</v>
      </c>
      <c r="B97" s="16">
        <v>473.75</v>
      </c>
      <c r="C97" s="16">
        <v>353.4692</v>
      </c>
      <c r="D97" s="16">
        <v>332.17970000000003</v>
      </c>
      <c r="E97" s="16">
        <v>236.9649</v>
      </c>
      <c r="F97" s="16">
        <v>69.674599999999998</v>
      </c>
      <c r="G97" s="16">
        <v>0</v>
      </c>
      <c r="H97" s="16">
        <v>179.84</v>
      </c>
      <c r="I97" s="16">
        <v>340.17809999999997</v>
      </c>
      <c r="J97" s="16">
        <v>365.32</v>
      </c>
      <c r="K97" s="16">
        <v>356.83449999999999</v>
      </c>
      <c r="L97" s="16">
        <v>356.04410000000001</v>
      </c>
      <c r="M97" s="16">
        <v>340.23919999999998</v>
      </c>
      <c r="N97" s="16">
        <v>349.78219999999999</v>
      </c>
      <c r="O97" s="16">
        <v>360.00060000000002</v>
      </c>
      <c r="P97" s="16">
        <v>362.78710000000001</v>
      </c>
      <c r="Q97" s="16">
        <v>367.15199999999999</v>
      </c>
      <c r="R97" s="16">
        <v>338.60719999999998</v>
      </c>
      <c r="S97" s="16">
        <v>337.1259</v>
      </c>
      <c r="T97" s="16">
        <v>339.20589999999999</v>
      </c>
      <c r="U97" s="16">
        <v>322.92160000000001</v>
      </c>
      <c r="V97" s="16">
        <v>329.53829999999999</v>
      </c>
      <c r="W97" s="16">
        <v>313.12790000000001</v>
      </c>
      <c r="X97" s="16">
        <v>298.49939999999998</v>
      </c>
      <c r="Y97" s="16">
        <v>285.4769</v>
      </c>
      <c r="Z97" s="16"/>
      <c r="AA97" s="17">
        <f t="shared" si="3"/>
        <v>473.75</v>
      </c>
      <c r="AB97" s="17">
        <f t="shared" si="4"/>
        <v>0</v>
      </c>
      <c r="AC97" s="17">
        <f t="shared" si="5"/>
        <v>308.69663750000001</v>
      </c>
    </row>
    <row r="98" spans="1:29">
      <c r="A98" s="8">
        <v>45388</v>
      </c>
      <c r="B98" s="16">
        <v>394.43200000000002</v>
      </c>
      <c r="C98" s="16">
        <v>362.89510000000001</v>
      </c>
      <c r="D98" s="16">
        <v>312.78829999999999</v>
      </c>
      <c r="E98" s="16">
        <v>256.6585</v>
      </c>
      <c r="F98" s="16">
        <v>143.83860000000001</v>
      </c>
      <c r="G98" s="16">
        <v>189.48009999999999</v>
      </c>
      <c r="H98" s="16">
        <v>208.53700000000001</v>
      </c>
      <c r="I98" s="16">
        <v>357.68819999999999</v>
      </c>
      <c r="J98" s="16">
        <v>380.4325</v>
      </c>
      <c r="K98" s="16">
        <v>388.42599999999999</v>
      </c>
      <c r="L98" s="16">
        <v>397.56290000000001</v>
      </c>
      <c r="M98" s="16">
        <v>393.84679999999997</v>
      </c>
      <c r="N98" s="16">
        <v>262.98689999999999</v>
      </c>
      <c r="O98" s="16">
        <v>368.39909999999998</v>
      </c>
      <c r="P98" s="16">
        <v>387.58969999999999</v>
      </c>
      <c r="Q98" s="16">
        <v>391.89519999999999</v>
      </c>
      <c r="R98" s="16">
        <v>395.88479999999998</v>
      </c>
      <c r="S98" s="16">
        <v>377.6241</v>
      </c>
      <c r="T98" s="16">
        <v>355.6832</v>
      </c>
      <c r="U98" s="16">
        <v>354.78379999999999</v>
      </c>
      <c r="V98" s="16">
        <v>351.4599</v>
      </c>
      <c r="W98" s="16">
        <v>358.75709999999998</v>
      </c>
      <c r="X98" s="16">
        <v>318.75920000000002</v>
      </c>
      <c r="Y98" s="16">
        <v>291.76670000000001</v>
      </c>
      <c r="Z98" s="16"/>
      <c r="AA98" s="17">
        <f t="shared" si="3"/>
        <v>397.56290000000001</v>
      </c>
      <c r="AB98" s="17">
        <f t="shared" si="4"/>
        <v>143.83860000000001</v>
      </c>
      <c r="AC98" s="17">
        <f t="shared" si="5"/>
        <v>333.42398750000001</v>
      </c>
    </row>
    <row r="99" spans="1:29">
      <c r="A99" s="8">
        <v>45389</v>
      </c>
      <c r="B99" s="16">
        <v>441.17599999999999</v>
      </c>
      <c r="C99" s="16">
        <v>327.85910000000001</v>
      </c>
      <c r="D99" s="16">
        <v>314.06400000000002</v>
      </c>
      <c r="E99" s="16">
        <v>298.90050000000002</v>
      </c>
      <c r="F99" s="16">
        <v>293.01769999999999</v>
      </c>
      <c r="G99" s="16">
        <v>297.19420000000002</v>
      </c>
      <c r="H99" s="16">
        <v>322.08940000000001</v>
      </c>
      <c r="I99" s="16">
        <v>344.18799999999999</v>
      </c>
      <c r="J99" s="16">
        <v>366.24650000000003</v>
      </c>
      <c r="K99" s="16">
        <v>440.50959999999998</v>
      </c>
      <c r="L99" s="16">
        <v>638.60590000000002</v>
      </c>
      <c r="M99" s="16">
        <v>518.90840000000003</v>
      </c>
      <c r="N99" s="16">
        <v>384.73129999999998</v>
      </c>
      <c r="O99" s="16">
        <v>539.30790000000002</v>
      </c>
      <c r="P99" s="16">
        <v>662.16989999999998</v>
      </c>
      <c r="Q99" s="16">
        <v>422.78989999999999</v>
      </c>
      <c r="R99" s="16">
        <v>388.1361</v>
      </c>
      <c r="S99" s="16">
        <v>395.33080000000001</v>
      </c>
      <c r="T99" s="16">
        <v>379.94839999999999</v>
      </c>
      <c r="U99" s="16">
        <v>375.7337</v>
      </c>
      <c r="V99" s="16">
        <v>367.99799999999999</v>
      </c>
      <c r="W99" s="16">
        <v>364.67259999999999</v>
      </c>
      <c r="X99" s="16">
        <v>342.38729999999998</v>
      </c>
      <c r="Y99" s="16">
        <v>314.17340000000002</v>
      </c>
      <c r="Z99" s="16"/>
      <c r="AA99" s="17">
        <f t="shared" si="3"/>
        <v>662.16989999999998</v>
      </c>
      <c r="AB99" s="17">
        <f t="shared" si="4"/>
        <v>293.01769999999999</v>
      </c>
      <c r="AC99" s="17">
        <f t="shared" si="5"/>
        <v>397.50577500000003</v>
      </c>
    </row>
    <row r="100" spans="1:29">
      <c r="A100" s="8">
        <v>45390</v>
      </c>
      <c r="B100" s="16">
        <v>358.64030000000002</v>
      </c>
      <c r="C100" s="16">
        <v>345.58049999999997</v>
      </c>
      <c r="D100" s="16">
        <v>328.67630000000003</v>
      </c>
      <c r="E100" s="16">
        <v>318.15940000000001</v>
      </c>
      <c r="F100" s="16">
        <v>306.05709999999999</v>
      </c>
      <c r="G100" s="16">
        <v>306.08249999999998</v>
      </c>
      <c r="H100" s="16">
        <v>330.12630000000001</v>
      </c>
      <c r="I100" s="16">
        <v>356.98939999999999</v>
      </c>
      <c r="J100" s="16">
        <v>398.48289999999997</v>
      </c>
      <c r="K100" s="16">
        <v>390.16809999999998</v>
      </c>
      <c r="L100" s="16">
        <v>380.94909999999999</v>
      </c>
      <c r="M100" s="16">
        <v>372.23520000000002</v>
      </c>
      <c r="N100" s="16">
        <v>235.35749999999999</v>
      </c>
      <c r="O100" s="16">
        <v>337.20299999999997</v>
      </c>
      <c r="P100" s="16">
        <v>365.72910000000002</v>
      </c>
      <c r="Q100" s="16">
        <v>368.53280000000001</v>
      </c>
      <c r="R100" s="16">
        <v>369.13749999999999</v>
      </c>
      <c r="S100" s="16">
        <v>356.73880000000003</v>
      </c>
      <c r="T100" s="16">
        <v>340.08539999999999</v>
      </c>
      <c r="U100" s="16">
        <v>360.04610000000002</v>
      </c>
      <c r="V100" s="16">
        <v>362.82990000000001</v>
      </c>
      <c r="W100" s="16">
        <v>356.89589999999998</v>
      </c>
      <c r="X100" s="16">
        <v>341.4366</v>
      </c>
      <c r="Y100" s="16">
        <v>280.35410000000002</v>
      </c>
      <c r="Z100" s="16"/>
      <c r="AA100" s="17">
        <f t="shared" si="3"/>
        <v>398.48289999999997</v>
      </c>
      <c r="AB100" s="17">
        <f t="shared" si="4"/>
        <v>235.35749999999999</v>
      </c>
      <c r="AC100" s="17">
        <f t="shared" si="5"/>
        <v>344.43724166666698</v>
      </c>
    </row>
    <row r="101" spans="1:29">
      <c r="A101" s="8">
        <v>45391</v>
      </c>
      <c r="B101" s="16">
        <v>320.3528</v>
      </c>
      <c r="C101" s="16">
        <v>310.4787</v>
      </c>
      <c r="D101" s="16">
        <v>184.48949999999999</v>
      </c>
      <c r="E101" s="16">
        <v>50.195500000000003</v>
      </c>
      <c r="F101" s="16">
        <v>0</v>
      </c>
      <c r="G101" s="16">
        <v>0</v>
      </c>
      <c r="H101" s="16">
        <v>221.946</v>
      </c>
      <c r="I101" s="16">
        <v>309.49149999999997</v>
      </c>
      <c r="J101" s="16">
        <v>332.20800000000003</v>
      </c>
      <c r="K101" s="16">
        <v>333.96429999999998</v>
      </c>
      <c r="L101" s="16">
        <v>285.83600000000001</v>
      </c>
      <c r="M101" s="16">
        <v>69.276799999999994</v>
      </c>
      <c r="N101" s="16">
        <v>0</v>
      </c>
      <c r="O101" s="16">
        <v>302.18689999999998</v>
      </c>
      <c r="P101" s="16">
        <v>312.22840000000002</v>
      </c>
      <c r="Q101" s="16">
        <v>331.66390000000001</v>
      </c>
      <c r="R101" s="16">
        <v>352.2534</v>
      </c>
      <c r="S101" s="16">
        <v>345.8562</v>
      </c>
      <c r="T101" s="16">
        <v>337.72399999999999</v>
      </c>
      <c r="U101" s="16">
        <v>348.00639999999999</v>
      </c>
      <c r="V101" s="16">
        <v>335.26560000000001</v>
      </c>
      <c r="W101" s="16">
        <v>318.60610000000003</v>
      </c>
      <c r="X101" s="16">
        <v>285.8075</v>
      </c>
      <c r="Y101" s="16">
        <v>1.5596000000000001</v>
      </c>
      <c r="Z101" s="16"/>
      <c r="AA101" s="17">
        <f t="shared" si="3"/>
        <v>352.2534</v>
      </c>
      <c r="AB101" s="17">
        <f t="shared" si="4"/>
        <v>0</v>
      </c>
      <c r="AC101" s="17">
        <f t="shared" si="5"/>
        <v>237.0582125</v>
      </c>
    </row>
    <row r="102" spans="1:29">
      <c r="A102" s="8">
        <v>45392</v>
      </c>
      <c r="B102" s="16">
        <v>217.41679999999999</v>
      </c>
      <c r="C102" s="16">
        <v>66.5291</v>
      </c>
      <c r="D102" s="16">
        <v>63.3339</v>
      </c>
      <c r="E102" s="16">
        <v>0</v>
      </c>
      <c r="F102" s="16">
        <v>0</v>
      </c>
      <c r="G102" s="16">
        <v>0</v>
      </c>
      <c r="H102" s="16">
        <v>215.0538</v>
      </c>
      <c r="I102" s="16">
        <v>302.22969999999998</v>
      </c>
      <c r="J102" s="16">
        <v>374.97969999999998</v>
      </c>
      <c r="K102" s="16">
        <v>358.67680000000001</v>
      </c>
      <c r="L102" s="16">
        <v>313.06049999999999</v>
      </c>
      <c r="M102" s="16">
        <v>298.25819999999999</v>
      </c>
      <c r="N102" s="16">
        <v>0</v>
      </c>
      <c r="O102" s="16">
        <v>76.408900000000003</v>
      </c>
      <c r="P102" s="16">
        <v>301.36219999999997</v>
      </c>
      <c r="Q102" s="16">
        <v>339.45589999999999</v>
      </c>
      <c r="R102" s="16">
        <v>368.65809999999999</v>
      </c>
      <c r="S102" s="16">
        <v>367.50170000000003</v>
      </c>
      <c r="T102" s="16">
        <v>326.92540000000002</v>
      </c>
      <c r="U102" s="16">
        <v>369.64010000000002</v>
      </c>
      <c r="V102" s="16">
        <v>350.81540000000001</v>
      </c>
      <c r="W102" s="16">
        <v>342.49869999999999</v>
      </c>
      <c r="X102" s="16">
        <v>318.98989999999998</v>
      </c>
      <c r="Y102" s="16">
        <v>210.73859999999999</v>
      </c>
      <c r="Z102" s="16"/>
      <c r="AA102" s="17">
        <f t="shared" si="3"/>
        <v>374.97969999999998</v>
      </c>
      <c r="AB102" s="17">
        <f t="shared" si="4"/>
        <v>0</v>
      </c>
      <c r="AC102" s="17">
        <f t="shared" si="5"/>
        <v>232.60555833333299</v>
      </c>
    </row>
    <row r="103" spans="1:29">
      <c r="A103" s="8">
        <v>45393</v>
      </c>
      <c r="B103" s="16">
        <v>309.63900000000001</v>
      </c>
      <c r="C103" s="16">
        <v>290.82580000000002</v>
      </c>
      <c r="D103" s="16">
        <v>280.80779999999999</v>
      </c>
      <c r="E103" s="16">
        <v>270.92680000000001</v>
      </c>
      <c r="F103" s="16">
        <v>69.779700000000005</v>
      </c>
      <c r="G103" s="16">
        <v>186.25790000000001</v>
      </c>
      <c r="H103" s="16">
        <v>309.07670000000002</v>
      </c>
      <c r="I103" s="16">
        <v>323.15550000000002</v>
      </c>
      <c r="J103" s="16">
        <v>369.15140000000002</v>
      </c>
      <c r="K103" s="16">
        <v>355.32049999999998</v>
      </c>
      <c r="L103" s="16">
        <v>339.31790000000001</v>
      </c>
      <c r="M103" s="16">
        <v>325.3159</v>
      </c>
      <c r="N103" s="16">
        <v>199.249</v>
      </c>
      <c r="O103" s="16">
        <v>314.03800000000001</v>
      </c>
      <c r="P103" s="16">
        <v>337.2278</v>
      </c>
      <c r="Q103" s="16">
        <v>351.86689999999999</v>
      </c>
      <c r="R103" s="16">
        <v>536.54449999999997</v>
      </c>
      <c r="S103" s="16">
        <v>505.32220000000001</v>
      </c>
      <c r="T103" s="16">
        <v>436.37110000000001</v>
      </c>
      <c r="U103" s="16">
        <v>469.77429999999998</v>
      </c>
      <c r="V103" s="16">
        <v>444.33620000000002</v>
      </c>
      <c r="W103" s="16">
        <v>361.54660000000001</v>
      </c>
      <c r="X103" s="16">
        <v>332.17230000000001</v>
      </c>
      <c r="Y103" s="16">
        <v>299.1884</v>
      </c>
      <c r="Z103" s="16"/>
      <c r="AA103" s="17">
        <f t="shared" si="3"/>
        <v>536.54449999999997</v>
      </c>
      <c r="AB103" s="17">
        <f t="shared" si="4"/>
        <v>69.779700000000005</v>
      </c>
      <c r="AC103" s="17">
        <f t="shared" si="5"/>
        <v>334.05050833333303</v>
      </c>
    </row>
    <row r="104" spans="1:29">
      <c r="A104" s="8">
        <v>45394</v>
      </c>
      <c r="B104" s="16">
        <v>352.03829999999999</v>
      </c>
      <c r="C104" s="16">
        <v>346.46719999999999</v>
      </c>
      <c r="D104" s="16">
        <v>332.21539999999999</v>
      </c>
      <c r="E104" s="16">
        <v>309.64370000000002</v>
      </c>
      <c r="F104" s="16">
        <v>305.4545</v>
      </c>
      <c r="G104" s="16">
        <v>312.32900000000001</v>
      </c>
      <c r="H104" s="16">
        <v>342.70299999999997</v>
      </c>
      <c r="I104" s="16">
        <v>355.49489999999997</v>
      </c>
      <c r="J104" s="16">
        <v>391.56189999999998</v>
      </c>
      <c r="K104" s="16">
        <v>389.7201</v>
      </c>
      <c r="L104" s="16">
        <v>362.59539999999998</v>
      </c>
      <c r="M104" s="16">
        <v>325.81380000000001</v>
      </c>
      <c r="N104" s="16">
        <v>226.5506</v>
      </c>
      <c r="O104" s="16">
        <v>342.89550000000003</v>
      </c>
      <c r="P104" s="16">
        <v>346.95069999999998</v>
      </c>
      <c r="Q104" s="16">
        <v>382.57159999999999</v>
      </c>
      <c r="R104" s="16">
        <v>384.62139999999999</v>
      </c>
      <c r="S104" s="16">
        <v>371.20400000000001</v>
      </c>
      <c r="T104" s="16">
        <v>344.54570000000001</v>
      </c>
      <c r="U104" s="16">
        <v>379.28179999999998</v>
      </c>
      <c r="V104" s="16">
        <v>386.84789999999998</v>
      </c>
      <c r="W104" s="16">
        <v>374.78980000000001</v>
      </c>
      <c r="X104" s="16">
        <v>367.7758</v>
      </c>
      <c r="Y104" s="16">
        <v>340.15839999999997</v>
      </c>
      <c r="Z104" s="16"/>
      <c r="AA104" s="17">
        <f t="shared" si="3"/>
        <v>391.56189999999998</v>
      </c>
      <c r="AB104" s="17">
        <f t="shared" si="4"/>
        <v>226.5506</v>
      </c>
      <c r="AC104" s="17">
        <f t="shared" si="5"/>
        <v>348.926266666667</v>
      </c>
    </row>
    <row r="105" spans="1:29">
      <c r="A105" s="8">
        <v>45395</v>
      </c>
      <c r="B105" s="16">
        <v>623.57090000000005</v>
      </c>
      <c r="C105" s="16">
        <v>400.20580000000001</v>
      </c>
      <c r="D105" s="16">
        <v>338.85059999999999</v>
      </c>
      <c r="E105" s="16">
        <v>315.7097</v>
      </c>
      <c r="F105" s="16">
        <v>301.68189999999998</v>
      </c>
      <c r="G105" s="16">
        <v>294.76350000000002</v>
      </c>
      <c r="H105" s="16">
        <v>316.17320000000001</v>
      </c>
      <c r="I105" s="16">
        <v>319.47800000000001</v>
      </c>
      <c r="J105" s="16">
        <v>340.21260000000001</v>
      </c>
      <c r="K105" s="16">
        <v>337.33359999999999</v>
      </c>
      <c r="L105" s="16">
        <v>323.53109999999998</v>
      </c>
      <c r="M105" s="16">
        <v>294.26299999999998</v>
      </c>
      <c r="N105" s="16">
        <v>81.529499999999999</v>
      </c>
      <c r="O105" s="16">
        <v>315.00470000000001</v>
      </c>
      <c r="P105" s="16">
        <v>354.2217</v>
      </c>
      <c r="Q105" s="16">
        <v>373.9067</v>
      </c>
      <c r="R105" s="16">
        <v>466.48230000000001</v>
      </c>
      <c r="S105" s="16">
        <v>352.15050000000002</v>
      </c>
      <c r="T105" s="16">
        <v>329.40440000000001</v>
      </c>
      <c r="U105" s="16">
        <v>352.08440000000002</v>
      </c>
      <c r="V105" s="16">
        <v>338.44580000000002</v>
      </c>
      <c r="W105" s="16">
        <v>332.20319999999998</v>
      </c>
      <c r="X105" s="16">
        <v>345.31139999999999</v>
      </c>
      <c r="Y105" s="16">
        <v>323.56740000000002</v>
      </c>
      <c r="Z105" s="16"/>
      <c r="AA105" s="17">
        <f t="shared" si="3"/>
        <v>623.57090000000005</v>
      </c>
      <c r="AB105" s="17">
        <f t="shared" si="4"/>
        <v>81.529499999999999</v>
      </c>
      <c r="AC105" s="17">
        <f t="shared" si="5"/>
        <v>340.42024583333301</v>
      </c>
    </row>
    <row r="106" spans="1:29">
      <c r="A106" s="8">
        <v>45396</v>
      </c>
      <c r="B106" s="16">
        <v>673.07069999999999</v>
      </c>
      <c r="C106" s="16">
        <v>559.91319999999996</v>
      </c>
      <c r="D106" s="16">
        <v>381.64049999999997</v>
      </c>
      <c r="E106" s="16">
        <v>358.47919999999999</v>
      </c>
      <c r="F106" s="16">
        <v>346.79390000000001</v>
      </c>
      <c r="G106" s="16">
        <v>334.52690000000001</v>
      </c>
      <c r="H106" s="16">
        <v>347.02539999999999</v>
      </c>
      <c r="I106" s="16">
        <v>351.49169999999998</v>
      </c>
      <c r="J106" s="16">
        <v>337.97640000000001</v>
      </c>
      <c r="K106" s="16">
        <v>326.7045</v>
      </c>
      <c r="L106" s="16">
        <v>332.74250000000001</v>
      </c>
      <c r="M106" s="16">
        <v>299.49919999999997</v>
      </c>
      <c r="N106" s="16">
        <v>232.32759999999999</v>
      </c>
      <c r="O106" s="16">
        <v>326.61259999999999</v>
      </c>
      <c r="P106" s="16">
        <v>362.46</v>
      </c>
      <c r="Q106" s="16">
        <v>345.36959999999999</v>
      </c>
      <c r="R106" s="16">
        <v>365.24160000000001</v>
      </c>
      <c r="S106" s="16">
        <v>355.33749999999998</v>
      </c>
      <c r="T106" s="16">
        <v>351.81599999999997</v>
      </c>
      <c r="U106" s="16">
        <v>410.49450000000002</v>
      </c>
      <c r="V106" s="16">
        <v>437.43860000000001</v>
      </c>
      <c r="W106" s="16">
        <v>609.09460000000001</v>
      </c>
      <c r="X106" s="16">
        <v>404.1318</v>
      </c>
      <c r="Y106" s="16">
        <v>364.21690000000001</v>
      </c>
      <c r="Z106" s="16"/>
      <c r="AA106" s="17">
        <f t="shared" si="3"/>
        <v>673.07069999999999</v>
      </c>
      <c r="AB106" s="17">
        <f t="shared" si="4"/>
        <v>232.32759999999999</v>
      </c>
      <c r="AC106" s="17">
        <f t="shared" si="5"/>
        <v>383.933558333333</v>
      </c>
    </row>
    <row r="107" spans="1:29">
      <c r="A107" s="8">
        <v>45397</v>
      </c>
      <c r="B107" s="16">
        <v>854.80780000000004</v>
      </c>
      <c r="C107" s="16">
        <v>518.72630000000004</v>
      </c>
      <c r="D107" s="16">
        <v>370.78910000000002</v>
      </c>
      <c r="E107" s="16">
        <v>341.31889999999999</v>
      </c>
      <c r="F107" s="16">
        <v>327.4461</v>
      </c>
      <c r="G107" s="16">
        <v>329.52229999999997</v>
      </c>
      <c r="H107" s="16">
        <v>391.6003</v>
      </c>
      <c r="I107" s="16">
        <v>450.49020000000002</v>
      </c>
      <c r="J107" s="16">
        <v>640.88649999999996</v>
      </c>
      <c r="K107" s="16">
        <v>637.49770000000001</v>
      </c>
      <c r="L107" s="16">
        <v>405.99669999999998</v>
      </c>
      <c r="M107" s="16">
        <v>361.3603</v>
      </c>
      <c r="N107" s="16">
        <v>319.23590000000002</v>
      </c>
      <c r="O107" s="16">
        <v>376.92899999999997</v>
      </c>
      <c r="P107" s="16">
        <v>433.28699999999998</v>
      </c>
      <c r="Q107" s="16">
        <v>497.02229999999997</v>
      </c>
      <c r="R107" s="16">
        <v>410.64460000000003</v>
      </c>
      <c r="S107" s="16">
        <v>404.7783</v>
      </c>
      <c r="T107" s="16">
        <v>378.32729999999998</v>
      </c>
      <c r="U107" s="16">
        <v>420.84280000000001</v>
      </c>
      <c r="V107" s="16">
        <v>427.47179999999997</v>
      </c>
      <c r="W107" s="16">
        <v>447.83069999999998</v>
      </c>
      <c r="X107" s="16">
        <v>384.34780000000001</v>
      </c>
      <c r="Y107" s="16">
        <v>350.99810000000002</v>
      </c>
      <c r="Z107" s="16"/>
      <c r="AA107" s="17">
        <f t="shared" si="3"/>
        <v>854.80780000000004</v>
      </c>
      <c r="AB107" s="17">
        <f t="shared" si="4"/>
        <v>319.23590000000002</v>
      </c>
      <c r="AC107" s="17">
        <f t="shared" si="5"/>
        <v>436.756575</v>
      </c>
    </row>
    <row r="108" spans="1:29">
      <c r="A108" s="8">
        <v>45398</v>
      </c>
      <c r="B108" s="16">
        <v>386.27140000000003</v>
      </c>
      <c r="C108" s="16">
        <v>370.66210000000001</v>
      </c>
      <c r="D108" s="16">
        <v>352.21800000000002</v>
      </c>
      <c r="E108" s="16">
        <v>328.74029999999999</v>
      </c>
      <c r="F108" s="16">
        <v>324.26240000000001</v>
      </c>
      <c r="G108" s="16">
        <v>315.56950000000001</v>
      </c>
      <c r="H108" s="16">
        <v>340.44830000000002</v>
      </c>
      <c r="I108" s="16">
        <v>348.5686</v>
      </c>
      <c r="J108" s="16">
        <v>388.66860000000003</v>
      </c>
      <c r="K108" s="16">
        <v>405.762</v>
      </c>
      <c r="L108" s="16">
        <v>386.79939999999999</v>
      </c>
      <c r="M108" s="16">
        <v>341.09440000000001</v>
      </c>
      <c r="N108" s="16">
        <v>307.06200000000001</v>
      </c>
      <c r="O108" s="16">
        <v>324.46679999999998</v>
      </c>
      <c r="P108" s="16">
        <v>352.37580000000003</v>
      </c>
      <c r="Q108" s="16">
        <v>357.60289999999998</v>
      </c>
      <c r="R108" s="16">
        <v>377.14569999999998</v>
      </c>
      <c r="S108" s="16">
        <v>374.76830000000001</v>
      </c>
      <c r="T108" s="16">
        <v>364.03089999999997</v>
      </c>
      <c r="U108" s="16">
        <v>379.50709999999998</v>
      </c>
      <c r="V108" s="16">
        <v>397.80540000000002</v>
      </c>
      <c r="W108" s="16">
        <v>425.60419999999999</v>
      </c>
      <c r="X108" s="16">
        <v>413.59050000000002</v>
      </c>
      <c r="Y108" s="16">
        <v>368.11849999999998</v>
      </c>
      <c r="Z108" s="16"/>
      <c r="AA108" s="17">
        <f t="shared" si="3"/>
        <v>425.60419999999999</v>
      </c>
      <c r="AB108" s="17">
        <f t="shared" si="4"/>
        <v>307.06200000000001</v>
      </c>
      <c r="AC108" s="17">
        <f t="shared" si="5"/>
        <v>363.79762916666698</v>
      </c>
    </row>
    <row r="109" spans="1:29">
      <c r="A109" s="8">
        <v>45399</v>
      </c>
      <c r="B109" s="16">
        <v>661.21299999999997</v>
      </c>
      <c r="C109" s="16">
        <v>529.76049999999998</v>
      </c>
      <c r="D109" s="16">
        <v>368.87819999999999</v>
      </c>
      <c r="E109" s="16">
        <v>350.2407</v>
      </c>
      <c r="F109" s="16">
        <v>337.60430000000002</v>
      </c>
      <c r="G109" s="16">
        <v>337.67009999999999</v>
      </c>
      <c r="H109" s="16">
        <v>360.74349999999998</v>
      </c>
      <c r="I109" s="16">
        <v>360.05470000000003</v>
      </c>
      <c r="J109" s="16">
        <v>433.00139999999999</v>
      </c>
      <c r="K109" s="16">
        <v>557.03440000000001</v>
      </c>
      <c r="L109" s="16">
        <v>814.60720000000003</v>
      </c>
      <c r="M109" s="16">
        <v>683.92100000000005</v>
      </c>
      <c r="N109" s="16">
        <v>427.91879999999998</v>
      </c>
      <c r="O109" s="16">
        <v>614.92669999999998</v>
      </c>
      <c r="P109" s="16">
        <v>762.13070000000005</v>
      </c>
      <c r="Q109" s="16">
        <v>732.15989999999999</v>
      </c>
      <c r="R109" s="16">
        <v>493.33859999999999</v>
      </c>
      <c r="S109" s="16">
        <v>486.07119999999998</v>
      </c>
      <c r="T109" s="16">
        <v>378.59300000000002</v>
      </c>
      <c r="U109" s="16">
        <v>394.80070000000001</v>
      </c>
      <c r="V109" s="16">
        <v>556.86519999999996</v>
      </c>
      <c r="W109" s="16">
        <v>747.46699999999998</v>
      </c>
      <c r="X109" s="16">
        <v>609.12090000000001</v>
      </c>
      <c r="Y109" s="16">
        <v>402.43729999999999</v>
      </c>
      <c r="Z109" s="16"/>
      <c r="AA109" s="17">
        <f t="shared" si="3"/>
        <v>814.60720000000003</v>
      </c>
      <c r="AB109" s="17">
        <f t="shared" si="4"/>
        <v>337.60430000000002</v>
      </c>
      <c r="AC109" s="17">
        <f t="shared" si="5"/>
        <v>516.68995833333304</v>
      </c>
    </row>
    <row r="110" spans="1:29">
      <c r="A110" s="8">
        <v>45400</v>
      </c>
      <c r="B110" s="16">
        <v>664.98419999999999</v>
      </c>
      <c r="C110" s="16">
        <v>703.00279999999998</v>
      </c>
      <c r="D110" s="16">
        <v>500.77359999999999</v>
      </c>
      <c r="E110" s="16">
        <v>370.70370000000003</v>
      </c>
      <c r="F110" s="16">
        <v>358.6773</v>
      </c>
      <c r="G110" s="16">
        <v>358.53469999999999</v>
      </c>
      <c r="H110" s="16">
        <v>372.62610000000001</v>
      </c>
      <c r="I110" s="16">
        <v>388.69330000000002</v>
      </c>
      <c r="J110" s="16">
        <v>686.93169999999998</v>
      </c>
      <c r="K110" s="16">
        <v>723.27779999999996</v>
      </c>
      <c r="L110" s="16">
        <v>490.7389</v>
      </c>
      <c r="M110" s="16">
        <v>525.29549999999995</v>
      </c>
      <c r="N110" s="16">
        <v>346.87020000000001</v>
      </c>
      <c r="O110" s="16">
        <v>374.84</v>
      </c>
      <c r="P110" s="16">
        <v>364.52199999999999</v>
      </c>
      <c r="Q110" s="16">
        <v>353.1155</v>
      </c>
      <c r="R110" s="16">
        <v>347.27179999999998</v>
      </c>
      <c r="S110" s="16">
        <v>304.31650000000002</v>
      </c>
      <c r="T110" s="16">
        <v>334.60599999999999</v>
      </c>
      <c r="U110" s="16">
        <v>355.60590000000002</v>
      </c>
      <c r="V110" s="16">
        <v>352.93189999999998</v>
      </c>
      <c r="W110" s="16">
        <v>344.33</v>
      </c>
      <c r="X110" s="16">
        <v>327.42880000000002</v>
      </c>
      <c r="Y110" s="16">
        <v>303.78890000000001</v>
      </c>
      <c r="Z110" s="16"/>
      <c r="AA110" s="17">
        <f t="shared" si="3"/>
        <v>723.27779999999996</v>
      </c>
      <c r="AB110" s="17">
        <f t="shared" si="4"/>
        <v>303.78890000000001</v>
      </c>
      <c r="AC110" s="17">
        <f t="shared" si="5"/>
        <v>427.2444625</v>
      </c>
    </row>
    <row r="111" spans="1:29">
      <c r="A111" s="8">
        <v>45401</v>
      </c>
      <c r="B111" s="16">
        <v>358.8818</v>
      </c>
      <c r="C111" s="16">
        <v>356.4033</v>
      </c>
      <c r="D111" s="16">
        <v>348.65359999999998</v>
      </c>
      <c r="E111" s="16">
        <v>328.03800000000001</v>
      </c>
      <c r="F111" s="16">
        <v>323.89299999999997</v>
      </c>
      <c r="G111" s="16">
        <v>307.58530000000002</v>
      </c>
      <c r="H111" s="16">
        <v>338.60640000000001</v>
      </c>
      <c r="I111" s="16">
        <v>351.3999</v>
      </c>
      <c r="J111" s="16">
        <v>623.40239999999994</v>
      </c>
      <c r="K111" s="16">
        <v>806.29949999999997</v>
      </c>
      <c r="L111" s="16">
        <v>414.50319999999999</v>
      </c>
      <c r="M111" s="16">
        <v>376.68459999999999</v>
      </c>
      <c r="N111" s="16">
        <v>343.68450000000001</v>
      </c>
      <c r="O111" s="16">
        <v>374.55250000000001</v>
      </c>
      <c r="P111" s="16">
        <v>417.78460000000001</v>
      </c>
      <c r="Q111" s="16">
        <v>432.64210000000003</v>
      </c>
      <c r="R111" s="16">
        <v>402.1465</v>
      </c>
      <c r="S111" s="16">
        <v>375.33479999999997</v>
      </c>
      <c r="T111" s="16">
        <v>360.27730000000003</v>
      </c>
      <c r="U111" s="16">
        <v>376.85509999999999</v>
      </c>
      <c r="V111" s="16">
        <v>385.1293</v>
      </c>
      <c r="W111" s="16">
        <v>400.6746</v>
      </c>
      <c r="X111" s="16">
        <v>365.78699999999998</v>
      </c>
      <c r="Y111" s="16">
        <v>337.44170000000003</v>
      </c>
      <c r="Z111" s="16"/>
      <c r="AA111" s="17">
        <f t="shared" si="3"/>
        <v>806.29949999999997</v>
      </c>
      <c r="AB111" s="17">
        <f t="shared" si="4"/>
        <v>307.58530000000002</v>
      </c>
      <c r="AC111" s="17">
        <f t="shared" si="5"/>
        <v>396.11087500000002</v>
      </c>
    </row>
    <row r="112" spans="1:29">
      <c r="A112" s="8">
        <v>45402</v>
      </c>
      <c r="B112" s="16">
        <v>448.87369999999999</v>
      </c>
      <c r="C112" s="16">
        <v>372.20150000000001</v>
      </c>
      <c r="D112" s="16">
        <v>357.07850000000002</v>
      </c>
      <c r="E112" s="16">
        <v>339.42290000000003</v>
      </c>
      <c r="F112" s="16">
        <v>335.9948</v>
      </c>
      <c r="G112" s="16">
        <v>337.09460000000001</v>
      </c>
      <c r="H112" s="16">
        <v>350.8032</v>
      </c>
      <c r="I112" s="16">
        <v>352.34620000000001</v>
      </c>
      <c r="J112" s="16">
        <v>388.12240000000003</v>
      </c>
      <c r="K112" s="16">
        <v>570.46979999999996</v>
      </c>
      <c r="L112" s="16">
        <v>524.44709999999998</v>
      </c>
      <c r="M112" s="16">
        <v>452.18830000000003</v>
      </c>
      <c r="N112" s="16">
        <v>360.7577</v>
      </c>
      <c r="O112" s="16">
        <v>420.27629999999999</v>
      </c>
      <c r="P112" s="16">
        <v>425.0027</v>
      </c>
      <c r="Q112" s="16">
        <v>601.34280000000001</v>
      </c>
      <c r="R112" s="16">
        <v>381.8014</v>
      </c>
      <c r="S112" s="16">
        <v>382.53089999999997</v>
      </c>
      <c r="T112" s="16">
        <v>367.20089999999999</v>
      </c>
      <c r="U112" s="16">
        <v>352.46820000000002</v>
      </c>
      <c r="V112" s="16">
        <v>354.2002</v>
      </c>
      <c r="W112" s="16">
        <v>355.25850000000003</v>
      </c>
      <c r="X112" s="16">
        <v>355.553</v>
      </c>
      <c r="Y112" s="16">
        <v>320.43200000000002</v>
      </c>
      <c r="Z112" s="16"/>
      <c r="AA112" s="17">
        <f t="shared" si="3"/>
        <v>601.34280000000001</v>
      </c>
      <c r="AB112" s="17">
        <f t="shared" si="4"/>
        <v>320.43200000000002</v>
      </c>
      <c r="AC112" s="17">
        <f t="shared" si="5"/>
        <v>396.07781666666699</v>
      </c>
    </row>
    <row r="113" spans="1:29">
      <c r="A113" s="8">
        <v>45403</v>
      </c>
      <c r="B113" s="16">
        <v>488.84629999999999</v>
      </c>
      <c r="C113" s="16">
        <v>381.1524</v>
      </c>
      <c r="D113" s="16">
        <v>367.4366</v>
      </c>
      <c r="E113" s="16">
        <v>353.3107</v>
      </c>
      <c r="F113" s="16">
        <v>332.31479999999999</v>
      </c>
      <c r="G113" s="16">
        <v>331.7174</v>
      </c>
      <c r="H113" s="16">
        <v>346.8623</v>
      </c>
      <c r="I113" s="16">
        <v>350.21289999999999</v>
      </c>
      <c r="J113" s="16">
        <v>346.61840000000001</v>
      </c>
      <c r="K113" s="16">
        <v>457.37009999999998</v>
      </c>
      <c r="L113" s="16">
        <v>379.1112</v>
      </c>
      <c r="M113" s="16">
        <v>372.6737</v>
      </c>
      <c r="N113" s="16">
        <v>345.0575</v>
      </c>
      <c r="O113" s="16">
        <v>354.76740000000001</v>
      </c>
      <c r="P113" s="16">
        <v>335.10359999999997</v>
      </c>
      <c r="Q113" s="16">
        <v>322.75119999999998</v>
      </c>
      <c r="R113" s="16">
        <v>309.54689999999999</v>
      </c>
      <c r="S113" s="16">
        <v>281.86750000000001</v>
      </c>
      <c r="T113" s="16">
        <v>328.072</v>
      </c>
      <c r="U113" s="16">
        <v>339.91500000000002</v>
      </c>
      <c r="V113" s="16">
        <v>338.76530000000002</v>
      </c>
      <c r="W113" s="16">
        <v>344.904</v>
      </c>
      <c r="X113" s="16">
        <v>339.08080000000001</v>
      </c>
      <c r="Y113" s="16">
        <v>131.12289999999999</v>
      </c>
      <c r="Z113" s="16"/>
      <c r="AA113" s="17">
        <f t="shared" si="3"/>
        <v>488.84629999999999</v>
      </c>
      <c r="AB113" s="17">
        <f t="shared" si="4"/>
        <v>131.12289999999999</v>
      </c>
      <c r="AC113" s="17">
        <f t="shared" si="5"/>
        <v>344.94087083333301</v>
      </c>
    </row>
    <row r="114" spans="1:29">
      <c r="A114" s="8">
        <v>45404</v>
      </c>
      <c r="B114" s="16">
        <v>530.81470000000002</v>
      </c>
      <c r="C114" s="16">
        <v>356.42649999999998</v>
      </c>
      <c r="D114" s="16">
        <v>332.37860000000001</v>
      </c>
      <c r="E114" s="16">
        <v>327.61360000000002</v>
      </c>
      <c r="F114" s="16">
        <v>329.11410000000001</v>
      </c>
      <c r="G114" s="16">
        <v>342.25</v>
      </c>
      <c r="H114" s="16">
        <v>364.86849999999998</v>
      </c>
      <c r="I114" s="16">
        <v>376.98329999999999</v>
      </c>
      <c r="J114" s="16">
        <v>635.51229999999998</v>
      </c>
      <c r="K114" s="16">
        <v>404.8254</v>
      </c>
      <c r="L114" s="16">
        <v>378.27280000000002</v>
      </c>
      <c r="M114" s="16">
        <v>365.0949</v>
      </c>
      <c r="N114" s="16">
        <v>350.20800000000003</v>
      </c>
      <c r="O114" s="16">
        <v>361.58609999999999</v>
      </c>
      <c r="P114" s="16">
        <v>390.69420000000002</v>
      </c>
      <c r="Q114" s="16">
        <v>394.12990000000002</v>
      </c>
      <c r="R114" s="16">
        <v>409.83769999999998</v>
      </c>
      <c r="S114" s="16">
        <v>382.5575</v>
      </c>
      <c r="T114" s="16">
        <v>398.88470000000001</v>
      </c>
      <c r="U114" s="16">
        <v>447.6121</v>
      </c>
      <c r="V114" s="16">
        <v>485.1345</v>
      </c>
      <c r="W114" s="16">
        <v>449.75880000000001</v>
      </c>
      <c r="X114" s="16">
        <v>386.37639999999999</v>
      </c>
      <c r="Y114" s="16">
        <v>355.90949999999998</v>
      </c>
      <c r="Z114" s="16"/>
      <c r="AA114" s="17">
        <f t="shared" si="3"/>
        <v>635.51229999999998</v>
      </c>
      <c r="AB114" s="17">
        <f t="shared" si="4"/>
        <v>327.61360000000002</v>
      </c>
      <c r="AC114" s="17">
        <f t="shared" si="5"/>
        <v>398.20183750000001</v>
      </c>
    </row>
    <row r="115" spans="1:29">
      <c r="A115" s="8">
        <v>45405</v>
      </c>
      <c r="B115" s="16">
        <v>378.76049999999998</v>
      </c>
      <c r="C115" s="16">
        <v>373.12729999999999</v>
      </c>
      <c r="D115" s="16">
        <v>365.72930000000002</v>
      </c>
      <c r="E115" s="16">
        <v>353.92649999999998</v>
      </c>
      <c r="F115" s="16">
        <v>351.08319999999998</v>
      </c>
      <c r="G115" s="16">
        <v>351.11500000000001</v>
      </c>
      <c r="H115" s="16">
        <v>368.5607</v>
      </c>
      <c r="I115" s="16">
        <v>380.37540000000001</v>
      </c>
      <c r="J115" s="16">
        <v>628.00170000000003</v>
      </c>
      <c r="K115" s="16">
        <v>471.95749999999998</v>
      </c>
      <c r="L115" s="16">
        <v>447.1465</v>
      </c>
      <c r="M115" s="16">
        <v>450.32709999999997</v>
      </c>
      <c r="N115" s="16">
        <v>354.53370000000001</v>
      </c>
      <c r="O115" s="16">
        <v>423.2242</v>
      </c>
      <c r="P115" s="16">
        <v>390.35230000000001</v>
      </c>
      <c r="Q115" s="16">
        <v>461.41300000000001</v>
      </c>
      <c r="R115" s="16">
        <v>546.06889999999999</v>
      </c>
      <c r="S115" s="16">
        <v>524.06709999999998</v>
      </c>
      <c r="T115" s="16">
        <v>615.89850000000001</v>
      </c>
      <c r="U115" s="16">
        <v>768.50369999999998</v>
      </c>
      <c r="V115" s="16">
        <v>561.66650000000004</v>
      </c>
      <c r="W115" s="16">
        <v>979.87019999999995</v>
      </c>
      <c r="X115" s="16">
        <v>381.7722</v>
      </c>
      <c r="Y115" s="16">
        <v>342.10500000000002</v>
      </c>
      <c r="Z115" s="16"/>
      <c r="AA115" s="17">
        <f t="shared" si="3"/>
        <v>979.87019999999995</v>
      </c>
      <c r="AB115" s="17">
        <f t="shared" si="4"/>
        <v>342.10500000000002</v>
      </c>
      <c r="AC115" s="17">
        <f t="shared" si="5"/>
        <v>469.56608333333298</v>
      </c>
    </row>
    <row r="116" spans="1:29">
      <c r="A116" s="8">
        <v>45406</v>
      </c>
      <c r="B116" s="16">
        <v>364.65249999999997</v>
      </c>
      <c r="C116" s="16">
        <v>363.0985</v>
      </c>
      <c r="D116" s="16">
        <v>348.89339999999999</v>
      </c>
      <c r="E116" s="16">
        <v>342.02569999999997</v>
      </c>
      <c r="F116" s="16">
        <v>332.1225</v>
      </c>
      <c r="G116" s="16">
        <v>343.93509999999998</v>
      </c>
      <c r="H116" s="16">
        <v>374.87139999999999</v>
      </c>
      <c r="I116" s="16">
        <v>373.61590000000001</v>
      </c>
      <c r="J116" s="16">
        <v>464.64519999999999</v>
      </c>
      <c r="K116" s="16">
        <v>445.733</v>
      </c>
      <c r="L116" s="16">
        <v>378.45100000000002</v>
      </c>
      <c r="M116" s="16">
        <v>366.4511</v>
      </c>
      <c r="N116" s="16">
        <v>346.08949999999999</v>
      </c>
      <c r="O116" s="16">
        <v>359.32960000000003</v>
      </c>
      <c r="P116" s="16">
        <v>413.62560000000002</v>
      </c>
      <c r="Q116" s="16">
        <v>632.84119999999996</v>
      </c>
      <c r="R116" s="16">
        <v>704.13430000000005</v>
      </c>
      <c r="S116" s="16">
        <v>621.26549999999997</v>
      </c>
      <c r="T116" s="16">
        <v>419.8304</v>
      </c>
      <c r="U116" s="16">
        <v>420.98419999999999</v>
      </c>
      <c r="V116" s="16">
        <v>426.29950000000002</v>
      </c>
      <c r="W116" s="16">
        <v>381.7559</v>
      </c>
      <c r="X116" s="16">
        <v>365.08969999999999</v>
      </c>
      <c r="Y116" s="16">
        <v>333.3236</v>
      </c>
      <c r="Z116" s="16"/>
      <c r="AA116" s="17">
        <f t="shared" si="3"/>
        <v>704.13430000000005</v>
      </c>
      <c r="AB116" s="17">
        <f t="shared" si="4"/>
        <v>332.1225</v>
      </c>
      <c r="AC116" s="17">
        <f t="shared" si="5"/>
        <v>413.46101249999998</v>
      </c>
    </row>
    <row r="117" spans="1:29">
      <c r="A117" s="8">
        <v>45407</v>
      </c>
      <c r="B117" s="16">
        <v>355.32049999999998</v>
      </c>
      <c r="C117" s="16">
        <v>347.43579999999997</v>
      </c>
      <c r="D117" s="16">
        <v>329.85469999999998</v>
      </c>
      <c r="E117" s="16">
        <v>320.50479999999999</v>
      </c>
      <c r="F117" s="16">
        <v>312.8492</v>
      </c>
      <c r="G117" s="16">
        <v>314.48820000000001</v>
      </c>
      <c r="H117" s="16">
        <v>347.35489999999999</v>
      </c>
      <c r="I117" s="16">
        <v>346.41800000000001</v>
      </c>
      <c r="J117" s="16">
        <v>494.91370000000001</v>
      </c>
      <c r="K117" s="16">
        <v>583.60670000000005</v>
      </c>
      <c r="L117" s="16">
        <v>532.28549999999996</v>
      </c>
      <c r="M117" s="16">
        <v>375.4699</v>
      </c>
      <c r="N117" s="16">
        <v>249.25</v>
      </c>
      <c r="O117" s="16">
        <v>363.36869999999999</v>
      </c>
      <c r="P117" s="16">
        <v>378.5634</v>
      </c>
      <c r="Q117" s="16">
        <v>381.18150000000003</v>
      </c>
      <c r="R117" s="16">
        <v>406.31709999999998</v>
      </c>
      <c r="S117" s="16">
        <v>446.34</v>
      </c>
      <c r="T117" s="16">
        <v>396.28440000000001</v>
      </c>
      <c r="U117" s="16">
        <v>443.90870000000001</v>
      </c>
      <c r="V117" s="16">
        <v>421.5231</v>
      </c>
      <c r="W117" s="16">
        <v>403.94069999999999</v>
      </c>
      <c r="X117" s="16">
        <v>380.98059999999998</v>
      </c>
      <c r="Y117" s="16">
        <v>353.4717</v>
      </c>
      <c r="Z117" s="16"/>
      <c r="AA117" s="17">
        <f t="shared" si="3"/>
        <v>583.60670000000005</v>
      </c>
      <c r="AB117" s="17">
        <f t="shared" si="4"/>
        <v>249.25</v>
      </c>
      <c r="AC117" s="17">
        <f t="shared" si="5"/>
        <v>386.90132499999999</v>
      </c>
    </row>
    <row r="118" spans="1:29">
      <c r="A118" s="8">
        <v>45408</v>
      </c>
      <c r="B118" s="16" t="s">
        <v>39</v>
      </c>
      <c r="C118" s="16" t="s">
        <v>40</v>
      </c>
      <c r="D118" s="16" t="s">
        <v>41</v>
      </c>
      <c r="E118" s="16" t="s">
        <v>42</v>
      </c>
      <c r="F118" s="16" t="s">
        <v>43</v>
      </c>
      <c r="G118" s="16" t="s">
        <v>44</v>
      </c>
      <c r="H118" s="16" t="s">
        <v>45</v>
      </c>
      <c r="I118" s="16" t="s">
        <v>46</v>
      </c>
      <c r="J118" s="16" t="s">
        <v>47</v>
      </c>
      <c r="K118" s="16" t="s">
        <v>48</v>
      </c>
      <c r="L118" s="16" t="s">
        <v>49</v>
      </c>
      <c r="M118" s="16" t="s">
        <v>50</v>
      </c>
      <c r="N118" s="16" t="s">
        <v>51</v>
      </c>
      <c r="O118" s="16" t="s">
        <v>52</v>
      </c>
      <c r="P118" s="16" t="s">
        <v>53</v>
      </c>
      <c r="Q118" s="16" t="s">
        <v>54</v>
      </c>
      <c r="R118" s="16" t="s">
        <v>55</v>
      </c>
      <c r="S118" s="16" t="s">
        <v>56</v>
      </c>
      <c r="T118" s="16" t="s">
        <v>57</v>
      </c>
      <c r="U118" s="16" t="s">
        <v>58</v>
      </c>
      <c r="V118" s="16" t="s">
        <v>59</v>
      </c>
      <c r="W118" s="16" t="s">
        <v>60</v>
      </c>
      <c r="X118" s="16" t="s">
        <v>61</v>
      </c>
      <c r="Y118" s="16" t="s">
        <v>62</v>
      </c>
      <c r="Z118" s="16"/>
      <c r="AA118" s="17">
        <f t="shared" si="3"/>
        <v>0</v>
      </c>
      <c r="AB118" s="17">
        <f t="shared" si="4"/>
        <v>0</v>
      </c>
      <c r="AC118" s="17" t="e">
        <f t="shared" si="5"/>
        <v>#DIV/0!</v>
      </c>
    </row>
    <row r="119" spans="1:29">
      <c r="A119" s="8">
        <v>45409</v>
      </c>
      <c r="B119" s="16">
        <v>639.6123</v>
      </c>
      <c r="C119" s="16">
        <v>510.52820000000003</v>
      </c>
      <c r="D119" s="16">
        <v>384.93130000000002</v>
      </c>
      <c r="E119" s="16">
        <v>365.67970000000003</v>
      </c>
      <c r="F119" s="16">
        <v>359.40530000000001</v>
      </c>
      <c r="G119" s="16">
        <v>352.8537</v>
      </c>
      <c r="H119" s="16">
        <v>365.8227</v>
      </c>
      <c r="I119" s="16">
        <v>368.423</v>
      </c>
      <c r="J119" s="16">
        <v>396.37520000000001</v>
      </c>
      <c r="K119" s="16">
        <v>407.3947</v>
      </c>
      <c r="L119" s="16">
        <v>473.69349999999997</v>
      </c>
      <c r="M119" s="16">
        <v>503.63440000000003</v>
      </c>
      <c r="N119" s="16">
        <v>336.81740000000002</v>
      </c>
      <c r="O119" s="16">
        <v>479.93540000000002</v>
      </c>
      <c r="P119" s="16">
        <v>659.4144</v>
      </c>
      <c r="Q119" s="16">
        <v>609.44709999999998</v>
      </c>
      <c r="R119" s="16">
        <v>512.69659999999999</v>
      </c>
      <c r="S119" s="16">
        <v>464.99790000000002</v>
      </c>
      <c r="T119" s="16">
        <v>379.2056</v>
      </c>
      <c r="U119" s="16">
        <v>383.61799999999999</v>
      </c>
      <c r="V119" s="16">
        <v>360.30290000000002</v>
      </c>
      <c r="W119" s="16">
        <v>366.65730000000002</v>
      </c>
      <c r="X119" s="16">
        <v>345.47980000000001</v>
      </c>
      <c r="Y119" s="16">
        <v>335.50529999999998</v>
      </c>
      <c r="Z119" s="16"/>
      <c r="AA119" s="17">
        <f t="shared" si="3"/>
        <v>659.4144</v>
      </c>
      <c r="AB119" s="17">
        <f t="shared" si="4"/>
        <v>335.50529999999998</v>
      </c>
      <c r="AC119" s="17">
        <f t="shared" si="5"/>
        <v>431.7679875</v>
      </c>
    </row>
    <row r="120" spans="1:29">
      <c r="A120" s="8">
        <v>45410</v>
      </c>
      <c r="B120" s="16">
        <v>378.3639</v>
      </c>
      <c r="C120" s="16">
        <v>378.75599999999997</v>
      </c>
      <c r="D120" s="16">
        <v>362.1533</v>
      </c>
      <c r="E120" s="16">
        <v>362.4975</v>
      </c>
      <c r="F120" s="16">
        <v>335.80540000000002</v>
      </c>
      <c r="G120" s="16">
        <v>331.70760000000001</v>
      </c>
      <c r="H120" s="16">
        <v>353.08569999999997</v>
      </c>
      <c r="I120" s="16">
        <v>346.87599999999998</v>
      </c>
      <c r="J120" s="16">
        <v>379.77980000000002</v>
      </c>
      <c r="K120" s="16">
        <v>374.69139999999999</v>
      </c>
      <c r="L120" s="16">
        <v>376.32400000000001</v>
      </c>
      <c r="M120" s="16">
        <v>338.11239999999998</v>
      </c>
      <c r="N120" s="16">
        <v>278.6377</v>
      </c>
      <c r="O120" s="16">
        <v>351.33859999999999</v>
      </c>
      <c r="P120" s="16">
        <v>365.90230000000003</v>
      </c>
      <c r="Q120" s="16">
        <v>355.3784</v>
      </c>
      <c r="R120" s="16">
        <v>369.56790000000001</v>
      </c>
      <c r="S120" s="16">
        <v>368.34109999999998</v>
      </c>
      <c r="T120" s="16">
        <v>355.0369</v>
      </c>
      <c r="U120" s="16">
        <v>344.8904</v>
      </c>
      <c r="V120" s="16">
        <v>354.37810000000002</v>
      </c>
      <c r="W120" s="16">
        <v>364.56830000000002</v>
      </c>
      <c r="X120" s="16">
        <v>354.68849999999998</v>
      </c>
      <c r="Y120" s="16">
        <v>325.29919999999998</v>
      </c>
      <c r="Z120" s="16"/>
      <c r="AA120" s="17">
        <f t="shared" si="3"/>
        <v>379.77980000000002</v>
      </c>
      <c r="AB120" s="17">
        <f t="shared" si="4"/>
        <v>278.6377</v>
      </c>
      <c r="AC120" s="17">
        <f t="shared" si="5"/>
        <v>354.42418333333302</v>
      </c>
    </row>
    <row r="121" spans="1:29">
      <c r="A121" s="8">
        <v>45411</v>
      </c>
      <c r="B121" s="16">
        <v>365.60739999999998</v>
      </c>
      <c r="C121" s="16">
        <v>364.56040000000002</v>
      </c>
      <c r="D121" s="16">
        <v>342.57499999999999</v>
      </c>
      <c r="E121" s="16">
        <v>305.50920000000002</v>
      </c>
      <c r="F121" s="16">
        <v>243.70249999999999</v>
      </c>
      <c r="G121" s="16">
        <v>304.43709999999999</v>
      </c>
      <c r="H121" s="16">
        <v>335.92079999999999</v>
      </c>
      <c r="I121" s="16">
        <v>348.33199999999999</v>
      </c>
      <c r="J121" s="16">
        <v>370.99149999999997</v>
      </c>
      <c r="K121" s="16">
        <v>366.31279999999998</v>
      </c>
      <c r="L121" s="16">
        <v>353.2389</v>
      </c>
      <c r="M121" s="16">
        <v>352.66090000000003</v>
      </c>
      <c r="N121" s="16">
        <v>248.8229</v>
      </c>
      <c r="O121" s="16">
        <v>364.25709999999998</v>
      </c>
      <c r="P121" s="16">
        <v>363.41860000000003</v>
      </c>
      <c r="Q121" s="16">
        <v>378.74200000000002</v>
      </c>
      <c r="R121" s="16">
        <v>495.41820000000001</v>
      </c>
      <c r="S121" s="16">
        <v>366.22829999999999</v>
      </c>
      <c r="T121" s="16">
        <v>375.05</v>
      </c>
      <c r="U121" s="16">
        <v>407.48520000000002</v>
      </c>
      <c r="V121" s="16">
        <v>389.8571</v>
      </c>
      <c r="W121" s="16">
        <v>396.80090000000001</v>
      </c>
      <c r="X121" s="16">
        <v>375.67259999999999</v>
      </c>
      <c r="Y121" s="16">
        <v>357.23719999999997</v>
      </c>
      <c r="Z121" s="16"/>
      <c r="AA121" s="17">
        <f t="shared" si="3"/>
        <v>495.41820000000001</v>
      </c>
      <c r="AB121" s="17">
        <f t="shared" si="4"/>
        <v>243.70249999999999</v>
      </c>
      <c r="AC121" s="17">
        <f t="shared" si="5"/>
        <v>357.20160833333301</v>
      </c>
    </row>
    <row r="122" spans="1:29">
      <c r="A122" s="8">
        <v>45412</v>
      </c>
      <c r="B122" s="16">
        <v>366.8152</v>
      </c>
      <c r="C122" s="16">
        <v>368.40910000000002</v>
      </c>
      <c r="D122" s="16">
        <v>351.38920000000002</v>
      </c>
      <c r="E122" s="16">
        <v>327.37169999999998</v>
      </c>
      <c r="F122" s="16">
        <v>307.05970000000002</v>
      </c>
      <c r="G122" s="16">
        <v>307.24380000000002</v>
      </c>
      <c r="H122" s="16">
        <v>335.76170000000002</v>
      </c>
      <c r="I122" s="16">
        <v>341.77960000000002</v>
      </c>
      <c r="J122" s="16">
        <v>373.41820000000001</v>
      </c>
      <c r="K122" s="16">
        <v>389.76929999999999</v>
      </c>
      <c r="L122" s="16">
        <v>406.06869999999998</v>
      </c>
      <c r="M122" s="16">
        <v>392.46640000000002</v>
      </c>
      <c r="N122" s="16">
        <v>251.78800000000001</v>
      </c>
      <c r="O122" s="16">
        <v>341.78699999999998</v>
      </c>
      <c r="P122" s="16">
        <v>356.11110000000002</v>
      </c>
      <c r="Q122" s="16">
        <v>352.09480000000002</v>
      </c>
      <c r="R122" s="16">
        <v>361.30259999999998</v>
      </c>
      <c r="S122" s="16">
        <v>329.62299999999999</v>
      </c>
      <c r="T122" s="16">
        <v>344.46319999999997</v>
      </c>
      <c r="U122" s="16">
        <v>356.57650000000001</v>
      </c>
      <c r="V122" s="16">
        <v>362.5</v>
      </c>
      <c r="W122" s="16">
        <v>365.4348</v>
      </c>
      <c r="X122" s="16">
        <v>360.83249999999998</v>
      </c>
      <c r="Y122" s="16">
        <v>335</v>
      </c>
      <c r="Z122" s="16"/>
      <c r="AA122" s="17">
        <f t="shared" si="3"/>
        <v>406.06869999999998</v>
      </c>
      <c r="AB122" s="17">
        <f t="shared" si="4"/>
        <v>251.78800000000001</v>
      </c>
      <c r="AC122" s="17">
        <f t="shared" si="5"/>
        <v>349.37775416666699</v>
      </c>
    </row>
    <row r="123" spans="1:29">
      <c r="A123" s="8">
        <v>45413</v>
      </c>
      <c r="B123" s="16">
        <v>519.90390000000002</v>
      </c>
      <c r="C123" s="16">
        <v>360.036</v>
      </c>
      <c r="D123" s="16">
        <v>336.25</v>
      </c>
      <c r="E123" s="16">
        <v>232.5</v>
      </c>
      <c r="F123" s="16">
        <v>70.09</v>
      </c>
      <c r="G123" s="16">
        <v>0</v>
      </c>
      <c r="H123" s="16">
        <v>0</v>
      </c>
      <c r="I123" s="16">
        <v>33.144399999999997</v>
      </c>
      <c r="J123" s="16">
        <v>10.9526</v>
      </c>
      <c r="K123" s="16">
        <v>167.50069999999999</v>
      </c>
      <c r="L123" s="16">
        <v>10.126799999999999</v>
      </c>
      <c r="M123" s="16">
        <v>0</v>
      </c>
      <c r="N123" s="16">
        <v>7.1294000000000004</v>
      </c>
      <c r="O123" s="16">
        <v>0</v>
      </c>
      <c r="P123" s="16">
        <v>0</v>
      </c>
      <c r="Q123" s="16">
        <v>0</v>
      </c>
      <c r="R123" s="16">
        <v>0</v>
      </c>
      <c r="S123" s="16">
        <v>11.2188</v>
      </c>
      <c r="T123" s="16">
        <v>29.911300000000001</v>
      </c>
      <c r="U123" s="16">
        <v>26.526499999999999</v>
      </c>
      <c r="V123" s="16">
        <v>36.785400000000003</v>
      </c>
      <c r="W123" s="16">
        <v>37.608400000000003</v>
      </c>
      <c r="X123" s="16">
        <v>48.669499999999999</v>
      </c>
      <c r="Y123" s="16">
        <v>2.9999999999999997E-4</v>
      </c>
      <c r="Z123" s="16"/>
      <c r="AA123" s="17">
        <f t="shared" si="3"/>
        <v>519.90390000000002</v>
      </c>
      <c r="AB123" s="17">
        <f t="shared" si="4"/>
        <v>0</v>
      </c>
      <c r="AC123" s="17">
        <f t="shared" si="5"/>
        <v>80.764750000000006</v>
      </c>
    </row>
    <row r="124" spans="1:29">
      <c r="A124" s="8">
        <v>45414</v>
      </c>
      <c r="B124" s="16">
        <v>267.4384</v>
      </c>
      <c r="C124" s="16">
        <v>0</v>
      </c>
      <c r="D124" s="16">
        <v>0</v>
      </c>
      <c r="E124" s="16">
        <v>0</v>
      </c>
      <c r="F124" s="16">
        <v>0</v>
      </c>
      <c r="G124" s="16">
        <v>0</v>
      </c>
      <c r="H124" s="16">
        <v>26.4359</v>
      </c>
      <c r="I124" s="16">
        <v>0</v>
      </c>
      <c r="J124" s="16">
        <v>18.872299999999999</v>
      </c>
      <c r="K124" s="16">
        <v>42.642099999999999</v>
      </c>
      <c r="L124" s="16">
        <v>24.7517</v>
      </c>
      <c r="M124" s="16">
        <v>95.809299999999993</v>
      </c>
      <c r="N124" s="16">
        <v>63.939799999999998</v>
      </c>
      <c r="O124" s="16">
        <v>139.8443</v>
      </c>
      <c r="P124" s="16">
        <v>11.6401</v>
      </c>
      <c r="Q124" s="16">
        <v>46.1357</v>
      </c>
      <c r="R124" s="16">
        <v>46.594999999999999</v>
      </c>
      <c r="S124" s="16">
        <v>71.316999999999993</v>
      </c>
      <c r="T124" s="16">
        <v>186.36</v>
      </c>
      <c r="U124" s="16">
        <v>246.71789999999999</v>
      </c>
      <c r="V124" s="16">
        <v>268.62830000000002</v>
      </c>
      <c r="W124" s="16">
        <v>242.3261</v>
      </c>
      <c r="X124" s="16">
        <v>279.8177</v>
      </c>
      <c r="Y124" s="16">
        <v>135.2895</v>
      </c>
      <c r="Z124" s="16"/>
      <c r="AA124" s="17">
        <f t="shared" si="3"/>
        <v>279.8177</v>
      </c>
      <c r="AB124" s="17">
        <f t="shared" si="4"/>
        <v>0</v>
      </c>
      <c r="AC124" s="17">
        <f t="shared" si="5"/>
        <v>92.2733791666667</v>
      </c>
    </row>
    <row r="125" spans="1:29">
      <c r="A125" s="8">
        <v>45415</v>
      </c>
      <c r="B125" s="16">
        <v>336.39819999999997</v>
      </c>
      <c r="C125" s="16">
        <v>315.83850000000001</v>
      </c>
      <c r="D125" s="16">
        <v>312.4477</v>
      </c>
      <c r="E125" s="16">
        <v>293.03820000000002</v>
      </c>
      <c r="F125" s="16">
        <v>38.1051</v>
      </c>
      <c r="G125" s="16">
        <v>154.81139999999999</v>
      </c>
      <c r="H125" s="16">
        <v>289.75510000000003</v>
      </c>
      <c r="I125" s="16">
        <v>292.51799999999997</v>
      </c>
      <c r="J125" s="16">
        <v>367.42430000000002</v>
      </c>
      <c r="K125" s="16">
        <v>321.30779999999999</v>
      </c>
      <c r="L125" s="16">
        <v>295.35849999999999</v>
      </c>
      <c r="M125" s="16">
        <v>287.71539999999999</v>
      </c>
      <c r="N125" s="16">
        <v>264.6678</v>
      </c>
      <c r="O125" s="16">
        <v>303.09899999999999</v>
      </c>
      <c r="P125" s="16">
        <v>274.52</v>
      </c>
      <c r="Q125" s="16">
        <v>313.30619999999999</v>
      </c>
      <c r="R125" s="16">
        <v>345.96679999999998</v>
      </c>
      <c r="S125" s="16">
        <v>338.31380000000001</v>
      </c>
      <c r="T125" s="16">
        <v>325.17469999999997</v>
      </c>
      <c r="U125" s="16">
        <v>332.82350000000002</v>
      </c>
      <c r="V125" s="16">
        <v>314.69709999999998</v>
      </c>
      <c r="W125" s="16">
        <v>294.24160000000001</v>
      </c>
      <c r="X125" s="16">
        <v>321.72190000000001</v>
      </c>
      <c r="Y125" s="16">
        <v>316.56760000000003</v>
      </c>
      <c r="Z125" s="16"/>
      <c r="AA125" s="17">
        <f t="shared" si="3"/>
        <v>367.42430000000002</v>
      </c>
      <c r="AB125" s="17">
        <f t="shared" si="4"/>
        <v>38.1051</v>
      </c>
      <c r="AC125" s="17">
        <f t="shared" si="5"/>
        <v>293.74242500000003</v>
      </c>
    </row>
    <row r="126" spans="1:29">
      <c r="A126" s="8">
        <v>45416</v>
      </c>
      <c r="B126" s="16">
        <v>476.91680000000002</v>
      </c>
      <c r="C126" s="16">
        <v>345.7867</v>
      </c>
      <c r="D126" s="16">
        <v>332.0172</v>
      </c>
      <c r="E126" s="16">
        <v>316.04199999999997</v>
      </c>
      <c r="F126" s="16">
        <v>307.49829999999997</v>
      </c>
      <c r="G126" s="16">
        <v>309.5745</v>
      </c>
      <c r="H126" s="16">
        <v>323.94029999999998</v>
      </c>
      <c r="I126" s="16">
        <v>340.98680000000002</v>
      </c>
      <c r="J126" s="16">
        <v>360.5564</v>
      </c>
      <c r="K126" s="16">
        <v>360.77850000000001</v>
      </c>
      <c r="L126" s="16">
        <v>360.0247</v>
      </c>
      <c r="M126" s="16">
        <v>340.2681</v>
      </c>
      <c r="N126" s="16">
        <v>332.24700000000001</v>
      </c>
      <c r="O126" s="16">
        <v>346.00540000000001</v>
      </c>
      <c r="P126" s="16">
        <v>353.2056</v>
      </c>
      <c r="Q126" s="16">
        <v>357.79570000000001</v>
      </c>
      <c r="R126" s="16">
        <v>324.15800000000002</v>
      </c>
      <c r="S126" s="16">
        <v>332.17169999999999</v>
      </c>
      <c r="T126" s="16">
        <v>323.28919999999999</v>
      </c>
      <c r="U126" s="16">
        <v>335.93970000000002</v>
      </c>
      <c r="V126" s="16">
        <v>334.94229999999999</v>
      </c>
      <c r="W126" s="16">
        <v>319.51170000000002</v>
      </c>
      <c r="X126" s="16">
        <v>317.46440000000001</v>
      </c>
      <c r="Y126" s="16">
        <v>308.83210000000003</v>
      </c>
      <c r="Z126" s="16"/>
      <c r="AA126" s="17">
        <f t="shared" si="3"/>
        <v>476.91680000000002</v>
      </c>
      <c r="AB126" s="17">
        <f t="shared" si="4"/>
        <v>307.49829999999997</v>
      </c>
      <c r="AC126" s="17">
        <f t="shared" si="5"/>
        <v>339.99804583333298</v>
      </c>
    </row>
    <row r="127" spans="1:29">
      <c r="A127" s="8">
        <v>45417</v>
      </c>
      <c r="B127" s="16">
        <v>354.70429999999999</v>
      </c>
      <c r="C127" s="16">
        <v>360.08909999999997</v>
      </c>
      <c r="D127" s="16">
        <v>356.98059999999998</v>
      </c>
      <c r="E127" s="16">
        <v>343.59410000000003</v>
      </c>
      <c r="F127" s="16">
        <v>334.7432</v>
      </c>
      <c r="G127" s="16">
        <v>334.64859999999999</v>
      </c>
      <c r="H127" s="16">
        <v>351.06189999999998</v>
      </c>
      <c r="I127" s="16">
        <v>348.59289999999999</v>
      </c>
      <c r="J127" s="16">
        <v>359.61020000000002</v>
      </c>
      <c r="K127" s="16">
        <v>357.19929999999999</v>
      </c>
      <c r="L127" s="16">
        <v>307.49189999999999</v>
      </c>
      <c r="M127" s="16">
        <v>164.62780000000001</v>
      </c>
      <c r="N127" s="16">
        <v>85.320099999999996</v>
      </c>
      <c r="O127" s="16">
        <v>116.6878</v>
      </c>
      <c r="P127" s="16">
        <v>165.13980000000001</v>
      </c>
      <c r="Q127" s="16">
        <v>305.30430000000001</v>
      </c>
      <c r="R127" s="16">
        <v>341.45049999999998</v>
      </c>
      <c r="S127" s="16">
        <v>351.78359999999998</v>
      </c>
      <c r="T127" s="16">
        <v>352.06549999999999</v>
      </c>
      <c r="U127" s="16">
        <v>354.75119999999998</v>
      </c>
      <c r="V127" s="16">
        <v>370.28570000000002</v>
      </c>
      <c r="W127" s="16">
        <v>379.553</v>
      </c>
      <c r="X127" s="16">
        <v>382.17860000000002</v>
      </c>
      <c r="Y127" s="16">
        <v>374.10899999999998</v>
      </c>
      <c r="Z127" s="16"/>
      <c r="AA127" s="17">
        <f t="shared" si="3"/>
        <v>382.17860000000002</v>
      </c>
      <c r="AB127" s="17">
        <f t="shared" si="4"/>
        <v>85.320099999999996</v>
      </c>
      <c r="AC127" s="17">
        <f t="shared" si="5"/>
        <v>314.66554166666702</v>
      </c>
    </row>
    <row r="128" spans="1:29">
      <c r="A128" s="8">
        <v>45418</v>
      </c>
      <c r="B128" s="16">
        <v>467.30119999999999</v>
      </c>
      <c r="C128" s="16">
        <v>370.22899999999998</v>
      </c>
      <c r="D128" s="16">
        <v>364.77870000000001</v>
      </c>
      <c r="E128" s="16">
        <v>359.0326</v>
      </c>
      <c r="F128" s="16">
        <v>342.01909999999998</v>
      </c>
      <c r="G128" s="16">
        <v>344.8116</v>
      </c>
      <c r="H128" s="16">
        <v>361.87</v>
      </c>
      <c r="I128" s="16">
        <v>373.37180000000001</v>
      </c>
      <c r="J128" s="16">
        <v>474.8999</v>
      </c>
      <c r="K128" s="16">
        <v>399.09840000000003</v>
      </c>
      <c r="L128" s="16">
        <v>366.04660000000001</v>
      </c>
      <c r="M128" s="16">
        <v>353.43259999999998</v>
      </c>
      <c r="N128" s="16">
        <v>363.80520000000001</v>
      </c>
      <c r="O128" s="16">
        <v>512.98270000000002</v>
      </c>
      <c r="P128" s="16">
        <v>640.38329999999996</v>
      </c>
      <c r="Q128" s="16">
        <v>670.22320000000002</v>
      </c>
      <c r="R128" s="16">
        <v>955.45590000000004</v>
      </c>
      <c r="S128" s="16">
        <v>675.10839999999996</v>
      </c>
      <c r="T128" s="16">
        <v>454.19029999999998</v>
      </c>
      <c r="U128" s="16">
        <v>453.87860000000001</v>
      </c>
      <c r="V128" s="16">
        <v>408.28489999999999</v>
      </c>
      <c r="W128" s="16">
        <v>384.25420000000003</v>
      </c>
      <c r="X128" s="16">
        <v>365.58049999999997</v>
      </c>
      <c r="Y128" s="16">
        <v>361.43939999999998</v>
      </c>
      <c r="Z128" s="16"/>
      <c r="AA128" s="17">
        <f t="shared" si="3"/>
        <v>955.45590000000004</v>
      </c>
      <c r="AB128" s="17">
        <f t="shared" si="4"/>
        <v>342.01909999999998</v>
      </c>
      <c r="AC128" s="17">
        <f t="shared" si="5"/>
        <v>450.93658749999997</v>
      </c>
    </row>
    <row r="129" spans="1:29">
      <c r="A129" s="8">
        <v>45419</v>
      </c>
      <c r="B129" s="16">
        <v>478.27069999999998</v>
      </c>
      <c r="C129" s="16">
        <v>371.17189999999999</v>
      </c>
      <c r="D129" s="16">
        <v>359.7645</v>
      </c>
      <c r="E129" s="16">
        <v>352.83920000000001</v>
      </c>
      <c r="F129" s="16">
        <v>342.05340000000001</v>
      </c>
      <c r="G129" s="16">
        <v>342.67200000000003</v>
      </c>
      <c r="H129" s="16">
        <v>354.09789999999998</v>
      </c>
      <c r="I129" s="16">
        <v>362.92189999999999</v>
      </c>
      <c r="J129" s="16">
        <v>373.5865</v>
      </c>
      <c r="K129" s="16">
        <v>370.50420000000003</v>
      </c>
      <c r="L129" s="16">
        <v>360.1558</v>
      </c>
      <c r="M129" s="16">
        <v>352.19760000000002</v>
      </c>
      <c r="N129" s="16">
        <v>334.06360000000001</v>
      </c>
      <c r="O129" s="16">
        <v>356.74209999999999</v>
      </c>
      <c r="P129" s="16">
        <v>368.39670000000001</v>
      </c>
      <c r="Q129" s="16">
        <v>380.69150000000002</v>
      </c>
      <c r="R129" s="16">
        <v>387.84960000000001</v>
      </c>
      <c r="S129" s="16">
        <v>378.19159999999999</v>
      </c>
      <c r="T129" s="16">
        <v>374.83730000000003</v>
      </c>
      <c r="U129" s="16">
        <v>389.51920000000001</v>
      </c>
      <c r="V129" s="16">
        <v>387.16500000000002</v>
      </c>
      <c r="W129" s="16">
        <v>374.25</v>
      </c>
      <c r="X129" s="16">
        <v>375.41500000000002</v>
      </c>
      <c r="Y129" s="16">
        <v>364.58199999999999</v>
      </c>
      <c r="Z129" s="16"/>
      <c r="AA129" s="17">
        <f t="shared" si="3"/>
        <v>478.27069999999998</v>
      </c>
      <c r="AB129" s="17">
        <f t="shared" si="4"/>
        <v>334.06360000000001</v>
      </c>
      <c r="AC129" s="17">
        <f t="shared" si="5"/>
        <v>370.49746666666698</v>
      </c>
    </row>
    <row r="130" spans="1:29">
      <c r="A130" s="8">
        <v>45420</v>
      </c>
      <c r="B130" s="16">
        <v>384.24529999999999</v>
      </c>
      <c r="C130" s="16">
        <v>374.73590000000002</v>
      </c>
      <c r="D130" s="16">
        <v>363.66750000000002</v>
      </c>
      <c r="E130" s="16">
        <v>350.54289999999997</v>
      </c>
      <c r="F130" s="16">
        <v>350</v>
      </c>
      <c r="G130" s="16">
        <v>343.4975</v>
      </c>
      <c r="H130" s="16">
        <v>357.58249999999998</v>
      </c>
      <c r="I130" s="16">
        <v>363.5</v>
      </c>
      <c r="J130" s="16">
        <v>384.50189999999998</v>
      </c>
      <c r="K130" s="16">
        <v>389.7296</v>
      </c>
      <c r="L130" s="16">
        <v>364.75</v>
      </c>
      <c r="M130" s="16">
        <v>352.94240000000002</v>
      </c>
      <c r="N130" s="16">
        <v>347.08609999999999</v>
      </c>
      <c r="O130" s="16">
        <v>372.47609999999997</v>
      </c>
      <c r="P130" s="16">
        <v>364.28059999999999</v>
      </c>
      <c r="Q130" s="16">
        <v>368.65159999999997</v>
      </c>
      <c r="R130" s="16">
        <v>380.61779999999999</v>
      </c>
      <c r="S130" s="16">
        <v>366.4479</v>
      </c>
      <c r="T130" s="16">
        <v>361.2131</v>
      </c>
      <c r="U130" s="16">
        <v>371.17579999999998</v>
      </c>
      <c r="V130" s="16">
        <v>373.26420000000002</v>
      </c>
      <c r="W130" s="16">
        <v>361.25040000000001</v>
      </c>
      <c r="X130" s="16">
        <v>350.89499999999998</v>
      </c>
      <c r="Y130" s="16">
        <v>340.37990000000002</v>
      </c>
      <c r="Z130" s="16"/>
      <c r="AA130" s="17">
        <f t="shared" ref="AA130:AA193" si="6">MAX($B130:$Y130)</f>
        <v>389.7296</v>
      </c>
      <c r="AB130" s="17">
        <f t="shared" ref="AB130:AB193" si="7">MIN($B130:$Y130)</f>
        <v>340.37990000000002</v>
      </c>
      <c r="AC130" s="17">
        <f t="shared" ref="AC130:AC193" si="8">AVERAGE($B130:$Y130)</f>
        <v>364.05975000000001</v>
      </c>
    </row>
    <row r="131" spans="1:29">
      <c r="A131" s="8">
        <v>45421</v>
      </c>
      <c r="B131" s="16">
        <v>355.77440000000001</v>
      </c>
      <c r="C131" s="16">
        <v>341.24059999999997</v>
      </c>
      <c r="D131" s="16">
        <v>328.6148</v>
      </c>
      <c r="E131" s="16">
        <v>322.86</v>
      </c>
      <c r="F131" s="16">
        <v>309.56650000000002</v>
      </c>
      <c r="G131" s="16">
        <v>311.95960000000002</v>
      </c>
      <c r="H131" s="16">
        <v>333.28059999999999</v>
      </c>
      <c r="I131" s="16">
        <v>329.23259999999999</v>
      </c>
      <c r="J131" s="16">
        <v>344.94499999999999</v>
      </c>
      <c r="K131" s="16">
        <v>338.9092</v>
      </c>
      <c r="L131" s="16">
        <v>320.89420000000001</v>
      </c>
      <c r="M131" s="16">
        <v>315.08409999999998</v>
      </c>
      <c r="N131" s="16">
        <v>232.16919999999999</v>
      </c>
      <c r="O131" s="16">
        <v>336.84899999999999</v>
      </c>
      <c r="P131" s="16">
        <v>358.24290000000002</v>
      </c>
      <c r="Q131" s="16">
        <v>361.2253</v>
      </c>
      <c r="R131" s="16">
        <v>363.09190000000001</v>
      </c>
      <c r="S131" s="16">
        <v>257.5018</v>
      </c>
      <c r="T131" s="16">
        <v>337.35759999999999</v>
      </c>
      <c r="U131" s="16">
        <v>348.39389999999997</v>
      </c>
      <c r="V131" s="16">
        <v>352.09100000000001</v>
      </c>
      <c r="W131" s="16">
        <v>330.69209999999998</v>
      </c>
      <c r="X131" s="16">
        <v>319.39159999999998</v>
      </c>
      <c r="Y131" s="16">
        <v>240.92429999999999</v>
      </c>
      <c r="Z131" s="16"/>
      <c r="AA131" s="17">
        <f t="shared" si="6"/>
        <v>363.09190000000001</v>
      </c>
      <c r="AB131" s="17">
        <f t="shared" si="7"/>
        <v>232.16919999999999</v>
      </c>
      <c r="AC131" s="17">
        <f t="shared" si="8"/>
        <v>324.59550833333299</v>
      </c>
    </row>
    <row r="132" spans="1:29">
      <c r="A132" s="8">
        <v>45422</v>
      </c>
      <c r="B132" s="16">
        <v>325.41370000000001</v>
      </c>
      <c r="C132" s="16">
        <v>317.8252</v>
      </c>
      <c r="D132" s="16">
        <v>304.48919999999998</v>
      </c>
      <c r="E132" s="16">
        <v>224.4838</v>
      </c>
      <c r="F132" s="16">
        <v>0</v>
      </c>
      <c r="G132" s="16">
        <v>0</v>
      </c>
      <c r="H132" s="16">
        <v>308.14260000000002</v>
      </c>
      <c r="I132" s="16">
        <v>309.85930000000002</v>
      </c>
      <c r="J132" s="16">
        <v>330.62799999999999</v>
      </c>
      <c r="K132" s="16">
        <v>325.96510000000001</v>
      </c>
      <c r="L132" s="16">
        <v>317.41800000000001</v>
      </c>
      <c r="M132" s="16">
        <v>287.63229999999999</v>
      </c>
      <c r="N132" s="16">
        <v>154.67529999999999</v>
      </c>
      <c r="O132" s="16">
        <v>325.50119999999998</v>
      </c>
      <c r="P132" s="16">
        <v>336.5924</v>
      </c>
      <c r="Q132" s="16">
        <v>349.01499999999999</v>
      </c>
      <c r="R132" s="16">
        <v>360.0428</v>
      </c>
      <c r="S132" s="16">
        <v>250.58949999999999</v>
      </c>
      <c r="T132" s="16">
        <v>213.42939999999999</v>
      </c>
      <c r="U132" s="16">
        <v>329.30709999999999</v>
      </c>
      <c r="V132" s="16">
        <v>343.25</v>
      </c>
      <c r="W132" s="16">
        <v>331.36500000000001</v>
      </c>
      <c r="X132" s="16">
        <v>341.2475</v>
      </c>
      <c r="Y132" s="16">
        <v>338.21570000000003</v>
      </c>
      <c r="Z132" s="16"/>
      <c r="AA132" s="17">
        <f t="shared" si="6"/>
        <v>360.0428</v>
      </c>
      <c r="AB132" s="17">
        <f t="shared" si="7"/>
        <v>0</v>
      </c>
      <c r="AC132" s="17">
        <f t="shared" si="8"/>
        <v>280.21200416666699</v>
      </c>
    </row>
    <row r="133" spans="1:29">
      <c r="A133" s="8">
        <v>45423</v>
      </c>
      <c r="B133" s="16">
        <v>346.303</v>
      </c>
      <c r="C133" s="16">
        <v>346.214</v>
      </c>
      <c r="D133" s="16">
        <v>337.95749999999998</v>
      </c>
      <c r="E133" s="16">
        <v>330.43259999999998</v>
      </c>
      <c r="F133" s="16">
        <v>324.9624</v>
      </c>
      <c r="G133" s="16">
        <v>326.5</v>
      </c>
      <c r="H133" s="16">
        <v>340.03339999999997</v>
      </c>
      <c r="I133" s="16">
        <v>341.12810000000002</v>
      </c>
      <c r="J133" s="16">
        <v>355.33429999999998</v>
      </c>
      <c r="K133" s="16">
        <v>368.76049999999998</v>
      </c>
      <c r="L133" s="16">
        <v>340.70620000000002</v>
      </c>
      <c r="M133" s="16">
        <v>331.6284</v>
      </c>
      <c r="N133" s="16">
        <v>246.23310000000001</v>
      </c>
      <c r="O133" s="16">
        <v>347.49299999999999</v>
      </c>
      <c r="P133" s="16">
        <v>374.33359999999999</v>
      </c>
      <c r="Q133" s="16">
        <v>388.03149999999999</v>
      </c>
      <c r="R133" s="16">
        <v>396.48599999999999</v>
      </c>
      <c r="S133" s="16">
        <v>357.67419999999998</v>
      </c>
      <c r="T133" s="16">
        <v>345.97379999999998</v>
      </c>
      <c r="U133" s="16">
        <v>365.93310000000002</v>
      </c>
      <c r="V133" s="16">
        <v>372.72840000000002</v>
      </c>
      <c r="W133" s="16">
        <v>365.1123</v>
      </c>
      <c r="X133" s="16">
        <v>390.11180000000002</v>
      </c>
      <c r="Y133" s="16">
        <v>371.45960000000002</v>
      </c>
      <c r="Z133" s="16"/>
      <c r="AA133" s="17">
        <f t="shared" si="6"/>
        <v>396.48599999999999</v>
      </c>
      <c r="AB133" s="17">
        <f t="shared" si="7"/>
        <v>246.23310000000001</v>
      </c>
      <c r="AC133" s="17">
        <f t="shared" si="8"/>
        <v>350.48045000000002</v>
      </c>
    </row>
    <row r="134" spans="1:29">
      <c r="A134" s="8">
        <v>45424</v>
      </c>
      <c r="B134" s="16">
        <v>397.91059999999999</v>
      </c>
      <c r="C134" s="16">
        <v>375.0924</v>
      </c>
      <c r="D134" s="16">
        <v>361.4196</v>
      </c>
      <c r="E134" s="16">
        <v>350.82470000000001</v>
      </c>
      <c r="F134" s="16">
        <v>346.97129999999999</v>
      </c>
      <c r="G134" s="16">
        <v>339.96269999999998</v>
      </c>
      <c r="H134" s="16">
        <v>346.36869999999999</v>
      </c>
      <c r="I134" s="16">
        <v>343.2944</v>
      </c>
      <c r="J134" s="16">
        <v>333.66969999999998</v>
      </c>
      <c r="K134" s="16">
        <v>326.31009999999998</v>
      </c>
      <c r="L134" s="16">
        <v>319.84030000000001</v>
      </c>
      <c r="M134" s="16">
        <v>323.46910000000003</v>
      </c>
      <c r="N134" s="16">
        <v>323.94619999999998</v>
      </c>
      <c r="O134" s="16">
        <v>336.48</v>
      </c>
      <c r="P134" s="16">
        <v>338.87349999999998</v>
      </c>
      <c r="Q134" s="16">
        <v>324.37200000000001</v>
      </c>
      <c r="R134" s="16">
        <v>345.65309999999999</v>
      </c>
      <c r="S134" s="16">
        <v>350.08730000000003</v>
      </c>
      <c r="T134" s="16">
        <v>333.14240000000001</v>
      </c>
      <c r="U134" s="16">
        <v>328.74450000000002</v>
      </c>
      <c r="V134" s="16">
        <v>339.93799999999999</v>
      </c>
      <c r="W134" s="16">
        <v>343.50360000000001</v>
      </c>
      <c r="X134" s="16">
        <v>342.50970000000001</v>
      </c>
      <c r="Y134" s="16">
        <v>339.72570000000002</v>
      </c>
      <c r="Z134" s="16"/>
      <c r="AA134" s="17">
        <f t="shared" si="6"/>
        <v>397.91059999999999</v>
      </c>
      <c r="AB134" s="17">
        <f t="shared" si="7"/>
        <v>319.84030000000001</v>
      </c>
      <c r="AC134" s="17">
        <f t="shared" si="8"/>
        <v>342.17123333333302</v>
      </c>
    </row>
    <row r="135" spans="1:29">
      <c r="A135" s="8">
        <v>45425</v>
      </c>
      <c r="B135" s="16">
        <v>348.79079999999999</v>
      </c>
      <c r="C135" s="16">
        <v>341.40940000000001</v>
      </c>
      <c r="D135" s="16">
        <v>331.41969999999998</v>
      </c>
      <c r="E135" s="16">
        <v>306.69499999999999</v>
      </c>
      <c r="F135" s="16">
        <v>225.5</v>
      </c>
      <c r="G135" s="16">
        <v>273.83999999999997</v>
      </c>
      <c r="H135" s="16">
        <v>327.66379999999998</v>
      </c>
      <c r="I135" s="16">
        <v>330.48149999999998</v>
      </c>
      <c r="J135" s="16">
        <v>355.73020000000002</v>
      </c>
      <c r="K135" s="16">
        <v>346.74970000000002</v>
      </c>
      <c r="L135" s="16">
        <v>236.78460000000001</v>
      </c>
      <c r="M135" s="16">
        <v>272.02589999999998</v>
      </c>
      <c r="N135" s="16">
        <v>97.512200000000007</v>
      </c>
      <c r="O135" s="16">
        <v>272.18119999999999</v>
      </c>
      <c r="P135" s="16">
        <v>337.70600000000002</v>
      </c>
      <c r="Q135" s="16">
        <v>346.1891</v>
      </c>
      <c r="R135" s="16">
        <v>347.24009999999998</v>
      </c>
      <c r="S135" s="16">
        <v>357.42669999999998</v>
      </c>
      <c r="T135" s="16">
        <v>349.10559999999998</v>
      </c>
      <c r="U135" s="16">
        <v>366.1721</v>
      </c>
      <c r="V135" s="16">
        <v>367.26280000000003</v>
      </c>
      <c r="W135" s="16">
        <v>352.34210000000002</v>
      </c>
      <c r="X135" s="16">
        <v>348.12360000000001</v>
      </c>
      <c r="Y135" s="16">
        <v>342.8657</v>
      </c>
      <c r="Z135" s="16"/>
      <c r="AA135" s="17">
        <f t="shared" si="6"/>
        <v>367.26280000000003</v>
      </c>
      <c r="AB135" s="17">
        <f t="shared" si="7"/>
        <v>97.512200000000007</v>
      </c>
      <c r="AC135" s="17">
        <f t="shared" si="8"/>
        <v>315.884075</v>
      </c>
    </row>
    <row r="136" spans="1:29">
      <c r="A136" s="8">
        <v>45426</v>
      </c>
      <c r="B136" s="16">
        <v>322.65719999999999</v>
      </c>
      <c r="C136" s="16">
        <v>315.38889999999998</v>
      </c>
      <c r="D136" s="16">
        <v>323.42259999999999</v>
      </c>
      <c r="E136" s="16">
        <v>303.63580000000002</v>
      </c>
      <c r="F136" s="16">
        <v>147.1507</v>
      </c>
      <c r="G136" s="16">
        <v>0</v>
      </c>
      <c r="H136" s="16">
        <v>311.81529999999998</v>
      </c>
      <c r="I136" s="16">
        <v>307.47570000000002</v>
      </c>
      <c r="J136" s="16">
        <v>325.54219999999998</v>
      </c>
      <c r="K136" s="16">
        <v>165.3184</v>
      </c>
      <c r="L136" s="16">
        <v>30.404699999999998</v>
      </c>
      <c r="M136" s="16">
        <v>148.58179999999999</v>
      </c>
      <c r="N136" s="16">
        <v>92.359399999999994</v>
      </c>
      <c r="O136" s="16">
        <v>69.826099999999997</v>
      </c>
      <c r="P136" s="16">
        <v>22.644400000000001</v>
      </c>
      <c r="Q136" s="16">
        <v>130.57910000000001</v>
      </c>
      <c r="R136" s="16">
        <v>304.2115</v>
      </c>
      <c r="S136" s="16">
        <v>333.7097</v>
      </c>
      <c r="T136" s="16">
        <v>335.19659999999999</v>
      </c>
      <c r="U136" s="16">
        <v>346.50560000000002</v>
      </c>
      <c r="V136" s="16">
        <v>344.19009999999997</v>
      </c>
      <c r="W136" s="16">
        <v>340.34010000000001</v>
      </c>
      <c r="X136" s="16">
        <v>337.40170000000001</v>
      </c>
      <c r="Y136" s="16">
        <v>337.88920000000002</v>
      </c>
      <c r="Z136" s="16"/>
      <c r="AA136" s="17">
        <f t="shared" si="6"/>
        <v>346.50560000000002</v>
      </c>
      <c r="AB136" s="17">
        <f t="shared" si="7"/>
        <v>0</v>
      </c>
      <c r="AC136" s="17">
        <f t="shared" si="8"/>
        <v>237.343616666667</v>
      </c>
    </row>
    <row r="137" spans="1:29">
      <c r="A137" s="8">
        <v>45427</v>
      </c>
      <c r="B137" s="16">
        <v>337.57159999999999</v>
      </c>
      <c r="C137" s="16">
        <v>338.6925</v>
      </c>
      <c r="D137" s="16">
        <v>329.4101</v>
      </c>
      <c r="E137" s="16">
        <v>311.6225</v>
      </c>
      <c r="F137" s="16">
        <v>308.25</v>
      </c>
      <c r="G137" s="16">
        <v>305.83999999999997</v>
      </c>
      <c r="H137" s="16">
        <v>329.94400000000002</v>
      </c>
      <c r="I137" s="16">
        <v>322.5</v>
      </c>
      <c r="J137" s="16">
        <v>330.02409999999998</v>
      </c>
      <c r="K137" s="16">
        <v>320.07909999999998</v>
      </c>
      <c r="L137" s="16">
        <v>123.7942</v>
      </c>
      <c r="M137" s="16">
        <v>146.89500000000001</v>
      </c>
      <c r="N137" s="16">
        <v>199.7852</v>
      </c>
      <c r="O137" s="16">
        <v>244.03960000000001</v>
      </c>
      <c r="P137" s="16">
        <v>296.3732</v>
      </c>
      <c r="Q137" s="16">
        <v>333.05939999999998</v>
      </c>
      <c r="R137" s="16">
        <v>349.97</v>
      </c>
      <c r="S137" s="16">
        <v>357.26519999999999</v>
      </c>
      <c r="T137" s="16">
        <v>340.73349999999999</v>
      </c>
      <c r="U137" s="16">
        <v>365.27730000000003</v>
      </c>
      <c r="V137" s="16">
        <v>348.54910000000001</v>
      </c>
      <c r="W137" s="16">
        <v>343.25689999999997</v>
      </c>
      <c r="X137" s="16">
        <v>343.12759999999997</v>
      </c>
      <c r="Y137" s="16">
        <v>339.92540000000002</v>
      </c>
      <c r="Z137" s="16"/>
      <c r="AA137" s="17">
        <f t="shared" si="6"/>
        <v>365.27730000000003</v>
      </c>
      <c r="AB137" s="17">
        <f t="shared" si="7"/>
        <v>123.7942</v>
      </c>
      <c r="AC137" s="17">
        <f t="shared" si="8"/>
        <v>306.91606250000001</v>
      </c>
    </row>
    <row r="138" spans="1:29">
      <c r="A138" s="8">
        <v>45428</v>
      </c>
      <c r="B138" s="16">
        <v>326.1293</v>
      </c>
      <c r="C138" s="16">
        <v>328.75</v>
      </c>
      <c r="D138" s="16">
        <v>316.28250000000003</v>
      </c>
      <c r="E138" s="16">
        <v>299.22500000000002</v>
      </c>
      <c r="F138" s="16">
        <v>236.10140000000001</v>
      </c>
      <c r="G138" s="16">
        <v>51.75</v>
      </c>
      <c r="H138" s="16">
        <v>224.19499999999999</v>
      </c>
      <c r="I138" s="16">
        <v>203</v>
      </c>
      <c r="J138" s="16">
        <v>225.54859999999999</v>
      </c>
      <c r="K138" s="16">
        <v>184.63720000000001</v>
      </c>
      <c r="L138" s="16">
        <v>41.411000000000001</v>
      </c>
      <c r="M138" s="16">
        <v>133.9402</v>
      </c>
      <c r="N138" s="16">
        <v>148.68549999999999</v>
      </c>
      <c r="O138" s="16">
        <v>306.80169999999998</v>
      </c>
      <c r="P138" s="16">
        <v>230.83930000000001</v>
      </c>
      <c r="Q138" s="16">
        <v>260.18689999999998</v>
      </c>
      <c r="R138" s="16">
        <v>195.71610000000001</v>
      </c>
      <c r="S138" s="16">
        <v>163.53049999999999</v>
      </c>
      <c r="T138" s="16">
        <v>104.8716</v>
      </c>
      <c r="U138" s="16">
        <v>305.62900000000002</v>
      </c>
      <c r="V138" s="16">
        <v>306.22019999999998</v>
      </c>
      <c r="W138" s="16">
        <v>307.86200000000002</v>
      </c>
      <c r="X138" s="16">
        <v>311.59109999999998</v>
      </c>
      <c r="Y138" s="16">
        <v>308.08870000000002</v>
      </c>
      <c r="Z138" s="16"/>
      <c r="AA138" s="17">
        <f t="shared" si="6"/>
        <v>328.75</v>
      </c>
      <c r="AB138" s="17">
        <f t="shared" si="7"/>
        <v>41.411000000000001</v>
      </c>
      <c r="AC138" s="17">
        <f t="shared" si="8"/>
        <v>230.04136666666699</v>
      </c>
    </row>
    <row r="139" spans="1:29">
      <c r="A139" s="8">
        <v>45429</v>
      </c>
      <c r="B139" s="16">
        <v>323.43349999999998</v>
      </c>
      <c r="C139" s="16">
        <v>325.36</v>
      </c>
      <c r="D139" s="16">
        <v>312.5</v>
      </c>
      <c r="E139" s="16">
        <v>298.19499999999999</v>
      </c>
      <c r="F139" s="16">
        <v>162.5</v>
      </c>
      <c r="G139" s="16">
        <v>188.59</v>
      </c>
      <c r="H139" s="16">
        <v>305.86750000000001</v>
      </c>
      <c r="I139" s="16">
        <v>289.09500000000003</v>
      </c>
      <c r="J139" s="16">
        <v>318.65710000000001</v>
      </c>
      <c r="K139" s="16">
        <v>323.2022</v>
      </c>
      <c r="L139" s="16">
        <v>297.99669999999998</v>
      </c>
      <c r="M139" s="16">
        <v>324.2885</v>
      </c>
      <c r="N139" s="16">
        <v>252.02379999999999</v>
      </c>
      <c r="O139" s="16">
        <v>377.6728</v>
      </c>
      <c r="P139" s="16">
        <v>364.49470000000002</v>
      </c>
      <c r="Q139" s="16">
        <v>348.7226</v>
      </c>
      <c r="R139" s="16">
        <v>342.12389999999999</v>
      </c>
      <c r="S139" s="16">
        <v>332.61579999999998</v>
      </c>
      <c r="T139" s="16">
        <v>329.1995</v>
      </c>
      <c r="U139" s="16">
        <v>343.1395</v>
      </c>
      <c r="V139" s="16">
        <v>345.46350000000001</v>
      </c>
      <c r="W139" s="16">
        <v>343.39879999999999</v>
      </c>
      <c r="X139" s="16">
        <v>340.61689999999999</v>
      </c>
      <c r="Y139" s="16">
        <v>340.1841</v>
      </c>
      <c r="Z139" s="16"/>
      <c r="AA139" s="17">
        <f t="shared" si="6"/>
        <v>377.6728</v>
      </c>
      <c r="AB139" s="17">
        <f t="shared" si="7"/>
        <v>162.5</v>
      </c>
      <c r="AC139" s="17">
        <f t="shared" si="8"/>
        <v>313.72255833333298</v>
      </c>
    </row>
    <row r="140" spans="1:29">
      <c r="A140" s="8">
        <v>45430</v>
      </c>
      <c r="B140" s="16">
        <v>349.5</v>
      </c>
      <c r="C140" s="16">
        <v>341.70740000000001</v>
      </c>
      <c r="D140" s="16">
        <v>335.14359999999999</v>
      </c>
      <c r="E140" s="16">
        <v>322.96230000000003</v>
      </c>
      <c r="F140" s="16">
        <v>315.78250000000003</v>
      </c>
      <c r="G140" s="16">
        <v>314.47000000000003</v>
      </c>
      <c r="H140" s="16">
        <v>318.72059999999999</v>
      </c>
      <c r="I140" s="16">
        <v>315.5804</v>
      </c>
      <c r="J140" s="16">
        <v>323.01589999999999</v>
      </c>
      <c r="K140" s="16">
        <v>323.73489999999998</v>
      </c>
      <c r="L140" s="16">
        <v>326.26240000000001</v>
      </c>
      <c r="M140" s="16">
        <v>320.14940000000001</v>
      </c>
      <c r="N140" s="16">
        <v>238.31489999999999</v>
      </c>
      <c r="O140" s="16">
        <v>341.31880000000001</v>
      </c>
      <c r="P140" s="16">
        <v>428.24709999999999</v>
      </c>
      <c r="Q140" s="16">
        <v>333.37990000000002</v>
      </c>
      <c r="R140" s="16">
        <v>343.77929999999998</v>
      </c>
      <c r="S140" s="16">
        <v>197.3871</v>
      </c>
      <c r="T140" s="16">
        <v>154.2081</v>
      </c>
      <c r="U140" s="16">
        <v>259.68400000000003</v>
      </c>
      <c r="V140" s="16">
        <v>318.04910000000001</v>
      </c>
      <c r="W140" s="16">
        <v>301.92669999999998</v>
      </c>
      <c r="X140" s="16">
        <v>269.26870000000002</v>
      </c>
      <c r="Y140" s="16">
        <v>284.60199999999998</v>
      </c>
      <c r="Z140" s="16"/>
      <c r="AA140" s="17">
        <f t="shared" si="6"/>
        <v>428.24709999999999</v>
      </c>
      <c r="AB140" s="17">
        <f t="shared" si="7"/>
        <v>154.2081</v>
      </c>
      <c r="AC140" s="17">
        <f t="shared" si="8"/>
        <v>307.383129166667</v>
      </c>
    </row>
    <row r="141" spans="1:29">
      <c r="A141" s="8">
        <v>45431</v>
      </c>
      <c r="B141" s="16">
        <v>339.07960000000003</v>
      </c>
      <c r="C141" s="16">
        <v>320.76159999999999</v>
      </c>
      <c r="D141" s="16">
        <v>307.27969999999999</v>
      </c>
      <c r="E141" s="16">
        <v>223.09119999999999</v>
      </c>
      <c r="F141" s="16">
        <v>142.69499999999999</v>
      </c>
      <c r="G141" s="16">
        <v>73.867500000000007</v>
      </c>
      <c r="H141" s="16">
        <v>219.535</v>
      </c>
      <c r="I141" s="16">
        <v>143.86750000000001</v>
      </c>
      <c r="J141" s="16">
        <v>74.09</v>
      </c>
      <c r="K141" s="16">
        <v>0</v>
      </c>
      <c r="L141" s="16">
        <v>1.4006000000000001</v>
      </c>
      <c r="M141" s="16">
        <v>73.331100000000006</v>
      </c>
      <c r="N141" s="16">
        <v>228.96520000000001</v>
      </c>
      <c r="O141" s="16">
        <v>303.93</v>
      </c>
      <c r="P141" s="16">
        <v>292.46069999999997</v>
      </c>
      <c r="Q141" s="16">
        <v>154.35980000000001</v>
      </c>
      <c r="R141" s="16">
        <v>4.4377000000000004</v>
      </c>
      <c r="S141" s="16">
        <v>0</v>
      </c>
      <c r="T141" s="16">
        <v>0</v>
      </c>
      <c r="U141" s="16">
        <v>64.150599999999997</v>
      </c>
      <c r="V141" s="16">
        <v>66.815399999999997</v>
      </c>
      <c r="W141" s="16">
        <v>198.1977</v>
      </c>
      <c r="X141" s="16">
        <v>237.25540000000001</v>
      </c>
      <c r="Y141" s="16">
        <v>274.10840000000002</v>
      </c>
      <c r="Z141" s="16"/>
      <c r="AA141" s="17">
        <f t="shared" si="6"/>
        <v>339.07960000000003</v>
      </c>
      <c r="AB141" s="17">
        <f t="shared" si="7"/>
        <v>0</v>
      </c>
      <c r="AC141" s="17">
        <f t="shared" si="8"/>
        <v>155.98665416666699</v>
      </c>
    </row>
    <row r="142" spans="1:29">
      <c r="A142" s="8">
        <v>45432</v>
      </c>
      <c r="B142" s="16">
        <v>303.5575</v>
      </c>
      <c r="C142" s="16">
        <v>288.91359999999997</v>
      </c>
      <c r="D142" s="16">
        <v>68.188699999999997</v>
      </c>
      <c r="E142" s="16">
        <v>0</v>
      </c>
      <c r="F142" s="16">
        <v>0</v>
      </c>
      <c r="G142" s="16">
        <v>0</v>
      </c>
      <c r="H142" s="16">
        <v>229.77019999999999</v>
      </c>
      <c r="I142" s="16">
        <v>303.60739999999998</v>
      </c>
      <c r="J142" s="16">
        <v>316.8768</v>
      </c>
      <c r="K142" s="16">
        <v>333.74369999999999</v>
      </c>
      <c r="L142" s="16">
        <v>331.18579999999997</v>
      </c>
      <c r="M142" s="16">
        <v>328.6728</v>
      </c>
      <c r="N142" s="16">
        <v>231.61160000000001</v>
      </c>
      <c r="O142" s="16">
        <v>331.83390000000003</v>
      </c>
      <c r="P142" s="16">
        <v>341.71629999999999</v>
      </c>
      <c r="Q142" s="16">
        <v>337.71510000000001</v>
      </c>
      <c r="R142" s="16">
        <v>339.33150000000001</v>
      </c>
      <c r="S142" s="16">
        <v>323.00369999999998</v>
      </c>
      <c r="T142" s="16">
        <v>314.02359999999999</v>
      </c>
      <c r="U142" s="16">
        <v>320.64679999999998</v>
      </c>
      <c r="V142" s="16">
        <v>315.45929999999998</v>
      </c>
      <c r="W142" s="16">
        <v>307.91390000000001</v>
      </c>
      <c r="X142" s="16">
        <v>154.04239999999999</v>
      </c>
      <c r="Y142" s="16">
        <v>72.301400000000001</v>
      </c>
      <c r="Z142" s="16"/>
      <c r="AA142" s="17">
        <f t="shared" si="6"/>
        <v>341.71629999999999</v>
      </c>
      <c r="AB142" s="17">
        <f t="shared" si="7"/>
        <v>0</v>
      </c>
      <c r="AC142" s="17">
        <f t="shared" si="8"/>
        <v>245.58816666666701</v>
      </c>
    </row>
    <row r="143" spans="1:29">
      <c r="A143" s="8">
        <v>45433</v>
      </c>
      <c r="B143" s="16">
        <v>220.9854</v>
      </c>
      <c r="C143" s="16">
        <v>287.78210000000001</v>
      </c>
      <c r="D143" s="16">
        <v>283.80509999999998</v>
      </c>
      <c r="E143" s="16">
        <v>204.70240000000001</v>
      </c>
      <c r="F143" s="16">
        <v>70.5</v>
      </c>
      <c r="G143" s="16">
        <v>212.50450000000001</v>
      </c>
      <c r="H143" s="16">
        <v>305.20510000000002</v>
      </c>
      <c r="I143" s="16">
        <v>307.983</v>
      </c>
      <c r="J143" s="16">
        <v>320.09719999999999</v>
      </c>
      <c r="K143" s="16">
        <v>324.70229999999998</v>
      </c>
      <c r="L143" s="16">
        <v>325.06240000000003</v>
      </c>
      <c r="M143" s="16">
        <v>315.78149999999999</v>
      </c>
      <c r="N143" s="16">
        <v>221.4205</v>
      </c>
      <c r="O143" s="16">
        <v>308.59769999999997</v>
      </c>
      <c r="P143" s="16">
        <v>320.6266</v>
      </c>
      <c r="Q143" s="16">
        <v>322.52249999999998</v>
      </c>
      <c r="R143" s="16">
        <v>340.38440000000003</v>
      </c>
      <c r="S143" s="16">
        <v>312.3587</v>
      </c>
      <c r="T143" s="16">
        <v>316.45999999999998</v>
      </c>
      <c r="U143" s="16">
        <v>331.87939999999998</v>
      </c>
      <c r="V143" s="16">
        <v>322.7688</v>
      </c>
      <c r="W143" s="16">
        <v>321.44330000000002</v>
      </c>
      <c r="X143" s="16">
        <v>301.43860000000001</v>
      </c>
      <c r="Y143" s="16">
        <v>277.11219999999997</v>
      </c>
      <c r="Z143" s="16"/>
      <c r="AA143" s="17">
        <f t="shared" si="6"/>
        <v>340.38440000000003</v>
      </c>
      <c r="AB143" s="17">
        <f t="shared" si="7"/>
        <v>70.5</v>
      </c>
      <c r="AC143" s="17">
        <f t="shared" si="8"/>
        <v>286.50515416666701</v>
      </c>
    </row>
    <row r="144" spans="1:29">
      <c r="A144" s="8">
        <v>45434</v>
      </c>
      <c r="B144" s="16">
        <v>314.38490000000002</v>
      </c>
      <c r="C144" s="16">
        <v>312.03699999999998</v>
      </c>
      <c r="D144" s="16">
        <v>296.73840000000001</v>
      </c>
      <c r="E144" s="16">
        <v>216.04660000000001</v>
      </c>
      <c r="F144" s="16">
        <v>71.794700000000006</v>
      </c>
      <c r="G144" s="16">
        <v>73.468199999999996</v>
      </c>
      <c r="H144" s="16">
        <v>296.99110000000002</v>
      </c>
      <c r="I144" s="16">
        <v>306.11130000000003</v>
      </c>
      <c r="J144" s="16">
        <v>323.58449999999999</v>
      </c>
      <c r="K144" s="16">
        <v>330.45620000000002</v>
      </c>
      <c r="L144" s="16">
        <v>309.13260000000002</v>
      </c>
      <c r="M144" s="16">
        <v>309.35809999999998</v>
      </c>
      <c r="N144" s="16">
        <v>222.20740000000001</v>
      </c>
      <c r="O144" s="16">
        <v>302.04450000000003</v>
      </c>
      <c r="P144" s="16">
        <v>325.13350000000003</v>
      </c>
      <c r="Q144" s="16">
        <v>347.07810000000001</v>
      </c>
      <c r="R144" s="16">
        <v>357.02190000000002</v>
      </c>
      <c r="S144" s="16">
        <v>338.68680000000001</v>
      </c>
      <c r="T144" s="16">
        <v>343.94540000000001</v>
      </c>
      <c r="U144" s="16">
        <v>366.62209999999999</v>
      </c>
      <c r="V144" s="16">
        <v>345.89440000000002</v>
      </c>
      <c r="W144" s="16">
        <v>330.20780000000002</v>
      </c>
      <c r="X144" s="16">
        <v>314.69900000000001</v>
      </c>
      <c r="Y144" s="16">
        <v>301.5172</v>
      </c>
      <c r="Z144" s="16"/>
      <c r="AA144" s="17">
        <f t="shared" si="6"/>
        <v>366.62209999999999</v>
      </c>
      <c r="AB144" s="17">
        <f t="shared" si="7"/>
        <v>71.794700000000006</v>
      </c>
      <c r="AC144" s="17">
        <f t="shared" si="8"/>
        <v>293.96507083333302</v>
      </c>
    </row>
    <row r="145" spans="1:29">
      <c r="A145" s="8">
        <v>45435</v>
      </c>
      <c r="B145" s="16">
        <v>319.0206</v>
      </c>
      <c r="C145" s="16">
        <v>318.46010000000001</v>
      </c>
      <c r="D145" s="16">
        <v>310.92869999999999</v>
      </c>
      <c r="E145" s="16">
        <v>295.31400000000002</v>
      </c>
      <c r="F145" s="16">
        <v>280.88589999999999</v>
      </c>
      <c r="G145" s="16">
        <v>279.4006</v>
      </c>
      <c r="H145" s="16">
        <v>307.15280000000001</v>
      </c>
      <c r="I145" s="16">
        <v>308.00839999999999</v>
      </c>
      <c r="J145" s="16">
        <v>335.50020000000001</v>
      </c>
      <c r="K145" s="16">
        <v>345.29309999999998</v>
      </c>
      <c r="L145" s="16">
        <v>326.10890000000001</v>
      </c>
      <c r="M145" s="16">
        <v>311.59960000000001</v>
      </c>
      <c r="N145" s="16">
        <v>223.49639999999999</v>
      </c>
      <c r="O145" s="16">
        <v>314.3263</v>
      </c>
      <c r="P145" s="16">
        <v>321.37099999999998</v>
      </c>
      <c r="Q145" s="16">
        <v>326.49270000000001</v>
      </c>
      <c r="R145" s="16">
        <v>329.38479999999998</v>
      </c>
      <c r="S145" s="16">
        <v>331.4341</v>
      </c>
      <c r="T145" s="16">
        <v>328.08780000000002</v>
      </c>
      <c r="U145" s="16">
        <v>336.95679999999999</v>
      </c>
      <c r="V145" s="16">
        <v>337.9221</v>
      </c>
      <c r="W145" s="16">
        <v>329.94499999999999</v>
      </c>
      <c r="X145" s="16">
        <v>308.3861</v>
      </c>
      <c r="Y145" s="16">
        <v>296.66219999999998</v>
      </c>
      <c r="Z145" s="16"/>
      <c r="AA145" s="17">
        <f t="shared" si="6"/>
        <v>345.29309999999998</v>
      </c>
      <c r="AB145" s="17">
        <f t="shared" si="7"/>
        <v>223.49639999999999</v>
      </c>
      <c r="AC145" s="17">
        <f t="shared" si="8"/>
        <v>313.42242499999998</v>
      </c>
    </row>
    <row r="146" spans="1:29">
      <c r="A146" s="8">
        <v>45436</v>
      </c>
      <c r="B146" s="16">
        <v>301.20069999999998</v>
      </c>
      <c r="C146" s="16">
        <v>297.40219999999999</v>
      </c>
      <c r="D146" s="16">
        <v>262.5104</v>
      </c>
      <c r="E146" s="16">
        <v>232.9324</v>
      </c>
      <c r="F146" s="16">
        <v>99.342600000000004</v>
      </c>
      <c r="G146" s="16">
        <v>177.1688</v>
      </c>
      <c r="H146" s="16">
        <v>285.93020000000001</v>
      </c>
      <c r="I146" s="16">
        <v>292.46129999999999</v>
      </c>
      <c r="J146" s="16">
        <v>322.99189999999999</v>
      </c>
      <c r="K146" s="16">
        <v>329.98140000000001</v>
      </c>
      <c r="L146" s="16">
        <v>314.26519999999999</v>
      </c>
      <c r="M146" s="16">
        <v>314.0763</v>
      </c>
      <c r="N146" s="16">
        <v>229.00839999999999</v>
      </c>
      <c r="O146" s="16">
        <v>306.5752</v>
      </c>
      <c r="P146" s="16">
        <v>306.8356</v>
      </c>
      <c r="Q146" s="16">
        <v>325.9434</v>
      </c>
      <c r="R146" s="16">
        <v>325.63350000000003</v>
      </c>
      <c r="S146" s="16">
        <v>304.95350000000002</v>
      </c>
      <c r="T146" s="16">
        <v>301.22120000000001</v>
      </c>
      <c r="U146" s="16">
        <v>318.0992</v>
      </c>
      <c r="V146" s="16">
        <v>313.9008</v>
      </c>
      <c r="W146" s="16">
        <v>302.06889999999999</v>
      </c>
      <c r="X146" s="16">
        <v>278.56849999999997</v>
      </c>
      <c r="Y146" s="16">
        <v>238.40710000000001</v>
      </c>
      <c r="Z146" s="16"/>
      <c r="AA146" s="17">
        <f t="shared" si="6"/>
        <v>329.98140000000001</v>
      </c>
      <c r="AB146" s="17">
        <f t="shared" si="7"/>
        <v>99.342600000000004</v>
      </c>
      <c r="AC146" s="17">
        <f t="shared" si="8"/>
        <v>282.56161250000002</v>
      </c>
    </row>
    <row r="147" spans="1:29">
      <c r="A147" s="8">
        <v>45437</v>
      </c>
      <c r="B147" s="16">
        <v>312.25020000000001</v>
      </c>
      <c r="C147" s="16">
        <v>299.8553</v>
      </c>
      <c r="D147" s="16">
        <v>272.2235</v>
      </c>
      <c r="E147" s="16">
        <v>268.3569</v>
      </c>
      <c r="F147" s="16">
        <v>242.423</v>
      </c>
      <c r="G147" s="16">
        <v>180.33850000000001</v>
      </c>
      <c r="H147" s="16">
        <v>277.28440000000001</v>
      </c>
      <c r="I147" s="16">
        <v>206.8904</v>
      </c>
      <c r="J147" s="16">
        <v>292.505</v>
      </c>
      <c r="K147" s="16">
        <v>302.4624</v>
      </c>
      <c r="L147" s="16">
        <v>298.39049999999997</v>
      </c>
      <c r="M147" s="16">
        <v>298.25189999999998</v>
      </c>
      <c r="N147" s="16">
        <v>208.1061</v>
      </c>
      <c r="O147" s="16">
        <v>302.87360000000001</v>
      </c>
      <c r="P147" s="16">
        <v>323.13959999999997</v>
      </c>
      <c r="Q147" s="16">
        <v>322.3372</v>
      </c>
      <c r="R147" s="16">
        <v>331.6952</v>
      </c>
      <c r="S147" s="16">
        <v>318.0179</v>
      </c>
      <c r="T147" s="16">
        <v>322.19869999999997</v>
      </c>
      <c r="U147" s="16">
        <v>331.13069999999999</v>
      </c>
      <c r="V147" s="16">
        <v>323.4126</v>
      </c>
      <c r="W147" s="16">
        <v>317.03960000000001</v>
      </c>
      <c r="X147" s="16">
        <v>302.4418</v>
      </c>
      <c r="Y147" s="16">
        <v>300.26510000000002</v>
      </c>
      <c r="Z147" s="16"/>
      <c r="AA147" s="17">
        <f t="shared" si="6"/>
        <v>331.6952</v>
      </c>
      <c r="AB147" s="17">
        <f t="shared" si="7"/>
        <v>180.33850000000001</v>
      </c>
      <c r="AC147" s="17">
        <f t="shared" si="8"/>
        <v>289.74542083333301</v>
      </c>
    </row>
    <row r="148" spans="1:29">
      <c r="A148" s="8">
        <v>45438</v>
      </c>
      <c r="B148" s="16">
        <v>323.80009999999999</v>
      </c>
      <c r="C148" s="16">
        <v>302.40379999999999</v>
      </c>
      <c r="D148" s="16">
        <v>261.85129999999998</v>
      </c>
      <c r="E148" s="16">
        <v>0</v>
      </c>
      <c r="F148" s="16">
        <v>0</v>
      </c>
      <c r="G148" s="16">
        <v>0</v>
      </c>
      <c r="H148" s="16">
        <v>66.514700000000005</v>
      </c>
      <c r="I148" s="16">
        <v>0</v>
      </c>
      <c r="J148" s="16">
        <v>2.2850999999999999</v>
      </c>
      <c r="K148" s="16">
        <v>27.203199999999999</v>
      </c>
      <c r="L148" s="16">
        <v>11.709300000000001</v>
      </c>
      <c r="M148" s="16">
        <v>63.278100000000002</v>
      </c>
      <c r="N148" s="16">
        <v>12.1188</v>
      </c>
      <c r="O148" s="16">
        <v>142.82060000000001</v>
      </c>
      <c r="P148" s="16">
        <v>197.5438</v>
      </c>
      <c r="Q148" s="16">
        <v>72.204400000000007</v>
      </c>
      <c r="R148" s="16">
        <v>287.39170000000001</v>
      </c>
      <c r="S148" s="16">
        <v>303.36779999999999</v>
      </c>
      <c r="T148" s="16">
        <v>280.72109999999998</v>
      </c>
      <c r="U148" s="16">
        <v>297.65789999999998</v>
      </c>
      <c r="V148" s="16">
        <v>289.09870000000001</v>
      </c>
      <c r="W148" s="16">
        <v>298.5104</v>
      </c>
      <c r="X148" s="16">
        <v>277.04669999999999</v>
      </c>
      <c r="Y148" s="16">
        <v>280.83199999999999</v>
      </c>
      <c r="Z148" s="16"/>
      <c r="AA148" s="17">
        <f t="shared" si="6"/>
        <v>323.80009999999999</v>
      </c>
      <c r="AB148" s="17">
        <f t="shared" si="7"/>
        <v>0</v>
      </c>
      <c r="AC148" s="17">
        <f t="shared" si="8"/>
        <v>158.26497916666699</v>
      </c>
    </row>
    <row r="149" spans="1:29">
      <c r="A149" s="8">
        <v>45439</v>
      </c>
      <c r="B149" s="16">
        <v>322.35989999999998</v>
      </c>
      <c r="C149" s="16">
        <v>306.90449999999998</v>
      </c>
      <c r="D149" s="16">
        <v>295.56150000000002</v>
      </c>
      <c r="E149" s="16">
        <v>268.66829999999999</v>
      </c>
      <c r="F149" s="16">
        <v>69.9375</v>
      </c>
      <c r="G149" s="16">
        <v>8.6300000000000002E-2</v>
      </c>
      <c r="H149" s="16">
        <v>205.0377</v>
      </c>
      <c r="I149" s="16">
        <v>207.5326</v>
      </c>
      <c r="J149" s="16">
        <v>318.98700000000002</v>
      </c>
      <c r="K149" s="16">
        <v>343.38400000000001</v>
      </c>
      <c r="L149" s="16">
        <v>376.13850000000002</v>
      </c>
      <c r="M149" s="16">
        <v>346.56479999999999</v>
      </c>
      <c r="N149" s="16">
        <v>287.16750000000002</v>
      </c>
      <c r="O149" s="16">
        <v>321.529</v>
      </c>
      <c r="P149" s="16">
        <v>335.50330000000002</v>
      </c>
      <c r="Q149" s="16">
        <v>356.93290000000002</v>
      </c>
      <c r="R149" s="16">
        <v>370.27839999999998</v>
      </c>
      <c r="S149" s="16">
        <v>342.86189999999999</v>
      </c>
      <c r="T149" s="16">
        <v>333.19369999999998</v>
      </c>
      <c r="U149" s="16">
        <v>329.30650000000003</v>
      </c>
      <c r="V149" s="16">
        <v>346.69229999999999</v>
      </c>
      <c r="W149" s="16">
        <v>337.8639</v>
      </c>
      <c r="X149" s="16">
        <v>322.85039999999998</v>
      </c>
      <c r="Y149" s="16">
        <v>308.17320000000001</v>
      </c>
      <c r="Z149" s="16"/>
      <c r="AA149" s="17">
        <f t="shared" si="6"/>
        <v>376.13850000000002</v>
      </c>
      <c r="AB149" s="17">
        <f t="shared" si="7"/>
        <v>8.6300000000000002E-2</v>
      </c>
      <c r="AC149" s="17">
        <f t="shared" si="8"/>
        <v>293.89648333333298</v>
      </c>
    </row>
    <row r="150" spans="1:29">
      <c r="A150" s="8">
        <v>45440</v>
      </c>
      <c r="B150" s="16">
        <v>316.43540000000002</v>
      </c>
      <c r="C150" s="16">
        <v>306.2835</v>
      </c>
      <c r="D150" s="16">
        <v>284.83010000000002</v>
      </c>
      <c r="E150" s="16">
        <v>193.1181</v>
      </c>
      <c r="F150" s="16">
        <v>29.700900000000001</v>
      </c>
      <c r="G150" s="16">
        <v>29.697399999999998</v>
      </c>
      <c r="H150" s="16">
        <v>298.35789999999997</v>
      </c>
      <c r="I150" s="16">
        <v>288.30279999999999</v>
      </c>
      <c r="J150" s="16">
        <v>325.38069999999999</v>
      </c>
      <c r="K150" s="16">
        <v>325.52980000000002</v>
      </c>
      <c r="L150" s="16">
        <v>324.91500000000002</v>
      </c>
      <c r="M150" s="16">
        <v>322.80329999999998</v>
      </c>
      <c r="N150" s="16">
        <v>300.83909999999997</v>
      </c>
      <c r="O150" s="16">
        <v>339.96749999999997</v>
      </c>
      <c r="P150" s="16">
        <v>323.83390000000003</v>
      </c>
      <c r="Q150" s="16">
        <v>323.88810000000001</v>
      </c>
      <c r="R150" s="16">
        <v>323.96480000000003</v>
      </c>
      <c r="S150" s="16">
        <v>316.60890000000001</v>
      </c>
      <c r="T150" s="16">
        <v>303.34719999999999</v>
      </c>
      <c r="U150" s="16">
        <v>319.25920000000002</v>
      </c>
      <c r="V150" s="16">
        <v>318.5718</v>
      </c>
      <c r="W150" s="16">
        <v>302.86989999999997</v>
      </c>
      <c r="X150" s="16">
        <v>200.26840000000001</v>
      </c>
      <c r="Y150" s="16">
        <v>108.9319</v>
      </c>
      <c r="Z150" s="16"/>
      <c r="AA150" s="17">
        <f t="shared" si="6"/>
        <v>339.96749999999997</v>
      </c>
      <c r="AB150" s="17">
        <f t="shared" si="7"/>
        <v>29.697399999999998</v>
      </c>
      <c r="AC150" s="17">
        <f t="shared" si="8"/>
        <v>271.98773333333298</v>
      </c>
    </row>
    <row r="151" spans="1:29">
      <c r="A151" s="8">
        <v>45441</v>
      </c>
      <c r="B151" s="16">
        <v>204.81450000000001</v>
      </c>
      <c r="C151" s="16">
        <v>137.43459999999999</v>
      </c>
      <c r="D151" s="16">
        <v>0</v>
      </c>
      <c r="E151" s="16">
        <v>0</v>
      </c>
      <c r="F151" s="16">
        <v>0</v>
      </c>
      <c r="G151" s="16">
        <v>0</v>
      </c>
      <c r="H151" s="16">
        <v>0</v>
      </c>
      <c r="I151" s="16">
        <v>0.97629999999999995</v>
      </c>
      <c r="J151" s="16">
        <v>129.8038</v>
      </c>
      <c r="K151" s="16">
        <v>41.984699999999997</v>
      </c>
      <c r="L151" s="16">
        <v>0</v>
      </c>
      <c r="M151" s="16">
        <v>0</v>
      </c>
      <c r="N151" s="16">
        <v>0</v>
      </c>
      <c r="O151" s="16">
        <v>4.2380000000000004</v>
      </c>
      <c r="P151" s="16">
        <v>3.5396999999999998</v>
      </c>
      <c r="Q151" s="16">
        <v>104.24850000000001</v>
      </c>
      <c r="R151" s="16">
        <v>40.729799999999997</v>
      </c>
      <c r="S151" s="16">
        <v>28.0367</v>
      </c>
      <c r="T151" s="16">
        <v>4.6856999999999998</v>
      </c>
      <c r="U151" s="16">
        <v>112.97709999999999</v>
      </c>
      <c r="V151" s="16">
        <v>28.346499999999999</v>
      </c>
      <c r="W151" s="16">
        <v>169.0384</v>
      </c>
      <c r="X151" s="16">
        <v>163.51</v>
      </c>
      <c r="Y151" s="16">
        <v>0</v>
      </c>
      <c r="Z151" s="16"/>
      <c r="AA151" s="17">
        <f t="shared" si="6"/>
        <v>204.81450000000001</v>
      </c>
      <c r="AB151" s="17">
        <f t="shared" si="7"/>
        <v>0</v>
      </c>
      <c r="AC151" s="17">
        <f t="shared" si="8"/>
        <v>48.931845833333298</v>
      </c>
    </row>
    <row r="152" spans="1:29">
      <c r="A152" s="8">
        <v>45442</v>
      </c>
      <c r="B152" s="16">
        <v>227.57749999999999</v>
      </c>
      <c r="C152" s="16">
        <v>276.77210000000002</v>
      </c>
      <c r="D152" s="16">
        <v>239.59370000000001</v>
      </c>
      <c r="E152" s="16">
        <v>272.29669999999999</v>
      </c>
      <c r="F152" s="16">
        <v>67.636300000000006</v>
      </c>
      <c r="G152" s="16">
        <v>0</v>
      </c>
      <c r="H152" s="16">
        <v>283.12880000000001</v>
      </c>
      <c r="I152" s="16">
        <v>138.77209999999999</v>
      </c>
      <c r="J152" s="16">
        <v>283.8614</v>
      </c>
      <c r="K152" s="16">
        <v>117.1962</v>
      </c>
      <c r="L152" s="16">
        <v>58.956000000000003</v>
      </c>
      <c r="M152" s="16">
        <v>211.0009</v>
      </c>
      <c r="N152" s="16">
        <v>211.54560000000001</v>
      </c>
      <c r="O152" s="16">
        <v>288.02710000000002</v>
      </c>
      <c r="P152" s="16">
        <v>315.54759999999999</v>
      </c>
      <c r="Q152" s="16">
        <v>315.00150000000002</v>
      </c>
      <c r="R152" s="16">
        <v>318.46230000000003</v>
      </c>
      <c r="S152" s="16">
        <v>311.25560000000002</v>
      </c>
      <c r="T152" s="16">
        <v>300.86720000000003</v>
      </c>
      <c r="U152" s="16">
        <v>327.94810000000001</v>
      </c>
      <c r="V152" s="16">
        <v>312.59969999999998</v>
      </c>
      <c r="W152" s="16">
        <v>302.37740000000002</v>
      </c>
      <c r="X152" s="16">
        <v>293.6096</v>
      </c>
      <c r="Y152" s="16">
        <v>203.98599999999999</v>
      </c>
      <c r="Z152" s="16"/>
      <c r="AA152" s="17">
        <f t="shared" si="6"/>
        <v>327.94810000000001</v>
      </c>
      <c r="AB152" s="17">
        <f t="shared" si="7"/>
        <v>0</v>
      </c>
      <c r="AC152" s="17">
        <f t="shared" si="8"/>
        <v>236.58414166666699</v>
      </c>
    </row>
    <row r="153" spans="1:29">
      <c r="A153" s="8">
        <v>45443</v>
      </c>
      <c r="B153" s="16">
        <v>273.14980000000003</v>
      </c>
      <c r="C153" s="16">
        <v>281.05259999999998</v>
      </c>
      <c r="D153" s="16">
        <v>264.13909999999998</v>
      </c>
      <c r="E153" s="16">
        <v>240.0283</v>
      </c>
      <c r="F153" s="16">
        <v>98.089399999999998</v>
      </c>
      <c r="G153" s="16">
        <v>0</v>
      </c>
      <c r="H153" s="16">
        <v>174.19800000000001</v>
      </c>
      <c r="I153" s="16">
        <v>132.32140000000001</v>
      </c>
      <c r="J153" s="16">
        <v>289.27620000000002</v>
      </c>
      <c r="K153" s="16">
        <v>323.4502</v>
      </c>
      <c r="L153" s="16">
        <v>339.49430000000001</v>
      </c>
      <c r="M153" s="16">
        <v>319.49130000000002</v>
      </c>
      <c r="N153" s="16">
        <v>203.62540000000001</v>
      </c>
      <c r="O153" s="16">
        <v>301.26499999999999</v>
      </c>
      <c r="P153" s="16">
        <v>318.51639999999998</v>
      </c>
      <c r="Q153" s="16">
        <v>321.89589999999998</v>
      </c>
      <c r="R153" s="16">
        <v>325.02839999999998</v>
      </c>
      <c r="S153" s="16">
        <v>298.76429999999999</v>
      </c>
      <c r="T153" s="16">
        <v>294.86579999999998</v>
      </c>
      <c r="U153" s="16">
        <v>313.14479999999998</v>
      </c>
      <c r="V153" s="16">
        <v>310.95150000000001</v>
      </c>
      <c r="W153" s="16">
        <v>285.41980000000001</v>
      </c>
      <c r="X153" s="16">
        <v>246.1541</v>
      </c>
      <c r="Y153" s="16">
        <v>265.35410000000002</v>
      </c>
      <c r="Z153" s="16"/>
      <c r="AA153" s="17">
        <f t="shared" si="6"/>
        <v>339.49430000000001</v>
      </c>
      <c r="AB153" s="17">
        <f t="shared" si="7"/>
        <v>0</v>
      </c>
      <c r="AC153" s="17">
        <f t="shared" si="8"/>
        <v>259.15317083333298</v>
      </c>
    </row>
    <row r="154" spans="1:29">
      <c r="A154" s="8">
        <v>45444</v>
      </c>
      <c r="B154" s="16">
        <v>332.15350000000001</v>
      </c>
      <c r="C154" s="16">
        <v>303.7629</v>
      </c>
      <c r="D154" s="16">
        <v>271.7688</v>
      </c>
      <c r="E154" s="16">
        <v>182.6285</v>
      </c>
      <c r="F154" s="16">
        <v>0</v>
      </c>
      <c r="G154" s="16">
        <v>0</v>
      </c>
      <c r="H154" s="16">
        <v>248.191</v>
      </c>
      <c r="I154" s="16">
        <v>62.416600000000003</v>
      </c>
      <c r="J154" s="16">
        <v>236.5515</v>
      </c>
      <c r="K154" s="16">
        <v>249.23140000000001</v>
      </c>
      <c r="L154" s="16">
        <v>294.84399999999999</v>
      </c>
      <c r="M154" s="16">
        <v>364.12610000000001</v>
      </c>
      <c r="N154" s="16">
        <v>204.511</v>
      </c>
      <c r="O154" s="16">
        <v>262.43419999999998</v>
      </c>
      <c r="P154" s="16">
        <v>227.76650000000001</v>
      </c>
      <c r="Q154" s="16">
        <v>307.50130000000001</v>
      </c>
      <c r="R154" s="16">
        <v>306.71929999999998</v>
      </c>
      <c r="S154" s="16">
        <v>305.69470000000001</v>
      </c>
      <c r="T154" s="16">
        <v>313.5899</v>
      </c>
      <c r="U154" s="16">
        <v>313.7475</v>
      </c>
      <c r="V154" s="16">
        <v>315.55700000000002</v>
      </c>
      <c r="W154" s="16">
        <v>308.77749999999997</v>
      </c>
      <c r="X154" s="16">
        <v>300.59679999999997</v>
      </c>
      <c r="Y154" s="16">
        <v>303.22000000000003</v>
      </c>
      <c r="Z154" s="16"/>
      <c r="AA154" s="17">
        <f t="shared" si="6"/>
        <v>364.12610000000001</v>
      </c>
      <c r="AB154" s="17">
        <f t="shared" si="7"/>
        <v>0</v>
      </c>
      <c r="AC154" s="17">
        <f t="shared" si="8"/>
        <v>250.65791666666701</v>
      </c>
    </row>
    <row r="155" spans="1:29">
      <c r="A155" s="8">
        <v>45445</v>
      </c>
      <c r="B155" s="16">
        <v>324.64749999999998</v>
      </c>
      <c r="C155" s="16">
        <v>305.08749999999998</v>
      </c>
      <c r="D155" s="16">
        <v>292.39109999999999</v>
      </c>
      <c r="E155" s="16">
        <v>273.95749999999998</v>
      </c>
      <c r="F155" s="16">
        <v>200</v>
      </c>
      <c r="G155" s="16">
        <v>185.09</v>
      </c>
      <c r="H155" s="16">
        <v>264.61</v>
      </c>
      <c r="I155" s="16">
        <v>3.0278</v>
      </c>
      <c r="J155" s="16">
        <v>0</v>
      </c>
      <c r="K155" s="16">
        <v>30.8536</v>
      </c>
      <c r="L155" s="16">
        <v>37.579599999999999</v>
      </c>
      <c r="M155" s="16">
        <v>263.2783</v>
      </c>
      <c r="N155" s="16">
        <v>153.41890000000001</v>
      </c>
      <c r="O155" s="16">
        <v>297.11989999999997</v>
      </c>
      <c r="P155" s="16">
        <v>298.589</v>
      </c>
      <c r="Q155" s="16">
        <v>316.47750000000002</v>
      </c>
      <c r="R155" s="16">
        <v>302.67649999999998</v>
      </c>
      <c r="S155" s="16">
        <v>353.2987</v>
      </c>
      <c r="T155" s="16">
        <v>341.8605</v>
      </c>
      <c r="U155" s="16">
        <v>351.25990000000002</v>
      </c>
      <c r="V155" s="16">
        <v>363.2029</v>
      </c>
      <c r="W155" s="16">
        <v>508.33580000000001</v>
      </c>
      <c r="X155" s="16">
        <v>363.59309999999999</v>
      </c>
      <c r="Y155" s="16">
        <v>321.73809999999997</v>
      </c>
      <c r="Z155" s="16"/>
      <c r="AA155" s="17">
        <f t="shared" si="6"/>
        <v>508.33580000000001</v>
      </c>
      <c r="AB155" s="17">
        <f t="shared" si="7"/>
        <v>0</v>
      </c>
      <c r="AC155" s="17">
        <f t="shared" si="8"/>
        <v>256.33723750000001</v>
      </c>
    </row>
    <row r="156" spans="1:29">
      <c r="A156" s="8">
        <v>45446</v>
      </c>
      <c r="B156" s="16">
        <v>323.29730000000001</v>
      </c>
      <c r="C156" s="16">
        <v>355.57190000000003</v>
      </c>
      <c r="D156" s="16">
        <v>318.97519999999997</v>
      </c>
      <c r="E156" s="16">
        <v>297</v>
      </c>
      <c r="F156" s="16">
        <v>268.23250000000002</v>
      </c>
      <c r="G156" s="16">
        <v>269.57499999999999</v>
      </c>
      <c r="H156" s="16">
        <v>297.52999999999997</v>
      </c>
      <c r="I156" s="16">
        <v>300.52749999999997</v>
      </c>
      <c r="J156" s="16">
        <v>374.95260000000002</v>
      </c>
      <c r="K156" s="16">
        <v>405.49779999999998</v>
      </c>
      <c r="L156" s="16">
        <v>345.12990000000002</v>
      </c>
      <c r="M156" s="16">
        <v>327.74529999999999</v>
      </c>
      <c r="N156" s="16">
        <v>228.12309999999999</v>
      </c>
      <c r="O156" s="16">
        <v>310.03809999999999</v>
      </c>
      <c r="P156" s="16">
        <v>319.61779999999999</v>
      </c>
      <c r="Q156" s="16">
        <v>320.5752</v>
      </c>
      <c r="R156" s="16">
        <v>335.12509999999997</v>
      </c>
      <c r="S156" s="16">
        <v>316.99689999999998</v>
      </c>
      <c r="T156" s="16">
        <v>302.07659999999998</v>
      </c>
      <c r="U156" s="16">
        <v>314.70310000000001</v>
      </c>
      <c r="V156" s="16">
        <v>306.60879999999997</v>
      </c>
      <c r="W156" s="16">
        <v>192.17240000000001</v>
      </c>
      <c r="X156" s="16">
        <v>232.6275</v>
      </c>
      <c r="Y156" s="16">
        <v>275.00959999999998</v>
      </c>
      <c r="Z156" s="16"/>
      <c r="AA156" s="17">
        <f t="shared" si="6"/>
        <v>405.49779999999998</v>
      </c>
      <c r="AB156" s="17">
        <f t="shared" si="7"/>
        <v>192.17240000000001</v>
      </c>
      <c r="AC156" s="17">
        <f t="shared" si="8"/>
        <v>305.737883333333</v>
      </c>
    </row>
    <row r="157" spans="1:29">
      <c r="A157" s="8">
        <v>45447</v>
      </c>
      <c r="B157" s="16">
        <v>301.01010000000002</v>
      </c>
      <c r="C157" s="16">
        <v>289.09070000000003</v>
      </c>
      <c r="D157" s="16">
        <v>119.19499999999999</v>
      </c>
      <c r="E157" s="16">
        <v>0</v>
      </c>
      <c r="F157" s="16">
        <v>0</v>
      </c>
      <c r="G157" s="16">
        <v>17.212900000000001</v>
      </c>
      <c r="H157" s="16">
        <v>284.66849999999999</v>
      </c>
      <c r="I157" s="16">
        <v>277.70330000000001</v>
      </c>
      <c r="J157" s="16">
        <v>325.14479999999998</v>
      </c>
      <c r="K157" s="16">
        <v>328.30130000000003</v>
      </c>
      <c r="L157" s="16">
        <v>328.73079999999999</v>
      </c>
      <c r="M157" s="16">
        <v>321.77659999999997</v>
      </c>
      <c r="N157" s="16">
        <v>220.5204</v>
      </c>
      <c r="O157" s="16">
        <v>291.45620000000002</v>
      </c>
      <c r="P157" s="16">
        <v>310.87029999999999</v>
      </c>
      <c r="Q157" s="16">
        <v>312.17110000000002</v>
      </c>
      <c r="R157" s="16">
        <v>305.3229</v>
      </c>
      <c r="S157" s="16">
        <v>249.84630000000001</v>
      </c>
      <c r="T157" s="16">
        <v>201.4564</v>
      </c>
      <c r="U157" s="16">
        <v>305.55029999999999</v>
      </c>
      <c r="V157" s="16">
        <v>284.22550000000001</v>
      </c>
      <c r="W157" s="16">
        <v>146.27799999999999</v>
      </c>
      <c r="X157" s="16">
        <v>58.274999999999999</v>
      </c>
      <c r="Y157" s="16">
        <v>0</v>
      </c>
      <c r="Z157" s="16"/>
      <c r="AA157" s="17">
        <f t="shared" si="6"/>
        <v>328.73079999999999</v>
      </c>
      <c r="AB157" s="17">
        <f t="shared" si="7"/>
        <v>0</v>
      </c>
      <c r="AC157" s="17">
        <f t="shared" si="8"/>
        <v>219.95026666666701</v>
      </c>
    </row>
    <row r="158" spans="1:29">
      <c r="A158" s="8">
        <v>45448</v>
      </c>
      <c r="B158" s="16">
        <v>210.70169999999999</v>
      </c>
      <c r="C158" s="16">
        <v>0</v>
      </c>
      <c r="D158" s="16">
        <v>50</v>
      </c>
      <c r="E158" s="16">
        <v>0</v>
      </c>
      <c r="F158" s="16">
        <v>0</v>
      </c>
      <c r="G158" s="16">
        <v>0</v>
      </c>
      <c r="H158" s="16">
        <v>205</v>
      </c>
      <c r="I158" s="16">
        <v>192.3569</v>
      </c>
      <c r="J158" s="16">
        <v>309.90480000000002</v>
      </c>
      <c r="K158" s="16">
        <v>315.30500000000001</v>
      </c>
      <c r="L158" s="16">
        <v>325.14370000000002</v>
      </c>
      <c r="M158" s="16">
        <v>305.11779999999999</v>
      </c>
      <c r="N158" s="16">
        <v>199.69329999999999</v>
      </c>
      <c r="O158" s="16">
        <v>291.08019999999999</v>
      </c>
      <c r="P158" s="16">
        <v>304.29629999999997</v>
      </c>
      <c r="Q158" s="16">
        <v>321.64460000000003</v>
      </c>
      <c r="R158" s="16">
        <v>330.36660000000001</v>
      </c>
      <c r="S158" s="16">
        <v>325.53059999999999</v>
      </c>
      <c r="T158" s="16">
        <v>303.26760000000002</v>
      </c>
      <c r="U158" s="16">
        <v>325.80840000000001</v>
      </c>
      <c r="V158" s="16">
        <v>326.49919999999997</v>
      </c>
      <c r="W158" s="16">
        <v>315.32600000000002</v>
      </c>
      <c r="X158" s="16">
        <v>242.16749999999999</v>
      </c>
      <c r="Y158" s="16">
        <v>131.22669999999999</v>
      </c>
      <c r="Z158" s="16"/>
      <c r="AA158" s="17">
        <f t="shared" si="6"/>
        <v>330.36660000000001</v>
      </c>
      <c r="AB158" s="17">
        <f t="shared" si="7"/>
        <v>0</v>
      </c>
      <c r="AC158" s="17">
        <f t="shared" si="8"/>
        <v>222.10153750000001</v>
      </c>
    </row>
    <row r="159" spans="1:29">
      <c r="A159" s="8">
        <v>45449</v>
      </c>
      <c r="B159" s="16">
        <v>280.59410000000003</v>
      </c>
      <c r="C159" s="16">
        <v>196.18260000000001</v>
      </c>
      <c r="D159" s="16">
        <v>139.07689999999999</v>
      </c>
      <c r="E159" s="16">
        <v>59.071599999999997</v>
      </c>
      <c r="F159" s="16">
        <v>0.54790000000000005</v>
      </c>
      <c r="G159" s="16">
        <v>58.37</v>
      </c>
      <c r="H159" s="16">
        <v>224.79849999999999</v>
      </c>
      <c r="I159" s="16">
        <v>114.56</v>
      </c>
      <c r="J159" s="16">
        <v>287.99939999999998</v>
      </c>
      <c r="K159" s="16">
        <v>311.14420000000001</v>
      </c>
      <c r="L159" s="16">
        <v>513.69569999999999</v>
      </c>
      <c r="M159" s="16">
        <v>334.40589999999997</v>
      </c>
      <c r="N159" s="16">
        <v>80.669899999999998</v>
      </c>
      <c r="O159" s="16">
        <v>292.71249999999998</v>
      </c>
      <c r="P159" s="16">
        <v>346.24329999999998</v>
      </c>
      <c r="Q159" s="16">
        <v>400.44499999999999</v>
      </c>
      <c r="R159" s="16">
        <v>532.29240000000004</v>
      </c>
      <c r="S159" s="16">
        <v>428.53059999999999</v>
      </c>
      <c r="T159" s="16">
        <v>456.82089999999999</v>
      </c>
      <c r="U159" s="16">
        <v>443.50459999999998</v>
      </c>
      <c r="V159" s="16">
        <v>480.77820000000003</v>
      </c>
      <c r="W159" s="16">
        <v>344.80059999999997</v>
      </c>
      <c r="X159" s="16">
        <v>301.09300000000002</v>
      </c>
      <c r="Y159" s="16">
        <v>253.035</v>
      </c>
      <c r="Z159" s="16"/>
      <c r="AA159" s="17">
        <f t="shared" si="6"/>
        <v>532.29240000000004</v>
      </c>
      <c r="AB159" s="17">
        <f t="shared" si="7"/>
        <v>0.54790000000000005</v>
      </c>
      <c r="AC159" s="17">
        <f t="shared" si="8"/>
        <v>286.72386666666699</v>
      </c>
    </row>
    <row r="160" spans="1:29">
      <c r="A160" s="8">
        <v>45450</v>
      </c>
      <c r="B160" s="16">
        <v>293.62909999999999</v>
      </c>
      <c r="C160" s="16">
        <v>184.81720000000001</v>
      </c>
      <c r="D160" s="16">
        <v>49.9467</v>
      </c>
      <c r="E160" s="16">
        <v>6.4474</v>
      </c>
      <c r="F160" s="16">
        <v>0.46139999999999998</v>
      </c>
      <c r="G160" s="16">
        <v>1.3528</v>
      </c>
      <c r="H160" s="16">
        <v>153.95439999999999</v>
      </c>
      <c r="I160" s="16">
        <v>203.10839999999999</v>
      </c>
      <c r="J160" s="16">
        <v>298.25659999999999</v>
      </c>
      <c r="K160" s="16">
        <v>325.40769999999998</v>
      </c>
      <c r="L160" s="16">
        <v>333.22629999999998</v>
      </c>
      <c r="M160" s="16">
        <v>308.88740000000001</v>
      </c>
      <c r="N160" s="16">
        <v>33.9786</v>
      </c>
      <c r="O160" s="16">
        <v>291.21249999999998</v>
      </c>
      <c r="P160" s="16">
        <v>306.74509999999998</v>
      </c>
      <c r="Q160" s="16">
        <v>323.53250000000003</v>
      </c>
      <c r="R160" s="16">
        <v>348.30189999999999</v>
      </c>
      <c r="S160" s="16">
        <v>335.15679999999998</v>
      </c>
      <c r="T160" s="16">
        <v>316.03489999999999</v>
      </c>
      <c r="U160" s="16">
        <v>335.72750000000002</v>
      </c>
      <c r="V160" s="16">
        <v>325.52679999999998</v>
      </c>
      <c r="W160" s="16">
        <v>320.9692</v>
      </c>
      <c r="X160" s="16">
        <v>310.55290000000002</v>
      </c>
      <c r="Y160" s="16">
        <v>307.65129999999999</v>
      </c>
      <c r="Z160" s="16"/>
      <c r="AA160" s="17">
        <f t="shared" si="6"/>
        <v>348.30189999999999</v>
      </c>
      <c r="AB160" s="17">
        <f t="shared" si="7"/>
        <v>0.46139999999999998</v>
      </c>
      <c r="AC160" s="17">
        <f t="shared" si="8"/>
        <v>238.120225</v>
      </c>
    </row>
    <row r="161" spans="1:29">
      <c r="A161" s="8">
        <v>45451</v>
      </c>
      <c r="B161" s="16">
        <v>330.0111</v>
      </c>
      <c r="C161" s="16">
        <v>317.15859999999998</v>
      </c>
      <c r="D161" s="16">
        <v>312.39789999999999</v>
      </c>
      <c r="E161" s="16">
        <v>302.03429999999997</v>
      </c>
      <c r="F161" s="16">
        <v>283</v>
      </c>
      <c r="G161" s="16">
        <v>277.1275</v>
      </c>
      <c r="H161" s="16">
        <v>309.56979999999999</v>
      </c>
      <c r="I161" s="16">
        <v>305</v>
      </c>
      <c r="J161" s="16">
        <v>316.23869999999999</v>
      </c>
      <c r="K161" s="16">
        <v>337.93830000000003</v>
      </c>
      <c r="L161" s="16">
        <v>344.54750000000001</v>
      </c>
      <c r="M161" s="16">
        <v>333.1454</v>
      </c>
      <c r="N161" s="16">
        <v>242.53190000000001</v>
      </c>
      <c r="O161" s="16">
        <v>323.67939999999999</v>
      </c>
      <c r="P161" s="16">
        <v>336.91609999999997</v>
      </c>
      <c r="Q161" s="16">
        <v>345.18259999999998</v>
      </c>
      <c r="R161" s="16">
        <v>334.30180000000001</v>
      </c>
      <c r="S161" s="16">
        <v>336.22859999999997</v>
      </c>
      <c r="T161" s="16">
        <v>325.41449999999998</v>
      </c>
      <c r="U161" s="16">
        <v>371.03379999999999</v>
      </c>
      <c r="V161" s="16">
        <v>393.2756</v>
      </c>
      <c r="W161" s="16">
        <v>515.72640000000001</v>
      </c>
      <c r="X161" s="16">
        <v>350.37200000000001</v>
      </c>
      <c r="Y161" s="16">
        <v>307.17</v>
      </c>
      <c r="Z161" s="16"/>
      <c r="AA161" s="17">
        <f t="shared" si="6"/>
        <v>515.72640000000001</v>
      </c>
      <c r="AB161" s="17">
        <f t="shared" si="7"/>
        <v>242.53190000000001</v>
      </c>
      <c r="AC161" s="17">
        <f t="shared" si="8"/>
        <v>331.25007499999998</v>
      </c>
    </row>
    <row r="162" spans="1:29">
      <c r="A162" s="8">
        <v>45452</v>
      </c>
      <c r="B162" s="16">
        <v>344.11130000000003</v>
      </c>
      <c r="C162" s="16">
        <v>352.10320000000002</v>
      </c>
      <c r="D162" s="16">
        <v>321.9726</v>
      </c>
      <c r="E162" s="16">
        <v>312.89299999999997</v>
      </c>
      <c r="F162" s="16">
        <v>288.6669</v>
      </c>
      <c r="G162" s="16">
        <v>185.02090000000001</v>
      </c>
      <c r="H162" s="16">
        <v>302.00970000000001</v>
      </c>
      <c r="I162" s="16">
        <v>295.03980000000001</v>
      </c>
      <c r="J162" s="16">
        <v>171.85579999999999</v>
      </c>
      <c r="K162" s="16">
        <v>237.69450000000001</v>
      </c>
      <c r="L162" s="16">
        <v>228.05590000000001</v>
      </c>
      <c r="M162" s="16">
        <v>100.3232</v>
      </c>
      <c r="N162" s="16">
        <v>24.633199999999999</v>
      </c>
      <c r="O162" s="16">
        <v>214.36750000000001</v>
      </c>
      <c r="P162" s="16">
        <v>46.953899999999997</v>
      </c>
      <c r="Q162" s="16">
        <v>69.785300000000007</v>
      </c>
      <c r="R162" s="16">
        <v>71.614900000000006</v>
      </c>
      <c r="S162" s="16">
        <v>47.162300000000002</v>
      </c>
      <c r="T162" s="16">
        <v>103.6091</v>
      </c>
      <c r="U162" s="16">
        <v>251.2347</v>
      </c>
      <c r="V162" s="16">
        <v>297.95260000000002</v>
      </c>
      <c r="W162" s="16">
        <v>301.39420000000001</v>
      </c>
      <c r="X162" s="16">
        <v>301.46530000000001</v>
      </c>
      <c r="Y162" s="16">
        <v>68.779200000000003</v>
      </c>
      <c r="Z162" s="16"/>
      <c r="AA162" s="17">
        <f t="shared" si="6"/>
        <v>352.10320000000002</v>
      </c>
      <c r="AB162" s="17">
        <f t="shared" si="7"/>
        <v>24.633199999999999</v>
      </c>
      <c r="AC162" s="17">
        <f t="shared" si="8"/>
        <v>205.77912499999999</v>
      </c>
    </row>
    <row r="163" spans="1:29">
      <c r="A163" s="8">
        <v>45453</v>
      </c>
      <c r="B163" s="16">
        <v>299.8229</v>
      </c>
      <c r="C163" s="16">
        <v>307.3116</v>
      </c>
      <c r="D163" s="16">
        <v>107.55249999999999</v>
      </c>
      <c r="E163" s="16">
        <v>0</v>
      </c>
      <c r="F163" s="16">
        <v>0</v>
      </c>
      <c r="G163" s="16">
        <v>0</v>
      </c>
      <c r="H163" s="16">
        <v>0</v>
      </c>
      <c r="I163" s="16">
        <v>0</v>
      </c>
      <c r="J163" s="16">
        <v>65.367500000000007</v>
      </c>
      <c r="K163" s="16">
        <v>0</v>
      </c>
      <c r="L163" s="16">
        <v>134.39709999999999</v>
      </c>
      <c r="M163" s="16">
        <v>65.595799999999997</v>
      </c>
      <c r="N163" s="16">
        <v>198.0478</v>
      </c>
      <c r="O163" s="16">
        <v>0.75</v>
      </c>
      <c r="P163" s="16">
        <v>50.882599999999996</v>
      </c>
      <c r="Q163" s="16">
        <v>150.13669999999999</v>
      </c>
      <c r="R163" s="16">
        <v>6.3146000000000004</v>
      </c>
      <c r="S163" s="16">
        <v>35.320799999999998</v>
      </c>
      <c r="T163" s="16">
        <v>43.355600000000003</v>
      </c>
      <c r="U163" s="16">
        <v>262.80329999999998</v>
      </c>
      <c r="V163" s="16">
        <v>644.97109999999998</v>
      </c>
      <c r="W163" s="16">
        <v>702.03949999999998</v>
      </c>
      <c r="X163" s="16">
        <v>360.58210000000003</v>
      </c>
      <c r="Y163" s="16">
        <v>297.7473</v>
      </c>
      <c r="Z163" s="16"/>
      <c r="AA163" s="17">
        <f t="shared" si="6"/>
        <v>702.03949999999998</v>
      </c>
      <c r="AB163" s="17">
        <f t="shared" si="7"/>
        <v>0</v>
      </c>
      <c r="AC163" s="17">
        <f t="shared" si="8"/>
        <v>155.54161666666701</v>
      </c>
    </row>
    <row r="164" spans="1:29">
      <c r="A164" s="8">
        <v>45454</v>
      </c>
      <c r="B164" s="16">
        <v>499.44549999999998</v>
      </c>
      <c r="C164" s="16">
        <v>392.36590000000001</v>
      </c>
      <c r="D164" s="16">
        <v>343.25</v>
      </c>
      <c r="E164" s="16">
        <v>308.56</v>
      </c>
      <c r="F164" s="16">
        <v>289.77</v>
      </c>
      <c r="G164" s="16">
        <v>217.89500000000001</v>
      </c>
      <c r="H164" s="16">
        <v>334.86750000000001</v>
      </c>
      <c r="I164" s="16">
        <v>313.84710000000001</v>
      </c>
      <c r="J164" s="16">
        <v>938.58579999999995</v>
      </c>
      <c r="K164" s="16">
        <v>996.42899999999997</v>
      </c>
      <c r="L164" s="16">
        <v>628.70429999999999</v>
      </c>
      <c r="M164" s="16">
        <v>801.00959999999998</v>
      </c>
      <c r="N164" s="16">
        <v>382.32420000000002</v>
      </c>
      <c r="O164" s="16">
        <v>684.00699999999995</v>
      </c>
      <c r="P164" s="16">
        <v>667.23479999999995</v>
      </c>
      <c r="Q164" s="16">
        <v>832.37729999999999</v>
      </c>
      <c r="R164" s="16">
        <v>653.93780000000004</v>
      </c>
      <c r="S164" s="16">
        <v>423.91899999999998</v>
      </c>
      <c r="T164" s="16">
        <v>349.48239999999998</v>
      </c>
      <c r="U164" s="16">
        <v>438.40359999999998</v>
      </c>
      <c r="V164" s="16">
        <v>539.37300000000005</v>
      </c>
      <c r="W164" s="16">
        <v>858.28089999999997</v>
      </c>
      <c r="X164" s="16">
        <v>411.84320000000002</v>
      </c>
      <c r="Y164" s="16">
        <v>345.34280000000001</v>
      </c>
      <c r="Z164" s="16"/>
      <c r="AA164" s="17">
        <f t="shared" si="6"/>
        <v>996.42899999999997</v>
      </c>
      <c r="AB164" s="17">
        <f t="shared" si="7"/>
        <v>217.89500000000001</v>
      </c>
      <c r="AC164" s="17">
        <f t="shared" si="8"/>
        <v>527.135654166667</v>
      </c>
    </row>
    <row r="165" spans="1:29">
      <c r="A165" s="8">
        <v>45455</v>
      </c>
      <c r="B165" s="16">
        <v>528.76829999999995</v>
      </c>
      <c r="C165" s="16">
        <v>370.96469999999999</v>
      </c>
      <c r="D165" s="16">
        <v>331.17450000000002</v>
      </c>
      <c r="E165" s="16">
        <v>322.21660000000003</v>
      </c>
      <c r="F165" s="16">
        <v>316.62860000000001</v>
      </c>
      <c r="G165" s="16">
        <v>316.55259999999998</v>
      </c>
      <c r="H165" s="16">
        <v>334.26179999999999</v>
      </c>
      <c r="I165" s="16">
        <v>330.14049999999997</v>
      </c>
      <c r="J165" s="16">
        <v>357.98610000000002</v>
      </c>
      <c r="K165" s="16">
        <v>353.8528</v>
      </c>
      <c r="L165" s="16">
        <v>355.83940000000001</v>
      </c>
      <c r="M165" s="16">
        <v>345.37810000000002</v>
      </c>
      <c r="N165" s="16">
        <v>314.7792</v>
      </c>
      <c r="O165" s="16">
        <v>404.87970000000001</v>
      </c>
      <c r="P165" s="16">
        <v>374.8288</v>
      </c>
      <c r="Q165" s="16">
        <v>355.42070000000001</v>
      </c>
      <c r="R165" s="16">
        <v>382.12389999999999</v>
      </c>
      <c r="S165" s="16">
        <v>360.2706</v>
      </c>
      <c r="T165" s="16">
        <v>335.84390000000002</v>
      </c>
      <c r="U165" s="16">
        <v>390.21170000000001</v>
      </c>
      <c r="V165" s="16">
        <v>410.07569999999998</v>
      </c>
      <c r="W165" s="16">
        <v>432.24860000000001</v>
      </c>
      <c r="X165" s="16">
        <v>385.55709999999999</v>
      </c>
      <c r="Y165" s="16">
        <v>360.19839999999999</v>
      </c>
      <c r="Z165" s="16"/>
      <c r="AA165" s="17">
        <f t="shared" si="6"/>
        <v>528.76829999999995</v>
      </c>
      <c r="AB165" s="17">
        <f t="shared" si="7"/>
        <v>314.7792</v>
      </c>
      <c r="AC165" s="17">
        <f t="shared" si="8"/>
        <v>365.42509583333299</v>
      </c>
    </row>
    <row r="166" spans="1:29">
      <c r="A166" s="8">
        <v>45456</v>
      </c>
      <c r="B166" s="16">
        <v>403.29719999999998</v>
      </c>
      <c r="C166" s="16">
        <v>368.9957</v>
      </c>
      <c r="D166" s="16">
        <v>332.87450000000001</v>
      </c>
      <c r="E166" s="16">
        <v>319.63380000000001</v>
      </c>
      <c r="F166" s="16">
        <v>308.21539999999999</v>
      </c>
      <c r="G166" s="16">
        <v>306.86500000000001</v>
      </c>
      <c r="H166" s="16">
        <v>317</v>
      </c>
      <c r="I166" s="16">
        <v>310.56</v>
      </c>
      <c r="J166" s="16">
        <v>350.52269999999999</v>
      </c>
      <c r="K166" s="16">
        <v>361.12299999999999</v>
      </c>
      <c r="L166" s="16">
        <v>296.59039999999999</v>
      </c>
      <c r="M166" s="16">
        <v>306.97280000000001</v>
      </c>
      <c r="N166" s="16">
        <v>231.995</v>
      </c>
      <c r="O166" s="16">
        <v>319.42200000000003</v>
      </c>
      <c r="P166" s="16">
        <v>316.63749999999999</v>
      </c>
      <c r="Q166" s="16">
        <v>327.55189999999999</v>
      </c>
      <c r="R166" s="16">
        <v>342.52609999999999</v>
      </c>
      <c r="S166" s="16">
        <v>420.8458</v>
      </c>
      <c r="T166" s="16">
        <v>377.30149999999998</v>
      </c>
      <c r="U166" s="16">
        <v>448.31119999999999</v>
      </c>
      <c r="V166" s="16">
        <v>452.06279999999998</v>
      </c>
      <c r="W166" s="16">
        <v>429.01990000000001</v>
      </c>
      <c r="X166" s="16">
        <v>389.97059999999999</v>
      </c>
      <c r="Y166" s="16">
        <v>388.59980000000002</v>
      </c>
      <c r="Z166" s="16"/>
      <c r="AA166" s="17">
        <f t="shared" si="6"/>
        <v>452.06279999999998</v>
      </c>
      <c r="AB166" s="17">
        <f t="shared" si="7"/>
        <v>231.995</v>
      </c>
      <c r="AC166" s="17">
        <f t="shared" si="8"/>
        <v>351.120608333333</v>
      </c>
    </row>
    <row r="167" spans="1:29">
      <c r="A167" s="8">
        <v>45457</v>
      </c>
      <c r="B167" s="16">
        <v>410.91140000000001</v>
      </c>
      <c r="C167" s="16">
        <v>369.12959999999998</v>
      </c>
      <c r="D167" s="16">
        <v>334.21339999999998</v>
      </c>
      <c r="E167" s="16">
        <v>313.84820000000002</v>
      </c>
      <c r="F167" s="16">
        <v>306.93880000000001</v>
      </c>
      <c r="G167" s="16">
        <v>297.22899999999998</v>
      </c>
      <c r="H167" s="16">
        <v>311.46390000000002</v>
      </c>
      <c r="I167" s="16">
        <v>301.03699999999998</v>
      </c>
      <c r="J167" s="16">
        <v>345.73070000000001</v>
      </c>
      <c r="K167" s="16">
        <v>354.8646</v>
      </c>
      <c r="L167" s="16">
        <v>265.18970000000002</v>
      </c>
      <c r="M167" s="16">
        <v>199.79320000000001</v>
      </c>
      <c r="N167" s="16">
        <v>131.9444</v>
      </c>
      <c r="O167" s="16">
        <v>300.03910000000002</v>
      </c>
      <c r="P167" s="16">
        <v>263.06040000000002</v>
      </c>
      <c r="Q167" s="16">
        <v>270.37099999999998</v>
      </c>
      <c r="R167" s="16">
        <v>286.59710000000001</v>
      </c>
      <c r="S167" s="16">
        <v>265.46469999999999</v>
      </c>
      <c r="T167" s="16">
        <v>276.34140000000002</v>
      </c>
      <c r="U167" s="16">
        <v>314.3544</v>
      </c>
      <c r="V167" s="16">
        <v>326.49689999999998</v>
      </c>
      <c r="W167" s="16">
        <v>328.13069999999999</v>
      </c>
      <c r="X167" s="16">
        <v>337.25689999999997</v>
      </c>
      <c r="Y167" s="16">
        <v>341.88740000000001</v>
      </c>
      <c r="Z167" s="16"/>
      <c r="AA167" s="17">
        <f t="shared" si="6"/>
        <v>410.91140000000001</v>
      </c>
      <c r="AB167" s="17">
        <f t="shared" si="7"/>
        <v>131.9444</v>
      </c>
      <c r="AC167" s="17">
        <f t="shared" si="8"/>
        <v>302.17891250000002</v>
      </c>
    </row>
    <row r="168" spans="1:29">
      <c r="A168" s="8">
        <v>45458</v>
      </c>
      <c r="B168" s="16">
        <v>363.44920000000002</v>
      </c>
      <c r="C168" s="16">
        <v>359.72050000000002</v>
      </c>
      <c r="D168" s="16">
        <v>327.44139999999999</v>
      </c>
      <c r="E168" s="16">
        <v>313.86810000000003</v>
      </c>
      <c r="F168" s="16">
        <v>306.52780000000001</v>
      </c>
      <c r="G168" s="16">
        <v>300.03269999999998</v>
      </c>
      <c r="H168" s="16">
        <v>303.42860000000002</v>
      </c>
      <c r="I168" s="16">
        <v>296.2045</v>
      </c>
      <c r="J168" s="16">
        <v>303.72570000000002</v>
      </c>
      <c r="K168" s="16">
        <v>275.04770000000002</v>
      </c>
      <c r="L168" s="16">
        <v>194.71209999999999</v>
      </c>
      <c r="M168" s="16">
        <v>247.7559</v>
      </c>
      <c r="N168" s="16">
        <v>193.6063</v>
      </c>
      <c r="O168" s="16">
        <v>302.85629999999998</v>
      </c>
      <c r="P168" s="16">
        <v>306.86070000000001</v>
      </c>
      <c r="Q168" s="16">
        <v>296.12490000000003</v>
      </c>
      <c r="R168" s="16">
        <v>305.21289999999999</v>
      </c>
      <c r="S168" s="16">
        <v>306.40809999999999</v>
      </c>
      <c r="T168" s="16">
        <v>293.37709999999998</v>
      </c>
      <c r="U168" s="16">
        <v>300.43130000000002</v>
      </c>
      <c r="V168" s="16">
        <v>311.56189999999998</v>
      </c>
      <c r="W168" s="16">
        <v>305.12240000000003</v>
      </c>
      <c r="X168" s="16">
        <v>293.40550000000002</v>
      </c>
      <c r="Y168" s="16">
        <v>291.04360000000003</v>
      </c>
      <c r="Z168" s="16"/>
      <c r="AA168" s="17">
        <f t="shared" si="6"/>
        <v>363.44920000000002</v>
      </c>
      <c r="AB168" s="17">
        <f t="shared" si="7"/>
        <v>193.6063</v>
      </c>
      <c r="AC168" s="17">
        <f t="shared" si="8"/>
        <v>295.74688333333302</v>
      </c>
    </row>
    <row r="169" spans="1:29">
      <c r="A169" s="8">
        <v>45459</v>
      </c>
      <c r="B169" s="16">
        <v>349.87209999999999</v>
      </c>
      <c r="C169" s="16">
        <v>318.67250000000001</v>
      </c>
      <c r="D169" s="16">
        <v>307.1465</v>
      </c>
      <c r="E169" s="16">
        <v>296.35489999999999</v>
      </c>
      <c r="F169" s="16">
        <v>256.74059999999997</v>
      </c>
      <c r="G169" s="16">
        <v>52.282400000000003</v>
      </c>
      <c r="H169" s="16">
        <v>0</v>
      </c>
      <c r="I169" s="16">
        <v>0</v>
      </c>
      <c r="J169" s="16">
        <v>82.5</v>
      </c>
      <c r="K169" s="16">
        <v>11.634499999999999</v>
      </c>
      <c r="L169" s="16">
        <v>60.2181</v>
      </c>
      <c r="M169" s="16">
        <v>287.65460000000002</v>
      </c>
      <c r="N169" s="16">
        <v>70.096999999999994</v>
      </c>
      <c r="O169" s="16">
        <v>277.27850000000001</v>
      </c>
      <c r="P169" s="16">
        <v>139.2739</v>
      </c>
      <c r="Q169" s="16">
        <v>75.280799999999999</v>
      </c>
      <c r="R169" s="16">
        <v>65.546000000000006</v>
      </c>
      <c r="S169" s="16">
        <v>44.315399999999997</v>
      </c>
      <c r="T169" s="16">
        <v>54.020899999999997</v>
      </c>
      <c r="U169" s="16">
        <v>104.15779999999999</v>
      </c>
      <c r="V169" s="16">
        <v>273.22629999999998</v>
      </c>
      <c r="W169" s="16">
        <v>303.07350000000002</v>
      </c>
      <c r="X169" s="16">
        <v>216.79570000000001</v>
      </c>
      <c r="Y169" s="16">
        <v>275.18979999999999</v>
      </c>
      <c r="Z169" s="16"/>
      <c r="AA169" s="17">
        <f t="shared" si="6"/>
        <v>349.87209999999999</v>
      </c>
      <c r="AB169" s="17">
        <f t="shared" si="7"/>
        <v>0</v>
      </c>
      <c r="AC169" s="17">
        <f t="shared" si="8"/>
        <v>163.388825</v>
      </c>
    </row>
    <row r="170" spans="1:29">
      <c r="A170" s="8">
        <v>45460</v>
      </c>
      <c r="B170" s="16">
        <v>303.29149999999998</v>
      </c>
      <c r="C170" s="16">
        <v>255.91419999999999</v>
      </c>
      <c r="D170" s="16">
        <v>56.086599999999997</v>
      </c>
      <c r="E170" s="16">
        <v>55.032800000000002</v>
      </c>
      <c r="F170" s="16">
        <v>0</v>
      </c>
      <c r="G170" s="16">
        <v>2.0000000000000001E-4</v>
      </c>
      <c r="H170" s="16">
        <v>9.6085999999999991</v>
      </c>
      <c r="I170" s="16">
        <v>75.919700000000006</v>
      </c>
      <c r="J170" s="16">
        <v>318.74869999999999</v>
      </c>
      <c r="K170" s="16">
        <v>322.57900000000001</v>
      </c>
      <c r="L170" s="16">
        <v>313.7516</v>
      </c>
      <c r="M170" s="16">
        <v>299.07380000000001</v>
      </c>
      <c r="N170" s="16">
        <v>166.5309</v>
      </c>
      <c r="O170" s="16">
        <v>310.70400000000001</v>
      </c>
      <c r="P170" s="16">
        <v>287.6001</v>
      </c>
      <c r="Q170" s="16">
        <v>300.55880000000002</v>
      </c>
      <c r="R170" s="16">
        <v>350.52940000000001</v>
      </c>
      <c r="S170" s="16">
        <v>358.96339999999998</v>
      </c>
      <c r="T170" s="16">
        <v>323.79790000000003</v>
      </c>
      <c r="U170" s="16">
        <v>358.86860000000001</v>
      </c>
      <c r="V170" s="16">
        <v>355.161</v>
      </c>
      <c r="W170" s="16">
        <v>357.45920000000001</v>
      </c>
      <c r="X170" s="16">
        <v>339.40050000000002</v>
      </c>
      <c r="Y170" s="16">
        <v>326.23090000000002</v>
      </c>
      <c r="Z170" s="16"/>
      <c r="AA170" s="17">
        <f t="shared" si="6"/>
        <v>358.96339999999998</v>
      </c>
      <c r="AB170" s="17">
        <f t="shared" si="7"/>
        <v>0</v>
      </c>
      <c r="AC170" s="17">
        <f t="shared" si="8"/>
        <v>243.57547500000001</v>
      </c>
    </row>
    <row r="171" spans="1:29">
      <c r="A171" s="8">
        <v>45461</v>
      </c>
      <c r="B171" s="16">
        <v>345.49259999999998</v>
      </c>
      <c r="C171" s="16">
        <v>324.09089999999998</v>
      </c>
      <c r="D171" s="16">
        <v>309.58920000000001</v>
      </c>
      <c r="E171" s="16">
        <v>263.33999999999997</v>
      </c>
      <c r="F171" s="16">
        <v>237.34</v>
      </c>
      <c r="G171" s="16">
        <v>248.98419999999999</v>
      </c>
      <c r="H171" s="16">
        <v>290.74360000000001</v>
      </c>
      <c r="I171" s="16">
        <v>295.78339999999997</v>
      </c>
      <c r="J171" s="16">
        <v>335.79950000000002</v>
      </c>
      <c r="K171" s="16">
        <v>339.08969999999999</v>
      </c>
      <c r="L171" s="16">
        <v>329.0693</v>
      </c>
      <c r="M171" s="16">
        <v>334.94600000000003</v>
      </c>
      <c r="N171" s="16">
        <v>317.11770000000001</v>
      </c>
      <c r="O171" s="16">
        <v>335.80090000000001</v>
      </c>
      <c r="P171" s="16">
        <v>334.2097</v>
      </c>
      <c r="Q171" s="16">
        <v>343.78559999999999</v>
      </c>
      <c r="R171" s="16">
        <v>350.3972</v>
      </c>
      <c r="S171" s="16">
        <v>337.9325</v>
      </c>
      <c r="T171" s="16">
        <v>332.53399999999999</v>
      </c>
      <c r="U171" s="16">
        <v>349.15789999999998</v>
      </c>
      <c r="V171" s="16">
        <v>353.67340000000002</v>
      </c>
      <c r="W171" s="16">
        <v>364.40179999999998</v>
      </c>
      <c r="X171" s="16">
        <v>342.88670000000002</v>
      </c>
      <c r="Y171" s="16">
        <v>333.63580000000002</v>
      </c>
      <c r="Z171" s="16"/>
      <c r="AA171" s="17">
        <f t="shared" si="6"/>
        <v>364.40179999999998</v>
      </c>
      <c r="AB171" s="17">
        <f t="shared" si="7"/>
        <v>237.34</v>
      </c>
      <c r="AC171" s="17">
        <f t="shared" si="8"/>
        <v>322.90839999999997</v>
      </c>
    </row>
    <row r="172" spans="1:29">
      <c r="A172" s="8">
        <v>45462</v>
      </c>
      <c r="B172" s="16">
        <v>337.37009999999998</v>
      </c>
      <c r="C172" s="16">
        <v>326.03269999999998</v>
      </c>
      <c r="D172" s="16">
        <v>304.89190000000002</v>
      </c>
      <c r="E172" s="16">
        <v>277.48719999999997</v>
      </c>
      <c r="F172" s="16">
        <v>133.904</v>
      </c>
      <c r="G172" s="16">
        <v>6.4619</v>
      </c>
      <c r="H172" s="16">
        <v>220.21270000000001</v>
      </c>
      <c r="I172" s="16">
        <v>200.99170000000001</v>
      </c>
      <c r="J172" s="16">
        <v>309.09649999999999</v>
      </c>
      <c r="K172" s="16">
        <v>306.29610000000002</v>
      </c>
      <c r="L172" s="16">
        <v>286.74990000000003</v>
      </c>
      <c r="M172" s="16">
        <v>316.29450000000003</v>
      </c>
      <c r="N172" s="16">
        <v>207.72210000000001</v>
      </c>
      <c r="O172" s="16">
        <v>304.69400000000002</v>
      </c>
      <c r="P172" s="16">
        <v>228.44159999999999</v>
      </c>
      <c r="Q172" s="16">
        <v>317.76639999999998</v>
      </c>
      <c r="R172" s="16">
        <v>348.28949999999998</v>
      </c>
      <c r="S172" s="16">
        <v>323.85899999999998</v>
      </c>
      <c r="T172" s="16">
        <v>310.72739999999999</v>
      </c>
      <c r="U172" s="16">
        <v>333.024</v>
      </c>
      <c r="V172" s="16">
        <v>334.4751</v>
      </c>
      <c r="W172" s="16">
        <v>325.13049999999998</v>
      </c>
      <c r="X172" s="16">
        <v>319.48520000000002</v>
      </c>
      <c r="Y172" s="16">
        <v>308.54059999999998</v>
      </c>
      <c r="Z172" s="16"/>
      <c r="AA172" s="17">
        <f t="shared" si="6"/>
        <v>348.28949999999998</v>
      </c>
      <c r="AB172" s="17">
        <f t="shared" si="7"/>
        <v>6.4619</v>
      </c>
      <c r="AC172" s="17">
        <f t="shared" si="8"/>
        <v>278.66435833333298</v>
      </c>
    </row>
    <row r="173" spans="1:29">
      <c r="A173" s="8">
        <v>45463</v>
      </c>
      <c r="B173" s="16">
        <v>330.16669999999999</v>
      </c>
      <c r="C173" s="16">
        <v>321.48099999999999</v>
      </c>
      <c r="D173" s="16">
        <v>303.69279999999998</v>
      </c>
      <c r="E173" s="16">
        <v>281.01280000000003</v>
      </c>
      <c r="F173" s="16">
        <v>244.64959999999999</v>
      </c>
      <c r="G173" s="16">
        <v>164.53299999999999</v>
      </c>
      <c r="H173" s="16">
        <v>241.64109999999999</v>
      </c>
      <c r="I173" s="16">
        <v>129.31649999999999</v>
      </c>
      <c r="J173" s="16">
        <v>285.98680000000002</v>
      </c>
      <c r="K173" s="16">
        <v>266.62360000000001</v>
      </c>
      <c r="L173" s="16">
        <v>241.53970000000001</v>
      </c>
      <c r="M173" s="16">
        <v>180.39599999999999</v>
      </c>
      <c r="N173" s="16">
        <v>171.40270000000001</v>
      </c>
      <c r="O173" s="16">
        <v>245.71600000000001</v>
      </c>
      <c r="P173" s="16">
        <v>285.53899999999999</v>
      </c>
      <c r="Q173" s="16">
        <v>291.85199999999998</v>
      </c>
      <c r="R173" s="16">
        <v>342.38350000000003</v>
      </c>
      <c r="S173" s="16">
        <v>340.2996</v>
      </c>
      <c r="T173" s="16">
        <v>298.38229999999999</v>
      </c>
      <c r="U173" s="16">
        <v>323.83760000000001</v>
      </c>
      <c r="V173" s="16">
        <v>317.45510000000002</v>
      </c>
      <c r="W173" s="16">
        <v>336.9676</v>
      </c>
      <c r="X173" s="16">
        <v>331.93770000000001</v>
      </c>
      <c r="Y173" s="16">
        <v>319.44839999999999</v>
      </c>
      <c r="Z173" s="16"/>
      <c r="AA173" s="17">
        <f t="shared" si="6"/>
        <v>342.38350000000003</v>
      </c>
      <c r="AB173" s="17">
        <f t="shared" si="7"/>
        <v>129.31649999999999</v>
      </c>
      <c r="AC173" s="17">
        <f t="shared" si="8"/>
        <v>274.84421250000003</v>
      </c>
    </row>
    <row r="174" spans="1:29">
      <c r="A174" s="8">
        <v>45464</v>
      </c>
      <c r="B174" s="16">
        <v>357.89819999999997</v>
      </c>
      <c r="C174" s="16">
        <v>341.41890000000001</v>
      </c>
      <c r="D174" s="16">
        <v>323.31599999999997</v>
      </c>
      <c r="E174" s="16">
        <v>310.33</v>
      </c>
      <c r="F174" s="16">
        <v>298.89679999999998</v>
      </c>
      <c r="G174" s="16">
        <v>279.99200000000002</v>
      </c>
      <c r="H174" s="16">
        <v>280.54140000000001</v>
      </c>
      <c r="I174" s="16">
        <v>256.06290000000001</v>
      </c>
      <c r="J174" s="16">
        <v>303.71390000000002</v>
      </c>
      <c r="K174" s="16">
        <v>210.7287</v>
      </c>
      <c r="L174" s="16">
        <v>160.47800000000001</v>
      </c>
      <c r="M174" s="16">
        <v>18.313199999999998</v>
      </c>
      <c r="N174" s="16">
        <v>42.513399999999997</v>
      </c>
      <c r="O174" s="16">
        <v>124.1807</v>
      </c>
      <c r="P174" s="16">
        <v>154.03360000000001</v>
      </c>
      <c r="Q174" s="16">
        <v>299.55020000000002</v>
      </c>
      <c r="R174" s="16">
        <v>312.7167</v>
      </c>
      <c r="S174" s="16">
        <v>311.4787</v>
      </c>
      <c r="T174" s="16">
        <v>313.1277</v>
      </c>
      <c r="U174" s="16">
        <v>346.13159999999999</v>
      </c>
      <c r="V174" s="16">
        <v>348.06479999999999</v>
      </c>
      <c r="W174" s="16">
        <v>352.73360000000002</v>
      </c>
      <c r="X174" s="16">
        <v>348.03120000000001</v>
      </c>
      <c r="Y174" s="16">
        <v>347.5745</v>
      </c>
      <c r="Z174" s="16"/>
      <c r="AA174" s="17">
        <f t="shared" si="6"/>
        <v>357.89819999999997</v>
      </c>
      <c r="AB174" s="17">
        <f t="shared" si="7"/>
        <v>18.313199999999998</v>
      </c>
      <c r="AC174" s="17">
        <f t="shared" si="8"/>
        <v>268.409445833333</v>
      </c>
    </row>
    <row r="175" spans="1:29">
      <c r="A175" s="8">
        <v>45465</v>
      </c>
      <c r="B175" s="16">
        <v>409.79239999999999</v>
      </c>
      <c r="C175" s="16">
        <v>390.7561</v>
      </c>
      <c r="D175" s="16">
        <v>350.99619999999999</v>
      </c>
      <c r="E175" s="16">
        <v>322.01150000000001</v>
      </c>
      <c r="F175" s="16">
        <v>306.85390000000001</v>
      </c>
      <c r="G175" s="16">
        <v>304.1028</v>
      </c>
      <c r="H175" s="16">
        <v>299.625</v>
      </c>
      <c r="I175" s="16">
        <v>283.05070000000001</v>
      </c>
      <c r="J175" s="16">
        <v>295.22140000000002</v>
      </c>
      <c r="K175" s="16">
        <v>291.78370000000001</v>
      </c>
      <c r="L175" s="16">
        <v>248.79079999999999</v>
      </c>
      <c r="M175" s="16">
        <v>271.22039999999998</v>
      </c>
      <c r="N175" s="16">
        <v>148.8546</v>
      </c>
      <c r="O175" s="16">
        <v>270.6225</v>
      </c>
      <c r="P175" s="16">
        <v>316.95530000000002</v>
      </c>
      <c r="Q175" s="16">
        <v>307.37369999999999</v>
      </c>
      <c r="R175" s="16">
        <v>369.5675</v>
      </c>
      <c r="S175" s="16">
        <v>331.72</v>
      </c>
      <c r="T175" s="16">
        <v>314.71460000000002</v>
      </c>
      <c r="U175" s="16">
        <v>325.28930000000003</v>
      </c>
      <c r="V175" s="16">
        <v>330.43830000000003</v>
      </c>
      <c r="W175" s="16">
        <v>349.36320000000001</v>
      </c>
      <c r="X175" s="16">
        <v>375.6739</v>
      </c>
      <c r="Y175" s="16">
        <v>364.72579999999999</v>
      </c>
      <c r="Z175" s="16"/>
      <c r="AA175" s="17">
        <f t="shared" si="6"/>
        <v>409.79239999999999</v>
      </c>
      <c r="AB175" s="17">
        <f t="shared" si="7"/>
        <v>148.8546</v>
      </c>
      <c r="AC175" s="17">
        <f t="shared" si="8"/>
        <v>315.81265000000002</v>
      </c>
    </row>
    <row r="176" spans="1:29">
      <c r="A176" s="8">
        <v>45466</v>
      </c>
      <c r="B176" s="16">
        <v>882.26030000000003</v>
      </c>
      <c r="C176" s="16">
        <v>540.9212</v>
      </c>
      <c r="D176" s="16">
        <v>338.27050000000003</v>
      </c>
      <c r="E176" s="16">
        <v>326.09820000000002</v>
      </c>
      <c r="F176" s="16">
        <v>302.7543</v>
      </c>
      <c r="G176" s="16">
        <v>293.79969999999997</v>
      </c>
      <c r="H176" s="16">
        <v>289.43099999999998</v>
      </c>
      <c r="I176" s="16">
        <v>258.74450000000002</v>
      </c>
      <c r="J176" s="16">
        <v>104.7122</v>
      </c>
      <c r="K176" s="16">
        <v>4.6298000000000004</v>
      </c>
      <c r="L176" s="16">
        <v>44.794600000000003</v>
      </c>
      <c r="M176" s="16">
        <v>137.53309999999999</v>
      </c>
      <c r="N176" s="16">
        <v>125.6297</v>
      </c>
      <c r="O176" s="16">
        <v>296.08839999999998</v>
      </c>
      <c r="P176" s="16">
        <v>267.64080000000001</v>
      </c>
      <c r="Q176" s="16">
        <v>277.29700000000003</v>
      </c>
      <c r="R176" s="16">
        <v>309.25909999999999</v>
      </c>
      <c r="S176" s="16">
        <v>309.40499999999997</v>
      </c>
      <c r="T176" s="16">
        <v>302.39499999999998</v>
      </c>
      <c r="U176" s="16">
        <v>316.3175</v>
      </c>
      <c r="V176" s="16">
        <v>335.03559999999999</v>
      </c>
      <c r="W176" s="16">
        <v>348.89120000000003</v>
      </c>
      <c r="X176" s="16">
        <v>329.59289999999999</v>
      </c>
      <c r="Y176" s="16">
        <v>306.88690000000003</v>
      </c>
      <c r="Z176" s="16"/>
      <c r="AA176" s="17">
        <f t="shared" si="6"/>
        <v>882.26030000000003</v>
      </c>
      <c r="AB176" s="17">
        <f t="shared" si="7"/>
        <v>4.6298000000000004</v>
      </c>
      <c r="AC176" s="17">
        <f t="shared" si="8"/>
        <v>293.68285416666703</v>
      </c>
    </row>
    <row r="177" spans="1:29">
      <c r="A177" s="8">
        <v>45467</v>
      </c>
      <c r="B177" s="16">
        <v>234.71440000000001</v>
      </c>
      <c r="C177" s="16">
        <v>309.54469999999998</v>
      </c>
      <c r="D177" s="16">
        <v>300.9024</v>
      </c>
      <c r="E177" s="16">
        <v>223.91820000000001</v>
      </c>
      <c r="F177" s="16">
        <v>237.16659999999999</v>
      </c>
      <c r="G177" s="16">
        <v>268.81670000000003</v>
      </c>
      <c r="H177" s="16">
        <v>283.27760000000001</v>
      </c>
      <c r="I177" s="16">
        <v>275.34570000000002</v>
      </c>
      <c r="J177" s="16">
        <v>331.32709999999997</v>
      </c>
      <c r="K177" s="16">
        <v>328.58370000000002</v>
      </c>
      <c r="L177" s="16">
        <v>316.70780000000002</v>
      </c>
      <c r="M177" s="16">
        <v>321.69549999999998</v>
      </c>
      <c r="N177" s="16">
        <v>319.17540000000002</v>
      </c>
      <c r="O177" s="16">
        <v>361.08929999999998</v>
      </c>
      <c r="P177" s="16">
        <v>345.82859999999999</v>
      </c>
      <c r="Q177" s="16">
        <v>323.81689999999998</v>
      </c>
      <c r="R177" s="16">
        <v>340.93849999999998</v>
      </c>
      <c r="S177" s="16">
        <v>384.47770000000003</v>
      </c>
      <c r="T177" s="16">
        <v>372.98939999999999</v>
      </c>
      <c r="U177" s="16">
        <v>400.86989999999997</v>
      </c>
      <c r="V177" s="16">
        <v>392.95819999999998</v>
      </c>
      <c r="W177" s="16">
        <v>394.93180000000001</v>
      </c>
      <c r="X177" s="16">
        <v>377.15449999999998</v>
      </c>
      <c r="Y177" s="16">
        <v>348.44409999999999</v>
      </c>
      <c r="Z177" s="16"/>
      <c r="AA177" s="17">
        <f t="shared" si="6"/>
        <v>400.86989999999997</v>
      </c>
      <c r="AB177" s="17">
        <f t="shared" si="7"/>
        <v>223.91820000000001</v>
      </c>
      <c r="AC177" s="17">
        <f t="shared" si="8"/>
        <v>324.77811250000002</v>
      </c>
    </row>
    <row r="178" spans="1:29">
      <c r="A178" s="8">
        <v>45468</v>
      </c>
      <c r="B178" s="16">
        <v>307.71280000000002</v>
      </c>
      <c r="C178" s="16">
        <v>288.46050000000002</v>
      </c>
      <c r="D178" s="16">
        <v>246.0445</v>
      </c>
      <c r="E178" s="16">
        <v>133.05170000000001</v>
      </c>
      <c r="F178" s="16">
        <v>68.7</v>
      </c>
      <c r="G178" s="16">
        <v>51.57</v>
      </c>
      <c r="H178" s="16">
        <v>39.44</v>
      </c>
      <c r="I178" s="16">
        <v>16.939699999999998</v>
      </c>
      <c r="J178" s="16">
        <v>243.50579999999999</v>
      </c>
      <c r="K178" s="16">
        <v>308.10629999999998</v>
      </c>
      <c r="L178" s="16">
        <v>313.76409999999998</v>
      </c>
      <c r="M178" s="16">
        <v>307.98099999999999</v>
      </c>
      <c r="N178" s="16">
        <v>260.06330000000003</v>
      </c>
      <c r="O178" s="16">
        <v>283.88749999999999</v>
      </c>
      <c r="P178" s="16">
        <v>309.1943</v>
      </c>
      <c r="Q178" s="16">
        <v>317.8227</v>
      </c>
      <c r="R178" s="16">
        <v>336.74279999999999</v>
      </c>
      <c r="S178" s="16">
        <v>334.6404</v>
      </c>
      <c r="T178" s="16">
        <v>322.76920000000001</v>
      </c>
      <c r="U178" s="16">
        <v>356.54610000000002</v>
      </c>
      <c r="V178" s="16">
        <v>356.5027</v>
      </c>
      <c r="W178" s="16">
        <v>360.36649999999997</v>
      </c>
      <c r="X178" s="16">
        <v>319.07929999999999</v>
      </c>
      <c r="Y178" s="16">
        <v>307.26049999999998</v>
      </c>
      <c r="Z178" s="16"/>
      <c r="AA178" s="17">
        <f t="shared" si="6"/>
        <v>360.36649999999997</v>
      </c>
      <c r="AB178" s="17">
        <f t="shared" si="7"/>
        <v>16.939699999999998</v>
      </c>
      <c r="AC178" s="17">
        <f t="shared" si="8"/>
        <v>257.92298749999998</v>
      </c>
    </row>
    <row r="179" spans="1:29">
      <c r="A179" s="8">
        <v>45469</v>
      </c>
      <c r="B179" s="16">
        <v>267.96600000000001</v>
      </c>
      <c r="C179" s="16">
        <v>266.33519999999999</v>
      </c>
      <c r="D179" s="16">
        <v>253.01240000000001</v>
      </c>
      <c r="E179" s="16">
        <v>241.03700000000001</v>
      </c>
      <c r="F179" s="16">
        <v>246.16059999999999</v>
      </c>
      <c r="G179" s="16">
        <v>260.66050000000001</v>
      </c>
      <c r="H179" s="16">
        <v>290.45830000000001</v>
      </c>
      <c r="I179" s="16">
        <v>291.08339999999998</v>
      </c>
      <c r="J179" s="16">
        <v>306.98200000000003</v>
      </c>
      <c r="K179" s="16">
        <v>313.76749999999998</v>
      </c>
      <c r="L179" s="16">
        <v>322.6146</v>
      </c>
      <c r="M179" s="16">
        <v>323.65129999999999</v>
      </c>
      <c r="N179" s="16">
        <v>240.44040000000001</v>
      </c>
      <c r="O179" s="16">
        <v>313.48230000000001</v>
      </c>
      <c r="P179" s="16">
        <v>308.21820000000002</v>
      </c>
      <c r="Q179" s="16">
        <v>360.68189999999998</v>
      </c>
      <c r="R179" s="16">
        <v>407.76690000000002</v>
      </c>
      <c r="S179" s="16">
        <v>368.65379999999999</v>
      </c>
      <c r="T179" s="16">
        <v>333.7217</v>
      </c>
      <c r="U179" s="16">
        <v>352.85160000000002</v>
      </c>
      <c r="V179" s="16">
        <v>386.06369999999998</v>
      </c>
      <c r="W179" s="16">
        <v>373.86090000000002</v>
      </c>
      <c r="X179" s="16">
        <v>354.46390000000002</v>
      </c>
      <c r="Y179" s="16">
        <v>331.65949999999998</v>
      </c>
      <c r="Z179" s="16"/>
      <c r="AA179" s="17">
        <f t="shared" si="6"/>
        <v>407.76690000000002</v>
      </c>
      <c r="AB179" s="17">
        <f t="shared" si="7"/>
        <v>240.44040000000001</v>
      </c>
      <c r="AC179" s="17">
        <f t="shared" si="8"/>
        <v>313.14973333333302</v>
      </c>
    </row>
    <row r="180" spans="1:29">
      <c r="A180" s="8">
        <v>45470</v>
      </c>
      <c r="B180" s="16">
        <v>325.0813</v>
      </c>
      <c r="C180" s="16">
        <v>311.2561</v>
      </c>
      <c r="D180" s="16">
        <v>297.48090000000002</v>
      </c>
      <c r="E180" s="16">
        <v>292.64769999999999</v>
      </c>
      <c r="F180" s="16">
        <v>286.7176</v>
      </c>
      <c r="G180" s="16">
        <v>269.69080000000002</v>
      </c>
      <c r="H180" s="16">
        <v>286.50459999999998</v>
      </c>
      <c r="I180" s="16">
        <v>289.02210000000002</v>
      </c>
      <c r="J180" s="16">
        <v>304.10579999999999</v>
      </c>
      <c r="K180" s="16">
        <v>325.54880000000003</v>
      </c>
      <c r="L180" s="16">
        <v>331.06330000000003</v>
      </c>
      <c r="M180" s="16">
        <v>354.63959999999997</v>
      </c>
      <c r="N180" s="16">
        <v>305.94839999999999</v>
      </c>
      <c r="O180" s="16">
        <v>345.64530000000002</v>
      </c>
      <c r="P180" s="16">
        <v>344.12299999999999</v>
      </c>
      <c r="Q180" s="16">
        <v>342.69369999999998</v>
      </c>
      <c r="R180" s="16">
        <v>369.33150000000001</v>
      </c>
      <c r="S180" s="16">
        <v>357.23039999999997</v>
      </c>
      <c r="T180" s="16">
        <v>349.50790000000001</v>
      </c>
      <c r="U180" s="16">
        <v>431.53129999999999</v>
      </c>
      <c r="V180" s="16">
        <v>443.21690000000001</v>
      </c>
      <c r="W180" s="16">
        <v>460.1671</v>
      </c>
      <c r="X180" s="16">
        <v>360.7167</v>
      </c>
      <c r="Y180" s="16">
        <v>333.99810000000002</v>
      </c>
      <c r="Z180" s="16"/>
      <c r="AA180" s="17">
        <f t="shared" si="6"/>
        <v>460.1671</v>
      </c>
      <c r="AB180" s="17">
        <f t="shared" si="7"/>
        <v>269.69080000000002</v>
      </c>
      <c r="AC180" s="17">
        <f t="shared" si="8"/>
        <v>338.24453749999998</v>
      </c>
    </row>
    <row r="181" spans="1:29">
      <c r="A181" s="8">
        <v>45471</v>
      </c>
      <c r="B181" s="16">
        <v>336.55369999999999</v>
      </c>
      <c r="C181" s="16">
        <v>317.39299999999997</v>
      </c>
      <c r="D181" s="16">
        <v>302.89019999999999</v>
      </c>
      <c r="E181" s="16">
        <v>294.25689999999997</v>
      </c>
      <c r="F181" s="16">
        <v>285.51049999999998</v>
      </c>
      <c r="G181" s="16">
        <v>265.86779999999999</v>
      </c>
      <c r="H181" s="16">
        <v>291.20690000000002</v>
      </c>
      <c r="I181" s="16">
        <v>276.40699999999998</v>
      </c>
      <c r="J181" s="16">
        <v>302.96249999999998</v>
      </c>
      <c r="K181" s="16">
        <v>317.39769999999999</v>
      </c>
      <c r="L181" s="16">
        <v>338.72489999999999</v>
      </c>
      <c r="M181" s="16">
        <v>318.23719999999997</v>
      </c>
      <c r="N181" s="16">
        <v>282.02929999999998</v>
      </c>
      <c r="O181" s="16">
        <v>324.93689999999998</v>
      </c>
      <c r="P181" s="16">
        <v>334.30340000000001</v>
      </c>
      <c r="Q181" s="16">
        <v>348.3349</v>
      </c>
      <c r="R181" s="16">
        <v>391.78280000000001</v>
      </c>
      <c r="S181" s="16">
        <v>350.06279999999998</v>
      </c>
      <c r="T181" s="16">
        <v>336.95949999999999</v>
      </c>
      <c r="U181" s="16">
        <v>353.83550000000002</v>
      </c>
      <c r="V181" s="16">
        <v>349.20929999999998</v>
      </c>
      <c r="W181" s="16">
        <v>356.91370000000001</v>
      </c>
      <c r="X181" s="16">
        <v>365.60250000000002</v>
      </c>
      <c r="Y181" s="16">
        <v>362.63339999999999</v>
      </c>
      <c r="Z181" s="16"/>
      <c r="AA181" s="17">
        <f t="shared" si="6"/>
        <v>391.78280000000001</v>
      </c>
      <c r="AB181" s="17">
        <f t="shared" si="7"/>
        <v>265.86779999999999</v>
      </c>
      <c r="AC181" s="17">
        <f t="shared" si="8"/>
        <v>325.16717916666698</v>
      </c>
    </row>
    <row r="182" spans="1:29">
      <c r="A182" s="8">
        <v>45472</v>
      </c>
      <c r="B182" s="16">
        <v>377.32650000000001</v>
      </c>
      <c r="C182" s="16">
        <v>321.5521</v>
      </c>
      <c r="D182" s="16">
        <v>301.82490000000001</v>
      </c>
      <c r="E182" s="16">
        <v>295.75290000000001</v>
      </c>
      <c r="F182" s="16">
        <v>273.44029999999998</v>
      </c>
      <c r="G182" s="16">
        <v>255.5018</v>
      </c>
      <c r="H182" s="16">
        <v>254.82210000000001</v>
      </c>
      <c r="I182" s="16">
        <v>164.14599999999999</v>
      </c>
      <c r="J182" s="16">
        <v>226.66030000000001</v>
      </c>
      <c r="K182" s="16">
        <v>253.83779999999999</v>
      </c>
      <c r="L182" s="16">
        <v>228.36969999999999</v>
      </c>
      <c r="M182" s="16">
        <v>269.77960000000002</v>
      </c>
      <c r="N182" s="16">
        <v>233.03110000000001</v>
      </c>
      <c r="O182" s="16">
        <v>271.88479999999998</v>
      </c>
      <c r="P182" s="16">
        <v>302.0804</v>
      </c>
      <c r="Q182" s="16">
        <v>301.53089999999997</v>
      </c>
      <c r="R182" s="16">
        <v>334.71949999999998</v>
      </c>
      <c r="S182" s="16">
        <v>296.0025</v>
      </c>
      <c r="T182" s="16">
        <v>281.22800000000001</v>
      </c>
      <c r="U182" s="16">
        <v>329.23140000000001</v>
      </c>
      <c r="V182" s="16">
        <v>314.27249999999998</v>
      </c>
      <c r="W182" s="16">
        <v>314.1977</v>
      </c>
      <c r="X182" s="16">
        <v>309.47109999999998</v>
      </c>
      <c r="Y182" s="16">
        <v>288.42070000000001</v>
      </c>
      <c r="Z182" s="16"/>
      <c r="AA182" s="17">
        <f t="shared" si="6"/>
        <v>377.32650000000001</v>
      </c>
      <c r="AB182" s="17">
        <f t="shared" si="7"/>
        <v>164.14599999999999</v>
      </c>
      <c r="AC182" s="17">
        <f t="shared" si="8"/>
        <v>283.29519166666699</v>
      </c>
    </row>
    <row r="183" spans="1:29">
      <c r="A183" s="8">
        <v>45473</v>
      </c>
      <c r="B183" s="16">
        <v>307.06939999999997</v>
      </c>
      <c r="C183" s="16">
        <v>269.27539999999999</v>
      </c>
      <c r="D183" s="16">
        <v>29.450399999999998</v>
      </c>
      <c r="E183" s="16">
        <v>98.229900000000001</v>
      </c>
      <c r="F183" s="16">
        <v>121.19629999999999</v>
      </c>
      <c r="G183" s="16">
        <v>0</v>
      </c>
      <c r="H183" s="16">
        <v>0</v>
      </c>
      <c r="I183" s="16">
        <v>0</v>
      </c>
      <c r="J183" s="16">
        <v>0</v>
      </c>
      <c r="K183" s="16">
        <v>25.003399999999999</v>
      </c>
      <c r="L183" s="16">
        <v>102.57689999999999</v>
      </c>
      <c r="M183" s="16">
        <v>222.6028</v>
      </c>
      <c r="N183" s="16">
        <v>16.165700000000001</v>
      </c>
      <c r="O183" s="16">
        <v>176.36879999999999</v>
      </c>
      <c r="P183" s="16">
        <v>177.2439</v>
      </c>
      <c r="Q183" s="16">
        <v>102.5438</v>
      </c>
      <c r="R183" s="16">
        <v>196.01249999999999</v>
      </c>
      <c r="S183" s="16">
        <v>167.59299999999999</v>
      </c>
      <c r="T183" s="16">
        <v>166.90100000000001</v>
      </c>
      <c r="U183" s="16">
        <v>253.75409999999999</v>
      </c>
      <c r="V183" s="16">
        <v>318.4393</v>
      </c>
      <c r="W183" s="16">
        <v>326.52780000000001</v>
      </c>
      <c r="X183" s="16">
        <v>302.2013</v>
      </c>
      <c r="Y183" s="16">
        <v>222.2441</v>
      </c>
      <c r="Z183" s="16"/>
      <c r="AA183" s="17">
        <f t="shared" si="6"/>
        <v>326.52780000000001</v>
      </c>
      <c r="AB183" s="17">
        <f t="shared" si="7"/>
        <v>0</v>
      </c>
      <c r="AC183" s="17">
        <f t="shared" si="8"/>
        <v>150.058325</v>
      </c>
    </row>
    <row r="184" spans="1:29">
      <c r="A184" s="8">
        <v>45474</v>
      </c>
      <c r="B184" s="16">
        <v>309.84559999999999</v>
      </c>
      <c r="C184" s="16">
        <v>305.97489999999999</v>
      </c>
      <c r="D184" s="16">
        <v>279.9556</v>
      </c>
      <c r="E184" s="16">
        <v>235.2175</v>
      </c>
      <c r="F184" s="16">
        <v>53.933700000000002</v>
      </c>
      <c r="G184" s="16">
        <v>0</v>
      </c>
      <c r="H184" s="16">
        <v>2.4300999999999999</v>
      </c>
      <c r="I184" s="16">
        <v>74.510400000000004</v>
      </c>
      <c r="J184" s="16">
        <v>267.58960000000002</v>
      </c>
      <c r="K184" s="16">
        <v>262.39120000000003</v>
      </c>
      <c r="L184" s="16">
        <v>217.18770000000001</v>
      </c>
      <c r="M184" s="16">
        <v>155.51929999999999</v>
      </c>
      <c r="N184" s="16">
        <v>166.8329</v>
      </c>
      <c r="O184" s="16">
        <v>253.39089999999999</v>
      </c>
      <c r="P184" s="16">
        <v>191.42150000000001</v>
      </c>
      <c r="Q184" s="16">
        <v>141.15889999999999</v>
      </c>
      <c r="R184" s="16">
        <v>257.99489999999997</v>
      </c>
      <c r="S184" s="16">
        <v>304.31509999999997</v>
      </c>
      <c r="T184" s="16">
        <v>317.7971</v>
      </c>
      <c r="U184" s="16">
        <v>338.30689999999998</v>
      </c>
      <c r="V184" s="16">
        <v>337.53919999999999</v>
      </c>
      <c r="W184" s="16">
        <v>362.49680000000001</v>
      </c>
      <c r="X184" s="16">
        <v>361.97359999999998</v>
      </c>
      <c r="Y184" s="16">
        <v>338.37959999999998</v>
      </c>
      <c r="Z184" s="16"/>
      <c r="AA184" s="17">
        <f t="shared" si="6"/>
        <v>362.49680000000001</v>
      </c>
      <c r="AB184" s="17">
        <f t="shared" si="7"/>
        <v>0</v>
      </c>
      <c r="AC184" s="17">
        <f t="shared" si="8"/>
        <v>230.673458333333</v>
      </c>
    </row>
    <row r="185" spans="1:29">
      <c r="A185" s="8">
        <v>45475</v>
      </c>
      <c r="B185" s="16">
        <v>353.62259999999998</v>
      </c>
      <c r="C185" s="16">
        <v>323.34789999999998</v>
      </c>
      <c r="D185" s="16">
        <v>309.69889999999998</v>
      </c>
      <c r="E185" s="16">
        <v>299.4828</v>
      </c>
      <c r="F185" s="16">
        <v>289.41210000000001</v>
      </c>
      <c r="G185" s="16">
        <v>289.96629999999999</v>
      </c>
      <c r="H185" s="16">
        <v>285.81020000000001</v>
      </c>
      <c r="I185" s="16">
        <v>273.99889999999999</v>
      </c>
      <c r="J185" s="16">
        <v>313.69290000000001</v>
      </c>
      <c r="K185" s="16">
        <v>361.7072</v>
      </c>
      <c r="L185" s="16">
        <v>323.78989999999999</v>
      </c>
      <c r="M185" s="16">
        <v>315.89760000000001</v>
      </c>
      <c r="N185" s="16">
        <v>240.3784</v>
      </c>
      <c r="O185" s="16">
        <v>307.2226</v>
      </c>
      <c r="P185" s="16">
        <v>322.02069999999998</v>
      </c>
      <c r="Q185" s="16">
        <v>326.46179999999998</v>
      </c>
      <c r="R185" s="16">
        <v>334.80439999999999</v>
      </c>
      <c r="S185" s="16">
        <v>336.2679</v>
      </c>
      <c r="T185" s="16">
        <v>320.85719999999998</v>
      </c>
      <c r="U185" s="16">
        <v>369.75259999999997</v>
      </c>
      <c r="V185" s="16">
        <v>346.47590000000002</v>
      </c>
      <c r="W185" s="16">
        <v>403.09980000000002</v>
      </c>
      <c r="X185" s="16">
        <v>402.02800000000002</v>
      </c>
      <c r="Y185" s="16">
        <v>348.32810000000001</v>
      </c>
      <c r="Z185" s="16"/>
      <c r="AA185" s="17">
        <f t="shared" si="6"/>
        <v>403.09980000000002</v>
      </c>
      <c r="AB185" s="17">
        <f t="shared" si="7"/>
        <v>240.3784</v>
      </c>
      <c r="AC185" s="17">
        <f t="shared" si="8"/>
        <v>324.92186249999997</v>
      </c>
    </row>
    <row r="186" spans="1:29">
      <c r="A186" s="8">
        <v>45476</v>
      </c>
      <c r="B186" s="16">
        <v>370.60610000000003</v>
      </c>
      <c r="C186" s="16">
        <v>343.21890000000002</v>
      </c>
      <c r="D186" s="16">
        <v>315.4615</v>
      </c>
      <c r="E186" s="16">
        <v>303.25110000000001</v>
      </c>
      <c r="F186" s="16">
        <v>301.05189999999999</v>
      </c>
      <c r="G186" s="16">
        <v>296.3999</v>
      </c>
      <c r="H186" s="16">
        <v>300.86309999999997</v>
      </c>
      <c r="I186" s="16">
        <v>297.01830000000001</v>
      </c>
      <c r="J186" s="16">
        <v>305.47680000000003</v>
      </c>
      <c r="K186" s="16">
        <v>323.32990000000001</v>
      </c>
      <c r="L186" s="16">
        <v>212.90020000000001</v>
      </c>
      <c r="M186" s="16">
        <v>195.5438</v>
      </c>
      <c r="N186" s="16">
        <v>260.43880000000001</v>
      </c>
      <c r="O186" s="16">
        <v>315.15440000000001</v>
      </c>
      <c r="P186" s="16">
        <v>316.19850000000002</v>
      </c>
      <c r="Q186" s="16">
        <v>305.11540000000002</v>
      </c>
      <c r="R186" s="16">
        <v>323.87169999999998</v>
      </c>
      <c r="S186" s="16">
        <v>333.48579999999998</v>
      </c>
      <c r="T186" s="16">
        <v>319.7149</v>
      </c>
      <c r="U186" s="16">
        <v>334.47059999999999</v>
      </c>
      <c r="V186" s="16">
        <v>337.4314</v>
      </c>
      <c r="W186" s="16">
        <v>352.56670000000003</v>
      </c>
      <c r="X186" s="16">
        <v>353.38679999999999</v>
      </c>
      <c r="Y186" s="16">
        <v>344.14879999999999</v>
      </c>
      <c r="Z186" s="16"/>
      <c r="AA186" s="17">
        <f t="shared" si="6"/>
        <v>370.60610000000003</v>
      </c>
      <c r="AB186" s="17">
        <f t="shared" si="7"/>
        <v>195.5438</v>
      </c>
      <c r="AC186" s="17">
        <f t="shared" si="8"/>
        <v>310.87938750000001</v>
      </c>
    </row>
    <row r="187" spans="1:29">
      <c r="A187" s="8">
        <v>45477</v>
      </c>
      <c r="B187" s="16">
        <v>383.4205</v>
      </c>
      <c r="C187" s="16">
        <v>368.32560000000001</v>
      </c>
      <c r="D187" s="16">
        <v>340.62400000000002</v>
      </c>
      <c r="E187" s="16">
        <v>328.5213</v>
      </c>
      <c r="F187" s="16">
        <v>320.91609999999997</v>
      </c>
      <c r="G187" s="16">
        <v>320.86259999999999</v>
      </c>
      <c r="H187" s="16">
        <v>315.96929999999998</v>
      </c>
      <c r="I187" s="16">
        <v>306.8954</v>
      </c>
      <c r="J187" s="16">
        <v>325.0915</v>
      </c>
      <c r="K187" s="16">
        <v>322.36619999999999</v>
      </c>
      <c r="L187" s="16">
        <v>314.60449999999997</v>
      </c>
      <c r="M187" s="16">
        <v>295.50110000000001</v>
      </c>
      <c r="N187" s="16">
        <v>293.0034</v>
      </c>
      <c r="O187" s="16">
        <v>328.38650000000001</v>
      </c>
      <c r="P187" s="16">
        <v>319.87360000000001</v>
      </c>
      <c r="Q187" s="16">
        <v>280.86439999999999</v>
      </c>
      <c r="R187" s="16">
        <v>302.75150000000002</v>
      </c>
      <c r="S187" s="16">
        <v>327.935</v>
      </c>
      <c r="T187" s="16">
        <v>329.8843</v>
      </c>
      <c r="U187" s="16">
        <v>355.37430000000001</v>
      </c>
      <c r="V187" s="16">
        <v>361.923</v>
      </c>
      <c r="W187" s="16">
        <v>387.87090000000001</v>
      </c>
      <c r="X187" s="16">
        <v>365.0206</v>
      </c>
      <c r="Y187" s="16">
        <v>350.27859999999998</v>
      </c>
      <c r="Z187" s="16"/>
      <c r="AA187" s="17">
        <f t="shared" si="6"/>
        <v>387.87090000000001</v>
      </c>
      <c r="AB187" s="17">
        <f t="shared" si="7"/>
        <v>280.86439999999999</v>
      </c>
      <c r="AC187" s="17">
        <f t="shared" si="8"/>
        <v>331.09434166666699</v>
      </c>
    </row>
    <row r="188" spans="1:29">
      <c r="A188" s="8">
        <v>45478</v>
      </c>
      <c r="B188" s="16">
        <v>406.20359999999999</v>
      </c>
      <c r="C188" s="16">
        <v>358.42079999999999</v>
      </c>
      <c r="D188" s="16">
        <v>330.94639999999998</v>
      </c>
      <c r="E188" s="16">
        <v>315.81790000000001</v>
      </c>
      <c r="F188" s="16">
        <v>303.17160000000001</v>
      </c>
      <c r="G188" s="16">
        <v>298.46640000000002</v>
      </c>
      <c r="H188" s="16">
        <v>303.14819999999997</v>
      </c>
      <c r="I188" s="16">
        <v>296.31369999999998</v>
      </c>
      <c r="J188" s="16">
        <v>310.9991</v>
      </c>
      <c r="K188" s="16">
        <v>309.46960000000001</v>
      </c>
      <c r="L188" s="16">
        <v>243.10329999999999</v>
      </c>
      <c r="M188" s="16">
        <v>254.13380000000001</v>
      </c>
      <c r="N188" s="16">
        <v>309.98759999999999</v>
      </c>
      <c r="O188" s="16">
        <v>328.3775</v>
      </c>
      <c r="P188" s="16">
        <v>313.2611</v>
      </c>
      <c r="Q188" s="16">
        <v>287.15859999999998</v>
      </c>
      <c r="R188" s="16">
        <v>295.5455</v>
      </c>
      <c r="S188" s="16">
        <v>327.99889999999999</v>
      </c>
      <c r="T188" s="16">
        <v>317.67849999999999</v>
      </c>
      <c r="U188" s="16">
        <v>338.09989999999999</v>
      </c>
      <c r="V188" s="16">
        <v>339.50819999999999</v>
      </c>
      <c r="W188" s="16">
        <v>379.44839999999999</v>
      </c>
      <c r="X188" s="16">
        <v>384.86689999999999</v>
      </c>
      <c r="Y188" s="16">
        <v>356.59249999999997</v>
      </c>
      <c r="Z188" s="16"/>
      <c r="AA188" s="17">
        <f t="shared" si="6"/>
        <v>406.20359999999999</v>
      </c>
      <c r="AB188" s="17">
        <f t="shared" si="7"/>
        <v>243.10329999999999</v>
      </c>
      <c r="AC188" s="17">
        <f t="shared" si="8"/>
        <v>321.19658333333302</v>
      </c>
    </row>
    <row r="189" spans="1:29">
      <c r="A189" s="8">
        <v>45479</v>
      </c>
      <c r="B189" s="16">
        <v>569.20129999999995</v>
      </c>
      <c r="C189" s="16">
        <v>431.68920000000003</v>
      </c>
      <c r="D189" s="16">
        <v>359.73570000000001</v>
      </c>
      <c r="E189" s="16">
        <v>336.505</v>
      </c>
      <c r="F189" s="16">
        <v>319.89620000000002</v>
      </c>
      <c r="G189" s="16">
        <v>309.92349999999999</v>
      </c>
      <c r="H189" s="16">
        <v>311.79419999999999</v>
      </c>
      <c r="I189" s="16">
        <v>306.75</v>
      </c>
      <c r="J189" s="16">
        <v>307.97300000000001</v>
      </c>
      <c r="K189" s="16">
        <v>320.67189999999999</v>
      </c>
      <c r="L189" s="16">
        <v>301.88729999999998</v>
      </c>
      <c r="M189" s="16">
        <v>315.71370000000002</v>
      </c>
      <c r="N189" s="16">
        <v>275.72120000000001</v>
      </c>
      <c r="O189" s="16">
        <v>357.79259999999999</v>
      </c>
      <c r="P189" s="16">
        <v>349.51799999999997</v>
      </c>
      <c r="Q189" s="16">
        <v>357.94920000000002</v>
      </c>
      <c r="R189" s="16">
        <v>423.97050000000002</v>
      </c>
      <c r="S189" s="16">
        <v>381.05020000000002</v>
      </c>
      <c r="T189" s="16">
        <v>337.28179999999998</v>
      </c>
      <c r="U189" s="16">
        <v>366.13589999999999</v>
      </c>
      <c r="V189" s="16">
        <v>369.07870000000003</v>
      </c>
      <c r="W189" s="16">
        <v>529.58939999999996</v>
      </c>
      <c r="X189" s="16">
        <v>470.98739999999998</v>
      </c>
      <c r="Y189" s="16">
        <v>489.13310000000001</v>
      </c>
      <c r="Z189" s="16"/>
      <c r="AA189" s="17">
        <f t="shared" si="6"/>
        <v>569.20129999999995</v>
      </c>
      <c r="AB189" s="17">
        <f t="shared" si="7"/>
        <v>275.72120000000001</v>
      </c>
      <c r="AC189" s="17">
        <f t="shared" si="8"/>
        <v>370.831208333333</v>
      </c>
    </row>
    <row r="190" spans="1:29">
      <c r="A190" s="8">
        <v>45480</v>
      </c>
      <c r="B190" s="16">
        <v>749.90449999999998</v>
      </c>
      <c r="C190" s="16">
        <v>412.51549999999997</v>
      </c>
      <c r="D190" s="16">
        <v>373.14429999999999</v>
      </c>
      <c r="E190" s="16">
        <v>354.18360000000001</v>
      </c>
      <c r="F190" s="16">
        <v>336.4701</v>
      </c>
      <c r="G190" s="16">
        <v>327.8211</v>
      </c>
      <c r="H190" s="16">
        <v>325.08909999999997</v>
      </c>
      <c r="I190" s="16">
        <v>315.9237</v>
      </c>
      <c r="J190" s="16">
        <v>306.18169999999998</v>
      </c>
      <c r="K190" s="16">
        <v>305.32190000000003</v>
      </c>
      <c r="L190" s="16">
        <v>243.40940000000001</v>
      </c>
      <c r="M190" s="16">
        <v>225.20939999999999</v>
      </c>
      <c r="N190" s="16">
        <v>257.6139</v>
      </c>
      <c r="O190" s="16">
        <v>320.27730000000003</v>
      </c>
      <c r="P190" s="16">
        <v>313.27879999999999</v>
      </c>
      <c r="Q190" s="16">
        <v>292.00240000000002</v>
      </c>
      <c r="R190" s="16">
        <v>307.94279999999998</v>
      </c>
      <c r="S190" s="16">
        <v>317.31709999999998</v>
      </c>
      <c r="T190" s="16">
        <v>318.0609</v>
      </c>
      <c r="U190" s="16">
        <v>325.96539999999999</v>
      </c>
      <c r="V190" s="16">
        <v>334.94540000000001</v>
      </c>
      <c r="W190" s="16">
        <v>376.62209999999999</v>
      </c>
      <c r="X190" s="16">
        <v>370.92680000000001</v>
      </c>
      <c r="Y190" s="16">
        <v>356.6352</v>
      </c>
      <c r="Z190" s="16"/>
      <c r="AA190" s="17">
        <f t="shared" si="6"/>
        <v>749.90449999999998</v>
      </c>
      <c r="AB190" s="17">
        <f t="shared" si="7"/>
        <v>225.20939999999999</v>
      </c>
      <c r="AC190" s="17">
        <f t="shared" si="8"/>
        <v>340.28176666666701</v>
      </c>
    </row>
    <row r="191" spans="1:29">
      <c r="A191" s="8">
        <v>45481</v>
      </c>
      <c r="B191" s="16">
        <v>602.5539</v>
      </c>
      <c r="C191" s="16">
        <v>389.7987</v>
      </c>
      <c r="D191" s="16">
        <v>351.75490000000002</v>
      </c>
      <c r="E191" s="16">
        <v>338.22300000000001</v>
      </c>
      <c r="F191" s="16">
        <v>332.69580000000002</v>
      </c>
      <c r="G191" s="16">
        <v>324.31270000000001</v>
      </c>
      <c r="H191" s="16">
        <v>328.89049999999997</v>
      </c>
      <c r="I191" s="16">
        <v>318.41300000000001</v>
      </c>
      <c r="J191" s="16">
        <v>336.46940000000001</v>
      </c>
      <c r="K191" s="16">
        <v>366.40390000000002</v>
      </c>
      <c r="L191" s="16">
        <v>356.09300000000002</v>
      </c>
      <c r="M191" s="16">
        <v>359.99509999999998</v>
      </c>
      <c r="N191" s="16">
        <v>291.6241</v>
      </c>
      <c r="O191" s="16">
        <v>334.4753</v>
      </c>
      <c r="P191" s="16">
        <v>342.47269999999997</v>
      </c>
      <c r="Q191" s="16">
        <v>342.21679999999998</v>
      </c>
      <c r="R191" s="16">
        <v>397.63029999999998</v>
      </c>
      <c r="S191" s="16">
        <v>387.23649999999998</v>
      </c>
      <c r="T191" s="16">
        <v>342.63909999999998</v>
      </c>
      <c r="U191" s="16">
        <v>361.2414</v>
      </c>
      <c r="V191" s="16">
        <v>361.33429999999998</v>
      </c>
      <c r="W191" s="16">
        <v>393.3621</v>
      </c>
      <c r="X191" s="16">
        <v>402.22809999999998</v>
      </c>
      <c r="Y191" s="16">
        <v>364.05360000000002</v>
      </c>
      <c r="Z191" s="16"/>
      <c r="AA191" s="17">
        <f t="shared" si="6"/>
        <v>602.5539</v>
      </c>
      <c r="AB191" s="17">
        <f t="shared" si="7"/>
        <v>291.6241</v>
      </c>
      <c r="AC191" s="17">
        <f t="shared" si="8"/>
        <v>363.58825833333299</v>
      </c>
    </row>
    <row r="192" spans="1:29">
      <c r="A192" s="8">
        <v>45482</v>
      </c>
      <c r="B192" s="16">
        <v>560.28179999999998</v>
      </c>
      <c r="C192" s="16">
        <v>391.24990000000003</v>
      </c>
      <c r="D192" s="16">
        <v>351.3741</v>
      </c>
      <c r="E192" s="16">
        <v>339.95260000000002</v>
      </c>
      <c r="F192" s="16">
        <v>330.99540000000002</v>
      </c>
      <c r="G192" s="16">
        <v>319.73520000000002</v>
      </c>
      <c r="H192" s="16">
        <v>324.24430000000001</v>
      </c>
      <c r="I192" s="16">
        <v>313.21570000000003</v>
      </c>
      <c r="J192" s="16">
        <v>332.9128</v>
      </c>
      <c r="K192" s="16">
        <v>380.40280000000001</v>
      </c>
      <c r="L192" s="16">
        <v>363.58159999999998</v>
      </c>
      <c r="M192" s="16">
        <v>331.2115</v>
      </c>
      <c r="N192" s="16">
        <v>280.43130000000002</v>
      </c>
      <c r="O192" s="16">
        <v>356.6454</v>
      </c>
      <c r="P192" s="16">
        <v>357.45519999999999</v>
      </c>
      <c r="Q192" s="16">
        <v>392.7473</v>
      </c>
      <c r="R192" s="16">
        <v>388.47500000000002</v>
      </c>
      <c r="S192" s="16">
        <v>391.72669999999999</v>
      </c>
      <c r="T192" s="16">
        <v>354.92439999999999</v>
      </c>
      <c r="U192" s="16">
        <v>384.59120000000001</v>
      </c>
      <c r="V192" s="16">
        <v>367.86799999999999</v>
      </c>
      <c r="W192" s="16">
        <v>370.21600000000001</v>
      </c>
      <c r="X192" s="16">
        <v>381.59890000000001</v>
      </c>
      <c r="Y192" s="16">
        <v>367.59219999999999</v>
      </c>
      <c r="Z192" s="16"/>
      <c r="AA192" s="17">
        <f t="shared" si="6"/>
        <v>560.28179999999998</v>
      </c>
      <c r="AB192" s="17">
        <f t="shared" si="7"/>
        <v>280.43130000000002</v>
      </c>
      <c r="AC192" s="17">
        <f t="shared" si="8"/>
        <v>363.89288749999997</v>
      </c>
    </row>
    <row r="193" spans="1:29">
      <c r="A193" s="8">
        <v>45483</v>
      </c>
      <c r="B193" s="16">
        <v>674.85770000000002</v>
      </c>
      <c r="C193" s="16">
        <v>578.05730000000005</v>
      </c>
      <c r="D193" s="16">
        <v>384.76909999999998</v>
      </c>
      <c r="E193" s="16">
        <v>352.00319999999999</v>
      </c>
      <c r="F193" s="16">
        <v>340.57920000000001</v>
      </c>
      <c r="G193" s="16">
        <v>336.55590000000001</v>
      </c>
      <c r="H193" s="16">
        <v>338.28680000000003</v>
      </c>
      <c r="I193" s="16">
        <v>321.55450000000002</v>
      </c>
      <c r="J193" s="16">
        <v>349.37509999999997</v>
      </c>
      <c r="K193" s="16">
        <v>430.86149999999998</v>
      </c>
      <c r="L193" s="16">
        <v>375.30959999999999</v>
      </c>
      <c r="M193" s="16">
        <v>366.98809999999997</v>
      </c>
      <c r="N193" s="16">
        <v>279.04910000000001</v>
      </c>
      <c r="O193" s="16">
        <v>416.29140000000001</v>
      </c>
      <c r="P193" s="16">
        <v>391.67599999999999</v>
      </c>
      <c r="Q193" s="16">
        <v>422.20060000000001</v>
      </c>
      <c r="R193" s="16">
        <v>372.00060000000002</v>
      </c>
      <c r="S193" s="16">
        <v>390.26479999999998</v>
      </c>
      <c r="T193" s="16">
        <v>344.92219999999998</v>
      </c>
      <c r="U193" s="16">
        <v>366.87310000000002</v>
      </c>
      <c r="V193" s="16">
        <v>369.36970000000002</v>
      </c>
      <c r="W193" s="16">
        <v>376.90039999999999</v>
      </c>
      <c r="X193" s="16">
        <v>400.5668</v>
      </c>
      <c r="Y193" s="16">
        <v>375.73149999999998</v>
      </c>
      <c r="Z193" s="16"/>
      <c r="AA193" s="17">
        <f t="shared" si="6"/>
        <v>674.85770000000002</v>
      </c>
      <c r="AB193" s="17">
        <f t="shared" si="7"/>
        <v>279.04910000000001</v>
      </c>
      <c r="AC193" s="17">
        <f t="shared" si="8"/>
        <v>389.79350833333302</v>
      </c>
    </row>
    <row r="194" spans="1:29">
      <c r="A194" s="8">
        <v>45484</v>
      </c>
      <c r="B194" s="16">
        <v>651.76080000000002</v>
      </c>
      <c r="C194" s="16">
        <v>525.06290000000001</v>
      </c>
      <c r="D194" s="16">
        <v>392.56169999999997</v>
      </c>
      <c r="E194" s="16">
        <v>356.29579999999999</v>
      </c>
      <c r="F194" s="16">
        <v>344.8048</v>
      </c>
      <c r="G194" s="16">
        <v>337.93740000000003</v>
      </c>
      <c r="H194" s="16">
        <v>339.80279999999999</v>
      </c>
      <c r="I194" s="16">
        <v>330.62540000000001</v>
      </c>
      <c r="J194" s="16">
        <v>346.6558</v>
      </c>
      <c r="K194" s="16">
        <v>353.71359999999999</v>
      </c>
      <c r="L194" s="16">
        <v>354.08429999999998</v>
      </c>
      <c r="M194" s="16">
        <v>344.59710000000001</v>
      </c>
      <c r="N194" s="16">
        <v>257.10590000000002</v>
      </c>
      <c r="O194" s="16">
        <v>343.85219999999998</v>
      </c>
      <c r="P194" s="16">
        <v>348.8365</v>
      </c>
      <c r="Q194" s="16">
        <v>354.84</v>
      </c>
      <c r="R194" s="16">
        <v>352.35899999999998</v>
      </c>
      <c r="S194" s="16">
        <v>354.0342</v>
      </c>
      <c r="T194" s="16">
        <v>341.08879999999999</v>
      </c>
      <c r="U194" s="16">
        <v>351.78890000000001</v>
      </c>
      <c r="V194" s="16">
        <v>350.0607</v>
      </c>
      <c r="W194" s="16">
        <v>355.23579999999998</v>
      </c>
      <c r="X194" s="16">
        <v>367.9144</v>
      </c>
      <c r="Y194" s="16">
        <v>369.45830000000001</v>
      </c>
      <c r="Z194" s="16"/>
      <c r="AA194" s="17">
        <f t="shared" ref="AA194:AA257" si="9">MAX($B194:$Y194)</f>
        <v>651.76080000000002</v>
      </c>
      <c r="AB194" s="17">
        <f t="shared" ref="AB194:AB257" si="10">MIN($B194:$Y194)</f>
        <v>257.10590000000002</v>
      </c>
      <c r="AC194" s="17">
        <f t="shared" ref="AC194:AC257" si="11">AVERAGE($B194:$Y194)</f>
        <v>367.68654583333301</v>
      </c>
    </row>
    <row r="195" spans="1:29">
      <c r="A195" s="8">
        <v>45485</v>
      </c>
      <c r="B195" s="16">
        <v>529.10940000000005</v>
      </c>
      <c r="C195" s="16">
        <v>383.92169999999999</v>
      </c>
      <c r="D195" s="16">
        <v>358.23590000000002</v>
      </c>
      <c r="E195" s="16">
        <v>346.99919999999997</v>
      </c>
      <c r="F195" s="16">
        <v>335.5324</v>
      </c>
      <c r="G195" s="16">
        <v>330.18740000000003</v>
      </c>
      <c r="H195" s="16">
        <v>330.12520000000001</v>
      </c>
      <c r="I195" s="16">
        <v>323.1694</v>
      </c>
      <c r="J195" s="16">
        <v>343.52300000000002</v>
      </c>
      <c r="K195" s="16">
        <v>348.11959999999999</v>
      </c>
      <c r="L195" s="16">
        <v>338.3793</v>
      </c>
      <c r="M195" s="16">
        <v>341.97969999999998</v>
      </c>
      <c r="N195" s="16">
        <v>325.0797</v>
      </c>
      <c r="O195" s="16">
        <v>347.21440000000001</v>
      </c>
      <c r="P195" s="16">
        <v>352.45479999999998</v>
      </c>
      <c r="Q195" s="16">
        <v>348.8639</v>
      </c>
      <c r="R195" s="16">
        <v>340.96050000000002</v>
      </c>
      <c r="S195" s="16">
        <v>339.7414</v>
      </c>
      <c r="T195" s="16">
        <v>324.88920000000002</v>
      </c>
      <c r="U195" s="16">
        <v>344.6404</v>
      </c>
      <c r="V195" s="16">
        <v>343.06560000000002</v>
      </c>
      <c r="W195" s="16">
        <v>341.76170000000002</v>
      </c>
      <c r="X195" s="16">
        <v>347.96539999999999</v>
      </c>
      <c r="Y195" s="16">
        <v>348.51799999999997</v>
      </c>
      <c r="Z195" s="16"/>
      <c r="AA195" s="17">
        <f t="shared" si="9"/>
        <v>529.10940000000005</v>
      </c>
      <c r="AB195" s="17">
        <f t="shared" si="10"/>
        <v>323.1694</v>
      </c>
      <c r="AC195" s="17">
        <f t="shared" si="11"/>
        <v>350.60154999999997</v>
      </c>
    </row>
    <row r="196" spans="1:29">
      <c r="A196" s="8">
        <v>45486</v>
      </c>
      <c r="B196" s="16">
        <v>406.01440000000002</v>
      </c>
      <c r="C196" s="16">
        <v>376.85399999999998</v>
      </c>
      <c r="D196" s="16">
        <v>356.49849999999998</v>
      </c>
      <c r="E196" s="16">
        <v>349.72039999999998</v>
      </c>
      <c r="F196" s="16">
        <v>336.86610000000002</v>
      </c>
      <c r="G196" s="16">
        <v>326.8134</v>
      </c>
      <c r="H196" s="16">
        <v>329.19569999999999</v>
      </c>
      <c r="I196" s="16">
        <v>317.45870000000002</v>
      </c>
      <c r="J196" s="16">
        <v>332.81909999999999</v>
      </c>
      <c r="K196" s="16">
        <v>313.9171</v>
      </c>
      <c r="L196" s="16">
        <v>275.20080000000002</v>
      </c>
      <c r="M196" s="16">
        <v>319.18119999999999</v>
      </c>
      <c r="N196" s="16">
        <v>282.33949999999999</v>
      </c>
      <c r="O196" s="16">
        <v>396.0342</v>
      </c>
      <c r="P196" s="16">
        <v>418.97800000000001</v>
      </c>
      <c r="Q196" s="16">
        <v>342.34739999999999</v>
      </c>
      <c r="R196" s="16">
        <v>362.49349999999998</v>
      </c>
      <c r="S196" s="16">
        <v>376.62900000000002</v>
      </c>
      <c r="T196" s="16">
        <v>342.7629</v>
      </c>
      <c r="U196" s="16">
        <v>352.29250000000002</v>
      </c>
      <c r="V196" s="16">
        <v>350.25229999999999</v>
      </c>
      <c r="W196" s="16">
        <v>351.78969999999998</v>
      </c>
      <c r="X196" s="16">
        <v>360.32589999999999</v>
      </c>
      <c r="Y196" s="16">
        <v>370.87279999999998</v>
      </c>
      <c r="Z196" s="16"/>
      <c r="AA196" s="17">
        <f t="shared" si="9"/>
        <v>418.97800000000001</v>
      </c>
      <c r="AB196" s="17">
        <f t="shared" si="10"/>
        <v>275.20080000000002</v>
      </c>
      <c r="AC196" s="17">
        <f t="shared" si="11"/>
        <v>347.81904583333301</v>
      </c>
    </row>
    <row r="197" spans="1:29">
      <c r="A197" s="8">
        <v>45487</v>
      </c>
      <c r="B197" s="16">
        <v>417.22430000000003</v>
      </c>
      <c r="C197" s="16">
        <v>376.09070000000003</v>
      </c>
      <c r="D197" s="16">
        <v>358.2602</v>
      </c>
      <c r="E197" s="16">
        <v>342.40620000000001</v>
      </c>
      <c r="F197" s="16">
        <v>329.7013</v>
      </c>
      <c r="G197" s="16">
        <v>321.70780000000002</v>
      </c>
      <c r="H197" s="16">
        <v>318.78620000000001</v>
      </c>
      <c r="I197" s="16">
        <v>301.99930000000001</v>
      </c>
      <c r="J197" s="16">
        <v>222.89099999999999</v>
      </c>
      <c r="K197" s="16">
        <v>216.614</v>
      </c>
      <c r="L197" s="16">
        <v>162.6677</v>
      </c>
      <c r="M197" s="16">
        <v>176.68680000000001</v>
      </c>
      <c r="N197" s="16">
        <v>200.0822</v>
      </c>
      <c r="O197" s="16">
        <v>309.58999999999997</v>
      </c>
      <c r="P197" s="16">
        <v>221.5719</v>
      </c>
      <c r="Q197" s="16">
        <v>206.73840000000001</v>
      </c>
      <c r="R197" s="16">
        <v>220.61789999999999</v>
      </c>
      <c r="S197" s="16">
        <v>300.06610000000001</v>
      </c>
      <c r="T197" s="16">
        <v>302.35329999999999</v>
      </c>
      <c r="U197" s="16">
        <v>313.99459999999999</v>
      </c>
      <c r="V197" s="16">
        <v>329.3809</v>
      </c>
      <c r="W197" s="16">
        <v>335.90460000000002</v>
      </c>
      <c r="X197" s="16">
        <v>340.24450000000002</v>
      </c>
      <c r="Y197" s="16">
        <v>349.90309999999999</v>
      </c>
      <c r="Z197" s="16"/>
      <c r="AA197" s="17">
        <f t="shared" si="9"/>
        <v>417.22430000000003</v>
      </c>
      <c r="AB197" s="17">
        <f t="shared" si="10"/>
        <v>162.6677</v>
      </c>
      <c r="AC197" s="17">
        <f t="shared" si="11"/>
        <v>290.64512500000001</v>
      </c>
    </row>
    <row r="198" spans="1:29">
      <c r="A198" s="8">
        <v>45488</v>
      </c>
      <c r="B198" s="16">
        <v>379.41320000000002</v>
      </c>
      <c r="C198" s="16">
        <v>348.85340000000002</v>
      </c>
      <c r="D198" s="16">
        <v>333.49549999999999</v>
      </c>
      <c r="E198" s="16">
        <v>329.6182</v>
      </c>
      <c r="F198" s="16">
        <v>316.0061</v>
      </c>
      <c r="G198" s="16">
        <v>308.4384</v>
      </c>
      <c r="H198" s="16">
        <v>310.15870000000001</v>
      </c>
      <c r="I198" s="16">
        <v>303.05290000000002</v>
      </c>
      <c r="J198" s="16">
        <v>327.59379999999999</v>
      </c>
      <c r="K198" s="16">
        <v>378.08819999999997</v>
      </c>
      <c r="L198" s="16">
        <v>338.87</v>
      </c>
      <c r="M198" s="16">
        <v>341.6454</v>
      </c>
      <c r="N198" s="16">
        <v>263.87180000000001</v>
      </c>
      <c r="O198" s="16">
        <v>360.85559999999998</v>
      </c>
      <c r="P198" s="16">
        <v>379.03829999999999</v>
      </c>
      <c r="Q198" s="16">
        <v>407.13369999999998</v>
      </c>
      <c r="R198" s="16">
        <v>435.66430000000003</v>
      </c>
      <c r="S198" s="16">
        <v>377.55029999999999</v>
      </c>
      <c r="T198" s="16">
        <v>335.89929999999998</v>
      </c>
      <c r="U198" s="16">
        <v>374.6671</v>
      </c>
      <c r="V198" s="16">
        <v>358.87869999999998</v>
      </c>
      <c r="W198" s="16">
        <v>363.39600000000002</v>
      </c>
      <c r="X198" s="16">
        <v>355.29230000000001</v>
      </c>
      <c r="Y198" s="16">
        <v>349.82870000000003</v>
      </c>
      <c r="Z198" s="16"/>
      <c r="AA198" s="17">
        <f t="shared" si="9"/>
        <v>435.66430000000003</v>
      </c>
      <c r="AB198" s="17">
        <f t="shared" si="10"/>
        <v>263.87180000000001</v>
      </c>
      <c r="AC198" s="17">
        <f t="shared" si="11"/>
        <v>349.054579166667</v>
      </c>
    </row>
    <row r="199" spans="1:29">
      <c r="A199" s="8">
        <v>45489</v>
      </c>
      <c r="B199" s="16">
        <v>367.60550000000001</v>
      </c>
      <c r="C199" s="16">
        <v>343.38850000000002</v>
      </c>
      <c r="D199" s="16">
        <v>329.83049999999997</v>
      </c>
      <c r="E199" s="16">
        <v>323.80500000000001</v>
      </c>
      <c r="F199" s="16">
        <v>310.26729999999998</v>
      </c>
      <c r="G199" s="16">
        <v>304.08980000000003</v>
      </c>
      <c r="H199" s="16">
        <v>304.00650000000002</v>
      </c>
      <c r="I199" s="16">
        <v>303.9085</v>
      </c>
      <c r="J199" s="16">
        <v>315.02269999999999</v>
      </c>
      <c r="K199" s="16">
        <v>342.59300000000002</v>
      </c>
      <c r="L199" s="16">
        <v>363.37540000000001</v>
      </c>
      <c r="M199" s="16">
        <v>336.49450000000002</v>
      </c>
      <c r="N199" s="16">
        <v>313.15620000000001</v>
      </c>
      <c r="O199" s="16">
        <v>317.61200000000002</v>
      </c>
      <c r="P199" s="16">
        <v>389.6044</v>
      </c>
      <c r="Q199" s="16">
        <v>332.34010000000001</v>
      </c>
      <c r="R199" s="16">
        <v>332.68680000000001</v>
      </c>
      <c r="S199" s="16">
        <v>325.47519999999997</v>
      </c>
      <c r="T199" s="16">
        <v>309.78250000000003</v>
      </c>
      <c r="U199" s="16">
        <v>317.62900000000002</v>
      </c>
      <c r="V199" s="16">
        <v>317.40629999999999</v>
      </c>
      <c r="W199" s="16">
        <v>329.69560000000001</v>
      </c>
      <c r="X199" s="16">
        <v>329.05889999999999</v>
      </c>
      <c r="Y199" s="16">
        <v>317.59460000000001</v>
      </c>
      <c r="Z199" s="16"/>
      <c r="AA199" s="17">
        <f t="shared" si="9"/>
        <v>389.6044</v>
      </c>
      <c r="AB199" s="17">
        <f t="shared" si="10"/>
        <v>303.9085</v>
      </c>
      <c r="AC199" s="17">
        <f t="shared" si="11"/>
        <v>328.18453333333298</v>
      </c>
    </row>
    <row r="200" spans="1:29">
      <c r="A200" s="8">
        <v>45490</v>
      </c>
      <c r="B200" s="16">
        <v>322.47890000000001</v>
      </c>
      <c r="C200" s="16">
        <v>316.95030000000003</v>
      </c>
      <c r="D200" s="16">
        <v>310.9699</v>
      </c>
      <c r="E200" s="16">
        <v>305.01310000000001</v>
      </c>
      <c r="F200" s="16">
        <v>298.06880000000001</v>
      </c>
      <c r="G200" s="16">
        <v>271.9812</v>
      </c>
      <c r="H200" s="16">
        <v>296.7285</v>
      </c>
      <c r="I200" s="16">
        <v>285.11599999999999</v>
      </c>
      <c r="J200" s="16">
        <v>310.6524</v>
      </c>
      <c r="K200" s="16">
        <v>320.36669999999998</v>
      </c>
      <c r="L200" s="16">
        <v>326.20960000000002</v>
      </c>
      <c r="M200" s="16">
        <v>327.61790000000002</v>
      </c>
      <c r="N200" s="16">
        <v>249.73269999999999</v>
      </c>
      <c r="O200" s="16">
        <v>330.92439999999999</v>
      </c>
      <c r="P200" s="16">
        <v>331.17660000000001</v>
      </c>
      <c r="Q200" s="16">
        <v>330.66629999999998</v>
      </c>
      <c r="R200" s="16">
        <v>335.55399999999997</v>
      </c>
      <c r="S200" s="16">
        <v>322.0668</v>
      </c>
      <c r="T200" s="16">
        <v>306.4074</v>
      </c>
      <c r="U200" s="16">
        <v>319.20089999999999</v>
      </c>
      <c r="V200" s="16">
        <v>321.78390000000002</v>
      </c>
      <c r="W200" s="16">
        <v>325.62700000000001</v>
      </c>
      <c r="X200" s="16">
        <v>318.4486</v>
      </c>
      <c r="Y200" s="16">
        <v>312.49540000000002</v>
      </c>
      <c r="Z200" s="16"/>
      <c r="AA200" s="17">
        <f t="shared" si="9"/>
        <v>335.55399999999997</v>
      </c>
      <c r="AB200" s="17">
        <f t="shared" si="10"/>
        <v>249.73269999999999</v>
      </c>
      <c r="AC200" s="17">
        <f t="shared" si="11"/>
        <v>312.34322083333302</v>
      </c>
    </row>
    <row r="201" spans="1:29">
      <c r="A201" s="8">
        <v>45491</v>
      </c>
      <c r="B201" s="16">
        <v>346.87099999999998</v>
      </c>
      <c r="C201" s="16">
        <v>317.4957</v>
      </c>
      <c r="D201" s="16">
        <v>314.2072</v>
      </c>
      <c r="E201" s="16">
        <v>310.3426</v>
      </c>
      <c r="F201" s="16">
        <v>303.87020000000001</v>
      </c>
      <c r="G201" s="16">
        <v>305.26769999999999</v>
      </c>
      <c r="H201" s="16">
        <v>306.39260000000002</v>
      </c>
      <c r="I201" s="16">
        <v>304.17169999999999</v>
      </c>
      <c r="J201" s="16">
        <v>322.40589999999997</v>
      </c>
      <c r="K201" s="16">
        <v>332.94549999999998</v>
      </c>
      <c r="L201" s="16">
        <v>341.27280000000002</v>
      </c>
      <c r="M201" s="16">
        <v>342.08170000000001</v>
      </c>
      <c r="N201" s="16">
        <v>304.00529999999998</v>
      </c>
      <c r="O201" s="16">
        <v>323.36430000000001</v>
      </c>
      <c r="P201" s="16">
        <v>330.88639999999998</v>
      </c>
      <c r="Q201" s="16">
        <v>279.88249999999999</v>
      </c>
      <c r="R201" s="16">
        <v>317.21030000000002</v>
      </c>
      <c r="S201" s="16">
        <v>308.10379999999998</v>
      </c>
      <c r="T201" s="16">
        <v>301.14870000000002</v>
      </c>
      <c r="U201" s="16">
        <v>313.8648</v>
      </c>
      <c r="V201" s="16">
        <v>314.62099999999998</v>
      </c>
      <c r="W201" s="16">
        <v>314.74450000000002</v>
      </c>
      <c r="X201" s="16">
        <v>309.56020000000001</v>
      </c>
      <c r="Y201" s="16">
        <v>305.2133</v>
      </c>
      <c r="Z201" s="16"/>
      <c r="AA201" s="17">
        <f t="shared" si="9"/>
        <v>346.87099999999998</v>
      </c>
      <c r="AB201" s="17">
        <f t="shared" si="10"/>
        <v>279.88249999999999</v>
      </c>
      <c r="AC201" s="17">
        <f t="shared" si="11"/>
        <v>315.41373750000002</v>
      </c>
    </row>
    <row r="202" spans="1:29">
      <c r="A202" s="8">
        <v>45492</v>
      </c>
      <c r="B202" s="16">
        <v>319.10759999999999</v>
      </c>
      <c r="C202" s="16">
        <v>315.14609999999999</v>
      </c>
      <c r="D202" s="16">
        <v>309.36439999999999</v>
      </c>
      <c r="E202" s="16">
        <v>306.61079999999998</v>
      </c>
      <c r="F202" s="16">
        <v>298.7253</v>
      </c>
      <c r="G202" s="16">
        <v>295.71789999999999</v>
      </c>
      <c r="H202" s="16">
        <v>299.78179999999998</v>
      </c>
      <c r="I202" s="16">
        <v>289.87049999999999</v>
      </c>
      <c r="J202" s="16">
        <v>310.68119999999999</v>
      </c>
      <c r="K202" s="16">
        <v>302.84609999999998</v>
      </c>
      <c r="L202" s="16">
        <v>312.262</v>
      </c>
      <c r="M202" s="16">
        <v>321.14370000000002</v>
      </c>
      <c r="N202" s="16">
        <v>239.81299999999999</v>
      </c>
      <c r="O202" s="16">
        <v>315.49489999999997</v>
      </c>
      <c r="P202" s="16">
        <v>345.73860000000002</v>
      </c>
      <c r="Q202" s="16">
        <v>340.41719999999998</v>
      </c>
      <c r="R202" s="16">
        <v>335.5385</v>
      </c>
      <c r="S202" s="16">
        <v>337.54559999999998</v>
      </c>
      <c r="T202" s="16">
        <v>315.14800000000002</v>
      </c>
      <c r="U202" s="16">
        <v>342.2484</v>
      </c>
      <c r="V202" s="16">
        <v>339.7303</v>
      </c>
      <c r="W202" s="16">
        <v>330.95949999999999</v>
      </c>
      <c r="X202" s="16">
        <v>331.29739999999998</v>
      </c>
      <c r="Y202" s="16">
        <v>317.56060000000002</v>
      </c>
      <c r="Z202" s="16"/>
      <c r="AA202" s="17">
        <f t="shared" si="9"/>
        <v>345.73860000000002</v>
      </c>
      <c r="AB202" s="17">
        <f t="shared" si="10"/>
        <v>239.81299999999999</v>
      </c>
      <c r="AC202" s="17">
        <f t="shared" si="11"/>
        <v>315.53122500000001</v>
      </c>
    </row>
    <row r="203" spans="1:29">
      <c r="A203" s="8">
        <v>45493</v>
      </c>
      <c r="B203" s="16">
        <v>327.95460000000003</v>
      </c>
      <c r="C203" s="16">
        <v>316.93099999999998</v>
      </c>
      <c r="D203" s="16">
        <v>318.70999999999998</v>
      </c>
      <c r="E203" s="16">
        <v>316.66950000000003</v>
      </c>
      <c r="F203" s="16">
        <v>307.09460000000001</v>
      </c>
      <c r="G203" s="16">
        <v>304.96170000000001</v>
      </c>
      <c r="H203" s="16">
        <v>303.5625</v>
      </c>
      <c r="I203" s="16">
        <v>297.51940000000002</v>
      </c>
      <c r="J203" s="16">
        <v>320.83819999999997</v>
      </c>
      <c r="K203" s="16">
        <v>339.4049</v>
      </c>
      <c r="L203" s="16">
        <v>355.26830000000001</v>
      </c>
      <c r="M203" s="16">
        <v>286.25839999999999</v>
      </c>
      <c r="N203" s="16">
        <v>228.14529999999999</v>
      </c>
      <c r="O203" s="16">
        <v>304.625</v>
      </c>
      <c r="P203" s="16">
        <v>344.07069999999999</v>
      </c>
      <c r="Q203" s="16">
        <v>335.0831</v>
      </c>
      <c r="R203" s="16">
        <v>338.23700000000002</v>
      </c>
      <c r="S203" s="16">
        <v>318.66919999999999</v>
      </c>
      <c r="T203" s="16">
        <v>315.3331</v>
      </c>
      <c r="U203" s="16">
        <v>340.3784</v>
      </c>
      <c r="V203" s="16">
        <v>339.36099999999999</v>
      </c>
      <c r="W203" s="16">
        <v>345.78019999999998</v>
      </c>
      <c r="X203" s="16">
        <v>336.09679999999997</v>
      </c>
      <c r="Y203" s="16">
        <v>328.40050000000002</v>
      </c>
      <c r="Z203" s="16"/>
      <c r="AA203" s="17">
        <f t="shared" si="9"/>
        <v>355.26830000000001</v>
      </c>
      <c r="AB203" s="17">
        <f t="shared" si="10"/>
        <v>228.14529999999999</v>
      </c>
      <c r="AC203" s="17">
        <f t="shared" si="11"/>
        <v>319.55639166666703</v>
      </c>
    </row>
    <row r="204" spans="1:29">
      <c r="A204" s="8">
        <v>45494</v>
      </c>
      <c r="B204" s="16">
        <v>364.93740000000003</v>
      </c>
      <c r="C204" s="16">
        <v>338.3827</v>
      </c>
      <c r="D204" s="16">
        <v>338.28609999999998</v>
      </c>
      <c r="E204" s="16">
        <v>323.85329999999999</v>
      </c>
      <c r="F204" s="16">
        <v>315.9237</v>
      </c>
      <c r="G204" s="16">
        <v>313.4812</v>
      </c>
      <c r="H204" s="16">
        <v>310.49939999999998</v>
      </c>
      <c r="I204" s="16">
        <v>304.74220000000003</v>
      </c>
      <c r="J204" s="16">
        <v>241.45230000000001</v>
      </c>
      <c r="K204" s="16">
        <v>278.2473</v>
      </c>
      <c r="L204" s="16">
        <v>191.72569999999999</v>
      </c>
      <c r="M204" s="16">
        <v>153.19030000000001</v>
      </c>
      <c r="N204" s="16">
        <v>138.43860000000001</v>
      </c>
      <c r="O204" s="16">
        <v>225.36439999999999</v>
      </c>
      <c r="P204" s="16">
        <v>281.72660000000002</v>
      </c>
      <c r="Q204" s="16">
        <v>213.72239999999999</v>
      </c>
      <c r="R204" s="16">
        <v>203.46960000000001</v>
      </c>
      <c r="S204" s="16">
        <v>217.82939999999999</v>
      </c>
      <c r="T204" s="16">
        <v>244.02510000000001</v>
      </c>
      <c r="U204" s="16">
        <v>304.60590000000002</v>
      </c>
      <c r="V204" s="16">
        <v>312.59469999999999</v>
      </c>
      <c r="W204" s="16">
        <v>314.9787</v>
      </c>
      <c r="X204" s="16">
        <v>318.00810000000001</v>
      </c>
      <c r="Y204" s="16">
        <v>315.60700000000003</v>
      </c>
      <c r="Z204" s="16"/>
      <c r="AA204" s="17">
        <f t="shared" si="9"/>
        <v>364.93740000000003</v>
      </c>
      <c r="AB204" s="17">
        <f t="shared" si="10"/>
        <v>138.43860000000001</v>
      </c>
      <c r="AC204" s="17">
        <f t="shared" si="11"/>
        <v>273.545504166667</v>
      </c>
    </row>
    <row r="205" spans="1:29">
      <c r="A205" s="8">
        <v>45495</v>
      </c>
      <c r="B205" s="16">
        <v>324.42899999999997</v>
      </c>
      <c r="C205" s="16">
        <v>309.7002</v>
      </c>
      <c r="D205" s="16">
        <v>310.56279999999998</v>
      </c>
      <c r="E205" s="16">
        <v>303.65800000000002</v>
      </c>
      <c r="F205" s="16">
        <v>294.31389999999999</v>
      </c>
      <c r="G205" s="16">
        <v>288.36450000000002</v>
      </c>
      <c r="H205" s="16">
        <v>293.16370000000001</v>
      </c>
      <c r="I205" s="16">
        <v>297.30919999999998</v>
      </c>
      <c r="J205" s="16">
        <v>401.3186</v>
      </c>
      <c r="K205" s="16">
        <v>399.05950000000001</v>
      </c>
      <c r="L205" s="16">
        <v>258.17</v>
      </c>
      <c r="M205" s="16">
        <v>294.09050000000002</v>
      </c>
      <c r="N205" s="16">
        <v>274.53899999999999</v>
      </c>
      <c r="O205" s="16">
        <v>337.54379999999998</v>
      </c>
      <c r="P205" s="16">
        <v>546.30939999999998</v>
      </c>
      <c r="Q205" s="16">
        <v>513.70489999999995</v>
      </c>
      <c r="R205" s="16">
        <v>507.57850000000002</v>
      </c>
      <c r="S205" s="16">
        <v>506.24290000000002</v>
      </c>
      <c r="T205" s="16">
        <v>353.61180000000002</v>
      </c>
      <c r="U205" s="16">
        <v>503.67110000000002</v>
      </c>
      <c r="V205" s="16">
        <v>463.81009999999998</v>
      </c>
      <c r="W205" s="16">
        <v>415.00400000000002</v>
      </c>
      <c r="X205" s="16">
        <v>361.36509999999998</v>
      </c>
      <c r="Y205" s="16">
        <v>335.72739999999999</v>
      </c>
      <c r="Z205" s="16"/>
      <c r="AA205" s="17">
        <f t="shared" si="9"/>
        <v>546.30939999999998</v>
      </c>
      <c r="AB205" s="17">
        <f t="shared" si="10"/>
        <v>258.17</v>
      </c>
      <c r="AC205" s="17">
        <f t="shared" si="11"/>
        <v>370.55199583333302</v>
      </c>
    </row>
    <row r="206" spans="1:29">
      <c r="A206" s="8">
        <v>45496</v>
      </c>
      <c r="B206" s="16">
        <v>363.08659999999998</v>
      </c>
      <c r="C206" s="16">
        <v>343.88310000000001</v>
      </c>
      <c r="D206" s="16">
        <v>333.1268</v>
      </c>
      <c r="E206" s="16">
        <v>324.11520000000002</v>
      </c>
      <c r="F206" s="16">
        <v>317.01769999999999</v>
      </c>
      <c r="G206" s="16">
        <v>309.9871</v>
      </c>
      <c r="H206" s="16">
        <v>316.05189999999999</v>
      </c>
      <c r="I206" s="16">
        <v>312.8997</v>
      </c>
      <c r="J206" s="16">
        <v>332.49939999999998</v>
      </c>
      <c r="K206" s="16">
        <v>342.18959999999998</v>
      </c>
      <c r="L206" s="16">
        <v>334.13010000000003</v>
      </c>
      <c r="M206" s="16">
        <v>316.03440000000001</v>
      </c>
      <c r="N206" s="16">
        <v>247.96549999999999</v>
      </c>
      <c r="O206" s="16">
        <v>388.69409999999999</v>
      </c>
      <c r="P206" s="16">
        <v>408.65949999999998</v>
      </c>
      <c r="Q206" s="16">
        <v>376.74090000000001</v>
      </c>
      <c r="R206" s="16">
        <v>416.19240000000002</v>
      </c>
      <c r="S206" s="16">
        <v>407.05849999999998</v>
      </c>
      <c r="T206" s="16">
        <v>349.93549999999999</v>
      </c>
      <c r="U206" s="16">
        <v>451.04129999999998</v>
      </c>
      <c r="V206" s="16">
        <v>472.6515</v>
      </c>
      <c r="W206" s="16">
        <v>455.1377</v>
      </c>
      <c r="X206" s="16">
        <v>402.78949999999998</v>
      </c>
      <c r="Y206" s="16">
        <v>368.3766</v>
      </c>
      <c r="Z206" s="16"/>
      <c r="AA206" s="17">
        <f t="shared" si="9"/>
        <v>472.6515</v>
      </c>
      <c r="AB206" s="17">
        <f t="shared" si="10"/>
        <v>247.96549999999999</v>
      </c>
      <c r="AC206" s="17">
        <f t="shared" si="11"/>
        <v>362.09435833333299</v>
      </c>
    </row>
    <row r="207" spans="1:29">
      <c r="A207" s="8">
        <v>45497</v>
      </c>
      <c r="B207" s="16">
        <v>368.65660000000003</v>
      </c>
      <c r="C207" s="16">
        <v>348.02670000000001</v>
      </c>
      <c r="D207" s="16">
        <v>351.50029999999998</v>
      </c>
      <c r="E207" s="16">
        <v>335.08199999999999</v>
      </c>
      <c r="F207" s="16">
        <v>324.65710000000001</v>
      </c>
      <c r="G207" s="16">
        <v>317.43299999999999</v>
      </c>
      <c r="H207" s="16">
        <v>320.9898</v>
      </c>
      <c r="I207" s="16">
        <v>318.74</v>
      </c>
      <c r="J207" s="16">
        <v>336.39670000000001</v>
      </c>
      <c r="K207" s="16">
        <v>347.70119999999997</v>
      </c>
      <c r="L207" s="16">
        <v>336.48840000000001</v>
      </c>
      <c r="M207" s="16">
        <v>318.7276</v>
      </c>
      <c r="N207" s="16">
        <v>295.08420000000001</v>
      </c>
      <c r="O207" s="16">
        <v>370.32170000000002</v>
      </c>
      <c r="P207" s="16">
        <v>348.24849999999998</v>
      </c>
      <c r="Q207" s="16">
        <v>350.71769999999998</v>
      </c>
      <c r="R207" s="16">
        <v>356.3802</v>
      </c>
      <c r="S207" s="16">
        <v>345.50220000000002</v>
      </c>
      <c r="T207" s="16">
        <v>337.66449999999998</v>
      </c>
      <c r="U207" s="16">
        <v>358.12860000000001</v>
      </c>
      <c r="V207" s="16">
        <v>354.83249999999998</v>
      </c>
      <c r="W207" s="16">
        <v>360.59379999999999</v>
      </c>
      <c r="X207" s="16">
        <v>390.46600000000001</v>
      </c>
      <c r="Y207" s="16">
        <v>368.50319999999999</v>
      </c>
      <c r="Z207" s="16"/>
      <c r="AA207" s="17">
        <f t="shared" si="9"/>
        <v>390.46600000000001</v>
      </c>
      <c r="AB207" s="17">
        <f t="shared" si="10"/>
        <v>295.08420000000001</v>
      </c>
      <c r="AC207" s="17">
        <f t="shared" si="11"/>
        <v>344.201770833333</v>
      </c>
    </row>
    <row r="208" spans="1:29">
      <c r="A208" s="8">
        <v>45498</v>
      </c>
      <c r="B208" s="16">
        <v>352.46559999999999</v>
      </c>
      <c r="C208" s="16">
        <v>354.65289999999999</v>
      </c>
      <c r="D208" s="16">
        <v>358.15870000000001</v>
      </c>
      <c r="E208" s="16">
        <v>332.7577</v>
      </c>
      <c r="F208" s="16">
        <v>321.27</v>
      </c>
      <c r="G208" s="16">
        <v>311.81</v>
      </c>
      <c r="H208" s="16">
        <v>310.52999999999997</v>
      </c>
      <c r="I208" s="16">
        <v>306.81</v>
      </c>
      <c r="J208" s="16">
        <v>314.43889999999999</v>
      </c>
      <c r="K208" s="16">
        <v>327.99149999999997</v>
      </c>
      <c r="L208" s="16">
        <v>340.38720000000001</v>
      </c>
      <c r="M208" s="16">
        <v>300.55630000000002</v>
      </c>
      <c r="N208" s="16">
        <v>210.02119999999999</v>
      </c>
      <c r="O208" s="16">
        <v>363.31360000000001</v>
      </c>
      <c r="P208" s="16">
        <v>373.14749999999998</v>
      </c>
      <c r="Q208" s="16">
        <v>416.52449999999999</v>
      </c>
      <c r="R208" s="16">
        <v>425.1936</v>
      </c>
      <c r="S208" s="16">
        <v>380.65649999999999</v>
      </c>
      <c r="T208" s="16">
        <v>350.60399999999998</v>
      </c>
      <c r="U208" s="16">
        <v>386.93970000000002</v>
      </c>
      <c r="V208" s="16">
        <v>435.04640000000001</v>
      </c>
      <c r="W208" s="16">
        <v>408.96030000000002</v>
      </c>
      <c r="X208" s="16">
        <v>394.14</v>
      </c>
      <c r="Y208" s="16">
        <v>355.0299</v>
      </c>
      <c r="Z208" s="16"/>
      <c r="AA208" s="17">
        <f t="shared" si="9"/>
        <v>435.04640000000001</v>
      </c>
      <c r="AB208" s="17">
        <f t="shared" si="10"/>
        <v>210.02119999999999</v>
      </c>
      <c r="AC208" s="17">
        <f t="shared" si="11"/>
        <v>351.30858333333299</v>
      </c>
    </row>
    <row r="209" spans="1:29">
      <c r="A209" s="8">
        <v>45499</v>
      </c>
      <c r="B209" s="16">
        <v>534.5</v>
      </c>
      <c r="C209" s="16">
        <v>487.50170000000003</v>
      </c>
      <c r="D209" s="16">
        <v>431.15219999999999</v>
      </c>
      <c r="E209" s="16">
        <v>360.06990000000002</v>
      </c>
      <c r="F209" s="16">
        <v>332.44400000000002</v>
      </c>
      <c r="G209" s="16">
        <v>315.95909999999998</v>
      </c>
      <c r="H209" s="16">
        <v>312.62180000000001</v>
      </c>
      <c r="I209" s="16">
        <v>311.86989999999997</v>
      </c>
      <c r="J209" s="16">
        <v>330.86070000000001</v>
      </c>
      <c r="K209" s="16">
        <v>356.1447</v>
      </c>
      <c r="L209" s="16">
        <v>341.93720000000002</v>
      </c>
      <c r="M209" s="16">
        <v>339.76319999999998</v>
      </c>
      <c r="N209" s="16">
        <v>282.66590000000002</v>
      </c>
      <c r="O209" s="16">
        <v>332.18079999999998</v>
      </c>
      <c r="P209" s="16">
        <v>367.59140000000002</v>
      </c>
      <c r="Q209" s="16">
        <v>362.58150000000001</v>
      </c>
      <c r="R209" s="16">
        <v>369.23110000000003</v>
      </c>
      <c r="S209" s="16">
        <v>355.27550000000002</v>
      </c>
      <c r="T209" s="16">
        <v>318.06700000000001</v>
      </c>
      <c r="U209" s="16">
        <v>323.8888</v>
      </c>
      <c r="V209" s="16">
        <v>320.21390000000002</v>
      </c>
      <c r="W209" s="16">
        <v>320.08499999999998</v>
      </c>
      <c r="X209" s="16">
        <v>325.09460000000001</v>
      </c>
      <c r="Y209" s="16">
        <v>318.78820000000002</v>
      </c>
      <c r="Z209" s="16"/>
      <c r="AA209" s="17">
        <f t="shared" si="9"/>
        <v>534.5</v>
      </c>
      <c r="AB209" s="17">
        <f t="shared" si="10"/>
        <v>282.66590000000002</v>
      </c>
      <c r="AC209" s="17">
        <f t="shared" si="11"/>
        <v>352.10367083333301</v>
      </c>
    </row>
    <row r="210" spans="1:29">
      <c r="A210" s="8">
        <v>45500</v>
      </c>
      <c r="B210" s="16">
        <v>363.60939999999999</v>
      </c>
      <c r="C210" s="16">
        <v>324.38990000000001</v>
      </c>
      <c r="D210" s="16">
        <v>317.89339999999999</v>
      </c>
      <c r="E210" s="16">
        <v>310.19080000000002</v>
      </c>
      <c r="F210" s="16">
        <v>302.71600000000001</v>
      </c>
      <c r="G210" s="16">
        <v>292.61</v>
      </c>
      <c r="H210" s="16">
        <v>289.66500000000002</v>
      </c>
      <c r="I210" s="16">
        <v>277.60500000000002</v>
      </c>
      <c r="J210" s="16">
        <v>310.31479999999999</v>
      </c>
      <c r="K210" s="16">
        <v>320.84660000000002</v>
      </c>
      <c r="L210" s="16">
        <v>314.90249999999997</v>
      </c>
      <c r="M210" s="16">
        <v>278.18169999999998</v>
      </c>
      <c r="N210" s="16">
        <v>93.866699999999994</v>
      </c>
      <c r="O210" s="16">
        <v>287.15809999999999</v>
      </c>
      <c r="P210" s="16">
        <v>278.24209999999999</v>
      </c>
      <c r="Q210" s="16">
        <v>284.9298</v>
      </c>
      <c r="R210" s="16">
        <v>282.12920000000003</v>
      </c>
      <c r="S210" s="16">
        <v>261.08269999999999</v>
      </c>
      <c r="T210" s="16">
        <v>272.71030000000002</v>
      </c>
      <c r="U210" s="16">
        <v>300.8014</v>
      </c>
      <c r="V210" s="16">
        <v>306.7525</v>
      </c>
      <c r="W210" s="16">
        <v>311.07279999999997</v>
      </c>
      <c r="X210" s="16">
        <v>300.48669999999998</v>
      </c>
      <c r="Y210" s="16">
        <v>252.77590000000001</v>
      </c>
      <c r="Z210" s="16"/>
      <c r="AA210" s="17">
        <f t="shared" si="9"/>
        <v>363.60939999999999</v>
      </c>
      <c r="AB210" s="17">
        <f t="shared" si="10"/>
        <v>93.866699999999994</v>
      </c>
      <c r="AC210" s="17">
        <f t="shared" si="11"/>
        <v>288.95555416666701</v>
      </c>
    </row>
    <row r="211" spans="1:29">
      <c r="A211" s="8">
        <v>45501</v>
      </c>
      <c r="B211" s="16">
        <v>285.91419999999999</v>
      </c>
      <c r="C211" s="16">
        <v>291.13830000000002</v>
      </c>
      <c r="D211" s="16">
        <v>292.83690000000001</v>
      </c>
      <c r="E211" s="16">
        <v>262.45960000000002</v>
      </c>
      <c r="F211" s="16">
        <v>56.413400000000003</v>
      </c>
      <c r="G211" s="16">
        <v>2.1021000000000001</v>
      </c>
      <c r="H211" s="16">
        <v>4.5491999999999999</v>
      </c>
      <c r="I211" s="16">
        <v>6.6059000000000001</v>
      </c>
      <c r="J211" s="16">
        <v>1.766</v>
      </c>
      <c r="K211" s="16">
        <v>0</v>
      </c>
      <c r="L211" s="16">
        <v>18.549800000000001</v>
      </c>
      <c r="M211" s="16">
        <v>159.68180000000001</v>
      </c>
      <c r="N211" s="16">
        <v>152.59</v>
      </c>
      <c r="O211" s="16">
        <v>9.2043999999999997</v>
      </c>
      <c r="P211" s="16">
        <v>0</v>
      </c>
      <c r="Q211" s="16">
        <v>12.591900000000001</v>
      </c>
      <c r="R211" s="16">
        <v>12.6082</v>
      </c>
      <c r="S211" s="16">
        <v>12.9739</v>
      </c>
      <c r="T211" s="16">
        <v>7.8929</v>
      </c>
      <c r="U211" s="16">
        <v>2.5813999999999999</v>
      </c>
      <c r="V211" s="16">
        <v>11.2387</v>
      </c>
      <c r="W211" s="16">
        <v>17.413399999999999</v>
      </c>
      <c r="X211" s="16">
        <v>13.3979</v>
      </c>
      <c r="Y211" s="16">
        <v>5.3735999999999997</v>
      </c>
      <c r="Z211" s="16"/>
      <c r="AA211" s="17">
        <f t="shared" si="9"/>
        <v>292.83690000000001</v>
      </c>
      <c r="AB211" s="17">
        <f t="shared" si="10"/>
        <v>0</v>
      </c>
      <c r="AC211" s="17">
        <f t="shared" si="11"/>
        <v>68.328479166666696</v>
      </c>
    </row>
    <row r="212" spans="1:29">
      <c r="A212" s="8">
        <v>45502</v>
      </c>
      <c r="B212" s="16">
        <v>122.1292</v>
      </c>
      <c r="C212" s="16">
        <v>7.4775</v>
      </c>
      <c r="D212" s="16">
        <v>0.98550000000000004</v>
      </c>
      <c r="E212" s="16">
        <v>0</v>
      </c>
      <c r="F212" s="16">
        <v>0.25</v>
      </c>
      <c r="G212" s="16">
        <v>0</v>
      </c>
      <c r="H212" s="16">
        <v>89.58</v>
      </c>
      <c r="I212" s="16">
        <v>207.5</v>
      </c>
      <c r="J212" s="16">
        <v>340.96980000000002</v>
      </c>
      <c r="K212" s="16">
        <v>409.78289999999998</v>
      </c>
      <c r="L212" s="16">
        <v>381.41919999999999</v>
      </c>
      <c r="M212" s="16">
        <v>301.93849999999998</v>
      </c>
      <c r="N212" s="16">
        <v>196.78809999999999</v>
      </c>
      <c r="O212" s="16">
        <v>275.10680000000002</v>
      </c>
      <c r="P212" s="16">
        <v>307.65010000000001</v>
      </c>
      <c r="Q212" s="16">
        <v>306.35570000000001</v>
      </c>
      <c r="R212" s="16">
        <v>311.92770000000002</v>
      </c>
      <c r="S212" s="16">
        <v>239.3819</v>
      </c>
      <c r="T212" s="16">
        <v>291.39269999999999</v>
      </c>
      <c r="U212" s="16">
        <v>312.56119999999999</v>
      </c>
      <c r="V212" s="16">
        <v>315.02499999999998</v>
      </c>
      <c r="W212" s="16">
        <v>289.61130000000003</v>
      </c>
      <c r="X212" s="16">
        <v>272.99259999999998</v>
      </c>
      <c r="Y212" s="16">
        <v>72.084299999999999</v>
      </c>
      <c r="Z212" s="16"/>
      <c r="AA212" s="17">
        <f t="shared" si="9"/>
        <v>409.78289999999998</v>
      </c>
      <c r="AB212" s="17">
        <f t="shared" si="10"/>
        <v>0</v>
      </c>
      <c r="AC212" s="17">
        <f t="shared" si="11"/>
        <v>210.537916666667</v>
      </c>
    </row>
    <row r="213" spans="1:29">
      <c r="A213" s="8">
        <v>45503</v>
      </c>
      <c r="B213" s="16">
        <v>285.57690000000002</v>
      </c>
      <c r="C213" s="16">
        <v>283.33159999999998</v>
      </c>
      <c r="D213" s="16">
        <v>261.39859999999999</v>
      </c>
      <c r="E213" s="16">
        <v>53</v>
      </c>
      <c r="F213" s="16">
        <v>0</v>
      </c>
      <c r="G213" s="16">
        <v>0</v>
      </c>
      <c r="H213" s="16">
        <v>201.30250000000001</v>
      </c>
      <c r="I213" s="16">
        <v>274.19119999999998</v>
      </c>
      <c r="J213" s="16">
        <v>317.25729999999999</v>
      </c>
      <c r="K213" s="16">
        <v>325.89620000000002</v>
      </c>
      <c r="L213" s="16">
        <v>321.08210000000003</v>
      </c>
      <c r="M213" s="16">
        <v>304.11500000000001</v>
      </c>
      <c r="N213" s="16">
        <v>181.8682</v>
      </c>
      <c r="O213" s="16">
        <v>302.01249999999999</v>
      </c>
      <c r="P213" s="16">
        <v>305.01929999999999</v>
      </c>
      <c r="Q213" s="16">
        <v>308.58839999999998</v>
      </c>
      <c r="R213" s="16">
        <v>308.70699999999999</v>
      </c>
      <c r="S213" s="16">
        <v>304.5301</v>
      </c>
      <c r="T213" s="16">
        <v>300.35969999999998</v>
      </c>
      <c r="U213" s="16">
        <v>310.18380000000002</v>
      </c>
      <c r="V213" s="16">
        <v>311.90620000000001</v>
      </c>
      <c r="W213" s="16">
        <v>298.74349999999998</v>
      </c>
      <c r="X213" s="16">
        <v>292.60919999999999</v>
      </c>
      <c r="Y213" s="16">
        <v>173.32749999999999</v>
      </c>
      <c r="Z213" s="16"/>
      <c r="AA213" s="17">
        <f t="shared" si="9"/>
        <v>325.89620000000002</v>
      </c>
      <c r="AB213" s="17">
        <f t="shared" si="10"/>
        <v>0</v>
      </c>
      <c r="AC213" s="17">
        <f t="shared" si="11"/>
        <v>251.04195000000001</v>
      </c>
    </row>
    <row r="214" spans="1:29">
      <c r="A214" s="8">
        <v>45504</v>
      </c>
      <c r="B214" s="16">
        <v>214.35769999999999</v>
      </c>
      <c r="C214" s="16">
        <v>269.71120000000002</v>
      </c>
      <c r="D214" s="16">
        <v>226</v>
      </c>
      <c r="E214" s="16">
        <v>110</v>
      </c>
      <c r="F214" s="16">
        <v>48.5</v>
      </c>
      <c r="G214" s="16">
        <v>0</v>
      </c>
      <c r="H214" s="16">
        <v>96</v>
      </c>
      <c r="I214" s="16">
        <v>215.2551</v>
      </c>
      <c r="J214" s="16">
        <v>280.27510000000001</v>
      </c>
      <c r="K214" s="16">
        <v>293.68869999999998</v>
      </c>
      <c r="L214" s="16">
        <v>235.23390000000001</v>
      </c>
      <c r="M214" s="16">
        <v>226.74780000000001</v>
      </c>
      <c r="N214" s="16">
        <v>54.482399999999998</v>
      </c>
      <c r="O214" s="16">
        <v>111.2662</v>
      </c>
      <c r="P214" s="16">
        <v>138.56540000000001</v>
      </c>
      <c r="Q214" s="16">
        <v>207.69479999999999</v>
      </c>
      <c r="R214" s="16">
        <v>242.5617</v>
      </c>
      <c r="S214" s="16">
        <v>189.67910000000001</v>
      </c>
      <c r="T214" s="16">
        <v>165.74279999999999</v>
      </c>
      <c r="U214" s="16">
        <v>254.9358</v>
      </c>
      <c r="V214" s="16">
        <v>289.43939999999998</v>
      </c>
      <c r="W214" s="16">
        <v>284.67520000000002</v>
      </c>
      <c r="X214" s="16">
        <v>303.29660000000001</v>
      </c>
      <c r="Y214" s="16">
        <v>273.11059999999998</v>
      </c>
      <c r="Z214" s="16"/>
      <c r="AA214" s="17">
        <f t="shared" si="9"/>
        <v>303.29660000000001</v>
      </c>
      <c r="AB214" s="17">
        <f t="shared" si="10"/>
        <v>0</v>
      </c>
      <c r="AC214" s="17">
        <f t="shared" si="11"/>
        <v>197.13414583333301</v>
      </c>
    </row>
    <row r="215" spans="1:29">
      <c r="A215" s="8">
        <v>45505</v>
      </c>
      <c r="B215" s="16">
        <v>279.00729999999999</v>
      </c>
      <c r="C215" s="16">
        <v>179.9436</v>
      </c>
      <c r="D215" s="16">
        <v>14.479699999999999</v>
      </c>
      <c r="E215" s="16">
        <v>0.29199999999999998</v>
      </c>
      <c r="F215" s="16">
        <v>0</v>
      </c>
      <c r="G215" s="16">
        <v>0</v>
      </c>
      <c r="H215" s="16">
        <v>1.0588</v>
      </c>
      <c r="I215" s="16">
        <v>2.8092000000000001</v>
      </c>
      <c r="J215" s="16">
        <v>217.97989999999999</v>
      </c>
      <c r="K215" s="16">
        <v>156.56989999999999</v>
      </c>
      <c r="L215" s="16">
        <v>115.04640000000001</v>
      </c>
      <c r="M215" s="16">
        <v>218.87029999999999</v>
      </c>
      <c r="N215" s="16">
        <v>208.79949999999999</v>
      </c>
      <c r="O215" s="16">
        <v>152.68780000000001</v>
      </c>
      <c r="P215" s="16">
        <v>222.06200000000001</v>
      </c>
      <c r="Q215" s="16">
        <v>288.8664</v>
      </c>
      <c r="R215" s="16">
        <v>311.78989999999999</v>
      </c>
      <c r="S215" s="16">
        <v>348.84820000000002</v>
      </c>
      <c r="T215" s="16">
        <v>341.36419999999998</v>
      </c>
      <c r="U215" s="16">
        <v>371.0788</v>
      </c>
      <c r="V215" s="16">
        <v>370.08030000000002</v>
      </c>
      <c r="W215" s="16">
        <v>370.36869999999999</v>
      </c>
      <c r="X215" s="16">
        <v>325.55279999999999</v>
      </c>
      <c r="Y215" s="16">
        <v>309.4171</v>
      </c>
      <c r="Z215" s="16"/>
      <c r="AA215" s="17">
        <f t="shared" si="9"/>
        <v>371.0788</v>
      </c>
      <c r="AB215" s="17">
        <f t="shared" si="10"/>
        <v>0</v>
      </c>
      <c r="AC215" s="17">
        <f t="shared" si="11"/>
        <v>200.290533333333</v>
      </c>
    </row>
    <row r="216" spans="1:29">
      <c r="A216" s="8">
        <v>45506</v>
      </c>
      <c r="B216" s="16">
        <v>345.66329999999999</v>
      </c>
      <c r="C216" s="16">
        <v>318.28710000000001</v>
      </c>
      <c r="D216" s="16">
        <v>312.88990000000001</v>
      </c>
      <c r="E216" s="16">
        <v>294.7466</v>
      </c>
      <c r="F216" s="16">
        <v>274.6293</v>
      </c>
      <c r="G216" s="16">
        <v>254.72139999999999</v>
      </c>
      <c r="H216" s="16">
        <v>268.21379999999999</v>
      </c>
      <c r="I216" s="16">
        <v>286.5428</v>
      </c>
      <c r="J216" s="16">
        <v>306.17419999999998</v>
      </c>
      <c r="K216" s="16">
        <v>331.28129999999999</v>
      </c>
      <c r="L216" s="16">
        <v>316.78489999999999</v>
      </c>
      <c r="M216" s="16">
        <v>322.8526</v>
      </c>
      <c r="N216" s="16">
        <v>215.87979999999999</v>
      </c>
      <c r="O216" s="16">
        <v>293.73219999999998</v>
      </c>
      <c r="P216" s="16">
        <v>365.12920000000003</v>
      </c>
      <c r="Q216" s="16">
        <v>315.3587</v>
      </c>
      <c r="R216" s="16">
        <v>395.56920000000002</v>
      </c>
      <c r="S216" s="16">
        <v>389.96300000000002</v>
      </c>
      <c r="T216" s="16">
        <v>328.92439999999999</v>
      </c>
      <c r="U216" s="16">
        <v>371.63389999999998</v>
      </c>
      <c r="V216" s="16">
        <v>376.41950000000003</v>
      </c>
      <c r="W216" s="16">
        <v>479.05340000000001</v>
      </c>
      <c r="X216" s="16">
        <v>382.005</v>
      </c>
      <c r="Y216" s="16">
        <v>318.42419999999998</v>
      </c>
      <c r="Z216" s="16"/>
      <c r="AA216" s="17">
        <f t="shared" si="9"/>
        <v>479.05340000000001</v>
      </c>
      <c r="AB216" s="17">
        <f t="shared" si="10"/>
        <v>215.87979999999999</v>
      </c>
      <c r="AC216" s="17">
        <f t="shared" si="11"/>
        <v>327.70332083333301</v>
      </c>
    </row>
    <row r="217" spans="1:29">
      <c r="A217" s="8">
        <v>45507</v>
      </c>
      <c r="B217" s="16">
        <v>340.9556</v>
      </c>
      <c r="C217" s="16">
        <v>327.97070000000002</v>
      </c>
      <c r="D217" s="16">
        <v>309.17790000000002</v>
      </c>
      <c r="E217" s="16">
        <v>296.97699999999998</v>
      </c>
      <c r="F217" s="16">
        <v>280.53980000000001</v>
      </c>
      <c r="G217" s="16">
        <v>259.29730000000001</v>
      </c>
      <c r="H217" s="16">
        <v>268.46469999999999</v>
      </c>
      <c r="I217" s="16">
        <v>258.94119999999998</v>
      </c>
      <c r="J217" s="16">
        <v>242.68020000000001</v>
      </c>
      <c r="K217" s="16">
        <v>239.1925</v>
      </c>
      <c r="L217" s="16">
        <v>212.4624</v>
      </c>
      <c r="M217" s="16">
        <v>291.48590000000002</v>
      </c>
      <c r="N217" s="16">
        <v>151.00909999999999</v>
      </c>
      <c r="O217" s="16">
        <v>234.24279999999999</v>
      </c>
      <c r="P217" s="16">
        <v>286.68430000000001</v>
      </c>
      <c r="Q217" s="16">
        <v>302.98349999999999</v>
      </c>
      <c r="R217" s="16">
        <v>328.49310000000003</v>
      </c>
      <c r="S217" s="16">
        <v>333.80560000000003</v>
      </c>
      <c r="T217" s="16">
        <v>344.02120000000002</v>
      </c>
      <c r="U217" s="16">
        <v>381.74740000000003</v>
      </c>
      <c r="V217" s="16">
        <v>408.7518</v>
      </c>
      <c r="W217" s="16">
        <v>406.76089999999999</v>
      </c>
      <c r="X217" s="16">
        <v>415.74650000000003</v>
      </c>
      <c r="Y217" s="16">
        <v>369.07339999999999</v>
      </c>
      <c r="Z217" s="16"/>
      <c r="AA217" s="17">
        <f t="shared" si="9"/>
        <v>415.74650000000003</v>
      </c>
      <c r="AB217" s="17">
        <f t="shared" si="10"/>
        <v>151.00909999999999</v>
      </c>
      <c r="AC217" s="17">
        <f t="shared" si="11"/>
        <v>303.811033333333</v>
      </c>
    </row>
    <row r="218" spans="1:29">
      <c r="A218" s="8">
        <v>45508</v>
      </c>
      <c r="B218" s="16">
        <v>633.99919999999997</v>
      </c>
      <c r="C218" s="16">
        <v>430.92619999999999</v>
      </c>
      <c r="D218" s="16">
        <v>389.35019999999997</v>
      </c>
      <c r="E218" s="16">
        <v>344.49209999999999</v>
      </c>
      <c r="F218" s="16">
        <v>311.51319999999998</v>
      </c>
      <c r="G218" s="16">
        <v>297.9117</v>
      </c>
      <c r="H218" s="16">
        <v>296.58640000000003</v>
      </c>
      <c r="I218" s="16">
        <v>277.5917</v>
      </c>
      <c r="J218" s="16">
        <v>170.09719999999999</v>
      </c>
      <c r="K218" s="16">
        <v>107.9661</v>
      </c>
      <c r="L218" s="16">
        <v>107.1938</v>
      </c>
      <c r="M218" s="16">
        <v>118.3571</v>
      </c>
      <c r="N218" s="16">
        <v>153.3948</v>
      </c>
      <c r="O218" s="16">
        <v>232.483</v>
      </c>
      <c r="P218" s="16">
        <v>249.62899999999999</v>
      </c>
      <c r="Q218" s="16">
        <v>267.56630000000001</v>
      </c>
      <c r="R218" s="16">
        <v>303.1678</v>
      </c>
      <c r="S218" s="16">
        <v>325.10919999999999</v>
      </c>
      <c r="T218" s="16">
        <v>350.21129999999999</v>
      </c>
      <c r="U218" s="16">
        <v>715.04369999999994</v>
      </c>
      <c r="V218" s="16">
        <v>443.9461</v>
      </c>
      <c r="W218" s="16">
        <v>439.64870000000002</v>
      </c>
      <c r="X218" s="16">
        <v>527.8442</v>
      </c>
      <c r="Y218" s="16">
        <v>379.80110000000002</v>
      </c>
      <c r="Z218" s="16"/>
      <c r="AA218" s="17">
        <f t="shared" si="9"/>
        <v>715.04369999999994</v>
      </c>
      <c r="AB218" s="17">
        <f t="shared" si="10"/>
        <v>107.1938</v>
      </c>
      <c r="AC218" s="17">
        <f t="shared" si="11"/>
        <v>328.07625416666701</v>
      </c>
    </row>
    <row r="219" spans="1:29">
      <c r="A219" s="8">
        <v>45509</v>
      </c>
      <c r="B219" s="16">
        <v>601.52200000000005</v>
      </c>
      <c r="C219" s="16">
        <v>432.59010000000001</v>
      </c>
      <c r="D219" s="16">
        <v>521.32159999999999</v>
      </c>
      <c r="E219" s="16">
        <v>366.33530000000002</v>
      </c>
      <c r="F219" s="16">
        <v>329.05340000000001</v>
      </c>
      <c r="G219" s="16">
        <v>320.21499999999997</v>
      </c>
      <c r="H219" s="16">
        <v>319.97410000000002</v>
      </c>
      <c r="I219" s="16">
        <v>321.08190000000002</v>
      </c>
      <c r="J219" s="16">
        <v>368.82100000000003</v>
      </c>
      <c r="K219" s="16">
        <v>390.00279999999998</v>
      </c>
      <c r="L219" s="16">
        <v>359.24299999999999</v>
      </c>
      <c r="M219" s="16">
        <v>359.35300000000001</v>
      </c>
      <c r="N219" s="16">
        <v>334.11579999999998</v>
      </c>
      <c r="O219" s="16">
        <v>457.12779999999998</v>
      </c>
      <c r="P219" s="16">
        <v>448.05430000000001</v>
      </c>
      <c r="Q219" s="16">
        <v>413.3646</v>
      </c>
      <c r="R219" s="16">
        <v>432.14049999999997</v>
      </c>
      <c r="S219" s="16">
        <v>378.7045</v>
      </c>
      <c r="T219" s="16">
        <v>340.61130000000003</v>
      </c>
      <c r="U219" s="16">
        <v>361.07229999999998</v>
      </c>
      <c r="V219" s="16">
        <v>368.15460000000002</v>
      </c>
      <c r="W219" s="16">
        <v>382.43169999999998</v>
      </c>
      <c r="X219" s="16">
        <v>384.35520000000002</v>
      </c>
      <c r="Y219" s="16">
        <v>363.64949999999999</v>
      </c>
      <c r="Z219" s="16"/>
      <c r="AA219" s="17">
        <f t="shared" si="9"/>
        <v>601.52200000000005</v>
      </c>
      <c r="AB219" s="17">
        <f t="shared" si="10"/>
        <v>319.97410000000002</v>
      </c>
      <c r="AC219" s="17">
        <f t="shared" si="11"/>
        <v>389.72063750000001</v>
      </c>
    </row>
    <row r="220" spans="1:29">
      <c r="A220" s="8">
        <v>45510</v>
      </c>
      <c r="B220" s="16">
        <v>377.20780000000002</v>
      </c>
      <c r="C220" s="16">
        <v>353.66809999999998</v>
      </c>
      <c r="D220" s="16">
        <v>354.61169999999998</v>
      </c>
      <c r="E220" s="16">
        <v>339.59140000000002</v>
      </c>
      <c r="F220" s="16">
        <v>325.78309999999999</v>
      </c>
      <c r="G220" s="16">
        <v>320.38720000000001</v>
      </c>
      <c r="H220" s="16">
        <v>318.82</v>
      </c>
      <c r="I220" s="16">
        <v>315.3211</v>
      </c>
      <c r="J220" s="16">
        <v>330.88470000000001</v>
      </c>
      <c r="K220" s="16">
        <v>363.97239999999999</v>
      </c>
      <c r="L220" s="16">
        <v>357.61959999999999</v>
      </c>
      <c r="M220" s="16">
        <v>340.13909999999998</v>
      </c>
      <c r="N220" s="16">
        <v>284.83670000000001</v>
      </c>
      <c r="O220" s="16">
        <v>338.5718</v>
      </c>
      <c r="P220" s="16">
        <v>335.44150000000002</v>
      </c>
      <c r="Q220" s="16">
        <v>340.00479999999999</v>
      </c>
      <c r="R220" s="16">
        <v>333.94159999999999</v>
      </c>
      <c r="S220" s="16">
        <v>317.68979999999999</v>
      </c>
      <c r="T220" s="16">
        <v>300.7038</v>
      </c>
      <c r="U220" s="16">
        <v>315.06880000000001</v>
      </c>
      <c r="V220" s="16">
        <v>321.07870000000003</v>
      </c>
      <c r="W220" s="16">
        <v>328.26350000000002</v>
      </c>
      <c r="X220" s="16">
        <v>323.17419999999998</v>
      </c>
      <c r="Y220" s="16">
        <v>318.00479999999999</v>
      </c>
      <c r="Z220" s="16"/>
      <c r="AA220" s="17">
        <f t="shared" si="9"/>
        <v>377.20780000000002</v>
      </c>
      <c r="AB220" s="17">
        <f t="shared" si="10"/>
        <v>284.83670000000001</v>
      </c>
      <c r="AC220" s="17">
        <f t="shared" si="11"/>
        <v>331.44942500000002</v>
      </c>
    </row>
    <row r="221" spans="1:29">
      <c r="A221" s="8">
        <v>45511</v>
      </c>
      <c r="B221" s="16">
        <v>369.13529999999997</v>
      </c>
      <c r="C221" s="16">
        <v>328.88670000000002</v>
      </c>
      <c r="D221" s="16">
        <v>321.12580000000003</v>
      </c>
      <c r="E221" s="16">
        <v>309.46300000000002</v>
      </c>
      <c r="F221" s="16">
        <v>296.48160000000001</v>
      </c>
      <c r="G221" s="16">
        <v>285.02890000000002</v>
      </c>
      <c r="H221" s="16">
        <v>286.47219999999999</v>
      </c>
      <c r="I221" s="16">
        <v>288.9194</v>
      </c>
      <c r="J221" s="16">
        <v>305.66469999999998</v>
      </c>
      <c r="K221" s="16">
        <v>303.10149999999999</v>
      </c>
      <c r="L221" s="16">
        <v>326.31490000000002</v>
      </c>
      <c r="M221" s="16">
        <v>314.75029999999998</v>
      </c>
      <c r="N221" s="16">
        <v>266.56959999999998</v>
      </c>
      <c r="O221" s="16">
        <v>317.26400000000001</v>
      </c>
      <c r="P221" s="16">
        <v>331.87200000000001</v>
      </c>
      <c r="Q221" s="16">
        <v>320.95780000000002</v>
      </c>
      <c r="R221" s="16">
        <v>319.88690000000003</v>
      </c>
      <c r="S221" s="16">
        <v>316.9554</v>
      </c>
      <c r="T221" s="16">
        <v>307.8306</v>
      </c>
      <c r="U221" s="16">
        <v>324.75319999999999</v>
      </c>
      <c r="V221" s="16">
        <v>330.18549999999999</v>
      </c>
      <c r="W221" s="16">
        <v>330.63569999999999</v>
      </c>
      <c r="X221" s="16">
        <v>331.01639999999998</v>
      </c>
      <c r="Y221" s="16">
        <v>326.31200000000001</v>
      </c>
      <c r="Z221" s="16"/>
      <c r="AA221" s="17">
        <f t="shared" si="9"/>
        <v>369.13529999999997</v>
      </c>
      <c r="AB221" s="17">
        <f t="shared" si="10"/>
        <v>266.56959999999998</v>
      </c>
      <c r="AC221" s="17">
        <f t="shared" si="11"/>
        <v>314.98264166666701</v>
      </c>
    </row>
    <row r="222" spans="1:29">
      <c r="A222" s="8">
        <v>45512</v>
      </c>
      <c r="B222" s="16">
        <v>368.80369999999999</v>
      </c>
      <c r="C222" s="16">
        <v>326.83890000000002</v>
      </c>
      <c r="D222" s="16">
        <v>320.1893</v>
      </c>
      <c r="E222" s="16">
        <v>312.31139999999999</v>
      </c>
      <c r="F222" s="16">
        <v>297.81119999999999</v>
      </c>
      <c r="G222" s="16">
        <v>289.85379999999998</v>
      </c>
      <c r="H222" s="16">
        <v>289.10509999999999</v>
      </c>
      <c r="I222" s="16">
        <v>291.20159999999998</v>
      </c>
      <c r="J222" s="16">
        <v>304.46609999999998</v>
      </c>
      <c r="K222" s="16">
        <v>320.18099999999998</v>
      </c>
      <c r="L222" s="16">
        <v>302.45839999999998</v>
      </c>
      <c r="M222" s="16">
        <v>303.99110000000002</v>
      </c>
      <c r="N222" s="16">
        <v>272.92619999999999</v>
      </c>
      <c r="O222" s="16">
        <v>326.79520000000002</v>
      </c>
      <c r="P222" s="16">
        <v>324.10730000000001</v>
      </c>
      <c r="Q222" s="16">
        <v>332.55880000000002</v>
      </c>
      <c r="R222" s="16">
        <v>347.16210000000001</v>
      </c>
      <c r="S222" s="16">
        <v>332.31760000000003</v>
      </c>
      <c r="T222" s="16">
        <v>326.80340000000001</v>
      </c>
      <c r="U222" s="16">
        <v>342.78019999999998</v>
      </c>
      <c r="V222" s="16">
        <v>352.92360000000002</v>
      </c>
      <c r="W222" s="16">
        <v>355.56689999999998</v>
      </c>
      <c r="X222" s="16">
        <v>368.16899999999998</v>
      </c>
      <c r="Y222" s="16">
        <v>345.97399999999999</v>
      </c>
      <c r="Z222" s="16"/>
      <c r="AA222" s="17">
        <f t="shared" si="9"/>
        <v>368.80369999999999</v>
      </c>
      <c r="AB222" s="17">
        <f t="shared" si="10"/>
        <v>272.92619999999999</v>
      </c>
      <c r="AC222" s="17">
        <f t="shared" si="11"/>
        <v>323.13732916666697</v>
      </c>
    </row>
    <row r="223" spans="1:29">
      <c r="A223" s="8">
        <v>45513</v>
      </c>
      <c r="B223" s="16">
        <v>370.68680000000001</v>
      </c>
      <c r="C223" s="16">
        <v>349.92329999999998</v>
      </c>
      <c r="D223" s="16">
        <v>338.39319999999998</v>
      </c>
      <c r="E223" s="16">
        <v>317.62119999999999</v>
      </c>
      <c r="F223" s="16">
        <v>306.61349999999999</v>
      </c>
      <c r="G223" s="16">
        <v>297.67540000000002</v>
      </c>
      <c r="H223" s="16">
        <v>296.74959999999999</v>
      </c>
      <c r="I223" s="16">
        <v>299.98050000000001</v>
      </c>
      <c r="J223" s="16">
        <v>314.9178</v>
      </c>
      <c r="K223" s="16">
        <v>321.22430000000003</v>
      </c>
      <c r="L223" s="16">
        <v>307.50229999999999</v>
      </c>
      <c r="M223" s="16">
        <v>291.24950000000001</v>
      </c>
      <c r="N223" s="16">
        <v>257.67529999999999</v>
      </c>
      <c r="O223" s="16">
        <v>325.53300000000002</v>
      </c>
      <c r="P223" s="16">
        <v>332.1429</v>
      </c>
      <c r="Q223" s="16">
        <v>338.67860000000002</v>
      </c>
      <c r="R223" s="16">
        <v>340.33879999999999</v>
      </c>
      <c r="S223" s="16">
        <v>328.34879999999998</v>
      </c>
      <c r="T223" s="16">
        <v>319.04289999999997</v>
      </c>
      <c r="U223" s="16">
        <v>336.02609999999999</v>
      </c>
      <c r="V223" s="16">
        <v>346.91050000000001</v>
      </c>
      <c r="W223" s="16">
        <v>350.93169999999998</v>
      </c>
      <c r="X223" s="16">
        <v>351.15839999999997</v>
      </c>
      <c r="Y223" s="16">
        <v>343.26569999999998</v>
      </c>
      <c r="Z223" s="16"/>
      <c r="AA223" s="17">
        <f t="shared" si="9"/>
        <v>370.68680000000001</v>
      </c>
      <c r="AB223" s="17">
        <f t="shared" si="10"/>
        <v>257.67529999999999</v>
      </c>
      <c r="AC223" s="17">
        <f t="shared" si="11"/>
        <v>324.2745875</v>
      </c>
    </row>
    <row r="224" spans="1:29">
      <c r="A224" s="8">
        <v>45514</v>
      </c>
      <c r="B224" s="16">
        <v>383.80540000000002</v>
      </c>
      <c r="C224" s="16">
        <v>354.25709999999998</v>
      </c>
      <c r="D224" s="16">
        <v>351.7371</v>
      </c>
      <c r="E224" s="16">
        <v>328.50470000000001</v>
      </c>
      <c r="F224" s="16">
        <v>317.08749999999998</v>
      </c>
      <c r="G224" s="16">
        <v>308.31659999999999</v>
      </c>
      <c r="H224" s="16">
        <v>302.86759999999998</v>
      </c>
      <c r="I224" s="16">
        <v>298.65390000000002</v>
      </c>
      <c r="J224" s="16">
        <v>296.12380000000002</v>
      </c>
      <c r="K224" s="16">
        <v>309.27050000000003</v>
      </c>
      <c r="L224" s="16">
        <v>303.38580000000002</v>
      </c>
      <c r="M224" s="16">
        <v>303.75850000000003</v>
      </c>
      <c r="N224" s="16">
        <v>245.57050000000001</v>
      </c>
      <c r="O224" s="16">
        <v>335.29640000000001</v>
      </c>
      <c r="P224" s="16">
        <v>341.38350000000003</v>
      </c>
      <c r="Q224" s="16">
        <v>313.95890000000003</v>
      </c>
      <c r="R224" s="16">
        <v>322.6343</v>
      </c>
      <c r="S224" s="16">
        <v>314.18729999999999</v>
      </c>
      <c r="T224" s="16">
        <v>313.37259999999998</v>
      </c>
      <c r="U224" s="16">
        <v>328.05220000000003</v>
      </c>
      <c r="V224" s="16">
        <v>333.21129999999999</v>
      </c>
      <c r="W224" s="16">
        <v>345.76389999999998</v>
      </c>
      <c r="X224" s="16">
        <v>336.52719999999999</v>
      </c>
      <c r="Y224" s="16">
        <v>327.65640000000002</v>
      </c>
      <c r="Z224" s="16"/>
      <c r="AA224" s="17">
        <f t="shared" si="9"/>
        <v>383.80540000000002</v>
      </c>
      <c r="AB224" s="17">
        <f t="shared" si="10"/>
        <v>245.57050000000001</v>
      </c>
      <c r="AC224" s="17">
        <f t="shared" si="11"/>
        <v>321.474291666667</v>
      </c>
    </row>
    <row r="225" spans="1:29">
      <c r="A225" s="8">
        <v>45515</v>
      </c>
      <c r="B225" s="16">
        <v>388.97320000000002</v>
      </c>
      <c r="C225" s="16">
        <v>357.80759999999998</v>
      </c>
      <c r="D225" s="16">
        <v>372.07249999999999</v>
      </c>
      <c r="E225" s="16">
        <v>338.2099</v>
      </c>
      <c r="F225" s="16">
        <v>316.57990000000001</v>
      </c>
      <c r="G225" s="16">
        <v>303.71469999999999</v>
      </c>
      <c r="H225" s="16">
        <v>300.99290000000002</v>
      </c>
      <c r="I225" s="16">
        <v>292.57080000000002</v>
      </c>
      <c r="J225" s="16">
        <v>250.97499999999999</v>
      </c>
      <c r="K225" s="16">
        <v>260.74200000000002</v>
      </c>
      <c r="L225" s="16">
        <v>211.22710000000001</v>
      </c>
      <c r="M225" s="16">
        <v>159.55009999999999</v>
      </c>
      <c r="N225" s="16">
        <v>201.81489999999999</v>
      </c>
      <c r="O225" s="16">
        <v>286.61930000000001</v>
      </c>
      <c r="P225" s="16">
        <v>268.2593</v>
      </c>
      <c r="Q225" s="16">
        <v>272.42410000000001</v>
      </c>
      <c r="R225" s="16">
        <v>264.41739999999999</v>
      </c>
      <c r="S225" s="16">
        <v>280.36610000000002</v>
      </c>
      <c r="T225" s="16">
        <v>275.07510000000002</v>
      </c>
      <c r="U225" s="16">
        <v>291.63220000000001</v>
      </c>
      <c r="V225" s="16">
        <v>302.22320000000002</v>
      </c>
      <c r="W225" s="16">
        <v>318.79160000000002</v>
      </c>
      <c r="X225" s="16">
        <v>318.19310000000002</v>
      </c>
      <c r="Y225" s="16">
        <v>310.5797</v>
      </c>
      <c r="Z225" s="16"/>
      <c r="AA225" s="17">
        <f t="shared" si="9"/>
        <v>388.97320000000002</v>
      </c>
      <c r="AB225" s="17">
        <f t="shared" si="10"/>
        <v>159.55009999999999</v>
      </c>
      <c r="AC225" s="17">
        <f t="shared" si="11"/>
        <v>289.32548750000001</v>
      </c>
    </row>
    <row r="226" spans="1:29">
      <c r="A226" s="8">
        <v>45516</v>
      </c>
      <c r="B226" s="16">
        <v>357.36520000000002</v>
      </c>
      <c r="C226" s="16">
        <v>312.4674</v>
      </c>
      <c r="D226" s="16">
        <v>301.59820000000002</v>
      </c>
      <c r="E226" s="16">
        <v>287.75880000000001</v>
      </c>
      <c r="F226" s="16">
        <v>281.95960000000002</v>
      </c>
      <c r="G226" s="16">
        <v>279.70460000000003</v>
      </c>
      <c r="H226" s="16">
        <v>281.30439999999999</v>
      </c>
      <c r="I226" s="16">
        <v>284.68009999999998</v>
      </c>
      <c r="J226" s="16">
        <v>297.44240000000002</v>
      </c>
      <c r="K226" s="16">
        <v>319.452</v>
      </c>
      <c r="L226" s="16">
        <v>309.10950000000003</v>
      </c>
      <c r="M226" s="16">
        <v>297.20909999999998</v>
      </c>
      <c r="N226" s="16">
        <v>225.92599999999999</v>
      </c>
      <c r="O226" s="16">
        <v>306.72890000000001</v>
      </c>
      <c r="P226" s="16">
        <v>313.36599999999999</v>
      </c>
      <c r="Q226" s="16">
        <v>304.84350000000001</v>
      </c>
      <c r="R226" s="16">
        <v>330.1028</v>
      </c>
      <c r="S226" s="16">
        <v>319.11840000000001</v>
      </c>
      <c r="T226" s="16">
        <v>310.0566</v>
      </c>
      <c r="U226" s="16">
        <v>336.42529999999999</v>
      </c>
      <c r="V226" s="16">
        <v>317.96120000000002</v>
      </c>
      <c r="W226" s="16">
        <v>306.29669999999999</v>
      </c>
      <c r="X226" s="16">
        <v>305.22719999999998</v>
      </c>
      <c r="Y226" s="16">
        <v>294.14980000000003</v>
      </c>
      <c r="Z226" s="16"/>
      <c r="AA226" s="17">
        <f t="shared" si="9"/>
        <v>357.36520000000002</v>
      </c>
      <c r="AB226" s="17">
        <f t="shared" si="10"/>
        <v>225.92599999999999</v>
      </c>
      <c r="AC226" s="17">
        <f t="shared" si="11"/>
        <v>303.34390416666702</v>
      </c>
    </row>
    <row r="227" spans="1:29">
      <c r="A227" s="8">
        <v>45517</v>
      </c>
      <c r="B227" s="16">
        <v>318.65949999999998</v>
      </c>
      <c r="C227" s="16">
        <v>307.78519999999997</v>
      </c>
      <c r="D227" s="16">
        <v>299.11189999999999</v>
      </c>
      <c r="E227" s="16">
        <v>291.84649999999999</v>
      </c>
      <c r="F227" s="16">
        <v>280.75959999999998</v>
      </c>
      <c r="G227" s="16">
        <v>279.69099999999997</v>
      </c>
      <c r="H227" s="16">
        <v>284.64800000000002</v>
      </c>
      <c r="I227" s="16">
        <v>289.57440000000003</v>
      </c>
      <c r="J227" s="16">
        <v>314.98289999999997</v>
      </c>
      <c r="K227" s="16">
        <v>342.83789999999999</v>
      </c>
      <c r="L227" s="16">
        <v>305.41419999999999</v>
      </c>
      <c r="M227" s="16">
        <v>277.34050000000002</v>
      </c>
      <c r="N227" s="16">
        <v>212.6336</v>
      </c>
      <c r="O227" s="16">
        <v>322.5856</v>
      </c>
      <c r="P227" s="16">
        <v>377.74900000000002</v>
      </c>
      <c r="Q227" s="16">
        <v>314.18430000000001</v>
      </c>
      <c r="R227" s="16">
        <v>327.65640000000002</v>
      </c>
      <c r="S227" s="16">
        <v>318.34480000000002</v>
      </c>
      <c r="T227" s="16">
        <v>304.10879999999997</v>
      </c>
      <c r="U227" s="16">
        <v>325.2704</v>
      </c>
      <c r="V227" s="16">
        <v>326.32</v>
      </c>
      <c r="W227" s="16">
        <v>319.94189999999998</v>
      </c>
      <c r="X227" s="16">
        <v>312.2894</v>
      </c>
      <c r="Y227" s="16">
        <v>307.22969999999998</v>
      </c>
      <c r="Z227" s="16"/>
      <c r="AA227" s="17">
        <f t="shared" si="9"/>
        <v>377.74900000000002</v>
      </c>
      <c r="AB227" s="17">
        <f t="shared" si="10"/>
        <v>212.6336</v>
      </c>
      <c r="AC227" s="17">
        <f t="shared" si="11"/>
        <v>306.70689583333302</v>
      </c>
    </row>
    <row r="228" spans="1:29">
      <c r="A228" s="8">
        <v>45518</v>
      </c>
      <c r="B228" s="16">
        <v>317.98559999999998</v>
      </c>
      <c r="C228" s="16">
        <v>306.15249999999997</v>
      </c>
      <c r="D228" s="16">
        <v>300.72770000000003</v>
      </c>
      <c r="E228" s="16">
        <v>297.17700000000002</v>
      </c>
      <c r="F228" s="16">
        <v>284.7595</v>
      </c>
      <c r="G228" s="16">
        <v>280.08679999999998</v>
      </c>
      <c r="H228" s="16">
        <v>284.80059999999997</v>
      </c>
      <c r="I228" s="16">
        <v>281.13130000000001</v>
      </c>
      <c r="J228" s="16">
        <v>289.72050000000002</v>
      </c>
      <c r="K228" s="16">
        <v>310.92959999999999</v>
      </c>
      <c r="L228" s="16">
        <v>300.2765</v>
      </c>
      <c r="M228" s="16">
        <v>301.66210000000001</v>
      </c>
      <c r="N228" s="16">
        <v>192.42320000000001</v>
      </c>
      <c r="O228" s="16">
        <v>281.90519999999998</v>
      </c>
      <c r="P228" s="16">
        <v>301.303</v>
      </c>
      <c r="Q228" s="16">
        <v>312.23070000000001</v>
      </c>
      <c r="R228" s="16">
        <v>310.6961</v>
      </c>
      <c r="S228" s="16">
        <v>305.36090000000002</v>
      </c>
      <c r="T228" s="16">
        <v>299.23329999999999</v>
      </c>
      <c r="U228" s="16">
        <v>327.43770000000001</v>
      </c>
      <c r="V228" s="16">
        <v>307.01609999999999</v>
      </c>
      <c r="W228" s="16">
        <v>309.72390000000001</v>
      </c>
      <c r="X228" s="16">
        <v>298.43299999999999</v>
      </c>
      <c r="Y228" s="16">
        <v>287.45949999999999</v>
      </c>
      <c r="Z228" s="16"/>
      <c r="AA228" s="17">
        <f t="shared" si="9"/>
        <v>327.43770000000001</v>
      </c>
      <c r="AB228" s="17">
        <f t="shared" si="10"/>
        <v>192.42320000000001</v>
      </c>
      <c r="AC228" s="17">
        <f t="shared" si="11"/>
        <v>295.35967916666698</v>
      </c>
    </row>
    <row r="229" spans="1:29">
      <c r="A229" s="8">
        <v>45519</v>
      </c>
      <c r="B229" s="16">
        <v>299.83460000000002</v>
      </c>
      <c r="C229" s="16">
        <v>297.64780000000002</v>
      </c>
      <c r="D229" s="16">
        <v>293.94880000000001</v>
      </c>
      <c r="E229" s="16">
        <v>288.2878</v>
      </c>
      <c r="F229" s="16">
        <v>283.24529999999999</v>
      </c>
      <c r="G229" s="16">
        <v>281.02690000000001</v>
      </c>
      <c r="H229" s="16">
        <v>284.84570000000002</v>
      </c>
      <c r="I229" s="16">
        <v>283.52679999999998</v>
      </c>
      <c r="J229" s="16">
        <v>287.81189999999998</v>
      </c>
      <c r="K229" s="16">
        <v>314.48259999999999</v>
      </c>
      <c r="L229" s="16">
        <v>265.31939999999997</v>
      </c>
      <c r="M229" s="16">
        <v>266.95240000000001</v>
      </c>
      <c r="N229" s="16">
        <v>134.1748</v>
      </c>
      <c r="O229" s="16">
        <v>210.50069999999999</v>
      </c>
      <c r="P229" s="16">
        <v>184.84710000000001</v>
      </c>
      <c r="Q229" s="16">
        <v>221.31630000000001</v>
      </c>
      <c r="R229" s="16">
        <v>265.24639999999999</v>
      </c>
      <c r="S229" s="16">
        <v>260.79039999999998</v>
      </c>
      <c r="T229" s="16">
        <v>274.27030000000002</v>
      </c>
      <c r="U229" s="16">
        <v>289.9787</v>
      </c>
      <c r="V229" s="16">
        <v>290.42410000000001</v>
      </c>
      <c r="W229" s="16">
        <v>291.02589999999998</v>
      </c>
      <c r="X229" s="16">
        <v>280.80169999999998</v>
      </c>
      <c r="Y229" s="16">
        <v>259.57089999999999</v>
      </c>
      <c r="Z229" s="16"/>
      <c r="AA229" s="17">
        <f t="shared" si="9"/>
        <v>314.48259999999999</v>
      </c>
      <c r="AB229" s="17">
        <f t="shared" si="10"/>
        <v>134.1748</v>
      </c>
      <c r="AC229" s="17">
        <f t="shared" si="11"/>
        <v>267.07822083333298</v>
      </c>
    </row>
    <row r="230" spans="1:29">
      <c r="A230" s="8">
        <v>45520</v>
      </c>
      <c r="B230" s="16">
        <v>282.73899999999998</v>
      </c>
      <c r="C230" s="16">
        <v>281.1857</v>
      </c>
      <c r="D230" s="16">
        <v>275.56</v>
      </c>
      <c r="E230" s="16">
        <v>237.3203</v>
      </c>
      <c r="F230" s="16">
        <v>142.9682</v>
      </c>
      <c r="G230" s="16">
        <v>64.347999999999999</v>
      </c>
      <c r="H230" s="16">
        <v>192.75</v>
      </c>
      <c r="I230" s="16">
        <v>277.89679999999998</v>
      </c>
      <c r="J230" s="16">
        <v>292.7448</v>
      </c>
      <c r="K230" s="16">
        <v>297.53820000000002</v>
      </c>
      <c r="L230" s="16">
        <v>280.73180000000002</v>
      </c>
      <c r="M230" s="16">
        <v>285.60070000000002</v>
      </c>
      <c r="N230" s="16">
        <v>181.73929999999999</v>
      </c>
      <c r="O230" s="16">
        <v>285.5933</v>
      </c>
      <c r="P230" s="16">
        <v>282.84620000000001</v>
      </c>
      <c r="Q230" s="16">
        <v>286.07670000000002</v>
      </c>
      <c r="R230" s="16">
        <v>295.0652</v>
      </c>
      <c r="S230" s="16">
        <v>289.25599999999997</v>
      </c>
      <c r="T230" s="16">
        <v>278.80430000000001</v>
      </c>
      <c r="U230" s="16">
        <v>300.86410000000001</v>
      </c>
      <c r="V230" s="16">
        <v>302.23349999999999</v>
      </c>
      <c r="W230" s="16">
        <v>296.7346</v>
      </c>
      <c r="X230" s="16">
        <v>282.6028</v>
      </c>
      <c r="Y230" s="16">
        <v>274.26409999999998</v>
      </c>
      <c r="Z230" s="16"/>
      <c r="AA230" s="17">
        <f t="shared" si="9"/>
        <v>302.23349999999999</v>
      </c>
      <c r="AB230" s="17">
        <f t="shared" si="10"/>
        <v>64.347999999999999</v>
      </c>
      <c r="AC230" s="17">
        <f t="shared" si="11"/>
        <v>261.14431666666701</v>
      </c>
    </row>
    <row r="231" spans="1:29">
      <c r="A231" s="8">
        <v>45521</v>
      </c>
      <c r="B231" s="16">
        <v>314.77859999999998</v>
      </c>
      <c r="C231" s="16">
        <v>284.5772</v>
      </c>
      <c r="D231" s="16">
        <v>282.39999999999998</v>
      </c>
      <c r="E231" s="16">
        <v>279.29250000000002</v>
      </c>
      <c r="F231" s="16">
        <v>269.30250000000001</v>
      </c>
      <c r="G231" s="16">
        <v>235</v>
      </c>
      <c r="H231" s="16">
        <v>264.41250000000002</v>
      </c>
      <c r="I231" s="16">
        <v>264.75389999999999</v>
      </c>
      <c r="J231" s="16">
        <v>276.53339999999997</v>
      </c>
      <c r="K231" s="16">
        <v>284.97000000000003</v>
      </c>
      <c r="L231" s="16">
        <v>279.12540000000001</v>
      </c>
      <c r="M231" s="16">
        <v>215.6138</v>
      </c>
      <c r="N231" s="16">
        <v>125.8154</v>
      </c>
      <c r="O231" s="16">
        <v>204.0813</v>
      </c>
      <c r="P231" s="16">
        <v>269.93110000000001</v>
      </c>
      <c r="Q231" s="16">
        <v>276.57659999999998</v>
      </c>
      <c r="R231" s="16">
        <v>210.6891</v>
      </c>
      <c r="S231" s="16">
        <v>243.8349</v>
      </c>
      <c r="T231" s="16">
        <v>217.04159999999999</v>
      </c>
      <c r="U231" s="16">
        <v>277.13819999999998</v>
      </c>
      <c r="V231" s="16">
        <v>281.791</v>
      </c>
      <c r="W231" s="16">
        <v>284.64350000000002</v>
      </c>
      <c r="X231" s="16">
        <v>276.38990000000001</v>
      </c>
      <c r="Y231" s="16">
        <v>189.3605</v>
      </c>
      <c r="Z231" s="16"/>
      <c r="AA231" s="17">
        <f t="shared" si="9"/>
        <v>314.77859999999998</v>
      </c>
      <c r="AB231" s="17">
        <f t="shared" si="10"/>
        <v>125.8154</v>
      </c>
      <c r="AC231" s="17">
        <f t="shared" si="11"/>
        <v>254.50220416666701</v>
      </c>
    </row>
    <row r="232" spans="1:29">
      <c r="A232" s="8">
        <v>45522</v>
      </c>
      <c r="B232" s="16">
        <v>272.53949999999998</v>
      </c>
      <c r="C232" s="16">
        <v>271.50380000000001</v>
      </c>
      <c r="D232" s="16">
        <v>244.7825</v>
      </c>
      <c r="E232" s="16">
        <v>223.83500000000001</v>
      </c>
      <c r="F232" s="16">
        <v>50</v>
      </c>
      <c r="G232" s="16">
        <v>2.5000000000000001E-2</v>
      </c>
      <c r="H232" s="16">
        <v>12.75</v>
      </c>
      <c r="I232" s="16">
        <v>117.75</v>
      </c>
      <c r="J232" s="16">
        <v>29.076699999999999</v>
      </c>
      <c r="K232" s="16">
        <v>20.440999999999999</v>
      </c>
      <c r="L232" s="16">
        <v>30.749199999999998</v>
      </c>
      <c r="M232" s="16">
        <v>6.5940000000000003</v>
      </c>
      <c r="N232" s="16">
        <v>82.911000000000001</v>
      </c>
      <c r="O232" s="16">
        <v>17.133900000000001</v>
      </c>
      <c r="P232" s="16">
        <v>27.597200000000001</v>
      </c>
      <c r="Q232" s="16">
        <v>10.412599999999999</v>
      </c>
      <c r="R232" s="16">
        <v>16.677700000000002</v>
      </c>
      <c r="S232" s="16">
        <v>17.764900000000001</v>
      </c>
      <c r="T232" s="16">
        <v>15.9008</v>
      </c>
      <c r="U232" s="16">
        <v>234.8151</v>
      </c>
      <c r="V232" s="16">
        <v>233.06979999999999</v>
      </c>
      <c r="W232" s="16">
        <v>176.9562</v>
      </c>
      <c r="X232" s="16">
        <v>184.93379999999999</v>
      </c>
      <c r="Y232" s="16">
        <v>8.4627999999999997</v>
      </c>
      <c r="Z232" s="16"/>
      <c r="AA232" s="17">
        <f t="shared" si="9"/>
        <v>272.53949999999998</v>
      </c>
      <c r="AB232" s="17">
        <f t="shared" si="10"/>
        <v>2.5000000000000001E-2</v>
      </c>
      <c r="AC232" s="17">
        <f t="shared" si="11"/>
        <v>96.111770833333296</v>
      </c>
    </row>
    <row r="233" spans="1:29">
      <c r="A233" s="8">
        <v>45523</v>
      </c>
      <c r="B233" s="16">
        <v>254.6069</v>
      </c>
      <c r="C233" s="16">
        <v>230.38249999999999</v>
      </c>
      <c r="D233" s="16">
        <v>60.2485</v>
      </c>
      <c r="E233" s="16">
        <v>0</v>
      </c>
      <c r="F233" s="16">
        <v>0</v>
      </c>
      <c r="G233" s="16">
        <v>1.1532</v>
      </c>
      <c r="H233" s="16">
        <v>0</v>
      </c>
      <c r="I233" s="16">
        <v>218.3477</v>
      </c>
      <c r="J233" s="16">
        <v>305.53640000000001</v>
      </c>
      <c r="K233" s="16">
        <v>532.81370000000004</v>
      </c>
      <c r="L233" s="16">
        <v>306.66129999999998</v>
      </c>
      <c r="M233" s="16">
        <v>275.6345</v>
      </c>
      <c r="N233" s="16">
        <v>186.59010000000001</v>
      </c>
      <c r="O233" s="16">
        <v>277.3322</v>
      </c>
      <c r="P233" s="16">
        <v>272.16789999999997</v>
      </c>
      <c r="Q233" s="16">
        <v>283.33179999999999</v>
      </c>
      <c r="R233" s="16">
        <v>291.81880000000001</v>
      </c>
      <c r="S233" s="16">
        <v>289.25689999999997</v>
      </c>
      <c r="T233" s="16">
        <v>285.13029999999998</v>
      </c>
      <c r="U233" s="16">
        <v>331.65719999999999</v>
      </c>
      <c r="V233" s="16">
        <v>331.67450000000002</v>
      </c>
      <c r="W233" s="16">
        <v>311.8125</v>
      </c>
      <c r="X233" s="16">
        <v>285.02999999999997</v>
      </c>
      <c r="Y233" s="16">
        <v>253.31049999999999</v>
      </c>
      <c r="Z233" s="16"/>
      <c r="AA233" s="17">
        <f t="shared" si="9"/>
        <v>532.81370000000004</v>
      </c>
      <c r="AB233" s="17">
        <f t="shared" si="10"/>
        <v>0</v>
      </c>
      <c r="AC233" s="17">
        <f t="shared" si="11"/>
        <v>232.687391666667</v>
      </c>
    </row>
    <row r="234" spans="1:29">
      <c r="A234" s="8">
        <v>45524</v>
      </c>
      <c r="B234" s="16">
        <v>289.97050000000002</v>
      </c>
      <c r="C234" s="16">
        <v>280.88139999999999</v>
      </c>
      <c r="D234" s="16">
        <v>273.24090000000001</v>
      </c>
      <c r="E234" s="16">
        <v>244.8784</v>
      </c>
      <c r="F234" s="16">
        <v>209.417</v>
      </c>
      <c r="G234" s="16">
        <v>201.0179</v>
      </c>
      <c r="H234" s="16">
        <v>244.9796</v>
      </c>
      <c r="I234" s="16">
        <v>279.43630000000002</v>
      </c>
      <c r="J234" s="16">
        <v>327.25580000000002</v>
      </c>
      <c r="K234" s="16">
        <v>498.87189999999998</v>
      </c>
      <c r="L234" s="16">
        <v>365.68790000000001</v>
      </c>
      <c r="M234" s="16">
        <v>326.5917</v>
      </c>
      <c r="N234" s="16">
        <v>222.5849</v>
      </c>
      <c r="O234" s="16">
        <v>295.94400000000002</v>
      </c>
      <c r="P234" s="16">
        <v>307.56130000000002</v>
      </c>
      <c r="Q234" s="16">
        <v>302.4273</v>
      </c>
      <c r="R234" s="16">
        <v>326.10700000000003</v>
      </c>
      <c r="S234" s="16">
        <v>311.23500000000001</v>
      </c>
      <c r="T234" s="16">
        <v>299.61489999999998</v>
      </c>
      <c r="U234" s="16">
        <v>294.02850000000001</v>
      </c>
      <c r="V234" s="16">
        <v>295.06909999999999</v>
      </c>
      <c r="W234" s="16">
        <v>289.67180000000002</v>
      </c>
      <c r="X234" s="16">
        <v>277.77999999999997</v>
      </c>
      <c r="Y234" s="16">
        <v>261.02350000000001</v>
      </c>
      <c r="Z234" s="16"/>
      <c r="AA234" s="17">
        <f t="shared" si="9"/>
        <v>498.87189999999998</v>
      </c>
      <c r="AB234" s="17">
        <f t="shared" si="10"/>
        <v>201.0179</v>
      </c>
      <c r="AC234" s="17">
        <f t="shared" si="11"/>
        <v>292.71985833333298</v>
      </c>
    </row>
    <row r="235" spans="1:29">
      <c r="A235" s="8">
        <v>45525</v>
      </c>
      <c r="B235" s="16">
        <v>285</v>
      </c>
      <c r="C235" s="16">
        <v>280.56</v>
      </c>
      <c r="D235" s="16">
        <v>277.08999999999997</v>
      </c>
      <c r="E235" s="16">
        <v>261.91000000000003</v>
      </c>
      <c r="F235" s="16">
        <v>225.05500000000001</v>
      </c>
      <c r="G235" s="16">
        <v>182.5</v>
      </c>
      <c r="H235" s="16">
        <v>245.45079999999999</v>
      </c>
      <c r="I235" s="16">
        <v>276.26749999999998</v>
      </c>
      <c r="J235" s="16">
        <v>317.32530000000003</v>
      </c>
      <c r="K235" s="16">
        <v>363.81509999999997</v>
      </c>
      <c r="L235" s="16">
        <v>356.24779999999998</v>
      </c>
      <c r="M235" s="16">
        <v>291.84629999999999</v>
      </c>
      <c r="N235" s="16">
        <v>197.8665</v>
      </c>
      <c r="O235" s="16">
        <v>243.19579999999999</v>
      </c>
      <c r="P235" s="16">
        <v>280.779</v>
      </c>
      <c r="Q235" s="16">
        <v>284.49009999999998</v>
      </c>
      <c r="R235" s="16">
        <v>285.70890000000003</v>
      </c>
      <c r="S235" s="16">
        <v>284.63229999999999</v>
      </c>
      <c r="T235" s="16">
        <v>283.30650000000003</v>
      </c>
      <c r="U235" s="16">
        <v>290.7697</v>
      </c>
      <c r="V235" s="16">
        <v>288.70659999999998</v>
      </c>
      <c r="W235" s="16">
        <v>283.70139999999998</v>
      </c>
      <c r="X235" s="16">
        <v>276.08819999999997</v>
      </c>
      <c r="Y235" s="16">
        <v>226.32919999999999</v>
      </c>
      <c r="Z235" s="16"/>
      <c r="AA235" s="17">
        <f t="shared" si="9"/>
        <v>363.81509999999997</v>
      </c>
      <c r="AB235" s="17">
        <f t="shared" si="10"/>
        <v>182.5</v>
      </c>
      <c r="AC235" s="17">
        <f t="shared" si="11"/>
        <v>274.52674999999999</v>
      </c>
    </row>
    <row r="236" spans="1:29">
      <c r="A236" s="8">
        <v>45526</v>
      </c>
      <c r="B236" s="16">
        <v>238.95099999999999</v>
      </c>
      <c r="C236" s="16">
        <v>156.97489999999999</v>
      </c>
      <c r="D236" s="16">
        <v>175.51</v>
      </c>
      <c r="E236" s="16">
        <v>0</v>
      </c>
      <c r="F236" s="16">
        <v>0</v>
      </c>
      <c r="G236" s="16">
        <v>38.75</v>
      </c>
      <c r="H236" s="16">
        <v>132.97999999999999</v>
      </c>
      <c r="I236" s="16">
        <v>242.56280000000001</v>
      </c>
      <c r="J236" s="16">
        <v>289.11509999999998</v>
      </c>
      <c r="K236" s="16">
        <v>296.97469999999998</v>
      </c>
      <c r="L236" s="16">
        <v>173.65039999999999</v>
      </c>
      <c r="M236" s="16">
        <v>220.48740000000001</v>
      </c>
      <c r="N236" s="16">
        <v>176.86330000000001</v>
      </c>
      <c r="O236" s="16">
        <v>256.26139999999998</v>
      </c>
      <c r="P236" s="16">
        <v>313.5138</v>
      </c>
      <c r="Q236" s="16">
        <v>323.4486</v>
      </c>
      <c r="R236" s="16">
        <v>339.04</v>
      </c>
      <c r="S236" s="16">
        <v>354.6773</v>
      </c>
      <c r="T236" s="16">
        <v>325.18860000000001</v>
      </c>
      <c r="U236" s="16">
        <v>325.85590000000002</v>
      </c>
      <c r="V236" s="16">
        <v>315.50790000000001</v>
      </c>
      <c r="W236" s="16">
        <v>339.73009999999999</v>
      </c>
      <c r="X236" s="16">
        <v>335.51280000000003</v>
      </c>
      <c r="Y236" s="16">
        <v>268.09309999999999</v>
      </c>
      <c r="Z236" s="16"/>
      <c r="AA236" s="17">
        <f t="shared" si="9"/>
        <v>354.6773</v>
      </c>
      <c r="AB236" s="17">
        <f t="shared" si="10"/>
        <v>0</v>
      </c>
      <c r="AC236" s="17">
        <f t="shared" si="11"/>
        <v>234.985379166667</v>
      </c>
    </row>
    <row r="237" spans="1:29">
      <c r="A237" s="8">
        <v>45527</v>
      </c>
      <c r="B237" s="16">
        <v>275.8716</v>
      </c>
      <c r="C237" s="16">
        <v>260.03339999999997</v>
      </c>
      <c r="D237" s="16">
        <v>235.28909999999999</v>
      </c>
      <c r="E237" s="16">
        <v>155.16460000000001</v>
      </c>
      <c r="F237" s="16">
        <v>0.28000000000000003</v>
      </c>
      <c r="G237" s="16">
        <v>23.142499999999998</v>
      </c>
      <c r="H237" s="16">
        <v>152.81450000000001</v>
      </c>
      <c r="I237" s="16">
        <v>131.60480000000001</v>
      </c>
      <c r="J237" s="16">
        <v>274.19400000000002</v>
      </c>
      <c r="K237" s="16">
        <v>297.16739999999999</v>
      </c>
      <c r="L237" s="16">
        <v>302.95780000000002</v>
      </c>
      <c r="M237" s="16">
        <v>279.49860000000001</v>
      </c>
      <c r="N237" s="16">
        <v>191.56110000000001</v>
      </c>
      <c r="O237" s="16">
        <v>299.9855</v>
      </c>
      <c r="P237" s="16">
        <v>341.9905</v>
      </c>
      <c r="Q237" s="16">
        <v>362.00819999999999</v>
      </c>
      <c r="R237" s="16">
        <v>373.91309999999999</v>
      </c>
      <c r="S237" s="16">
        <v>405.30119999999999</v>
      </c>
      <c r="T237" s="16">
        <v>359.43729999999999</v>
      </c>
      <c r="U237" s="16">
        <v>378.77480000000003</v>
      </c>
      <c r="V237" s="16">
        <v>363.91030000000001</v>
      </c>
      <c r="W237" s="16">
        <v>354.58409999999998</v>
      </c>
      <c r="X237" s="16">
        <v>326.98020000000002</v>
      </c>
      <c r="Y237" s="16">
        <v>301.49680000000001</v>
      </c>
      <c r="Z237" s="16"/>
      <c r="AA237" s="17">
        <f t="shared" si="9"/>
        <v>405.30119999999999</v>
      </c>
      <c r="AB237" s="17">
        <f t="shared" si="10"/>
        <v>0.28000000000000003</v>
      </c>
      <c r="AC237" s="17">
        <f t="shared" si="11"/>
        <v>268.66505833333298</v>
      </c>
    </row>
    <row r="238" spans="1:29">
      <c r="A238" s="8">
        <v>45528</v>
      </c>
      <c r="B238" s="16">
        <v>352.23680000000002</v>
      </c>
      <c r="C238" s="16">
        <v>297.21949999999998</v>
      </c>
      <c r="D238" s="16">
        <v>279.11259999999999</v>
      </c>
      <c r="E238" s="16">
        <v>273.78750000000002</v>
      </c>
      <c r="F238" s="16">
        <v>233.80070000000001</v>
      </c>
      <c r="G238" s="16">
        <v>255.0838</v>
      </c>
      <c r="H238" s="16">
        <v>271.50009999999997</v>
      </c>
      <c r="I238" s="16">
        <v>270.51569999999998</v>
      </c>
      <c r="J238" s="16">
        <v>252.28360000000001</v>
      </c>
      <c r="K238" s="16">
        <v>268.18759999999997</v>
      </c>
      <c r="L238" s="16">
        <v>265.38420000000002</v>
      </c>
      <c r="M238" s="16">
        <v>163.1815</v>
      </c>
      <c r="N238" s="16">
        <v>69.235200000000006</v>
      </c>
      <c r="O238" s="16">
        <v>132.9512</v>
      </c>
      <c r="P238" s="16">
        <v>241.5566</v>
      </c>
      <c r="Q238" s="16">
        <v>494.62119999999999</v>
      </c>
      <c r="R238" s="16">
        <v>322.98070000000001</v>
      </c>
      <c r="S238" s="16">
        <v>533.35299999999995</v>
      </c>
      <c r="T238" s="16">
        <v>311.82760000000002</v>
      </c>
      <c r="U238" s="16">
        <v>349.36680000000001</v>
      </c>
      <c r="V238" s="16">
        <v>353.82170000000002</v>
      </c>
      <c r="W238" s="16">
        <v>411.60109999999997</v>
      </c>
      <c r="X238" s="16">
        <v>381.41890000000001</v>
      </c>
      <c r="Y238" s="16">
        <v>412.30739999999997</v>
      </c>
      <c r="Z238" s="16"/>
      <c r="AA238" s="17">
        <f t="shared" si="9"/>
        <v>533.35299999999995</v>
      </c>
      <c r="AB238" s="17">
        <f t="shared" si="10"/>
        <v>69.235200000000006</v>
      </c>
      <c r="AC238" s="17">
        <f t="shared" si="11"/>
        <v>299.88895833333299</v>
      </c>
    </row>
    <row r="239" spans="1:29">
      <c r="A239" s="8">
        <v>45529</v>
      </c>
      <c r="B239" s="16">
        <v>370.77210000000002</v>
      </c>
      <c r="C239" s="16">
        <v>279.88580000000002</v>
      </c>
      <c r="D239" s="16">
        <v>195.53</v>
      </c>
      <c r="E239" s="16">
        <v>185.6232</v>
      </c>
      <c r="F239" s="16">
        <v>267.11930000000001</v>
      </c>
      <c r="G239" s="16">
        <v>242.0941</v>
      </c>
      <c r="H239" s="16">
        <v>251.2474</v>
      </c>
      <c r="I239" s="16">
        <v>253.1576</v>
      </c>
      <c r="J239" s="16">
        <v>154.01849999999999</v>
      </c>
      <c r="K239" s="16">
        <v>36.139600000000002</v>
      </c>
      <c r="L239" s="16">
        <v>17.886600000000001</v>
      </c>
      <c r="M239" s="16">
        <v>66.494699999999995</v>
      </c>
      <c r="N239" s="16">
        <v>43.31</v>
      </c>
      <c r="O239" s="16">
        <v>112.41849999999999</v>
      </c>
      <c r="P239" s="16">
        <v>138.2396</v>
      </c>
      <c r="Q239" s="16">
        <v>264.57069999999999</v>
      </c>
      <c r="R239" s="16">
        <v>267.36590000000001</v>
      </c>
      <c r="S239" s="16">
        <v>271.51960000000003</v>
      </c>
      <c r="T239" s="16">
        <v>256.86950000000002</v>
      </c>
      <c r="U239" s="16">
        <v>280.9846</v>
      </c>
      <c r="V239" s="16">
        <v>341.45549999999997</v>
      </c>
      <c r="W239" s="16">
        <v>300.93450000000001</v>
      </c>
      <c r="X239" s="16">
        <v>298.6318</v>
      </c>
      <c r="Y239" s="16">
        <v>280.92309999999998</v>
      </c>
      <c r="Z239" s="16"/>
      <c r="AA239" s="17">
        <f t="shared" si="9"/>
        <v>370.77210000000002</v>
      </c>
      <c r="AB239" s="17">
        <f t="shared" si="10"/>
        <v>17.886600000000001</v>
      </c>
      <c r="AC239" s="17">
        <f t="shared" si="11"/>
        <v>215.71634166666701</v>
      </c>
    </row>
    <row r="240" spans="1:29">
      <c r="A240" s="8">
        <v>45530</v>
      </c>
      <c r="B240" s="16">
        <v>279.67700000000002</v>
      </c>
      <c r="C240" s="16">
        <v>194.3897</v>
      </c>
      <c r="D240" s="16">
        <v>72.198300000000003</v>
      </c>
      <c r="E240" s="16">
        <v>0</v>
      </c>
      <c r="F240" s="16">
        <v>0</v>
      </c>
      <c r="G240" s="16">
        <v>0.1053</v>
      </c>
      <c r="H240" s="16">
        <v>0.25009999999999999</v>
      </c>
      <c r="I240" s="16">
        <v>90.010900000000007</v>
      </c>
      <c r="J240" s="16">
        <v>274.44310000000002</v>
      </c>
      <c r="K240" s="16">
        <v>302.26710000000003</v>
      </c>
      <c r="L240" s="16">
        <v>305.52359999999999</v>
      </c>
      <c r="M240" s="16">
        <v>274.91899999999998</v>
      </c>
      <c r="N240" s="16">
        <v>331.81849999999997</v>
      </c>
      <c r="O240" s="16">
        <v>287.84620000000001</v>
      </c>
      <c r="P240" s="16">
        <v>310.1232</v>
      </c>
      <c r="Q240" s="16">
        <v>327.05799999999999</v>
      </c>
      <c r="R240" s="16">
        <v>345.81420000000003</v>
      </c>
      <c r="S240" s="16">
        <v>346.15719999999999</v>
      </c>
      <c r="T240" s="16">
        <v>321.29899999999998</v>
      </c>
      <c r="U240" s="16">
        <v>359.12900000000002</v>
      </c>
      <c r="V240" s="16">
        <v>386.93979999999999</v>
      </c>
      <c r="W240" s="16">
        <v>399.01339999999999</v>
      </c>
      <c r="X240" s="16">
        <v>360.5102</v>
      </c>
      <c r="Y240" s="16">
        <v>309.57069999999999</v>
      </c>
      <c r="Z240" s="16"/>
      <c r="AA240" s="17">
        <f t="shared" si="9"/>
        <v>399.01339999999999</v>
      </c>
      <c r="AB240" s="17">
        <f t="shared" si="10"/>
        <v>0</v>
      </c>
      <c r="AC240" s="17">
        <f t="shared" si="11"/>
        <v>244.96097916666699</v>
      </c>
    </row>
    <row r="241" spans="1:29">
      <c r="A241" s="8">
        <v>45531</v>
      </c>
      <c r="B241" s="16">
        <v>411.66989999999998</v>
      </c>
      <c r="C241" s="16">
        <v>345.16199999999998</v>
      </c>
      <c r="D241" s="16">
        <v>302.89519999999999</v>
      </c>
      <c r="E241" s="16">
        <v>283.91460000000001</v>
      </c>
      <c r="F241" s="16">
        <v>274.46870000000001</v>
      </c>
      <c r="G241" s="16">
        <v>273.67590000000001</v>
      </c>
      <c r="H241" s="16">
        <v>278.68849999999998</v>
      </c>
      <c r="I241" s="16">
        <v>280.02140000000003</v>
      </c>
      <c r="J241" s="16">
        <v>291.22699999999998</v>
      </c>
      <c r="K241" s="16">
        <v>313.94439999999997</v>
      </c>
      <c r="L241" s="16">
        <v>309.64420000000001</v>
      </c>
      <c r="M241" s="16">
        <v>231.923</v>
      </c>
      <c r="N241" s="16">
        <v>259.1035</v>
      </c>
      <c r="O241" s="16">
        <v>307.0822</v>
      </c>
      <c r="P241" s="16">
        <v>370.4819</v>
      </c>
      <c r="Q241" s="16">
        <v>655.74670000000003</v>
      </c>
      <c r="R241" s="16">
        <v>831.03930000000003</v>
      </c>
      <c r="S241" s="16">
        <v>500.5575</v>
      </c>
      <c r="T241" s="16">
        <v>411.76909999999998</v>
      </c>
      <c r="U241" s="16">
        <v>778.78009999999995</v>
      </c>
      <c r="V241" s="16">
        <v>645.53610000000003</v>
      </c>
      <c r="W241" s="16">
        <v>699.60879999999997</v>
      </c>
      <c r="X241" s="16">
        <v>636.20650000000001</v>
      </c>
      <c r="Y241" s="16">
        <v>410.23090000000002</v>
      </c>
      <c r="Z241" s="16"/>
      <c r="AA241" s="17">
        <f t="shared" si="9"/>
        <v>831.03930000000003</v>
      </c>
      <c r="AB241" s="17">
        <f t="shared" si="10"/>
        <v>231.923</v>
      </c>
      <c r="AC241" s="17">
        <f t="shared" si="11"/>
        <v>420.97405833333301</v>
      </c>
    </row>
    <row r="242" spans="1:29">
      <c r="A242" s="8">
        <v>45532</v>
      </c>
      <c r="B242" s="16">
        <v>447.56470000000002</v>
      </c>
      <c r="C242" s="16">
        <v>384.9151</v>
      </c>
      <c r="D242" s="16">
        <v>363.77069999999998</v>
      </c>
      <c r="E242" s="16">
        <v>347.19959999999998</v>
      </c>
      <c r="F242" s="16">
        <v>334.471</v>
      </c>
      <c r="G242" s="16">
        <v>328.13389999999998</v>
      </c>
      <c r="H242" s="16">
        <v>331.6087</v>
      </c>
      <c r="I242" s="16">
        <v>320.49299999999999</v>
      </c>
      <c r="J242" s="16">
        <v>316.54239999999999</v>
      </c>
      <c r="K242" s="16">
        <v>413.3485</v>
      </c>
      <c r="L242" s="16">
        <v>363.81709999999998</v>
      </c>
      <c r="M242" s="16">
        <v>369.69229999999999</v>
      </c>
      <c r="N242" s="16">
        <v>342.30610000000001</v>
      </c>
      <c r="O242" s="16">
        <v>514.54909999999995</v>
      </c>
      <c r="P242" s="16">
        <v>813.54139999999995</v>
      </c>
      <c r="Q242" s="16">
        <v>865.10609999999997</v>
      </c>
      <c r="R242" s="16">
        <v>679.72860000000003</v>
      </c>
      <c r="S242" s="16">
        <v>406.43119999999999</v>
      </c>
      <c r="T242" s="16">
        <v>347.95</v>
      </c>
      <c r="U242" s="16">
        <v>366.65679999999998</v>
      </c>
      <c r="V242" s="16">
        <v>364.3304</v>
      </c>
      <c r="W242" s="16">
        <v>304.50389999999999</v>
      </c>
      <c r="X242" s="16">
        <v>389.3295</v>
      </c>
      <c r="Y242" s="16">
        <v>319.6112</v>
      </c>
      <c r="Z242" s="16"/>
      <c r="AA242" s="17">
        <f t="shared" si="9"/>
        <v>865.10609999999997</v>
      </c>
      <c r="AB242" s="17">
        <f t="shared" si="10"/>
        <v>304.50389999999999</v>
      </c>
      <c r="AC242" s="17">
        <f t="shared" si="11"/>
        <v>418.15005416666702</v>
      </c>
    </row>
    <row r="243" spans="1:29">
      <c r="A243" s="8">
        <v>45533</v>
      </c>
      <c r="B243" s="16">
        <v>337.96129999999999</v>
      </c>
      <c r="C243" s="16">
        <v>322.06029999999998</v>
      </c>
      <c r="D243" s="16">
        <v>328.1386</v>
      </c>
      <c r="E243" s="16">
        <v>315.05860000000001</v>
      </c>
      <c r="F243" s="16">
        <v>302.2473</v>
      </c>
      <c r="G243" s="16">
        <v>359.53609999999998</v>
      </c>
      <c r="H243" s="16">
        <v>302.47770000000003</v>
      </c>
      <c r="I243" s="16">
        <v>310.13</v>
      </c>
      <c r="J243" s="16">
        <v>317.40940000000001</v>
      </c>
      <c r="K243" s="16">
        <v>317.44400000000002</v>
      </c>
      <c r="L243" s="16">
        <v>332.79109999999997</v>
      </c>
      <c r="M243" s="16">
        <v>317.96280000000002</v>
      </c>
      <c r="N243" s="16">
        <v>294.40050000000002</v>
      </c>
      <c r="O243" s="16">
        <v>327.42770000000002</v>
      </c>
      <c r="P243" s="16">
        <v>346.32920000000001</v>
      </c>
      <c r="Q243" s="16">
        <v>344.88409999999999</v>
      </c>
      <c r="R243" s="16">
        <v>343.19560000000001</v>
      </c>
      <c r="S243" s="16">
        <v>316.404</v>
      </c>
      <c r="T243" s="16">
        <v>297.82839999999999</v>
      </c>
      <c r="U243" s="16">
        <v>323.10989999999998</v>
      </c>
      <c r="V243" s="16">
        <v>329.91399999999999</v>
      </c>
      <c r="W243" s="16">
        <v>308.57979999999998</v>
      </c>
      <c r="X243" s="16">
        <v>309.5813</v>
      </c>
      <c r="Y243" s="16">
        <v>290.20740000000001</v>
      </c>
      <c r="Z243" s="16"/>
      <c r="AA243" s="17">
        <f t="shared" si="9"/>
        <v>359.53609999999998</v>
      </c>
      <c r="AB243" s="17">
        <f t="shared" si="10"/>
        <v>290.20740000000001</v>
      </c>
      <c r="AC243" s="17">
        <f t="shared" si="11"/>
        <v>320.62829583333303</v>
      </c>
    </row>
    <row r="244" spans="1:29">
      <c r="A244" s="8">
        <v>45534</v>
      </c>
      <c r="B244" s="16">
        <v>322.76900000000001</v>
      </c>
      <c r="C244" s="16">
        <v>313.0478</v>
      </c>
      <c r="D244" s="16">
        <v>306.87049999999999</v>
      </c>
      <c r="E244" s="16">
        <v>312.60550000000001</v>
      </c>
      <c r="F244" s="16">
        <v>296.35270000000003</v>
      </c>
      <c r="G244" s="16">
        <v>297.99430000000001</v>
      </c>
      <c r="H244" s="16">
        <v>302.31610000000001</v>
      </c>
      <c r="I244" s="16">
        <v>310.55700000000002</v>
      </c>
      <c r="J244" s="16">
        <v>323.3931</v>
      </c>
      <c r="K244" s="16">
        <v>378.54910000000001</v>
      </c>
      <c r="L244" s="16">
        <v>336.03530000000001</v>
      </c>
      <c r="M244" s="16">
        <v>324.52530000000002</v>
      </c>
      <c r="N244" s="16">
        <v>300.83120000000002</v>
      </c>
      <c r="O244" s="16">
        <v>332.35829999999999</v>
      </c>
      <c r="P244" s="16">
        <v>332.49930000000001</v>
      </c>
      <c r="Q244" s="16">
        <v>322.20510000000002</v>
      </c>
      <c r="R244" s="16">
        <v>356.10039999999998</v>
      </c>
      <c r="S244" s="16">
        <v>350.44819999999999</v>
      </c>
      <c r="T244" s="16">
        <v>341.56909999999999</v>
      </c>
      <c r="U244" s="16">
        <v>364.05009999999999</v>
      </c>
      <c r="V244" s="16">
        <v>355.64280000000002</v>
      </c>
      <c r="W244" s="16">
        <v>345.00900000000001</v>
      </c>
      <c r="X244" s="16">
        <v>463.43079999999998</v>
      </c>
      <c r="Y244" s="16">
        <v>339.49770000000001</v>
      </c>
      <c r="Z244" s="16"/>
      <c r="AA244" s="17">
        <f t="shared" si="9"/>
        <v>463.43079999999998</v>
      </c>
      <c r="AB244" s="17">
        <f t="shared" si="10"/>
        <v>296.35270000000003</v>
      </c>
      <c r="AC244" s="17">
        <f t="shared" si="11"/>
        <v>334.527404166667</v>
      </c>
    </row>
    <row r="245" spans="1:29">
      <c r="A245" s="8">
        <v>45535</v>
      </c>
      <c r="B245" s="16">
        <v>363.52030000000002</v>
      </c>
      <c r="C245" s="16">
        <v>382.07830000000001</v>
      </c>
      <c r="D245" s="16">
        <v>352.60090000000002</v>
      </c>
      <c r="E245" s="16">
        <v>337.21069999999997</v>
      </c>
      <c r="F245" s="16">
        <v>330.07900000000001</v>
      </c>
      <c r="G245" s="16">
        <v>373.08749999999998</v>
      </c>
      <c r="H245" s="16">
        <v>330.47399999999999</v>
      </c>
      <c r="I245" s="16">
        <v>383.79160000000002</v>
      </c>
      <c r="J245" s="16">
        <v>324.14839999999998</v>
      </c>
      <c r="K245" s="16">
        <v>311.72199999999998</v>
      </c>
      <c r="L245" s="16">
        <v>303.09280000000001</v>
      </c>
      <c r="M245" s="16">
        <v>296.40100000000001</v>
      </c>
      <c r="N245" s="16">
        <v>289.18270000000001</v>
      </c>
      <c r="O245" s="16">
        <v>309.2921</v>
      </c>
      <c r="P245" s="16">
        <v>292.89080000000001</v>
      </c>
      <c r="Q245" s="16">
        <v>293.77620000000002</v>
      </c>
      <c r="R245" s="16">
        <v>313.2681</v>
      </c>
      <c r="S245" s="16">
        <v>312.47320000000002</v>
      </c>
      <c r="T245" s="16">
        <v>328.44900000000001</v>
      </c>
      <c r="U245" s="16">
        <v>332.20940000000002</v>
      </c>
      <c r="V245" s="16">
        <v>325.46460000000002</v>
      </c>
      <c r="W245" s="16">
        <v>343.74889999999999</v>
      </c>
      <c r="X245" s="16">
        <v>341.01560000000001</v>
      </c>
      <c r="Y245" s="16">
        <v>322.52600000000001</v>
      </c>
      <c r="Z245" s="16"/>
      <c r="AA245" s="17">
        <f t="shared" si="9"/>
        <v>383.79160000000002</v>
      </c>
      <c r="AB245" s="17">
        <f t="shared" si="10"/>
        <v>289.18270000000001</v>
      </c>
      <c r="AC245" s="17">
        <f t="shared" si="11"/>
        <v>328.85429583333303</v>
      </c>
    </row>
    <row r="246" spans="1:29">
      <c r="A246" s="8">
        <v>45536</v>
      </c>
      <c r="B246" s="16">
        <v>353.66039999999998</v>
      </c>
      <c r="C246" s="16">
        <v>342.77609999999999</v>
      </c>
      <c r="D246" s="16">
        <v>334.9151</v>
      </c>
      <c r="E246" s="16">
        <v>328.91770000000002</v>
      </c>
      <c r="F246" s="16">
        <v>302.39210000000003</v>
      </c>
      <c r="G246" s="16">
        <v>297.52440000000001</v>
      </c>
      <c r="H246" s="16">
        <v>297.50060000000002</v>
      </c>
      <c r="I246" s="16">
        <v>287.58890000000002</v>
      </c>
      <c r="J246" s="16">
        <v>199.01220000000001</v>
      </c>
      <c r="K246" s="16">
        <v>46.782699999999998</v>
      </c>
      <c r="L246" s="16">
        <v>1.3512999999999999</v>
      </c>
      <c r="M246" s="16">
        <v>52.252899999999997</v>
      </c>
      <c r="N246" s="16">
        <v>222.35239999999999</v>
      </c>
      <c r="O246" s="16">
        <v>294.26679999999999</v>
      </c>
      <c r="P246" s="16">
        <v>291.82580000000002</v>
      </c>
      <c r="Q246" s="16">
        <v>277.91730000000001</v>
      </c>
      <c r="R246" s="16">
        <v>279.702</v>
      </c>
      <c r="S246" s="16">
        <v>310.13299999999998</v>
      </c>
      <c r="T246" s="16">
        <v>328.54700000000003</v>
      </c>
      <c r="U246" s="16">
        <v>398.49160000000001</v>
      </c>
      <c r="V246" s="16">
        <v>408.77870000000001</v>
      </c>
      <c r="W246" s="16">
        <v>461.21190000000001</v>
      </c>
      <c r="X246" s="16">
        <v>428.51499999999999</v>
      </c>
      <c r="Y246" s="16">
        <v>350.53519999999997</v>
      </c>
      <c r="Z246" s="16"/>
      <c r="AA246" s="17">
        <f t="shared" si="9"/>
        <v>461.21190000000001</v>
      </c>
      <c r="AB246" s="17">
        <f t="shared" si="10"/>
        <v>1.3512999999999999</v>
      </c>
      <c r="AC246" s="17">
        <f t="shared" si="11"/>
        <v>287.37296250000003</v>
      </c>
    </row>
    <row r="247" spans="1:29">
      <c r="A247" s="8">
        <v>45537</v>
      </c>
      <c r="B247" s="16">
        <v>485.04860000000002</v>
      </c>
      <c r="C247" s="16">
        <v>415.02170000000001</v>
      </c>
      <c r="D247" s="16">
        <v>375.4162</v>
      </c>
      <c r="E247" s="16">
        <v>361.99939999999998</v>
      </c>
      <c r="F247" s="16">
        <v>346.3186</v>
      </c>
      <c r="G247" s="16">
        <v>337.99470000000002</v>
      </c>
      <c r="H247" s="16">
        <v>348.89170000000001</v>
      </c>
      <c r="I247" s="16">
        <v>341.00349999999997</v>
      </c>
      <c r="J247" s="16">
        <v>394.15350000000001</v>
      </c>
      <c r="K247" s="16">
        <v>477.66050000000001</v>
      </c>
      <c r="L247" s="16">
        <v>450.98070000000001</v>
      </c>
      <c r="M247" s="16">
        <v>431.08859999999999</v>
      </c>
      <c r="N247" s="16">
        <v>392.81</v>
      </c>
      <c r="O247" s="16">
        <v>587.30349999999999</v>
      </c>
      <c r="P247" s="16">
        <v>567.11509999999998</v>
      </c>
      <c r="Q247" s="16">
        <v>443.0308</v>
      </c>
      <c r="R247" s="16">
        <v>409.55090000000001</v>
      </c>
      <c r="S247" s="16">
        <v>415.81650000000002</v>
      </c>
      <c r="T247" s="16">
        <v>437.99439999999998</v>
      </c>
      <c r="U247" s="16">
        <v>587.55370000000005</v>
      </c>
      <c r="V247" s="16">
        <v>481.01369999999997</v>
      </c>
      <c r="W247" s="16">
        <v>441.94049999999999</v>
      </c>
      <c r="X247" s="16">
        <v>382.10989999999998</v>
      </c>
      <c r="Y247" s="16">
        <v>333.7099</v>
      </c>
      <c r="Z247" s="16"/>
      <c r="AA247" s="17">
        <f t="shared" si="9"/>
        <v>587.55370000000005</v>
      </c>
      <c r="AB247" s="17">
        <f t="shared" si="10"/>
        <v>333.7099</v>
      </c>
      <c r="AC247" s="17">
        <f t="shared" si="11"/>
        <v>426.89694166666698</v>
      </c>
    </row>
    <row r="248" spans="1:29">
      <c r="A248" s="8">
        <v>45538</v>
      </c>
      <c r="B248" s="16">
        <v>360.4391</v>
      </c>
      <c r="C248" s="16">
        <v>346.32839999999999</v>
      </c>
      <c r="D248" s="16">
        <v>341.733</v>
      </c>
      <c r="E248" s="16">
        <v>335.64729999999997</v>
      </c>
      <c r="F248" s="16">
        <v>325.38220000000001</v>
      </c>
      <c r="G248" s="16">
        <v>316.33</v>
      </c>
      <c r="H248" s="16">
        <v>325.1397</v>
      </c>
      <c r="I248" s="16">
        <v>301.83390000000003</v>
      </c>
      <c r="J248" s="16">
        <v>330.60550000000001</v>
      </c>
      <c r="K248" s="16">
        <v>335.59699999999998</v>
      </c>
      <c r="L248" s="16">
        <v>317.74770000000001</v>
      </c>
      <c r="M248" s="16">
        <v>302.66550000000001</v>
      </c>
      <c r="N248" s="16">
        <v>297.2423</v>
      </c>
      <c r="O248" s="16">
        <v>345.68770000000001</v>
      </c>
      <c r="P248" s="16">
        <v>347.21050000000002</v>
      </c>
      <c r="Q248" s="16">
        <v>336.44420000000002</v>
      </c>
      <c r="R248" s="16">
        <v>354.44540000000001</v>
      </c>
      <c r="S248" s="16">
        <v>377.77350000000001</v>
      </c>
      <c r="T248" s="16">
        <v>383.2022</v>
      </c>
      <c r="U248" s="16">
        <v>422.59109999999998</v>
      </c>
      <c r="V248" s="16">
        <v>407.6678</v>
      </c>
      <c r="W248" s="16">
        <v>431.92189999999999</v>
      </c>
      <c r="X248" s="16">
        <v>434.75970000000001</v>
      </c>
      <c r="Y248" s="16">
        <v>342.11509999999998</v>
      </c>
      <c r="Z248" s="16"/>
      <c r="AA248" s="17">
        <f t="shared" si="9"/>
        <v>434.75970000000001</v>
      </c>
      <c r="AB248" s="17">
        <f t="shared" si="10"/>
        <v>297.2423</v>
      </c>
      <c r="AC248" s="17">
        <f t="shared" si="11"/>
        <v>350.85461249999997</v>
      </c>
    </row>
    <row r="249" spans="1:29">
      <c r="A249" s="8">
        <v>45539</v>
      </c>
      <c r="B249" s="16">
        <v>416.8263</v>
      </c>
      <c r="C249" s="16">
        <v>413.21710000000002</v>
      </c>
      <c r="D249" s="16">
        <v>398.17160000000001</v>
      </c>
      <c r="E249" s="16">
        <v>372.67320000000001</v>
      </c>
      <c r="F249" s="16">
        <v>348.21800000000002</v>
      </c>
      <c r="G249" s="16">
        <v>348.75349999999997</v>
      </c>
      <c r="H249" s="16">
        <v>356.62950000000001</v>
      </c>
      <c r="I249" s="16">
        <v>334.16829999999999</v>
      </c>
      <c r="J249" s="16">
        <v>344.47800000000001</v>
      </c>
      <c r="K249" s="16">
        <v>343.29919999999998</v>
      </c>
      <c r="L249" s="16">
        <v>329.52190000000002</v>
      </c>
      <c r="M249" s="16">
        <v>330.9966</v>
      </c>
      <c r="N249" s="16">
        <v>330.14339999999999</v>
      </c>
      <c r="O249" s="16">
        <v>372.89100000000002</v>
      </c>
      <c r="P249" s="16">
        <v>359.209</v>
      </c>
      <c r="Q249" s="16">
        <v>353.63720000000001</v>
      </c>
      <c r="R249" s="16">
        <v>365.2645</v>
      </c>
      <c r="S249" s="16">
        <v>392.08769999999998</v>
      </c>
      <c r="T249" s="16">
        <v>406.73970000000003</v>
      </c>
      <c r="U249" s="16">
        <v>478.65179999999998</v>
      </c>
      <c r="V249" s="16">
        <v>615.11469999999997</v>
      </c>
      <c r="W249" s="16">
        <v>752.70730000000003</v>
      </c>
      <c r="X249" s="16">
        <v>668.97180000000003</v>
      </c>
      <c r="Y249" s="16">
        <v>415.24</v>
      </c>
      <c r="Z249" s="16"/>
      <c r="AA249" s="17">
        <f t="shared" si="9"/>
        <v>752.70730000000003</v>
      </c>
      <c r="AB249" s="17">
        <f t="shared" si="10"/>
        <v>329.52190000000002</v>
      </c>
      <c r="AC249" s="17">
        <f t="shared" si="11"/>
        <v>410.3171375</v>
      </c>
    </row>
    <row r="250" spans="1:29">
      <c r="A250" s="8">
        <v>45540</v>
      </c>
      <c r="B250" s="16">
        <v>523.50819999999999</v>
      </c>
      <c r="C250" s="16">
        <v>436.57780000000002</v>
      </c>
      <c r="D250" s="16">
        <v>441.36860000000001</v>
      </c>
      <c r="E250" s="16">
        <v>406.55239999999998</v>
      </c>
      <c r="F250" s="16">
        <v>370.31849999999997</v>
      </c>
      <c r="G250" s="16">
        <v>360.07560000000001</v>
      </c>
      <c r="H250" s="16">
        <v>367.11239999999998</v>
      </c>
      <c r="I250" s="16">
        <v>333.77019999999999</v>
      </c>
      <c r="J250" s="16">
        <v>353.56799999999998</v>
      </c>
      <c r="K250" s="16">
        <v>384.39710000000002</v>
      </c>
      <c r="L250" s="16">
        <v>343.8175</v>
      </c>
      <c r="M250" s="16">
        <v>331.22629999999998</v>
      </c>
      <c r="N250" s="16">
        <v>321.37920000000003</v>
      </c>
      <c r="O250" s="16">
        <v>361.55399999999997</v>
      </c>
      <c r="P250" s="16">
        <v>357.20929999999998</v>
      </c>
      <c r="Q250" s="16">
        <v>350.97050000000002</v>
      </c>
      <c r="R250" s="16">
        <v>353.2353</v>
      </c>
      <c r="S250" s="16">
        <v>346.9522</v>
      </c>
      <c r="T250" s="16">
        <v>337.66539999999998</v>
      </c>
      <c r="U250" s="16">
        <v>356.3981</v>
      </c>
      <c r="V250" s="16">
        <v>373.16370000000001</v>
      </c>
      <c r="W250" s="16">
        <v>375.46899999999999</v>
      </c>
      <c r="X250" s="16">
        <v>384.07670000000002</v>
      </c>
      <c r="Y250" s="16">
        <v>345.60669999999999</v>
      </c>
      <c r="Z250" s="16"/>
      <c r="AA250" s="17">
        <f t="shared" si="9"/>
        <v>523.50819999999999</v>
      </c>
      <c r="AB250" s="17">
        <f t="shared" si="10"/>
        <v>321.37920000000003</v>
      </c>
      <c r="AC250" s="17">
        <f t="shared" si="11"/>
        <v>371.49886249999997</v>
      </c>
    </row>
    <row r="251" spans="1:29">
      <c r="A251" s="8">
        <v>45541</v>
      </c>
      <c r="B251" s="16">
        <v>371.83519999999999</v>
      </c>
      <c r="C251" s="16">
        <v>375.4178</v>
      </c>
      <c r="D251" s="16">
        <v>382.86529999999999</v>
      </c>
      <c r="E251" s="16">
        <v>359.26170000000002</v>
      </c>
      <c r="F251" s="16">
        <v>331.5265</v>
      </c>
      <c r="G251" s="16">
        <v>320.63150000000002</v>
      </c>
      <c r="H251" s="16">
        <v>328.4735</v>
      </c>
      <c r="I251" s="16">
        <v>325.54430000000002</v>
      </c>
      <c r="J251" s="16">
        <v>402.21929999999998</v>
      </c>
      <c r="K251" s="16">
        <v>536.23490000000004</v>
      </c>
      <c r="L251" s="16">
        <v>446.50689999999997</v>
      </c>
      <c r="M251" s="16">
        <v>371.9418</v>
      </c>
      <c r="N251" s="16">
        <v>295.52640000000002</v>
      </c>
      <c r="O251" s="16">
        <v>376.90679999999998</v>
      </c>
      <c r="P251" s="16">
        <v>407.0136</v>
      </c>
      <c r="Q251" s="16">
        <v>391.81049999999999</v>
      </c>
      <c r="R251" s="16">
        <v>398.88630000000001</v>
      </c>
      <c r="S251" s="16">
        <v>372.66039999999998</v>
      </c>
      <c r="T251" s="16">
        <v>356.42169999999999</v>
      </c>
      <c r="U251" s="16">
        <v>367.45</v>
      </c>
      <c r="V251" s="16">
        <v>340.16950000000003</v>
      </c>
      <c r="W251" s="16">
        <v>330.90839999999997</v>
      </c>
      <c r="X251" s="16">
        <v>322.51749999999998</v>
      </c>
      <c r="Y251" s="16">
        <v>297.17950000000002</v>
      </c>
      <c r="Z251" s="16"/>
      <c r="AA251" s="17">
        <f t="shared" si="9"/>
        <v>536.23490000000004</v>
      </c>
      <c r="AB251" s="17">
        <f t="shared" si="10"/>
        <v>295.52640000000002</v>
      </c>
      <c r="AC251" s="17">
        <f t="shared" si="11"/>
        <v>367.07955416666698</v>
      </c>
    </row>
    <row r="252" spans="1:29">
      <c r="A252" s="8">
        <v>45542</v>
      </c>
      <c r="B252" s="16">
        <v>343.89960000000002</v>
      </c>
      <c r="C252" s="16">
        <v>335.31189999999998</v>
      </c>
      <c r="D252" s="16">
        <v>342.18509999999998</v>
      </c>
      <c r="E252" s="16">
        <v>324.8347</v>
      </c>
      <c r="F252" s="16">
        <v>317.05790000000002</v>
      </c>
      <c r="G252" s="16">
        <v>312.34039999999999</v>
      </c>
      <c r="H252" s="16">
        <v>321.24250000000001</v>
      </c>
      <c r="I252" s="16">
        <v>323.44589999999999</v>
      </c>
      <c r="J252" s="16">
        <v>347.64049999999997</v>
      </c>
      <c r="K252" s="16">
        <v>353.73270000000002</v>
      </c>
      <c r="L252" s="16">
        <v>371.7937</v>
      </c>
      <c r="M252" s="16">
        <v>353.64690000000002</v>
      </c>
      <c r="N252" s="16">
        <v>322.56</v>
      </c>
      <c r="O252" s="16">
        <v>387.98110000000003</v>
      </c>
      <c r="P252" s="16">
        <v>410.87209999999999</v>
      </c>
      <c r="Q252" s="16">
        <v>397.00229999999999</v>
      </c>
      <c r="R252" s="16">
        <v>407.3032</v>
      </c>
      <c r="S252" s="16">
        <v>405.20679999999999</v>
      </c>
      <c r="T252" s="16">
        <v>412.8546</v>
      </c>
      <c r="U252" s="16">
        <v>412.45010000000002</v>
      </c>
      <c r="V252" s="16">
        <v>387.99430000000001</v>
      </c>
      <c r="W252" s="16">
        <v>389.7407</v>
      </c>
      <c r="X252" s="16">
        <v>405.8098</v>
      </c>
      <c r="Y252" s="16">
        <v>362.70330000000001</v>
      </c>
      <c r="Z252" s="16"/>
      <c r="AA252" s="17">
        <f t="shared" si="9"/>
        <v>412.8546</v>
      </c>
      <c r="AB252" s="17">
        <f t="shared" si="10"/>
        <v>312.34039999999999</v>
      </c>
      <c r="AC252" s="17">
        <f t="shared" si="11"/>
        <v>364.56708750000001</v>
      </c>
    </row>
    <row r="253" spans="1:29">
      <c r="A253" s="8">
        <v>45543</v>
      </c>
      <c r="B253" s="16">
        <v>509.58569999999997</v>
      </c>
      <c r="C253" s="16">
        <v>524.01480000000004</v>
      </c>
      <c r="D253" s="16">
        <v>480.6053</v>
      </c>
      <c r="E253" s="16">
        <v>417.88369999999998</v>
      </c>
      <c r="F253" s="16">
        <v>381.66649999999998</v>
      </c>
      <c r="G253" s="16">
        <v>372.73579999999998</v>
      </c>
      <c r="H253" s="16">
        <v>379.11360000000002</v>
      </c>
      <c r="I253" s="16">
        <v>372.43119999999999</v>
      </c>
      <c r="J253" s="16">
        <v>341.98289999999997</v>
      </c>
      <c r="K253" s="16">
        <v>333.67329999999998</v>
      </c>
      <c r="L253" s="16">
        <v>333.03429999999997</v>
      </c>
      <c r="M253" s="16">
        <v>335.13690000000003</v>
      </c>
      <c r="N253" s="16">
        <v>345.98329999999999</v>
      </c>
      <c r="O253" s="16">
        <v>365.2396</v>
      </c>
      <c r="P253" s="16">
        <v>378.97710000000001</v>
      </c>
      <c r="Q253" s="16">
        <v>377.2253</v>
      </c>
      <c r="R253" s="16">
        <v>386.58139999999997</v>
      </c>
      <c r="S253" s="16">
        <v>365.00119999999998</v>
      </c>
      <c r="T253" s="16">
        <v>350.15750000000003</v>
      </c>
      <c r="U253" s="16">
        <v>373.32530000000003</v>
      </c>
      <c r="V253" s="16">
        <v>377.16899999999998</v>
      </c>
      <c r="W253" s="16">
        <v>385.06049999999999</v>
      </c>
      <c r="X253" s="16">
        <v>390.2029</v>
      </c>
      <c r="Y253" s="16">
        <v>351.98509999999999</v>
      </c>
      <c r="Z253" s="16"/>
      <c r="AA253" s="17">
        <f t="shared" si="9"/>
        <v>524.01480000000004</v>
      </c>
      <c r="AB253" s="17">
        <f t="shared" si="10"/>
        <v>333.03429999999997</v>
      </c>
      <c r="AC253" s="17">
        <f t="shared" si="11"/>
        <v>384.532175</v>
      </c>
    </row>
    <row r="254" spans="1:29">
      <c r="A254" s="8">
        <v>45544</v>
      </c>
      <c r="B254" s="16">
        <v>339.90910000000002</v>
      </c>
      <c r="C254" s="16">
        <v>328.75</v>
      </c>
      <c r="D254" s="16">
        <v>316.75</v>
      </c>
      <c r="E254" s="16">
        <v>304.08359999999999</v>
      </c>
      <c r="F254" s="16">
        <v>298.25</v>
      </c>
      <c r="G254" s="16">
        <v>295.25</v>
      </c>
      <c r="H254" s="16">
        <v>313.70330000000001</v>
      </c>
      <c r="I254" s="16">
        <v>312.1327</v>
      </c>
      <c r="J254" s="16">
        <v>346.70780000000002</v>
      </c>
      <c r="K254" s="16">
        <v>390.07330000000002</v>
      </c>
      <c r="L254" s="16">
        <v>365.7226</v>
      </c>
      <c r="M254" s="16">
        <v>356.68119999999999</v>
      </c>
      <c r="N254" s="16">
        <v>330.8689</v>
      </c>
      <c r="O254" s="16">
        <v>368.452</v>
      </c>
      <c r="P254" s="16">
        <v>367.93579999999997</v>
      </c>
      <c r="Q254" s="16">
        <v>366.8442</v>
      </c>
      <c r="R254" s="16">
        <v>376.02929999999998</v>
      </c>
      <c r="S254" s="16">
        <v>361.94830000000002</v>
      </c>
      <c r="T254" s="16">
        <v>372.69510000000002</v>
      </c>
      <c r="U254" s="16">
        <v>378.65570000000002</v>
      </c>
      <c r="V254" s="16">
        <v>365.53519999999997</v>
      </c>
      <c r="W254" s="16">
        <v>358.45229999999998</v>
      </c>
      <c r="X254" s="16">
        <v>358.86770000000001</v>
      </c>
      <c r="Y254" s="16">
        <v>322.53590000000003</v>
      </c>
      <c r="Z254" s="16"/>
      <c r="AA254" s="17">
        <f t="shared" si="9"/>
        <v>390.07330000000002</v>
      </c>
      <c r="AB254" s="17">
        <f t="shared" si="10"/>
        <v>295.25</v>
      </c>
      <c r="AC254" s="17">
        <f t="shared" si="11"/>
        <v>345.701416666667</v>
      </c>
    </row>
    <row r="255" spans="1:29">
      <c r="A255" s="8">
        <v>45545</v>
      </c>
      <c r="B255" s="16">
        <v>360.983</v>
      </c>
      <c r="C255" s="16">
        <v>353.83030000000002</v>
      </c>
      <c r="D255" s="16">
        <v>347.13029999999998</v>
      </c>
      <c r="E255" s="16">
        <v>328.3109</v>
      </c>
      <c r="F255" s="16">
        <v>322.38580000000002</v>
      </c>
      <c r="G255" s="16">
        <v>324.99299999999999</v>
      </c>
      <c r="H255" s="16">
        <v>349.5419</v>
      </c>
      <c r="I255" s="16">
        <v>339.9633</v>
      </c>
      <c r="J255" s="16">
        <v>347.7328</v>
      </c>
      <c r="K255" s="16">
        <v>371.06869999999998</v>
      </c>
      <c r="L255" s="16">
        <v>343.68779999999998</v>
      </c>
      <c r="M255" s="16">
        <v>335.35039999999998</v>
      </c>
      <c r="N255" s="16">
        <v>285.13440000000003</v>
      </c>
      <c r="O255" s="16">
        <v>345.7921</v>
      </c>
      <c r="P255" s="16">
        <v>330.76549999999997</v>
      </c>
      <c r="Q255" s="16">
        <v>324.41800000000001</v>
      </c>
      <c r="R255" s="16">
        <v>348.06150000000002</v>
      </c>
      <c r="S255" s="16">
        <v>380.15129999999999</v>
      </c>
      <c r="T255" s="16">
        <v>411.35169999999999</v>
      </c>
      <c r="U255" s="16">
        <v>451.53390000000002</v>
      </c>
      <c r="V255" s="16">
        <v>417.9402</v>
      </c>
      <c r="W255" s="16">
        <v>443.00240000000002</v>
      </c>
      <c r="X255" s="16">
        <v>437.0917</v>
      </c>
      <c r="Y255" s="16">
        <v>345.36739999999998</v>
      </c>
      <c r="Z255" s="16"/>
      <c r="AA255" s="17">
        <f t="shared" si="9"/>
        <v>451.53390000000002</v>
      </c>
      <c r="AB255" s="17">
        <f t="shared" si="10"/>
        <v>285.13440000000003</v>
      </c>
      <c r="AC255" s="17">
        <f t="shared" si="11"/>
        <v>360.23284583333299</v>
      </c>
    </row>
    <row r="256" spans="1:29">
      <c r="A256" s="8">
        <v>45546</v>
      </c>
      <c r="B256" s="16">
        <v>359.0324</v>
      </c>
      <c r="C256" s="16">
        <v>342.70510000000002</v>
      </c>
      <c r="D256" s="16">
        <v>343.73500000000001</v>
      </c>
      <c r="E256" s="16">
        <v>331.20670000000001</v>
      </c>
      <c r="F256" s="16">
        <v>317.28149999999999</v>
      </c>
      <c r="G256" s="16">
        <v>312.59059999999999</v>
      </c>
      <c r="H256" s="16">
        <v>311.9264</v>
      </c>
      <c r="I256" s="16">
        <v>312.48039999999997</v>
      </c>
      <c r="J256" s="16">
        <v>337.5609</v>
      </c>
      <c r="K256" s="16">
        <v>349.08609999999999</v>
      </c>
      <c r="L256" s="16">
        <v>324.59449999999998</v>
      </c>
      <c r="M256" s="16">
        <v>315.83499999999998</v>
      </c>
      <c r="N256" s="16">
        <v>284.24759999999998</v>
      </c>
      <c r="O256" s="16">
        <v>372.13889999999998</v>
      </c>
      <c r="P256" s="16">
        <v>338.36700000000002</v>
      </c>
      <c r="Q256" s="16">
        <v>346.85579999999999</v>
      </c>
      <c r="R256" s="16">
        <v>409.80200000000002</v>
      </c>
      <c r="S256" s="16">
        <v>403.83920000000001</v>
      </c>
      <c r="T256" s="16">
        <v>443.55149999999998</v>
      </c>
      <c r="U256" s="16">
        <v>376.10480000000001</v>
      </c>
      <c r="V256" s="16">
        <v>366.49180000000001</v>
      </c>
      <c r="W256" s="16">
        <v>363.33670000000001</v>
      </c>
      <c r="X256" s="16">
        <v>372.64190000000002</v>
      </c>
      <c r="Y256" s="16">
        <v>345.95740000000001</v>
      </c>
      <c r="Z256" s="16"/>
      <c r="AA256" s="17">
        <f t="shared" si="9"/>
        <v>443.55149999999998</v>
      </c>
      <c r="AB256" s="17">
        <f t="shared" si="10"/>
        <v>284.24759999999998</v>
      </c>
      <c r="AC256" s="17">
        <f t="shared" si="11"/>
        <v>349.22371666666697</v>
      </c>
    </row>
    <row r="257" spans="1:29">
      <c r="A257" s="8">
        <v>45547</v>
      </c>
      <c r="B257" s="16">
        <v>439.548</v>
      </c>
      <c r="C257" s="16">
        <v>373.34249999999997</v>
      </c>
      <c r="D257" s="16">
        <v>371.52519999999998</v>
      </c>
      <c r="E257" s="16">
        <v>354.24329999999998</v>
      </c>
      <c r="F257" s="16">
        <v>341.42599999999999</v>
      </c>
      <c r="G257" s="16">
        <v>333.29070000000002</v>
      </c>
      <c r="H257" s="16">
        <v>333.86660000000001</v>
      </c>
      <c r="I257" s="16">
        <v>317.97559999999999</v>
      </c>
      <c r="J257" s="16">
        <v>351.88069999999999</v>
      </c>
      <c r="K257" s="16">
        <v>342.70679999999999</v>
      </c>
      <c r="L257" s="16">
        <v>301.1977</v>
      </c>
      <c r="M257" s="16">
        <v>324.0976</v>
      </c>
      <c r="N257" s="16">
        <v>328.19380000000001</v>
      </c>
      <c r="O257" s="16">
        <v>354.11419999999998</v>
      </c>
      <c r="P257" s="16">
        <v>338.99919999999997</v>
      </c>
      <c r="Q257" s="16">
        <v>342.21260000000001</v>
      </c>
      <c r="R257" s="16">
        <v>343.3331</v>
      </c>
      <c r="S257" s="16">
        <v>364.52719999999999</v>
      </c>
      <c r="T257" s="16">
        <v>383.2242</v>
      </c>
      <c r="U257" s="16">
        <v>408.18970000000002</v>
      </c>
      <c r="V257" s="16">
        <v>399.28140000000002</v>
      </c>
      <c r="W257" s="16">
        <v>394.63150000000002</v>
      </c>
      <c r="X257" s="16">
        <v>432.64769999999999</v>
      </c>
      <c r="Y257" s="16">
        <v>360.81490000000002</v>
      </c>
      <c r="Z257" s="16"/>
      <c r="AA257" s="17">
        <f t="shared" si="9"/>
        <v>439.548</v>
      </c>
      <c r="AB257" s="17">
        <f t="shared" si="10"/>
        <v>301.1977</v>
      </c>
      <c r="AC257" s="17">
        <f t="shared" si="11"/>
        <v>359.80292500000002</v>
      </c>
    </row>
    <row r="258" spans="1:29">
      <c r="A258" s="8">
        <v>45548</v>
      </c>
      <c r="B258" s="16">
        <v>490.20859999999999</v>
      </c>
      <c r="C258" s="16">
        <v>487.35509999999999</v>
      </c>
      <c r="D258" s="16">
        <v>394.53579999999999</v>
      </c>
      <c r="E258" s="16">
        <v>356.14229999999998</v>
      </c>
      <c r="F258" s="16">
        <v>347.83229999999998</v>
      </c>
      <c r="G258" s="16">
        <v>337.03539999999998</v>
      </c>
      <c r="H258" s="16">
        <v>330.71719999999999</v>
      </c>
      <c r="I258" s="16">
        <v>308.55520000000001</v>
      </c>
      <c r="J258" s="16">
        <v>340.97239999999999</v>
      </c>
      <c r="K258" s="16">
        <v>344.89819999999997</v>
      </c>
      <c r="L258" s="16">
        <v>312.40050000000002</v>
      </c>
      <c r="M258" s="16">
        <v>323.50200000000001</v>
      </c>
      <c r="N258" s="16">
        <v>313.9658</v>
      </c>
      <c r="O258" s="16">
        <v>332.50069999999999</v>
      </c>
      <c r="P258" s="16">
        <v>321.0009</v>
      </c>
      <c r="Q258" s="16">
        <v>327.56619999999998</v>
      </c>
      <c r="R258" s="16">
        <v>327.0908</v>
      </c>
      <c r="S258" s="16">
        <v>341.85820000000001</v>
      </c>
      <c r="T258" s="16">
        <v>351.60520000000002</v>
      </c>
      <c r="U258" s="16">
        <v>361.7158</v>
      </c>
      <c r="V258" s="16">
        <v>349.66129999999998</v>
      </c>
      <c r="W258" s="16">
        <v>346.22449999999998</v>
      </c>
      <c r="X258" s="16">
        <v>340.07</v>
      </c>
      <c r="Y258" s="16">
        <v>325.86559999999997</v>
      </c>
      <c r="Z258" s="16"/>
      <c r="AA258" s="17">
        <f t="shared" ref="AA258:AA321" si="12">MAX($B258:$Y258)</f>
        <v>490.20859999999999</v>
      </c>
      <c r="AB258" s="17">
        <f t="shared" ref="AB258:AB321" si="13">MIN($B258:$Y258)</f>
        <v>308.55520000000001</v>
      </c>
      <c r="AC258" s="17">
        <f t="shared" ref="AC258:AC321" si="14">AVERAGE($B258:$Y258)</f>
        <v>350.553333333333</v>
      </c>
    </row>
    <row r="259" spans="1:29">
      <c r="A259" s="8">
        <v>45549</v>
      </c>
      <c r="B259" s="16">
        <v>543.57640000000004</v>
      </c>
      <c r="C259" s="16">
        <v>435.84769999999997</v>
      </c>
      <c r="D259" s="16">
        <v>386.75349999999997</v>
      </c>
      <c r="E259" s="16">
        <v>354.1105</v>
      </c>
      <c r="F259" s="16">
        <v>340.21879999999999</v>
      </c>
      <c r="G259" s="16">
        <v>329.98349999999999</v>
      </c>
      <c r="H259" s="16">
        <v>334.01979999999998</v>
      </c>
      <c r="I259" s="16">
        <v>303.16219999999998</v>
      </c>
      <c r="J259" s="16">
        <v>352.35169999999999</v>
      </c>
      <c r="K259" s="16">
        <v>360.10890000000001</v>
      </c>
      <c r="L259" s="16">
        <v>336.3861</v>
      </c>
      <c r="M259" s="16">
        <v>326.2894</v>
      </c>
      <c r="N259" s="16">
        <v>303.89170000000001</v>
      </c>
      <c r="O259" s="16">
        <v>338.03739999999999</v>
      </c>
      <c r="P259" s="16">
        <v>327.85770000000002</v>
      </c>
      <c r="Q259" s="16">
        <v>326.68049999999999</v>
      </c>
      <c r="R259" s="16">
        <v>329.6651</v>
      </c>
      <c r="S259" s="16">
        <v>338.20030000000003</v>
      </c>
      <c r="T259" s="16">
        <v>341.20479999999998</v>
      </c>
      <c r="U259" s="16">
        <v>344.2448</v>
      </c>
      <c r="V259" s="16">
        <v>373.8578</v>
      </c>
      <c r="W259" s="16">
        <v>361.45330000000001</v>
      </c>
      <c r="X259" s="16">
        <v>344.22320000000002</v>
      </c>
      <c r="Y259" s="16">
        <v>328.87810000000002</v>
      </c>
      <c r="Z259" s="16"/>
      <c r="AA259" s="17">
        <f t="shared" si="12"/>
        <v>543.57640000000004</v>
      </c>
      <c r="AB259" s="17">
        <f t="shared" si="13"/>
        <v>303.16219999999998</v>
      </c>
      <c r="AC259" s="17">
        <f t="shared" si="14"/>
        <v>352.54180000000002</v>
      </c>
    </row>
    <row r="260" spans="1:29">
      <c r="A260" s="8">
        <v>45550</v>
      </c>
      <c r="B260" s="16">
        <v>404.80770000000001</v>
      </c>
      <c r="C260" s="16">
        <v>414.17720000000003</v>
      </c>
      <c r="D260" s="16">
        <v>416.01510000000002</v>
      </c>
      <c r="E260" s="16">
        <v>367.46440000000001</v>
      </c>
      <c r="F260" s="16">
        <v>342.20940000000002</v>
      </c>
      <c r="G260" s="16">
        <v>327.00479999999999</v>
      </c>
      <c r="H260" s="16">
        <v>322.13740000000001</v>
      </c>
      <c r="I260" s="16">
        <v>302.20280000000002</v>
      </c>
      <c r="J260" s="16">
        <v>248.8683</v>
      </c>
      <c r="K260" s="16">
        <v>298.33210000000003</v>
      </c>
      <c r="L260" s="16">
        <v>266.05090000000001</v>
      </c>
      <c r="M260" s="16">
        <v>269.0197</v>
      </c>
      <c r="N260" s="16">
        <v>128.46510000000001</v>
      </c>
      <c r="O260" s="16">
        <v>287.79919999999998</v>
      </c>
      <c r="P260" s="16">
        <v>306.43419999999998</v>
      </c>
      <c r="Q260" s="16">
        <v>311.8818</v>
      </c>
      <c r="R260" s="16">
        <v>320.19470000000001</v>
      </c>
      <c r="S260" s="16">
        <v>332.87349999999998</v>
      </c>
      <c r="T260" s="16">
        <v>336.83940000000001</v>
      </c>
      <c r="U260" s="16">
        <v>334.11750000000001</v>
      </c>
      <c r="V260" s="16">
        <v>331.97399999999999</v>
      </c>
      <c r="W260" s="16">
        <v>341.59730000000002</v>
      </c>
      <c r="X260" s="16">
        <v>350.96749999999997</v>
      </c>
      <c r="Y260" s="16">
        <v>333.26420000000002</v>
      </c>
      <c r="Z260" s="16"/>
      <c r="AA260" s="17">
        <f t="shared" si="12"/>
        <v>416.01510000000002</v>
      </c>
      <c r="AB260" s="17">
        <f t="shared" si="13"/>
        <v>128.46510000000001</v>
      </c>
      <c r="AC260" s="17">
        <f t="shared" si="14"/>
        <v>320.61242499999997</v>
      </c>
    </row>
    <row r="261" spans="1:29">
      <c r="A261" s="8">
        <v>45551</v>
      </c>
      <c r="B261" s="16">
        <v>422.4633</v>
      </c>
      <c r="C261" s="16">
        <v>505.84010000000001</v>
      </c>
      <c r="D261" s="16">
        <v>496.19709999999998</v>
      </c>
      <c r="E261" s="16">
        <v>484.47269999999997</v>
      </c>
      <c r="F261" s="16">
        <v>393.66950000000003</v>
      </c>
      <c r="G261" s="16">
        <v>384.09440000000001</v>
      </c>
      <c r="H261" s="16">
        <v>377.67860000000002</v>
      </c>
      <c r="I261" s="16">
        <v>339.94499999999999</v>
      </c>
      <c r="J261" s="16">
        <v>289.77280000000002</v>
      </c>
      <c r="K261" s="16">
        <v>288.9357</v>
      </c>
      <c r="L261" s="16">
        <v>270.85550000000001</v>
      </c>
      <c r="M261" s="16">
        <v>279.98039999999997</v>
      </c>
      <c r="N261" s="16">
        <v>278.37099999999998</v>
      </c>
      <c r="O261" s="16">
        <v>344.50490000000002</v>
      </c>
      <c r="P261" s="16">
        <v>318.67360000000002</v>
      </c>
      <c r="Q261" s="16">
        <v>310.45490000000001</v>
      </c>
      <c r="R261" s="16">
        <v>307.20150000000001</v>
      </c>
      <c r="S261" s="16">
        <v>300.54020000000003</v>
      </c>
      <c r="T261" s="16">
        <v>322.00450000000001</v>
      </c>
      <c r="U261" s="16">
        <v>325.05</v>
      </c>
      <c r="V261" s="16">
        <v>313.28859999999997</v>
      </c>
      <c r="W261" s="16">
        <v>325.03800000000001</v>
      </c>
      <c r="X261" s="16">
        <v>335.14760000000001</v>
      </c>
      <c r="Y261" s="16">
        <v>319.44909999999999</v>
      </c>
      <c r="Z261" s="16"/>
      <c r="AA261" s="17">
        <f t="shared" si="12"/>
        <v>505.84010000000001</v>
      </c>
      <c r="AB261" s="17">
        <f t="shared" si="13"/>
        <v>270.85550000000001</v>
      </c>
      <c r="AC261" s="17">
        <f t="shared" si="14"/>
        <v>347.23454166666698</v>
      </c>
    </row>
    <row r="262" spans="1:29">
      <c r="A262" s="8">
        <v>45552</v>
      </c>
      <c r="B262" s="16">
        <v>497.21699999999998</v>
      </c>
      <c r="C262" s="16">
        <v>402.0641</v>
      </c>
      <c r="D262" s="16">
        <v>365.04469999999998</v>
      </c>
      <c r="E262" s="16">
        <v>351.94889999999998</v>
      </c>
      <c r="F262" s="16">
        <v>324.36599999999999</v>
      </c>
      <c r="G262" s="16">
        <v>303.07600000000002</v>
      </c>
      <c r="H262" s="16">
        <v>290.23239999999998</v>
      </c>
      <c r="I262" s="16">
        <v>192.01519999999999</v>
      </c>
      <c r="J262" s="16">
        <v>0</v>
      </c>
      <c r="K262" s="16">
        <v>10.4521</v>
      </c>
      <c r="L262" s="16">
        <v>16.0566</v>
      </c>
      <c r="M262" s="16">
        <v>12.6393</v>
      </c>
      <c r="N262" s="16">
        <v>124.87260000000001</v>
      </c>
      <c r="O262" s="16">
        <v>267.53449999999998</v>
      </c>
      <c r="P262" s="16">
        <v>115.2831</v>
      </c>
      <c r="Q262" s="16">
        <v>25.549399999999999</v>
      </c>
      <c r="R262" s="16">
        <v>22.921299999999999</v>
      </c>
      <c r="S262" s="16">
        <v>67.874899999999997</v>
      </c>
      <c r="T262" s="16">
        <v>54.2258</v>
      </c>
      <c r="U262" s="16">
        <v>18.3124</v>
      </c>
      <c r="V262" s="16">
        <v>11.404299999999999</v>
      </c>
      <c r="W262" s="16">
        <v>159.89019999999999</v>
      </c>
      <c r="X262" s="16">
        <v>263.46460000000002</v>
      </c>
      <c r="Y262" s="16">
        <v>270.10840000000002</v>
      </c>
      <c r="Z262" s="16"/>
      <c r="AA262" s="17">
        <f t="shared" si="12"/>
        <v>497.21699999999998</v>
      </c>
      <c r="AB262" s="17">
        <f t="shared" si="13"/>
        <v>0</v>
      </c>
      <c r="AC262" s="17">
        <f t="shared" si="14"/>
        <v>173.60640833333301</v>
      </c>
    </row>
    <row r="263" spans="1:29">
      <c r="A263" s="8">
        <v>45553</v>
      </c>
      <c r="B263" s="16">
        <v>490.05700000000002</v>
      </c>
      <c r="C263" s="16">
        <v>487.09019999999998</v>
      </c>
      <c r="D263" s="16">
        <v>335.80169999999998</v>
      </c>
      <c r="E263" s="16">
        <v>319.53789999999998</v>
      </c>
      <c r="F263" s="16">
        <v>307.1533</v>
      </c>
      <c r="G263" s="16">
        <v>302.12540000000001</v>
      </c>
      <c r="H263" s="16">
        <v>307.1456</v>
      </c>
      <c r="I263" s="16">
        <v>301.14800000000002</v>
      </c>
      <c r="J263" s="16">
        <v>309.5283</v>
      </c>
      <c r="K263" s="16">
        <v>286.19630000000001</v>
      </c>
      <c r="L263" s="16">
        <v>216.40260000000001</v>
      </c>
      <c r="M263" s="16">
        <v>232.93549999999999</v>
      </c>
      <c r="N263" s="16">
        <v>215.5829</v>
      </c>
      <c r="O263" s="16">
        <v>323.51690000000002</v>
      </c>
      <c r="P263" s="16">
        <v>308.90609999999998</v>
      </c>
      <c r="Q263" s="16">
        <v>329.43110000000001</v>
      </c>
      <c r="R263" s="16">
        <v>359.7217</v>
      </c>
      <c r="S263" s="16">
        <v>342.04610000000002</v>
      </c>
      <c r="T263" s="16">
        <v>329.04219999999998</v>
      </c>
      <c r="U263" s="16">
        <v>350.21289999999999</v>
      </c>
      <c r="V263" s="16">
        <v>348.85050000000001</v>
      </c>
      <c r="W263" s="16">
        <v>343.90789999999998</v>
      </c>
      <c r="X263" s="16">
        <v>349.64269999999999</v>
      </c>
      <c r="Y263" s="16">
        <v>329.80959999999999</v>
      </c>
      <c r="Z263" s="16"/>
      <c r="AA263" s="17">
        <f t="shared" si="12"/>
        <v>490.05700000000002</v>
      </c>
      <c r="AB263" s="17">
        <f t="shared" si="13"/>
        <v>215.5829</v>
      </c>
      <c r="AC263" s="17">
        <f t="shared" si="14"/>
        <v>326.07468333333298</v>
      </c>
    </row>
    <row r="264" spans="1:29">
      <c r="A264" s="8">
        <v>45554</v>
      </c>
      <c r="B264" s="16">
        <v>739.51049999999998</v>
      </c>
      <c r="C264" s="16">
        <v>817.95240000000001</v>
      </c>
      <c r="D264" s="16">
        <v>660.18169999999998</v>
      </c>
      <c r="E264" s="16">
        <v>366.28120000000001</v>
      </c>
      <c r="F264" s="16">
        <v>332.05160000000001</v>
      </c>
      <c r="G264" s="16">
        <v>326.48779999999999</v>
      </c>
      <c r="H264" s="16">
        <v>332.1026</v>
      </c>
      <c r="I264" s="16">
        <v>314.28489999999999</v>
      </c>
      <c r="J264" s="16">
        <v>316.86059999999998</v>
      </c>
      <c r="K264" s="16">
        <v>343.82459999999998</v>
      </c>
      <c r="L264" s="16">
        <v>352.572</v>
      </c>
      <c r="M264" s="16">
        <v>342.69929999999999</v>
      </c>
      <c r="N264" s="16">
        <v>320.76350000000002</v>
      </c>
      <c r="O264" s="16">
        <v>356.92680000000001</v>
      </c>
      <c r="P264" s="16">
        <v>343.39030000000002</v>
      </c>
      <c r="Q264" s="16">
        <v>355.72739999999999</v>
      </c>
      <c r="R264" s="16">
        <v>423.44479999999999</v>
      </c>
      <c r="S264" s="16">
        <v>386.19889999999998</v>
      </c>
      <c r="T264" s="16">
        <v>362.20159999999998</v>
      </c>
      <c r="U264" s="16">
        <v>392.2688</v>
      </c>
      <c r="V264" s="16">
        <v>362.37</v>
      </c>
      <c r="W264" s="16">
        <v>362.69290000000001</v>
      </c>
      <c r="X264" s="16">
        <v>374.49059999999997</v>
      </c>
      <c r="Y264" s="16">
        <v>356.46350000000001</v>
      </c>
      <c r="Z264" s="16"/>
      <c r="AA264" s="17">
        <f t="shared" si="12"/>
        <v>817.95240000000001</v>
      </c>
      <c r="AB264" s="17">
        <f t="shared" si="13"/>
        <v>314.28489999999999</v>
      </c>
      <c r="AC264" s="17">
        <f t="shared" si="14"/>
        <v>401.73951249999999</v>
      </c>
    </row>
    <row r="265" spans="1:29">
      <c r="A265" s="8">
        <v>45555</v>
      </c>
      <c r="B265" s="16">
        <v>400.19630000000001</v>
      </c>
      <c r="C265" s="16">
        <v>383.61149999999998</v>
      </c>
      <c r="D265" s="16">
        <v>409.26659999999998</v>
      </c>
      <c r="E265" s="16">
        <v>357.77260000000001</v>
      </c>
      <c r="F265" s="16">
        <v>340.52379999999999</v>
      </c>
      <c r="G265" s="16">
        <v>335.56560000000002</v>
      </c>
      <c r="H265" s="16">
        <v>343.21690000000001</v>
      </c>
      <c r="I265" s="16">
        <v>337.90300000000002</v>
      </c>
      <c r="J265" s="16">
        <v>357.33139999999997</v>
      </c>
      <c r="K265" s="16">
        <v>386.17809999999997</v>
      </c>
      <c r="L265" s="16">
        <v>349.36700000000002</v>
      </c>
      <c r="M265" s="16">
        <v>341.89499999999998</v>
      </c>
      <c r="N265" s="16">
        <v>328.14850000000001</v>
      </c>
      <c r="O265" s="16">
        <v>376.9547</v>
      </c>
      <c r="P265" s="16">
        <v>370.73860000000002</v>
      </c>
      <c r="Q265" s="16">
        <v>387.25830000000002</v>
      </c>
      <c r="R265" s="16">
        <v>610.13080000000002</v>
      </c>
      <c r="S265" s="16">
        <v>601.42489999999998</v>
      </c>
      <c r="T265" s="16">
        <v>431.0856</v>
      </c>
      <c r="U265" s="16">
        <v>471.8809</v>
      </c>
      <c r="V265" s="16">
        <v>398.08240000000001</v>
      </c>
      <c r="W265" s="16">
        <v>375.67829999999998</v>
      </c>
      <c r="X265" s="16">
        <v>364.51369999999997</v>
      </c>
      <c r="Y265" s="16">
        <v>345.8614</v>
      </c>
      <c r="Z265" s="16"/>
      <c r="AA265" s="17">
        <f t="shared" si="12"/>
        <v>610.13080000000002</v>
      </c>
      <c r="AB265" s="17">
        <f t="shared" si="13"/>
        <v>328.14850000000001</v>
      </c>
      <c r="AC265" s="17">
        <f t="shared" si="14"/>
        <v>391.85774583333301</v>
      </c>
    </row>
    <row r="266" spans="1:29">
      <c r="A266" s="8">
        <v>45556</v>
      </c>
      <c r="B266" s="16">
        <v>405.41050000000001</v>
      </c>
      <c r="C266" s="16">
        <v>359.09129999999999</v>
      </c>
      <c r="D266" s="16">
        <v>342.39609999999999</v>
      </c>
      <c r="E266" s="16">
        <v>340.47199999999998</v>
      </c>
      <c r="F266" s="16">
        <v>328.39429999999999</v>
      </c>
      <c r="G266" s="16">
        <v>324.58679999999998</v>
      </c>
      <c r="H266" s="16">
        <v>325.23070000000001</v>
      </c>
      <c r="I266" s="16">
        <v>323.74799999999999</v>
      </c>
      <c r="J266" s="16">
        <v>358.6386</v>
      </c>
      <c r="K266" s="16">
        <v>511.19310000000002</v>
      </c>
      <c r="L266" s="16">
        <v>337.82990000000001</v>
      </c>
      <c r="M266" s="16">
        <v>333.50670000000002</v>
      </c>
      <c r="N266" s="16">
        <v>327.44560000000001</v>
      </c>
      <c r="O266" s="16">
        <v>373.19540000000001</v>
      </c>
      <c r="P266" s="16">
        <v>410.2756</v>
      </c>
      <c r="Q266" s="16">
        <v>376.09269999999998</v>
      </c>
      <c r="R266" s="16">
        <v>355.76639999999998</v>
      </c>
      <c r="S266" s="16">
        <v>347.2611</v>
      </c>
      <c r="T266" s="16">
        <v>337.11610000000002</v>
      </c>
      <c r="U266" s="16">
        <v>349.36989999999997</v>
      </c>
      <c r="V266" s="16">
        <v>341.04169999999999</v>
      </c>
      <c r="W266" s="16">
        <v>338.51069999999999</v>
      </c>
      <c r="X266" s="16">
        <v>330.71190000000001</v>
      </c>
      <c r="Y266" s="16">
        <v>320.55340000000001</v>
      </c>
      <c r="Z266" s="16"/>
      <c r="AA266" s="17">
        <f t="shared" si="12"/>
        <v>511.19310000000002</v>
      </c>
      <c r="AB266" s="17">
        <f t="shared" si="13"/>
        <v>320.55340000000001</v>
      </c>
      <c r="AC266" s="17">
        <f t="shared" si="14"/>
        <v>354.07660416666698</v>
      </c>
    </row>
    <row r="267" spans="1:29">
      <c r="A267" s="8">
        <v>45557</v>
      </c>
      <c r="B267" s="16">
        <v>361.64580000000001</v>
      </c>
      <c r="C267" s="16">
        <v>344.31560000000002</v>
      </c>
      <c r="D267" s="16">
        <v>331.29840000000002</v>
      </c>
      <c r="E267" s="16">
        <v>321.05020000000002</v>
      </c>
      <c r="F267" s="16">
        <v>316.19479999999999</v>
      </c>
      <c r="G267" s="16">
        <v>308.63049999999998</v>
      </c>
      <c r="H267" s="16">
        <v>307.56079999999997</v>
      </c>
      <c r="I267" s="16">
        <v>302.56740000000002</v>
      </c>
      <c r="J267" s="16">
        <v>302.44229999999999</v>
      </c>
      <c r="K267" s="16">
        <v>335.9624</v>
      </c>
      <c r="L267" s="16">
        <v>283.7192</v>
      </c>
      <c r="M267" s="16">
        <v>263.62799999999999</v>
      </c>
      <c r="N267" s="16">
        <v>226.44239999999999</v>
      </c>
      <c r="O267" s="16">
        <v>317.19319999999999</v>
      </c>
      <c r="P267" s="16">
        <v>321.59780000000001</v>
      </c>
      <c r="Q267" s="16">
        <v>283.45249999999999</v>
      </c>
      <c r="R267" s="16">
        <v>279.44580000000002</v>
      </c>
      <c r="S267" s="16">
        <v>187.4023</v>
      </c>
      <c r="T267" s="16">
        <v>41.2879</v>
      </c>
      <c r="U267" s="16">
        <v>76.979799999999997</v>
      </c>
      <c r="V267" s="16">
        <v>6.2962999999999996</v>
      </c>
      <c r="W267" s="16">
        <v>7.4661</v>
      </c>
      <c r="X267" s="16">
        <v>0</v>
      </c>
      <c r="Y267" s="16">
        <v>0</v>
      </c>
      <c r="Z267" s="16"/>
      <c r="AA267" s="17">
        <f t="shared" si="12"/>
        <v>361.64580000000001</v>
      </c>
      <c r="AB267" s="17">
        <f t="shared" si="13"/>
        <v>0</v>
      </c>
      <c r="AC267" s="17">
        <f t="shared" si="14"/>
        <v>230.27414583333299</v>
      </c>
    </row>
    <row r="268" spans="1:29">
      <c r="A268" s="8">
        <v>45558</v>
      </c>
      <c r="B268" s="16">
        <v>201.40459999999999</v>
      </c>
      <c r="C268" s="16">
        <v>75.082599999999999</v>
      </c>
      <c r="D268" s="16">
        <v>275.12720000000002</v>
      </c>
      <c r="E268" s="16">
        <v>349.46449999999999</v>
      </c>
      <c r="F268" s="16">
        <v>254.53059999999999</v>
      </c>
      <c r="G268" s="16">
        <v>223.93270000000001</v>
      </c>
      <c r="H268" s="16">
        <v>316.91300000000001</v>
      </c>
      <c r="I268" s="16">
        <v>1.1831</v>
      </c>
      <c r="J268" s="16">
        <v>91.6417</v>
      </c>
      <c r="K268" s="16">
        <v>89.228099999999998</v>
      </c>
      <c r="L268" s="16">
        <v>74.024900000000002</v>
      </c>
      <c r="M268" s="16">
        <v>29.436499999999999</v>
      </c>
      <c r="N268" s="16">
        <v>7.1017000000000001</v>
      </c>
      <c r="O268" s="16">
        <v>116.4901</v>
      </c>
      <c r="P268" s="16">
        <v>179.94489999999999</v>
      </c>
      <c r="Q268" s="16">
        <v>73.565100000000001</v>
      </c>
      <c r="R268" s="16">
        <v>76.465800000000002</v>
      </c>
      <c r="S268" s="16">
        <v>76.153700000000001</v>
      </c>
      <c r="T268" s="16">
        <v>18.930299999999999</v>
      </c>
      <c r="U268" s="16">
        <v>180.7099</v>
      </c>
      <c r="V268" s="16">
        <v>3.4786000000000001</v>
      </c>
      <c r="W268" s="16">
        <v>2.1650999999999998</v>
      </c>
      <c r="X268" s="16">
        <v>0</v>
      </c>
      <c r="Y268" s="16">
        <v>0</v>
      </c>
      <c r="Z268" s="16"/>
      <c r="AA268" s="17">
        <f t="shared" si="12"/>
        <v>349.46449999999999</v>
      </c>
      <c r="AB268" s="17">
        <f t="shared" si="13"/>
        <v>0</v>
      </c>
      <c r="AC268" s="17">
        <f t="shared" si="14"/>
        <v>113.20727916666701</v>
      </c>
    </row>
    <row r="269" spans="1:29">
      <c r="A269" s="8">
        <v>45559</v>
      </c>
      <c r="B269" s="16">
        <v>85.167599999999993</v>
      </c>
      <c r="C269" s="16">
        <v>11.441000000000001</v>
      </c>
      <c r="D269" s="16">
        <v>6.8571</v>
      </c>
      <c r="E269" s="16">
        <v>256.55489999999998</v>
      </c>
      <c r="F269" s="16">
        <v>262.1832</v>
      </c>
      <c r="G269" s="16">
        <v>269.12090000000001</v>
      </c>
      <c r="H269" s="16">
        <v>276.30450000000002</v>
      </c>
      <c r="I269" s="16">
        <v>219.88040000000001</v>
      </c>
      <c r="J269" s="16">
        <v>294.33049999999997</v>
      </c>
      <c r="K269" s="16">
        <v>302.26139999999998</v>
      </c>
      <c r="L269" s="16">
        <v>296.98270000000002</v>
      </c>
      <c r="M269" s="16">
        <v>224.45359999999999</v>
      </c>
      <c r="N269" s="16">
        <v>156.89769999999999</v>
      </c>
      <c r="O269" s="16">
        <v>298.19720000000001</v>
      </c>
      <c r="P269" s="16">
        <v>293.89170000000001</v>
      </c>
      <c r="Q269" s="16">
        <v>288.10590000000002</v>
      </c>
      <c r="R269" s="16">
        <v>295.97770000000003</v>
      </c>
      <c r="S269" s="16">
        <v>293.42149999999998</v>
      </c>
      <c r="T269" s="16">
        <v>305.37490000000003</v>
      </c>
      <c r="U269" s="16">
        <v>317.19619999999998</v>
      </c>
      <c r="V269" s="16">
        <v>347.93689999999998</v>
      </c>
      <c r="W269" s="16">
        <v>314.13670000000002</v>
      </c>
      <c r="X269" s="16">
        <v>274.7724</v>
      </c>
      <c r="Y269" s="16">
        <v>1.0558000000000001</v>
      </c>
      <c r="Z269" s="16"/>
      <c r="AA269" s="17">
        <f t="shared" si="12"/>
        <v>347.93689999999998</v>
      </c>
      <c r="AB269" s="17">
        <f t="shared" si="13"/>
        <v>1.0558000000000001</v>
      </c>
      <c r="AC269" s="17">
        <f t="shared" si="14"/>
        <v>237.1876</v>
      </c>
    </row>
    <row r="270" spans="1:29">
      <c r="A270" s="8">
        <v>45560</v>
      </c>
      <c r="B270" s="16">
        <v>316.94290000000001</v>
      </c>
      <c r="C270" s="16">
        <v>313.3322</v>
      </c>
      <c r="D270" s="16">
        <v>307.75049999999999</v>
      </c>
      <c r="E270" s="16">
        <v>305.31229999999999</v>
      </c>
      <c r="F270" s="16">
        <v>299.79419999999999</v>
      </c>
      <c r="G270" s="16">
        <v>298.11989999999997</v>
      </c>
      <c r="H270" s="16">
        <v>317.32830000000001</v>
      </c>
      <c r="I270" s="16">
        <v>309.36090000000002</v>
      </c>
      <c r="J270" s="16">
        <v>322.892</v>
      </c>
      <c r="K270" s="16">
        <v>351.1454</v>
      </c>
      <c r="L270" s="16">
        <v>380.55990000000003</v>
      </c>
      <c r="M270" s="16">
        <v>354.47410000000002</v>
      </c>
      <c r="N270" s="16">
        <v>311.8297</v>
      </c>
      <c r="O270" s="16">
        <v>329.572</v>
      </c>
      <c r="P270" s="16">
        <v>336.76060000000001</v>
      </c>
      <c r="Q270" s="16">
        <v>340.74310000000003</v>
      </c>
      <c r="R270" s="16">
        <v>343.67880000000002</v>
      </c>
      <c r="S270" s="16">
        <v>339.72039999999998</v>
      </c>
      <c r="T270" s="16">
        <v>353.3725</v>
      </c>
      <c r="U270" s="16">
        <v>412.65249999999997</v>
      </c>
      <c r="V270" s="16">
        <v>384.28250000000003</v>
      </c>
      <c r="W270" s="16">
        <v>382.80430000000001</v>
      </c>
      <c r="X270" s="16">
        <v>360.28609999999998</v>
      </c>
      <c r="Y270" s="16">
        <v>317.1053</v>
      </c>
      <c r="Z270" s="16"/>
      <c r="AA270" s="17">
        <f t="shared" si="12"/>
        <v>412.65249999999997</v>
      </c>
      <c r="AB270" s="17">
        <f t="shared" si="13"/>
        <v>298.11989999999997</v>
      </c>
      <c r="AC270" s="17">
        <f t="shared" si="14"/>
        <v>337.07585</v>
      </c>
    </row>
    <row r="271" spans="1:29">
      <c r="A271" s="8">
        <v>45561</v>
      </c>
      <c r="B271" s="16">
        <v>512.40020000000004</v>
      </c>
      <c r="C271" s="16">
        <v>377.64330000000001</v>
      </c>
      <c r="D271" s="16">
        <v>346.75830000000002</v>
      </c>
      <c r="E271" s="16">
        <v>333.7072</v>
      </c>
      <c r="F271" s="16">
        <v>316.44720000000001</v>
      </c>
      <c r="G271" s="16">
        <v>316.65359999999998</v>
      </c>
      <c r="H271" s="16">
        <v>335.6003</v>
      </c>
      <c r="I271" s="16">
        <v>332.46910000000003</v>
      </c>
      <c r="J271" s="16">
        <v>384.8227</v>
      </c>
      <c r="K271" s="16">
        <v>440.6395</v>
      </c>
      <c r="L271" s="16">
        <v>367.99279999999999</v>
      </c>
      <c r="M271" s="16">
        <v>344.79750000000001</v>
      </c>
      <c r="N271" s="16">
        <v>277.74340000000001</v>
      </c>
      <c r="O271" s="16">
        <v>338.77100000000002</v>
      </c>
      <c r="P271" s="16">
        <v>339.58499999999998</v>
      </c>
      <c r="Q271" s="16">
        <v>334.34</v>
      </c>
      <c r="R271" s="16">
        <v>342.83760000000001</v>
      </c>
      <c r="S271" s="16">
        <v>347.48399999999998</v>
      </c>
      <c r="T271" s="16">
        <v>357.65379999999999</v>
      </c>
      <c r="U271" s="16">
        <v>416.97469999999998</v>
      </c>
      <c r="V271" s="16">
        <v>391.0222</v>
      </c>
      <c r="W271" s="16">
        <v>378.63350000000003</v>
      </c>
      <c r="X271" s="16">
        <v>384.62430000000001</v>
      </c>
      <c r="Y271" s="16">
        <v>352.45429999999999</v>
      </c>
      <c r="Z271" s="16"/>
      <c r="AA271" s="17">
        <f t="shared" si="12"/>
        <v>512.40020000000004</v>
      </c>
      <c r="AB271" s="17">
        <f t="shared" si="13"/>
        <v>277.74340000000001</v>
      </c>
      <c r="AC271" s="17">
        <f t="shared" si="14"/>
        <v>361.33564583333299</v>
      </c>
    </row>
    <row r="272" spans="1:29">
      <c r="A272" s="8">
        <v>45562</v>
      </c>
      <c r="B272" s="16">
        <v>529.59199999999998</v>
      </c>
      <c r="C272" s="16">
        <v>375.79070000000002</v>
      </c>
      <c r="D272" s="16">
        <v>346.36880000000002</v>
      </c>
      <c r="E272" s="16">
        <v>337.27370000000002</v>
      </c>
      <c r="F272" s="16">
        <v>325.11369999999999</v>
      </c>
      <c r="G272" s="16">
        <v>321.06920000000002</v>
      </c>
      <c r="H272" s="16">
        <v>335.55009999999999</v>
      </c>
      <c r="I272" s="16">
        <v>329.9676</v>
      </c>
      <c r="J272" s="16">
        <v>358.69150000000002</v>
      </c>
      <c r="K272" s="16">
        <v>350.06760000000003</v>
      </c>
      <c r="L272" s="16">
        <v>338.57659999999998</v>
      </c>
      <c r="M272" s="16">
        <v>335.68439999999998</v>
      </c>
      <c r="N272" s="16">
        <v>330.12790000000001</v>
      </c>
      <c r="O272" s="16">
        <v>410.28989999999999</v>
      </c>
      <c r="P272" s="16">
        <v>452.58690000000001</v>
      </c>
      <c r="Q272" s="16">
        <v>399.10610000000003</v>
      </c>
      <c r="R272" s="16">
        <v>361.3614</v>
      </c>
      <c r="S272" s="16">
        <v>390.17849999999999</v>
      </c>
      <c r="T272" s="16">
        <v>397.52850000000001</v>
      </c>
      <c r="U272" s="16">
        <v>482.17439999999999</v>
      </c>
      <c r="V272" s="16">
        <v>579.04420000000005</v>
      </c>
      <c r="W272" s="16">
        <v>489.5453</v>
      </c>
      <c r="X272" s="16">
        <v>563.80510000000004</v>
      </c>
      <c r="Y272" s="16">
        <v>371.92919999999998</v>
      </c>
      <c r="Z272" s="16"/>
      <c r="AA272" s="17">
        <f t="shared" si="12"/>
        <v>579.04420000000005</v>
      </c>
      <c r="AB272" s="17">
        <f t="shared" si="13"/>
        <v>321.06920000000002</v>
      </c>
      <c r="AC272" s="17">
        <f t="shared" si="14"/>
        <v>396.309304166667</v>
      </c>
    </row>
    <row r="273" spans="1:29">
      <c r="A273" s="8">
        <v>45563</v>
      </c>
      <c r="B273" s="16">
        <v>566.95299999999997</v>
      </c>
      <c r="C273" s="16">
        <v>732.83690000000001</v>
      </c>
      <c r="D273" s="16">
        <v>568.36800000000005</v>
      </c>
      <c r="E273" s="16">
        <v>374.94110000000001</v>
      </c>
      <c r="F273" s="16">
        <v>345.92020000000002</v>
      </c>
      <c r="G273" s="16">
        <v>332.67989999999998</v>
      </c>
      <c r="H273" s="16">
        <v>367.50330000000002</v>
      </c>
      <c r="I273" s="16">
        <v>342.08190000000002</v>
      </c>
      <c r="J273" s="16">
        <v>368.41719999999998</v>
      </c>
      <c r="K273" s="16">
        <v>375.14339999999999</v>
      </c>
      <c r="L273" s="16">
        <v>362.36779999999999</v>
      </c>
      <c r="M273" s="16">
        <v>353.36009999999999</v>
      </c>
      <c r="N273" s="16">
        <v>325.82049999999998</v>
      </c>
      <c r="O273" s="16">
        <v>501.16860000000003</v>
      </c>
      <c r="P273" s="16">
        <v>613.20339999999999</v>
      </c>
      <c r="Q273" s="16">
        <v>405.83339999999998</v>
      </c>
      <c r="R273" s="16">
        <v>427.66469999999998</v>
      </c>
      <c r="S273" s="16">
        <v>396.42880000000002</v>
      </c>
      <c r="T273" s="16">
        <v>372.22120000000001</v>
      </c>
      <c r="U273" s="16">
        <v>395.14010000000002</v>
      </c>
      <c r="V273" s="16">
        <v>391.00979999999998</v>
      </c>
      <c r="W273" s="16">
        <v>403.44959999999998</v>
      </c>
      <c r="X273" s="16">
        <v>413.23099999999999</v>
      </c>
      <c r="Y273" s="16">
        <v>327.96409999999997</v>
      </c>
      <c r="Z273" s="16"/>
      <c r="AA273" s="17">
        <f t="shared" si="12"/>
        <v>732.83690000000001</v>
      </c>
      <c r="AB273" s="17">
        <f t="shared" si="13"/>
        <v>325.82049999999998</v>
      </c>
      <c r="AC273" s="17">
        <f t="shared" si="14"/>
        <v>419.32116666666701</v>
      </c>
    </row>
    <row r="274" spans="1:29">
      <c r="A274" s="8">
        <v>45564</v>
      </c>
      <c r="B274" s="16">
        <v>376.40660000000003</v>
      </c>
      <c r="C274" s="16">
        <v>503.58080000000001</v>
      </c>
      <c r="D274" s="16">
        <v>799.77570000000003</v>
      </c>
      <c r="E274" s="16">
        <v>517.30759999999998</v>
      </c>
      <c r="F274" s="16">
        <v>360.8981</v>
      </c>
      <c r="G274" s="16">
        <v>360.2432</v>
      </c>
      <c r="H274" s="16">
        <v>532.98879999999997</v>
      </c>
      <c r="I274" s="16">
        <v>379.21589999999998</v>
      </c>
      <c r="J274" s="16">
        <v>369.30349999999999</v>
      </c>
      <c r="K274" s="16">
        <v>375.66180000000003</v>
      </c>
      <c r="L274" s="16">
        <v>359.3535</v>
      </c>
      <c r="M274" s="16">
        <v>335.8571</v>
      </c>
      <c r="N274" s="16">
        <v>321.59829999999999</v>
      </c>
      <c r="O274" s="16">
        <v>360.64339999999999</v>
      </c>
      <c r="P274" s="16">
        <v>369.94959999999998</v>
      </c>
      <c r="Q274" s="16">
        <v>377.49059999999997</v>
      </c>
      <c r="R274" s="16">
        <v>480.52949999999998</v>
      </c>
      <c r="S274" s="16">
        <v>543.78099999999995</v>
      </c>
      <c r="T274" s="16">
        <v>458.32830000000001</v>
      </c>
      <c r="U274" s="16">
        <v>461.55</v>
      </c>
      <c r="V274" s="16">
        <v>524.48239999999998</v>
      </c>
      <c r="W274" s="16">
        <v>758.34799999999996</v>
      </c>
      <c r="X274" s="16">
        <v>819.97699999999998</v>
      </c>
      <c r="Y274" s="16">
        <v>489.68470000000002</v>
      </c>
      <c r="Z274" s="16"/>
      <c r="AA274" s="17">
        <f t="shared" si="12"/>
        <v>819.97699999999998</v>
      </c>
      <c r="AB274" s="17">
        <f t="shared" si="13"/>
        <v>321.59829999999999</v>
      </c>
      <c r="AC274" s="17">
        <f t="shared" si="14"/>
        <v>468.20647500000001</v>
      </c>
    </row>
    <row r="275" spans="1:29">
      <c r="A275" s="8">
        <v>45565</v>
      </c>
      <c r="B275" s="16">
        <v>556.34389999999996</v>
      </c>
      <c r="C275" s="16">
        <v>665.99850000000004</v>
      </c>
      <c r="D275" s="16">
        <v>715.64350000000002</v>
      </c>
      <c r="E275" s="16">
        <v>566.72739999999999</v>
      </c>
      <c r="F275" s="16">
        <v>388.01409999999998</v>
      </c>
      <c r="G275" s="16">
        <v>369.51220000000001</v>
      </c>
      <c r="H275" s="16">
        <v>370.49689999999998</v>
      </c>
      <c r="I275" s="16">
        <v>348.63729999999998</v>
      </c>
      <c r="J275" s="16">
        <v>343.70670000000001</v>
      </c>
      <c r="K275" s="16">
        <v>371.31939999999997</v>
      </c>
      <c r="L275" s="16">
        <v>346.8347</v>
      </c>
      <c r="M275" s="16">
        <v>332.20929999999998</v>
      </c>
      <c r="N275" s="16">
        <v>259.94630000000001</v>
      </c>
      <c r="O275" s="16">
        <v>350.19920000000002</v>
      </c>
      <c r="P275" s="16">
        <v>356.26490000000001</v>
      </c>
      <c r="Q275" s="16">
        <v>362.59840000000003</v>
      </c>
      <c r="R275" s="16">
        <v>382.40039999999999</v>
      </c>
      <c r="S275" s="16">
        <v>423.09690000000001</v>
      </c>
      <c r="T275" s="16">
        <v>400.82859999999999</v>
      </c>
      <c r="U275" s="16">
        <v>497.04509999999999</v>
      </c>
      <c r="V275" s="16">
        <v>491.58330000000001</v>
      </c>
      <c r="W275" s="16">
        <v>523.88520000000005</v>
      </c>
      <c r="X275" s="16">
        <v>560.63520000000005</v>
      </c>
      <c r="Y275" s="16">
        <v>400.24590000000001</v>
      </c>
      <c r="Z275" s="16"/>
      <c r="AA275" s="17">
        <f t="shared" si="12"/>
        <v>715.64350000000002</v>
      </c>
      <c r="AB275" s="17">
        <f t="shared" si="13"/>
        <v>259.94630000000001</v>
      </c>
      <c r="AC275" s="17">
        <f t="shared" si="14"/>
        <v>432.67388749999998</v>
      </c>
    </row>
    <row r="276" spans="1:29">
      <c r="A276" s="8">
        <v>45566</v>
      </c>
      <c r="B276" s="16">
        <v>473.02800000000002</v>
      </c>
      <c r="C276" s="16">
        <v>347.83940000000001</v>
      </c>
      <c r="D276" s="16">
        <v>348.98009999999999</v>
      </c>
      <c r="E276" s="16">
        <v>347.67230000000001</v>
      </c>
      <c r="F276" s="16">
        <v>330.07249999999999</v>
      </c>
      <c r="G276" s="16">
        <v>330.99439999999998</v>
      </c>
      <c r="H276" s="16">
        <v>340.41500000000002</v>
      </c>
      <c r="I276" s="16">
        <v>313.24029999999999</v>
      </c>
      <c r="J276" s="16">
        <v>51.25</v>
      </c>
      <c r="K276" s="16">
        <v>0</v>
      </c>
      <c r="L276" s="16">
        <v>0</v>
      </c>
      <c r="M276" s="16">
        <v>0.87549999999999994</v>
      </c>
      <c r="N276" s="16">
        <v>154.01410000000001</v>
      </c>
      <c r="O276" s="16">
        <v>328.54079999999999</v>
      </c>
      <c r="P276" s="16">
        <v>307.94740000000002</v>
      </c>
      <c r="Q276" s="16">
        <v>288.7783</v>
      </c>
      <c r="R276" s="16">
        <v>225.23169999999999</v>
      </c>
      <c r="S276" s="16">
        <v>217.2869</v>
      </c>
      <c r="T276" s="16">
        <v>106.1587</v>
      </c>
      <c r="U276" s="16">
        <v>120.03</v>
      </c>
      <c r="V276" s="16">
        <v>24.905799999999999</v>
      </c>
      <c r="W276" s="16">
        <v>0</v>
      </c>
      <c r="X276" s="16">
        <v>0</v>
      </c>
      <c r="Y276" s="16">
        <v>2.7248000000000001</v>
      </c>
      <c r="Z276" s="16"/>
      <c r="AA276" s="17">
        <f t="shared" si="12"/>
        <v>473.02800000000002</v>
      </c>
      <c r="AB276" s="17">
        <f t="shared" si="13"/>
        <v>0</v>
      </c>
      <c r="AC276" s="17">
        <f t="shared" si="14"/>
        <v>194.16608333333301</v>
      </c>
    </row>
    <row r="277" spans="1:29">
      <c r="A277" s="8">
        <v>45567</v>
      </c>
      <c r="B277" s="16">
        <v>288.85379999999998</v>
      </c>
      <c r="C277" s="16">
        <v>59.058300000000003</v>
      </c>
      <c r="D277" s="16">
        <v>1.5916999999999999</v>
      </c>
      <c r="E277" s="16">
        <v>5.2568000000000001</v>
      </c>
      <c r="F277" s="16">
        <v>230.94669999999999</v>
      </c>
      <c r="G277" s="16">
        <v>192.06280000000001</v>
      </c>
      <c r="H277" s="16">
        <v>135.67949999999999</v>
      </c>
      <c r="I277" s="16">
        <v>5.2035</v>
      </c>
      <c r="J277" s="16">
        <v>0</v>
      </c>
      <c r="K277" s="16">
        <v>0</v>
      </c>
      <c r="L277" s="16">
        <v>0</v>
      </c>
      <c r="M277" s="16">
        <v>193.89400000000001</v>
      </c>
      <c r="N277" s="16">
        <v>91.855599999999995</v>
      </c>
      <c r="O277" s="16">
        <v>297.31729999999999</v>
      </c>
      <c r="P277" s="16">
        <v>187.2868</v>
      </c>
      <c r="Q277" s="16">
        <v>3.9746999999999999</v>
      </c>
      <c r="R277" s="16">
        <v>159.98830000000001</v>
      </c>
      <c r="S277" s="16">
        <v>3.0617999999999999</v>
      </c>
      <c r="T277" s="16">
        <v>85.968100000000007</v>
      </c>
      <c r="U277" s="16">
        <v>54.764200000000002</v>
      </c>
      <c r="V277" s="16">
        <v>20.871200000000002</v>
      </c>
      <c r="W277" s="16">
        <v>0</v>
      </c>
      <c r="X277" s="16">
        <v>0</v>
      </c>
      <c r="Y277" s="16">
        <v>0</v>
      </c>
      <c r="Z277" s="16"/>
      <c r="AA277" s="17">
        <f t="shared" si="12"/>
        <v>297.31729999999999</v>
      </c>
      <c r="AB277" s="17">
        <f t="shared" si="13"/>
        <v>0</v>
      </c>
      <c r="AC277" s="17">
        <f t="shared" si="14"/>
        <v>84.068129166666694</v>
      </c>
    </row>
    <row r="278" spans="1:29">
      <c r="A278" s="8">
        <v>45568</v>
      </c>
      <c r="B278" s="16">
        <v>40.077599999999997</v>
      </c>
      <c r="C278" s="16">
        <v>0</v>
      </c>
      <c r="D278" s="16">
        <v>0</v>
      </c>
      <c r="E278" s="16">
        <v>0</v>
      </c>
      <c r="F278" s="16">
        <v>0</v>
      </c>
      <c r="G278" s="16">
        <v>0</v>
      </c>
      <c r="H278" s="16">
        <v>0</v>
      </c>
      <c r="I278" s="16">
        <v>23.726900000000001</v>
      </c>
      <c r="J278" s="16">
        <v>6.9077999999999999</v>
      </c>
      <c r="K278" s="16">
        <v>-3.2000000000000002E-3</v>
      </c>
      <c r="L278" s="16">
        <v>89.041499999999999</v>
      </c>
      <c r="M278" s="16">
        <v>113.7329</v>
      </c>
      <c r="N278" s="16">
        <v>82.888599999999997</v>
      </c>
      <c r="O278" s="16">
        <v>376.09370000000001</v>
      </c>
      <c r="P278" s="16">
        <v>48.643999999999998</v>
      </c>
      <c r="Q278" s="16">
        <v>70.069999999999993</v>
      </c>
      <c r="R278" s="16">
        <v>145.51220000000001</v>
      </c>
      <c r="S278" s="16">
        <v>741.79579999999999</v>
      </c>
      <c r="T278" s="16">
        <v>499.21319999999997</v>
      </c>
      <c r="U278" s="16">
        <v>394.43759999999997</v>
      </c>
      <c r="V278" s="16">
        <v>351.04730000000001</v>
      </c>
      <c r="W278" s="16">
        <v>351.62759999999997</v>
      </c>
      <c r="X278" s="16">
        <v>338.65750000000003</v>
      </c>
      <c r="Y278" s="16">
        <v>167.53</v>
      </c>
      <c r="Z278" s="16"/>
      <c r="AA278" s="17">
        <f t="shared" si="12"/>
        <v>741.79579999999999</v>
      </c>
      <c r="AB278" s="17">
        <f t="shared" si="13"/>
        <v>-3.2000000000000002E-3</v>
      </c>
      <c r="AC278" s="17">
        <f t="shared" si="14"/>
        <v>160.04170833333299</v>
      </c>
    </row>
    <row r="279" spans="1:29">
      <c r="A279" s="8">
        <v>45569</v>
      </c>
      <c r="B279" s="16">
        <v>300</v>
      </c>
      <c r="C279" s="16">
        <v>256.75</v>
      </c>
      <c r="D279" s="16">
        <v>207.01840000000001</v>
      </c>
      <c r="E279" s="16">
        <v>75</v>
      </c>
      <c r="F279" s="16">
        <v>0</v>
      </c>
      <c r="G279" s="16">
        <v>0</v>
      </c>
      <c r="H279" s="16">
        <v>114.6725</v>
      </c>
      <c r="I279" s="16">
        <v>268.3947</v>
      </c>
      <c r="J279" s="16">
        <v>478.88380000000001</v>
      </c>
      <c r="K279" s="16">
        <v>330.54899999999998</v>
      </c>
      <c r="L279" s="16">
        <v>229.12350000000001</v>
      </c>
      <c r="M279" s="16">
        <v>237.66079999999999</v>
      </c>
      <c r="N279" s="16">
        <v>326.77069999999998</v>
      </c>
      <c r="O279" s="16">
        <v>269.75900000000001</v>
      </c>
      <c r="P279" s="16">
        <v>210.63210000000001</v>
      </c>
      <c r="Q279" s="16">
        <v>320.49250000000001</v>
      </c>
      <c r="R279" s="16">
        <v>719.26769999999999</v>
      </c>
      <c r="S279" s="16">
        <v>528.67769999999996</v>
      </c>
      <c r="T279" s="16">
        <v>415.96359999999999</v>
      </c>
      <c r="U279" s="16">
        <v>416.07810000000001</v>
      </c>
      <c r="V279" s="16">
        <v>370.69650000000001</v>
      </c>
      <c r="W279" s="16">
        <v>378.40910000000002</v>
      </c>
      <c r="X279" s="16">
        <v>386.48</v>
      </c>
      <c r="Y279" s="16">
        <v>317.75</v>
      </c>
      <c r="Z279" s="16"/>
      <c r="AA279" s="17">
        <f t="shared" si="12"/>
        <v>719.26769999999999</v>
      </c>
      <c r="AB279" s="17">
        <f t="shared" si="13"/>
        <v>0</v>
      </c>
      <c r="AC279" s="17">
        <f t="shared" si="14"/>
        <v>298.29290416666697</v>
      </c>
    </row>
    <row r="280" spans="1:29">
      <c r="A280" s="8">
        <v>45570</v>
      </c>
      <c r="B280" s="16">
        <v>388.87720000000002</v>
      </c>
      <c r="C280" s="16">
        <v>346.84089999999998</v>
      </c>
      <c r="D280" s="16">
        <v>336.6798</v>
      </c>
      <c r="E280" s="16">
        <v>327.34739999999999</v>
      </c>
      <c r="F280" s="16">
        <v>313.63479999999998</v>
      </c>
      <c r="G280" s="16">
        <v>312.5489</v>
      </c>
      <c r="H280" s="16">
        <v>330.9563</v>
      </c>
      <c r="I280" s="16">
        <v>331.97250000000003</v>
      </c>
      <c r="J280" s="16">
        <v>338.78989999999999</v>
      </c>
      <c r="K280" s="16">
        <v>325.74669999999998</v>
      </c>
      <c r="L280" s="16">
        <v>311.94990000000001</v>
      </c>
      <c r="M280" s="16">
        <v>169.97829999999999</v>
      </c>
      <c r="N280" s="16">
        <v>209.6232</v>
      </c>
      <c r="O280" s="16">
        <v>251.78309999999999</v>
      </c>
      <c r="P280" s="16">
        <v>331.12189999999998</v>
      </c>
      <c r="Q280" s="16">
        <v>365.12380000000002</v>
      </c>
      <c r="R280" s="16">
        <v>381.18060000000003</v>
      </c>
      <c r="S280" s="16">
        <v>393.33539999999999</v>
      </c>
      <c r="T280" s="16">
        <v>410.91390000000001</v>
      </c>
      <c r="U280" s="16">
        <v>439.05040000000002</v>
      </c>
      <c r="V280" s="16">
        <v>380.8691</v>
      </c>
      <c r="W280" s="16">
        <v>386.2346</v>
      </c>
      <c r="X280" s="16">
        <v>382.14760000000001</v>
      </c>
      <c r="Y280" s="16">
        <v>321.32</v>
      </c>
      <c r="Z280" s="16"/>
      <c r="AA280" s="17">
        <f t="shared" si="12"/>
        <v>439.05040000000002</v>
      </c>
      <c r="AB280" s="17">
        <f t="shared" si="13"/>
        <v>169.97829999999999</v>
      </c>
      <c r="AC280" s="17">
        <f t="shared" si="14"/>
        <v>337.00109166666698</v>
      </c>
    </row>
    <row r="281" spans="1:29">
      <c r="A281" s="8">
        <v>45571</v>
      </c>
      <c r="B281" s="16">
        <v>373.53949999999998</v>
      </c>
      <c r="C281" s="16">
        <v>389.33640000000003</v>
      </c>
      <c r="D281" s="16">
        <v>359.92009999999999</v>
      </c>
      <c r="E281" s="16">
        <v>336.48070000000001</v>
      </c>
      <c r="F281" s="16">
        <v>326.76870000000002</v>
      </c>
      <c r="G281" s="16">
        <v>327.5</v>
      </c>
      <c r="H281" s="16">
        <v>358.39690000000002</v>
      </c>
      <c r="I281" s="16">
        <v>354.8304</v>
      </c>
      <c r="J281" s="16">
        <v>353.8048</v>
      </c>
      <c r="K281" s="16">
        <v>356.02089999999998</v>
      </c>
      <c r="L281" s="16">
        <v>336.94389999999999</v>
      </c>
      <c r="M281" s="16">
        <v>319.33659999999998</v>
      </c>
      <c r="N281" s="16">
        <v>288.13189999999997</v>
      </c>
      <c r="O281" s="16">
        <v>340.8861</v>
      </c>
      <c r="P281" s="16">
        <v>353.01850000000002</v>
      </c>
      <c r="Q281" s="16">
        <v>368.40780000000001</v>
      </c>
      <c r="R281" s="16">
        <v>563.23540000000003</v>
      </c>
      <c r="S281" s="16">
        <v>405.30880000000002</v>
      </c>
      <c r="T281" s="16">
        <v>384.70620000000002</v>
      </c>
      <c r="U281" s="16">
        <v>373.30450000000002</v>
      </c>
      <c r="V281" s="16">
        <v>362.79849999999999</v>
      </c>
      <c r="W281" s="16">
        <v>408.43009999999998</v>
      </c>
      <c r="X281" s="16">
        <v>425.51519999999999</v>
      </c>
      <c r="Y281" s="16">
        <v>372.97059999999999</v>
      </c>
      <c r="Z281" s="16"/>
      <c r="AA281" s="17">
        <f t="shared" si="12"/>
        <v>563.23540000000003</v>
      </c>
      <c r="AB281" s="17">
        <f t="shared" si="13"/>
        <v>288.13189999999997</v>
      </c>
      <c r="AC281" s="17">
        <f t="shared" si="14"/>
        <v>368.316354166667</v>
      </c>
    </row>
    <row r="282" spans="1:29">
      <c r="A282" s="8">
        <v>45572</v>
      </c>
      <c r="B282" s="16">
        <v>712.40570000000002</v>
      </c>
      <c r="C282" s="16">
        <v>544.72929999999997</v>
      </c>
      <c r="D282" s="16">
        <v>387.26280000000003</v>
      </c>
      <c r="E282" s="16">
        <v>355.90260000000001</v>
      </c>
      <c r="F282" s="16">
        <v>339.83</v>
      </c>
      <c r="G282" s="16">
        <v>336.30250000000001</v>
      </c>
      <c r="H282" s="16">
        <v>343.83249999999998</v>
      </c>
      <c r="I282" s="16">
        <v>346.14679999999998</v>
      </c>
      <c r="J282" s="16">
        <v>367.71600000000001</v>
      </c>
      <c r="K282" s="16">
        <v>371.82799999999997</v>
      </c>
      <c r="L282" s="16">
        <v>333.52969999999999</v>
      </c>
      <c r="M282" s="16">
        <v>324.82339999999999</v>
      </c>
      <c r="N282" s="16">
        <v>293.2439</v>
      </c>
      <c r="O282" s="16">
        <v>340.91180000000003</v>
      </c>
      <c r="P282" s="16">
        <v>363.6814</v>
      </c>
      <c r="Q282" s="16">
        <v>387.56950000000001</v>
      </c>
      <c r="R282" s="16">
        <v>455.41370000000001</v>
      </c>
      <c r="S282" s="16">
        <v>470.00380000000001</v>
      </c>
      <c r="T282" s="16">
        <v>411.62029999999999</v>
      </c>
      <c r="U282" s="16">
        <v>408.60289999999998</v>
      </c>
      <c r="V282" s="16">
        <v>411.35890000000001</v>
      </c>
      <c r="W282" s="16">
        <v>401.98899999999998</v>
      </c>
      <c r="X282" s="16">
        <v>393.30950000000001</v>
      </c>
      <c r="Y282" s="16">
        <v>352.96260000000001</v>
      </c>
      <c r="Z282" s="16"/>
      <c r="AA282" s="17">
        <f t="shared" si="12"/>
        <v>712.40570000000002</v>
      </c>
      <c r="AB282" s="17">
        <f t="shared" si="13"/>
        <v>293.2439</v>
      </c>
      <c r="AC282" s="17">
        <f t="shared" si="14"/>
        <v>393.95735833333299</v>
      </c>
    </row>
    <row r="283" spans="1:29">
      <c r="A283" s="8">
        <v>45573</v>
      </c>
      <c r="B283" s="16">
        <v>432.33010000000002</v>
      </c>
      <c r="C283" s="16">
        <v>393.24829999999997</v>
      </c>
      <c r="D283" s="16">
        <v>360.18819999999999</v>
      </c>
      <c r="E283" s="16">
        <v>346.91480000000001</v>
      </c>
      <c r="F283" s="16">
        <v>327.58800000000002</v>
      </c>
      <c r="G283" s="16">
        <v>334.31209999999999</v>
      </c>
      <c r="H283" s="16">
        <v>352.76740000000001</v>
      </c>
      <c r="I283" s="16">
        <v>368.7611</v>
      </c>
      <c r="J283" s="16">
        <v>377.26589999999999</v>
      </c>
      <c r="K283" s="16">
        <v>399.60300000000001</v>
      </c>
      <c r="L283" s="16">
        <v>344.00319999999999</v>
      </c>
      <c r="M283" s="16">
        <v>317.90789999999998</v>
      </c>
      <c r="N283" s="16">
        <v>219.5538</v>
      </c>
      <c r="O283" s="16">
        <v>330.17489999999998</v>
      </c>
      <c r="P283" s="16">
        <v>351.14150000000001</v>
      </c>
      <c r="Q283" s="16">
        <v>360.84390000000002</v>
      </c>
      <c r="R283" s="16">
        <v>378.66489999999999</v>
      </c>
      <c r="S283" s="16">
        <v>351.70030000000003</v>
      </c>
      <c r="T283" s="16">
        <v>351.41269999999997</v>
      </c>
      <c r="U283" s="16">
        <v>358.6574</v>
      </c>
      <c r="V283" s="16">
        <v>342.77850000000001</v>
      </c>
      <c r="W283" s="16">
        <v>350.95890000000003</v>
      </c>
      <c r="X283" s="16">
        <v>343.61689999999999</v>
      </c>
      <c r="Y283" s="16">
        <v>336.96300000000002</v>
      </c>
      <c r="Z283" s="16"/>
      <c r="AA283" s="17">
        <f t="shared" si="12"/>
        <v>432.33010000000002</v>
      </c>
      <c r="AB283" s="17">
        <f t="shared" si="13"/>
        <v>219.5538</v>
      </c>
      <c r="AC283" s="17">
        <f t="shared" si="14"/>
        <v>351.30652916666702</v>
      </c>
    </row>
    <row r="284" spans="1:29">
      <c r="A284" s="8">
        <v>45574</v>
      </c>
      <c r="B284" s="16">
        <v>437.2568</v>
      </c>
      <c r="C284" s="16">
        <v>353.51240000000001</v>
      </c>
      <c r="D284" s="16">
        <v>346.80070000000001</v>
      </c>
      <c r="E284" s="16">
        <v>316.57310000000001</v>
      </c>
      <c r="F284" s="16">
        <v>285.59440000000001</v>
      </c>
      <c r="G284" s="16">
        <v>287.73849999999999</v>
      </c>
      <c r="H284" s="16">
        <v>312.63760000000002</v>
      </c>
      <c r="I284" s="16">
        <v>323.13580000000002</v>
      </c>
      <c r="J284" s="16">
        <v>336.98899999999998</v>
      </c>
      <c r="K284" s="16">
        <v>339.21539999999999</v>
      </c>
      <c r="L284" s="16">
        <v>312.62479999999999</v>
      </c>
      <c r="M284" s="16">
        <v>274.29660000000001</v>
      </c>
      <c r="N284" s="16">
        <v>229.4357</v>
      </c>
      <c r="O284" s="16">
        <v>324.56189999999998</v>
      </c>
      <c r="P284" s="16">
        <v>343.7158</v>
      </c>
      <c r="Q284" s="16">
        <v>358.91559999999998</v>
      </c>
      <c r="R284" s="16">
        <v>359.43029999999999</v>
      </c>
      <c r="S284" s="16">
        <v>348.27949999999998</v>
      </c>
      <c r="T284" s="16">
        <v>353.64870000000002</v>
      </c>
      <c r="U284" s="16">
        <v>357.90550000000002</v>
      </c>
      <c r="V284" s="16">
        <v>355.26499999999999</v>
      </c>
      <c r="W284" s="16">
        <v>343.85829999999999</v>
      </c>
      <c r="X284" s="16">
        <v>336.69690000000003</v>
      </c>
      <c r="Y284" s="16">
        <v>320.2595</v>
      </c>
      <c r="Z284" s="16"/>
      <c r="AA284" s="17">
        <f t="shared" si="12"/>
        <v>437.2568</v>
      </c>
      <c r="AB284" s="17">
        <f t="shared" si="13"/>
        <v>229.4357</v>
      </c>
      <c r="AC284" s="17">
        <f t="shared" si="14"/>
        <v>331.597825</v>
      </c>
    </row>
    <row r="285" spans="1:29">
      <c r="A285" s="8">
        <v>45575</v>
      </c>
      <c r="B285" s="16">
        <v>514.11969999999997</v>
      </c>
      <c r="C285" s="16">
        <v>396.70800000000003</v>
      </c>
      <c r="D285" s="16">
        <v>335.97070000000002</v>
      </c>
      <c r="E285" s="16">
        <v>317.46660000000003</v>
      </c>
      <c r="F285" s="16">
        <v>299.07380000000001</v>
      </c>
      <c r="G285" s="16">
        <v>295.10879999999997</v>
      </c>
      <c r="H285" s="16">
        <v>324.846</v>
      </c>
      <c r="I285" s="16">
        <v>304.3451</v>
      </c>
      <c r="J285" s="16">
        <v>326.25599999999997</v>
      </c>
      <c r="K285" s="16">
        <v>328.01190000000003</v>
      </c>
      <c r="L285" s="16">
        <v>306.80590000000001</v>
      </c>
      <c r="M285" s="16">
        <v>302.44060000000002</v>
      </c>
      <c r="N285" s="16">
        <v>229.1909</v>
      </c>
      <c r="O285" s="16">
        <v>329.35410000000002</v>
      </c>
      <c r="P285" s="16">
        <v>360.10649999999998</v>
      </c>
      <c r="Q285" s="16">
        <v>350.64490000000001</v>
      </c>
      <c r="R285" s="16">
        <v>361.19529999999997</v>
      </c>
      <c r="S285" s="16">
        <v>372.14859999999999</v>
      </c>
      <c r="T285" s="16">
        <v>374.21839999999997</v>
      </c>
      <c r="U285" s="16">
        <v>367.5421</v>
      </c>
      <c r="V285" s="16">
        <v>355.31310000000002</v>
      </c>
      <c r="W285" s="16">
        <v>340.23779999999999</v>
      </c>
      <c r="X285" s="16">
        <v>337.2423</v>
      </c>
      <c r="Y285" s="16">
        <v>322.53219999999999</v>
      </c>
      <c r="Z285" s="16"/>
      <c r="AA285" s="17">
        <f t="shared" si="12"/>
        <v>514.11969999999997</v>
      </c>
      <c r="AB285" s="17">
        <f t="shared" si="13"/>
        <v>229.1909</v>
      </c>
      <c r="AC285" s="17">
        <f t="shared" si="14"/>
        <v>339.61997083333301</v>
      </c>
    </row>
    <row r="286" spans="1:29">
      <c r="A286" s="8">
        <v>45576</v>
      </c>
      <c r="B286" s="16">
        <v>351.12329999999997</v>
      </c>
      <c r="C286" s="16">
        <v>328.95359999999999</v>
      </c>
      <c r="D286" s="16">
        <v>311.90539999999999</v>
      </c>
      <c r="E286" s="16">
        <v>291.85809999999998</v>
      </c>
      <c r="F286" s="16">
        <v>277.18819999999999</v>
      </c>
      <c r="G286" s="16">
        <v>282.6737</v>
      </c>
      <c r="H286" s="16">
        <v>296.94159999999999</v>
      </c>
      <c r="I286" s="16">
        <v>292.02870000000001</v>
      </c>
      <c r="J286" s="16">
        <v>301.39640000000003</v>
      </c>
      <c r="K286" s="16">
        <v>317.38339999999999</v>
      </c>
      <c r="L286" s="16">
        <v>308.7869</v>
      </c>
      <c r="M286" s="16">
        <v>130.96039999999999</v>
      </c>
      <c r="N286" s="16">
        <v>112.627</v>
      </c>
      <c r="O286" s="16">
        <v>324.03219999999999</v>
      </c>
      <c r="P286" s="16">
        <v>341.92140000000001</v>
      </c>
      <c r="Q286" s="16">
        <v>338.35410000000002</v>
      </c>
      <c r="R286" s="16">
        <v>368.96589999999998</v>
      </c>
      <c r="S286" s="16">
        <v>359.4271</v>
      </c>
      <c r="T286" s="16">
        <v>480.50380000000001</v>
      </c>
      <c r="U286" s="16">
        <v>351.37509999999997</v>
      </c>
      <c r="V286" s="16">
        <v>359.07330000000002</v>
      </c>
      <c r="W286" s="16">
        <v>330.44580000000002</v>
      </c>
      <c r="X286" s="16">
        <v>331.39749999999998</v>
      </c>
      <c r="Y286" s="16">
        <v>308.6859</v>
      </c>
      <c r="Z286" s="16"/>
      <c r="AA286" s="17">
        <f t="shared" si="12"/>
        <v>480.50380000000001</v>
      </c>
      <c r="AB286" s="17">
        <f t="shared" si="13"/>
        <v>112.627</v>
      </c>
      <c r="AC286" s="17">
        <f t="shared" si="14"/>
        <v>312.41703333333299</v>
      </c>
    </row>
    <row r="287" spans="1:29">
      <c r="A287" s="8">
        <v>45577</v>
      </c>
      <c r="B287" s="16">
        <v>312.11099999999999</v>
      </c>
      <c r="C287" s="16">
        <v>311.96179999999998</v>
      </c>
      <c r="D287" s="16">
        <v>301.83569999999997</v>
      </c>
      <c r="E287" s="16">
        <v>275.27350000000001</v>
      </c>
      <c r="F287" s="16">
        <v>264.19299999999998</v>
      </c>
      <c r="G287" s="16">
        <v>264.2251</v>
      </c>
      <c r="H287" s="16">
        <v>291.74540000000002</v>
      </c>
      <c r="I287" s="16">
        <v>288.9325</v>
      </c>
      <c r="J287" s="16">
        <v>301.00110000000001</v>
      </c>
      <c r="K287" s="16">
        <v>305.68290000000002</v>
      </c>
      <c r="L287" s="16">
        <v>306.02330000000001</v>
      </c>
      <c r="M287" s="16">
        <v>292.37119999999999</v>
      </c>
      <c r="N287" s="16">
        <v>206.1268</v>
      </c>
      <c r="O287" s="16">
        <v>255.148</v>
      </c>
      <c r="P287" s="16">
        <v>313.41910000000001</v>
      </c>
      <c r="Q287" s="16">
        <v>333.66149999999999</v>
      </c>
      <c r="R287" s="16">
        <v>349.12459999999999</v>
      </c>
      <c r="S287" s="16">
        <v>342.6103</v>
      </c>
      <c r="T287" s="16">
        <v>348.33440000000002</v>
      </c>
      <c r="U287" s="16">
        <v>343.93470000000002</v>
      </c>
      <c r="V287" s="16">
        <v>347.82240000000002</v>
      </c>
      <c r="W287" s="16">
        <v>333.91300000000001</v>
      </c>
      <c r="X287" s="16">
        <v>322.85399999999998</v>
      </c>
      <c r="Y287" s="16">
        <v>316.72539999999998</v>
      </c>
      <c r="Z287" s="16"/>
      <c r="AA287" s="17">
        <f t="shared" si="12"/>
        <v>349.12459999999999</v>
      </c>
      <c r="AB287" s="17">
        <f t="shared" si="13"/>
        <v>206.1268</v>
      </c>
      <c r="AC287" s="17">
        <f t="shared" si="14"/>
        <v>305.37627916666702</v>
      </c>
    </row>
    <row r="288" spans="1:29">
      <c r="A288" s="8">
        <v>45578</v>
      </c>
      <c r="B288" s="16">
        <v>323.06639999999999</v>
      </c>
      <c r="C288" s="16">
        <v>331.4597</v>
      </c>
      <c r="D288" s="16">
        <v>324.65890000000002</v>
      </c>
      <c r="E288" s="16">
        <v>308.35379999999998</v>
      </c>
      <c r="F288" s="16">
        <v>283.1832</v>
      </c>
      <c r="G288" s="16">
        <v>277.88959999999997</v>
      </c>
      <c r="H288" s="16">
        <v>279.57530000000003</v>
      </c>
      <c r="I288" s="16">
        <v>263.58229999999998</v>
      </c>
      <c r="J288" s="16">
        <v>163.76410000000001</v>
      </c>
      <c r="K288" s="16">
        <v>19.1663</v>
      </c>
      <c r="L288" s="16">
        <v>11.3492</v>
      </c>
      <c r="M288" s="16">
        <v>53.815300000000001</v>
      </c>
      <c r="N288" s="16">
        <v>14.882199999999999</v>
      </c>
      <c r="O288" s="16">
        <v>147.1927</v>
      </c>
      <c r="P288" s="16">
        <v>292.81849999999997</v>
      </c>
      <c r="Q288" s="16">
        <v>315.62139999999999</v>
      </c>
      <c r="R288" s="16">
        <v>324.8947</v>
      </c>
      <c r="S288" s="16">
        <v>331.78300000000002</v>
      </c>
      <c r="T288" s="16">
        <v>367.86470000000003</v>
      </c>
      <c r="U288" s="16">
        <v>328.48950000000002</v>
      </c>
      <c r="V288" s="16">
        <v>353.2192</v>
      </c>
      <c r="W288" s="16">
        <v>374.85169999999999</v>
      </c>
      <c r="X288" s="16">
        <v>341.4649</v>
      </c>
      <c r="Y288" s="16">
        <v>321.36860000000001</v>
      </c>
      <c r="Z288" s="16"/>
      <c r="AA288" s="17">
        <f t="shared" si="12"/>
        <v>374.85169999999999</v>
      </c>
      <c r="AB288" s="17">
        <f t="shared" si="13"/>
        <v>11.3492</v>
      </c>
      <c r="AC288" s="17">
        <f t="shared" si="14"/>
        <v>256.4298</v>
      </c>
    </row>
    <row r="289" spans="1:29">
      <c r="A289" s="8">
        <v>45579</v>
      </c>
      <c r="B289" s="16">
        <v>342.95420000000001</v>
      </c>
      <c r="C289" s="16">
        <v>331.81830000000002</v>
      </c>
      <c r="D289" s="16">
        <v>332.78390000000002</v>
      </c>
      <c r="E289" s="16">
        <v>321.46159999999998</v>
      </c>
      <c r="F289" s="16">
        <v>306.52429999999998</v>
      </c>
      <c r="G289" s="16">
        <v>313.0299</v>
      </c>
      <c r="H289" s="16">
        <v>328.34309999999999</v>
      </c>
      <c r="I289" s="16">
        <v>328.83269999999999</v>
      </c>
      <c r="J289" s="16">
        <v>395.32769999999999</v>
      </c>
      <c r="K289" s="16">
        <v>514.29150000000004</v>
      </c>
      <c r="L289" s="16">
        <v>393.55169999999998</v>
      </c>
      <c r="M289" s="16">
        <v>343.46629999999999</v>
      </c>
      <c r="N289" s="16">
        <v>336.32470000000001</v>
      </c>
      <c r="O289" s="16">
        <v>527.26210000000003</v>
      </c>
      <c r="P289" s="16">
        <v>644.15819999999997</v>
      </c>
      <c r="Q289" s="16">
        <v>635.01610000000005</v>
      </c>
      <c r="R289" s="16">
        <v>436.42340000000002</v>
      </c>
      <c r="S289" s="16">
        <v>372.726</v>
      </c>
      <c r="T289" s="16">
        <v>384.62119999999999</v>
      </c>
      <c r="U289" s="16">
        <v>417.83629999999999</v>
      </c>
      <c r="V289" s="16">
        <v>376.99579999999997</v>
      </c>
      <c r="W289" s="16">
        <v>355.60640000000001</v>
      </c>
      <c r="X289" s="16">
        <v>359.87119999999999</v>
      </c>
      <c r="Y289" s="16">
        <v>333.98</v>
      </c>
      <c r="Z289" s="16"/>
      <c r="AA289" s="17">
        <f t="shared" si="12"/>
        <v>644.15819999999997</v>
      </c>
      <c r="AB289" s="17">
        <f t="shared" si="13"/>
        <v>306.52429999999998</v>
      </c>
      <c r="AC289" s="17">
        <f t="shared" si="14"/>
        <v>393.050275</v>
      </c>
    </row>
    <row r="290" spans="1:29">
      <c r="A290" s="8">
        <v>45580</v>
      </c>
      <c r="B290" s="16">
        <v>352.94409999999999</v>
      </c>
      <c r="C290" s="16">
        <v>346.17419999999998</v>
      </c>
      <c r="D290" s="16">
        <v>374.80180000000001</v>
      </c>
      <c r="E290" s="16">
        <v>348.79180000000002</v>
      </c>
      <c r="F290" s="16">
        <v>333.8827</v>
      </c>
      <c r="G290" s="16">
        <v>339.12479999999999</v>
      </c>
      <c r="H290" s="16">
        <v>342.18759999999997</v>
      </c>
      <c r="I290" s="16">
        <v>341.57760000000002</v>
      </c>
      <c r="J290" s="16">
        <v>362.22820000000002</v>
      </c>
      <c r="K290" s="16">
        <v>466.62189999999998</v>
      </c>
      <c r="L290" s="16">
        <v>342.72829999999999</v>
      </c>
      <c r="M290" s="16">
        <v>332.97070000000002</v>
      </c>
      <c r="N290" s="16">
        <v>315.87630000000001</v>
      </c>
      <c r="O290" s="16">
        <v>440.93729999999999</v>
      </c>
      <c r="P290" s="16">
        <v>390.62549999999999</v>
      </c>
      <c r="Q290" s="16">
        <v>373.96879999999999</v>
      </c>
      <c r="R290" s="16">
        <v>363.89580000000001</v>
      </c>
      <c r="S290" s="16">
        <v>348.03870000000001</v>
      </c>
      <c r="T290" s="16">
        <v>352.10230000000001</v>
      </c>
      <c r="U290" s="16">
        <v>368.38229999999999</v>
      </c>
      <c r="V290" s="16">
        <v>365.72410000000002</v>
      </c>
      <c r="W290" s="16">
        <v>368.28590000000003</v>
      </c>
      <c r="X290" s="16">
        <v>371.85989999999998</v>
      </c>
      <c r="Y290" s="16">
        <v>362.13459999999998</v>
      </c>
      <c r="Z290" s="16"/>
      <c r="AA290" s="17">
        <f t="shared" si="12"/>
        <v>466.62189999999998</v>
      </c>
      <c r="AB290" s="17">
        <f t="shared" si="13"/>
        <v>315.87630000000001</v>
      </c>
      <c r="AC290" s="17">
        <f t="shared" si="14"/>
        <v>362.74438333333302</v>
      </c>
    </row>
    <row r="291" spans="1:29">
      <c r="A291" s="8">
        <v>45581</v>
      </c>
      <c r="B291" s="16">
        <v>432.74979999999999</v>
      </c>
      <c r="C291" s="16">
        <v>368.50720000000001</v>
      </c>
      <c r="D291" s="16">
        <v>367.63810000000001</v>
      </c>
      <c r="E291" s="16">
        <v>358.23719999999997</v>
      </c>
      <c r="F291" s="16">
        <v>338.93920000000003</v>
      </c>
      <c r="G291" s="16">
        <v>333.02530000000002</v>
      </c>
      <c r="H291" s="16">
        <v>338.63830000000002</v>
      </c>
      <c r="I291" s="16">
        <v>334.00659999999999</v>
      </c>
      <c r="J291" s="16">
        <v>405.47019999999998</v>
      </c>
      <c r="K291" s="16">
        <v>421.08839999999998</v>
      </c>
      <c r="L291" s="16">
        <v>341.38740000000001</v>
      </c>
      <c r="M291" s="16">
        <v>346.84780000000001</v>
      </c>
      <c r="N291" s="16">
        <v>339.02609999999999</v>
      </c>
      <c r="O291" s="16">
        <v>385.59840000000003</v>
      </c>
      <c r="P291" s="16">
        <v>377.15199999999999</v>
      </c>
      <c r="Q291" s="16">
        <v>383.48079999999999</v>
      </c>
      <c r="R291" s="16">
        <v>390.81310000000002</v>
      </c>
      <c r="S291" s="16">
        <v>364.137</v>
      </c>
      <c r="T291" s="16">
        <v>372.27730000000003</v>
      </c>
      <c r="U291" s="16">
        <v>377.49160000000001</v>
      </c>
      <c r="V291" s="16">
        <v>361.79829999999998</v>
      </c>
      <c r="W291" s="16">
        <v>360.33850000000001</v>
      </c>
      <c r="X291" s="16">
        <v>356.19479999999999</v>
      </c>
      <c r="Y291" s="16">
        <v>349.24430000000001</v>
      </c>
      <c r="Z291" s="16"/>
      <c r="AA291" s="17">
        <f t="shared" si="12"/>
        <v>432.74979999999999</v>
      </c>
      <c r="AB291" s="17">
        <f t="shared" si="13"/>
        <v>333.02530000000002</v>
      </c>
      <c r="AC291" s="17">
        <f t="shared" si="14"/>
        <v>366.83698750000002</v>
      </c>
    </row>
    <row r="292" spans="1:29">
      <c r="A292" s="8">
        <v>45582</v>
      </c>
      <c r="B292" s="16">
        <v>555.21220000000005</v>
      </c>
      <c r="C292" s="16">
        <v>352.67700000000002</v>
      </c>
      <c r="D292" s="16">
        <v>354.91879999999998</v>
      </c>
      <c r="E292" s="16">
        <v>336.79750000000001</v>
      </c>
      <c r="F292" s="16">
        <v>318.6669</v>
      </c>
      <c r="G292" s="16">
        <v>305.89699999999999</v>
      </c>
      <c r="H292" s="16">
        <v>317.41750000000002</v>
      </c>
      <c r="I292" s="16">
        <v>317.12849999999997</v>
      </c>
      <c r="J292" s="16">
        <v>399.74610000000001</v>
      </c>
      <c r="K292" s="16">
        <v>400.60250000000002</v>
      </c>
      <c r="L292" s="16">
        <v>337.47620000000001</v>
      </c>
      <c r="M292" s="16">
        <v>339.4941</v>
      </c>
      <c r="N292" s="16">
        <v>254.10499999999999</v>
      </c>
      <c r="O292" s="16">
        <v>348.06169999999997</v>
      </c>
      <c r="P292" s="16">
        <v>359.39299999999997</v>
      </c>
      <c r="Q292" s="16">
        <v>387.10169999999999</v>
      </c>
      <c r="R292" s="16">
        <v>388.62349999999998</v>
      </c>
      <c r="S292" s="16">
        <v>398.9622</v>
      </c>
      <c r="T292" s="16">
        <v>380.19619999999998</v>
      </c>
      <c r="U292" s="16">
        <v>371.7903</v>
      </c>
      <c r="V292" s="16">
        <v>369.45839999999998</v>
      </c>
      <c r="W292" s="16">
        <v>368.58229999999998</v>
      </c>
      <c r="X292" s="16">
        <v>364.76549999999997</v>
      </c>
      <c r="Y292" s="16">
        <v>348.46780000000001</v>
      </c>
      <c r="Z292" s="16"/>
      <c r="AA292" s="17">
        <f t="shared" si="12"/>
        <v>555.21220000000005</v>
      </c>
      <c r="AB292" s="17">
        <f t="shared" si="13"/>
        <v>254.10499999999999</v>
      </c>
      <c r="AC292" s="17">
        <f t="shared" si="14"/>
        <v>361.48091249999999</v>
      </c>
    </row>
    <row r="293" spans="1:29">
      <c r="A293" s="8">
        <v>45583</v>
      </c>
      <c r="B293" s="16">
        <v>407.3546</v>
      </c>
      <c r="C293" s="16">
        <v>357.63279999999997</v>
      </c>
      <c r="D293" s="16">
        <v>344.94839999999999</v>
      </c>
      <c r="E293" s="16">
        <v>343.49470000000002</v>
      </c>
      <c r="F293" s="16">
        <v>326.5634</v>
      </c>
      <c r="G293" s="16">
        <v>319.62990000000002</v>
      </c>
      <c r="H293" s="16">
        <v>330.01080000000002</v>
      </c>
      <c r="I293" s="16">
        <v>330.87689999999998</v>
      </c>
      <c r="J293" s="16">
        <v>355.46600000000001</v>
      </c>
      <c r="K293" s="16">
        <v>392.17469999999997</v>
      </c>
      <c r="L293" s="16">
        <v>418.4289</v>
      </c>
      <c r="M293" s="16">
        <v>393.98950000000002</v>
      </c>
      <c r="N293" s="16">
        <v>359.45920000000001</v>
      </c>
      <c r="O293" s="16">
        <v>424.62670000000003</v>
      </c>
      <c r="P293" s="16">
        <v>428.71780000000001</v>
      </c>
      <c r="Q293" s="16">
        <v>422.0213</v>
      </c>
      <c r="R293" s="16">
        <v>423.35149999999999</v>
      </c>
      <c r="S293" s="16">
        <v>376.01350000000002</v>
      </c>
      <c r="T293" s="16">
        <v>394.05439999999999</v>
      </c>
      <c r="U293" s="16">
        <v>375.24939999999998</v>
      </c>
      <c r="V293" s="16">
        <v>371.59059999999999</v>
      </c>
      <c r="W293" s="16">
        <v>377.20310000000001</v>
      </c>
      <c r="X293" s="16">
        <v>364.16340000000002</v>
      </c>
      <c r="Y293" s="16">
        <v>361.62060000000002</v>
      </c>
      <c r="Z293" s="16"/>
      <c r="AA293" s="17">
        <f t="shared" si="12"/>
        <v>428.71780000000001</v>
      </c>
      <c r="AB293" s="17">
        <f t="shared" si="13"/>
        <v>319.62990000000002</v>
      </c>
      <c r="AC293" s="17">
        <f t="shared" si="14"/>
        <v>374.94342083333299</v>
      </c>
    </row>
    <row r="294" spans="1:29">
      <c r="A294" s="8">
        <v>45584</v>
      </c>
      <c r="B294" s="16">
        <v>552.13440000000003</v>
      </c>
      <c r="C294" s="16">
        <v>380.81630000000001</v>
      </c>
      <c r="D294" s="16">
        <v>366.34339999999997</v>
      </c>
      <c r="E294" s="16">
        <v>345.25189999999998</v>
      </c>
      <c r="F294" s="16">
        <v>332.41399999999999</v>
      </c>
      <c r="G294" s="16">
        <v>326.4153</v>
      </c>
      <c r="H294" s="16">
        <v>331.84679999999997</v>
      </c>
      <c r="I294" s="16">
        <v>329.53320000000002</v>
      </c>
      <c r="J294" s="16">
        <v>352.44889999999998</v>
      </c>
      <c r="K294" s="16">
        <v>348.8818</v>
      </c>
      <c r="L294" s="16">
        <v>332.8544</v>
      </c>
      <c r="M294" s="16">
        <v>329.18770000000001</v>
      </c>
      <c r="N294" s="16">
        <v>291.62110000000001</v>
      </c>
      <c r="O294" s="16">
        <v>336.43130000000002</v>
      </c>
      <c r="P294" s="16">
        <v>375.2706</v>
      </c>
      <c r="Q294" s="16">
        <v>378.65339999999998</v>
      </c>
      <c r="R294" s="16">
        <v>408.50819999999999</v>
      </c>
      <c r="S294" s="16">
        <v>368.18630000000002</v>
      </c>
      <c r="T294" s="16">
        <v>374.0378</v>
      </c>
      <c r="U294" s="16">
        <v>384.46039999999999</v>
      </c>
      <c r="V294" s="16">
        <v>373.51889999999997</v>
      </c>
      <c r="W294" s="16">
        <v>381.36079999999998</v>
      </c>
      <c r="X294" s="16">
        <v>367.25060000000002</v>
      </c>
      <c r="Y294" s="16">
        <v>389.45699999999999</v>
      </c>
      <c r="Z294" s="16"/>
      <c r="AA294" s="17">
        <f t="shared" si="12"/>
        <v>552.13440000000003</v>
      </c>
      <c r="AB294" s="17">
        <f t="shared" si="13"/>
        <v>291.62110000000001</v>
      </c>
      <c r="AC294" s="17">
        <f t="shared" si="14"/>
        <v>364.87018749999999</v>
      </c>
    </row>
    <row r="295" spans="1:29">
      <c r="A295" s="8">
        <v>45585</v>
      </c>
      <c r="B295" s="16">
        <v>811.53160000000003</v>
      </c>
      <c r="C295" s="16">
        <v>532.44690000000003</v>
      </c>
      <c r="D295" s="16">
        <v>475.17270000000002</v>
      </c>
      <c r="E295" s="16">
        <v>405.92540000000002</v>
      </c>
      <c r="F295" s="16">
        <v>311.90559999999999</v>
      </c>
      <c r="G295" s="16">
        <v>278.89260000000002</v>
      </c>
      <c r="H295" s="16">
        <v>272.09809999999999</v>
      </c>
      <c r="I295" s="16">
        <v>257.40870000000001</v>
      </c>
      <c r="J295" s="16">
        <v>169.3475</v>
      </c>
      <c r="K295" s="16">
        <v>63.9163</v>
      </c>
      <c r="L295" s="16">
        <v>11.7037</v>
      </c>
      <c r="M295" s="16">
        <v>34.486899999999999</v>
      </c>
      <c r="N295" s="16">
        <v>33.418799999999997</v>
      </c>
      <c r="O295" s="16">
        <v>113.65309999999999</v>
      </c>
      <c r="P295" s="16">
        <v>258.58659999999998</v>
      </c>
      <c r="Q295" s="16">
        <v>238.45670000000001</v>
      </c>
      <c r="R295" s="16">
        <v>282.8732</v>
      </c>
      <c r="S295" s="16">
        <v>286.0247</v>
      </c>
      <c r="T295" s="16">
        <v>295.42140000000001</v>
      </c>
      <c r="U295" s="16">
        <v>294.3546</v>
      </c>
      <c r="V295" s="16">
        <v>307.67169999999999</v>
      </c>
      <c r="W295" s="16">
        <v>296.70409999999998</v>
      </c>
      <c r="X295" s="16">
        <v>286.85410000000002</v>
      </c>
      <c r="Y295" s="16">
        <v>247.3141</v>
      </c>
      <c r="Z295" s="16"/>
      <c r="AA295" s="17">
        <f t="shared" si="12"/>
        <v>811.53160000000003</v>
      </c>
      <c r="AB295" s="17">
        <f t="shared" si="13"/>
        <v>11.7037</v>
      </c>
      <c r="AC295" s="17">
        <f t="shared" si="14"/>
        <v>273.59037916666699</v>
      </c>
    </row>
    <row r="296" spans="1:29">
      <c r="A296" s="8">
        <v>45586</v>
      </c>
      <c r="B296" s="16">
        <v>298.3682</v>
      </c>
      <c r="C296" s="16">
        <v>268.52769999999998</v>
      </c>
      <c r="D296" s="16">
        <v>243.11699999999999</v>
      </c>
      <c r="E296" s="16">
        <v>114.6039</v>
      </c>
      <c r="F296" s="16">
        <v>216.4092</v>
      </c>
      <c r="G296" s="16">
        <v>219.5087</v>
      </c>
      <c r="H296" s="16">
        <v>277.911</v>
      </c>
      <c r="I296" s="16">
        <v>199.15280000000001</v>
      </c>
      <c r="J296" s="16">
        <v>300.43</v>
      </c>
      <c r="K296" s="16">
        <v>297.12900000000002</v>
      </c>
      <c r="L296" s="16">
        <v>246.5266</v>
      </c>
      <c r="M296" s="16">
        <v>231.6611</v>
      </c>
      <c r="N296" s="16">
        <v>59.326099999999997</v>
      </c>
      <c r="O296" s="16">
        <v>240.76169999999999</v>
      </c>
      <c r="P296" s="16">
        <v>324.28230000000002</v>
      </c>
      <c r="Q296" s="16">
        <v>349.19409999999999</v>
      </c>
      <c r="R296" s="16">
        <v>364.47809999999998</v>
      </c>
      <c r="S296" s="16">
        <v>355.37920000000003</v>
      </c>
      <c r="T296" s="16">
        <v>343.05110000000002</v>
      </c>
      <c r="U296" s="16">
        <v>345.09769999999997</v>
      </c>
      <c r="V296" s="16">
        <v>339.58080000000001</v>
      </c>
      <c r="W296" s="16">
        <v>341.69639999999998</v>
      </c>
      <c r="X296" s="16">
        <v>335.79340000000002</v>
      </c>
      <c r="Y296" s="16">
        <v>318.60730000000001</v>
      </c>
      <c r="Z296" s="16"/>
      <c r="AA296" s="17">
        <f t="shared" si="12"/>
        <v>364.47809999999998</v>
      </c>
      <c r="AB296" s="17">
        <f t="shared" si="13"/>
        <v>59.326099999999997</v>
      </c>
      <c r="AC296" s="17">
        <f t="shared" si="14"/>
        <v>276.27472499999999</v>
      </c>
    </row>
    <row r="297" spans="1:29">
      <c r="A297" s="8">
        <v>45587</v>
      </c>
      <c r="B297" s="16">
        <v>333.4282</v>
      </c>
      <c r="C297" s="16">
        <v>335.87979999999999</v>
      </c>
      <c r="D297" s="16">
        <v>326.78829999999999</v>
      </c>
      <c r="E297" s="16">
        <v>324.70389999999998</v>
      </c>
      <c r="F297" s="16">
        <v>308.29300000000001</v>
      </c>
      <c r="G297" s="16">
        <v>305.1576</v>
      </c>
      <c r="H297" s="16">
        <v>317.77120000000002</v>
      </c>
      <c r="I297" s="16">
        <v>326.20749999999998</v>
      </c>
      <c r="J297" s="16">
        <v>343.15629999999999</v>
      </c>
      <c r="K297" s="16">
        <v>324.52379999999999</v>
      </c>
      <c r="L297" s="16">
        <v>276.66550000000001</v>
      </c>
      <c r="M297" s="16">
        <v>280.90989999999999</v>
      </c>
      <c r="N297" s="16">
        <v>219.26830000000001</v>
      </c>
      <c r="O297" s="16">
        <v>309.09899999999999</v>
      </c>
      <c r="P297" s="16">
        <v>338.39299999999997</v>
      </c>
      <c r="Q297" s="16">
        <v>371.85120000000001</v>
      </c>
      <c r="R297" s="16">
        <v>461.80790000000002</v>
      </c>
      <c r="S297" s="16">
        <v>473.17180000000002</v>
      </c>
      <c r="T297" s="16">
        <v>353.11590000000001</v>
      </c>
      <c r="U297" s="16">
        <v>342.31529999999998</v>
      </c>
      <c r="V297" s="16">
        <v>331.78530000000001</v>
      </c>
      <c r="W297" s="16">
        <v>325.37650000000002</v>
      </c>
      <c r="X297" s="16">
        <v>299.05180000000001</v>
      </c>
      <c r="Y297" s="16">
        <v>218.01439999999999</v>
      </c>
      <c r="Z297" s="16"/>
      <c r="AA297" s="17">
        <f t="shared" si="12"/>
        <v>473.17180000000002</v>
      </c>
      <c r="AB297" s="17">
        <f t="shared" si="13"/>
        <v>218.01439999999999</v>
      </c>
      <c r="AC297" s="17">
        <f t="shared" si="14"/>
        <v>326.94730833333301</v>
      </c>
    </row>
    <row r="298" spans="1:29">
      <c r="A298" s="8">
        <v>45588</v>
      </c>
      <c r="B298" s="16">
        <v>217.1326</v>
      </c>
      <c r="C298" s="16">
        <v>125.40170000000001</v>
      </c>
      <c r="D298" s="16">
        <v>139.50970000000001</v>
      </c>
      <c r="E298" s="16">
        <v>0</v>
      </c>
      <c r="F298" s="16">
        <v>0</v>
      </c>
      <c r="G298" s="16">
        <v>0</v>
      </c>
      <c r="H298" s="16">
        <v>63.688299999999998</v>
      </c>
      <c r="I298" s="16">
        <v>182.8783</v>
      </c>
      <c r="J298" s="16">
        <v>152.5008</v>
      </c>
      <c r="K298" s="16">
        <v>15.374499999999999</v>
      </c>
      <c r="L298" s="16">
        <v>119.5861</v>
      </c>
      <c r="M298" s="16">
        <v>106.53619999999999</v>
      </c>
      <c r="N298" s="16">
        <v>0</v>
      </c>
      <c r="O298" s="16">
        <v>176.08930000000001</v>
      </c>
      <c r="P298" s="16">
        <v>61.672199999999997</v>
      </c>
      <c r="Q298" s="16">
        <v>31.1069</v>
      </c>
      <c r="R298" s="16">
        <v>126.7003</v>
      </c>
      <c r="S298" s="16">
        <v>258.90429999999998</v>
      </c>
      <c r="T298" s="16">
        <v>282.57240000000002</v>
      </c>
      <c r="U298" s="16">
        <v>277.11630000000002</v>
      </c>
      <c r="V298" s="16">
        <v>273.51339999999999</v>
      </c>
      <c r="W298" s="16">
        <v>194.71539999999999</v>
      </c>
      <c r="X298" s="16">
        <v>128.85890000000001</v>
      </c>
      <c r="Y298" s="16">
        <v>135.48750000000001</v>
      </c>
      <c r="Z298" s="16"/>
      <c r="AA298" s="17">
        <f t="shared" si="12"/>
        <v>282.57240000000002</v>
      </c>
      <c r="AB298" s="17">
        <f t="shared" si="13"/>
        <v>0</v>
      </c>
      <c r="AC298" s="17">
        <f t="shared" si="14"/>
        <v>127.889379166667</v>
      </c>
    </row>
    <row r="299" spans="1:29">
      <c r="A299" s="8">
        <v>45589</v>
      </c>
      <c r="B299" s="16">
        <v>146.40129999999999</v>
      </c>
      <c r="C299" s="16">
        <v>0</v>
      </c>
      <c r="D299" s="16">
        <v>2.4653999999999998</v>
      </c>
      <c r="E299" s="16">
        <v>2.0999999999999999E-3</v>
      </c>
      <c r="F299" s="16">
        <v>0</v>
      </c>
      <c r="G299" s="16">
        <v>0</v>
      </c>
      <c r="H299" s="16">
        <v>69.319500000000005</v>
      </c>
      <c r="I299" s="16">
        <v>247.51910000000001</v>
      </c>
      <c r="J299" s="16">
        <v>282.4128</v>
      </c>
      <c r="K299" s="16">
        <v>114.2379</v>
      </c>
      <c r="L299" s="16">
        <v>25.669499999999999</v>
      </c>
      <c r="M299" s="16">
        <v>50.588700000000003</v>
      </c>
      <c r="N299" s="16">
        <v>0</v>
      </c>
      <c r="O299" s="16">
        <v>144.24119999999999</v>
      </c>
      <c r="P299" s="16">
        <v>141.7681</v>
      </c>
      <c r="Q299" s="16">
        <v>237.3912</v>
      </c>
      <c r="R299" s="16">
        <v>288.64010000000002</v>
      </c>
      <c r="S299" s="16">
        <v>301.37729999999999</v>
      </c>
      <c r="T299" s="16">
        <v>296.06009999999998</v>
      </c>
      <c r="U299" s="16">
        <v>296.8904</v>
      </c>
      <c r="V299" s="16">
        <v>294.20420000000001</v>
      </c>
      <c r="W299" s="16">
        <v>278.50599999999997</v>
      </c>
      <c r="X299" s="16">
        <v>193.83420000000001</v>
      </c>
      <c r="Y299" s="16">
        <v>5.6856</v>
      </c>
      <c r="Z299" s="16"/>
      <c r="AA299" s="17">
        <f t="shared" si="12"/>
        <v>301.37729999999999</v>
      </c>
      <c r="AB299" s="17">
        <f t="shared" si="13"/>
        <v>0</v>
      </c>
      <c r="AC299" s="17">
        <f t="shared" si="14"/>
        <v>142.383945833333</v>
      </c>
    </row>
    <row r="300" spans="1:29">
      <c r="A300" s="8">
        <v>45590</v>
      </c>
      <c r="B300" s="16">
        <v>238.7807</v>
      </c>
      <c r="C300" s="16">
        <v>153.5557</v>
      </c>
      <c r="D300" s="16">
        <v>12.103300000000001</v>
      </c>
      <c r="E300" s="16">
        <v>5.8387000000000002</v>
      </c>
      <c r="F300" s="16">
        <v>0.20660000000000001</v>
      </c>
      <c r="G300" s="16">
        <v>0.24390000000000001</v>
      </c>
      <c r="H300" s="16">
        <v>125.6994</v>
      </c>
      <c r="I300" s="16">
        <v>50.741399999999999</v>
      </c>
      <c r="J300" s="16">
        <v>292.70639999999997</v>
      </c>
      <c r="K300" s="16">
        <v>166.88720000000001</v>
      </c>
      <c r="L300" s="16">
        <v>31.494900000000001</v>
      </c>
      <c r="M300" s="16">
        <v>141.64680000000001</v>
      </c>
      <c r="N300" s="16">
        <v>37.537399999999998</v>
      </c>
      <c r="O300" s="16">
        <v>88.882099999999994</v>
      </c>
      <c r="P300" s="16">
        <v>149.24520000000001</v>
      </c>
      <c r="Q300" s="16">
        <v>178.36009999999999</v>
      </c>
      <c r="R300" s="16">
        <v>225.71369999999999</v>
      </c>
      <c r="S300" s="16">
        <v>241.95859999999999</v>
      </c>
      <c r="T300" s="16">
        <v>295.3426</v>
      </c>
      <c r="U300" s="16">
        <v>314.19240000000002</v>
      </c>
      <c r="V300" s="16">
        <v>305.67160000000001</v>
      </c>
      <c r="W300" s="16">
        <v>291.79239999999999</v>
      </c>
      <c r="X300" s="16">
        <v>140.5325</v>
      </c>
      <c r="Y300" s="16">
        <v>3.1516000000000002</v>
      </c>
      <c r="Z300" s="16"/>
      <c r="AA300" s="17">
        <f t="shared" si="12"/>
        <v>314.19240000000002</v>
      </c>
      <c r="AB300" s="17">
        <f t="shared" si="13"/>
        <v>0.20660000000000001</v>
      </c>
      <c r="AC300" s="17">
        <f t="shared" si="14"/>
        <v>145.511883333333</v>
      </c>
    </row>
    <row r="301" spans="1:29">
      <c r="A301" s="8">
        <v>45591</v>
      </c>
      <c r="B301" s="16">
        <v>338.19670000000002</v>
      </c>
      <c r="C301" s="16">
        <v>283.04410000000001</v>
      </c>
      <c r="D301" s="16">
        <v>269.1071</v>
      </c>
      <c r="E301" s="16">
        <v>185.55260000000001</v>
      </c>
      <c r="F301" s="16">
        <v>5.1246</v>
      </c>
      <c r="G301" s="16">
        <v>43.1614</v>
      </c>
      <c r="H301" s="16">
        <v>108.661</v>
      </c>
      <c r="I301" s="16">
        <v>277.62029999999999</v>
      </c>
      <c r="J301" s="16">
        <v>518.52279999999996</v>
      </c>
      <c r="K301" s="16">
        <v>565.93809999999996</v>
      </c>
      <c r="L301" s="16">
        <v>370.96339999999998</v>
      </c>
      <c r="M301" s="16">
        <v>195.5138</v>
      </c>
      <c r="N301" s="16">
        <v>141.24610000000001</v>
      </c>
      <c r="O301" s="16">
        <v>388.51490000000001</v>
      </c>
      <c r="P301" s="16">
        <v>518.32219999999995</v>
      </c>
      <c r="Q301" s="16">
        <v>329.94040000000001</v>
      </c>
      <c r="R301" s="16">
        <v>409.08359999999999</v>
      </c>
      <c r="S301" s="16">
        <v>444.11500000000001</v>
      </c>
      <c r="T301" s="16">
        <v>447.36529999999999</v>
      </c>
      <c r="U301" s="16">
        <v>336.88690000000003</v>
      </c>
      <c r="V301" s="16">
        <v>313.29930000000002</v>
      </c>
      <c r="W301" s="16">
        <v>335.71170000000001</v>
      </c>
      <c r="X301" s="16">
        <v>307.97269999999997</v>
      </c>
      <c r="Y301" s="16">
        <v>259.92770000000002</v>
      </c>
      <c r="Z301" s="16"/>
      <c r="AA301" s="17">
        <f t="shared" si="12"/>
        <v>565.93809999999996</v>
      </c>
      <c r="AB301" s="17">
        <f t="shared" si="13"/>
        <v>5.1246</v>
      </c>
      <c r="AC301" s="17">
        <f t="shared" si="14"/>
        <v>308.07465416666702</v>
      </c>
    </row>
    <row r="302" spans="1:29">
      <c r="A302" s="8">
        <v>45592</v>
      </c>
      <c r="B302" s="16">
        <v>490.53359999999998</v>
      </c>
      <c r="C302" s="16">
        <v>327.14479999999998</v>
      </c>
      <c r="D302" s="16">
        <v>310.28930000000003</v>
      </c>
      <c r="E302" s="16">
        <v>304.62639999999999</v>
      </c>
      <c r="F302" s="16">
        <v>289.23779999999999</v>
      </c>
      <c r="G302" s="16">
        <v>288.88389999999998</v>
      </c>
      <c r="H302" s="16">
        <v>288.01220000000001</v>
      </c>
      <c r="I302" s="16">
        <v>304.58510000000001</v>
      </c>
      <c r="J302" s="16">
        <v>270.51519999999999</v>
      </c>
      <c r="K302" s="16">
        <v>285.12470000000002</v>
      </c>
      <c r="L302" s="16">
        <v>223.11429999999999</v>
      </c>
      <c r="M302" s="16">
        <v>277.68389999999999</v>
      </c>
      <c r="N302" s="16">
        <v>215.16470000000001</v>
      </c>
      <c r="O302" s="16">
        <v>315.23829999999998</v>
      </c>
      <c r="P302" s="16">
        <v>328.14389999999997</v>
      </c>
      <c r="Q302" s="16">
        <v>321.06659999999999</v>
      </c>
      <c r="R302" s="16">
        <v>312.17930000000001</v>
      </c>
      <c r="S302" s="16">
        <v>298.7946</v>
      </c>
      <c r="T302" s="16">
        <v>294.03730000000002</v>
      </c>
      <c r="U302" s="16">
        <v>304.50569999999999</v>
      </c>
      <c r="V302" s="16">
        <v>302.678</v>
      </c>
      <c r="W302" s="16">
        <v>309.52100000000002</v>
      </c>
      <c r="X302" s="16">
        <v>302.17020000000002</v>
      </c>
      <c r="Y302" s="16">
        <v>295.30529999999999</v>
      </c>
      <c r="Z302" s="16"/>
      <c r="AA302" s="17">
        <f t="shared" si="12"/>
        <v>490.53359999999998</v>
      </c>
      <c r="AB302" s="17">
        <f t="shared" si="13"/>
        <v>215.16470000000001</v>
      </c>
      <c r="AC302" s="17">
        <f t="shared" si="14"/>
        <v>302.43983750000001</v>
      </c>
    </row>
    <row r="303" spans="1:29">
      <c r="A303" s="8">
        <v>45593</v>
      </c>
      <c r="B303" s="16">
        <v>333.73070000000001</v>
      </c>
      <c r="C303" s="16">
        <v>277.38299999999998</v>
      </c>
      <c r="D303" s="16">
        <v>270.52539999999999</v>
      </c>
      <c r="E303" s="16">
        <v>235.32300000000001</v>
      </c>
      <c r="F303" s="16">
        <v>213.94280000000001</v>
      </c>
      <c r="G303" s="16">
        <v>199.1207</v>
      </c>
      <c r="H303" s="16">
        <v>281.81979999999999</v>
      </c>
      <c r="I303" s="16">
        <v>298.22719999999998</v>
      </c>
      <c r="J303" s="16">
        <v>310.8623</v>
      </c>
      <c r="K303" s="16">
        <v>278.82029999999997</v>
      </c>
      <c r="L303" s="16">
        <v>20.1755</v>
      </c>
      <c r="M303" s="16">
        <v>83.981999999999999</v>
      </c>
      <c r="N303" s="16">
        <v>2.0192999999999999</v>
      </c>
      <c r="O303" s="16">
        <v>144.0856</v>
      </c>
      <c r="P303" s="16">
        <v>288.34539999999998</v>
      </c>
      <c r="Q303" s="16">
        <v>283.91120000000001</v>
      </c>
      <c r="R303" s="16">
        <v>286.43680000000001</v>
      </c>
      <c r="S303" s="16">
        <v>284.31990000000002</v>
      </c>
      <c r="T303" s="16">
        <v>301.9357</v>
      </c>
      <c r="U303" s="16">
        <v>308.77789999999999</v>
      </c>
      <c r="V303" s="16">
        <v>304.03030000000001</v>
      </c>
      <c r="W303" s="16">
        <v>310.18639999999999</v>
      </c>
      <c r="X303" s="16">
        <v>284.08499999999998</v>
      </c>
      <c r="Y303" s="16">
        <v>21.959599999999998</v>
      </c>
      <c r="Z303" s="16"/>
      <c r="AA303" s="17">
        <f t="shared" si="12"/>
        <v>333.73070000000001</v>
      </c>
      <c r="AB303" s="17">
        <f t="shared" si="13"/>
        <v>2.0192999999999999</v>
      </c>
      <c r="AC303" s="17">
        <f t="shared" si="14"/>
        <v>234.333575</v>
      </c>
    </row>
    <row r="304" spans="1:29">
      <c r="A304" s="8">
        <v>45594</v>
      </c>
      <c r="B304" s="16">
        <v>212.5145</v>
      </c>
      <c r="C304" s="16">
        <v>225.572</v>
      </c>
      <c r="D304" s="16">
        <v>272.28129999999999</v>
      </c>
      <c r="E304" s="16">
        <v>254.10429999999999</v>
      </c>
      <c r="F304" s="16">
        <v>65.391400000000004</v>
      </c>
      <c r="G304" s="16">
        <v>188.9145</v>
      </c>
      <c r="H304" s="16">
        <v>274.60000000000002</v>
      </c>
      <c r="I304" s="16">
        <v>208.74860000000001</v>
      </c>
      <c r="J304" s="16">
        <v>282.06810000000002</v>
      </c>
      <c r="K304" s="16">
        <v>278.80070000000001</v>
      </c>
      <c r="L304" s="16">
        <v>121.8747</v>
      </c>
      <c r="M304" s="16">
        <v>44.905799999999999</v>
      </c>
      <c r="N304" s="16">
        <v>0</v>
      </c>
      <c r="O304" s="16">
        <v>183.22329999999999</v>
      </c>
      <c r="P304" s="16">
        <v>283.3673</v>
      </c>
      <c r="Q304" s="16">
        <v>293.0659</v>
      </c>
      <c r="R304" s="16">
        <v>312.3741</v>
      </c>
      <c r="S304" s="16">
        <v>310.16050000000001</v>
      </c>
      <c r="T304" s="16">
        <v>320.4008</v>
      </c>
      <c r="U304" s="16">
        <v>327.15159999999997</v>
      </c>
      <c r="V304" s="16">
        <v>308.24189999999999</v>
      </c>
      <c r="W304" s="16">
        <v>312.07490000000001</v>
      </c>
      <c r="X304" s="16">
        <v>278.74650000000003</v>
      </c>
      <c r="Y304" s="16">
        <v>174.53829999999999</v>
      </c>
      <c r="Z304" s="16"/>
      <c r="AA304" s="17">
        <f t="shared" si="12"/>
        <v>327.15159999999997</v>
      </c>
      <c r="AB304" s="17">
        <f t="shared" si="13"/>
        <v>0</v>
      </c>
      <c r="AC304" s="17">
        <f t="shared" si="14"/>
        <v>230.54670833333299</v>
      </c>
    </row>
    <row r="305" spans="1:29">
      <c r="A305" s="8">
        <v>45595</v>
      </c>
      <c r="B305" s="16">
        <v>263.46429999999998</v>
      </c>
      <c r="C305" s="16">
        <v>274.7</v>
      </c>
      <c r="D305" s="16">
        <v>244.8844</v>
      </c>
      <c r="E305" s="16">
        <v>268.26569999999998</v>
      </c>
      <c r="F305" s="16">
        <v>268.77339999999998</v>
      </c>
      <c r="G305" s="16">
        <v>272.33319999999998</v>
      </c>
      <c r="H305" s="16">
        <v>290.97809999999998</v>
      </c>
      <c r="I305" s="16">
        <v>284.64120000000003</v>
      </c>
      <c r="J305" s="16">
        <v>287.7063</v>
      </c>
      <c r="K305" s="16">
        <v>211.83860000000001</v>
      </c>
      <c r="L305" s="16">
        <v>0</v>
      </c>
      <c r="M305" s="16">
        <v>187.61750000000001</v>
      </c>
      <c r="N305" s="16">
        <v>216.34139999999999</v>
      </c>
      <c r="O305" s="16">
        <v>271.07040000000001</v>
      </c>
      <c r="P305" s="16">
        <v>302.82080000000002</v>
      </c>
      <c r="Q305" s="16">
        <v>325.13159999999999</v>
      </c>
      <c r="R305" s="16">
        <v>319.94720000000001</v>
      </c>
      <c r="S305" s="16">
        <v>328.5752</v>
      </c>
      <c r="T305" s="16">
        <v>343.92340000000002</v>
      </c>
      <c r="U305" s="16">
        <v>354.8297</v>
      </c>
      <c r="V305" s="16">
        <v>348.27589999999998</v>
      </c>
      <c r="W305" s="16">
        <v>341.63380000000001</v>
      </c>
      <c r="X305" s="16">
        <v>337.75920000000002</v>
      </c>
      <c r="Y305" s="16">
        <v>298.67610000000002</v>
      </c>
      <c r="Z305" s="16"/>
      <c r="AA305" s="17">
        <f t="shared" si="12"/>
        <v>354.8297</v>
      </c>
      <c r="AB305" s="17">
        <f t="shared" si="13"/>
        <v>0</v>
      </c>
      <c r="AC305" s="17">
        <f t="shared" si="14"/>
        <v>276.841141666667</v>
      </c>
    </row>
    <row r="306" spans="1:29">
      <c r="A306" s="8">
        <v>45596</v>
      </c>
      <c r="B306" s="16">
        <v>322.36309999999997</v>
      </c>
      <c r="C306" s="16">
        <v>302.62909999999999</v>
      </c>
      <c r="D306" s="16">
        <v>289.1139</v>
      </c>
      <c r="E306" s="16">
        <v>285.28339999999997</v>
      </c>
      <c r="F306" s="16">
        <v>274.12139999999999</v>
      </c>
      <c r="G306" s="16">
        <v>272.36369999999999</v>
      </c>
      <c r="H306" s="16">
        <v>296.52820000000003</v>
      </c>
      <c r="I306" s="16">
        <v>301.22190000000001</v>
      </c>
      <c r="J306" s="16">
        <v>293.70929999999998</v>
      </c>
      <c r="K306" s="16">
        <v>200.56</v>
      </c>
      <c r="L306" s="16">
        <v>5.1584000000000003</v>
      </c>
      <c r="M306" s="16">
        <v>136.02260000000001</v>
      </c>
      <c r="N306" s="16">
        <v>86.335099999999997</v>
      </c>
      <c r="O306" s="16">
        <v>87.6965</v>
      </c>
      <c r="P306" s="16">
        <v>145.5471</v>
      </c>
      <c r="Q306" s="16">
        <v>290.47190000000001</v>
      </c>
      <c r="R306" s="16">
        <v>327.6721</v>
      </c>
      <c r="S306" s="16">
        <v>324.65859999999998</v>
      </c>
      <c r="T306" s="16">
        <v>328.37119999999999</v>
      </c>
      <c r="U306" s="16">
        <v>355.48559999999998</v>
      </c>
      <c r="V306" s="16">
        <v>313.82400000000001</v>
      </c>
      <c r="W306" s="16">
        <v>324.86169999999998</v>
      </c>
      <c r="X306" s="16">
        <v>309.23480000000001</v>
      </c>
      <c r="Y306" s="16">
        <v>292.98219999999998</v>
      </c>
      <c r="Z306" s="16"/>
      <c r="AA306" s="17">
        <f t="shared" si="12"/>
        <v>355.48559999999998</v>
      </c>
      <c r="AB306" s="17">
        <f t="shared" si="13"/>
        <v>5.1584000000000003</v>
      </c>
      <c r="AC306" s="17">
        <f t="shared" si="14"/>
        <v>256.92565833333299</v>
      </c>
    </row>
    <row r="307" spans="1:29">
      <c r="A307" s="8">
        <v>45597</v>
      </c>
      <c r="B307" s="16">
        <v>334.65949999999998</v>
      </c>
      <c r="C307" s="16">
        <v>311.7756</v>
      </c>
      <c r="D307" s="16">
        <v>301.80709999999999</v>
      </c>
      <c r="E307" s="16">
        <v>296.39999999999998</v>
      </c>
      <c r="F307" s="16">
        <v>289.39999999999998</v>
      </c>
      <c r="G307" s="16">
        <v>297.64999999999998</v>
      </c>
      <c r="H307" s="16">
        <v>306.702</v>
      </c>
      <c r="I307" s="16">
        <v>317.17489999999998</v>
      </c>
      <c r="J307" s="16">
        <v>331.94720000000001</v>
      </c>
      <c r="K307" s="16">
        <v>311.13470000000001</v>
      </c>
      <c r="L307" s="16">
        <v>314.5222</v>
      </c>
      <c r="M307" s="16">
        <v>282.60489999999999</v>
      </c>
      <c r="N307" s="16">
        <v>211.9588</v>
      </c>
      <c r="O307" s="16">
        <v>294.91759999999999</v>
      </c>
      <c r="P307" s="16">
        <v>317.0326</v>
      </c>
      <c r="Q307" s="16">
        <v>345.6472</v>
      </c>
      <c r="R307" s="16">
        <v>377.3698</v>
      </c>
      <c r="S307" s="16">
        <v>356.52679999999998</v>
      </c>
      <c r="T307" s="16">
        <v>376.76549999999997</v>
      </c>
      <c r="U307" s="16">
        <v>361.8698</v>
      </c>
      <c r="V307" s="16">
        <v>358.89679999999998</v>
      </c>
      <c r="W307" s="16">
        <v>345.53890000000001</v>
      </c>
      <c r="X307" s="16">
        <v>338.37470000000002</v>
      </c>
      <c r="Y307" s="16">
        <v>319.8098</v>
      </c>
      <c r="Z307" s="16"/>
      <c r="AA307" s="17">
        <f t="shared" si="12"/>
        <v>377.3698</v>
      </c>
      <c r="AB307" s="17">
        <f t="shared" si="13"/>
        <v>211.9588</v>
      </c>
      <c r="AC307" s="17">
        <f t="shared" si="14"/>
        <v>320.85359999999997</v>
      </c>
    </row>
    <row r="308" spans="1:29">
      <c r="A308" s="8">
        <v>45598</v>
      </c>
      <c r="B308" s="16">
        <v>365.85950000000003</v>
      </c>
      <c r="C308" s="16">
        <v>314.70049999999998</v>
      </c>
      <c r="D308" s="16">
        <v>304.04930000000002</v>
      </c>
      <c r="E308" s="16">
        <v>296.17970000000003</v>
      </c>
      <c r="F308" s="16">
        <v>288.91590000000002</v>
      </c>
      <c r="G308" s="16">
        <v>280.93509999999998</v>
      </c>
      <c r="H308" s="16">
        <v>287.20600000000002</v>
      </c>
      <c r="I308" s="16">
        <v>308.19529999999997</v>
      </c>
      <c r="J308" s="16">
        <v>328.99059999999997</v>
      </c>
      <c r="K308" s="16">
        <v>333.4477</v>
      </c>
      <c r="L308" s="16">
        <v>319.16899999999998</v>
      </c>
      <c r="M308" s="16">
        <v>293.50720000000001</v>
      </c>
      <c r="N308" s="16">
        <v>153.51779999999999</v>
      </c>
      <c r="O308" s="16">
        <v>294.0763</v>
      </c>
      <c r="P308" s="16">
        <v>316.83539999999999</v>
      </c>
      <c r="Q308" s="16">
        <v>326.3152</v>
      </c>
      <c r="R308" s="16">
        <v>330.5369</v>
      </c>
      <c r="S308" s="16">
        <v>307.21280000000002</v>
      </c>
      <c r="T308" s="16">
        <v>329.68549999999999</v>
      </c>
      <c r="U308" s="16">
        <v>310.49239999999998</v>
      </c>
      <c r="V308" s="16">
        <v>316.14890000000003</v>
      </c>
      <c r="W308" s="16">
        <v>325.72590000000002</v>
      </c>
      <c r="X308" s="16">
        <v>312.14179999999999</v>
      </c>
      <c r="Y308" s="16">
        <v>308.87220000000002</v>
      </c>
      <c r="Z308" s="16"/>
      <c r="AA308" s="17">
        <f t="shared" si="12"/>
        <v>365.85950000000003</v>
      </c>
      <c r="AB308" s="17">
        <f t="shared" si="13"/>
        <v>153.51779999999999</v>
      </c>
      <c r="AC308" s="17">
        <f t="shared" si="14"/>
        <v>306.363204166667</v>
      </c>
    </row>
    <row r="309" spans="1:29">
      <c r="A309" s="8">
        <v>45599</v>
      </c>
      <c r="B309" s="16">
        <v>343.46749999999997</v>
      </c>
      <c r="C309" s="16">
        <v>318.62220000000002</v>
      </c>
      <c r="D309" s="16">
        <v>298.24340000000001</v>
      </c>
      <c r="E309" s="16">
        <v>293.24279999999999</v>
      </c>
      <c r="F309" s="16">
        <v>295.70729999999998</v>
      </c>
      <c r="G309" s="16">
        <v>288.69499999999999</v>
      </c>
      <c r="H309" s="16">
        <v>292.28820000000002</v>
      </c>
      <c r="I309" s="16">
        <v>294.07510000000002</v>
      </c>
      <c r="J309" s="16">
        <v>287.61219999999997</v>
      </c>
      <c r="K309" s="16">
        <v>275.24610000000001</v>
      </c>
      <c r="L309" s="16">
        <v>117.87009999999999</v>
      </c>
      <c r="M309" s="16">
        <v>9.6687999999999992</v>
      </c>
      <c r="N309" s="16">
        <v>32.561500000000002</v>
      </c>
      <c r="O309" s="16">
        <v>70.435299999999998</v>
      </c>
      <c r="P309" s="16">
        <v>181.4958</v>
      </c>
      <c r="Q309" s="16">
        <v>286.07029999999997</v>
      </c>
      <c r="R309" s="16">
        <v>313.1422</v>
      </c>
      <c r="S309" s="16">
        <v>336.44589999999999</v>
      </c>
      <c r="T309" s="16">
        <v>339.29059999999998</v>
      </c>
      <c r="U309" s="16">
        <v>336.97770000000003</v>
      </c>
      <c r="V309" s="16">
        <v>372.12779999999998</v>
      </c>
      <c r="W309" s="16">
        <v>355.5557</v>
      </c>
      <c r="X309" s="16">
        <v>332.13850000000002</v>
      </c>
      <c r="Y309" s="16">
        <v>300.52390000000003</v>
      </c>
      <c r="Z309" s="16"/>
      <c r="AA309" s="17">
        <f t="shared" si="12"/>
        <v>372.12779999999998</v>
      </c>
      <c r="AB309" s="17">
        <f t="shared" si="13"/>
        <v>9.6687999999999992</v>
      </c>
      <c r="AC309" s="17">
        <f t="shared" si="14"/>
        <v>265.47932916666701</v>
      </c>
    </row>
    <row r="310" spans="1:29">
      <c r="A310" s="8">
        <v>45600</v>
      </c>
      <c r="B310" s="16">
        <v>342.238</v>
      </c>
      <c r="C310" s="16">
        <v>331.22050000000002</v>
      </c>
      <c r="D310" s="16">
        <v>311.91879999999998</v>
      </c>
      <c r="E310" s="16">
        <v>296.62150000000003</v>
      </c>
      <c r="F310" s="16">
        <v>291.03199999999998</v>
      </c>
      <c r="G310" s="16">
        <v>293.89010000000002</v>
      </c>
      <c r="H310" s="16">
        <v>317.69319999999999</v>
      </c>
      <c r="I310" s="16">
        <v>329.96699999999998</v>
      </c>
      <c r="J310" s="16">
        <v>366.93810000000002</v>
      </c>
      <c r="K310" s="16">
        <v>412.65519999999998</v>
      </c>
      <c r="L310" s="16">
        <v>330.25259999999997</v>
      </c>
      <c r="M310" s="16">
        <v>338.99439999999998</v>
      </c>
      <c r="N310" s="16">
        <v>329.44170000000003</v>
      </c>
      <c r="O310" s="16">
        <v>360.67660000000001</v>
      </c>
      <c r="P310" s="16">
        <v>387.49400000000003</v>
      </c>
      <c r="Q310" s="16">
        <v>420.6934</v>
      </c>
      <c r="R310" s="16">
        <v>373.34109999999998</v>
      </c>
      <c r="S310" s="16">
        <v>428.70839999999998</v>
      </c>
      <c r="T310" s="16">
        <v>424.21440000000001</v>
      </c>
      <c r="U310" s="16">
        <v>426.17309999999998</v>
      </c>
      <c r="V310" s="16">
        <v>360.29</v>
      </c>
      <c r="W310" s="16">
        <v>410.60109999999997</v>
      </c>
      <c r="X310" s="16">
        <v>378.99790000000002</v>
      </c>
      <c r="Y310" s="16">
        <v>365.13279999999997</v>
      </c>
      <c r="Z310" s="16"/>
      <c r="AA310" s="17">
        <f t="shared" si="12"/>
        <v>428.70839999999998</v>
      </c>
      <c r="AB310" s="17">
        <f t="shared" si="13"/>
        <v>291.03199999999998</v>
      </c>
      <c r="AC310" s="17">
        <f t="shared" si="14"/>
        <v>359.54941250000002</v>
      </c>
    </row>
    <row r="311" spans="1:29">
      <c r="A311" s="8">
        <v>45601</v>
      </c>
      <c r="B311" s="16">
        <v>345.7543</v>
      </c>
      <c r="C311" s="16">
        <v>317.1429</v>
      </c>
      <c r="D311" s="16">
        <v>309.68709999999999</v>
      </c>
      <c r="E311" s="16">
        <v>299.7756</v>
      </c>
      <c r="F311" s="16">
        <v>298.8657</v>
      </c>
      <c r="G311" s="16">
        <v>299.30610000000001</v>
      </c>
      <c r="H311" s="16">
        <v>311.05470000000003</v>
      </c>
      <c r="I311" s="16">
        <v>330.50549999999998</v>
      </c>
      <c r="J311" s="16">
        <v>364.06509999999997</v>
      </c>
      <c r="K311" s="16">
        <v>356.35270000000003</v>
      </c>
      <c r="L311" s="16">
        <v>321.09809999999999</v>
      </c>
      <c r="M311" s="16">
        <v>306.89640000000003</v>
      </c>
      <c r="N311" s="16">
        <v>289.26330000000002</v>
      </c>
      <c r="O311" s="16">
        <v>322.733</v>
      </c>
      <c r="P311" s="16">
        <v>329.16699999999997</v>
      </c>
      <c r="Q311" s="16">
        <v>342.04289999999997</v>
      </c>
      <c r="R311" s="16">
        <v>378.96589999999998</v>
      </c>
      <c r="S311" s="16">
        <v>369.33440000000002</v>
      </c>
      <c r="T311" s="16">
        <v>370.80410000000001</v>
      </c>
      <c r="U311" s="16">
        <v>365.42129999999997</v>
      </c>
      <c r="V311" s="16">
        <v>368.33969999999999</v>
      </c>
      <c r="W311" s="16">
        <v>339.2328</v>
      </c>
      <c r="X311" s="16">
        <v>325.55430000000001</v>
      </c>
      <c r="Y311" s="16">
        <v>315.39699999999999</v>
      </c>
      <c r="Z311" s="16"/>
      <c r="AA311" s="17">
        <f t="shared" si="12"/>
        <v>378.96589999999998</v>
      </c>
      <c r="AB311" s="17">
        <f t="shared" si="13"/>
        <v>289.26330000000002</v>
      </c>
      <c r="AC311" s="17">
        <f t="shared" si="14"/>
        <v>332.36499583333301</v>
      </c>
    </row>
    <row r="312" spans="1:29">
      <c r="A312" s="8">
        <v>45602</v>
      </c>
      <c r="B312" s="16">
        <v>301.43689999999998</v>
      </c>
      <c r="C312" s="16">
        <v>293.26609999999999</v>
      </c>
      <c r="D312" s="16">
        <v>284.93220000000002</v>
      </c>
      <c r="E312" s="16">
        <v>283.9905</v>
      </c>
      <c r="F312" s="16">
        <v>276.88639999999998</v>
      </c>
      <c r="G312" s="16">
        <v>278.88740000000001</v>
      </c>
      <c r="H312" s="16">
        <v>284.77969999999999</v>
      </c>
      <c r="I312" s="16">
        <v>299.46109999999999</v>
      </c>
      <c r="J312" s="16">
        <v>313.70490000000001</v>
      </c>
      <c r="K312" s="16">
        <v>287.92039999999997</v>
      </c>
      <c r="L312" s="16">
        <v>257.01569999999998</v>
      </c>
      <c r="M312" s="16">
        <v>257.62990000000002</v>
      </c>
      <c r="N312" s="16">
        <v>92.327299999999994</v>
      </c>
      <c r="O312" s="16">
        <v>222.28579999999999</v>
      </c>
      <c r="P312" s="16">
        <v>290.42540000000002</v>
      </c>
      <c r="Q312" s="16">
        <v>317.94049999999999</v>
      </c>
      <c r="R312" s="16">
        <v>351.16500000000002</v>
      </c>
      <c r="S312" s="16">
        <v>343.39949999999999</v>
      </c>
      <c r="T312" s="16">
        <v>360.42750000000001</v>
      </c>
      <c r="U312" s="16">
        <v>337.69909999999999</v>
      </c>
      <c r="V312" s="16">
        <v>328.24250000000001</v>
      </c>
      <c r="W312" s="16">
        <v>322.23070000000001</v>
      </c>
      <c r="X312" s="16">
        <v>312.46499999999997</v>
      </c>
      <c r="Y312" s="16">
        <v>301.26580000000001</v>
      </c>
      <c r="Z312" s="16"/>
      <c r="AA312" s="17">
        <f t="shared" si="12"/>
        <v>360.42750000000001</v>
      </c>
      <c r="AB312" s="17">
        <f t="shared" si="13"/>
        <v>92.327299999999994</v>
      </c>
      <c r="AC312" s="17">
        <f t="shared" si="14"/>
        <v>291.65772083333297</v>
      </c>
    </row>
    <row r="313" spans="1:29">
      <c r="A313" s="8">
        <v>45603</v>
      </c>
      <c r="B313" s="16">
        <v>292.61439999999999</v>
      </c>
      <c r="C313" s="16">
        <v>286.35700000000003</v>
      </c>
      <c r="D313" s="16">
        <v>278.30430000000001</v>
      </c>
      <c r="E313" s="16">
        <v>275.46039999999999</v>
      </c>
      <c r="F313" s="16">
        <v>270.82130000000001</v>
      </c>
      <c r="G313" s="16">
        <v>264.61989999999997</v>
      </c>
      <c r="H313" s="16">
        <v>283.80020000000002</v>
      </c>
      <c r="I313" s="16">
        <v>299.81700000000001</v>
      </c>
      <c r="J313" s="16">
        <v>308.00080000000003</v>
      </c>
      <c r="K313" s="16">
        <v>300.79629999999997</v>
      </c>
      <c r="L313" s="16">
        <v>288.60590000000002</v>
      </c>
      <c r="M313" s="16">
        <v>273.29199999999997</v>
      </c>
      <c r="N313" s="16">
        <v>91.770300000000006</v>
      </c>
      <c r="O313" s="16">
        <v>161.89709999999999</v>
      </c>
      <c r="P313" s="16">
        <v>291.89019999999999</v>
      </c>
      <c r="Q313" s="16">
        <v>299.78050000000002</v>
      </c>
      <c r="R313" s="16">
        <v>313.98239999999998</v>
      </c>
      <c r="S313" s="16">
        <v>330.88290000000001</v>
      </c>
      <c r="T313" s="16">
        <v>325.25940000000003</v>
      </c>
      <c r="U313" s="16">
        <v>333.54939999999999</v>
      </c>
      <c r="V313" s="16">
        <v>335.80329999999998</v>
      </c>
      <c r="W313" s="16">
        <v>352.05869999999999</v>
      </c>
      <c r="X313" s="16">
        <v>314.78930000000003</v>
      </c>
      <c r="Y313" s="16">
        <v>314.31979999999999</v>
      </c>
      <c r="Z313" s="16"/>
      <c r="AA313" s="17">
        <f t="shared" si="12"/>
        <v>352.05869999999999</v>
      </c>
      <c r="AB313" s="17">
        <f t="shared" si="13"/>
        <v>91.770300000000006</v>
      </c>
      <c r="AC313" s="17">
        <f t="shared" si="14"/>
        <v>287.0197</v>
      </c>
    </row>
    <row r="314" spans="1:29">
      <c r="A314" s="8">
        <v>45604</v>
      </c>
      <c r="B314" s="16">
        <v>342.4119</v>
      </c>
      <c r="C314" s="16">
        <v>304.28429999999997</v>
      </c>
      <c r="D314" s="16">
        <v>294.82080000000002</v>
      </c>
      <c r="E314" s="16">
        <v>292.09730000000002</v>
      </c>
      <c r="F314" s="16">
        <v>294.13139999999999</v>
      </c>
      <c r="G314" s="16">
        <v>289.3766</v>
      </c>
      <c r="H314" s="16">
        <v>298.53109999999998</v>
      </c>
      <c r="I314" s="16">
        <v>312.75200000000001</v>
      </c>
      <c r="J314" s="16">
        <v>314.60539999999997</v>
      </c>
      <c r="K314" s="16">
        <v>305.27289999999999</v>
      </c>
      <c r="L314" s="16">
        <v>292.12950000000001</v>
      </c>
      <c r="M314" s="16">
        <v>270.68770000000001</v>
      </c>
      <c r="N314" s="16">
        <v>196.24359999999999</v>
      </c>
      <c r="O314" s="16">
        <v>208.60380000000001</v>
      </c>
      <c r="P314" s="16">
        <v>293.61900000000003</v>
      </c>
      <c r="Q314" s="16">
        <v>316.54450000000003</v>
      </c>
      <c r="R314" s="16">
        <v>342.2473</v>
      </c>
      <c r="S314" s="16">
        <v>339.26940000000002</v>
      </c>
      <c r="T314" s="16">
        <v>330.6721</v>
      </c>
      <c r="U314" s="16">
        <v>330.58210000000003</v>
      </c>
      <c r="V314" s="16">
        <v>333.93079999999998</v>
      </c>
      <c r="W314" s="16">
        <v>328.77109999999999</v>
      </c>
      <c r="X314" s="16">
        <v>321.43450000000001</v>
      </c>
      <c r="Y314" s="16">
        <v>332.14679999999998</v>
      </c>
      <c r="Z314" s="16"/>
      <c r="AA314" s="17">
        <f t="shared" si="12"/>
        <v>342.4119</v>
      </c>
      <c r="AB314" s="17">
        <f t="shared" si="13"/>
        <v>196.24359999999999</v>
      </c>
      <c r="AC314" s="17">
        <f t="shared" si="14"/>
        <v>303.54857916666703</v>
      </c>
    </row>
    <row r="315" spans="1:29">
      <c r="A315" s="8">
        <v>45605</v>
      </c>
      <c r="B315" s="16">
        <v>351.66300000000001</v>
      </c>
      <c r="C315" s="16">
        <v>327.84410000000003</v>
      </c>
      <c r="D315" s="16">
        <v>313.10700000000003</v>
      </c>
      <c r="E315" s="16">
        <v>301.72190000000001</v>
      </c>
      <c r="F315" s="16">
        <v>298.87180000000001</v>
      </c>
      <c r="G315" s="16">
        <v>295.94659999999999</v>
      </c>
      <c r="H315" s="16">
        <v>303.07589999999999</v>
      </c>
      <c r="I315" s="16">
        <v>323.37920000000003</v>
      </c>
      <c r="J315" s="16">
        <v>362.71559999999999</v>
      </c>
      <c r="K315" s="16">
        <v>328.65460000000002</v>
      </c>
      <c r="L315" s="16">
        <v>293.76339999999999</v>
      </c>
      <c r="M315" s="16">
        <v>238.89760000000001</v>
      </c>
      <c r="N315" s="16">
        <v>32.509799999999998</v>
      </c>
      <c r="O315" s="16">
        <v>139.8272</v>
      </c>
      <c r="P315" s="16">
        <v>295.28629999999998</v>
      </c>
      <c r="Q315" s="16">
        <v>323.15499999999997</v>
      </c>
      <c r="R315" s="16">
        <v>351.13060000000002</v>
      </c>
      <c r="S315" s="16">
        <v>349.57769999999999</v>
      </c>
      <c r="T315" s="16">
        <v>340.70510000000002</v>
      </c>
      <c r="U315" s="16">
        <v>324.33210000000003</v>
      </c>
      <c r="V315" s="16">
        <v>347.84519999999998</v>
      </c>
      <c r="W315" s="16">
        <v>362.28899999999999</v>
      </c>
      <c r="X315" s="16">
        <v>343.46870000000001</v>
      </c>
      <c r="Y315" s="16">
        <v>351.42520000000002</v>
      </c>
      <c r="Z315" s="16"/>
      <c r="AA315" s="17">
        <f t="shared" si="12"/>
        <v>362.71559999999999</v>
      </c>
      <c r="AB315" s="17">
        <f t="shared" si="13"/>
        <v>32.509799999999998</v>
      </c>
      <c r="AC315" s="17">
        <f t="shared" si="14"/>
        <v>304.21635833333301</v>
      </c>
    </row>
    <row r="316" spans="1:29">
      <c r="A316" s="8">
        <v>45606</v>
      </c>
      <c r="B316" s="16">
        <v>334.40350000000001</v>
      </c>
      <c r="C316" s="16">
        <v>309.61739999999998</v>
      </c>
      <c r="D316" s="16">
        <v>298.47289999999998</v>
      </c>
      <c r="E316" s="16">
        <v>295.005</v>
      </c>
      <c r="F316" s="16">
        <v>288.35000000000002</v>
      </c>
      <c r="G316" s="16">
        <v>284.3</v>
      </c>
      <c r="H316" s="16">
        <v>285.4873</v>
      </c>
      <c r="I316" s="16">
        <v>292.7937</v>
      </c>
      <c r="J316" s="16">
        <v>298.88</v>
      </c>
      <c r="K316" s="16">
        <v>298.06459999999998</v>
      </c>
      <c r="L316" s="16">
        <v>284.45549999999997</v>
      </c>
      <c r="M316" s="16">
        <v>183.49959999999999</v>
      </c>
      <c r="N316" s="16">
        <v>19.968399999999999</v>
      </c>
      <c r="O316" s="16">
        <v>102.1323</v>
      </c>
      <c r="P316" s="16">
        <v>122.3468</v>
      </c>
      <c r="Q316" s="16">
        <v>137.19999999999999</v>
      </c>
      <c r="R316" s="16">
        <v>286.4015</v>
      </c>
      <c r="S316" s="16">
        <v>314.7681</v>
      </c>
      <c r="T316" s="16">
        <v>328.32139999999998</v>
      </c>
      <c r="U316" s="16">
        <v>323.58269999999999</v>
      </c>
      <c r="V316" s="16">
        <v>328.51490000000001</v>
      </c>
      <c r="W316" s="16">
        <v>323.31330000000003</v>
      </c>
      <c r="X316" s="16">
        <v>312.87909999999999</v>
      </c>
      <c r="Y316" s="16">
        <v>295.8073</v>
      </c>
      <c r="Z316" s="16"/>
      <c r="AA316" s="17">
        <f t="shared" si="12"/>
        <v>334.40350000000001</v>
      </c>
      <c r="AB316" s="17">
        <f t="shared" si="13"/>
        <v>19.968399999999999</v>
      </c>
      <c r="AC316" s="17">
        <f t="shared" si="14"/>
        <v>264.523554166667</v>
      </c>
    </row>
    <row r="317" spans="1:29">
      <c r="A317" s="8">
        <v>45607</v>
      </c>
      <c r="B317" s="16">
        <v>331.83699999999999</v>
      </c>
      <c r="C317" s="16">
        <v>309.13979999999998</v>
      </c>
      <c r="D317" s="16">
        <v>301.52929999999998</v>
      </c>
      <c r="E317" s="16">
        <v>282.58350000000002</v>
      </c>
      <c r="F317" s="16">
        <v>277.71159999999998</v>
      </c>
      <c r="G317" s="16">
        <v>285.14870000000002</v>
      </c>
      <c r="H317" s="16">
        <v>303.37270000000001</v>
      </c>
      <c r="I317" s="16">
        <v>344.9778</v>
      </c>
      <c r="J317" s="16">
        <v>333.69240000000002</v>
      </c>
      <c r="K317" s="16">
        <v>317.25880000000001</v>
      </c>
      <c r="L317" s="16">
        <v>283.58510000000001</v>
      </c>
      <c r="M317" s="16">
        <v>267.32819999999998</v>
      </c>
      <c r="N317" s="16">
        <v>119.6271</v>
      </c>
      <c r="O317" s="16">
        <v>266.49209999999999</v>
      </c>
      <c r="P317" s="16">
        <v>303.41800000000001</v>
      </c>
      <c r="Q317" s="16">
        <v>313.28449999999998</v>
      </c>
      <c r="R317" s="16">
        <v>327.98989999999998</v>
      </c>
      <c r="S317" s="16">
        <v>345.40019999999998</v>
      </c>
      <c r="T317" s="16">
        <v>339.209</v>
      </c>
      <c r="U317" s="16">
        <v>346.58260000000001</v>
      </c>
      <c r="V317" s="16">
        <v>349.54219999999998</v>
      </c>
      <c r="W317" s="16">
        <v>369.57810000000001</v>
      </c>
      <c r="X317" s="16">
        <v>348.86790000000002</v>
      </c>
      <c r="Y317" s="16">
        <v>338.0625</v>
      </c>
      <c r="Z317" s="16"/>
      <c r="AA317" s="17">
        <f t="shared" si="12"/>
        <v>369.57810000000001</v>
      </c>
      <c r="AB317" s="17">
        <f t="shared" si="13"/>
        <v>119.6271</v>
      </c>
      <c r="AC317" s="17">
        <f t="shared" si="14"/>
        <v>308.59245833333301</v>
      </c>
    </row>
    <row r="318" spans="1:29">
      <c r="A318" s="8">
        <v>45608</v>
      </c>
      <c r="B318" s="16">
        <v>350.02839999999998</v>
      </c>
      <c r="C318" s="16">
        <v>349.18119999999999</v>
      </c>
      <c r="D318" s="16">
        <v>343.60629999999998</v>
      </c>
      <c r="E318" s="16">
        <v>326.28530000000001</v>
      </c>
      <c r="F318" s="16">
        <v>306.22570000000002</v>
      </c>
      <c r="G318" s="16">
        <v>311.3836</v>
      </c>
      <c r="H318" s="16">
        <v>345.62060000000002</v>
      </c>
      <c r="I318" s="16">
        <v>346.48270000000002</v>
      </c>
      <c r="J318" s="16">
        <v>363.0942</v>
      </c>
      <c r="K318" s="16">
        <v>344.16829999999999</v>
      </c>
      <c r="L318" s="16">
        <v>298.48450000000003</v>
      </c>
      <c r="M318" s="16">
        <v>224.88220000000001</v>
      </c>
      <c r="N318" s="16">
        <v>149.9145</v>
      </c>
      <c r="O318" s="16">
        <v>243.33920000000001</v>
      </c>
      <c r="P318" s="16">
        <v>312.25</v>
      </c>
      <c r="Q318" s="16">
        <v>359.21390000000002</v>
      </c>
      <c r="R318" s="16">
        <v>462.86739999999998</v>
      </c>
      <c r="S318" s="16">
        <v>429.65039999999999</v>
      </c>
      <c r="T318" s="16">
        <v>392.12939999999998</v>
      </c>
      <c r="U318" s="16">
        <v>425.50450000000001</v>
      </c>
      <c r="V318" s="16">
        <v>421.28660000000002</v>
      </c>
      <c r="W318" s="16">
        <v>412.94380000000001</v>
      </c>
      <c r="X318" s="16">
        <v>371.113</v>
      </c>
      <c r="Y318" s="16">
        <v>370.83069999999998</v>
      </c>
      <c r="Z318" s="16"/>
      <c r="AA318" s="17">
        <f t="shared" si="12"/>
        <v>462.86739999999998</v>
      </c>
      <c r="AB318" s="17">
        <f t="shared" si="13"/>
        <v>149.9145</v>
      </c>
      <c r="AC318" s="17">
        <f t="shared" si="14"/>
        <v>344.186933333333</v>
      </c>
    </row>
    <row r="319" spans="1:29">
      <c r="A319" s="8">
        <v>45609</v>
      </c>
      <c r="B319" s="16">
        <v>377.80410000000001</v>
      </c>
      <c r="C319" s="16">
        <v>353.39280000000002</v>
      </c>
      <c r="D319" s="16">
        <v>346.66410000000002</v>
      </c>
      <c r="E319" s="16">
        <v>342.19920000000002</v>
      </c>
      <c r="F319" s="16">
        <v>322.48430000000002</v>
      </c>
      <c r="G319" s="16">
        <v>325.76</v>
      </c>
      <c r="H319" s="16">
        <v>352.60039999999998</v>
      </c>
      <c r="I319" s="16">
        <v>372.8605</v>
      </c>
      <c r="J319" s="16">
        <v>402.03579999999999</v>
      </c>
      <c r="K319" s="16">
        <v>359.18200000000002</v>
      </c>
      <c r="L319" s="16">
        <v>310.37139999999999</v>
      </c>
      <c r="M319" s="16">
        <v>287.22050000000002</v>
      </c>
      <c r="N319" s="16">
        <v>180.45529999999999</v>
      </c>
      <c r="O319" s="16">
        <v>270.35399999999998</v>
      </c>
      <c r="P319" s="16">
        <v>318.39479999999998</v>
      </c>
      <c r="Q319" s="16">
        <v>340.04660000000001</v>
      </c>
      <c r="R319" s="16">
        <v>364.6062</v>
      </c>
      <c r="S319" s="16">
        <v>339.86540000000002</v>
      </c>
      <c r="T319" s="16">
        <v>332.72370000000001</v>
      </c>
      <c r="U319" s="16">
        <v>339.27859999999998</v>
      </c>
      <c r="V319" s="16">
        <v>347.7029</v>
      </c>
      <c r="W319" s="16">
        <v>354.57100000000003</v>
      </c>
      <c r="X319" s="16">
        <v>338.41629999999998</v>
      </c>
      <c r="Y319" s="16">
        <v>312.09019999999998</v>
      </c>
      <c r="Z319" s="16"/>
      <c r="AA319" s="17">
        <f t="shared" si="12"/>
        <v>402.03579999999999</v>
      </c>
      <c r="AB319" s="17">
        <f t="shared" si="13"/>
        <v>180.45529999999999</v>
      </c>
      <c r="AC319" s="17">
        <f t="shared" si="14"/>
        <v>332.96167083333302</v>
      </c>
    </row>
    <row r="320" spans="1:29">
      <c r="A320" s="8">
        <v>45610</v>
      </c>
      <c r="B320" s="16">
        <v>334.1379</v>
      </c>
      <c r="C320" s="16">
        <v>325.19380000000001</v>
      </c>
      <c r="D320" s="16">
        <v>315.70370000000003</v>
      </c>
      <c r="E320" s="16">
        <v>309.53649999999999</v>
      </c>
      <c r="F320" s="16">
        <v>302.63</v>
      </c>
      <c r="G320" s="16">
        <v>306.42110000000002</v>
      </c>
      <c r="H320" s="16">
        <v>340.20359999999999</v>
      </c>
      <c r="I320" s="16">
        <v>356.30889999999999</v>
      </c>
      <c r="J320" s="16">
        <v>368.67779999999999</v>
      </c>
      <c r="K320" s="16">
        <v>436.1268</v>
      </c>
      <c r="L320" s="16">
        <v>348.71190000000001</v>
      </c>
      <c r="M320" s="16">
        <v>313.97899999999998</v>
      </c>
      <c r="N320" s="16">
        <v>257.32729999999998</v>
      </c>
      <c r="O320" s="16">
        <v>323.5324</v>
      </c>
      <c r="P320" s="16">
        <v>342.22399999999999</v>
      </c>
      <c r="Q320" s="16">
        <v>369.4042</v>
      </c>
      <c r="R320" s="16">
        <v>384.33909999999997</v>
      </c>
      <c r="S320" s="16">
        <v>409.08580000000001</v>
      </c>
      <c r="T320" s="16">
        <v>368.88499999999999</v>
      </c>
      <c r="U320" s="16">
        <v>368.13729999999998</v>
      </c>
      <c r="V320" s="16">
        <v>384.95670000000001</v>
      </c>
      <c r="W320" s="16">
        <v>373.00630000000001</v>
      </c>
      <c r="X320" s="16">
        <v>361.03140000000002</v>
      </c>
      <c r="Y320" s="16">
        <v>343.6182</v>
      </c>
      <c r="Z320" s="16"/>
      <c r="AA320" s="17">
        <f t="shared" si="12"/>
        <v>436.1268</v>
      </c>
      <c r="AB320" s="17">
        <f t="shared" si="13"/>
        <v>257.32729999999998</v>
      </c>
      <c r="AC320" s="17">
        <f t="shared" si="14"/>
        <v>347.63244583333301</v>
      </c>
    </row>
    <row r="321" spans="1:29">
      <c r="A321" s="8">
        <v>45611</v>
      </c>
      <c r="B321" s="16">
        <v>366.32119999999998</v>
      </c>
      <c r="C321" s="16">
        <v>342.3039</v>
      </c>
      <c r="D321" s="16">
        <v>332.01220000000001</v>
      </c>
      <c r="E321" s="16">
        <v>324.6302</v>
      </c>
      <c r="F321" s="16">
        <v>317.08749999999998</v>
      </c>
      <c r="G321" s="16">
        <v>321.5881</v>
      </c>
      <c r="H321" s="16">
        <v>343.39210000000003</v>
      </c>
      <c r="I321" s="16">
        <v>373.66800000000001</v>
      </c>
      <c r="J321" s="16">
        <v>380.06630000000001</v>
      </c>
      <c r="K321" s="16">
        <v>391.63049999999998</v>
      </c>
      <c r="L321" s="16">
        <v>377.21850000000001</v>
      </c>
      <c r="M321" s="16">
        <v>347.34449999999998</v>
      </c>
      <c r="N321" s="16">
        <v>287.98779999999999</v>
      </c>
      <c r="O321" s="16">
        <v>324.40989999999999</v>
      </c>
      <c r="P321" s="16">
        <v>343.89550000000003</v>
      </c>
      <c r="Q321" s="16">
        <v>355.87889999999999</v>
      </c>
      <c r="R321" s="16">
        <v>373.70600000000002</v>
      </c>
      <c r="S321" s="16">
        <v>395.31580000000002</v>
      </c>
      <c r="T321" s="16">
        <v>368.57690000000002</v>
      </c>
      <c r="U321" s="16">
        <v>365.0763</v>
      </c>
      <c r="V321" s="16">
        <v>373.8193</v>
      </c>
      <c r="W321" s="16">
        <v>380.00689999999997</v>
      </c>
      <c r="X321" s="16">
        <v>368.73630000000003</v>
      </c>
      <c r="Y321" s="16">
        <v>361.52890000000002</v>
      </c>
      <c r="Z321" s="16"/>
      <c r="AA321" s="17">
        <f t="shared" si="12"/>
        <v>395.31580000000002</v>
      </c>
      <c r="AB321" s="17">
        <f t="shared" si="13"/>
        <v>287.98779999999999</v>
      </c>
      <c r="AC321" s="17">
        <f t="shared" si="14"/>
        <v>354.84172916666699</v>
      </c>
    </row>
    <row r="322" spans="1:29">
      <c r="A322" s="8">
        <v>45612</v>
      </c>
      <c r="B322" s="16">
        <v>385.23439999999999</v>
      </c>
      <c r="C322" s="16">
        <v>375.3587</v>
      </c>
      <c r="D322" s="16">
        <v>358.1626</v>
      </c>
      <c r="E322" s="16">
        <v>348.8614</v>
      </c>
      <c r="F322" s="16">
        <v>343.35719999999998</v>
      </c>
      <c r="G322" s="16">
        <v>338.69220000000001</v>
      </c>
      <c r="H322" s="16">
        <v>353.55239999999998</v>
      </c>
      <c r="I322" s="16">
        <v>396.54289999999997</v>
      </c>
      <c r="J322" s="16">
        <v>378.39409999999998</v>
      </c>
      <c r="K322" s="16">
        <v>353.38319999999999</v>
      </c>
      <c r="L322" s="16">
        <v>353.81819999999999</v>
      </c>
      <c r="M322" s="16">
        <v>346.10829999999999</v>
      </c>
      <c r="N322" s="16">
        <v>294.94450000000001</v>
      </c>
      <c r="O322" s="16">
        <v>325.2824</v>
      </c>
      <c r="P322" s="16">
        <v>333.73649999999998</v>
      </c>
      <c r="Q322" s="16">
        <v>343.85989999999998</v>
      </c>
      <c r="R322" s="16">
        <v>343.03</v>
      </c>
      <c r="S322" s="16">
        <v>352.35590000000002</v>
      </c>
      <c r="T322" s="16">
        <v>357.63639999999998</v>
      </c>
      <c r="U322" s="16">
        <v>333.80470000000003</v>
      </c>
      <c r="V322" s="16">
        <v>341.44900000000001</v>
      </c>
      <c r="W322" s="16">
        <v>348.44150000000002</v>
      </c>
      <c r="X322" s="16">
        <v>353.61689999999999</v>
      </c>
      <c r="Y322" s="16">
        <v>346.35599999999999</v>
      </c>
      <c r="Z322" s="16"/>
      <c r="AA322" s="17">
        <f t="shared" ref="AA322:AA368" si="15">MAX($B322:$Y322)</f>
        <v>396.54289999999997</v>
      </c>
      <c r="AB322" s="17">
        <f t="shared" ref="AB322:AB368" si="16">MIN($B322:$Y322)</f>
        <v>294.94450000000001</v>
      </c>
      <c r="AC322" s="17">
        <f t="shared" ref="AC322:AC368" si="17">AVERAGE($B322:$Y322)</f>
        <v>350.24913750000002</v>
      </c>
    </row>
    <row r="323" spans="1:29">
      <c r="A323" s="8">
        <v>45613</v>
      </c>
      <c r="B323" s="16">
        <v>347.97620000000001</v>
      </c>
      <c r="C323" s="16">
        <v>331.18950000000001</v>
      </c>
      <c r="D323" s="16">
        <v>328.6284</v>
      </c>
      <c r="E323" s="16">
        <v>321.89249999999998</v>
      </c>
      <c r="F323" s="16">
        <v>322.20920000000001</v>
      </c>
      <c r="G323" s="16">
        <v>325.4443</v>
      </c>
      <c r="H323" s="16">
        <v>322.1078</v>
      </c>
      <c r="I323" s="16">
        <v>328.68950000000001</v>
      </c>
      <c r="J323" s="16">
        <v>332.46</v>
      </c>
      <c r="K323" s="16">
        <v>308.50110000000001</v>
      </c>
      <c r="L323" s="16">
        <v>229.68809999999999</v>
      </c>
      <c r="M323" s="16">
        <v>234.62360000000001</v>
      </c>
      <c r="N323" s="16">
        <v>54.383099999999999</v>
      </c>
      <c r="O323" s="16">
        <v>155.34739999999999</v>
      </c>
      <c r="P323" s="16">
        <v>237.97710000000001</v>
      </c>
      <c r="Q323" s="16">
        <v>285.19080000000002</v>
      </c>
      <c r="R323" s="16">
        <v>308.76339999999999</v>
      </c>
      <c r="S323" s="16">
        <v>311.09089999999998</v>
      </c>
      <c r="T323" s="16">
        <v>311.05470000000003</v>
      </c>
      <c r="U323" s="16">
        <v>309.05610000000001</v>
      </c>
      <c r="V323" s="16">
        <v>319.86529999999999</v>
      </c>
      <c r="W323" s="16">
        <v>330.98270000000002</v>
      </c>
      <c r="X323" s="16">
        <v>326.96449999999999</v>
      </c>
      <c r="Y323" s="16">
        <v>310.51690000000002</v>
      </c>
      <c r="Z323" s="16"/>
      <c r="AA323" s="17">
        <f t="shared" si="15"/>
        <v>347.97620000000001</v>
      </c>
      <c r="AB323" s="17">
        <f t="shared" si="16"/>
        <v>54.383099999999999</v>
      </c>
      <c r="AC323" s="17">
        <f t="shared" si="17"/>
        <v>291.441795833333</v>
      </c>
    </row>
    <row r="324" spans="1:29">
      <c r="A324" s="8">
        <v>45614</v>
      </c>
      <c r="B324" s="16">
        <v>288.77010000000001</v>
      </c>
      <c r="C324" s="16">
        <v>278.3417</v>
      </c>
      <c r="D324" s="16">
        <v>244.12270000000001</v>
      </c>
      <c r="E324" s="16">
        <v>226.25409999999999</v>
      </c>
      <c r="F324" s="16">
        <v>240.5762</v>
      </c>
      <c r="G324" s="16">
        <v>167.99979999999999</v>
      </c>
      <c r="H324" s="16">
        <v>250.28030000000001</v>
      </c>
      <c r="I324" s="16">
        <v>294.76409999999998</v>
      </c>
      <c r="J324" s="16">
        <v>314.11869999999999</v>
      </c>
      <c r="K324" s="16">
        <v>312.43490000000003</v>
      </c>
      <c r="L324" s="16">
        <v>246.7501</v>
      </c>
      <c r="M324" s="16">
        <v>262.20209999999997</v>
      </c>
      <c r="N324" s="16">
        <v>122.6677</v>
      </c>
      <c r="O324" s="16">
        <v>174.91409999999999</v>
      </c>
      <c r="P324" s="16">
        <v>243.5318</v>
      </c>
      <c r="Q324" s="16">
        <v>304.45639999999997</v>
      </c>
      <c r="R324" s="16">
        <v>329.6026</v>
      </c>
      <c r="S324" s="16">
        <v>320.01190000000003</v>
      </c>
      <c r="T324" s="16">
        <v>313.03579999999999</v>
      </c>
      <c r="U324" s="16">
        <v>326.29230000000001</v>
      </c>
      <c r="V324" s="16">
        <v>314.0976</v>
      </c>
      <c r="W324" s="16">
        <v>298.77159999999998</v>
      </c>
      <c r="X324" s="16">
        <v>282.11759999999998</v>
      </c>
      <c r="Y324" s="16">
        <v>276.79300000000001</v>
      </c>
      <c r="Z324" s="16"/>
      <c r="AA324" s="17">
        <f t="shared" si="15"/>
        <v>329.6026</v>
      </c>
      <c r="AB324" s="17">
        <f t="shared" si="16"/>
        <v>122.6677</v>
      </c>
      <c r="AC324" s="17">
        <f t="shared" si="17"/>
        <v>268.0378</v>
      </c>
    </row>
    <row r="325" spans="1:29">
      <c r="A325" s="8">
        <v>45615</v>
      </c>
      <c r="B325" s="16">
        <v>277.59410000000003</v>
      </c>
      <c r="C325" s="16">
        <v>266.98439999999999</v>
      </c>
      <c r="D325" s="16">
        <v>243.32</v>
      </c>
      <c r="E325" s="16">
        <v>77.533799999999999</v>
      </c>
      <c r="F325" s="16">
        <v>31.559000000000001</v>
      </c>
      <c r="G325" s="16">
        <v>6.2672999999999996</v>
      </c>
      <c r="H325" s="16">
        <v>250.3314</v>
      </c>
      <c r="I325" s="16">
        <v>291.6275</v>
      </c>
      <c r="J325" s="16">
        <v>309.54759999999999</v>
      </c>
      <c r="K325" s="16">
        <v>312.11279999999999</v>
      </c>
      <c r="L325" s="16">
        <v>296.22340000000003</v>
      </c>
      <c r="M325" s="16">
        <v>265.56939999999997</v>
      </c>
      <c r="N325" s="16">
        <v>166.65260000000001</v>
      </c>
      <c r="O325" s="16">
        <v>244.47620000000001</v>
      </c>
      <c r="P325" s="16">
        <v>263.88709999999998</v>
      </c>
      <c r="Q325" s="16">
        <v>269.01229999999998</v>
      </c>
      <c r="R325" s="16">
        <v>298.76069999999999</v>
      </c>
      <c r="S325" s="16">
        <v>304.85390000000001</v>
      </c>
      <c r="T325" s="16">
        <v>314.59890000000001</v>
      </c>
      <c r="U325" s="16">
        <v>310.2099</v>
      </c>
      <c r="V325" s="16">
        <v>317.51190000000003</v>
      </c>
      <c r="W325" s="16">
        <v>302.48590000000002</v>
      </c>
      <c r="X325" s="16">
        <v>291.70490000000001</v>
      </c>
      <c r="Y325" s="16">
        <v>272.05889999999999</v>
      </c>
      <c r="Z325" s="16"/>
      <c r="AA325" s="17">
        <f t="shared" si="15"/>
        <v>317.51190000000003</v>
      </c>
      <c r="AB325" s="17">
        <f t="shared" si="16"/>
        <v>6.2672999999999996</v>
      </c>
      <c r="AC325" s="17">
        <f t="shared" si="17"/>
        <v>249.37016249999999</v>
      </c>
    </row>
    <row r="326" spans="1:29">
      <c r="A326" s="8">
        <v>45616</v>
      </c>
      <c r="B326" s="16">
        <v>208.64060000000001</v>
      </c>
      <c r="C326" s="16">
        <v>262.43959999999998</v>
      </c>
      <c r="D326" s="16">
        <v>264.9794</v>
      </c>
      <c r="E326" s="16">
        <v>253.4537</v>
      </c>
      <c r="F326" s="16">
        <v>240.7697</v>
      </c>
      <c r="G326" s="16">
        <v>230.5093</v>
      </c>
      <c r="H326" s="16">
        <v>252.0018</v>
      </c>
      <c r="I326" s="16">
        <v>277.71539999999999</v>
      </c>
      <c r="J326" s="16">
        <v>318.73509999999999</v>
      </c>
      <c r="K326" s="16">
        <v>304.57209999999998</v>
      </c>
      <c r="L326" s="16">
        <v>283.96010000000001</v>
      </c>
      <c r="M326" s="16">
        <v>280.05189999999999</v>
      </c>
      <c r="N326" s="16">
        <v>236.00899999999999</v>
      </c>
      <c r="O326" s="16">
        <v>272.00389999999999</v>
      </c>
      <c r="P326" s="16">
        <v>252.167</v>
      </c>
      <c r="Q326" s="16">
        <v>278.44420000000002</v>
      </c>
      <c r="R326" s="16">
        <v>305.6284</v>
      </c>
      <c r="S326" s="16">
        <v>312.49740000000003</v>
      </c>
      <c r="T326" s="16">
        <v>313.07920000000001</v>
      </c>
      <c r="U326" s="16">
        <v>320.82470000000001</v>
      </c>
      <c r="V326" s="16">
        <v>310.08819999999997</v>
      </c>
      <c r="W326" s="16">
        <v>300.96440000000001</v>
      </c>
      <c r="X326" s="16">
        <v>291.09800000000001</v>
      </c>
      <c r="Y326" s="16">
        <v>265.59160000000003</v>
      </c>
      <c r="Z326" s="16"/>
      <c r="AA326" s="17">
        <f t="shared" si="15"/>
        <v>320.82470000000001</v>
      </c>
      <c r="AB326" s="17">
        <f t="shared" si="16"/>
        <v>208.64060000000001</v>
      </c>
      <c r="AC326" s="17">
        <f t="shared" si="17"/>
        <v>276.50936250000001</v>
      </c>
    </row>
    <row r="327" spans="1:29">
      <c r="A327" s="8">
        <v>45617</v>
      </c>
      <c r="B327" s="16">
        <v>294.43509999999998</v>
      </c>
      <c r="C327" s="16">
        <v>263.01850000000002</v>
      </c>
      <c r="D327" s="16">
        <v>270.13909999999998</v>
      </c>
      <c r="E327" s="16">
        <v>259.82049999999998</v>
      </c>
      <c r="F327" s="16">
        <v>171.4796</v>
      </c>
      <c r="G327" s="16">
        <v>171.28649999999999</v>
      </c>
      <c r="H327" s="16">
        <v>252.93430000000001</v>
      </c>
      <c r="I327" s="16">
        <v>332.8211</v>
      </c>
      <c r="J327" s="16">
        <v>321.22379999999998</v>
      </c>
      <c r="K327" s="16">
        <v>302.16019999999997</v>
      </c>
      <c r="L327" s="16">
        <v>273.1277</v>
      </c>
      <c r="M327" s="16">
        <v>245.08760000000001</v>
      </c>
      <c r="N327" s="16">
        <v>87.113200000000006</v>
      </c>
      <c r="O327" s="16">
        <v>211.24610000000001</v>
      </c>
      <c r="P327" s="16">
        <v>289.78149999999999</v>
      </c>
      <c r="Q327" s="16">
        <v>313.18209999999999</v>
      </c>
      <c r="R327" s="16">
        <v>311.71019999999999</v>
      </c>
      <c r="S327" s="16">
        <v>317.53960000000001</v>
      </c>
      <c r="T327" s="16">
        <v>324.07440000000003</v>
      </c>
      <c r="U327" s="16">
        <v>315.85939999999999</v>
      </c>
      <c r="V327" s="16">
        <v>317.80970000000002</v>
      </c>
      <c r="W327" s="16">
        <v>337.25580000000002</v>
      </c>
      <c r="X327" s="16">
        <v>316.1191</v>
      </c>
      <c r="Y327" s="16">
        <v>288.21839999999997</v>
      </c>
      <c r="Z327" s="16"/>
      <c r="AA327" s="17">
        <f t="shared" si="15"/>
        <v>337.25580000000002</v>
      </c>
      <c r="AB327" s="17">
        <f t="shared" si="16"/>
        <v>87.113200000000006</v>
      </c>
      <c r="AC327" s="17">
        <f t="shared" si="17"/>
        <v>274.47681249999999</v>
      </c>
    </row>
    <row r="328" spans="1:29">
      <c r="A328" s="8">
        <v>45618</v>
      </c>
      <c r="B328" s="16">
        <v>296.27010000000001</v>
      </c>
      <c r="C328" s="16">
        <v>281.33949999999999</v>
      </c>
      <c r="D328" s="16">
        <v>276.60320000000002</v>
      </c>
      <c r="E328" s="16">
        <v>238.00550000000001</v>
      </c>
      <c r="F328" s="16">
        <v>253.53319999999999</v>
      </c>
      <c r="G328" s="16">
        <v>237.86449999999999</v>
      </c>
      <c r="H328" s="16">
        <v>276.1549</v>
      </c>
      <c r="I328" s="16">
        <v>304.4513</v>
      </c>
      <c r="J328" s="16">
        <v>311.52980000000002</v>
      </c>
      <c r="K328" s="16">
        <v>317.96870000000001</v>
      </c>
      <c r="L328" s="16">
        <v>385.15550000000002</v>
      </c>
      <c r="M328" s="16">
        <v>307.41629999999998</v>
      </c>
      <c r="N328" s="16">
        <v>216.02459999999999</v>
      </c>
      <c r="O328" s="16">
        <v>277.63729999999998</v>
      </c>
      <c r="P328" s="16">
        <v>293.35879999999997</v>
      </c>
      <c r="Q328" s="16">
        <v>317.85320000000002</v>
      </c>
      <c r="R328" s="16">
        <v>314.78059999999999</v>
      </c>
      <c r="S328" s="16">
        <v>318.56099999999998</v>
      </c>
      <c r="T328" s="16">
        <v>325.13400000000001</v>
      </c>
      <c r="U328" s="16">
        <v>322.56740000000002</v>
      </c>
      <c r="V328" s="16">
        <v>334.58319999999998</v>
      </c>
      <c r="W328" s="16">
        <v>310.12400000000002</v>
      </c>
      <c r="X328" s="16">
        <v>302.6438</v>
      </c>
      <c r="Y328" s="16">
        <v>297.23090000000002</v>
      </c>
      <c r="Z328" s="16"/>
      <c r="AA328" s="17">
        <f t="shared" si="15"/>
        <v>385.15550000000002</v>
      </c>
      <c r="AB328" s="17">
        <f t="shared" si="16"/>
        <v>216.02459999999999</v>
      </c>
      <c r="AC328" s="17">
        <f t="shared" si="17"/>
        <v>296.53297083333302</v>
      </c>
    </row>
    <row r="329" spans="1:29">
      <c r="A329" s="8">
        <v>45619</v>
      </c>
      <c r="B329" s="16">
        <v>309.09660000000002</v>
      </c>
      <c r="C329" s="16">
        <v>275.56099999999998</v>
      </c>
      <c r="D329" s="16">
        <v>278.00990000000002</v>
      </c>
      <c r="E329" s="16">
        <v>213.52510000000001</v>
      </c>
      <c r="F329" s="16">
        <v>233.2389</v>
      </c>
      <c r="G329" s="16">
        <v>192.10249999999999</v>
      </c>
      <c r="H329" s="16">
        <v>222.09139999999999</v>
      </c>
      <c r="I329" s="16">
        <v>293.58319999999998</v>
      </c>
      <c r="J329" s="16">
        <v>304.53699999999998</v>
      </c>
      <c r="K329" s="16">
        <v>294.97550000000001</v>
      </c>
      <c r="L329" s="16">
        <v>273.32940000000002</v>
      </c>
      <c r="M329" s="16">
        <v>208.61869999999999</v>
      </c>
      <c r="N329" s="16">
        <v>65.335099999999997</v>
      </c>
      <c r="O329" s="16">
        <v>182.00059999999999</v>
      </c>
      <c r="P329" s="16">
        <v>302.50290000000001</v>
      </c>
      <c r="Q329" s="16">
        <v>289.82240000000002</v>
      </c>
      <c r="R329" s="16">
        <v>327.75900000000001</v>
      </c>
      <c r="S329" s="16">
        <v>324.72210000000001</v>
      </c>
      <c r="T329" s="16">
        <v>334.3723</v>
      </c>
      <c r="U329" s="16">
        <v>333.88560000000001</v>
      </c>
      <c r="V329" s="16">
        <v>375.42720000000003</v>
      </c>
      <c r="W329" s="16">
        <v>351.3877</v>
      </c>
      <c r="X329" s="16">
        <v>326.15559999999999</v>
      </c>
      <c r="Y329" s="16">
        <v>308.27659999999997</v>
      </c>
      <c r="Z329" s="16"/>
      <c r="AA329" s="17">
        <f t="shared" si="15"/>
        <v>375.42720000000003</v>
      </c>
      <c r="AB329" s="17">
        <f t="shared" si="16"/>
        <v>65.335099999999997</v>
      </c>
      <c r="AC329" s="17">
        <f t="shared" si="17"/>
        <v>275.84651250000002</v>
      </c>
    </row>
    <row r="330" spans="1:29">
      <c r="A330" s="8">
        <v>45620</v>
      </c>
      <c r="B330" s="16">
        <v>287.07749999999999</v>
      </c>
      <c r="C330" s="16">
        <v>272.37020000000001</v>
      </c>
      <c r="D330" s="16">
        <v>252.11949999999999</v>
      </c>
      <c r="E330" s="16">
        <v>233.0797</v>
      </c>
      <c r="F330" s="16">
        <v>175.88</v>
      </c>
      <c r="G330" s="16">
        <v>231.0001</v>
      </c>
      <c r="H330" s="16">
        <v>231.1919</v>
      </c>
      <c r="I330" s="16">
        <v>260.54169999999999</v>
      </c>
      <c r="J330" s="16">
        <v>243.2475</v>
      </c>
      <c r="K330" s="16">
        <v>151.28</v>
      </c>
      <c r="L330" s="16">
        <v>21.680399999999999</v>
      </c>
      <c r="M330" s="16">
        <v>148.5744</v>
      </c>
      <c r="N330" s="16">
        <v>4.4364999999999997</v>
      </c>
      <c r="O330" s="16">
        <v>44.950200000000002</v>
      </c>
      <c r="P330" s="16">
        <v>163.9128</v>
      </c>
      <c r="Q330" s="16">
        <v>148.3115</v>
      </c>
      <c r="R330" s="16">
        <v>266.22669999999999</v>
      </c>
      <c r="S330" s="16">
        <v>303.90710000000001</v>
      </c>
      <c r="T330" s="16">
        <v>311.322</v>
      </c>
      <c r="U330" s="16">
        <v>306.36810000000003</v>
      </c>
      <c r="V330" s="16">
        <v>299.69799999999998</v>
      </c>
      <c r="W330" s="16">
        <v>300.76319999999998</v>
      </c>
      <c r="X330" s="16">
        <v>287.7167</v>
      </c>
      <c r="Y330" s="16">
        <v>276.18810000000002</v>
      </c>
      <c r="Z330" s="16"/>
      <c r="AA330" s="17">
        <f t="shared" si="15"/>
        <v>311.322</v>
      </c>
      <c r="AB330" s="17">
        <f t="shared" si="16"/>
        <v>4.4364999999999997</v>
      </c>
      <c r="AC330" s="17">
        <f t="shared" si="17"/>
        <v>217.57682500000001</v>
      </c>
    </row>
    <row r="331" spans="1:29">
      <c r="A331" s="8">
        <v>45621</v>
      </c>
      <c r="B331" s="16">
        <v>273.02960000000002</v>
      </c>
      <c r="C331" s="16">
        <v>234.434</v>
      </c>
      <c r="D331" s="16">
        <v>202.02119999999999</v>
      </c>
      <c r="E331" s="16">
        <v>182.86619999999999</v>
      </c>
      <c r="F331" s="16">
        <v>73.016499999999994</v>
      </c>
      <c r="G331" s="16">
        <v>138.41399999999999</v>
      </c>
      <c r="H331" s="16">
        <v>257.38369999999998</v>
      </c>
      <c r="I331" s="16">
        <v>283.34449999999998</v>
      </c>
      <c r="J331" s="16">
        <v>307.95409999999998</v>
      </c>
      <c r="K331" s="16">
        <v>349.94349999999997</v>
      </c>
      <c r="L331" s="16">
        <v>362.43340000000001</v>
      </c>
      <c r="M331" s="16">
        <v>321.661</v>
      </c>
      <c r="N331" s="16">
        <v>272.44369999999998</v>
      </c>
      <c r="O331" s="16">
        <v>307.50200000000001</v>
      </c>
      <c r="P331" s="16">
        <v>306.00040000000001</v>
      </c>
      <c r="Q331" s="16">
        <v>312.77760000000001</v>
      </c>
      <c r="R331" s="16">
        <v>345.45519999999999</v>
      </c>
      <c r="S331" s="16">
        <v>408.80340000000001</v>
      </c>
      <c r="T331" s="16">
        <v>428.25049999999999</v>
      </c>
      <c r="U331" s="16">
        <v>444.1927</v>
      </c>
      <c r="V331" s="16">
        <v>401.33460000000002</v>
      </c>
      <c r="W331" s="16">
        <v>338.70620000000002</v>
      </c>
      <c r="X331" s="16">
        <v>303.27269999999999</v>
      </c>
      <c r="Y331" s="16">
        <v>292.42380000000003</v>
      </c>
      <c r="Z331" s="16"/>
      <c r="AA331" s="17">
        <f t="shared" si="15"/>
        <v>444.1927</v>
      </c>
      <c r="AB331" s="17">
        <f t="shared" si="16"/>
        <v>73.016499999999994</v>
      </c>
      <c r="AC331" s="17">
        <f t="shared" si="17"/>
        <v>297.81935416666698</v>
      </c>
    </row>
    <row r="332" spans="1:29">
      <c r="A332" s="8">
        <v>45622</v>
      </c>
      <c r="B332" s="16">
        <v>290.31040000000002</v>
      </c>
      <c r="C332" s="16">
        <v>267.96519999999998</v>
      </c>
      <c r="D332" s="16">
        <v>243.95259999999999</v>
      </c>
      <c r="E332" s="16">
        <v>161.1413</v>
      </c>
      <c r="F332" s="16">
        <v>132.77799999999999</v>
      </c>
      <c r="G332" s="16">
        <v>0.37380000000000002</v>
      </c>
      <c r="H332" s="16">
        <v>159.0693</v>
      </c>
      <c r="I332" s="16">
        <v>278.58089999999999</v>
      </c>
      <c r="J332" s="16">
        <v>270.5711</v>
      </c>
      <c r="K332" s="16">
        <v>184.2473</v>
      </c>
      <c r="L332" s="16">
        <v>223.44630000000001</v>
      </c>
      <c r="M332" s="16">
        <v>267.6112</v>
      </c>
      <c r="N332" s="16">
        <v>71.248999999999995</v>
      </c>
      <c r="O332" s="16">
        <v>119.2543</v>
      </c>
      <c r="P332" s="16">
        <v>12.492599999999999</v>
      </c>
      <c r="Q332" s="16">
        <v>174.22030000000001</v>
      </c>
      <c r="R332" s="16">
        <v>294.42489999999998</v>
      </c>
      <c r="S332" s="16">
        <v>304.33629999999999</v>
      </c>
      <c r="T332" s="16">
        <v>338.85109999999997</v>
      </c>
      <c r="U332" s="16">
        <v>327.35989999999998</v>
      </c>
      <c r="V332" s="16">
        <v>312.35739999999998</v>
      </c>
      <c r="W332" s="16">
        <v>301.38900000000001</v>
      </c>
      <c r="X332" s="16">
        <v>291.70330000000001</v>
      </c>
      <c r="Y332" s="16">
        <v>282.43200000000002</v>
      </c>
      <c r="Z332" s="16"/>
      <c r="AA332" s="17">
        <f t="shared" si="15"/>
        <v>338.85109999999997</v>
      </c>
      <c r="AB332" s="17">
        <f t="shared" si="16"/>
        <v>0.37380000000000002</v>
      </c>
      <c r="AC332" s="17">
        <f t="shared" si="17"/>
        <v>221.25489583333299</v>
      </c>
    </row>
    <row r="333" spans="1:29">
      <c r="A333" s="8">
        <v>45623</v>
      </c>
      <c r="B333" s="16">
        <v>268.66500000000002</v>
      </c>
      <c r="C333" s="16">
        <v>256.56760000000003</v>
      </c>
      <c r="D333" s="16">
        <v>143.15610000000001</v>
      </c>
      <c r="E333" s="16">
        <v>22.536799999999999</v>
      </c>
      <c r="F333" s="16">
        <v>42.020400000000002</v>
      </c>
      <c r="G333" s="16">
        <v>203.0437</v>
      </c>
      <c r="H333" s="16">
        <v>245.05009999999999</v>
      </c>
      <c r="I333" s="16">
        <v>265.79199999999997</v>
      </c>
      <c r="J333" s="16">
        <v>283.95670000000001</v>
      </c>
      <c r="K333" s="16">
        <v>280.71969999999999</v>
      </c>
      <c r="L333" s="16">
        <v>263.81569999999999</v>
      </c>
      <c r="M333" s="16">
        <v>265.01850000000002</v>
      </c>
      <c r="N333" s="16">
        <v>90.395399999999995</v>
      </c>
      <c r="O333" s="16">
        <v>210.614</v>
      </c>
      <c r="P333" s="16">
        <v>203.8075</v>
      </c>
      <c r="Q333" s="16">
        <v>253.0025</v>
      </c>
      <c r="R333" s="16">
        <v>296.7901</v>
      </c>
      <c r="S333" s="16">
        <v>311.56900000000002</v>
      </c>
      <c r="T333" s="16">
        <v>389.0514</v>
      </c>
      <c r="U333" s="16">
        <v>387.14010000000002</v>
      </c>
      <c r="V333" s="16">
        <v>351.5333</v>
      </c>
      <c r="W333" s="16">
        <v>328.28609999999998</v>
      </c>
      <c r="X333" s="16">
        <v>305.2792</v>
      </c>
      <c r="Y333" s="16">
        <v>307.28219999999999</v>
      </c>
      <c r="Z333" s="16"/>
      <c r="AA333" s="17">
        <f t="shared" si="15"/>
        <v>389.0514</v>
      </c>
      <c r="AB333" s="17">
        <f t="shared" si="16"/>
        <v>22.536799999999999</v>
      </c>
      <c r="AC333" s="17">
        <f t="shared" si="17"/>
        <v>248.96221249999999</v>
      </c>
    </row>
    <row r="334" spans="1:29">
      <c r="A334" s="8">
        <v>45624</v>
      </c>
      <c r="B334" s="16">
        <v>299.50119999999998</v>
      </c>
      <c r="C334" s="16">
        <v>270.56389999999999</v>
      </c>
      <c r="D334" s="16">
        <v>260.55669999999998</v>
      </c>
      <c r="E334" s="16">
        <v>251.6335</v>
      </c>
      <c r="F334" s="16">
        <v>238.9743</v>
      </c>
      <c r="G334" s="16">
        <v>235.79130000000001</v>
      </c>
      <c r="H334" s="16">
        <v>260.5917</v>
      </c>
      <c r="I334" s="16">
        <v>284.12860000000001</v>
      </c>
      <c r="J334" s="16">
        <v>281.81290000000001</v>
      </c>
      <c r="K334" s="16">
        <v>275.15660000000003</v>
      </c>
      <c r="L334" s="16">
        <v>323.22219999999999</v>
      </c>
      <c r="M334" s="16">
        <v>393.58670000000001</v>
      </c>
      <c r="N334" s="16">
        <v>213.51339999999999</v>
      </c>
      <c r="O334" s="16">
        <v>259.2312</v>
      </c>
      <c r="P334" s="16">
        <v>239.1618</v>
      </c>
      <c r="Q334" s="16">
        <v>261.56049999999999</v>
      </c>
      <c r="R334" s="16">
        <v>297.90750000000003</v>
      </c>
      <c r="S334" s="16">
        <v>353.64620000000002</v>
      </c>
      <c r="T334" s="16">
        <v>434.73169999999999</v>
      </c>
      <c r="U334" s="16">
        <v>422.17039999999997</v>
      </c>
      <c r="V334" s="16">
        <v>318.61279999999999</v>
      </c>
      <c r="W334" s="16">
        <v>338.99149999999997</v>
      </c>
      <c r="X334" s="16">
        <v>299.80110000000002</v>
      </c>
      <c r="Y334" s="16">
        <v>299.01479999999998</v>
      </c>
      <c r="Z334" s="16"/>
      <c r="AA334" s="17">
        <f t="shared" si="15"/>
        <v>434.73169999999999</v>
      </c>
      <c r="AB334" s="17">
        <f t="shared" si="16"/>
        <v>213.51339999999999</v>
      </c>
      <c r="AC334" s="17">
        <f t="shared" si="17"/>
        <v>296.41093749999999</v>
      </c>
    </row>
    <row r="335" spans="1:29">
      <c r="A335" s="8">
        <v>45625</v>
      </c>
      <c r="B335" s="16">
        <v>332.92360000000002</v>
      </c>
      <c r="C335" s="16">
        <v>376.46350000000001</v>
      </c>
      <c r="D335" s="16">
        <v>278.09550000000002</v>
      </c>
      <c r="E335" s="16">
        <v>249.37450000000001</v>
      </c>
      <c r="F335" s="16">
        <v>246.82839999999999</v>
      </c>
      <c r="G335" s="16">
        <v>256.08429999999998</v>
      </c>
      <c r="H335" s="16">
        <v>285.05439999999999</v>
      </c>
      <c r="I335" s="16">
        <v>321.8347</v>
      </c>
      <c r="J335" s="16">
        <v>391.53160000000003</v>
      </c>
      <c r="K335" s="16">
        <v>306.15940000000001</v>
      </c>
      <c r="L335" s="16">
        <v>573.35080000000005</v>
      </c>
      <c r="M335" s="16">
        <v>258.08510000000001</v>
      </c>
      <c r="N335" s="16">
        <v>18.9285</v>
      </c>
      <c r="O335" s="16">
        <v>143.75829999999999</v>
      </c>
      <c r="P335" s="16">
        <v>93.048599999999993</v>
      </c>
      <c r="Q335" s="16">
        <v>260.68490000000003</v>
      </c>
      <c r="R335" s="16">
        <v>306.32940000000002</v>
      </c>
      <c r="S335" s="16">
        <v>324.33359999999999</v>
      </c>
      <c r="T335" s="16">
        <v>406.82130000000001</v>
      </c>
      <c r="U335" s="16">
        <v>422.01240000000001</v>
      </c>
      <c r="V335" s="16">
        <v>398.69639999999998</v>
      </c>
      <c r="W335" s="16">
        <v>409.69749999999999</v>
      </c>
      <c r="X335" s="16">
        <v>384.63979999999998</v>
      </c>
      <c r="Y335" s="16">
        <v>366.56619999999998</v>
      </c>
      <c r="Z335" s="16"/>
      <c r="AA335" s="17">
        <f t="shared" si="15"/>
        <v>573.35080000000005</v>
      </c>
      <c r="AB335" s="17">
        <f t="shared" si="16"/>
        <v>18.9285</v>
      </c>
      <c r="AC335" s="17">
        <f t="shared" si="17"/>
        <v>308.80427916666702</v>
      </c>
    </row>
    <row r="336" spans="1:29">
      <c r="A336" s="8">
        <v>45626</v>
      </c>
      <c r="B336" s="16">
        <v>437.17559999999997</v>
      </c>
      <c r="C336" s="16">
        <v>398.31299999999999</v>
      </c>
      <c r="D336" s="16">
        <v>388.548</v>
      </c>
      <c r="E336" s="16">
        <v>373.13189999999997</v>
      </c>
      <c r="F336" s="16">
        <v>348.29250000000002</v>
      </c>
      <c r="G336" s="16">
        <v>361.233</v>
      </c>
      <c r="H336" s="16">
        <v>355.44799999999998</v>
      </c>
      <c r="I336" s="16">
        <v>420.1739</v>
      </c>
      <c r="J336" s="16">
        <v>411.28100000000001</v>
      </c>
      <c r="K336" s="16">
        <v>339.03120000000001</v>
      </c>
      <c r="L336" s="16">
        <v>257.5369</v>
      </c>
      <c r="M336" s="16">
        <v>244.5975</v>
      </c>
      <c r="N336" s="16">
        <v>7.0824999999999996</v>
      </c>
      <c r="O336" s="16">
        <v>109.9588</v>
      </c>
      <c r="P336" s="16">
        <v>24.196400000000001</v>
      </c>
      <c r="Q336" s="16">
        <v>142.04810000000001</v>
      </c>
      <c r="R336" s="16">
        <v>299.7371</v>
      </c>
      <c r="S336" s="16">
        <v>305.9735</v>
      </c>
      <c r="T336" s="16">
        <v>348.06670000000003</v>
      </c>
      <c r="U336" s="16">
        <v>316.1737</v>
      </c>
      <c r="V336" s="16">
        <v>319.20749999999998</v>
      </c>
      <c r="W336" s="16">
        <v>319.08999999999997</v>
      </c>
      <c r="X336" s="16">
        <v>350.18700000000001</v>
      </c>
      <c r="Y336" s="16">
        <v>371.49349999999998</v>
      </c>
      <c r="Z336" s="16"/>
      <c r="AA336" s="17">
        <f t="shared" si="15"/>
        <v>437.17559999999997</v>
      </c>
      <c r="AB336" s="17">
        <f t="shared" si="16"/>
        <v>7.0824999999999996</v>
      </c>
      <c r="AC336" s="17">
        <f t="shared" si="17"/>
        <v>301.99905416666701</v>
      </c>
    </row>
    <row r="337" spans="1:29">
      <c r="A337" s="8">
        <v>45627</v>
      </c>
      <c r="B337" s="16">
        <v>626.25519999999995</v>
      </c>
      <c r="C337" s="16">
        <v>367.1721</v>
      </c>
      <c r="D337" s="16">
        <v>361.9624</v>
      </c>
      <c r="E337" s="16">
        <v>346.1105</v>
      </c>
      <c r="F337" s="16">
        <v>308.09140000000002</v>
      </c>
      <c r="G337" s="16">
        <v>297.15589999999997</v>
      </c>
      <c r="H337" s="16">
        <v>307.56049999999999</v>
      </c>
      <c r="I337" s="16">
        <v>306.50020000000001</v>
      </c>
      <c r="J337" s="16">
        <v>78.5</v>
      </c>
      <c r="K337" s="16">
        <v>0.75</v>
      </c>
      <c r="L337" s="16">
        <v>0</v>
      </c>
      <c r="M337" s="16">
        <v>116.0189</v>
      </c>
      <c r="N337" s="16">
        <v>6.0132000000000003</v>
      </c>
      <c r="O337" s="16">
        <v>1E-4</v>
      </c>
      <c r="P337" s="16">
        <v>0</v>
      </c>
      <c r="Q337" s="16">
        <v>0.25</v>
      </c>
      <c r="R337" s="16">
        <v>262.05500000000001</v>
      </c>
      <c r="S337" s="16">
        <v>306.33370000000002</v>
      </c>
      <c r="T337" s="16">
        <v>310.1857</v>
      </c>
      <c r="U337" s="16">
        <v>316.26429999999999</v>
      </c>
      <c r="V337" s="16">
        <v>340.70499999999998</v>
      </c>
      <c r="W337" s="16">
        <v>384.69600000000003</v>
      </c>
      <c r="X337" s="16">
        <v>339.8109</v>
      </c>
      <c r="Y337" s="16">
        <v>291.56</v>
      </c>
      <c r="Z337" s="16"/>
      <c r="AA337" s="17">
        <f t="shared" si="15"/>
        <v>626.25519999999995</v>
      </c>
      <c r="AB337" s="17">
        <f t="shared" si="16"/>
        <v>0</v>
      </c>
      <c r="AC337" s="17">
        <f t="shared" si="17"/>
        <v>236.414625</v>
      </c>
    </row>
    <row r="338" spans="1:29">
      <c r="A338" s="8">
        <v>45628</v>
      </c>
      <c r="B338" s="16">
        <v>327.30799999999999</v>
      </c>
      <c r="C338" s="16">
        <v>313.09440000000001</v>
      </c>
      <c r="D338" s="16">
        <v>309.9237</v>
      </c>
      <c r="E338" s="16">
        <v>280.04910000000001</v>
      </c>
      <c r="F338" s="16">
        <v>253.44319999999999</v>
      </c>
      <c r="G338" s="16">
        <v>267.89280000000002</v>
      </c>
      <c r="H338" s="16">
        <v>340.42039999999997</v>
      </c>
      <c r="I338" s="16">
        <v>723.69240000000002</v>
      </c>
      <c r="J338" s="16">
        <v>781.40260000000001</v>
      </c>
      <c r="K338" s="16">
        <v>542.25199999999995</v>
      </c>
      <c r="L338" s="16">
        <v>349.36759999999998</v>
      </c>
      <c r="M338" s="16">
        <v>264.80700000000002</v>
      </c>
      <c r="N338" s="16">
        <v>41.767699999999998</v>
      </c>
      <c r="O338" s="16">
        <v>190.4229</v>
      </c>
      <c r="P338" s="16">
        <v>307.10500000000002</v>
      </c>
      <c r="Q338" s="16">
        <v>385.07839999999999</v>
      </c>
      <c r="R338" s="16">
        <v>652.49990000000003</v>
      </c>
      <c r="S338" s="16">
        <v>593.46389999999997</v>
      </c>
      <c r="T338" s="16">
        <v>497.5761</v>
      </c>
      <c r="U338" s="16">
        <v>584.45410000000004</v>
      </c>
      <c r="V338" s="16">
        <v>654.85249999999996</v>
      </c>
      <c r="W338" s="16">
        <v>826.2826</v>
      </c>
      <c r="X338" s="16">
        <v>639.59199999999998</v>
      </c>
      <c r="Y338" s="16">
        <v>332.88490000000002</v>
      </c>
      <c r="Z338" s="16"/>
      <c r="AA338" s="17">
        <f t="shared" si="15"/>
        <v>826.2826</v>
      </c>
      <c r="AB338" s="17">
        <f t="shared" si="16"/>
        <v>41.767699999999998</v>
      </c>
      <c r="AC338" s="17">
        <f t="shared" si="17"/>
        <v>435.81805000000003</v>
      </c>
    </row>
    <row r="339" spans="1:29">
      <c r="A339" s="8">
        <v>45629</v>
      </c>
      <c r="B339" s="16">
        <v>615.86239999999998</v>
      </c>
      <c r="C339" s="16">
        <v>593.33000000000004</v>
      </c>
      <c r="D339" s="16">
        <v>386.42989999999998</v>
      </c>
      <c r="E339" s="16">
        <v>335.04809999999998</v>
      </c>
      <c r="F339" s="16">
        <v>316.06200000000001</v>
      </c>
      <c r="G339" s="16">
        <v>338.25119999999998</v>
      </c>
      <c r="H339" s="16">
        <v>795.14269999999999</v>
      </c>
      <c r="I339" s="16">
        <v>779.28980000000001</v>
      </c>
      <c r="J339" s="16">
        <v>822.72709999999995</v>
      </c>
      <c r="K339" s="16">
        <v>479.16269999999997</v>
      </c>
      <c r="L339" s="16">
        <v>318.39330000000001</v>
      </c>
      <c r="M339" s="16">
        <v>272.43560000000002</v>
      </c>
      <c r="N339" s="16">
        <v>0</v>
      </c>
      <c r="O339" s="16">
        <v>129.6096</v>
      </c>
      <c r="P339" s="16">
        <v>282.91739999999999</v>
      </c>
      <c r="Q339" s="16">
        <v>314.82960000000003</v>
      </c>
      <c r="R339" s="16">
        <v>481.21960000000001</v>
      </c>
      <c r="S339" s="16">
        <v>508.3485</v>
      </c>
      <c r="T339" s="16">
        <v>711.15639999999996</v>
      </c>
      <c r="U339" s="16">
        <v>587.92060000000004</v>
      </c>
      <c r="V339" s="16">
        <v>660.68589999999995</v>
      </c>
      <c r="W339" s="16">
        <v>534.67020000000002</v>
      </c>
      <c r="X339" s="16">
        <v>553.78949999999998</v>
      </c>
      <c r="Y339" s="16">
        <v>295.34609999999998</v>
      </c>
      <c r="Z339" s="16"/>
      <c r="AA339" s="17">
        <f t="shared" si="15"/>
        <v>822.72709999999995</v>
      </c>
      <c r="AB339" s="17">
        <f t="shared" si="16"/>
        <v>0</v>
      </c>
      <c r="AC339" s="17">
        <f t="shared" si="17"/>
        <v>463.02617500000002</v>
      </c>
    </row>
    <row r="340" spans="1:29">
      <c r="A340" s="8">
        <v>45630</v>
      </c>
      <c r="B340" s="16">
        <v>460.1823</v>
      </c>
      <c r="C340" s="16">
        <v>474.39640000000003</v>
      </c>
      <c r="D340" s="16">
        <v>574.09040000000005</v>
      </c>
      <c r="E340" s="16">
        <v>384.32490000000001</v>
      </c>
      <c r="F340" s="16">
        <v>373.38319999999999</v>
      </c>
      <c r="G340" s="16">
        <v>332.2285</v>
      </c>
      <c r="H340" s="16">
        <v>481.84210000000002</v>
      </c>
      <c r="I340" s="16">
        <v>600.55079999999998</v>
      </c>
      <c r="J340" s="16">
        <v>689.84670000000006</v>
      </c>
      <c r="K340" s="16">
        <v>551.18299999999999</v>
      </c>
      <c r="L340" s="16">
        <v>355.8528</v>
      </c>
      <c r="M340" s="16">
        <v>296.16430000000003</v>
      </c>
      <c r="N340" s="16">
        <v>45.448799999999999</v>
      </c>
      <c r="O340" s="16">
        <v>166.27879999999999</v>
      </c>
      <c r="P340" s="16">
        <v>327.40859999999998</v>
      </c>
      <c r="Q340" s="16">
        <v>539.23979999999995</v>
      </c>
      <c r="R340" s="16">
        <v>646.35050000000001</v>
      </c>
      <c r="S340" s="16">
        <v>626.28449999999998</v>
      </c>
      <c r="T340" s="16">
        <v>914.57240000000002</v>
      </c>
      <c r="U340" s="16">
        <v>646.27049999999997</v>
      </c>
      <c r="V340" s="16">
        <v>599.03920000000005</v>
      </c>
      <c r="W340" s="16">
        <v>646.29859999999996</v>
      </c>
      <c r="X340" s="16">
        <v>410.40899999999999</v>
      </c>
      <c r="Y340" s="16">
        <v>325.2038</v>
      </c>
      <c r="Z340" s="16"/>
      <c r="AA340" s="17">
        <f t="shared" si="15"/>
        <v>914.57240000000002</v>
      </c>
      <c r="AB340" s="17">
        <f t="shared" si="16"/>
        <v>45.448799999999999</v>
      </c>
      <c r="AC340" s="17">
        <f t="shared" si="17"/>
        <v>477.78541250000001</v>
      </c>
    </row>
    <row r="341" spans="1:29">
      <c r="A341" s="8">
        <v>45631</v>
      </c>
      <c r="B341" s="16">
        <v>338.44940000000003</v>
      </c>
      <c r="C341" s="16">
        <v>328.32549999999998</v>
      </c>
      <c r="D341" s="16">
        <v>367.06610000000001</v>
      </c>
      <c r="E341" s="16">
        <v>333.6216</v>
      </c>
      <c r="F341" s="16">
        <v>294.52949999999998</v>
      </c>
      <c r="G341" s="16">
        <v>296.26679999999999</v>
      </c>
      <c r="H341" s="16">
        <v>361.87349999999998</v>
      </c>
      <c r="I341" s="16">
        <v>375.00020000000001</v>
      </c>
      <c r="J341" s="16">
        <v>420.19130000000001</v>
      </c>
      <c r="K341" s="16">
        <v>415.74520000000001</v>
      </c>
      <c r="L341" s="16">
        <v>298.00560000000002</v>
      </c>
      <c r="M341" s="16">
        <v>235.4734</v>
      </c>
      <c r="N341" s="16">
        <v>9.0970999999999993</v>
      </c>
      <c r="O341" s="16">
        <v>134.56049999999999</v>
      </c>
      <c r="P341" s="16">
        <v>273.41230000000002</v>
      </c>
      <c r="Q341" s="16">
        <v>321.1361</v>
      </c>
      <c r="R341" s="16">
        <v>397.60700000000003</v>
      </c>
      <c r="S341" s="16">
        <v>344.66699999999997</v>
      </c>
      <c r="T341" s="16">
        <v>362.1268</v>
      </c>
      <c r="U341" s="16">
        <v>370.74950000000001</v>
      </c>
      <c r="V341" s="16">
        <v>366.303</v>
      </c>
      <c r="W341" s="16">
        <v>373.8716</v>
      </c>
      <c r="X341" s="16">
        <v>325.04349999999999</v>
      </c>
      <c r="Y341" s="16">
        <v>276.11070000000001</v>
      </c>
      <c r="Z341" s="16"/>
      <c r="AA341" s="17">
        <f t="shared" si="15"/>
        <v>420.19130000000001</v>
      </c>
      <c r="AB341" s="17">
        <f t="shared" si="16"/>
        <v>9.0970999999999993</v>
      </c>
      <c r="AC341" s="17">
        <f t="shared" si="17"/>
        <v>317.46805000000001</v>
      </c>
    </row>
    <row r="342" spans="1:29">
      <c r="A342" s="8">
        <v>45632</v>
      </c>
      <c r="B342" s="16">
        <v>323.48329999999999</v>
      </c>
      <c r="C342" s="16">
        <v>316.22300000000001</v>
      </c>
      <c r="D342" s="16">
        <v>347.83240000000001</v>
      </c>
      <c r="E342" s="16">
        <v>332.6789</v>
      </c>
      <c r="F342" s="16">
        <v>301.71949999999998</v>
      </c>
      <c r="G342" s="16">
        <v>282.50689999999997</v>
      </c>
      <c r="H342" s="16">
        <v>347.85840000000002</v>
      </c>
      <c r="I342" s="16">
        <v>416.68889999999999</v>
      </c>
      <c r="J342" s="16">
        <v>838.18150000000003</v>
      </c>
      <c r="K342" s="16">
        <v>760.61350000000004</v>
      </c>
      <c r="L342" s="16">
        <v>428.37389999999999</v>
      </c>
      <c r="M342" s="16">
        <v>354.32010000000002</v>
      </c>
      <c r="N342" s="16">
        <v>220.9607</v>
      </c>
      <c r="O342" s="16">
        <v>297.15690000000001</v>
      </c>
      <c r="P342" s="16">
        <v>344.5899</v>
      </c>
      <c r="Q342" s="16">
        <v>362.45159999999998</v>
      </c>
      <c r="R342" s="16">
        <v>547.01220000000001</v>
      </c>
      <c r="S342" s="16">
        <v>457.68729999999999</v>
      </c>
      <c r="T342" s="16">
        <v>610.49770000000001</v>
      </c>
      <c r="U342" s="16">
        <v>606.16589999999997</v>
      </c>
      <c r="V342" s="16">
        <v>564.34540000000004</v>
      </c>
      <c r="W342" s="16">
        <v>536.88589999999999</v>
      </c>
      <c r="X342" s="16">
        <v>444.48649999999998</v>
      </c>
      <c r="Y342" s="16">
        <v>325.72829999999999</v>
      </c>
      <c r="Z342" s="16"/>
      <c r="AA342" s="17">
        <f t="shared" si="15"/>
        <v>838.18150000000003</v>
      </c>
      <c r="AB342" s="17">
        <f t="shared" si="16"/>
        <v>220.9607</v>
      </c>
      <c r="AC342" s="17">
        <f t="shared" si="17"/>
        <v>432.018691666667</v>
      </c>
    </row>
    <row r="343" spans="1:29">
      <c r="A343" s="8">
        <v>45633</v>
      </c>
      <c r="B343" s="16">
        <v>454.13529999999997</v>
      </c>
      <c r="C343" s="16">
        <v>382.1918</v>
      </c>
      <c r="D343" s="16">
        <v>389.62869999999998</v>
      </c>
      <c r="E343" s="16">
        <v>338.05790000000002</v>
      </c>
      <c r="F343" s="16">
        <v>279.59219999999999</v>
      </c>
      <c r="G343" s="16">
        <v>241.38419999999999</v>
      </c>
      <c r="H343" s="16">
        <v>324.20330000000001</v>
      </c>
      <c r="I343" s="16">
        <v>408.48989999999998</v>
      </c>
      <c r="J343" s="16">
        <v>585.12130000000002</v>
      </c>
      <c r="K343" s="16">
        <v>382.8646</v>
      </c>
      <c r="L343" s="16">
        <v>308.2756</v>
      </c>
      <c r="M343" s="16">
        <v>241.49160000000001</v>
      </c>
      <c r="N343" s="16">
        <v>150.45320000000001</v>
      </c>
      <c r="O343" s="16">
        <v>302.22910000000002</v>
      </c>
      <c r="P343" s="16">
        <v>382.85730000000001</v>
      </c>
      <c r="Q343" s="16">
        <v>400.3793</v>
      </c>
      <c r="R343" s="16">
        <v>499.90730000000002</v>
      </c>
      <c r="S343" s="16">
        <v>426.99630000000002</v>
      </c>
      <c r="T343" s="16">
        <v>421.79730000000001</v>
      </c>
      <c r="U343" s="16">
        <v>411.10340000000002</v>
      </c>
      <c r="V343" s="16">
        <v>403.25909999999999</v>
      </c>
      <c r="W343" s="16">
        <v>367.19720000000001</v>
      </c>
      <c r="X343" s="16">
        <v>316.35230000000001</v>
      </c>
      <c r="Y343" s="16">
        <v>261.19690000000003</v>
      </c>
      <c r="Z343" s="16"/>
      <c r="AA343" s="17">
        <f t="shared" si="15"/>
        <v>585.12130000000002</v>
      </c>
      <c r="AB343" s="17">
        <f t="shared" si="16"/>
        <v>150.45320000000001</v>
      </c>
      <c r="AC343" s="17">
        <f t="shared" si="17"/>
        <v>361.63187916666698</v>
      </c>
    </row>
    <row r="344" spans="1:29">
      <c r="A344" s="8">
        <v>45634</v>
      </c>
      <c r="B344" s="16">
        <v>715.34739999999999</v>
      </c>
      <c r="C344" s="16">
        <v>551.22519999999997</v>
      </c>
      <c r="D344" s="16">
        <v>429.56169999999997</v>
      </c>
      <c r="E344" s="16">
        <v>290.68020000000001</v>
      </c>
      <c r="F344" s="16">
        <v>339.63</v>
      </c>
      <c r="G344" s="16">
        <v>303.95400000000001</v>
      </c>
      <c r="H344" s="16">
        <v>330.46429999999998</v>
      </c>
      <c r="I344" s="16">
        <v>429.48579999999998</v>
      </c>
      <c r="J344" s="16">
        <v>386.54430000000002</v>
      </c>
      <c r="K344" s="16">
        <v>293.59269999999998</v>
      </c>
      <c r="L344" s="16">
        <v>192.08969999999999</v>
      </c>
      <c r="M344" s="16">
        <v>124.404</v>
      </c>
      <c r="N344" s="16">
        <v>68.148399999999995</v>
      </c>
      <c r="O344" s="16">
        <v>157.90809999999999</v>
      </c>
      <c r="P344" s="16">
        <v>252.3997</v>
      </c>
      <c r="Q344" s="16">
        <v>260.67450000000002</v>
      </c>
      <c r="R344" s="16">
        <v>326.73480000000001</v>
      </c>
      <c r="S344" s="16">
        <v>359.084</v>
      </c>
      <c r="T344" s="16">
        <v>379.04079999999999</v>
      </c>
      <c r="U344" s="16">
        <v>377.8768</v>
      </c>
      <c r="V344" s="16">
        <v>387.96660000000003</v>
      </c>
      <c r="W344" s="16">
        <v>373.43119999999999</v>
      </c>
      <c r="X344" s="16">
        <v>328.71359999999999</v>
      </c>
      <c r="Y344" s="16">
        <v>318.34289999999999</v>
      </c>
      <c r="Z344" s="16"/>
      <c r="AA344" s="17">
        <f t="shared" si="15"/>
        <v>715.34739999999999</v>
      </c>
      <c r="AB344" s="17">
        <f t="shared" si="16"/>
        <v>68.148399999999995</v>
      </c>
      <c r="AC344" s="17">
        <f t="shared" si="17"/>
        <v>332.38752916666698</v>
      </c>
    </row>
    <row r="345" spans="1:29">
      <c r="A345" s="8">
        <v>45635</v>
      </c>
      <c r="B345" s="16">
        <v>425.27510000000001</v>
      </c>
      <c r="C345" s="16">
        <v>291.54770000000002</v>
      </c>
      <c r="D345" s="16">
        <v>280.36090000000002</v>
      </c>
      <c r="E345" s="16">
        <v>262.30930000000001</v>
      </c>
      <c r="F345" s="16">
        <v>273.19069999999999</v>
      </c>
      <c r="G345" s="16">
        <v>277.36399999999998</v>
      </c>
      <c r="H345" s="16">
        <v>327.68729999999999</v>
      </c>
      <c r="I345" s="16">
        <v>391.5258</v>
      </c>
      <c r="J345" s="16">
        <v>907.19269999999995</v>
      </c>
      <c r="K345" s="16">
        <v>808.096</v>
      </c>
      <c r="L345" s="16">
        <v>716.01369999999997</v>
      </c>
      <c r="M345" s="16">
        <v>325.21460000000002</v>
      </c>
      <c r="N345" s="16">
        <v>185.44479999999999</v>
      </c>
      <c r="O345" s="16">
        <v>268.75040000000001</v>
      </c>
      <c r="P345" s="16">
        <v>297.65480000000002</v>
      </c>
      <c r="Q345" s="16">
        <v>317.61529999999999</v>
      </c>
      <c r="R345" s="16">
        <v>385.44630000000001</v>
      </c>
      <c r="S345" s="16">
        <v>505.52659999999997</v>
      </c>
      <c r="T345" s="16">
        <v>568.36540000000002</v>
      </c>
      <c r="U345" s="16">
        <v>517.74300000000005</v>
      </c>
      <c r="V345" s="16">
        <v>597.50490000000002</v>
      </c>
      <c r="W345" s="16">
        <v>493.92230000000001</v>
      </c>
      <c r="X345" s="16">
        <v>374.85750000000002</v>
      </c>
      <c r="Y345" s="16">
        <v>283.92959999999999</v>
      </c>
      <c r="Z345" s="16"/>
      <c r="AA345" s="17">
        <f t="shared" si="15"/>
        <v>907.19269999999995</v>
      </c>
      <c r="AB345" s="17">
        <f t="shared" si="16"/>
        <v>185.44479999999999</v>
      </c>
      <c r="AC345" s="17">
        <f t="shared" si="17"/>
        <v>420.10577916666699</v>
      </c>
    </row>
    <row r="346" spans="1:29">
      <c r="A346" s="8">
        <v>45636</v>
      </c>
      <c r="B346" s="16">
        <v>356.4128</v>
      </c>
      <c r="C346" s="16">
        <v>340.06150000000002</v>
      </c>
      <c r="D346" s="16">
        <v>309.09010000000001</v>
      </c>
      <c r="E346" s="16">
        <v>289.58409999999998</v>
      </c>
      <c r="F346" s="16">
        <v>289.00560000000002</v>
      </c>
      <c r="G346" s="16">
        <v>309.5745</v>
      </c>
      <c r="H346" s="16">
        <v>538.35860000000002</v>
      </c>
      <c r="I346" s="16">
        <v>491.9597</v>
      </c>
      <c r="J346" s="16">
        <v>548.68619999999999</v>
      </c>
      <c r="K346" s="16">
        <v>445.52440000000001</v>
      </c>
      <c r="L346" s="16">
        <v>325.6499</v>
      </c>
      <c r="M346" s="16">
        <v>283.31950000000001</v>
      </c>
      <c r="N346" s="16">
        <v>0</v>
      </c>
      <c r="O346" s="16">
        <v>172.84540000000001</v>
      </c>
      <c r="P346" s="16">
        <v>289.27749999999997</v>
      </c>
      <c r="Q346" s="16">
        <v>306.42110000000002</v>
      </c>
      <c r="R346" s="16">
        <v>343.10419999999999</v>
      </c>
      <c r="S346" s="16">
        <v>344.27769999999998</v>
      </c>
      <c r="T346" s="16">
        <v>386.59679999999997</v>
      </c>
      <c r="U346" s="16">
        <v>368.26510000000002</v>
      </c>
      <c r="V346" s="16">
        <v>406.5908</v>
      </c>
      <c r="W346" s="16">
        <v>436.94959999999998</v>
      </c>
      <c r="X346" s="16">
        <v>390.1241</v>
      </c>
      <c r="Y346" s="16">
        <v>299.93819999999999</v>
      </c>
      <c r="Z346" s="16"/>
      <c r="AA346" s="17">
        <f t="shared" si="15"/>
        <v>548.68619999999999</v>
      </c>
      <c r="AB346" s="17">
        <f t="shared" si="16"/>
        <v>0</v>
      </c>
      <c r="AC346" s="17">
        <f t="shared" si="17"/>
        <v>344.65072500000002</v>
      </c>
    </row>
    <row r="347" spans="1:29">
      <c r="A347" s="8">
        <v>45637</v>
      </c>
      <c r="B347" s="16">
        <v>339.94589999999999</v>
      </c>
      <c r="C347" s="16">
        <v>321.81290000000001</v>
      </c>
      <c r="D347" s="16">
        <v>322.32049999999998</v>
      </c>
      <c r="E347" s="16">
        <v>343.76749999999998</v>
      </c>
      <c r="F347" s="16">
        <v>318.75139999999999</v>
      </c>
      <c r="G347" s="16">
        <v>325.23480000000001</v>
      </c>
      <c r="H347" s="16">
        <v>519.98900000000003</v>
      </c>
      <c r="I347" s="16">
        <v>525.90890000000002</v>
      </c>
      <c r="J347" s="16">
        <v>556.19669999999996</v>
      </c>
      <c r="K347" s="16">
        <v>727.72469999999998</v>
      </c>
      <c r="L347" s="16">
        <v>579.88499999999999</v>
      </c>
      <c r="M347" s="16">
        <v>471.30579999999998</v>
      </c>
      <c r="N347" s="16">
        <v>219.82429999999999</v>
      </c>
      <c r="O347" s="16">
        <v>368.04309999999998</v>
      </c>
      <c r="P347" s="16">
        <v>408.88049999999998</v>
      </c>
      <c r="Q347" s="16">
        <v>440.94459999999998</v>
      </c>
      <c r="R347" s="16">
        <v>477.16800000000001</v>
      </c>
      <c r="S347" s="16">
        <v>390.3691</v>
      </c>
      <c r="T347" s="16">
        <v>426.33949999999999</v>
      </c>
      <c r="U347" s="16">
        <v>442.62900000000002</v>
      </c>
      <c r="V347" s="16">
        <v>396.1823</v>
      </c>
      <c r="W347" s="16">
        <v>444.44009999999997</v>
      </c>
      <c r="X347" s="16">
        <v>371.90899999999999</v>
      </c>
      <c r="Y347" s="16">
        <v>307.93009999999998</v>
      </c>
      <c r="Z347" s="16"/>
      <c r="AA347" s="17">
        <f t="shared" si="15"/>
        <v>727.72469999999998</v>
      </c>
      <c r="AB347" s="17">
        <f t="shared" si="16"/>
        <v>219.82429999999999</v>
      </c>
      <c r="AC347" s="17">
        <f t="shared" si="17"/>
        <v>418.64594583333297</v>
      </c>
    </row>
    <row r="348" spans="1:29">
      <c r="A348" s="8">
        <v>45638</v>
      </c>
      <c r="B348" s="16">
        <v>475.2944</v>
      </c>
      <c r="C348" s="16">
        <v>310.7183</v>
      </c>
      <c r="D348" s="16">
        <v>288.2364</v>
      </c>
      <c r="E348" s="16">
        <v>279.70999999999998</v>
      </c>
      <c r="F348" s="16">
        <v>253.09350000000001</v>
      </c>
      <c r="G348" s="16">
        <v>260.11680000000001</v>
      </c>
      <c r="H348" s="16">
        <v>316.70170000000002</v>
      </c>
      <c r="I348" s="16">
        <v>336.89350000000002</v>
      </c>
      <c r="J348" s="16">
        <v>411.45600000000002</v>
      </c>
      <c r="K348" s="16">
        <v>406.51780000000002</v>
      </c>
      <c r="L348" s="16">
        <v>344.34530000000001</v>
      </c>
      <c r="M348" s="16">
        <v>301.02870000000001</v>
      </c>
      <c r="N348" s="16">
        <v>51.048499999999997</v>
      </c>
      <c r="O348" s="16">
        <v>226.7594</v>
      </c>
      <c r="P348" s="16">
        <v>328.75069999999999</v>
      </c>
      <c r="Q348" s="16">
        <v>380.99009999999998</v>
      </c>
      <c r="R348" s="16">
        <v>445.92399999999998</v>
      </c>
      <c r="S348" s="16">
        <v>402.5521</v>
      </c>
      <c r="T348" s="16">
        <v>380.4144</v>
      </c>
      <c r="U348" s="16">
        <v>381.15910000000002</v>
      </c>
      <c r="V348" s="16">
        <v>389.54320000000001</v>
      </c>
      <c r="W348" s="16">
        <v>461.99509999999998</v>
      </c>
      <c r="X348" s="16">
        <v>392.6071</v>
      </c>
      <c r="Y348" s="16">
        <v>310.55410000000001</v>
      </c>
      <c r="Z348" s="16"/>
      <c r="AA348" s="17">
        <f t="shared" si="15"/>
        <v>475.2944</v>
      </c>
      <c r="AB348" s="17">
        <f t="shared" si="16"/>
        <v>51.048499999999997</v>
      </c>
      <c r="AC348" s="17">
        <f t="shared" si="17"/>
        <v>339.017091666667</v>
      </c>
    </row>
    <row r="349" spans="1:29">
      <c r="A349" s="8">
        <v>45639</v>
      </c>
      <c r="B349" s="16">
        <v>466.45830000000001</v>
      </c>
      <c r="C349" s="16">
        <v>343.31369999999998</v>
      </c>
      <c r="D349" s="16">
        <v>296.10980000000001</v>
      </c>
      <c r="E349" s="16">
        <v>284.25290000000001</v>
      </c>
      <c r="F349" s="16">
        <v>266.04880000000003</v>
      </c>
      <c r="G349" s="16">
        <v>278.01100000000002</v>
      </c>
      <c r="H349" s="16">
        <v>360.29399999999998</v>
      </c>
      <c r="I349" s="16">
        <v>395.14249999999998</v>
      </c>
      <c r="J349" s="16">
        <v>569.14589999999998</v>
      </c>
      <c r="K349" s="16">
        <v>399.64159999999998</v>
      </c>
      <c r="L349" s="16">
        <v>305.69779999999997</v>
      </c>
      <c r="M349" s="16">
        <v>269.00139999999999</v>
      </c>
      <c r="N349" s="16">
        <v>179.8563</v>
      </c>
      <c r="O349" s="16">
        <v>199.80090000000001</v>
      </c>
      <c r="P349" s="16">
        <v>295.35570000000001</v>
      </c>
      <c r="Q349" s="16">
        <v>354.57569999999998</v>
      </c>
      <c r="R349" s="16">
        <v>390.27839999999998</v>
      </c>
      <c r="S349" s="16">
        <v>403.88659999999999</v>
      </c>
      <c r="T349" s="16">
        <v>412.75409999999999</v>
      </c>
      <c r="U349" s="16">
        <v>411.0505</v>
      </c>
      <c r="V349" s="16">
        <v>414.23739999999998</v>
      </c>
      <c r="W349" s="16">
        <v>459.5224</v>
      </c>
      <c r="X349" s="16">
        <v>455.495</v>
      </c>
      <c r="Y349" s="16">
        <v>313.3605</v>
      </c>
      <c r="Z349" s="16"/>
      <c r="AA349" s="17">
        <f t="shared" si="15"/>
        <v>569.14589999999998</v>
      </c>
      <c r="AB349" s="17">
        <f t="shared" si="16"/>
        <v>179.8563</v>
      </c>
      <c r="AC349" s="17">
        <f t="shared" si="17"/>
        <v>355.137133333333</v>
      </c>
    </row>
    <row r="350" spans="1:29">
      <c r="A350" s="8">
        <v>45640</v>
      </c>
      <c r="B350" s="16">
        <v>328.5684</v>
      </c>
      <c r="C350" s="16">
        <v>282.64879999999999</v>
      </c>
      <c r="D350" s="16">
        <v>286.1318</v>
      </c>
      <c r="E350" s="16">
        <v>261.596</v>
      </c>
      <c r="F350" s="16">
        <v>218.04560000000001</v>
      </c>
      <c r="G350" s="16">
        <v>177.54900000000001</v>
      </c>
      <c r="H350" s="16">
        <v>269.72390000000001</v>
      </c>
      <c r="I350" s="16">
        <v>295.64890000000003</v>
      </c>
      <c r="J350" s="16">
        <v>338.87189999999998</v>
      </c>
      <c r="K350" s="16">
        <v>321.11149999999998</v>
      </c>
      <c r="L350" s="16">
        <v>293.4049</v>
      </c>
      <c r="M350" s="16">
        <v>266.11369999999999</v>
      </c>
      <c r="N350" s="16">
        <v>71.426900000000003</v>
      </c>
      <c r="O350" s="16">
        <v>245.55799999999999</v>
      </c>
      <c r="P350" s="16">
        <v>306.47280000000001</v>
      </c>
      <c r="Q350" s="16">
        <v>315.38459999999998</v>
      </c>
      <c r="R350" s="16">
        <v>352.88499999999999</v>
      </c>
      <c r="S350" s="16">
        <v>394.98390000000001</v>
      </c>
      <c r="T350" s="16">
        <v>392.09859999999998</v>
      </c>
      <c r="U350" s="16">
        <v>393.45530000000002</v>
      </c>
      <c r="V350" s="16">
        <v>371.12670000000003</v>
      </c>
      <c r="W350" s="16">
        <v>392.54270000000002</v>
      </c>
      <c r="X350" s="16">
        <v>382.46069999999997</v>
      </c>
      <c r="Y350" s="16">
        <v>311.4117</v>
      </c>
      <c r="Z350" s="16"/>
      <c r="AA350" s="17">
        <f t="shared" si="15"/>
        <v>394.98390000000001</v>
      </c>
      <c r="AB350" s="17">
        <f t="shared" si="16"/>
        <v>71.426900000000003</v>
      </c>
      <c r="AC350" s="17">
        <f t="shared" si="17"/>
        <v>302.88422083333302</v>
      </c>
    </row>
    <row r="351" spans="1:29">
      <c r="A351" s="8">
        <v>45641</v>
      </c>
      <c r="B351" s="16">
        <v>376.8449</v>
      </c>
      <c r="C351" s="16">
        <v>338.04880000000003</v>
      </c>
      <c r="D351" s="16">
        <v>332.66109999999998</v>
      </c>
      <c r="E351" s="16">
        <v>321.97629999999998</v>
      </c>
      <c r="F351" s="16">
        <v>280.88510000000002</v>
      </c>
      <c r="G351" s="16">
        <v>274.93549999999999</v>
      </c>
      <c r="H351" s="16">
        <v>294.20229999999998</v>
      </c>
      <c r="I351" s="16">
        <v>288.36689999999999</v>
      </c>
      <c r="J351" s="16">
        <v>283.61610000000002</v>
      </c>
      <c r="K351" s="16">
        <v>282.63290000000001</v>
      </c>
      <c r="L351" s="16">
        <v>272.41390000000001</v>
      </c>
      <c r="M351" s="16">
        <v>289.3997</v>
      </c>
      <c r="N351" s="16">
        <v>247.565</v>
      </c>
      <c r="O351" s="16">
        <v>313.80889999999999</v>
      </c>
      <c r="P351" s="16">
        <v>301.27949999999998</v>
      </c>
      <c r="Q351" s="16">
        <v>305.40179999999998</v>
      </c>
      <c r="R351" s="16">
        <v>333.51990000000001</v>
      </c>
      <c r="S351" s="16">
        <v>384.34129999999999</v>
      </c>
      <c r="T351" s="16">
        <v>400.75810000000001</v>
      </c>
      <c r="U351" s="16">
        <v>393.92829999999998</v>
      </c>
      <c r="V351" s="16">
        <v>404.75290000000001</v>
      </c>
      <c r="W351" s="16">
        <v>377.87060000000002</v>
      </c>
      <c r="X351" s="16">
        <v>359.52539999999999</v>
      </c>
      <c r="Y351" s="16">
        <v>226.45320000000001</v>
      </c>
      <c r="Z351" s="16"/>
      <c r="AA351" s="17">
        <f t="shared" si="15"/>
        <v>404.75290000000001</v>
      </c>
      <c r="AB351" s="17">
        <f t="shared" si="16"/>
        <v>226.45320000000001</v>
      </c>
      <c r="AC351" s="17">
        <f t="shared" si="17"/>
        <v>320.21618333333299</v>
      </c>
    </row>
    <row r="352" spans="1:29">
      <c r="A352" s="8">
        <v>45642</v>
      </c>
      <c r="B352" s="16">
        <v>242.7826</v>
      </c>
      <c r="C352" s="16">
        <v>274.88130000000001</v>
      </c>
      <c r="D352" s="16">
        <v>174.2319</v>
      </c>
      <c r="E352" s="16">
        <v>154.75729999999999</v>
      </c>
      <c r="F352" s="16">
        <v>52.046999999999997</v>
      </c>
      <c r="G352" s="16">
        <v>217.46279999999999</v>
      </c>
      <c r="H352" s="16">
        <v>297.81369999999998</v>
      </c>
      <c r="I352" s="16">
        <v>325.74130000000002</v>
      </c>
      <c r="J352" s="16">
        <v>328.58080000000001</v>
      </c>
      <c r="K352" s="16">
        <v>337.1995</v>
      </c>
      <c r="L352" s="16">
        <v>327.64960000000002</v>
      </c>
      <c r="M352" s="16">
        <v>248.80889999999999</v>
      </c>
      <c r="N352" s="16">
        <v>0</v>
      </c>
      <c r="O352" s="16">
        <v>47.459800000000001</v>
      </c>
      <c r="P352" s="16">
        <v>167.80879999999999</v>
      </c>
      <c r="Q352" s="16">
        <v>289.26710000000003</v>
      </c>
      <c r="R352" s="16">
        <v>331.20870000000002</v>
      </c>
      <c r="S352" s="16">
        <v>338.67430000000002</v>
      </c>
      <c r="T352" s="16">
        <v>375.73779999999999</v>
      </c>
      <c r="U352" s="16">
        <v>368.16230000000002</v>
      </c>
      <c r="V352" s="16">
        <v>364.65100000000001</v>
      </c>
      <c r="W352" s="16">
        <v>401.89670000000001</v>
      </c>
      <c r="X352" s="16">
        <v>392.7869</v>
      </c>
      <c r="Y352" s="16">
        <v>294.33870000000002</v>
      </c>
      <c r="Z352" s="16"/>
      <c r="AA352" s="17">
        <f t="shared" si="15"/>
        <v>401.89670000000001</v>
      </c>
      <c r="AB352" s="17">
        <f t="shared" si="16"/>
        <v>0</v>
      </c>
      <c r="AC352" s="17">
        <f t="shared" si="17"/>
        <v>264.74786666666699</v>
      </c>
    </row>
    <row r="353" spans="1:29">
      <c r="A353" s="8">
        <v>45643</v>
      </c>
      <c r="B353" s="16">
        <v>332.16340000000002</v>
      </c>
      <c r="C353" s="16">
        <v>276.55410000000001</v>
      </c>
      <c r="D353" s="16">
        <v>275.33879999999999</v>
      </c>
      <c r="E353" s="16">
        <v>263.96969999999999</v>
      </c>
      <c r="F353" s="16">
        <v>237.49639999999999</v>
      </c>
      <c r="G353" s="16">
        <v>244.76329999999999</v>
      </c>
      <c r="H353" s="16">
        <v>289.2561</v>
      </c>
      <c r="I353" s="16">
        <v>336.71499999999997</v>
      </c>
      <c r="J353" s="16">
        <v>360.46230000000003</v>
      </c>
      <c r="K353" s="16">
        <v>291.44009999999997</v>
      </c>
      <c r="L353" s="16">
        <v>281.69189999999998</v>
      </c>
      <c r="M353" s="16">
        <v>270.6388</v>
      </c>
      <c r="N353" s="16">
        <v>129.30770000000001</v>
      </c>
      <c r="O353" s="16">
        <v>275.88920000000002</v>
      </c>
      <c r="P353" s="16">
        <v>300.1986</v>
      </c>
      <c r="Q353" s="16">
        <v>329.86669999999998</v>
      </c>
      <c r="R353" s="16">
        <v>369.67700000000002</v>
      </c>
      <c r="S353" s="16">
        <v>413.49740000000003</v>
      </c>
      <c r="T353" s="16">
        <v>427.36059999999998</v>
      </c>
      <c r="U353" s="16">
        <v>423.8895</v>
      </c>
      <c r="V353" s="16">
        <v>456.3229</v>
      </c>
      <c r="W353" s="16">
        <v>441.36450000000002</v>
      </c>
      <c r="X353" s="16">
        <v>400.71260000000001</v>
      </c>
      <c r="Y353" s="16">
        <v>303.70089999999999</v>
      </c>
      <c r="Z353" s="16"/>
      <c r="AA353" s="17">
        <f t="shared" si="15"/>
        <v>456.3229</v>
      </c>
      <c r="AB353" s="17">
        <f t="shared" si="16"/>
        <v>129.30770000000001</v>
      </c>
      <c r="AC353" s="17">
        <f t="shared" si="17"/>
        <v>322.17822916666699</v>
      </c>
    </row>
    <row r="354" spans="1:29">
      <c r="A354" s="8">
        <v>45644</v>
      </c>
      <c r="B354" s="16">
        <v>308.60860000000002</v>
      </c>
      <c r="C354" s="16">
        <v>281.64179999999999</v>
      </c>
      <c r="D354" s="16">
        <v>269.25979999999998</v>
      </c>
      <c r="E354" s="16">
        <v>251.53559999999999</v>
      </c>
      <c r="F354" s="16">
        <v>211.65039999999999</v>
      </c>
      <c r="G354" s="16">
        <v>129.24709999999999</v>
      </c>
      <c r="H354" s="16">
        <v>254.3193</v>
      </c>
      <c r="I354" s="16">
        <v>306.68329999999997</v>
      </c>
      <c r="J354" s="16">
        <v>324.8503</v>
      </c>
      <c r="K354" s="16">
        <v>311.55070000000001</v>
      </c>
      <c r="L354" s="16">
        <v>280.34300000000002</v>
      </c>
      <c r="M354" s="16">
        <v>229.4111</v>
      </c>
      <c r="N354" s="16">
        <v>0</v>
      </c>
      <c r="O354" s="16">
        <v>81.316100000000006</v>
      </c>
      <c r="P354" s="16">
        <v>206.23500000000001</v>
      </c>
      <c r="Q354" s="16">
        <v>296.00099999999998</v>
      </c>
      <c r="R354" s="16">
        <v>346.23450000000003</v>
      </c>
      <c r="S354" s="16">
        <v>338.68099999999998</v>
      </c>
      <c r="T354" s="16">
        <v>357.30770000000001</v>
      </c>
      <c r="U354" s="16">
        <v>393.90179999999998</v>
      </c>
      <c r="V354" s="16">
        <v>346.7251</v>
      </c>
      <c r="W354" s="16">
        <v>352.02960000000002</v>
      </c>
      <c r="X354" s="16">
        <v>308.7312</v>
      </c>
      <c r="Y354" s="16">
        <v>159.84870000000001</v>
      </c>
      <c r="Z354" s="16"/>
      <c r="AA354" s="17">
        <f t="shared" si="15"/>
        <v>393.90179999999998</v>
      </c>
      <c r="AB354" s="17">
        <f t="shared" si="16"/>
        <v>0</v>
      </c>
      <c r="AC354" s="17">
        <f t="shared" si="17"/>
        <v>264.42136249999999</v>
      </c>
    </row>
    <row r="355" spans="1:29">
      <c r="A355" s="8">
        <v>45645</v>
      </c>
      <c r="B355" s="16">
        <v>294.02569999999997</v>
      </c>
      <c r="C355" s="16">
        <v>246.19210000000001</v>
      </c>
      <c r="D355" s="16">
        <v>180.39609999999999</v>
      </c>
      <c r="E355" s="16">
        <v>88.250399999999999</v>
      </c>
      <c r="F355" s="16">
        <v>80.185299999999998</v>
      </c>
      <c r="G355" s="16">
        <v>103.95140000000001</v>
      </c>
      <c r="H355" s="16">
        <v>250.125</v>
      </c>
      <c r="I355" s="16">
        <v>315.50850000000003</v>
      </c>
      <c r="J355" s="16">
        <v>351.33620000000002</v>
      </c>
      <c r="K355" s="16">
        <v>257.72879999999998</v>
      </c>
      <c r="L355" s="16">
        <v>137.94589999999999</v>
      </c>
      <c r="M355" s="16">
        <v>227.2243</v>
      </c>
      <c r="N355" s="16">
        <v>150.64109999999999</v>
      </c>
      <c r="O355" s="16">
        <v>268.11619999999999</v>
      </c>
      <c r="P355" s="16">
        <v>296.06790000000001</v>
      </c>
      <c r="Q355" s="16">
        <v>333.33510000000001</v>
      </c>
      <c r="R355" s="16">
        <v>426.3109</v>
      </c>
      <c r="S355" s="16">
        <v>390.82670000000002</v>
      </c>
      <c r="T355" s="16">
        <v>377.3372</v>
      </c>
      <c r="U355" s="16">
        <v>406.61160000000001</v>
      </c>
      <c r="V355" s="16">
        <v>391.68310000000002</v>
      </c>
      <c r="W355" s="16">
        <v>377.35239999999999</v>
      </c>
      <c r="X355" s="16">
        <v>378.17899999999997</v>
      </c>
      <c r="Y355" s="16">
        <v>321.72239999999999</v>
      </c>
      <c r="Z355" s="16"/>
      <c r="AA355" s="17">
        <f t="shared" si="15"/>
        <v>426.3109</v>
      </c>
      <c r="AB355" s="17">
        <f t="shared" si="16"/>
        <v>80.185299999999998</v>
      </c>
      <c r="AC355" s="17">
        <f t="shared" si="17"/>
        <v>277.12722083333301</v>
      </c>
    </row>
    <row r="356" spans="1:29">
      <c r="A356" s="8">
        <v>45646</v>
      </c>
      <c r="B356" s="16">
        <v>367.81889999999999</v>
      </c>
      <c r="C356" s="16">
        <v>294.37360000000001</v>
      </c>
      <c r="D356" s="16">
        <v>291.47559999999999</v>
      </c>
      <c r="E356" s="16">
        <v>267.358</v>
      </c>
      <c r="F356" s="16">
        <v>224.215</v>
      </c>
      <c r="G356" s="16">
        <v>271.06720000000001</v>
      </c>
      <c r="H356" s="16">
        <v>339.09969999999998</v>
      </c>
      <c r="I356" s="16">
        <v>420.93439999999998</v>
      </c>
      <c r="J356" s="16">
        <v>474.65530000000001</v>
      </c>
      <c r="K356" s="16">
        <v>349.98149999999998</v>
      </c>
      <c r="L356" s="16">
        <v>257.40780000000001</v>
      </c>
      <c r="M356" s="16">
        <v>229.17410000000001</v>
      </c>
      <c r="N356" s="16">
        <v>138.03809999999999</v>
      </c>
      <c r="O356" s="16">
        <v>267.62689999999998</v>
      </c>
      <c r="P356" s="16">
        <v>298.22359999999998</v>
      </c>
      <c r="Q356" s="16">
        <v>342.964</v>
      </c>
      <c r="R356" s="16">
        <v>411.32159999999999</v>
      </c>
      <c r="S356" s="16">
        <v>390.13780000000003</v>
      </c>
      <c r="T356" s="16">
        <v>402.4135</v>
      </c>
      <c r="U356" s="16">
        <v>457.71370000000002</v>
      </c>
      <c r="V356" s="16">
        <v>459.8082</v>
      </c>
      <c r="W356" s="16">
        <v>457.05759999999998</v>
      </c>
      <c r="X356" s="16">
        <v>503.87709999999998</v>
      </c>
      <c r="Y356" s="16">
        <v>371.85599999999999</v>
      </c>
      <c r="Z356" s="16"/>
      <c r="AA356" s="17">
        <f t="shared" si="15"/>
        <v>503.87709999999998</v>
      </c>
      <c r="AB356" s="17">
        <f t="shared" si="16"/>
        <v>138.03809999999999</v>
      </c>
      <c r="AC356" s="17">
        <f t="shared" si="17"/>
        <v>345.35829999999999</v>
      </c>
    </row>
    <row r="357" spans="1:29">
      <c r="A357" s="8">
        <v>45647</v>
      </c>
      <c r="B357" s="16">
        <v>569.30439999999999</v>
      </c>
      <c r="C357" s="16">
        <v>452.08640000000003</v>
      </c>
      <c r="D357" s="16">
        <v>357.29410000000001</v>
      </c>
      <c r="E357" s="16">
        <v>322.08510000000001</v>
      </c>
      <c r="F357" s="16">
        <v>309.06290000000001</v>
      </c>
      <c r="G357" s="16">
        <v>307.11489999999998</v>
      </c>
      <c r="H357" s="16">
        <v>342.55950000000001</v>
      </c>
      <c r="I357" s="16">
        <v>387.20100000000002</v>
      </c>
      <c r="J357" s="16">
        <v>372.35309999999998</v>
      </c>
      <c r="K357" s="16">
        <v>365.70060000000001</v>
      </c>
      <c r="L357" s="16">
        <v>220.72749999999999</v>
      </c>
      <c r="M357" s="16">
        <v>161.4873</v>
      </c>
      <c r="N357" s="16">
        <v>4.8041</v>
      </c>
      <c r="O357" s="16">
        <v>235.1097</v>
      </c>
      <c r="P357" s="16">
        <v>207.56780000000001</v>
      </c>
      <c r="Q357" s="16">
        <v>284.33190000000002</v>
      </c>
      <c r="R357" s="16">
        <v>334.1155</v>
      </c>
      <c r="S357" s="16">
        <v>344.55160000000001</v>
      </c>
      <c r="T357" s="16">
        <v>325.71319999999997</v>
      </c>
      <c r="U357" s="16">
        <v>305.23520000000002</v>
      </c>
      <c r="V357" s="16">
        <v>288.19760000000002</v>
      </c>
      <c r="W357" s="16">
        <v>311.28739999999999</v>
      </c>
      <c r="X357" s="16">
        <v>323.35980000000001</v>
      </c>
      <c r="Y357" s="16">
        <v>299.68290000000002</v>
      </c>
      <c r="Z357" s="16"/>
      <c r="AA357" s="17">
        <f t="shared" si="15"/>
        <v>569.30439999999999</v>
      </c>
      <c r="AB357" s="17">
        <f t="shared" si="16"/>
        <v>4.8041</v>
      </c>
      <c r="AC357" s="17">
        <f t="shared" si="17"/>
        <v>309.62222916666701</v>
      </c>
    </row>
    <row r="358" spans="1:29">
      <c r="A358" s="8">
        <v>45648</v>
      </c>
      <c r="B358" s="16">
        <v>357.7756</v>
      </c>
      <c r="C358" s="16">
        <v>285.18599999999998</v>
      </c>
      <c r="D358" s="16">
        <v>250.40100000000001</v>
      </c>
      <c r="E358" s="16">
        <v>129.7406</v>
      </c>
      <c r="F358" s="16">
        <v>92.891999999999996</v>
      </c>
      <c r="G358" s="16">
        <v>98.082599999999999</v>
      </c>
      <c r="H358" s="16">
        <v>220.88040000000001</v>
      </c>
      <c r="I358" s="16">
        <v>279.30590000000001</v>
      </c>
      <c r="J358" s="16">
        <v>240.18729999999999</v>
      </c>
      <c r="K358" s="16">
        <v>170.18109999999999</v>
      </c>
      <c r="L358" s="16">
        <v>136.5187</v>
      </c>
      <c r="M358" s="16">
        <v>158.6917</v>
      </c>
      <c r="N358" s="16">
        <v>39.8675</v>
      </c>
      <c r="O358" s="16">
        <v>198.49860000000001</v>
      </c>
      <c r="P358" s="16">
        <v>110.1786</v>
      </c>
      <c r="Q358" s="16">
        <v>269.2706</v>
      </c>
      <c r="R358" s="16">
        <v>334.96719999999999</v>
      </c>
      <c r="S358" s="16">
        <v>334.39350000000002</v>
      </c>
      <c r="T358" s="16">
        <v>355.6936</v>
      </c>
      <c r="U358" s="16">
        <v>358.63470000000001</v>
      </c>
      <c r="V358" s="16">
        <v>384.63080000000002</v>
      </c>
      <c r="W358" s="16">
        <v>431.26650000000001</v>
      </c>
      <c r="X358" s="16">
        <v>365.2124</v>
      </c>
      <c r="Y358" s="16">
        <v>277.99360000000001</v>
      </c>
      <c r="Z358" s="16"/>
      <c r="AA358" s="17">
        <f t="shared" si="15"/>
        <v>431.26650000000001</v>
      </c>
      <c r="AB358" s="17">
        <f t="shared" si="16"/>
        <v>39.8675</v>
      </c>
      <c r="AC358" s="17">
        <f t="shared" si="17"/>
        <v>245.01877083333301</v>
      </c>
    </row>
    <row r="359" spans="1:29">
      <c r="A359" s="8">
        <v>45649</v>
      </c>
      <c r="B359" s="16">
        <v>257.39</v>
      </c>
      <c r="C359" s="16">
        <v>235.81</v>
      </c>
      <c r="D359" s="16">
        <v>204.04</v>
      </c>
      <c r="E359" s="16">
        <v>96.25</v>
      </c>
      <c r="F359" s="16">
        <v>22.28</v>
      </c>
      <c r="G359" s="16">
        <v>21.81</v>
      </c>
      <c r="H359" s="16">
        <v>248.65</v>
      </c>
      <c r="I359" s="16">
        <v>306.64</v>
      </c>
      <c r="J359" s="16">
        <v>370.82</v>
      </c>
      <c r="K359" s="16">
        <v>374.75</v>
      </c>
      <c r="L359" s="16">
        <v>350.28</v>
      </c>
      <c r="M359" s="16">
        <v>302.83999999999997</v>
      </c>
      <c r="N359" s="16">
        <v>200.22</v>
      </c>
      <c r="O359" s="16">
        <v>273.35000000000002</v>
      </c>
      <c r="P359" s="16">
        <v>304.29000000000002</v>
      </c>
      <c r="Q359" s="16">
        <v>317.19</v>
      </c>
      <c r="R359" s="16">
        <v>375.65</v>
      </c>
      <c r="S359" s="16">
        <v>368.52</v>
      </c>
      <c r="T359" s="16">
        <v>382.23</v>
      </c>
      <c r="U359" s="16">
        <v>422.7</v>
      </c>
      <c r="V359" s="16">
        <v>406.62</v>
      </c>
      <c r="W359" s="16">
        <v>424.95</v>
      </c>
      <c r="X359" s="16">
        <v>410.54</v>
      </c>
      <c r="Y359" s="16">
        <v>267.87</v>
      </c>
      <c r="Z359" s="16"/>
      <c r="AA359" s="17">
        <f t="shared" si="15"/>
        <v>424.95</v>
      </c>
      <c r="AB359" s="17">
        <f t="shared" si="16"/>
        <v>21.81</v>
      </c>
      <c r="AC359" s="17">
        <f t="shared" si="17"/>
        <v>289.40375</v>
      </c>
    </row>
    <row r="360" spans="1:29">
      <c r="A360" s="8">
        <v>45650</v>
      </c>
      <c r="B360" s="16">
        <v>287.87</v>
      </c>
      <c r="C360" s="16">
        <v>253.08</v>
      </c>
      <c r="D360" s="16">
        <v>248.94</v>
      </c>
      <c r="E360" s="16">
        <v>248.36</v>
      </c>
      <c r="F360" s="16">
        <v>218.74</v>
      </c>
      <c r="G360" s="16">
        <v>186.72</v>
      </c>
      <c r="H360" s="16">
        <v>291.45999999999998</v>
      </c>
      <c r="I360" s="16">
        <v>348.83</v>
      </c>
      <c r="J360" s="16">
        <v>380.7</v>
      </c>
      <c r="K360" s="16">
        <v>339.09</v>
      </c>
      <c r="L360" s="16">
        <v>255.43</v>
      </c>
      <c r="M360" s="16">
        <v>125.46</v>
      </c>
      <c r="N360" s="16">
        <v>1.28</v>
      </c>
      <c r="O360" s="16">
        <v>107.52</v>
      </c>
      <c r="P360" s="16">
        <v>183.63</v>
      </c>
      <c r="Q360" s="16">
        <v>273.47000000000003</v>
      </c>
      <c r="R360" s="16">
        <v>313.72000000000003</v>
      </c>
      <c r="S360" s="16">
        <v>327.71</v>
      </c>
      <c r="T360" s="16">
        <v>334.34</v>
      </c>
      <c r="U360" s="16">
        <v>349.01</v>
      </c>
      <c r="V360" s="16">
        <v>356.02</v>
      </c>
      <c r="W360" s="16">
        <v>346.92</v>
      </c>
      <c r="X360" s="16">
        <v>339.46</v>
      </c>
      <c r="Y360" s="16">
        <v>282.02</v>
      </c>
      <c r="Z360" s="16"/>
      <c r="AA360" s="17">
        <f t="shared" si="15"/>
        <v>380.7</v>
      </c>
      <c r="AB360" s="17">
        <f t="shared" si="16"/>
        <v>1.28</v>
      </c>
      <c r="AC360" s="17">
        <f t="shared" si="17"/>
        <v>266.65750000000003</v>
      </c>
    </row>
    <row r="361" spans="1:29">
      <c r="A361" s="8">
        <v>45651</v>
      </c>
      <c r="B361" s="16">
        <v>327.01</v>
      </c>
      <c r="C361" s="16">
        <v>268.08</v>
      </c>
      <c r="D361" s="16">
        <v>256.57</v>
      </c>
      <c r="E361" s="16">
        <v>245.91</v>
      </c>
      <c r="F361" s="16">
        <v>176.26</v>
      </c>
      <c r="G361" s="16">
        <v>168.49</v>
      </c>
      <c r="H361" s="16">
        <v>278.2</v>
      </c>
      <c r="I361" s="16">
        <v>345.03</v>
      </c>
      <c r="J361" s="16">
        <v>422.58</v>
      </c>
      <c r="K361" s="16">
        <v>381.26</v>
      </c>
      <c r="L361" s="16">
        <v>313.08999999999997</v>
      </c>
      <c r="M361" s="16">
        <v>349.32</v>
      </c>
      <c r="N361" s="16">
        <v>211.49</v>
      </c>
      <c r="O361" s="16">
        <v>300.26</v>
      </c>
      <c r="P361" s="16">
        <v>300.87</v>
      </c>
      <c r="Q361" s="16">
        <v>368.63</v>
      </c>
      <c r="R361" s="16">
        <v>331.36</v>
      </c>
      <c r="S361" s="16">
        <v>341.25</v>
      </c>
      <c r="T361" s="16">
        <v>348.51</v>
      </c>
      <c r="U361" s="16">
        <v>382.96</v>
      </c>
      <c r="V361" s="16">
        <v>352.93</v>
      </c>
      <c r="W361" s="16">
        <v>388.19</v>
      </c>
      <c r="X361" s="16">
        <v>322.44</v>
      </c>
      <c r="Y361" s="16">
        <v>276.81</v>
      </c>
      <c r="Z361" s="16"/>
      <c r="AA361" s="17">
        <f t="shared" si="15"/>
        <v>422.58</v>
      </c>
      <c r="AB361" s="17">
        <f t="shared" si="16"/>
        <v>168.49</v>
      </c>
      <c r="AC361" s="17">
        <f t="shared" si="17"/>
        <v>310.72916666666703</v>
      </c>
    </row>
    <row r="362" spans="1:29">
      <c r="A362" s="8">
        <v>45652</v>
      </c>
      <c r="B362" s="16">
        <v>306.39999999999998</v>
      </c>
      <c r="C362" s="16">
        <v>288.79000000000002</v>
      </c>
      <c r="D362" s="16">
        <v>282.12</v>
      </c>
      <c r="E362" s="16">
        <v>265.35000000000002</v>
      </c>
      <c r="F362" s="16">
        <v>259.47000000000003</v>
      </c>
      <c r="G362" s="16">
        <v>260.27999999999997</v>
      </c>
      <c r="H362" s="16">
        <v>274.62</v>
      </c>
      <c r="I362" s="16">
        <v>342.7</v>
      </c>
      <c r="J362" s="16">
        <v>404.46</v>
      </c>
      <c r="K362" s="16">
        <v>465.34</v>
      </c>
      <c r="L362" s="16">
        <v>396.29</v>
      </c>
      <c r="M362" s="16">
        <v>346.01</v>
      </c>
      <c r="N362" s="16">
        <v>209.35</v>
      </c>
      <c r="O362" s="16">
        <v>315.06</v>
      </c>
      <c r="P362" s="16">
        <v>317.13</v>
      </c>
      <c r="Q362" s="16">
        <v>313.57</v>
      </c>
      <c r="R362" s="16">
        <v>328.57</v>
      </c>
      <c r="S362" s="16">
        <v>344.92</v>
      </c>
      <c r="T362" s="16">
        <v>372.19</v>
      </c>
      <c r="U362" s="16">
        <v>354.95</v>
      </c>
      <c r="V362" s="16">
        <v>354.2</v>
      </c>
      <c r="W362" s="16">
        <v>383.74</v>
      </c>
      <c r="X362" s="16">
        <v>327.64</v>
      </c>
      <c r="Y362" s="16">
        <v>283.55</v>
      </c>
      <c r="Z362" s="16"/>
      <c r="AA362" s="17">
        <f t="shared" si="15"/>
        <v>465.34</v>
      </c>
      <c r="AB362" s="17">
        <f t="shared" si="16"/>
        <v>209.35</v>
      </c>
      <c r="AC362" s="17">
        <f t="shared" si="17"/>
        <v>324.86250000000001</v>
      </c>
    </row>
    <row r="363" spans="1:29">
      <c r="A363" s="8">
        <v>45653</v>
      </c>
      <c r="B363" s="16">
        <v>325.04000000000002</v>
      </c>
      <c r="C363" s="16">
        <v>287.66000000000003</v>
      </c>
      <c r="D363" s="16">
        <v>289.86</v>
      </c>
      <c r="E363" s="16">
        <v>260.13</v>
      </c>
      <c r="F363" s="16">
        <v>263.16000000000003</v>
      </c>
      <c r="G363" s="16">
        <v>252.78</v>
      </c>
      <c r="H363" s="16">
        <v>301.10000000000002</v>
      </c>
      <c r="I363" s="16">
        <v>337.9</v>
      </c>
      <c r="J363" s="16">
        <v>412.74</v>
      </c>
      <c r="K363" s="16">
        <v>345.45</v>
      </c>
      <c r="L363" s="16">
        <v>290.93</v>
      </c>
      <c r="M363" s="16">
        <v>289.89</v>
      </c>
      <c r="N363" s="16">
        <v>20.190000000000001</v>
      </c>
      <c r="O363" s="16">
        <v>81.61</v>
      </c>
      <c r="P363" s="16">
        <v>286.79000000000002</v>
      </c>
      <c r="Q363" s="16">
        <v>308.97000000000003</v>
      </c>
      <c r="R363" s="16">
        <v>367.34</v>
      </c>
      <c r="S363" s="16">
        <v>392.81</v>
      </c>
      <c r="T363" s="16">
        <v>374.31</v>
      </c>
      <c r="U363" s="16">
        <v>389.53</v>
      </c>
      <c r="V363" s="16">
        <v>391.55</v>
      </c>
      <c r="W363" s="16">
        <v>389.13</v>
      </c>
      <c r="X363" s="16">
        <v>360.07</v>
      </c>
      <c r="Y363" s="16">
        <v>282.29000000000002</v>
      </c>
      <c r="Z363" s="16"/>
      <c r="AA363" s="17">
        <f t="shared" si="15"/>
        <v>412.74</v>
      </c>
      <c r="AB363" s="17">
        <f t="shared" si="16"/>
        <v>20.190000000000001</v>
      </c>
      <c r="AC363" s="17">
        <f t="shared" si="17"/>
        <v>304.21791666666701</v>
      </c>
    </row>
    <row r="364" spans="1:29">
      <c r="A364" s="8">
        <v>45654</v>
      </c>
      <c r="B364" s="16">
        <v>288.69</v>
      </c>
      <c r="C364" s="16">
        <v>293.23</v>
      </c>
      <c r="D364" s="16">
        <v>257.43</v>
      </c>
      <c r="E364" s="16">
        <v>143.04</v>
      </c>
      <c r="F364" s="16">
        <v>55.85</v>
      </c>
      <c r="G364" s="16">
        <v>115.37</v>
      </c>
      <c r="H364" s="16">
        <v>268.48</v>
      </c>
      <c r="I364" s="16">
        <v>319.14999999999998</v>
      </c>
      <c r="J364" s="16">
        <v>358.41</v>
      </c>
      <c r="K364" s="16">
        <v>269.51</v>
      </c>
      <c r="L364" s="16">
        <v>151.22</v>
      </c>
      <c r="M364" s="16">
        <v>170.21</v>
      </c>
      <c r="N364" s="16">
        <v>12.7</v>
      </c>
      <c r="O364" s="16">
        <v>127.57</v>
      </c>
      <c r="P364" s="16">
        <v>111.86</v>
      </c>
      <c r="Q364" s="16">
        <v>212.06</v>
      </c>
      <c r="R364" s="16">
        <v>312.64999999999998</v>
      </c>
      <c r="S364" s="16">
        <v>310.64999999999998</v>
      </c>
      <c r="T364" s="16">
        <v>334.42</v>
      </c>
      <c r="U364" s="16">
        <v>327.5</v>
      </c>
      <c r="V364" s="16">
        <v>317.08</v>
      </c>
      <c r="W364" s="16">
        <v>378.29</v>
      </c>
      <c r="X364" s="16">
        <v>365.6</v>
      </c>
      <c r="Y364" s="16">
        <v>302.64</v>
      </c>
      <c r="Z364" s="16"/>
      <c r="AA364" s="17">
        <f t="shared" si="15"/>
        <v>378.29</v>
      </c>
      <c r="AB364" s="17">
        <f t="shared" si="16"/>
        <v>12.7</v>
      </c>
      <c r="AC364" s="17">
        <f t="shared" si="17"/>
        <v>241.81708333333299</v>
      </c>
    </row>
    <row r="365" spans="1:29">
      <c r="A365" s="8">
        <v>45655</v>
      </c>
      <c r="B365" s="16">
        <v>343.15</v>
      </c>
      <c r="C365" s="16">
        <v>312.86</v>
      </c>
      <c r="D365" s="16">
        <v>319.8</v>
      </c>
      <c r="E365" s="16">
        <v>290.2</v>
      </c>
      <c r="F365" s="16">
        <v>281.69</v>
      </c>
      <c r="G365" s="16">
        <v>292.29000000000002</v>
      </c>
      <c r="H365" s="16">
        <v>311.81</v>
      </c>
      <c r="I365" s="16">
        <v>331.01</v>
      </c>
      <c r="J365" s="16">
        <v>271.83</v>
      </c>
      <c r="K365" s="16">
        <v>253.13</v>
      </c>
      <c r="L365" s="16">
        <v>73.78</v>
      </c>
      <c r="M365" s="16">
        <v>52.07</v>
      </c>
      <c r="N365" s="16">
        <v>19.38</v>
      </c>
      <c r="O365" s="16">
        <v>16.57</v>
      </c>
      <c r="P365" s="16">
        <v>27.15</v>
      </c>
      <c r="Q365" s="16">
        <v>76.069999999999993</v>
      </c>
      <c r="R365" s="16">
        <v>309.14</v>
      </c>
      <c r="S365" s="16">
        <v>369.84</v>
      </c>
      <c r="T365" s="16">
        <v>369.64</v>
      </c>
      <c r="U365" s="16">
        <v>422.51</v>
      </c>
      <c r="V365" s="16">
        <v>422.08</v>
      </c>
      <c r="W365" s="16">
        <v>472.33</v>
      </c>
      <c r="X365" s="16">
        <v>391.26</v>
      </c>
      <c r="Y365" s="16">
        <v>327.61</v>
      </c>
      <c r="Z365" s="16"/>
      <c r="AA365" s="17">
        <f t="shared" si="15"/>
        <v>472.33</v>
      </c>
      <c r="AB365" s="17">
        <f t="shared" si="16"/>
        <v>16.57</v>
      </c>
      <c r="AC365" s="17">
        <f t="shared" si="17"/>
        <v>264.88333333333298</v>
      </c>
    </row>
    <row r="366" spans="1:29">
      <c r="A366" s="8">
        <v>45656</v>
      </c>
      <c r="B366" s="16">
        <v>377.74</v>
      </c>
      <c r="C366" s="16">
        <v>359.32</v>
      </c>
      <c r="D366" s="16">
        <v>317.52999999999997</v>
      </c>
      <c r="E366" s="16">
        <v>298.31</v>
      </c>
      <c r="F366" s="16">
        <v>305.48</v>
      </c>
      <c r="G366" s="16">
        <v>328.48</v>
      </c>
      <c r="H366" s="16">
        <v>409.32</v>
      </c>
      <c r="I366" s="16">
        <v>674.37</v>
      </c>
      <c r="J366" s="16">
        <v>821.44</v>
      </c>
      <c r="K366" s="16">
        <v>429.34</v>
      </c>
      <c r="L366" s="16">
        <v>278.74</v>
      </c>
      <c r="M366" s="16">
        <v>275.3</v>
      </c>
      <c r="N366" s="16">
        <v>152.78</v>
      </c>
      <c r="O366" s="16">
        <v>182.35</v>
      </c>
      <c r="P366" s="16">
        <v>268.13</v>
      </c>
      <c r="Q366" s="16">
        <v>333.11</v>
      </c>
      <c r="R366" s="16">
        <v>365.6</v>
      </c>
      <c r="S366" s="16">
        <v>386.47</v>
      </c>
      <c r="T366" s="16">
        <v>421.2</v>
      </c>
      <c r="U366" s="16">
        <v>432.5</v>
      </c>
      <c r="V366" s="16">
        <v>417.37</v>
      </c>
      <c r="W366" s="16">
        <v>396.73</v>
      </c>
      <c r="X366" s="16">
        <v>368.96</v>
      </c>
      <c r="Y366" s="16">
        <v>349.15</v>
      </c>
      <c r="Z366" s="16"/>
      <c r="AA366" s="17">
        <f t="shared" si="15"/>
        <v>821.44</v>
      </c>
      <c r="AB366" s="17">
        <f t="shared" si="16"/>
        <v>152.78</v>
      </c>
      <c r="AC366" s="17">
        <f t="shared" si="17"/>
        <v>372.90499999999997</v>
      </c>
    </row>
    <row r="367" spans="1:29">
      <c r="A367" s="8">
        <v>45657</v>
      </c>
      <c r="B367" s="16">
        <v>433.56</v>
      </c>
      <c r="C367" s="16">
        <v>337.82</v>
      </c>
      <c r="D367" s="16">
        <v>319.89999999999998</v>
      </c>
      <c r="E367" s="16">
        <v>317.43</v>
      </c>
      <c r="F367" s="16">
        <v>301.11</v>
      </c>
      <c r="G367" s="16">
        <v>294.13</v>
      </c>
      <c r="H367" s="16">
        <v>307.89</v>
      </c>
      <c r="I367" s="16">
        <v>386.82</v>
      </c>
      <c r="J367" s="16">
        <v>422.87</v>
      </c>
      <c r="K367" s="16">
        <v>351.8</v>
      </c>
      <c r="L367" s="16">
        <v>294.89999999999998</v>
      </c>
      <c r="M367" s="16">
        <v>251.71</v>
      </c>
      <c r="N367" s="16">
        <v>13.38</v>
      </c>
      <c r="O367" s="16">
        <v>122.96</v>
      </c>
      <c r="P367" s="16">
        <v>110.59</v>
      </c>
      <c r="Q367" s="16">
        <v>270.95999999999998</v>
      </c>
      <c r="R367" s="16">
        <v>321.39999999999998</v>
      </c>
      <c r="S367" s="16">
        <v>313.98</v>
      </c>
      <c r="T367" s="16">
        <v>325.57</v>
      </c>
      <c r="U367" s="16">
        <v>319</v>
      </c>
      <c r="V367" s="16">
        <v>306.58999999999997</v>
      </c>
      <c r="W367" s="16">
        <v>317.92</v>
      </c>
      <c r="X367" s="16">
        <v>325.89</v>
      </c>
      <c r="Y367" s="16">
        <v>288.95</v>
      </c>
      <c r="Z367" s="16"/>
      <c r="AA367" s="17">
        <f t="shared" si="15"/>
        <v>433.56</v>
      </c>
      <c r="AB367" s="17">
        <f t="shared" si="16"/>
        <v>13.38</v>
      </c>
      <c r="AC367" s="17">
        <f t="shared" si="17"/>
        <v>294.04708333333298</v>
      </c>
    </row>
    <row r="368" spans="1:29">
      <c r="A368" s="10">
        <v>45658</v>
      </c>
      <c r="B368" s="12">
        <v>328.55</v>
      </c>
      <c r="C368" s="12">
        <v>316.76</v>
      </c>
      <c r="D368" s="12">
        <v>312.45999999999998</v>
      </c>
      <c r="E368" s="12">
        <v>300.5</v>
      </c>
      <c r="F368" s="12">
        <v>291.89</v>
      </c>
      <c r="G368" s="12">
        <v>290</v>
      </c>
      <c r="H368" s="12">
        <v>294.93</v>
      </c>
      <c r="I368" s="12">
        <v>324.33</v>
      </c>
      <c r="J368" s="12">
        <v>96.99</v>
      </c>
      <c r="K368" s="12">
        <v>5.75</v>
      </c>
      <c r="L368" s="12">
        <v>0.72</v>
      </c>
      <c r="M368" s="12">
        <v>72.5</v>
      </c>
      <c r="N368" s="12">
        <v>169.27</v>
      </c>
      <c r="O368" s="12">
        <v>150.75</v>
      </c>
      <c r="P368" s="12">
        <v>254.43</v>
      </c>
      <c r="Q368" s="12">
        <v>287.33</v>
      </c>
      <c r="R368" s="12">
        <v>118.34</v>
      </c>
      <c r="S368" s="12">
        <v>309.58999999999997</v>
      </c>
      <c r="T368" s="12">
        <v>323.31</v>
      </c>
      <c r="U368" s="12">
        <v>317.83999999999997</v>
      </c>
      <c r="V368" s="12">
        <v>349.06</v>
      </c>
      <c r="W368" s="12">
        <v>367.45</v>
      </c>
      <c r="X368" s="12">
        <v>345.98</v>
      </c>
      <c r="Y368" s="12">
        <v>297.05</v>
      </c>
      <c r="AA368" s="17">
        <f t="shared" si="15"/>
        <v>367.45</v>
      </c>
      <c r="AB368" s="17">
        <f t="shared" si="16"/>
        <v>0.72</v>
      </c>
      <c r="AC368" s="17">
        <f t="shared" si="17"/>
        <v>246.9075</v>
      </c>
    </row>
    <row r="369" spans="1:29">
      <c r="A369" s="10">
        <v>45659</v>
      </c>
      <c r="B369" s="12">
        <v>362.85</v>
      </c>
      <c r="C369" s="12">
        <v>311</v>
      </c>
      <c r="D369" s="12">
        <v>310.77999999999997</v>
      </c>
      <c r="E369" s="12">
        <v>300.29000000000002</v>
      </c>
      <c r="F369" s="12">
        <v>297.25</v>
      </c>
      <c r="G369" s="12">
        <v>294.27999999999997</v>
      </c>
      <c r="H369" s="12">
        <v>325</v>
      </c>
      <c r="I369" s="12">
        <v>362.63</v>
      </c>
      <c r="J369" s="12">
        <v>356.98</v>
      </c>
      <c r="K369" s="12">
        <v>351.04</v>
      </c>
      <c r="L369" s="12">
        <v>343.16</v>
      </c>
      <c r="M369" s="12">
        <v>289.49</v>
      </c>
      <c r="N369" s="12">
        <v>230.08</v>
      </c>
      <c r="O369" s="12">
        <v>293.10000000000002</v>
      </c>
      <c r="P369" s="12">
        <v>323.13</v>
      </c>
      <c r="Q369" s="12">
        <v>356.83</v>
      </c>
      <c r="R369" s="12">
        <v>366.44</v>
      </c>
      <c r="S369" s="12">
        <v>384.06</v>
      </c>
      <c r="T369" s="12">
        <v>438.36</v>
      </c>
      <c r="U369" s="12">
        <v>532.67999999999995</v>
      </c>
      <c r="V369" s="12">
        <v>576.98</v>
      </c>
      <c r="W369" s="12">
        <v>465.2</v>
      </c>
      <c r="X369" s="12">
        <v>431.46</v>
      </c>
      <c r="Y369" s="12">
        <v>378.82</v>
      </c>
      <c r="AA369" s="17">
        <f>MAX($B$369:$Y$369)</f>
        <v>576.98</v>
      </c>
      <c r="AB369" s="17">
        <f>MIN($B$369:$Y$369)</f>
        <v>230.08</v>
      </c>
      <c r="AC369" s="17">
        <f>AVERAGE($B$369:$Y$369)</f>
        <v>361.74541666666698</v>
      </c>
    </row>
    <row r="370" spans="1:29">
      <c r="A370" s="10">
        <v>45660</v>
      </c>
      <c r="B370" s="12">
        <v>457.9</v>
      </c>
      <c r="C370" s="12">
        <v>344.57</v>
      </c>
      <c r="D370" s="12">
        <v>330.4</v>
      </c>
      <c r="E370" s="12">
        <v>331.99</v>
      </c>
      <c r="F370" s="12">
        <v>308.5</v>
      </c>
      <c r="G370" s="12">
        <v>314.32</v>
      </c>
      <c r="H370" s="12">
        <v>354.74</v>
      </c>
      <c r="I370" s="12">
        <v>381.85</v>
      </c>
      <c r="J370" s="12">
        <v>336.2</v>
      </c>
      <c r="K370" s="12">
        <v>319.95</v>
      </c>
      <c r="L370" s="12">
        <v>236.52</v>
      </c>
      <c r="M370" s="12">
        <v>267.73</v>
      </c>
      <c r="N370" s="12">
        <v>181.35</v>
      </c>
      <c r="O370" s="12">
        <v>322.24</v>
      </c>
      <c r="P370" s="12">
        <v>324.88</v>
      </c>
      <c r="Q370" s="12">
        <v>342.66</v>
      </c>
      <c r="R370" s="12">
        <v>347.4</v>
      </c>
      <c r="S370" s="12">
        <v>362.98</v>
      </c>
      <c r="T370" s="12">
        <v>363.67</v>
      </c>
      <c r="U370" s="12">
        <v>389.22</v>
      </c>
      <c r="V370" s="12">
        <v>364.72</v>
      </c>
      <c r="W370" s="12">
        <v>364.78</v>
      </c>
      <c r="X370" s="12">
        <v>377.64</v>
      </c>
      <c r="Y370" s="12">
        <v>327.56</v>
      </c>
      <c r="AA370" s="17">
        <f>MAX($B$370:$Y$370)</f>
        <v>457.9</v>
      </c>
      <c r="AB370" s="17">
        <f>MIN($B$370:$Y$370)</f>
        <v>181.35</v>
      </c>
      <c r="AC370" s="17">
        <f>AVERAGE($B$370:$Y$370)</f>
        <v>335.57375000000002</v>
      </c>
    </row>
    <row r="371" spans="1:29">
      <c r="A371" s="10">
        <v>45661</v>
      </c>
      <c r="B371" s="12">
        <v>402.67</v>
      </c>
      <c r="C371" s="12">
        <v>361.02</v>
      </c>
      <c r="D371" s="12">
        <v>350.09</v>
      </c>
      <c r="E371" s="12">
        <v>350.46</v>
      </c>
      <c r="F371" s="12">
        <v>332.85</v>
      </c>
      <c r="G371" s="12">
        <v>329.8</v>
      </c>
      <c r="H371" s="12">
        <v>339.69</v>
      </c>
      <c r="I371" s="12">
        <v>342.44</v>
      </c>
      <c r="J371" s="12">
        <v>372.84</v>
      </c>
      <c r="K371" s="12">
        <v>347.67</v>
      </c>
      <c r="L371" s="12">
        <v>315.45</v>
      </c>
      <c r="M371" s="12">
        <v>258.39</v>
      </c>
      <c r="N371" s="12">
        <v>193.96</v>
      </c>
      <c r="O371" s="12">
        <v>327.20999999999998</v>
      </c>
      <c r="P371" s="12">
        <v>343.33</v>
      </c>
      <c r="Q371" s="12">
        <v>341.27</v>
      </c>
      <c r="R371" s="12">
        <v>367.94</v>
      </c>
      <c r="S371" s="12">
        <v>385.94</v>
      </c>
      <c r="T371" s="12">
        <v>408.62</v>
      </c>
      <c r="U371" s="12">
        <v>419.3</v>
      </c>
      <c r="V371" s="12">
        <v>412.94</v>
      </c>
      <c r="W371" s="12">
        <v>398.72</v>
      </c>
      <c r="X371" s="12">
        <v>392.3</v>
      </c>
      <c r="Y371" s="12">
        <v>358.38</v>
      </c>
      <c r="AA371" s="17">
        <f>MAX($B$371:$Y$371)</f>
        <v>419.3</v>
      </c>
      <c r="AB371" s="17">
        <f>MIN($B$371:$Y$371)</f>
        <v>193.96</v>
      </c>
      <c r="AC371" s="17">
        <f>AVERAGE($B$371:$Y$371)</f>
        <v>352.22</v>
      </c>
    </row>
    <row r="372" spans="1:29">
      <c r="A372" s="10">
        <v>45662</v>
      </c>
      <c r="B372" s="12">
        <v>471.64</v>
      </c>
      <c r="C372" s="12">
        <v>395.15</v>
      </c>
      <c r="D372" s="12">
        <v>384.93</v>
      </c>
      <c r="E372" s="12">
        <v>371.67</v>
      </c>
      <c r="F372" s="12">
        <v>359.88</v>
      </c>
      <c r="G372" s="12">
        <v>361.96</v>
      </c>
      <c r="H372" s="12">
        <v>388.38</v>
      </c>
      <c r="I372" s="12">
        <v>390.72</v>
      </c>
      <c r="J372" s="12">
        <v>422.07</v>
      </c>
      <c r="K372" s="12">
        <v>467.89</v>
      </c>
      <c r="L372" s="12">
        <v>470.13</v>
      </c>
      <c r="M372" s="12">
        <v>354.63</v>
      </c>
      <c r="N372" s="12">
        <v>345.25</v>
      </c>
      <c r="O372" s="12">
        <v>475.56</v>
      </c>
      <c r="P372" s="12">
        <v>429.85</v>
      </c>
      <c r="Q372" s="12">
        <v>447.53</v>
      </c>
      <c r="R372" s="12">
        <v>459.02</v>
      </c>
      <c r="S372" s="12">
        <v>463.58</v>
      </c>
      <c r="T372" s="12">
        <v>445.49</v>
      </c>
      <c r="U372" s="12">
        <v>461.7</v>
      </c>
      <c r="V372" s="12">
        <v>432.92</v>
      </c>
      <c r="W372" s="12">
        <v>420.32</v>
      </c>
      <c r="X372" s="12">
        <v>403.01</v>
      </c>
      <c r="Y372" s="12">
        <v>362.9</v>
      </c>
      <c r="AA372" s="17">
        <f>MAX($B$372:$Y$372)</f>
        <v>475.56</v>
      </c>
      <c r="AB372" s="17">
        <f>MIN($B$372:$Y$372)</f>
        <v>345.25</v>
      </c>
      <c r="AC372" s="17">
        <f>AVERAGE($B$372:$Y$372)</f>
        <v>416.09083333333302</v>
      </c>
    </row>
    <row r="373" spans="1:29">
      <c r="A373" s="10">
        <v>45663</v>
      </c>
      <c r="B373" s="12">
        <v>570.16</v>
      </c>
      <c r="C373" s="12">
        <v>386.24</v>
      </c>
      <c r="D373" s="12">
        <v>380.2</v>
      </c>
      <c r="E373" s="12">
        <v>361.03</v>
      </c>
      <c r="F373" s="12">
        <v>346.86</v>
      </c>
      <c r="G373" s="12">
        <v>349.19</v>
      </c>
      <c r="H373" s="12">
        <v>393.63</v>
      </c>
      <c r="I373" s="12">
        <v>408.8</v>
      </c>
      <c r="J373" s="12">
        <v>393.02</v>
      </c>
      <c r="K373" s="12">
        <v>370.73</v>
      </c>
      <c r="L373" s="12">
        <v>252.29</v>
      </c>
      <c r="M373" s="12">
        <v>344.68</v>
      </c>
      <c r="N373" s="12">
        <v>258.76</v>
      </c>
      <c r="O373" s="12">
        <v>312.91000000000003</v>
      </c>
      <c r="P373" s="12">
        <v>331.49</v>
      </c>
      <c r="Q373" s="12">
        <v>345.02</v>
      </c>
      <c r="R373" s="12">
        <v>369.6</v>
      </c>
      <c r="S373" s="12">
        <v>403.56</v>
      </c>
      <c r="T373" s="12">
        <v>408.12</v>
      </c>
      <c r="U373" s="12">
        <v>423.29</v>
      </c>
      <c r="V373" s="12">
        <v>397.9</v>
      </c>
      <c r="W373" s="12">
        <v>387.02</v>
      </c>
      <c r="X373" s="12">
        <v>357.23</v>
      </c>
      <c r="Y373" s="12">
        <v>331.4</v>
      </c>
      <c r="AA373" s="17">
        <f>MAX($B$373:$Y$373)</f>
        <v>570.16</v>
      </c>
      <c r="AB373" s="17">
        <f>MIN($B$373:$Y$373)</f>
        <v>252.29</v>
      </c>
      <c r="AC373" s="17">
        <f>AVERAGE($B$373:$Y$373)</f>
        <v>370.13041666666697</v>
      </c>
    </row>
    <row r="374" spans="1:29">
      <c r="A374" s="10">
        <v>45664</v>
      </c>
      <c r="B374" s="12">
        <v>366.14</v>
      </c>
      <c r="C374" s="12">
        <v>315.27</v>
      </c>
      <c r="D374" s="12">
        <v>305.8</v>
      </c>
      <c r="E374" s="12">
        <v>305.10000000000002</v>
      </c>
      <c r="F374" s="12">
        <v>303.02999999999997</v>
      </c>
      <c r="G374" s="12">
        <v>310.64999999999998</v>
      </c>
      <c r="H374" s="12">
        <v>350.97</v>
      </c>
      <c r="I374" s="12">
        <v>386.38</v>
      </c>
      <c r="J374" s="12">
        <v>402.87</v>
      </c>
      <c r="K374" s="12">
        <v>362.47</v>
      </c>
      <c r="L374" s="12">
        <v>275.75</v>
      </c>
      <c r="M374" s="12">
        <v>301.32</v>
      </c>
      <c r="N374" s="12">
        <v>230.41</v>
      </c>
      <c r="O374" s="12">
        <v>340.66</v>
      </c>
      <c r="P374" s="12">
        <v>320.74</v>
      </c>
      <c r="Q374" s="12">
        <v>323.91000000000003</v>
      </c>
      <c r="R374" s="12">
        <v>363.82</v>
      </c>
      <c r="S374" s="12">
        <v>372.15</v>
      </c>
      <c r="T374" s="12">
        <v>385.13</v>
      </c>
      <c r="U374" s="12">
        <v>407.67</v>
      </c>
      <c r="V374" s="12">
        <v>402.28</v>
      </c>
      <c r="W374" s="12">
        <v>378.55</v>
      </c>
      <c r="X374" s="12">
        <v>381.78</v>
      </c>
      <c r="Y374" s="12">
        <v>336.03</v>
      </c>
      <c r="AA374" s="17">
        <f>MAX($B$374:$Y$374)</f>
        <v>407.67</v>
      </c>
      <c r="AB374" s="17">
        <f>MIN($B$374:$Y$374)</f>
        <v>230.41</v>
      </c>
      <c r="AC374" s="17">
        <f>AVERAGE($B$374:$Y$374)</f>
        <v>342.87</v>
      </c>
    </row>
    <row r="375" spans="1:29">
      <c r="A375" s="10">
        <v>45665</v>
      </c>
      <c r="B375" s="12">
        <v>380.58</v>
      </c>
      <c r="C375" s="12">
        <v>352.63</v>
      </c>
      <c r="D375" s="12">
        <v>340.3</v>
      </c>
      <c r="E375" s="12">
        <v>334.97</v>
      </c>
      <c r="F375" s="12">
        <v>305.87</v>
      </c>
      <c r="G375" s="12">
        <v>331.45</v>
      </c>
      <c r="H375" s="12">
        <v>354.07</v>
      </c>
      <c r="I375" s="12">
        <v>412.05</v>
      </c>
      <c r="J375" s="12">
        <v>428.93</v>
      </c>
      <c r="K375" s="12">
        <v>363.18</v>
      </c>
      <c r="L375" s="12">
        <v>369.62</v>
      </c>
      <c r="M375" s="12">
        <v>356.42</v>
      </c>
      <c r="N375" s="12">
        <v>332.74</v>
      </c>
      <c r="O375" s="12">
        <v>385.14</v>
      </c>
      <c r="P375" s="12">
        <v>366</v>
      </c>
      <c r="Q375" s="12">
        <v>358.9</v>
      </c>
      <c r="R375" s="12">
        <v>363.84</v>
      </c>
      <c r="S375" s="12">
        <v>374.42</v>
      </c>
      <c r="T375" s="12">
        <v>379.92</v>
      </c>
      <c r="U375" s="12">
        <v>424.07</v>
      </c>
      <c r="V375" s="12">
        <v>400.45</v>
      </c>
      <c r="W375" s="12">
        <v>370.15</v>
      </c>
      <c r="X375" s="12">
        <v>377.8</v>
      </c>
      <c r="Y375" s="12">
        <v>346.17</v>
      </c>
      <c r="AA375" s="17">
        <f>MAX($B$375:$Y$375)</f>
        <v>428.93</v>
      </c>
      <c r="AB375" s="17">
        <f>MIN($B$375:$Y$375)</f>
        <v>305.87</v>
      </c>
      <c r="AC375" s="17">
        <f>AVERAGE($B$375:$Y$375)</f>
        <v>367.06958333333301</v>
      </c>
    </row>
    <row r="376" spans="1:29">
      <c r="A376" s="10">
        <v>45666</v>
      </c>
      <c r="B376" s="12">
        <v>471.39</v>
      </c>
      <c r="C376" s="12">
        <v>393.6</v>
      </c>
      <c r="D376" s="12">
        <v>356.07</v>
      </c>
      <c r="E376" s="12">
        <v>428.1</v>
      </c>
      <c r="F376" s="12">
        <v>389.7</v>
      </c>
      <c r="G376" s="12">
        <v>353.05</v>
      </c>
      <c r="H376" s="12">
        <v>388.69</v>
      </c>
      <c r="I376" s="12">
        <v>452.73</v>
      </c>
      <c r="J376" s="12">
        <v>672.79</v>
      </c>
      <c r="K376" s="12">
        <v>556.99</v>
      </c>
      <c r="L376" s="12">
        <v>387.69</v>
      </c>
      <c r="M376" s="12">
        <v>332.07</v>
      </c>
      <c r="N376" s="12">
        <v>255.09</v>
      </c>
      <c r="O376" s="12">
        <v>361.71</v>
      </c>
      <c r="P376" s="12">
        <v>339.61</v>
      </c>
      <c r="Q376" s="12">
        <v>335.86</v>
      </c>
      <c r="R376" s="12">
        <v>359.97</v>
      </c>
      <c r="S376" s="12">
        <v>364.94</v>
      </c>
      <c r="T376" s="12">
        <v>365.39</v>
      </c>
      <c r="U376" s="12">
        <v>380.37</v>
      </c>
      <c r="V376" s="12">
        <v>389.76</v>
      </c>
      <c r="W376" s="12">
        <v>403.29</v>
      </c>
      <c r="X376" s="12">
        <v>403.46</v>
      </c>
      <c r="Y376" s="12">
        <v>346.68</v>
      </c>
      <c r="AA376" s="17">
        <f>MAX($B$376:$Y$376)</f>
        <v>672.79</v>
      </c>
      <c r="AB376" s="17">
        <f>MIN($B$376:$Y$376)</f>
        <v>255.09</v>
      </c>
      <c r="AC376" s="17">
        <f>AVERAGE($B$376:$Y$376)</f>
        <v>395.375</v>
      </c>
    </row>
    <row r="377" spans="1:29">
      <c r="A377" s="10">
        <v>45667</v>
      </c>
      <c r="B377" s="12">
        <v>448.89</v>
      </c>
      <c r="C377" s="12">
        <v>341.6</v>
      </c>
      <c r="D377" s="12">
        <v>329.49</v>
      </c>
      <c r="E377" s="12">
        <v>319.70999999999998</v>
      </c>
      <c r="F377" s="12">
        <v>317.75</v>
      </c>
      <c r="G377" s="12">
        <v>314.64</v>
      </c>
      <c r="H377" s="12">
        <v>348.99</v>
      </c>
      <c r="I377" s="12">
        <v>376.5</v>
      </c>
      <c r="J377" s="12">
        <v>547.9</v>
      </c>
      <c r="K377" s="12">
        <v>556.41999999999996</v>
      </c>
      <c r="L377" s="12">
        <v>509.7</v>
      </c>
      <c r="M377" s="12">
        <v>394.73</v>
      </c>
      <c r="N377" s="12">
        <v>296.45999999999998</v>
      </c>
      <c r="O377" s="12">
        <v>529.48</v>
      </c>
      <c r="P377" s="12">
        <v>370.64</v>
      </c>
      <c r="Q377" s="12">
        <v>340.84</v>
      </c>
      <c r="R377" s="12">
        <v>394.37</v>
      </c>
      <c r="S377" s="12">
        <v>397.37</v>
      </c>
      <c r="T377" s="12">
        <v>393.4</v>
      </c>
      <c r="U377" s="12">
        <v>463.33</v>
      </c>
      <c r="V377" s="12">
        <v>457.79</v>
      </c>
      <c r="W377" s="12">
        <v>446.26</v>
      </c>
      <c r="X377" s="12">
        <v>415.33</v>
      </c>
      <c r="Y377" s="12">
        <v>353.84</v>
      </c>
      <c r="AA377" s="17">
        <f>MAX($B$377:$Y$377)</f>
        <v>556.41999999999996</v>
      </c>
      <c r="AB377" s="17">
        <f>MIN($B$377:$Y$377)</f>
        <v>296.45999999999998</v>
      </c>
      <c r="AC377" s="17">
        <f>AVERAGE($B$377:$Y$377)</f>
        <v>402.72624999999999</v>
      </c>
    </row>
    <row r="378" spans="1:29">
      <c r="A378" s="10">
        <v>45668</v>
      </c>
      <c r="B378" s="12">
        <v>428.36</v>
      </c>
      <c r="C378" s="12">
        <v>374.48</v>
      </c>
      <c r="D378" s="12">
        <v>338.48</v>
      </c>
      <c r="E378" s="12">
        <v>318.85000000000002</v>
      </c>
      <c r="F378" s="12">
        <v>303.67</v>
      </c>
      <c r="G378" s="12">
        <v>274.10000000000002</v>
      </c>
      <c r="H378" s="12">
        <v>321.68</v>
      </c>
      <c r="I378" s="12">
        <v>427.46</v>
      </c>
      <c r="J378" s="12">
        <v>726.31</v>
      </c>
      <c r="K378" s="12">
        <v>625.39</v>
      </c>
      <c r="L378" s="12">
        <v>545.78</v>
      </c>
      <c r="M378" s="12">
        <v>476.43</v>
      </c>
      <c r="N378" s="12">
        <v>373.2</v>
      </c>
      <c r="O378" s="12">
        <v>392.02</v>
      </c>
      <c r="P378" s="12">
        <v>289.95</v>
      </c>
      <c r="Q378" s="12">
        <v>499.76</v>
      </c>
      <c r="R378" s="12">
        <v>548.83000000000004</v>
      </c>
      <c r="S378" s="12">
        <v>619.20000000000005</v>
      </c>
      <c r="T378" s="12">
        <v>483.99</v>
      </c>
      <c r="U378" s="12">
        <v>505.3</v>
      </c>
      <c r="V378" s="12">
        <v>668.95</v>
      </c>
      <c r="W378" s="12">
        <v>697.61</v>
      </c>
      <c r="X378" s="12">
        <v>534.29999999999995</v>
      </c>
      <c r="Y378" s="12">
        <v>375.42</v>
      </c>
      <c r="AA378" s="17">
        <f>MAX($B$378:$Y$378)</f>
        <v>726.31</v>
      </c>
      <c r="AB378" s="17">
        <f>MIN($B$378:$Y$378)</f>
        <v>274.10000000000002</v>
      </c>
      <c r="AC378" s="17">
        <f>AVERAGE($B$378:$Y$378)</f>
        <v>464.56333333333299</v>
      </c>
    </row>
    <row r="379" spans="1:29">
      <c r="A379" s="10">
        <v>45669</v>
      </c>
      <c r="B379" s="12">
        <v>632.87</v>
      </c>
      <c r="C379" s="12">
        <v>396.31</v>
      </c>
      <c r="D379" s="12">
        <v>347.43</v>
      </c>
      <c r="E379" s="12">
        <v>341.27</v>
      </c>
      <c r="F379" s="12">
        <v>323</v>
      </c>
      <c r="G379" s="12">
        <v>321.27</v>
      </c>
      <c r="H379" s="12">
        <v>329.94</v>
      </c>
      <c r="I379" s="12">
        <v>338.1</v>
      </c>
      <c r="J379" s="12">
        <v>374.69</v>
      </c>
      <c r="K379" s="12">
        <v>328.38</v>
      </c>
      <c r="L379" s="12">
        <v>307.20999999999998</v>
      </c>
      <c r="M379" s="12">
        <v>275.49</v>
      </c>
      <c r="N379" s="12">
        <v>116.83</v>
      </c>
      <c r="O379" s="12">
        <v>215.1</v>
      </c>
      <c r="P379" s="12">
        <v>61.5</v>
      </c>
      <c r="Q379" s="12">
        <v>274.54000000000002</v>
      </c>
      <c r="R379" s="12">
        <v>327.16000000000003</v>
      </c>
      <c r="S379" s="12">
        <v>362.8</v>
      </c>
      <c r="T379" s="12">
        <v>385.07</v>
      </c>
      <c r="U379" s="12">
        <v>399.34</v>
      </c>
      <c r="V379" s="12">
        <v>535.21</v>
      </c>
      <c r="W379" s="12">
        <v>668.9</v>
      </c>
      <c r="X379" s="12">
        <v>494.49</v>
      </c>
      <c r="Y379" s="12">
        <v>345.39</v>
      </c>
      <c r="AA379" s="17">
        <f>MAX($B$379:$Y$379)</f>
        <v>668.9</v>
      </c>
      <c r="AB379" s="17">
        <f>MIN($B$379:$Y$379)</f>
        <v>61.5</v>
      </c>
      <c r="AC379" s="17">
        <f>AVERAGE($B$379:$Y$379)</f>
        <v>354.26208333333301</v>
      </c>
    </row>
    <row r="380" spans="1:29">
      <c r="A380" s="10">
        <v>45670</v>
      </c>
      <c r="B380" s="12">
        <v>573.77</v>
      </c>
      <c r="C380" s="12">
        <v>390.04</v>
      </c>
      <c r="D380" s="12">
        <v>326.26</v>
      </c>
      <c r="E380" s="12">
        <v>279.08999999999997</v>
      </c>
      <c r="F380" s="12">
        <v>297.27</v>
      </c>
      <c r="G380" s="12">
        <v>312.81</v>
      </c>
      <c r="H380" s="12">
        <v>332.28</v>
      </c>
      <c r="I380" s="12">
        <v>353.31</v>
      </c>
      <c r="J380" s="12">
        <v>430.59</v>
      </c>
      <c r="K380" s="12">
        <v>366.16</v>
      </c>
      <c r="L380" s="12">
        <v>336.24</v>
      </c>
      <c r="M380" s="12">
        <v>305.31</v>
      </c>
      <c r="N380" s="12">
        <v>136.68</v>
      </c>
      <c r="O380" s="12">
        <v>286</v>
      </c>
      <c r="P380" s="12">
        <v>216.34</v>
      </c>
      <c r="Q380" s="12">
        <v>310.5</v>
      </c>
      <c r="R380" s="12">
        <v>364.63</v>
      </c>
      <c r="S380" s="12">
        <v>407.03</v>
      </c>
      <c r="T380" s="12">
        <v>423.09</v>
      </c>
      <c r="U380" s="12">
        <v>444.14</v>
      </c>
      <c r="V380" s="12">
        <v>520.95000000000005</v>
      </c>
      <c r="W380" s="12">
        <v>487.92</v>
      </c>
      <c r="X380" s="12">
        <v>523.92999999999995</v>
      </c>
      <c r="Y380" s="12">
        <v>351.83</v>
      </c>
      <c r="AA380" s="17">
        <f>MAX($B$380:$Y$380)</f>
        <v>573.77</v>
      </c>
      <c r="AB380" s="17">
        <f>MIN($B$380:$Y$380)</f>
        <v>136.68</v>
      </c>
      <c r="AC380" s="17">
        <f>AVERAGE($B$380:$Y$380)</f>
        <v>365.67374999999998</v>
      </c>
    </row>
    <row r="381" spans="1:29">
      <c r="A381" s="10">
        <v>45671</v>
      </c>
      <c r="B381" s="12">
        <v>382.73</v>
      </c>
      <c r="C381" s="12">
        <v>336.96</v>
      </c>
      <c r="D381" s="12">
        <v>309.12</v>
      </c>
      <c r="E381" s="12">
        <v>294.64</v>
      </c>
      <c r="F381" s="12">
        <v>292.39</v>
      </c>
      <c r="G381" s="12">
        <v>296.14</v>
      </c>
      <c r="H381" s="12">
        <v>319.48</v>
      </c>
      <c r="I381" s="12">
        <v>345.63</v>
      </c>
      <c r="J381" s="12">
        <v>566.69000000000005</v>
      </c>
      <c r="K381" s="12">
        <v>727.69</v>
      </c>
      <c r="L381" s="12">
        <v>457.62</v>
      </c>
      <c r="M381" s="12">
        <v>420.05</v>
      </c>
      <c r="N381" s="12">
        <v>342.74</v>
      </c>
      <c r="O381" s="12">
        <v>397.85</v>
      </c>
      <c r="P381" s="12">
        <v>398.86</v>
      </c>
      <c r="Q381" s="12">
        <v>467.18</v>
      </c>
      <c r="R381" s="12">
        <v>434.36</v>
      </c>
      <c r="S381" s="12">
        <v>390.72</v>
      </c>
      <c r="T381" s="12">
        <v>585.13</v>
      </c>
      <c r="U381" s="12">
        <v>556.05999999999995</v>
      </c>
      <c r="V381" s="12">
        <v>481.37</v>
      </c>
      <c r="W381" s="12">
        <v>466.68</v>
      </c>
      <c r="X381" s="12">
        <v>393.63</v>
      </c>
      <c r="Y381" s="12">
        <v>326.75</v>
      </c>
      <c r="AA381" s="17">
        <f>MAX($B$381:$Y$381)</f>
        <v>727.69</v>
      </c>
      <c r="AB381" s="17">
        <f>MIN($B$381:$Y$381)</f>
        <v>292.39</v>
      </c>
      <c r="AC381" s="17">
        <f>AVERAGE($B$381:$Y$381)</f>
        <v>416.269583333333</v>
      </c>
    </row>
    <row r="382" spans="1:29">
      <c r="A382" s="10">
        <v>45672</v>
      </c>
      <c r="B382" s="12">
        <v>378.33</v>
      </c>
      <c r="C382" s="12">
        <v>339.11</v>
      </c>
      <c r="D382" s="12">
        <v>309.07</v>
      </c>
      <c r="E382" s="12">
        <v>291.77999999999997</v>
      </c>
      <c r="F382" s="12">
        <v>274.06</v>
      </c>
      <c r="G382" s="12">
        <v>271.83999999999997</v>
      </c>
      <c r="H382" s="12">
        <v>295.3</v>
      </c>
      <c r="I382" s="12">
        <v>304.05</v>
      </c>
      <c r="J382" s="12">
        <v>432.2</v>
      </c>
      <c r="K382" s="12">
        <v>424.69</v>
      </c>
      <c r="L382" s="12">
        <v>352.16</v>
      </c>
      <c r="M382" s="12">
        <v>298.02</v>
      </c>
      <c r="N382" s="12">
        <v>206.83</v>
      </c>
      <c r="O382" s="12">
        <v>251.03</v>
      </c>
      <c r="P382" s="12">
        <v>207.24</v>
      </c>
      <c r="Q382" s="12">
        <v>302.64</v>
      </c>
      <c r="R382" s="12">
        <v>336.31</v>
      </c>
      <c r="S382" s="12">
        <v>357.34</v>
      </c>
      <c r="T382" s="12">
        <v>362.09</v>
      </c>
      <c r="U382" s="12">
        <v>370.97</v>
      </c>
      <c r="V382" s="12">
        <v>340.25</v>
      </c>
      <c r="W382" s="12">
        <v>336.52</v>
      </c>
      <c r="X382" s="12">
        <v>326.64</v>
      </c>
      <c r="Y382" s="12">
        <v>226.67</v>
      </c>
      <c r="AA382" s="17">
        <f>MAX($B$382:$Y$382)</f>
        <v>432.2</v>
      </c>
      <c r="AB382" s="17">
        <f>MIN($B$382:$Y$382)</f>
        <v>206.83</v>
      </c>
      <c r="AC382" s="17">
        <f>AVERAGE($B$382:$Y$382)</f>
        <v>316.46416666666698</v>
      </c>
    </row>
    <row r="383" spans="1:29">
      <c r="A383" s="10">
        <v>45673</v>
      </c>
      <c r="B383" s="12">
        <v>330.43</v>
      </c>
      <c r="C383" s="12">
        <v>300.8</v>
      </c>
      <c r="D383" s="12">
        <v>282.26</v>
      </c>
      <c r="E383" s="12">
        <v>132.52000000000001</v>
      </c>
      <c r="F383" s="12">
        <v>2.62</v>
      </c>
      <c r="G383" s="12">
        <v>49.94</v>
      </c>
      <c r="H383" s="12">
        <v>215.45</v>
      </c>
      <c r="I383" s="12">
        <v>297.01</v>
      </c>
      <c r="J383" s="12">
        <v>339.32</v>
      </c>
      <c r="K383" s="12">
        <v>318.08999999999997</v>
      </c>
      <c r="L383" s="12">
        <v>296.19</v>
      </c>
      <c r="M383" s="12">
        <v>296.98</v>
      </c>
      <c r="N383" s="12">
        <v>270.14999999999998</v>
      </c>
      <c r="O383" s="12">
        <v>295.01</v>
      </c>
      <c r="P383" s="12">
        <v>301.81</v>
      </c>
      <c r="Q383" s="12">
        <v>334.78</v>
      </c>
      <c r="R383" s="12">
        <v>405.15</v>
      </c>
      <c r="S383" s="12">
        <v>488.06</v>
      </c>
      <c r="T383" s="12">
        <v>449.4</v>
      </c>
      <c r="U383" s="12">
        <v>408.61</v>
      </c>
      <c r="V383" s="12">
        <v>387.95</v>
      </c>
      <c r="W383" s="12">
        <v>391.57</v>
      </c>
      <c r="X383" s="12">
        <v>391.04</v>
      </c>
      <c r="Y383" s="12">
        <v>340.49</v>
      </c>
      <c r="AA383" s="17">
        <f>MAX($B$383:$Y$383)</f>
        <v>488.06</v>
      </c>
      <c r="AB383" s="17">
        <f>MIN($B$383:$Y$383)</f>
        <v>2.62</v>
      </c>
      <c r="AC383" s="17">
        <f>AVERAGE($B$383:$Y$383)</f>
        <v>305.23458333333298</v>
      </c>
    </row>
    <row r="384" spans="1:29">
      <c r="A384" s="10">
        <v>45674</v>
      </c>
      <c r="B384" s="12">
        <v>382.4</v>
      </c>
      <c r="C384" s="12">
        <v>332.46</v>
      </c>
      <c r="D384" s="12">
        <v>310.35000000000002</v>
      </c>
      <c r="E384" s="12">
        <v>301.23</v>
      </c>
      <c r="F384" s="12">
        <v>289.91000000000003</v>
      </c>
      <c r="G384" s="12">
        <v>280.68</v>
      </c>
      <c r="H384" s="12">
        <v>296.82</v>
      </c>
      <c r="I384" s="12">
        <v>310.61</v>
      </c>
      <c r="J384" s="12">
        <v>345.98</v>
      </c>
      <c r="K384" s="12">
        <v>317.52</v>
      </c>
      <c r="L384" s="12">
        <v>176.6</v>
      </c>
      <c r="M384" s="12">
        <v>225.18</v>
      </c>
      <c r="N384" s="12">
        <v>233.09</v>
      </c>
      <c r="O384" s="12">
        <v>267.49</v>
      </c>
      <c r="P384" s="12">
        <v>120.45</v>
      </c>
      <c r="Q384" s="12">
        <v>165.49</v>
      </c>
      <c r="R384" s="12">
        <v>315.58</v>
      </c>
      <c r="S384" s="12">
        <v>355.06</v>
      </c>
      <c r="T384" s="12">
        <v>403.61</v>
      </c>
      <c r="U384" s="12">
        <v>407.86</v>
      </c>
      <c r="V384" s="12">
        <v>376.88</v>
      </c>
      <c r="W384" s="12">
        <v>372</v>
      </c>
      <c r="X384" s="12">
        <v>361.18</v>
      </c>
      <c r="Y384" s="12">
        <v>314.58</v>
      </c>
      <c r="AA384" s="17">
        <f>MAX($B$384:$Y$384)</f>
        <v>407.86</v>
      </c>
      <c r="AB384" s="17">
        <f>MIN($B$384:$Y$384)</f>
        <v>120.45</v>
      </c>
      <c r="AC384" s="17">
        <f>AVERAGE($B$384:$Y$384)</f>
        <v>302.62541666666698</v>
      </c>
    </row>
    <row r="385" spans="1:29">
      <c r="A385" s="10">
        <v>45675</v>
      </c>
      <c r="B385" s="12">
        <v>343.39</v>
      </c>
      <c r="C385" s="12">
        <v>317.60000000000002</v>
      </c>
      <c r="D385" s="12">
        <v>310.31</v>
      </c>
      <c r="E385" s="12">
        <v>301.72000000000003</v>
      </c>
      <c r="F385" s="12">
        <v>294.82</v>
      </c>
      <c r="G385" s="12">
        <v>297.38</v>
      </c>
      <c r="H385" s="12">
        <v>305.75</v>
      </c>
      <c r="I385" s="12">
        <v>323.3</v>
      </c>
      <c r="J385" s="12">
        <v>354.21</v>
      </c>
      <c r="K385" s="12">
        <v>333.22</v>
      </c>
      <c r="L385" s="12">
        <v>240.25</v>
      </c>
      <c r="M385" s="12">
        <v>245.1</v>
      </c>
      <c r="N385" s="12">
        <v>226.6</v>
      </c>
      <c r="O385" s="12">
        <v>294.24</v>
      </c>
      <c r="P385" s="12">
        <v>289.06</v>
      </c>
      <c r="Q385" s="12">
        <v>294.85000000000002</v>
      </c>
      <c r="R385" s="12">
        <v>319.23</v>
      </c>
      <c r="S385" s="12">
        <v>348.29</v>
      </c>
      <c r="T385" s="12">
        <v>382.98</v>
      </c>
      <c r="U385" s="12">
        <v>389.43</v>
      </c>
      <c r="V385" s="12">
        <v>385.58</v>
      </c>
      <c r="W385" s="12">
        <v>405.1</v>
      </c>
      <c r="X385" s="12">
        <v>445.51</v>
      </c>
      <c r="Y385" s="12">
        <v>351.61</v>
      </c>
      <c r="AA385" s="17">
        <f>MAX($B$385:$Y$385)</f>
        <v>445.51</v>
      </c>
      <c r="AB385" s="17">
        <f>MIN($B$385:$Y$385)</f>
        <v>226.6</v>
      </c>
      <c r="AC385" s="17">
        <f>AVERAGE($B$385:$Y$385)</f>
        <v>324.980416666667</v>
      </c>
    </row>
    <row r="386" spans="1:29">
      <c r="A386" s="10">
        <v>45676</v>
      </c>
      <c r="B386" s="12">
        <v>501.57</v>
      </c>
      <c r="C386" s="12">
        <v>342.79</v>
      </c>
      <c r="D386" s="12">
        <v>329.16</v>
      </c>
      <c r="E386" s="12">
        <v>315.24</v>
      </c>
      <c r="F386" s="12">
        <v>309.45999999999998</v>
      </c>
      <c r="G386" s="12">
        <v>309.02999999999997</v>
      </c>
      <c r="H386" s="12">
        <v>316.25</v>
      </c>
      <c r="I386" s="12">
        <v>328.29</v>
      </c>
      <c r="J386" s="12">
        <v>332.49</v>
      </c>
      <c r="K386" s="12">
        <v>316.54000000000002</v>
      </c>
      <c r="L386" s="12">
        <v>136.72999999999999</v>
      </c>
      <c r="M386" s="12">
        <v>224.69</v>
      </c>
      <c r="N386" s="12">
        <v>211.15</v>
      </c>
      <c r="O386" s="12">
        <v>145.96</v>
      </c>
      <c r="P386" s="12">
        <v>39</v>
      </c>
      <c r="Q386" s="12">
        <v>87.76</v>
      </c>
      <c r="R386" s="12">
        <v>303.08</v>
      </c>
      <c r="S386" s="12">
        <v>359.88</v>
      </c>
      <c r="T386" s="12">
        <v>510.38</v>
      </c>
      <c r="U386" s="12">
        <v>419.45</v>
      </c>
      <c r="V386" s="12">
        <v>396.33</v>
      </c>
      <c r="W386" s="12">
        <v>470.03</v>
      </c>
      <c r="X386" s="12">
        <v>626.66999999999996</v>
      </c>
      <c r="Y386" s="12">
        <v>351.34</v>
      </c>
      <c r="AA386" s="17">
        <f>MAX($B$386:$Y$386)</f>
        <v>626.66999999999996</v>
      </c>
      <c r="AB386" s="17">
        <f>MIN($B$386:$Y$386)</f>
        <v>39</v>
      </c>
      <c r="AC386" s="17">
        <f>AVERAGE($B$386:$Y$386)</f>
        <v>320.13625000000002</v>
      </c>
    </row>
    <row r="387" spans="1:29">
      <c r="A387" s="10">
        <v>45677</v>
      </c>
      <c r="B387" s="12">
        <v>592.21</v>
      </c>
      <c r="C387" s="12">
        <v>329.38</v>
      </c>
      <c r="D387" s="12">
        <v>312.35000000000002</v>
      </c>
      <c r="E387" s="12">
        <v>303.35000000000002</v>
      </c>
      <c r="F387" s="12">
        <v>294.52</v>
      </c>
      <c r="G387" s="12">
        <v>298.61</v>
      </c>
      <c r="H387" s="12">
        <v>314.02999999999997</v>
      </c>
      <c r="I387" s="12">
        <v>317.60000000000002</v>
      </c>
      <c r="J387" s="12">
        <v>321.99</v>
      </c>
      <c r="K387" s="12">
        <v>294.24</v>
      </c>
      <c r="L387" s="12">
        <v>290.58</v>
      </c>
      <c r="M387" s="12">
        <v>150.07</v>
      </c>
      <c r="N387" s="12">
        <v>150.11000000000001</v>
      </c>
      <c r="O387" s="12">
        <v>48.38</v>
      </c>
      <c r="P387" s="12">
        <v>13.09</v>
      </c>
      <c r="Q387" s="12">
        <v>65</v>
      </c>
      <c r="R387" s="12">
        <v>294.04000000000002</v>
      </c>
      <c r="S387" s="12">
        <v>308.02</v>
      </c>
      <c r="T387" s="12">
        <v>326.3</v>
      </c>
      <c r="U387" s="12">
        <v>325.77</v>
      </c>
      <c r="V387" s="12">
        <v>327.42</v>
      </c>
      <c r="W387" s="12">
        <v>332.91</v>
      </c>
      <c r="X387" s="12">
        <v>338.93</v>
      </c>
      <c r="Y387" s="12">
        <v>323.10000000000002</v>
      </c>
      <c r="AA387" s="17">
        <f>MAX($B$387:$Y$387)</f>
        <v>592.21</v>
      </c>
      <c r="AB387" s="17">
        <f>MIN($B$387:$Y$387)</f>
        <v>13.09</v>
      </c>
      <c r="AC387" s="17">
        <f>AVERAGE($B$387:$Y$387)</f>
        <v>278</v>
      </c>
    </row>
    <row r="388" spans="1:29">
      <c r="A388" s="10">
        <v>45678</v>
      </c>
      <c r="B388" s="12">
        <v>516.76</v>
      </c>
      <c r="C388" s="12">
        <v>326.29000000000002</v>
      </c>
      <c r="D388" s="12">
        <v>304.18</v>
      </c>
      <c r="E388" s="12">
        <v>300.06</v>
      </c>
      <c r="F388" s="12">
        <v>277.51</v>
      </c>
      <c r="G388" s="12">
        <v>295.85000000000002</v>
      </c>
      <c r="H388" s="12">
        <v>290.83999999999997</v>
      </c>
      <c r="I388" s="12">
        <v>293.97000000000003</v>
      </c>
      <c r="J388" s="12">
        <v>281.74</v>
      </c>
      <c r="K388" s="12">
        <v>95.5</v>
      </c>
      <c r="L388" s="12">
        <v>5.47</v>
      </c>
      <c r="M388" s="12">
        <v>81.77</v>
      </c>
      <c r="N388" s="12">
        <v>91.33</v>
      </c>
      <c r="O388" s="12">
        <v>122.53</v>
      </c>
      <c r="P388" s="12">
        <v>0</v>
      </c>
      <c r="Q388" s="12">
        <v>73.75</v>
      </c>
      <c r="R388" s="12">
        <v>240.03</v>
      </c>
      <c r="S388" s="12">
        <v>228.09</v>
      </c>
      <c r="T388" s="12">
        <v>326.85000000000002</v>
      </c>
      <c r="U388" s="12">
        <v>315.99</v>
      </c>
      <c r="V388" s="12">
        <v>307.86</v>
      </c>
      <c r="W388" s="12">
        <v>295.60000000000002</v>
      </c>
      <c r="X388" s="12">
        <v>322.68</v>
      </c>
      <c r="Y388" s="12">
        <v>309.97000000000003</v>
      </c>
      <c r="AA388" s="17">
        <f>MAX($B$388:$Y$388)</f>
        <v>516.76</v>
      </c>
      <c r="AB388" s="17">
        <f>MIN($B$388:$Y$388)</f>
        <v>0</v>
      </c>
      <c r="AC388" s="17">
        <f>AVERAGE($B$388:$Y$388)</f>
        <v>237.6925</v>
      </c>
    </row>
    <row r="389" spans="1:29">
      <c r="A389" s="10">
        <v>45679</v>
      </c>
      <c r="B389" s="12">
        <v>340.01</v>
      </c>
      <c r="C389" s="12">
        <v>296.75</v>
      </c>
      <c r="D389" s="12">
        <v>287</v>
      </c>
      <c r="E389" s="12">
        <v>275.02999999999997</v>
      </c>
      <c r="F389" s="12">
        <v>269.5</v>
      </c>
      <c r="G389" s="12">
        <v>220.75</v>
      </c>
      <c r="H389" s="12">
        <v>316.95</v>
      </c>
      <c r="I389" s="12">
        <v>323.29000000000002</v>
      </c>
      <c r="J389" s="12">
        <v>303.42</v>
      </c>
      <c r="K389" s="12">
        <v>319.95999999999998</v>
      </c>
      <c r="L389" s="12">
        <v>310.22000000000003</v>
      </c>
      <c r="M389" s="12">
        <v>307.48</v>
      </c>
      <c r="N389" s="12">
        <v>410.83</v>
      </c>
      <c r="O389" s="12">
        <v>297.02999999999997</v>
      </c>
      <c r="P389" s="12">
        <v>0</v>
      </c>
      <c r="Q389" s="12">
        <v>0.25</v>
      </c>
      <c r="R389" s="12">
        <v>148.33000000000001</v>
      </c>
      <c r="S389" s="12">
        <v>307.99</v>
      </c>
      <c r="T389" s="12">
        <v>353.23</v>
      </c>
      <c r="U389" s="12">
        <v>361.52</v>
      </c>
      <c r="V389" s="12">
        <v>340.9</v>
      </c>
      <c r="W389" s="12">
        <v>339.26</v>
      </c>
      <c r="X389" s="12">
        <v>349.77</v>
      </c>
      <c r="Y389" s="12">
        <v>308.79000000000002</v>
      </c>
      <c r="AA389" s="17">
        <f>MAX($B$389:$Y$389)</f>
        <v>410.83</v>
      </c>
      <c r="AB389" s="17">
        <f>MIN($B$389:$Y$389)</f>
        <v>0</v>
      </c>
      <c r="AC389" s="17">
        <f>AVERAGE($B$389:$Y$389)</f>
        <v>282.84416666666698</v>
      </c>
    </row>
    <row r="390" spans="1:29">
      <c r="A390" s="10">
        <v>45680</v>
      </c>
      <c r="B390" s="12">
        <v>441.59</v>
      </c>
      <c r="C390" s="12">
        <v>213.75</v>
      </c>
      <c r="D390" s="12">
        <v>205.28</v>
      </c>
      <c r="E390" s="12">
        <v>95.25</v>
      </c>
      <c r="F390" s="12">
        <v>64.5</v>
      </c>
      <c r="G390" s="12">
        <v>219.12</v>
      </c>
      <c r="H390" s="12">
        <v>299.02999999999997</v>
      </c>
      <c r="I390" s="12">
        <v>309.61</v>
      </c>
      <c r="J390" s="12">
        <v>243.27</v>
      </c>
      <c r="K390" s="12">
        <v>272.5</v>
      </c>
      <c r="L390" s="12">
        <v>289.63</v>
      </c>
      <c r="M390" s="12">
        <v>333.25</v>
      </c>
      <c r="N390" s="12">
        <v>497.81</v>
      </c>
      <c r="O390" s="12">
        <v>304.73</v>
      </c>
      <c r="P390" s="12">
        <v>275.02999999999997</v>
      </c>
      <c r="Q390" s="12">
        <v>242.53</v>
      </c>
      <c r="R390" s="12">
        <v>220.25</v>
      </c>
      <c r="S390" s="12">
        <v>333.28</v>
      </c>
      <c r="T390" s="12">
        <v>341</v>
      </c>
      <c r="U390" s="12">
        <v>332</v>
      </c>
      <c r="V390" s="12">
        <v>319.79000000000002</v>
      </c>
      <c r="W390" s="12">
        <v>323.41000000000003</v>
      </c>
      <c r="X390" s="12">
        <v>300.31</v>
      </c>
      <c r="Y390" s="12">
        <v>206.25</v>
      </c>
      <c r="AA390" s="17">
        <f>MAX($B$390:$Y$390)</f>
        <v>497.81</v>
      </c>
      <c r="AB390" s="17">
        <f>MIN($B$390:$Y$390)</f>
        <v>64.5</v>
      </c>
      <c r="AC390" s="17">
        <f>AVERAGE($B$390:$Y$390)</f>
        <v>278.46541666666701</v>
      </c>
    </row>
    <row r="391" spans="1:29">
      <c r="A391" s="10">
        <v>45681</v>
      </c>
      <c r="B391" s="12">
        <v>638.66</v>
      </c>
      <c r="C391" s="12">
        <v>140</v>
      </c>
      <c r="D391" s="12">
        <v>68.78</v>
      </c>
      <c r="E391" s="12">
        <v>50</v>
      </c>
      <c r="F391" s="12">
        <v>0</v>
      </c>
      <c r="G391" s="12">
        <v>0</v>
      </c>
      <c r="H391" s="12">
        <v>0</v>
      </c>
      <c r="I391" s="12">
        <v>138.78</v>
      </c>
      <c r="J391" s="12">
        <v>104.14</v>
      </c>
      <c r="K391" s="12">
        <v>159.84</v>
      </c>
      <c r="L391" s="12">
        <v>73.25</v>
      </c>
      <c r="M391" s="12">
        <v>385.49</v>
      </c>
      <c r="N391" s="12">
        <v>320.61</v>
      </c>
      <c r="O391" s="12">
        <v>428.5</v>
      </c>
      <c r="P391" s="12">
        <v>458.03</v>
      </c>
      <c r="Q391" s="12">
        <v>992.98</v>
      </c>
      <c r="R391" s="12">
        <v>570</v>
      </c>
      <c r="S391" s="12">
        <v>148.82</v>
      </c>
      <c r="T391" s="12">
        <v>15.43</v>
      </c>
      <c r="U391" s="12">
        <v>16.37</v>
      </c>
      <c r="V391" s="12">
        <v>10.57</v>
      </c>
      <c r="W391" s="12">
        <v>8.8000000000000007</v>
      </c>
      <c r="X391" s="12">
        <v>145.19</v>
      </c>
      <c r="Y391" s="12">
        <v>1.5</v>
      </c>
      <c r="AA391" s="17">
        <f>MAX($B$391:$Y$391)</f>
        <v>992.98</v>
      </c>
      <c r="AB391" s="17">
        <f>MIN($B$391:$Y$391)</f>
        <v>0</v>
      </c>
      <c r="AC391" s="17">
        <f>AVERAGE($B$391:$Y$391)</f>
        <v>203.15583333333299</v>
      </c>
    </row>
    <row r="392" spans="1:29">
      <c r="A392" s="10">
        <v>45682</v>
      </c>
      <c r="B392" s="12">
        <v>175.5</v>
      </c>
      <c r="C392" s="12">
        <v>336.25</v>
      </c>
      <c r="D392" s="12">
        <v>261.44</v>
      </c>
      <c r="E392" s="12">
        <v>232.83</v>
      </c>
      <c r="F392" s="12">
        <v>0</v>
      </c>
      <c r="G392" s="12">
        <v>0</v>
      </c>
      <c r="H392" s="12">
        <v>63.68</v>
      </c>
      <c r="I392" s="12">
        <v>99.71</v>
      </c>
      <c r="J392" s="12">
        <v>46.47</v>
      </c>
      <c r="K392" s="12">
        <v>134.03</v>
      </c>
      <c r="L392" s="12">
        <v>178.26</v>
      </c>
      <c r="M392" s="12">
        <v>93.48</v>
      </c>
      <c r="N392" s="12">
        <v>71.25</v>
      </c>
      <c r="O392" s="12">
        <v>0</v>
      </c>
      <c r="P392" s="12">
        <v>0</v>
      </c>
      <c r="Q392" s="12">
        <v>0</v>
      </c>
      <c r="R392" s="12">
        <v>0</v>
      </c>
      <c r="S392" s="12">
        <v>177.75</v>
      </c>
      <c r="T392" s="12">
        <v>306.77999999999997</v>
      </c>
      <c r="U392" s="12">
        <v>94.83</v>
      </c>
      <c r="V392" s="12">
        <v>124.62</v>
      </c>
      <c r="W392" s="12">
        <v>155.03</v>
      </c>
      <c r="X392" s="12">
        <v>334.09</v>
      </c>
      <c r="Y392" s="12">
        <v>259.79000000000002</v>
      </c>
      <c r="AA392" s="17">
        <f>MAX($B$392:$Y$392)</f>
        <v>336.25</v>
      </c>
      <c r="AB392" s="17">
        <f>MIN($B$392:$Y$392)</f>
        <v>0</v>
      </c>
      <c r="AC392" s="17">
        <f>AVERAGE($B$392:$Y$392)</f>
        <v>131.07458333333301</v>
      </c>
    </row>
    <row r="393" spans="1:29">
      <c r="A393" s="10">
        <v>45683</v>
      </c>
      <c r="B393" s="12">
        <v>470.44</v>
      </c>
      <c r="C393" s="12">
        <v>284.56</v>
      </c>
      <c r="D393" s="12">
        <v>268</v>
      </c>
      <c r="E393" s="12">
        <v>287.27999999999997</v>
      </c>
      <c r="F393" s="12">
        <v>106.25</v>
      </c>
      <c r="G393" s="12">
        <v>37.5</v>
      </c>
      <c r="H393" s="12">
        <v>123.5</v>
      </c>
      <c r="I393" s="12">
        <v>138.5</v>
      </c>
      <c r="J393" s="12">
        <v>213.76</v>
      </c>
      <c r="K393" s="12">
        <v>276.57</v>
      </c>
      <c r="L393" s="12">
        <v>354.52</v>
      </c>
      <c r="M393" s="12">
        <v>341.32</v>
      </c>
      <c r="N393" s="12">
        <v>360.87</v>
      </c>
      <c r="O393" s="12">
        <v>303.76</v>
      </c>
      <c r="P393" s="12">
        <v>234.31</v>
      </c>
      <c r="Q393" s="12">
        <v>182</v>
      </c>
      <c r="R393" s="12">
        <v>69.33</v>
      </c>
      <c r="S393" s="12">
        <v>212.1</v>
      </c>
      <c r="T393" s="12">
        <v>210.03</v>
      </c>
      <c r="U393" s="12">
        <v>230</v>
      </c>
      <c r="V393" s="12">
        <v>211.6</v>
      </c>
      <c r="W393" s="12">
        <v>220.06</v>
      </c>
      <c r="X393" s="12">
        <v>353.08</v>
      </c>
      <c r="Y393" s="12">
        <v>296.64</v>
      </c>
      <c r="AA393" s="17">
        <f>MAX($B$393:$Y$393)</f>
        <v>470.44</v>
      </c>
      <c r="AB393" s="17">
        <f>MIN($B$393:$Y$393)</f>
        <v>37.5</v>
      </c>
      <c r="AC393" s="17">
        <f>AVERAGE($B$393:$Y$393)</f>
        <v>241.08250000000001</v>
      </c>
    </row>
    <row r="394" spans="1:29">
      <c r="A394" s="10">
        <v>45684</v>
      </c>
      <c r="B394" s="12">
        <v>365.18</v>
      </c>
      <c r="C394" s="12">
        <v>280.93</v>
      </c>
      <c r="D394" s="12">
        <v>65</v>
      </c>
      <c r="E394" s="12">
        <v>162.75</v>
      </c>
      <c r="F394" s="12">
        <v>69.5</v>
      </c>
      <c r="G394" s="12">
        <v>41.25</v>
      </c>
      <c r="H394" s="12">
        <v>40.82</v>
      </c>
      <c r="I394" s="12">
        <v>136.37</v>
      </c>
      <c r="J394" s="12">
        <v>61.92</v>
      </c>
      <c r="K394" s="12">
        <v>149.88</v>
      </c>
      <c r="L394" s="12">
        <v>0.01</v>
      </c>
      <c r="M394" s="12">
        <v>114.43</v>
      </c>
      <c r="N394" s="12">
        <v>217.55</v>
      </c>
      <c r="O394" s="12">
        <v>71.930000000000007</v>
      </c>
      <c r="P394" s="12">
        <v>142.55000000000001</v>
      </c>
      <c r="Q394" s="12">
        <v>268.88</v>
      </c>
      <c r="R394" s="12">
        <v>214.73</v>
      </c>
      <c r="S394" s="12">
        <v>504.75</v>
      </c>
      <c r="T394" s="12">
        <v>698.71</v>
      </c>
      <c r="U394" s="12">
        <v>555.75</v>
      </c>
      <c r="V394" s="12">
        <v>411.37</v>
      </c>
      <c r="W394" s="12">
        <v>371.75</v>
      </c>
      <c r="X394" s="12">
        <v>382.5</v>
      </c>
      <c r="Y394" s="12">
        <v>331.24</v>
      </c>
      <c r="AA394" s="17">
        <f>MAX($B$394:$Y$394)</f>
        <v>698.71</v>
      </c>
      <c r="AB394" s="17">
        <f>MIN($B$394:$Y$394)</f>
        <v>0.01</v>
      </c>
      <c r="AC394" s="17">
        <f>AVERAGE($B$394:$Y$394)</f>
        <v>235.822916666667</v>
      </c>
    </row>
    <row r="395" spans="1:29">
      <c r="A395" s="10">
        <v>45685</v>
      </c>
      <c r="B395" s="12">
        <v>408.54</v>
      </c>
      <c r="C395" s="12">
        <v>313.81</v>
      </c>
      <c r="D395" s="12">
        <v>300.14</v>
      </c>
      <c r="E395" s="12">
        <v>280.44</v>
      </c>
      <c r="F395" s="12">
        <v>112.5</v>
      </c>
      <c r="G395" s="12">
        <v>0.24</v>
      </c>
      <c r="H395" s="12">
        <v>181.95</v>
      </c>
      <c r="I395" s="12">
        <v>315.37</v>
      </c>
      <c r="J395" s="12">
        <v>252.98</v>
      </c>
      <c r="K395" s="12">
        <v>297.25</v>
      </c>
      <c r="L395" s="12">
        <v>305.02999999999997</v>
      </c>
      <c r="M395" s="12">
        <v>0</v>
      </c>
      <c r="N395" s="12">
        <v>187.58</v>
      </c>
      <c r="O395" s="12">
        <v>285.79000000000002</v>
      </c>
      <c r="P395" s="12">
        <v>207.98</v>
      </c>
      <c r="Q395" s="12">
        <v>295.83</v>
      </c>
      <c r="R395" s="12">
        <v>313.29000000000002</v>
      </c>
      <c r="S395" s="12">
        <v>358.31</v>
      </c>
      <c r="T395" s="12">
        <v>357.03</v>
      </c>
      <c r="U395" s="12">
        <v>342.61</v>
      </c>
      <c r="V395" s="12">
        <v>430.39</v>
      </c>
      <c r="W395" s="12">
        <v>456.26</v>
      </c>
      <c r="X395" s="12">
        <v>770.35</v>
      </c>
      <c r="Y395" s="12">
        <v>509.5</v>
      </c>
      <c r="AA395" s="17">
        <f>MAX($B$395:$Y$395)</f>
        <v>770.35</v>
      </c>
      <c r="AB395" s="17">
        <f>MIN($B$395:$Y$395)</f>
        <v>0</v>
      </c>
      <c r="AC395" s="17">
        <f>AVERAGE($B$395:$Y$395)</f>
        <v>303.46541666666701</v>
      </c>
    </row>
    <row r="396" spans="1:29">
      <c r="A396" s="10">
        <v>45686</v>
      </c>
      <c r="B396" s="12">
        <v>363.79</v>
      </c>
      <c r="C396" s="12">
        <v>413.62</v>
      </c>
      <c r="D396" s="12">
        <v>285.77999999999997</v>
      </c>
      <c r="E396" s="12">
        <v>291.01</v>
      </c>
      <c r="F396" s="12">
        <v>318.83999999999997</v>
      </c>
      <c r="G396" s="12">
        <v>302.36</v>
      </c>
      <c r="H396" s="12">
        <v>300.32</v>
      </c>
      <c r="I396" s="12">
        <v>296.27999999999997</v>
      </c>
      <c r="J396" s="12">
        <v>298.82</v>
      </c>
      <c r="K396" s="12">
        <v>307.11</v>
      </c>
      <c r="L396" s="12">
        <v>158.31</v>
      </c>
      <c r="M396" s="12">
        <v>288.42</v>
      </c>
      <c r="N396" s="12">
        <v>242.75</v>
      </c>
      <c r="O396" s="12">
        <v>276.33999999999997</v>
      </c>
      <c r="P396" s="12">
        <v>308.29000000000002</v>
      </c>
      <c r="Q396" s="12">
        <v>62.5</v>
      </c>
      <c r="R396" s="12">
        <v>96.24</v>
      </c>
      <c r="S396" s="12">
        <v>321.33999999999997</v>
      </c>
      <c r="T396" s="12">
        <v>347.25</v>
      </c>
      <c r="U396" s="12">
        <v>336.25</v>
      </c>
      <c r="V396" s="12">
        <v>311.35000000000002</v>
      </c>
      <c r="W396" s="12">
        <v>308.06</v>
      </c>
      <c r="X396" s="12">
        <v>289.44</v>
      </c>
      <c r="Y396" s="12">
        <v>294.62</v>
      </c>
      <c r="AA396" s="17">
        <f>MAX($B$396:$Y$396)</f>
        <v>413.62</v>
      </c>
      <c r="AB396" s="17">
        <f>MIN($B$396:$Y$396)</f>
        <v>62.5</v>
      </c>
      <c r="AC396" s="17">
        <f>AVERAGE($B$396:$Y$396)</f>
        <v>284.12875000000003</v>
      </c>
    </row>
    <row r="397" spans="1:29">
      <c r="A397" s="10">
        <v>45687</v>
      </c>
      <c r="B397" s="12">
        <v>214.61</v>
      </c>
      <c r="C397" s="12">
        <v>248.81</v>
      </c>
      <c r="D397" s="12">
        <v>212.25</v>
      </c>
      <c r="E397" s="12">
        <v>146.25</v>
      </c>
      <c r="F397" s="12">
        <v>164</v>
      </c>
      <c r="G397" s="12">
        <v>116.75</v>
      </c>
      <c r="H397" s="12">
        <v>132</v>
      </c>
      <c r="I397" s="12">
        <v>304.5</v>
      </c>
      <c r="J397" s="12">
        <v>315.06</v>
      </c>
      <c r="K397" s="12">
        <v>160.03</v>
      </c>
      <c r="L397" s="12">
        <v>190.52</v>
      </c>
      <c r="M397" s="12">
        <v>84.61</v>
      </c>
      <c r="N397" s="12">
        <v>0.01</v>
      </c>
      <c r="O397" s="12">
        <v>57.75</v>
      </c>
      <c r="P397" s="12">
        <v>0</v>
      </c>
      <c r="Q397" s="12">
        <v>152.53</v>
      </c>
      <c r="R397" s="12">
        <v>206.88</v>
      </c>
      <c r="S397" s="12">
        <v>288.29000000000002</v>
      </c>
      <c r="T397" s="12">
        <v>306.92</v>
      </c>
      <c r="U397" s="12">
        <v>228.31</v>
      </c>
      <c r="V397" s="12">
        <v>313.38</v>
      </c>
      <c r="W397" s="12">
        <v>340</v>
      </c>
      <c r="X397" s="12">
        <v>333.79</v>
      </c>
      <c r="Y397" s="12">
        <v>284.04000000000002</v>
      </c>
      <c r="AA397" s="17">
        <f>MAX($B$397:$Y$397)</f>
        <v>340</v>
      </c>
      <c r="AB397" s="17">
        <f>MIN($B$397:$Y$397)</f>
        <v>0</v>
      </c>
      <c r="AC397" s="17">
        <f>AVERAGE($B$397:$Y$397)</f>
        <v>200.05375000000001</v>
      </c>
    </row>
    <row r="398" spans="1:29">
      <c r="A398" s="10">
        <v>45688</v>
      </c>
      <c r="B398" s="12">
        <v>235.68</v>
      </c>
      <c r="C398" s="12">
        <v>228.27</v>
      </c>
      <c r="D398" s="12">
        <v>44.82</v>
      </c>
      <c r="E398" s="12">
        <v>127.5</v>
      </c>
      <c r="F398" s="12">
        <v>17.75</v>
      </c>
      <c r="G398" s="12">
        <v>17.75</v>
      </c>
      <c r="H398" s="12">
        <v>192.75</v>
      </c>
      <c r="I398" s="12">
        <v>295.02999999999997</v>
      </c>
      <c r="J398" s="12">
        <v>268.29000000000002</v>
      </c>
      <c r="K398" s="12">
        <v>241.25</v>
      </c>
      <c r="L398" s="12">
        <v>138.75</v>
      </c>
      <c r="M398" s="12">
        <v>312.54000000000002</v>
      </c>
      <c r="N398" s="12">
        <v>308.79000000000002</v>
      </c>
      <c r="O398" s="12">
        <v>449.89</v>
      </c>
      <c r="P398" s="12">
        <v>356.28</v>
      </c>
      <c r="Q398" s="12">
        <v>228.81</v>
      </c>
      <c r="R398" s="12">
        <v>315.51</v>
      </c>
      <c r="S398" s="12">
        <v>347.64</v>
      </c>
      <c r="T398" s="12">
        <v>363.83</v>
      </c>
      <c r="U398" s="12">
        <v>332.39</v>
      </c>
      <c r="V398" s="12">
        <v>361.5</v>
      </c>
      <c r="W398" s="12">
        <v>351.25</v>
      </c>
      <c r="X398" s="12">
        <v>377.5</v>
      </c>
      <c r="Y398" s="12">
        <v>322.52999999999997</v>
      </c>
      <c r="AA398" s="17">
        <f>MAX($B$398:$Y$398)</f>
        <v>449.89</v>
      </c>
      <c r="AB398" s="17">
        <f>MIN($B$398:$Y$398)</f>
        <v>17.75</v>
      </c>
      <c r="AC398" s="17">
        <f>AVERAGE($B$398:$Y$398)</f>
        <v>259.84583333333302</v>
      </c>
    </row>
    <row r="399" spans="1:29">
      <c r="A399" s="10">
        <v>45689</v>
      </c>
      <c r="B399" s="12">
        <v>510</v>
      </c>
      <c r="C399" s="12">
        <v>359.75</v>
      </c>
      <c r="D399" s="12">
        <v>355</v>
      </c>
      <c r="E399" s="12">
        <v>315.56</v>
      </c>
      <c r="F399" s="12">
        <v>313.79000000000002</v>
      </c>
      <c r="G399" s="12">
        <v>311.33999999999997</v>
      </c>
      <c r="H399" s="12">
        <v>320.7</v>
      </c>
      <c r="I399" s="12">
        <v>358.75</v>
      </c>
      <c r="J399" s="12">
        <v>549.5</v>
      </c>
      <c r="K399" s="12">
        <v>483.5</v>
      </c>
      <c r="L399" s="12">
        <v>371.25</v>
      </c>
      <c r="M399" s="12">
        <v>347.5</v>
      </c>
      <c r="N399" s="12">
        <v>468.5</v>
      </c>
      <c r="O399" s="12">
        <v>674</v>
      </c>
      <c r="P399" s="12">
        <v>372.14</v>
      </c>
      <c r="Q399" s="12">
        <v>335.75</v>
      </c>
      <c r="R399" s="12">
        <v>323.70999999999998</v>
      </c>
      <c r="S399" s="12">
        <v>409.32</v>
      </c>
      <c r="T399" s="12">
        <v>460.61</v>
      </c>
      <c r="U399" s="12">
        <v>377</v>
      </c>
      <c r="V399" s="12">
        <v>366.27</v>
      </c>
      <c r="W399" s="12">
        <v>358.4</v>
      </c>
      <c r="X399" s="12">
        <v>359.98</v>
      </c>
      <c r="Y399" s="12">
        <v>306.25</v>
      </c>
      <c r="AA399" s="17">
        <f>MAX($B$399:$Y$399)</f>
        <v>674</v>
      </c>
      <c r="AB399" s="17">
        <f>MIN($B$399:$Y$399)</f>
        <v>306.25</v>
      </c>
      <c r="AC399" s="17">
        <f>AVERAGE($B$399:$Y$399)</f>
        <v>392.02375000000001</v>
      </c>
    </row>
    <row r="400" spans="1:29">
      <c r="A400" s="10">
        <v>45690</v>
      </c>
      <c r="B400" s="12">
        <v>511.95</v>
      </c>
      <c r="C400" s="12">
        <v>332.64</v>
      </c>
      <c r="D400" s="12">
        <v>329.5</v>
      </c>
      <c r="E400" s="12">
        <v>313.81</v>
      </c>
      <c r="F400" s="12">
        <v>219.32</v>
      </c>
      <c r="G400" s="12">
        <v>310.02999999999997</v>
      </c>
      <c r="H400" s="12">
        <v>305.04000000000002</v>
      </c>
      <c r="I400" s="12">
        <v>321.79000000000002</v>
      </c>
      <c r="J400" s="12">
        <v>340</v>
      </c>
      <c r="K400" s="12">
        <v>395</v>
      </c>
      <c r="L400" s="12">
        <v>381.39</v>
      </c>
      <c r="M400" s="12">
        <v>424.5</v>
      </c>
      <c r="N400" s="12">
        <v>630.47</v>
      </c>
      <c r="O400" s="12">
        <v>464.97</v>
      </c>
      <c r="P400" s="12">
        <v>347.5</v>
      </c>
      <c r="Q400" s="12">
        <v>215.5</v>
      </c>
      <c r="R400" s="12">
        <v>302.51</v>
      </c>
      <c r="S400" s="12">
        <v>488.5</v>
      </c>
      <c r="T400" s="12">
        <v>390</v>
      </c>
      <c r="U400" s="12">
        <v>352.64</v>
      </c>
      <c r="V400" s="12">
        <v>366.39</v>
      </c>
      <c r="W400" s="12">
        <v>357</v>
      </c>
      <c r="X400" s="12">
        <v>342.18</v>
      </c>
      <c r="Y400" s="12">
        <v>254.26</v>
      </c>
      <c r="AA400" s="17">
        <f>MAX($B$400:$Y$400)</f>
        <v>630.47</v>
      </c>
      <c r="AB400" s="17">
        <f>MIN($B$400:$Y$400)</f>
        <v>215.5</v>
      </c>
      <c r="AC400" s="17">
        <f>AVERAGE($B$400:$Y$400)</f>
        <v>362.37041666666698</v>
      </c>
    </row>
    <row r="401" spans="1:29">
      <c r="A401" s="10">
        <v>45691</v>
      </c>
      <c r="B401" s="12">
        <v>280.25</v>
      </c>
      <c r="C401" s="12">
        <v>300.60000000000002</v>
      </c>
      <c r="D401" s="12">
        <v>296.31</v>
      </c>
      <c r="E401" s="12">
        <v>172.25</v>
      </c>
      <c r="F401" s="12">
        <v>102</v>
      </c>
      <c r="G401" s="12">
        <v>94</v>
      </c>
      <c r="H401" s="12">
        <v>258.72000000000003</v>
      </c>
      <c r="I401" s="12">
        <v>298.81</v>
      </c>
      <c r="J401" s="12">
        <v>323.79000000000002</v>
      </c>
      <c r="K401" s="12">
        <v>321.25</v>
      </c>
      <c r="L401" s="12">
        <v>325</v>
      </c>
      <c r="M401" s="12">
        <v>318.32</v>
      </c>
      <c r="N401" s="12">
        <v>332.5</v>
      </c>
      <c r="O401" s="12">
        <v>316.58</v>
      </c>
      <c r="P401" s="12">
        <v>305.93</v>
      </c>
      <c r="Q401" s="12">
        <v>308.51</v>
      </c>
      <c r="R401" s="12">
        <v>311.27999999999997</v>
      </c>
      <c r="S401" s="12">
        <v>325.64999999999998</v>
      </c>
      <c r="T401" s="12">
        <v>310.52</v>
      </c>
      <c r="U401" s="12">
        <v>313.35000000000002</v>
      </c>
      <c r="V401" s="12">
        <v>311.95999999999998</v>
      </c>
      <c r="W401" s="12">
        <v>320.02999999999997</v>
      </c>
      <c r="X401" s="12">
        <v>307.5</v>
      </c>
      <c r="Y401" s="12">
        <v>267.22000000000003</v>
      </c>
      <c r="AA401" s="17">
        <f>MAX($B$401:$Y$401)</f>
        <v>332.5</v>
      </c>
      <c r="AB401" s="17">
        <f>MIN($B$401:$Y$401)</f>
        <v>94</v>
      </c>
      <c r="AC401" s="17">
        <f>AVERAGE($B$401:$Y$401)</f>
        <v>284.26375000000002</v>
      </c>
    </row>
    <row r="402" spans="1:29">
      <c r="A402" s="10">
        <v>45692</v>
      </c>
      <c r="B402" s="12">
        <v>305.39999999999998</v>
      </c>
      <c r="C402" s="12">
        <v>214</v>
      </c>
      <c r="D402" s="12">
        <v>240.04</v>
      </c>
      <c r="E402" s="12">
        <v>241.19</v>
      </c>
      <c r="F402" s="12">
        <v>267.79000000000002</v>
      </c>
      <c r="G402" s="12">
        <v>290.45999999999998</v>
      </c>
      <c r="H402" s="12">
        <v>291.47000000000003</v>
      </c>
      <c r="I402" s="12">
        <v>306</v>
      </c>
      <c r="J402" s="12">
        <v>315.89999999999998</v>
      </c>
      <c r="K402" s="12">
        <v>309.97000000000003</v>
      </c>
      <c r="L402" s="12">
        <v>116.21</v>
      </c>
      <c r="M402" s="12">
        <v>148.82</v>
      </c>
      <c r="N402" s="12">
        <v>305.06</v>
      </c>
      <c r="O402" s="12">
        <v>287.63</v>
      </c>
      <c r="P402" s="12">
        <v>313.91000000000003</v>
      </c>
      <c r="Q402" s="12">
        <v>293.87</v>
      </c>
      <c r="R402" s="12">
        <v>307.04000000000002</v>
      </c>
      <c r="S402" s="12">
        <v>330.04</v>
      </c>
      <c r="T402" s="12">
        <v>373.23</v>
      </c>
      <c r="U402" s="12">
        <v>378.83</v>
      </c>
      <c r="V402" s="12">
        <v>310.29000000000002</v>
      </c>
      <c r="W402" s="12">
        <v>330.06</v>
      </c>
      <c r="X402" s="12">
        <v>324.55</v>
      </c>
      <c r="Y402" s="12">
        <v>303.68</v>
      </c>
      <c r="AA402" s="17">
        <f>MAX($B$402:$Y$402)</f>
        <v>378.83</v>
      </c>
      <c r="AB402" s="17">
        <f>MIN($B$402:$Y$402)</f>
        <v>116.21</v>
      </c>
      <c r="AC402" s="17">
        <f>AVERAGE($B$402:$Y$402)</f>
        <v>287.72666666666697</v>
      </c>
    </row>
    <row r="403" spans="1:29">
      <c r="A403" s="10">
        <v>45693</v>
      </c>
      <c r="B403" s="12">
        <v>436.03</v>
      </c>
      <c r="C403" s="12">
        <v>296.75</v>
      </c>
      <c r="D403" s="12">
        <v>298.82</v>
      </c>
      <c r="E403" s="12">
        <v>297.06</v>
      </c>
      <c r="F403" s="12">
        <v>233.75</v>
      </c>
      <c r="G403" s="12">
        <v>147.5</v>
      </c>
      <c r="H403" s="12">
        <v>237.5</v>
      </c>
      <c r="I403" s="12">
        <v>295.02999999999997</v>
      </c>
      <c r="J403" s="12">
        <v>234.03</v>
      </c>
      <c r="K403" s="12">
        <v>299.06</v>
      </c>
      <c r="L403" s="12">
        <v>229</v>
      </c>
      <c r="M403" s="12">
        <v>300.02999999999997</v>
      </c>
      <c r="N403" s="12">
        <v>299.25</v>
      </c>
      <c r="O403" s="12">
        <v>73.790000000000006</v>
      </c>
      <c r="P403" s="12">
        <v>292.06</v>
      </c>
      <c r="Q403" s="12">
        <v>307.52999999999997</v>
      </c>
      <c r="R403" s="12">
        <v>320</v>
      </c>
      <c r="S403" s="12">
        <v>332.5</v>
      </c>
      <c r="T403" s="12">
        <v>346.43</v>
      </c>
      <c r="U403" s="12">
        <v>346.2</v>
      </c>
      <c r="V403" s="12">
        <v>324.33</v>
      </c>
      <c r="W403" s="12">
        <v>339.7</v>
      </c>
      <c r="X403" s="12">
        <v>320.11</v>
      </c>
      <c r="Y403" s="12">
        <v>282.52999999999997</v>
      </c>
      <c r="AA403" s="17">
        <f>MAX($B$403:$Y$403)</f>
        <v>436.03</v>
      </c>
      <c r="AB403" s="17">
        <f>MIN($B$403:$Y$403)</f>
        <v>73.790000000000006</v>
      </c>
      <c r="AC403" s="17">
        <f>AVERAGE($B$403:$Y$403)</f>
        <v>287.04124999999999</v>
      </c>
    </row>
    <row r="404" spans="1:29">
      <c r="A404" s="10">
        <v>45694</v>
      </c>
      <c r="B404" s="12">
        <v>319.77999999999997</v>
      </c>
      <c r="C404" s="12">
        <v>300.02999999999997</v>
      </c>
      <c r="D404" s="12">
        <v>299.5</v>
      </c>
      <c r="E404" s="12">
        <v>300</v>
      </c>
      <c r="F404" s="12">
        <v>287.52999999999997</v>
      </c>
      <c r="G404" s="12">
        <v>278.83</v>
      </c>
      <c r="H404" s="12">
        <v>287.06</v>
      </c>
      <c r="I404" s="12">
        <v>245.25</v>
      </c>
      <c r="J404" s="12">
        <v>420.6</v>
      </c>
      <c r="K404" s="12">
        <v>432.29</v>
      </c>
      <c r="L404" s="12">
        <v>340</v>
      </c>
      <c r="M404" s="12">
        <v>314.83999999999997</v>
      </c>
      <c r="N404" s="12">
        <v>138.78</v>
      </c>
      <c r="O404" s="12">
        <v>236.25</v>
      </c>
      <c r="P404" s="12">
        <v>304.33999999999997</v>
      </c>
      <c r="Q404" s="12">
        <v>301.22000000000003</v>
      </c>
      <c r="R404" s="12">
        <v>305.2</v>
      </c>
      <c r="S404" s="12">
        <v>314.83999999999997</v>
      </c>
      <c r="T404" s="12">
        <v>318.02999999999997</v>
      </c>
      <c r="U404" s="12">
        <v>295.13</v>
      </c>
      <c r="V404" s="12">
        <v>299.06</v>
      </c>
      <c r="W404" s="12">
        <v>298.35000000000002</v>
      </c>
      <c r="X404" s="12">
        <v>296.39999999999998</v>
      </c>
      <c r="Y404" s="12">
        <v>141.25</v>
      </c>
      <c r="AA404" s="17">
        <f>MAX($B$404:$Y$404)</f>
        <v>432.29</v>
      </c>
      <c r="AB404" s="17">
        <f>MIN($B$404:$Y$404)</f>
        <v>138.78</v>
      </c>
      <c r="AC404" s="17">
        <f>AVERAGE($B$404:$Y$404)</f>
        <v>294.77333333333303</v>
      </c>
    </row>
    <row r="405" spans="1:29">
      <c r="A405" s="10">
        <v>45695</v>
      </c>
      <c r="B405" s="12">
        <v>292.56</v>
      </c>
      <c r="C405" s="12">
        <v>273.08</v>
      </c>
      <c r="D405" s="12">
        <v>279.17</v>
      </c>
      <c r="E405" s="12">
        <v>220.62</v>
      </c>
      <c r="F405" s="12">
        <v>264.56</v>
      </c>
      <c r="G405" s="12">
        <v>275.58999999999997</v>
      </c>
      <c r="H405" s="12">
        <v>272.75</v>
      </c>
      <c r="I405" s="12">
        <v>298.48</v>
      </c>
      <c r="J405" s="12">
        <v>352.7</v>
      </c>
      <c r="K405" s="12">
        <v>363.62</v>
      </c>
      <c r="L405" s="12">
        <v>371.05</v>
      </c>
      <c r="M405" s="12">
        <v>382.97</v>
      </c>
      <c r="N405" s="12">
        <v>372.27</v>
      </c>
      <c r="O405" s="12">
        <v>694.34</v>
      </c>
      <c r="P405" s="12">
        <v>565.91</v>
      </c>
      <c r="Q405" s="12">
        <v>328.39</v>
      </c>
      <c r="R405" s="12">
        <v>336.84</v>
      </c>
      <c r="S405" s="12">
        <v>319.89</v>
      </c>
      <c r="T405" s="12">
        <v>314</v>
      </c>
      <c r="U405" s="12">
        <v>317.58</v>
      </c>
      <c r="V405" s="12">
        <v>322.82</v>
      </c>
      <c r="W405" s="12">
        <v>317.02999999999997</v>
      </c>
      <c r="X405" s="12">
        <v>307.43</v>
      </c>
      <c r="Y405" s="12">
        <v>273.74</v>
      </c>
      <c r="AA405" s="17">
        <f>MAX($B$405:$Y$405)</f>
        <v>694.34</v>
      </c>
      <c r="AB405" s="17">
        <f>MIN($B$405:$Y$405)</f>
        <v>220.62</v>
      </c>
      <c r="AC405" s="17">
        <f>AVERAGE($B$405:$Y$405)</f>
        <v>338.22458333333299</v>
      </c>
    </row>
    <row r="406" spans="1:29">
      <c r="A406" s="10">
        <v>45696</v>
      </c>
      <c r="B406" s="12">
        <v>297.77999999999997</v>
      </c>
      <c r="C406" s="12">
        <v>264.33999999999997</v>
      </c>
      <c r="D406" s="12">
        <v>275.14</v>
      </c>
      <c r="E406" s="12">
        <v>186.21</v>
      </c>
      <c r="F406" s="12">
        <v>254.81</v>
      </c>
      <c r="G406" s="12">
        <v>286.95</v>
      </c>
      <c r="H406" s="12">
        <v>284.17</v>
      </c>
      <c r="I406" s="12">
        <v>299.11</v>
      </c>
      <c r="J406" s="12">
        <v>327.01</v>
      </c>
      <c r="K406" s="12">
        <v>245.49</v>
      </c>
      <c r="L406" s="12">
        <v>206.09</v>
      </c>
      <c r="M406" s="12">
        <v>157.19</v>
      </c>
      <c r="N406" s="12">
        <v>131.85</v>
      </c>
      <c r="O406" s="12">
        <v>249.12</v>
      </c>
      <c r="P406" s="12">
        <v>232.74</v>
      </c>
      <c r="Q406" s="12">
        <v>297.22000000000003</v>
      </c>
      <c r="R406" s="12">
        <v>329.9</v>
      </c>
      <c r="S406" s="12">
        <v>343.28</v>
      </c>
      <c r="T406" s="12">
        <v>332.12</v>
      </c>
      <c r="U406" s="12">
        <v>337.67</v>
      </c>
      <c r="V406" s="12">
        <v>327.92</v>
      </c>
      <c r="W406" s="12">
        <v>329.39</v>
      </c>
      <c r="X406" s="12">
        <v>335.99</v>
      </c>
      <c r="Y406" s="12">
        <v>301.76</v>
      </c>
      <c r="AA406" s="17">
        <f>MAX($B$406:$Y$406)</f>
        <v>343.28</v>
      </c>
      <c r="AB406" s="17">
        <f>MIN($B$406:$Y$406)</f>
        <v>131.85</v>
      </c>
      <c r="AC406" s="17">
        <f>AVERAGE($B$406:$Y$406)</f>
        <v>276.38541666666703</v>
      </c>
    </row>
    <row r="407" spans="1:29">
      <c r="A407" s="10">
        <v>45697</v>
      </c>
      <c r="B407" s="12">
        <v>302.29000000000002</v>
      </c>
      <c r="C407" s="12">
        <v>299.83999999999997</v>
      </c>
      <c r="D407" s="12">
        <v>285.97000000000003</v>
      </c>
      <c r="E407" s="12">
        <v>270.06</v>
      </c>
      <c r="F407" s="12">
        <v>171.29</v>
      </c>
      <c r="G407" s="12">
        <v>206.28</v>
      </c>
      <c r="H407" s="12">
        <v>277.07</v>
      </c>
      <c r="I407" s="12">
        <v>291.11</v>
      </c>
      <c r="J407" s="12">
        <v>203.37</v>
      </c>
      <c r="K407" s="12">
        <v>214.31</v>
      </c>
      <c r="L407" s="12">
        <v>63.75</v>
      </c>
      <c r="M407" s="12">
        <v>122.08</v>
      </c>
      <c r="N407" s="12">
        <v>143.77000000000001</v>
      </c>
      <c r="O407" s="12">
        <v>141.44999999999999</v>
      </c>
      <c r="P407" s="12">
        <v>0</v>
      </c>
      <c r="Q407" s="12">
        <v>71.75</v>
      </c>
      <c r="R407" s="12">
        <v>216.83</v>
      </c>
      <c r="S407" s="12">
        <v>305.17</v>
      </c>
      <c r="T407" s="12">
        <v>383.47</v>
      </c>
      <c r="U407" s="12">
        <v>362.91</v>
      </c>
      <c r="V407" s="12">
        <v>342.38</v>
      </c>
      <c r="W407" s="12">
        <v>346.16</v>
      </c>
      <c r="X407" s="12">
        <v>389.48</v>
      </c>
      <c r="Y407" s="12">
        <v>319.45999999999998</v>
      </c>
      <c r="AA407" s="17">
        <f>MAX($B$407:$Y$407)</f>
        <v>389.48</v>
      </c>
      <c r="AB407" s="17">
        <f>MIN($B$407:$Y$407)</f>
        <v>0</v>
      </c>
      <c r="AC407" s="17">
        <f>AVERAGE($B$407:$Y$407)</f>
        <v>238.760416666667</v>
      </c>
    </row>
    <row r="408" spans="1:29">
      <c r="A408" s="10">
        <v>45698</v>
      </c>
      <c r="B408" s="12">
        <v>315</v>
      </c>
      <c r="C408" s="12">
        <v>305.57</v>
      </c>
      <c r="D408" s="12">
        <v>292.92</v>
      </c>
      <c r="E408" s="12">
        <v>291.92</v>
      </c>
      <c r="F408" s="12">
        <v>286.64</v>
      </c>
      <c r="G408" s="12">
        <v>293.74</v>
      </c>
      <c r="H408" s="12">
        <v>304.37</v>
      </c>
      <c r="I408" s="12">
        <v>303.08999999999997</v>
      </c>
      <c r="J408" s="12">
        <v>543.79</v>
      </c>
      <c r="K408" s="12">
        <v>336.37</v>
      </c>
      <c r="L408" s="12">
        <v>313.95999999999998</v>
      </c>
      <c r="M408" s="12">
        <v>296.74</v>
      </c>
      <c r="N408" s="12">
        <v>215.27</v>
      </c>
      <c r="O408" s="12">
        <v>198.81</v>
      </c>
      <c r="P408" s="12">
        <v>165.58</v>
      </c>
      <c r="Q408" s="12">
        <v>297.25</v>
      </c>
      <c r="R408" s="12">
        <v>320.97000000000003</v>
      </c>
      <c r="S408" s="12">
        <v>320.98</v>
      </c>
      <c r="T408" s="12">
        <v>430.53</v>
      </c>
      <c r="U408" s="12">
        <v>627.98</v>
      </c>
      <c r="V408" s="12">
        <v>686.73</v>
      </c>
      <c r="W408" s="12">
        <v>824</v>
      </c>
      <c r="X408" s="12">
        <v>617.24</v>
      </c>
      <c r="Y408" s="12">
        <v>333.39</v>
      </c>
      <c r="AA408" s="17">
        <f>MAX($B$408:$Y$408)</f>
        <v>824</v>
      </c>
      <c r="AB408" s="17">
        <f>MIN($B$408:$Y$408)</f>
        <v>165.58</v>
      </c>
      <c r="AC408" s="17">
        <f>AVERAGE($B$408:$Y$408)</f>
        <v>371.78500000000003</v>
      </c>
    </row>
    <row r="409" spans="1:29">
      <c r="A409" s="10">
        <v>45699</v>
      </c>
      <c r="B409" s="12">
        <v>323.49</v>
      </c>
      <c r="C409" s="12">
        <v>317.3</v>
      </c>
      <c r="D409" s="12">
        <v>309.64</v>
      </c>
      <c r="E409" s="12">
        <v>296.23</v>
      </c>
      <c r="F409" s="12">
        <v>293.13</v>
      </c>
      <c r="G409" s="12">
        <v>297.97000000000003</v>
      </c>
      <c r="H409" s="12">
        <v>306.16000000000003</v>
      </c>
      <c r="I409" s="12">
        <v>304.27999999999997</v>
      </c>
      <c r="J409" s="12">
        <v>338.77</v>
      </c>
      <c r="K409" s="12">
        <v>341.61</v>
      </c>
      <c r="L409" s="12">
        <v>290.95999999999998</v>
      </c>
      <c r="M409" s="12">
        <v>292.62</v>
      </c>
      <c r="N409" s="12">
        <v>279.08</v>
      </c>
      <c r="O409" s="12">
        <v>296.19</v>
      </c>
      <c r="P409" s="12">
        <v>301.23</v>
      </c>
      <c r="Q409" s="12">
        <v>307.07</v>
      </c>
      <c r="R409" s="12">
        <v>323.64</v>
      </c>
      <c r="S409" s="12">
        <v>320.69</v>
      </c>
      <c r="T409" s="12">
        <v>349.64</v>
      </c>
      <c r="U409" s="12">
        <v>355.95</v>
      </c>
      <c r="V409" s="12">
        <v>333.28</v>
      </c>
      <c r="W409" s="12">
        <v>333.45</v>
      </c>
      <c r="X409" s="12">
        <v>330.96</v>
      </c>
      <c r="Y409" s="12">
        <v>306.70999999999998</v>
      </c>
      <c r="AA409" s="17">
        <f>MAX($B$409:$Y$409)</f>
        <v>355.95</v>
      </c>
      <c r="AB409" s="17">
        <f>MIN($B$409:$Y$409)</f>
        <v>279.08</v>
      </c>
      <c r="AC409" s="17">
        <f>AVERAGE($B$409:$Y$409)</f>
        <v>314.58541666666702</v>
      </c>
    </row>
    <row r="410" spans="1:29">
      <c r="A410" s="10">
        <v>45700</v>
      </c>
      <c r="B410" s="12">
        <v>345.14</v>
      </c>
      <c r="C410" s="12">
        <v>319.14</v>
      </c>
      <c r="D410" s="12">
        <v>311.93</v>
      </c>
      <c r="E410" s="12">
        <v>307.97000000000003</v>
      </c>
      <c r="F410" s="12">
        <v>300.23</v>
      </c>
      <c r="G410" s="12">
        <v>302.89999999999998</v>
      </c>
      <c r="H410" s="12">
        <v>318</v>
      </c>
      <c r="I410" s="12">
        <v>328.71</v>
      </c>
      <c r="J410" s="12">
        <v>381.83</v>
      </c>
      <c r="K410" s="12">
        <v>344.62</v>
      </c>
      <c r="L410" s="12">
        <v>324.12</v>
      </c>
      <c r="M410" s="12">
        <v>332.6</v>
      </c>
      <c r="N410" s="12">
        <v>305.26</v>
      </c>
      <c r="O410" s="12">
        <v>309.19</v>
      </c>
      <c r="P410" s="12">
        <v>310.68</v>
      </c>
      <c r="Q410" s="12">
        <v>323.62</v>
      </c>
      <c r="R410" s="12">
        <v>341.24</v>
      </c>
      <c r="S410" s="12">
        <v>349.55</v>
      </c>
      <c r="T410" s="12">
        <v>361.15</v>
      </c>
      <c r="U410" s="12">
        <v>366.34</v>
      </c>
      <c r="V410" s="12">
        <v>342.41</v>
      </c>
      <c r="W410" s="12">
        <v>381.39</v>
      </c>
      <c r="X410" s="12">
        <v>360.72</v>
      </c>
      <c r="Y410" s="12">
        <v>325.42</v>
      </c>
      <c r="AA410" s="17">
        <f>MAX($B$410:$Y$410)</f>
        <v>381.83</v>
      </c>
      <c r="AB410" s="17">
        <f>MIN($B$410:$Y$410)</f>
        <v>300.23</v>
      </c>
      <c r="AC410" s="17">
        <f>AVERAGE($B$410:$Y$410)</f>
        <v>333.09</v>
      </c>
    </row>
    <row r="411" spans="1:29">
      <c r="A411" s="10">
        <v>45701</v>
      </c>
      <c r="B411" s="12">
        <v>340.43</v>
      </c>
      <c r="C411" s="12">
        <v>316.33999999999997</v>
      </c>
      <c r="D411" s="12">
        <v>308.95999999999998</v>
      </c>
      <c r="E411" s="12">
        <v>296.36</v>
      </c>
      <c r="F411" s="12">
        <v>285.02999999999997</v>
      </c>
      <c r="G411" s="12">
        <v>284.08999999999997</v>
      </c>
      <c r="H411" s="12">
        <v>294.27999999999997</v>
      </c>
      <c r="I411" s="12">
        <v>303.39999999999998</v>
      </c>
      <c r="J411" s="12">
        <v>321.69</v>
      </c>
      <c r="K411" s="12">
        <v>313.70999999999998</v>
      </c>
      <c r="L411" s="12">
        <v>294.95</v>
      </c>
      <c r="M411" s="12">
        <v>295.12</v>
      </c>
      <c r="N411" s="12">
        <v>182.58</v>
      </c>
      <c r="O411" s="12">
        <v>202.96</v>
      </c>
      <c r="P411" s="12">
        <v>272.55</v>
      </c>
      <c r="Q411" s="12">
        <v>288.95999999999998</v>
      </c>
      <c r="R411" s="12">
        <v>309.18</v>
      </c>
      <c r="S411" s="12">
        <v>323.2</v>
      </c>
      <c r="T411" s="12">
        <v>348.03</v>
      </c>
      <c r="U411" s="12">
        <v>348.8</v>
      </c>
      <c r="V411" s="12">
        <v>347.75</v>
      </c>
      <c r="W411" s="12">
        <v>345.32</v>
      </c>
      <c r="X411" s="12">
        <v>332.67</v>
      </c>
      <c r="Y411" s="12">
        <v>299.36</v>
      </c>
      <c r="AA411" s="17">
        <f>MAX($B$411:$Y$411)</f>
        <v>348.8</v>
      </c>
      <c r="AB411" s="17">
        <f>MIN($B$411:$Y$411)</f>
        <v>182.58</v>
      </c>
      <c r="AC411" s="17">
        <f>AVERAGE($B$411:$Y$411)</f>
        <v>302.321666666667</v>
      </c>
    </row>
    <row r="412" spans="1:29">
      <c r="A412" s="10">
        <v>45702</v>
      </c>
      <c r="B412" s="12">
        <v>345.66</v>
      </c>
      <c r="C412" s="12">
        <v>313</v>
      </c>
      <c r="D412" s="12">
        <v>304.57</v>
      </c>
      <c r="E412" s="12">
        <v>298.93</v>
      </c>
      <c r="F412" s="12">
        <v>297.64999999999998</v>
      </c>
      <c r="G412" s="12">
        <v>298.14</v>
      </c>
      <c r="H412" s="12">
        <v>317.24</v>
      </c>
      <c r="I412" s="12">
        <v>341.88</v>
      </c>
      <c r="J412" s="12">
        <v>596.75</v>
      </c>
      <c r="K412" s="12">
        <v>358.1</v>
      </c>
      <c r="L412" s="12">
        <v>324.7</v>
      </c>
      <c r="M412" s="12">
        <v>314.58999999999997</v>
      </c>
      <c r="N412" s="12">
        <v>294.89999999999998</v>
      </c>
      <c r="O412" s="12">
        <v>296.99</v>
      </c>
      <c r="P412" s="12">
        <v>300.97000000000003</v>
      </c>
      <c r="Q412" s="12">
        <v>306.29000000000002</v>
      </c>
      <c r="R412" s="12">
        <v>312.39</v>
      </c>
      <c r="S412" s="12">
        <v>334.87</v>
      </c>
      <c r="T412" s="12">
        <v>357.28</v>
      </c>
      <c r="U412" s="12">
        <v>428.57</v>
      </c>
      <c r="V412" s="12">
        <v>387.73</v>
      </c>
      <c r="W412" s="12">
        <v>393.84</v>
      </c>
      <c r="X412" s="12">
        <v>360.19</v>
      </c>
      <c r="Y412" s="12">
        <v>325.13</v>
      </c>
      <c r="AA412" s="17">
        <f>MAX($B$412:$Y$412)</f>
        <v>596.75</v>
      </c>
      <c r="AB412" s="17">
        <f>MIN($B$412:$Y$412)</f>
        <v>294.89999999999998</v>
      </c>
      <c r="AC412" s="17">
        <f>AVERAGE($B$412:$Y$412)</f>
        <v>342.09833333333302</v>
      </c>
    </row>
    <row r="413" spans="1:29">
      <c r="A413" s="10">
        <v>45703</v>
      </c>
      <c r="B413" s="12">
        <v>345.68</v>
      </c>
      <c r="C413" s="12">
        <v>337.83</v>
      </c>
      <c r="D413" s="12">
        <v>325.91000000000003</v>
      </c>
      <c r="E413" s="12">
        <v>316.74</v>
      </c>
      <c r="F413" s="12">
        <v>311.86</v>
      </c>
      <c r="G413" s="12">
        <v>303.37</v>
      </c>
      <c r="H413" s="12">
        <v>311.02</v>
      </c>
      <c r="I413" s="12">
        <v>317.23</v>
      </c>
      <c r="J413" s="12">
        <v>372.53</v>
      </c>
      <c r="K413" s="12">
        <v>685.37</v>
      </c>
      <c r="L413" s="12">
        <v>391.1</v>
      </c>
      <c r="M413" s="12">
        <v>412.78</v>
      </c>
      <c r="N413" s="12">
        <v>325.95999999999998</v>
      </c>
      <c r="O413" s="12">
        <v>333.85</v>
      </c>
      <c r="P413" s="12">
        <v>333.09</v>
      </c>
      <c r="Q413" s="12">
        <v>334.15</v>
      </c>
      <c r="R413" s="12">
        <v>360.29</v>
      </c>
      <c r="S413" s="12">
        <v>405.38</v>
      </c>
      <c r="T413" s="12">
        <v>488.67</v>
      </c>
      <c r="U413" s="12">
        <v>649.88</v>
      </c>
      <c r="V413" s="12">
        <v>566.39</v>
      </c>
      <c r="W413" s="12">
        <v>483.48</v>
      </c>
      <c r="X413" s="12">
        <v>378.91</v>
      </c>
      <c r="Y413" s="12">
        <v>334.74</v>
      </c>
      <c r="AA413" s="17">
        <f>MAX($B$413:$Y$413)</f>
        <v>685.37</v>
      </c>
      <c r="AB413" s="17">
        <f>MIN($B$413:$Y$413)</f>
        <v>303.37</v>
      </c>
      <c r="AC413" s="17">
        <f>AVERAGE($B$413:$Y$413)</f>
        <v>392.75875000000002</v>
      </c>
    </row>
    <row r="414" spans="1:29">
      <c r="A414" s="10">
        <v>45704</v>
      </c>
      <c r="B414" s="12">
        <v>356.79</v>
      </c>
      <c r="C414" s="12">
        <v>358.69</v>
      </c>
      <c r="D414" s="12">
        <v>352.69</v>
      </c>
      <c r="E414" s="12">
        <v>328.67</v>
      </c>
      <c r="F414" s="12">
        <v>316.49</v>
      </c>
      <c r="G414" s="12">
        <v>311.87</v>
      </c>
      <c r="H414" s="12">
        <v>318.3</v>
      </c>
      <c r="I414" s="12">
        <v>321.88</v>
      </c>
      <c r="J414" s="12">
        <v>330.91</v>
      </c>
      <c r="K414" s="12">
        <v>329.42</v>
      </c>
      <c r="L414" s="12">
        <v>335.89</v>
      </c>
      <c r="M414" s="12">
        <v>332.19</v>
      </c>
      <c r="N414" s="12">
        <v>321.95</v>
      </c>
      <c r="O414" s="12">
        <v>318.89</v>
      </c>
      <c r="P414" s="12">
        <v>324.37</v>
      </c>
      <c r="Q414" s="12">
        <v>313.98</v>
      </c>
      <c r="R414" s="12">
        <v>323.69</v>
      </c>
      <c r="S414" s="12">
        <v>343.68</v>
      </c>
      <c r="T414" s="12">
        <v>375.65</v>
      </c>
      <c r="U414" s="12">
        <v>390.74</v>
      </c>
      <c r="V414" s="12">
        <v>381.49</v>
      </c>
      <c r="W414" s="12">
        <v>382.16</v>
      </c>
      <c r="X414" s="12">
        <v>350.1</v>
      </c>
      <c r="Y414" s="12">
        <v>310.43</v>
      </c>
      <c r="AA414" s="17">
        <f>MAX($B$414:$Y$414)</f>
        <v>390.74</v>
      </c>
      <c r="AB414" s="17">
        <f>MIN($B$414:$Y$414)</f>
        <v>310.43</v>
      </c>
      <c r="AC414" s="17">
        <f>AVERAGE($B$414:$Y$414)</f>
        <v>338.78833333333301</v>
      </c>
    </row>
    <row r="415" spans="1:29">
      <c r="A415" s="10">
        <v>45705</v>
      </c>
      <c r="B415" s="12">
        <v>317.86</v>
      </c>
      <c r="C415" s="12">
        <v>323.22000000000003</v>
      </c>
      <c r="D415" s="12">
        <v>301.16000000000003</v>
      </c>
      <c r="E415" s="12">
        <v>288.14</v>
      </c>
      <c r="F415" s="12">
        <v>281.72000000000003</v>
      </c>
      <c r="G415" s="12">
        <v>284.63</v>
      </c>
      <c r="H415" s="12">
        <v>304.29000000000002</v>
      </c>
      <c r="I415" s="12">
        <v>324.02</v>
      </c>
      <c r="J415" s="12">
        <v>473.11</v>
      </c>
      <c r="K415" s="12">
        <v>547.83000000000004</v>
      </c>
      <c r="L415" s="12">
        <v>349.86</v>
      </c>
      <c r="M415" s="12">
        <v>355.54</v>
      </c>
      <c r="N415" s="12">
        <v>283.18</v>
      </c>
      <c r="O415" s="12">
        <v>309.79000000000002</v>
      </c>
      <c r="P415" s="12">
        <v>306.37</v>
      </c>
      <c r="Q415" s="12">
        <v>333.94</v>
      </c>
      <c r="R415" s="12">
        <v>392.88</v>
      </c>
      <c r="S415" s="12">
        <v>356.11</v>
      </c>
      <c r="T415" s="12">
        <v>344.28</v>
      </c>
      <c r="U415" s="12">
        <v>370.06</v>
      </c>
      <c r="V415" s="12">
        <v>386.44</v>
      </c>
      <c r="W415" s="12">
        <v>354.55</v>
      </c>
      <c r="X415" s="12">
        <v>326.33999999999997</v>
      </c>
      <c r="Y415" s="12">
        <v>299.93</v>
      </c>
      <c r="AA415" s="17">
        <f>MAX($B$415:$Y$415)</f>
        <v>547.83000000000004</v>
      </c>
      <c r="AB415" s="17">
        <f>MIN($B$415:$Y$415)</f>
        <v>281.72000000000003</v>
      </c>
      <c r="AC415" s="17">
        <f>AVERAGE($B$415:$Y$415)</f>
        <v>342.30208333333297</v>
      </c>
    </row>
    <row r="416" spans="1:29">
      <c r="A416" s="10">
        <v>45706</v>
      </c>
      <c r="B416" s="12">
        <v>320.55</v>
      </c>
      <c r="C416" s="12">
        <v>310.69</v>
      </c>
      <c r="D416" s="12">
        <v>295.22000000000003</v>
      </c>
      <c r="E416" s="12">
        <v>287.95999999999998</v>
      </c>
      <c r="F416" s="12">
        <v>285.02999999999997</v>
      </c>
      <c r="G416" s="12">
        <v>288.29000000000002</v>
      </c>
      <c r="H416" s="12">
        <v>312.51</v>
      </c>
      <c r="I416" s="12">
        <v>360.01</v>
      </c>
      <c r="J416" s="12">
        <v>521.77</v>
      </c>
      <c r="K416" s="12">
        <v>661.38</v>
      </c>
      <c r="L416" s="12">
        <v>344.85</v>
      </c>
      <c r="M416" s="12">
        <v>331.76</v>
      </c>
      <c r="N416" s="12">
        <v>209.88</v>
      </c>
      <c r="O416" s="12">
        <v>257.44</v>
      </c>
      <c r="P416" s="12">
        <v>287.89999999999998</v>
      </c>
      <c r="Q416" s="12">
        <v>299.89</v>
      </c>
      <c r="R416" s="12">
        <v>333.06</v>
      </c>
      <c r="S416" s="12">
        <v>350.84</v>
      </c>
      <c r="T416" s="12">
        <v>366.19</v>
      </c>
      <c r="U416" s="12">
        <v>375.07</v>
      </c>
      <c r="V416" s="12">
        <v>355.77</v>
      </c>
      <c r="W416" s="12">
        <v>350.75</v>
      </c>
      <c r="X416" s="12">
        <v>336.57</v>
      </c>
      <c r="Y416" s="12">
        <v>302.10000000000002</v>
      </c>
      <c r="AA416" s="17">
        <f>MAX($B$416:$Y$416)</f>
        <v>661.38</v>
      </c>
      <c r="AB416" s="17">
        <f>MIN($B$416:$Y$416)</f>
        <v>209.88</v>
      </c>
      <c r="AC416" s="17">
        <f>AVERAGE($B$416:$Y$416)</f>
        <v>339.39499999999998</v>
      </c>
    </row>
    <row r="417" spans="1:29">
      <c r="A417" s="10">
        <v>45707</v>
      </c>
      <c r="B417" s="12">
        <v>331.17</v>
      </c>
      <c r="C417" s="12">
        <v>310.44</v>
      </c>
      <c r="D417" s="12">
        <v>299.41000000000003</v>
      </c>
      <c r="E417" s="12">
        <v>296.35000000000002</v>
      </c>
      <c r="F417" s="12">
        <v>285.02</v>
      </c>
      <c r="G417" s="12">
        <v>288.99</v>
      </c>
      <c r="H417" s="12">
        <v>304.19</v>
      </c>
      <c r="I417" s="12">
        <v>334.78</v>
      </c>
      <c r="J417" s="12">
        <v>519.51</v>
      </c>
      <c r="K417" s="12">
        <v>412.15</v>
      </c>
      <c r="L417" s="12">
        <v>332.48</v>
      </c>
      <c r="M417" s="12">
        <v>303.89</v>
      </c>
      <c r="N417" s="12">
        <v>167.69</v>
      </c>
      <c r="O417" s="12">
        <v>150.12</v>
      </c>
      <c r="P417" s="12">
        <v>230.54</v>
      </c>
      <c r="Q417" s="12">
        <v>268.86</v>
      </c>
      <c r="R417" s="12">
        <v>320.68</v>
      </c>
      <c r="S417" s="12">
        <v>344.35</v>
      </c>
      <c r="T417" s="12">
        <v>362.7</v>
      </c>
      <c r="U417" s="12">
        <v>380.93</v>
      </c>
      <c r="V417" s="12">
        <v>359.69</v>
      </c>
      <c r="W417" s="12">
        <v>359.59</v>
      </c>
      <c r="X417" s="12">
        <v>342.14</v>
      </c>
      <c r="Y417" s="12">
        <v>300.27</v>
      </c>
      <c r="AA417" s="17">
        <f>MAX($B$417:$Y$417)</f>
        <v>519.51</v>
      </c>
      <c r="AB417" s="17">
        <f>MIN($B$417:$Y$417)</f>
        <v>150.12</v>
      </c>
      <c r="AC417" s="17">
        <f>AVERAGE($B$417:$Y$417)</f>
        <v>316.91416666666697</v>
      </c>
    </row>
    <row r="418" spans="1:29">
      <c r="A418" s="10">
        <v>45708</v>
      </c>
      <c r="B418" s="12">
        <v>318.61</v>
      </c>
      <c r="C418" s="12">
        <v>332.27</v>
      </c>
      <c r="D418" s="12">
        <v>314.27999999999997</v>
      </c>
      <c r="E418" s="12">
        <v>302.86</v>
      </c>
      <c r="F418" s="12">
        <v>298.27999999999997</v>
      </c>
      <c r="G418" s="12">
        <v>309.89</v>
      </c>
      <c r="H418" s="12">
        <v>412.97</v>
      </c>
      <c r="I418" s="12">
        <v>443.93</v>
      </c>
      <c r="J418" s="12">
        <v>694.29</v>
      </c>
      <c r="K418" s="12">
        <v>555.42999999999995</v>
      </c>
      <c r="L418" s="12">
        <v>335.92</v>
      </c>
      <c r="M418" s="12">
        <v>289.08999999999997</v>
      </c>
      <c r="N418" s="12">
        <v>108.66</v>
      </c>
      <c r="O418" s="12">
        <v>193.53</v>
      </c>
      <c r="P418" s="12">
        <v>299.92</v>
      </c>
      <c r="Q418" s="12">
        <v>331.67</v>
      </c>
      <c r="R418" s="12">
        <v>413.35</v>
      </c>
      <c r="S418" s="12">
        <v>411.56</v>
      </c>
      <c r="T418" s="12">
        <v>504.29</v>
      </c>
      <c r="U418" s="12">
        <v>502.97</v>
      </c>
      <c r="V418" s="12">
        <v>398.74</v>
      </c>
      <c r="W418" s="12">
        <v>365.78</v>
      </c>
      <c r="X418" s="12">
        <v>371.65</v>
      </c>
      <c r="Y418" s="12">
        <v>332.19</v>
      </c>
      <c r="AA418" s="17">
        <f>MAX($B$418:$Y$418)</f>
        <v>694.29</v>
      </c>
      <c r="AB418" s="17">
        <f>MIN($B$418:$Y$418)</f>
        <v>108.66</v>
      </c>
      <c r="AC418" s="17">
        <f>AVERAGE($B$418:$Y$418)</f>
        <v>368.42208333333298</v>
      </c>
    </row>
    <row r="419" spans="1:29">
      <c r="A419" s="10">
        <v>45709</v>
      </c>
      <c r="B419" s="12">
        <v>330.69</v>
      </c>
      <c r="C419" s="12">
        <v>326.51</v>
      </c>
      <c r="D419" s="12">
        <v>319.20999999999998</v>
      </c>
      <c r="E419" s="12">
        <v>308.49</v>
      </c>
      <c r="F419" s="12">
        <v>306.81</v>
      </c>
      <c r="G419" s="12">
        <v>305</v>
      </c>
      <c r="H419" s="12">
        <v>332.06</v>
      </c>
      <c r="I419" s="12">
        <v>424.46</v>
      </c>
      <c r="J419" s="12">
        <v>564.42999999999995</v>
      </c>
      <c r="K419" s="12">
        <v>832.58</v>
      </c>
      <c r="L419" s="12">
        <v>515.91999999999996</v>
      </c>
      <c r="M419" s="12">
        <v>392.35</v>
      </c>
      <c r="N419" s="12">
        <v>307.74</v>
      </c>
      <c r="O419" s="12">
        <v>320.7</v>
      </c>
      <c r="P419" s="12">
        <v>330.4</v>
      </c>
      <c r="Q419" s="12">
        <v>334.09</v>
      </c>
      <c r="R419" s="12">
        <v>527.58000000000004</v>
      </c>
      <c r="S419" s="12">
        <v>418.94</v>
      </c>
      <c r="T419" s="12">
        <v>447.72</v>
      </c>
      <c r="U419" s="12">
        <v>573.73</v>
      </c>
      <c r="V419" s="12">
        <v>430.62</v>
      </c>
      <c r="W419" s="12">
        <v>415.83</v>
      </c>
      <c r="X419" s="12">
        <v>393.17</v>
      </c>
      <c r="Y419" s="12">
        <v>336.28</v>
      </c>
      <c r="AA419" s="17">
        <f>MAX($B$419:$Y$419)</f>
        <v>832.58</v>
      </c>
      <c r="AB419" s="17">
        <f>MIN($B$419:$Y$419)</f>
        <v>305</v>
      </c>
      <c r="AC419" s="17">
        <f>AVERAGE($B$419:$Y$419)</f>
        <v>408.13791666666702</v>
      </c>
    </row>
    <row r="420" spans="1:29">
      <c r="A420" s="10">
        <v>45710</v>
      </c>
      <c r="B420" s="12">
        <v>350.9</v>
      </c>
      <c r="C420" s="12">
        <v>342.34</v>
      </c>
      <c r="D420" s="12">
        <v>348.76</v>
      </c>
      <c r="E420" s="12">
        <v>326.5</v>
      </c>
      <c r="F420" s="12">
        <v>314.42</v>
      </c>
      <c r="G420" s="12">
        <v>314.16000000000003</v>
      </c>
      <c r="H420" s="12">
        <v>316.04000000000002</v>
      </c>
      <c r="I420" s="12">
        <v>326.57</v>
      </c>
      <c r="J420" s="12">
        <v>567.45000000000005</v>
      </c>
      <c r="K420" s="12">
        <v>722.91</v>
      </c>
      <c r="L420" s="12">
        <v>454.64</v>
      </c>
      <c r="M420" s="12">
        <v>504.93</v>
      </c>
      <c r="N420" s="12">
        <v>313.11</v>
      </c>
      <c r="O420" s="12">
        <v>321.56</v>
      </c>
      <c r="P420" s="12">
        <v>329.71</v>
      </c>
      <c r="Q420" s="12">
        <v>340.52</v>
      </c>
      <c r="R420" s="12">
        <v>500.93</v>
      </c>
      <c r="S420" s="12">
        <v>378.34</v>
      </c>
      <c r="T420" s="12">
        <v>370.3</v>
      </c>
      <c r="U420" s="12">
        <v>373.52</v>
      </c>
      <c r="V420" s="12">
        <v>357.63</v>
      </c>
      <c r="W420" s="12">
        <v>350.01</v>
      </c>
      <c r="X420" s="12">
        <v>388.63</v>
      </c>
      <c r="Y420" s="12">
        <v>315.64999999999998</v>
      </c>
      <c r="AA420" s="17">
        <f>MAX($B$420:$Y$420)</f>
        <v>722.91</v>
      </c>
      <c r="AB420" s="17">
        <f>MIN($B$420:$Y$420)</f>
        <v>313.11</v>
      </c>
      <c r="AC420" s="17">
        <f>AVERAGE($B$420:$Y$420)</f>
        <v>384.56375000000003</v>
      </c>
    </row>
    <row r="421" spans="1:29">
      <c r="A421" s="10">
        <v>45711</v>
      </c>
      <c r="B421" s="12">
        <v>406.5</v>
      </c>
      <c r="C421" s="12">
        <v>349.92</v>
      </c>
      <c r="D421" s="12">
        <v>324.86</v>
      </c>
      <c r="E421" s="12">
        <v>308.61</v>
      </c>
      <c r="F421" s="12">
        <v>300.77999999999997</v>
      </c>
      <c r="G421" s="12">
        <v>299.83</v>
      </c>
      <c r="H421" s="12">
        <v>309.22000000000003</v>
      </c>
      <c r="I421" s="12">
        <v>319.27999999999997</v>
      </c>
      <c r="J421" s="12">
        <v>332.26</v>
      </c>
      <c r="K421" s="12">
        <v>354.68</v>
      </c>
      <c r="L421" s="12">
        <v>395.65</v>
      </c>
      <c r="M421" s="12">
        <v>397.35</v>
      </c>
      <c r="N421" s="12">
        <v>308.68</v>
      </c>
      <c r="O421" s="12">
        <v>316.10000000000002</v>
      </c>
      <c r="P421" s="12">
        <v>304.12</v>
      </c>
      <c r="Q421" s="12">
        <v>310.07</v>
      </c>
      <c r="R421" s="12">
        <v>329.07</v>
      </c>
      <c r="S421" s="12">
        <v>364.23</v>
      </c>
      <c r="T421" s="12">
        <v>350.61</v>
      </c>
      <c r="U421" s="12">
        <v>354.62</v>
      </c>
      <c r="V421" s="12">
        <v>375.83</v>
      </c>
      <c r="W421" s="12">
        <v>479.3</v>
      </c>
      <c r="X421" s="12">
        <v>474.41</v>
      </c>
      <c r="Y421" s="12">
        <v>328.26</v>
      </c>
      <c r="AA421" s="17">
        <f>MAX($B$421:$Y$421)</f>
        <v>479.3</v>
      </c>
      <c r="AB421" s="17">
        <f>MIN($B$421:$Y$421)</f>
        <v>299.83</v>
      </c>
      <c r="AC421" s="17">
        <f>AVERAGE($B$421:$Y$421)</f>
        <v>349.76</v>
      </c>
    </row>
    <row r="422" spans="1:29">
      <c r="A422" s="10">
        <v>45712</v>
      </c>
      <c r="B422" s="12">
        <v>380.66</v>
      </c>
      <c r="C422" s="12">
        <v>316.57</v>
      </c>
      <c r="D422" s="12">
        <v>313.45999999999998</v>
      </c>
      <c r="E422" s="12">
        <v>297.74</v>
      </c>
      <c r="F422" s="12">
        <v>295.8</v>
      </c>
      <c r="G422" s="12">
        <v>296.06</v>
      </c>
      <c r="H422" s="12">
        <v>332.95</v>
      </c>
      <c r="I422" s="12">
        <v>379.81</v>
      </c>
      <c r="J422" s="12">
        <v>533.51</v>
      </c>
      <c r="K422" s="12">
        <v>367.69</v>
      </c>
      <c r="L422" s="12">
        <v>420.5</v>
      </c>
      <c r="M422" s="12">
        <v>445.35</v>
      </c>
      <c r="N422" s="12">
        <v>195.91</v>
      </c>
      <c r="O422" s="12">
        <v>236.14</v>
      </c>
      <c r="P422" s="12">
        <v>297.29000000000002</v>
      </c>
      <c r="Q422" s="12">
        <v>295.99</v>
      </c>
      <c r="R422" s="12">
        <v>330.39</v>
      </c>
      <c r="S422" s="12">
        <v>330.27</v>
      </c>
      <c r="T422" s="12">
        <v>372.89</v>
      </c>
      <c r="U422" s="12">
        <v>521.16</v>
      </c>
      <c r="V422" s="12">
        <v>409.27</v>
      </c>
      <c r="W422" s="12">
        <v>487.18</v>
      </c>
      <c r="X422" s="12">
        <v>487.81</v>
      </c>
      <c r="Y422" s="12">
        <v>342.24</v>
      </c>
      <c r="AA422" s="17">
        <f>MAX($B$422:$Y$422)</f>
        <v>533.51</v>
      </c>
      <c r="AB422" s="17">
        <f>MIN($B$422:$Y$422)</f>
        <v>195.91</v>
      </c>
      <c r="AC422" s="17">
        <f>AVERAGE($B$422:$Y$422)</f>
        <v>361.94333333333299</v>
      </c>
    </row>
    <row r="423" spans="1:29">
      <c r="A423" s="10">
        <v>45713</v>
      </c>
      <c r="B423" s="12">
        <v>449.9</v>
      </c>
      <c r="C423" s="12">
        <v>364.78</v>
      </c>
      <c r="D423" s="12">
        <v>336.24</v>
      </c>
      <c r="E423" s="12">
        <v>339.73</v>
      </c>
      <c r="F423" s="12">
        <v>326.23</v>
      </c>
      <c r="G423" s="12">
        <v>332.59</v>
      </c>
      <c r="H423" s="12">
        <v>367.53</v>
      </c>
      <c r="I423" s="12">
        <v>451.11</v>
      </c>
      <c r="J423" s="12">
        <v>394.97</v>
      </c>
      <c r="K423" s="12">
        <v>517.33000000000004</v>
      </c>
      <c r="L423" s="12">
        <v>430.75</v>
      </c>
      <c r="M423" s="12">
        <v>557.61</v>
      </c>
      <c r="N423" s="12">
        <v>336.23</v>
      </c>
      <c r="O423" s="12">
        <v>406.52</v>
      </c>
      <c r="P423" s="12">
        <v>417.12</v>
      </c>
      <c r="Q423" s="12">
        <v>401.14</v>
      </c>
      <c r="R423" s="12">
        <v>743.74</v>
      </c>
      <c r="S423" s="12">
        <v>615.58000000000004</v>
      </c>
      <c r="T423" s="12">
        <v>590.62</v>
      </c>
      <c r="U423" s="12">
        <v>665.35</v>
      </c>
      <c r="V423" s="12">
        <v>657.32</v>
      </c>
      <c r="W423" s="12">
        <v>613.63</v>
      </c>
      <c r="X423" s="12">
        <v>660.07</v>
      </c>
      <c r="Y423" s="12">
        <v>408.56</v>
      </c>
      <c r="AA423" s="17">
        <f>MAX($B$423:$Y$423)</f>
        <v>743.74</v>
      </c>
      <c r="AB423" s="17">
        <f>MIN($B$423:$Y$423)</f>
        <v>326.23</v>
      </c>
      <c r="AC423" s="17">
        <f>AVERAGE($B$423:$Y$423)</f>
        <v>474.36041666666699</v>
      </c>
    </row>
    <row r="424" spans="1:29">
      <c r="A424" s="10">
        <v>45714</v>
      </c>
      <c r="B424" s="12">
        <v>532.36</v>
      </c>
      <c r="C424" s="12">
        <v>639.38</v>
      </c>
      <c r="D424" s="12">
        <v>516.79999999999995</v>
      </c>
      <c r="E424" s="12">
        <v>401.1</v>
      </c>
      <c r="F424" s="12">
        <v>345.53</v>
      </c>
      <c r="G424" s="12">
        <v>340.69</v>
      </c>
      <c r="H424" s="12">
        <v>444.73</v>
      </c>
      <c r="I424" s="12">
        <v>482.49</v>
      </c>
      <c r="J424" s="12">
        <v>635.99</v>
      </c>
      <c r="K424" s="12">
        <v>609.78</v>
      </c>
      <c r="L424" s="12">
        <v>603.85</v>
      </c>
      <c r="M424" s="12">
        <v>682.91</v>
      </c>
      <c r="N424" s="12">
        <v>335.11</v>
      </c>
      <c r="O424" s="12">
        <v>433.68</v>
      </c>
      <c r="P424" s="12">
        <v>438.26</v>
      </c>
      <c r="Q424" s="12">
        <v>372.14</v>
      </c>
      <c r="R424" s="12">
        <v>446.13</v>
      </c>
      <c r="S424" s="12">
        <v>568.57000000000005</v>
      </c>
      <c r="T424" s="12">
        <v>527.07000000000005</v>
      </c>
      <c r="U424" s="12">
        <v>598.01</v>
      </c>
      <c r="V424" s="12">
        <v>559.59</v>
      </c>
      <c r="W424" s="12">
        <v>553.84</v>
      </c>
      <c r="X424" s="12">
        <v>547.82000000000005</v>
      </c>
      <c r="Y424" s="12">
        <v>343.89</v>
      </c>
      <c r="AA424" s="17">
        <f>MAX($B$424:$Y$424)</f>
        <v>682.91</v>
      </c>
      <c r="AB424" s="17">
        <f>MIN($B$424:$Y$424)</f>
        <v>335.11</v>
      </c>
      <c r="AC424" s="17">
        <f>AVERAGE($B$424:$Y$424)</f>
        <v>498.321666666667</v>
      </c>
    </row>
    <row r="425" spans="1:29">
      <c r="A425" s="10">
        <v>45715</v>
      </c>
      <c r="B425" s="12">
        <v>442.54</v>
      </c>
      <c r="C425" s="12">
        <v>399.75</v>
      </c>
      <c r="D425" s="12">
        <v>346.18</v>
      </c>
      <c r="E425" s="12">
        <v>337.41</v>
      </c>
      <c r="F425" s="12">
        <v>330.63</v>
      </c>
      <c r="G425" s="12">
        <v>320.07</v>
      </c>
      <c r="H425" s="12">
        <v>366.82</v>
      </c>
      <c r="I425" s="12">
        <v>391.34</v>
      </c>
      <c r="J425" s="12">
        <v>584.66999999999996</v>
      </c>
      <c r="K425" s="12">
        <v>460.52</v>
      </c>
      <c r="L425" s="12">
        <v>372.07</v>
      </c>
      <c r="M425" s="12">
        <v>351.08</v>
      </c>
      <c r="N425" s="12">
        <v>242.49</v>
      </c>
      <c r="O425" s="12">
        <v>293.94</v>
      </c>
      <c r="P425" s="12">
        <v>313.12</v>
      </c>
      <c r="Q425" s="12">
        <v>312.10000000000002</v>
      </c>
      <c r="R425" s="12">
        <v>325.14999999999998</v>
      </c>
      <c r="S425" s="12">
        <v>367.16</v>
      </c>
      <c r="T425" s="12">
        <v>451.59</v>
      </c>
      <c r="U425" s="12">
        <v>473.35</v>
      </c>
      <c r="V425" s="12">
        <v>427.73</v>
      </c>
      <c r="W425" s="12">
        <v>403.52</v>
      </c>
      <c r="X425" s="12">
        <v>361.23</v>
      </c>
      <c r="Y425" s="12">
        <v>329.15</v>
      </c>
      <c r="AA425" s="17">
        <f>MAX($B$425:$Y$425)</f>
        <v>584.66999999999996</v>
      </c>
      <c r="AB425" s="17">
        <f>MIN($B$425:$Y$425)</f>
        <v>242.49</v>
      </c>
      <c r="AC425" s="17">
        <f>AVERAGE($B$425:$Y$425)</f>
        <v>375.15041666666701</v>
      </c>
    </row>
    <row r="426" spans="1:29">
      <c r="A426" s="10">
        <v>45716</v>
      </c>
      <c r="B426" s="12">
        <v>358.72</v>
      </c>
      <c r="C426" s="12">
        <v>350.82</v>
      </c>
      <c r="D426" s="12">
        <v>342</v>
      </c>
      <c r="E426" s="12">
        <v>330.51</v>
      </c>
      <c r="F426" s="12">
        <v>317.3</v>
      </c>
      <c r="G426" s="12">
        <v>308.91000000000003</v>
      </c>
      <c r="H426" s="12">
        <v>324.72000000000003</v>
      </c>
      <c r="I426" s="12">
        <v>365.41</v>
      </c>
      <c r="J426" s="12">
        <v>378.96</v>
      </c>
      <c r="K426" s="12">
        <v>342.7</v>
      </c>
      <c r="L426" s="12">
        <v>317.22000000000003</v>
      </c>
      <c r="M426" s="12">
        <v>306.02</v>
      </c>
      <c r="N426" s="12">
        <v>163.07</v>
      </c>
      <c r="O426" s="12">
        <v>257.94</v>
      </c>
      <c r="P426" s="12">
        <v>216.15</v>
      </c>
      <c r="Q426" s="12">
        <v>174.56</v>
      </c>
      <c r="R426" s="12">
        <v>322.91000000000003</v>
      </c>
      <c r="S426" s="12">
        <v>343.99</v>
      </c>
      <c r="T426" s="12">
        <v>353.81</v>
      </c>
      <c r="U426" s="12">
        <v>378.62</v>
      </c>
      <c r="V426" s="12">
        <v>368.24</v>
      </c>
      <c r="W426" s="12">
        <v>354.27</v>
      </c>
      <c r="X426" s="12">
        <v>351.8</v>
      </c>
      <c r="Y426" s="12">
        <v>329.13</v>
      </c>
      <c r="AA426" s="17">
        <f>MAX($B$426:$Y$426)</f>
        <v>378.96</v>
      </c>
      <c r="AB426" s="17">
        <f>MIN($B$426:$Y$426)</f>
        <v>163.07</v>
      </c>
      <c r="AC426" s="17">
        <f>AVERAGE($B$426:$Y$426)</f>
        <v>319.074166666667</v>
      </c>
    </row>
    <row r="427" spans="1:29">
      <c r="A427" s="10">
        <v>45717</v>
      </c>
      <c r="B427" s="12">
        <v>355.63</v>
      </c>
      <c r="C427" s="12">
        <v>336.5</v>
      </c>
      <c r="D427" s="12">
        <v>321.43</v>
      </c>
      <c r="E427" s="12">
        <v>312.08</v>
      </c>
      <c r="F427" s="12">
        <v>309.58</v>
      </c>
      <c r="G427" s="12">
        <v>306.45</v>
      </c>
      <c r="H427" s="12">
        <v>313.87</v>
      </c>
      <c r="I427" s="12">
        <v>332.14</v>
      </c>
      <c r="J427" s="12">
        <v>359.82</v>
      </c>
      <c r="K427" s="12">
        <v>340.34</v>
      </c>
      <c r="L427" s="12">
        <v>343.01</v>
      </c>
      <c r="M427" s="12">
        <v>327.36</v>
      </c>
      <c r="N427" s="12">
        <v>285.94</v>
      </c>
      <c r="O427" s="12">
        <v>297.56</v>
      </c>
      <c r="P427" s="12">
        <v>262.37</v>
      </c>
      <c r="Q427" s="12">
        <v>162.16</v>
      </c>
      <c r="R427" s="12">
        <v>186.83</v>
      </c>
      <c r="S427" s="12">
        <v>347.74</v>
      </c>
      <c r="T427" s="12">
        <v>399.67</v>
      </c>
      <c r="U427" s="12">
        <v>691.72</v>
      </c>
      <c r="V427" s="12">
        <v>496.45</v>
      </c>
      <c r="W427" s="12">
        <v>481.43</v>
      </c>
      <c r="X427" s="12">
        <v>348.15</v>
      </c>
      <c r="Y427" s="12">
        <v>279.08999999999997</v>
      </c>
      <c r="AA427" s="17">
        <f>MAX($B$427:$Y$427)</f>
        <v>691.72</v>
      </c>
      <c r="AB427" s="17">
        <f>MIN($B$427:$Y$427)</f>
        <v>162.16</v>
      </c>
      <c r="AC427" s="17">
        <f>AVERAGE($B$427:$Y$427)</f>
        <v>341.55500000000001</v>
      </c>
    </row>
    <row r="428" spans="1:29">
      <c r="A428" s="10">
        <v>45718</v>
      </c>
      <c r="B428" s="12">
        <v>348.52</v>
      </c>
      <c r="C428" s="12">
        <v>318.56</v>
      </c>
      <c r="D428" s="12">
        <v>304.33</v>
      </c>
      <c r="E428" s="12">
        <v>303.45999999999998</v>
      </c>
      <c r="F428" s="12">
        <v>210.49</v>
      </c>
      <c r="G428" s="12">
        <v>281.16000000000003</v>
      </c>
      <c r="H428" s="12">
        <v>290.97000000000003</v>
      </c>
      <c r="I428" s="12">
        <v>298.70999999999998</v>
      </c>
      <c r="J428" s="12">
        <v>299.35000000000002</v>
      </c>
      <c r="K428" s="12">
        <v>283.3</v>
      </c>
      <c r="L428" s="12">
        <v>291.26</v>
      </c>
      <c r="M428" s="12">
        <v>284.20999999999998</v>
      </c>
      <c r="N428" s="12">
        <v>189.41</v>
      </c>
      <c r="O428" s="12">
        <v>294.33</v>
      </c>
      <c r="P428" s="12">
        <v>56.08</v>
      </c>
      <c r="Q428" s="12">
        <v>214.92</v>
      </c>
      <c r="R428" s="12">
        <v>300.77</v>
      </c>
      <c r="S428" s="12">
        <v>331.84</v>
      </c>
      <c r="T428" s="12">
        <v>373.49</v>
      </c>
      <c r="U428" s="12">
        <v>425.21</v>
      </c>
      <c r="V428" s="12">
        <v>446.57</v>
      </c>
      <c r="W428" s="12">
        <v>418.89</v>
      </c>
      <c r="X428" s="12">
        <v>356.53</v>
      </c>
      <c r="Y428" s="12">
        <v>307.41000000000003</v>
      </c>
      <c r="AA428" s="17">
        <f>MAX($B$428:$Y$428)</f>
        <v>446.57</v>
      </c>
      <c r="AB428" s="17">
        <f>MIN($B$428:$Y$428)</f>
        <v>56.08</v>
      </c>
      <c r="AC428" s="17">
        <f>AVERAGE($B$428:$Y$428)</f>
        <v>301.24041666666699</v>
      </c>
    </row>
    <row r="429" spans="1:29">
      <c r="A429" s="10">
        <v>45719</v>
      </c>
      <c r="B429" s="12">
        <v>284.72000000000003</v>
      </c>
      <c r="C429" s="12">
        <v>319.57</v>
      </c>
      <c r="D429" s="12">
        <v>313.45999999999998</v>
      </c>
      <c r="E429" s="12">
        <v>304.58</v>
      </c>
      <c r="F429" s="12">
        <v>303.93</v>
      </c>
      <c r="G429" s="12">
        <v>312.37</v>
      </c>
      <c r="H429" s="12">
        <v>341.79</v>
      </c>
      <c r="I429" s="12">
        <v>358.86</v>
      </c>
      <c r="J429" s="12">
        <v>678.24</v>
      </c>
      <c r="K429" s="12">
        <v>647.88</v>
      </c>
      <c r="L429" s="12">
        <v>487.78</v>
      </c>
      <c r="M429" s="12">
        <v>577.92999999999995</v>
      </c>
      <c r="N429" s="12">
        <v>374.18</v>
      </c>
      <c r="O429" s="12">
        <v>448.43</v>
      </c>
      <c r="P429" s="12">
        <v>456.5</v>
      </c>
      <c r="Q429" s="12">
        <v>478.57</v>
      </c>
      <c r="R429" s="12">
        <v>562.84</v>
      </c>
      <c r="S429" s="12">
        <v>649.45000000000005</v>
      </c>
      <c r="T429" s="12">
        <v>616.71</v>
      </c>
      <c r="U429" s="12">
        <v>669</v>
      </c>
      <c r="V429" s="12">
        <v>631.94000000000005</v>
      </c>
      <c r="W429" s="12">
        <v>489.63</v>
      </c>
      <c r="X429" s="12">
        <v>399.16</v>
      </c>
      <c r="Y429" s="12">
        <v>337.81</v>
      </c>
      <c r="AA429" s="17">
        <f>MAX($B$429:$Y$429)</f>
        <v>678.24</v>
      </c>
      <c r="AB429" s="17">
        <f>MIN($B$429:$Y$429)</f>
        <v>284.72000000000003</v>
      </c>
      <c r="AC429" s="17">
        <f>AVERAGE($B$429:$Y$429)</f>
        <v>460.22208333333299</v>
      </c>
    </row>
    <row r="430" spans="1:29">
      <c r="A430" s="10">
        <v>45720</v>
      </c>
      <c r="B430" s="12">
        <v>510.92</v>
      </c>
      <c r="C430" s="12">
        <v>430.89</v>
      </c>
      <c r="D430" s="12">
        <v>353.06</v>
      </c>
      <c r="E430" s="12">
        <v>338.49</v>
      </c>
      <c r="F430" s="12">
        <v>325.72000000000003</v>
      </c>
      <c r="G430" s="12">
        <v>326.47000000000003</v>
      </c>
      <c r="H430" s="12">
        <v>384.94</v>
      </c>
      <c r="I430" s="12">
        <v>418.8</v>
      </c>
      <c r="J430" s="12">
        <v>590.25</v>
      </c>
      <c r="K430" s="12">
        <v>647.70000000000005</v>
      </c>
      <c r="L430" s="12">
        <v>759.85</v>
      </c>
      <c r="M430" s="12">
        <v>822.47</v>
      </c>
      <c r="N430" s="12">
        <v>462.83</v>
      </c>
      <c r="O430" s="12">
        <v>644.26</v>
      </c>
      <c r="P430" s="12">
        <v>506.61</v>
      </c>
      <c r="Q430" s="12">
        <v>491.35</v>
      </c>
      <c r="R430" s="12">
        <v>499.99</v>
      </c>
      <c r="S430" s="12">
        <v>483.87</v>
      </c>
      <c r="T430" s="12">
        <v>481.54</v>
      </c>
      <c r="U430" s="12">
        <v>510.07</v>
      </c>
      <c r="V430" s="12">
        <v>488.52</v>
      </c>
      <c r="W430" s="12">
        <v>473.46</v>
      </c>
      <c r="X430" s="12">
        <v>447.98</v>
      </c>
      <c r="Y430" s="12">
        <v>315.95999999999998</v>
      </c>
      <c r="AA430" s="17">
        <f>MAX($B$430:$Y$430)</f>
        <v>822.47</v>
      </c>
      <c r="AB430" s="17">
        <f>MIN($B$430:$Y$430)</f>
        <v>315.95999999999998</v>
      </c>
      <c r="AC430" s="17">
        <f>AVERAGE($B$430:$Y$430)</f>
        <v>488.16666666666703</v>
      </c>
    </row>
    <row r="431" spans="1:29">
      <c r="A431" s="10">
        <v>45721</v>
      </c>
      <c r="B431" s="12">
        <v>394.15</v>
      </c>
      <c r="C431" s="12">
        <v>344.34</v>
      </c>
      <c r="D431" s="12">
        <v>319.55</v>
      </c>
      <c r="E431" s="12">
        <v>302.49</v>
      </c>
      <c r="F431" s="12">
        <v>291.17</v>
      </c>
      <c r="G431" s="12">
        <v>283.83999999999997</v>
      </c>
      <c r="H431" s="12">
        <v>306.8</v>
      </c>
      <c r="I431" s="12">
        <v>335.56</v>
      </c>
      <c r="J431" s="12">
        <v>518.53</v>
      </c>
      <c r="K431" s="12">
        <v>459.08</v>
      </c>
      <c r="L431" s="12">
        <v>358.51</v>
      </c>
      <c r="M431" s="12">
        <v>437.26</v>
      </c>
      <c r="N431" s="12">
        <v>340.13</v>
      </c>
      <c r="O431" s="12">
        <v>423.22</v>
      </c>
      <c r="P431" s="12">
        <v>352.84</v>
      </c>
      <c r="Q431" s="12">
        <v>354.18</v>
      </c>
      <c r="R431" s="12">
        <v>398.65</v>
      </c>
      <c r="S431" s="12">
        <v>386.79</v>
      </c>
      <c r="T431" s="12">
        <v>368.68</v>
      </c>
      <c r="U431" s="12">
        <v>410.6</v>
      </c>
      <c r="V431" s="12">
        <v>390.24</v>
      </c>
      <c r="W431" s="12">
        <v>367.27</v>
      </c>
      <c r="X431" s="12">
        <v>350.54</v>
      </c>
      <c r="Y431" s="12">
        <v>302.17</v>
      </c>
      <c r="AA431" s="17">
        <f>MAX($B$431:$Y$431)</f>
        <v>518.53</v>
      </c>
      <c r="AB431" s="17">
        <f>MIN($B$431:$Y$431)</f>
        <v>283.83999999999997</v>
      </c>
      <c r="AC431" s="17">
        <f>AVERAGE($B$431:$Y$431)</f>
        <v>366.524583333333</v>
      </c>
    </row>
    <row r="432" spans="1:29">
      <c r="A432" s="10">
        <v>45722</v>
      </c>
      <c r="B432" s="12">
        <v>471.8</v>
      </c>
      <c r="C432" s="12">
        <v>273.83999999999997</v>
      </c>
      <c r="D432" s="12">
        <v>247.51</v>
      </c>
      <c r="E432" s="12">
        <v>229.42</v>
      </c>
      <c r="F432" s="12">
        <v>229.82</v>
      </c>
      <c r="G432" s="12">
        <v>244.21</v>
      </c>
      <c r="H432" s="12">
        <v>288</v>
      </c>
      <c r="I432" s="12">
        <v>321.7</v>
      </c>
      <c r="J432" s="12">
        <v>443.34</v>
      </c>
      <c r="K432" s="12">
        <v>423.95</v>
      </c>
      <c r="L432" s="12">
        <v>405.58</v>
      </c>
      <c r="M432" s="12">
        <v>404.83</v>
      </c>
      <c r="N432" s="12">
        <v>325.17</v>
      </c>
      <c r="O432" s="12">
        <v>381.77</v>
      </c>
      <c r="P432" s="12">
        <v>347.36</v>
      </c>
      <c r="Q432" s="12">
        <v>386.37</v>
      </c>
      <c r="R432" s="12">
        <v>486.97</v>
      </c>
      <c r="S432" s="12">
        <v>506.26</v>
      </c>
      <c r="T432" s="12">
        <v>494.77</v>
      </c>
      <c r="U432" s="12">
        <v>555.38</v>
      </c>
      <c r="V432" s="12">
        <v>660.64</v>
      </c>
      <c r="W432" s="12">
        <v>546.38</v>
      </c>
      <c r="X432" s="12">
        <v>491.94</v>
      </c>
      <c r="Y432" s="12">
        <v>298.19</v>
      </c>
      <c r="AA432" s="17">
        <f>MAX($B$432:$Y$432)</f>
        <v>660.64</v>
      </c>
      <c r="AB432" s="17">
        <f>MIN($B$432:$Y$432)</f>
        <v>229.42</v>
      </c>
      <c r="AC432" s="17">
        <f>AVERAGE($B$432:$Y$432)</f>
        <v>394.38333333333298</v>
      </c>
    </row>
    <row r="433" spans="1:29">
      <c r="A433" s="10">
        <v>45723</v>
      </c>
      <c r="B433" s="12">
        <v>332.99</v>
      </c>
      <c r="C433" s="12">
        <v>290.13</v>
      </c>
      <c r="D433" s="12">
        <v>316.58</v>
      </c>
      <c r="E433" s="12">
        <v>299.69</v>
      </c>
      <c r="F433" s="12">
        <v>272.49</v>
      </c>
      <c r="G433" s="12">
        <v>276.32</v>
      </c>
      <c r="H433" s="12">
        <v>340.83</v>
      </c>
      <c r="I433" s="12">
        <v>401.93</v>
      </c>
      <c r="J433" s="12">
        <v>475.87</v>
      </c>
      <c r="K433" s="12">
        <v>648.46</v>
      </c>
      <c r="L433" s="12">
        <v>544.61</v>
      </c>
      <c r="M433" s="12">
        <v>649.28</v>
      </c>
      <c r="N433" s="12">
        <v>396.56</v>
      </c>
      <c r="O433" s="12">
        <v>543.66</v>
      </c>
      <c r="P433" s="12">
        <v>502.08</v>
      </c>
      <c r="Q433" s="12">
        <v>472.6</v>
      </c>
      <c r="R433" s="12">
        <v>536.72</v>
      </c>
      <c r="S433" s="12">
        <v>550.35</v>
      </c>
      <c r="T433" s="12">
        <v>554.48</v>
      </c>
      <c r="U433" s="12">
        <v>666.65</v>
      </c>
      <c r="V433" s="12">
        <v>553.87</v>
      </c>
      <c r="W433" s="12">
        <v>543.47</v>
      </c>
      <c r="X433" s="12">
        <v>441.64</v>
      </c>
      <c r="Y433" s="12">
        <v>408.04</v>
      </c>
      <c r="AA433" s="17">
        <f>MAX($B$433:$Y$433)</f>
        <v>666.65</v>
      </c>
      <c r="AB433" s="17">
        <f>MIN($B$433:$Y$433)</f>
        <v>272.49</v>
      </c>
      <c r="AC433" s="17">
        <f>AVERAGE($B$433:$Y$433)</f>
        <v>459.13749999999999</v>
      </c>
    </row>
    <row r="434" spans="1:29">
      <c r="A434" s="10">
        <v>45724</v>
      </c>
      <c r="B434" s="12">
        <v>474.08</v>
      </c>
      <c r="C434" s="12">
        <v>511.55</v>
      </c>
      <c r="D434" s="12">
        <v>412.64</v>
      </c>
      <c r="E434" s="12">
        <v>355.65</v>
      </c>
      <c r="F434" s="12">
        <v>347.67</v>
      </c>
      <c r="G434" s="12">
        <v>349.04</v>
      </c>
      <c r="H434" s="12">
        <v>356.74</v>
      </c>
      <c r="I434" s="12">
        <v>483.29</v>
      </c>
      <c r="J434" s="12">
        <v>515.07000000000005</v>
      </c>
      <c r="K434" s="12">
        <v>580.76</v>
      </c>
      <c r="L434" s="12">
        <v>427</v>
      </c>
      <c r="M434" s="12">
        <v>375.56</v>
      </c>
      <c r="N434" s="12">
        <v>298.52999999999997</v>
      </c>
      <c r="O434" s="12">
        <v>327.62</v>
      </c>
      <c r="P434" s="12">
        <v>304.47000000000003</v>
      </c>
      <c r="Q434" s="12">
        <v>312.58</v>
      </c>
      <c r="R434" s="12">
        <v>330.16</v>
      </c>
      <c r="S434" s="12">
        <v>335.78</v>
      </c>
      <c r="T434" s="12">
        <v>348.43</v>
      </c>
      <c r="U434" s="12">
        <v>384.3</v>
      </c>
      <c r="V434" s="12">
        <v>366.49</v>
      </c>
      <c r="W434" s="12">
        <v>371.15</v>
      </c>
      <c r="X434" s="12">
        <v>403.61</v>
      </c>
      <c r="Y434" s="12">
        <v>362.18</v>
      </c>
      <c r="AA434" s="17">
        <f>MAX($B$434:$Y$434)</f>
        <v>580.76</v>
      </c>
      <c r="AB434" s="17">
        <f>MIN($B$434:$Y$434)</f>
        <v>298.52999999999997</v>
      </c>
      <c r="AC434" s="17">
        <f>AVERAGE($B$434:$Y$434)</f>
        <v>388.93124999999998</v>
      </c>
    </row>
    <row r="435" spans="1:29">
      <c r="A435" s="10">
        <v>45725</v>
      </c>
      <c r="B435" s="12">
        <v>424.36</v>
      </c>
      <c r="C435" s="12">
        <v>433.16</v>
      </c>
      <c r="D435" s="12">
        <v>384.94</v>
      </c>
      <c r="E435" s="12">
        <v>332.32</v>
      </c>
      <c r="F435" s="12">
        <v>314.98</v>
      </c>
      <c r="G435" s="12">
        <v>316.92</v>
      </c>
      <c r="H435" s="12">
        <v>316.95999999999998</v>
      </c>
      <c r="I435" s="12">
        <v>237.47</v>
      </c>
      <c r="J435" s="12">
        <v>192.58</v>
      </c>
      <c r="K435" s="12">
        <v>196.82</v>
      </c>
      <c r="L435" s="12">
        <v>199.59</v>
      </c>
      <c r="M435" s="12">
        <v>114.65</v>
      </c>
      <c r="N435" s="12">
        <v>36.24</v>
      </c>
      <c r="O435" s="12">
        <v>35.049999999999997</v>
      </c>
      <c r="P435" s="12">
        <v>44.95</v>
      </c>
      <c r="Q435" s="12">
        <v>93.11</v>
      </c>
      <c r="R435" s="12">
        <v>303.06</v>
      </c>
      <c r="S435" s="12">
        <v>344.96</v>
      </c>
      <c r="T435" s="12">
        <v>385.72</v>
      </c>
      <c r="U435" s="12">
        <v>555.63</v>
      </c>
      <c r="V435" s="12">
        <v>515.17999999999995</v>
      </c>
      <c r="W435" s="12">
        <v>497.77</v>
      </c>
      <c r="X435" s="12">
        <v>439.3</v>
      </c>
      <c r="Y435" s="12">
        <v>304.72000000000003</v>
      </c>
      <c r="AA435" s="17">
        <f>MAX($B$435:$Y$435)</f>
        <v>555.63</v>
      </c>
      <c r="AB435" s="17">
        <f>MIN($B$435:$Y$435)</f>
        <v>35.049999999999997</v>
      </c>
      <c r="AC435" s="17">
        <f>AVERAGE($B$435:$Y$435)</f>
        <v>292.51833333333298</v>
      </c>
    </row>
    <row r="436" spans="1:29">
      <c r="A436" s="10">
        <v>45726</v>
      </c>
      <c r="B436" s="12">
        <v>322.45999999999998</v>
      </c>
      <c r="C436" s="12">
        <v>311.49</v>
      </c>
      <c r="D436" s="12">
        <v>295.20999999999998</v>
      </c>
      <c r="E436" s="12">
        <v>297.73</v>
      </c>
      <c r="F436" s="12">
        <v>290.45999999999998</v>
      </c>
      <c r="G436" s="12">
        <v>287.47000000000003</v>
      </c>
      <c r="H436" s="12">
        <v>337.81</v>
      </c>
      <c r="I436" s="12">
        <v>383.16</v>
      </c>
      <c r="J436" s="12">
        <v>463</v>
      </c>
      <c r="K436" s="12">
        <v>378.41</v>
      </c>
      <c r="L436" s="12">
        <v>262.13</v>
      </c>
      <c r="M436" s="12">
        <v>301.33999999999997</v>
      </c>
      <c r="N436" s="12">
        <v>90.12</v>
      </c>
      <c r="O436" s="12">
        <v>187.15</v>
      </c>
      <c r="P436" s="12">
        <v>251.21</v>
      </c>
      <c r="Q436" s="12">
        <v>310.24</v>
      </c>
      <c r="R436" s="12">
        <v>330.69</v>
      </c>
      <c r="S436" s="12">
        <v>310.13</v>
      </c>
      <c r="T436" s="12">
        <v>344.14</v>
      </c>
      <c r="U436" s="12">
        <v>374.16</v>
      </c>
      <c r="V436" s="12">
        <v>359.41</v>
      </c>
      <c r="W436" s="12">
        <v>350.61</v>
      </c>
      <c r="X436" s="12">
        <v>357.31</v>
      </c>
      <c r="Y436" s="12">
        <v>304.54000000000002</v>
      </c>
      <c r="AA436" s="17">
        <f>MAX($B$436:$Y$436)</f>
        <v>463</v>
      </c>
      <c r="AB436" s="17">
        <f>MIN($B$436:$Y$436)</f>
        <v>90.12</v>
      </c>
      <c r="AC436" s="17">
        <f>AVERAGE($B$436:$Y$436)</f>
        <v>312.51583333333298</v>
      </c>
    </row>
    <row r="437" spans="1:29">
      <c r="A437" s="10">
        <v>45727</v>
      </c>
      <c r="B437" s="12">
        <v>360.21</v>
      </c>
      <c r="C437" s="12">
        <v>323.61</v>
      </c>
      <c r="D437" s="12">
        <v>309.63</v>
      </c>
      <c r="E437" s="12">
        <v>300.95</v>
      </c>
      <c r="F437" s="12">
        <v>289.85000000000002</v>
      </c>
      <c r="G437" s="12">
        <v>301.97000000000003</v>
      </c>
      <c r="H437" s="12">
        <v>337.58</v>
      </c>
      <c r="I437" s="12">
        <v>361.92</v>
      </c>
      <c r="J437" s="12">
        <v>392.08</v>
      </c>
      <c r="K437" s="12">
        <v>365.32</v>
      </c>
      <c r="L437" s="12">
        <v>245.43</v>
      </c>
      <c r="M437" s="12">
        <v>309.89</v>
      </c>
      <c r="N437" s="12">
        <v>140.81</v>
      </c>
      <c r="O437" s="12">
        <v>305.08999999999997</v>
      </c>
      <c r="P437" s="12">
        <v>338.43</v>
      </c>
      <c r="Q437" s="12">
        <v>340.62</v>
      </c>
      <c r="R437" s="12">
        <v>396.77</v>
      </c>
      <c r="S437" s="12">
        <v>375.24</v>
      </c>
      <c r="T437" s="12">
        <v>396.72</v>
      </c>
      <c r="U437" s="12">
        <v>466.55</v>
      </c>
      <c r="V437" s="12">
        <v>423.92</v>
      </c>
      <c r="W437" s="12">
        <v>385.26</v>
      </c>
      <c r="X437" s="12">
        <v>358.88</v>
      </c>
      <c r="Y437" s="12">
        <v>326.72000000000003</v>
      </c>
      <c r="AA437" s="17">
        <f>MAX($B$437:$Y$437)</f>
        <v>466.55</v>
      </c>
      <c r="AB437" s="17">
        <f>MIN($B$437:$Y$437)</f>
        <v>140.81</v>
      </c>
      <c r="AC437" s="17">
        <f>AVERAGE($B$437:$Y$437)</f>
        <v>339.72708333333298</v>
      </c>
    </row>
    <row r="438" spans="1:29">
      <c r="A438" s="10">
        <v>45728</v>
      </c>
      <c r="B438" s="12">
        <v>344.84</v>
      </c>
      <c r="C438" s="12">
        <v>354.61</v>
      </c>
      <c r="D438" s="12">
        <v>333.39</v>
      </c>
      <c r="E438" s="12">
        <v>323.05</v>
      </c>
      <c r="F438" s="12">
        <v>308.25</v>
      </c>
      <c r="G438" s="12">
        <v>330.34</v>
      </c>
      <c r="H438" s="12">
        <v>375.91</v>
      </c>
      <c r="I438" s="12">
        <v>375.71</v>
      </c>
      <c r="J438" s="12">
        <v>385.8</v>
      </c>
      <c r="K438" s="12">
        <v>464.73</v>
      </c>
      <c r="L438" s="12">
        <v>364.72</v>
      </c>
      <c r="M438" s="12">
        <v>361.29</v>
      </c>
      <c r="N438" s="12">
        <v>256.99</v>
      </c>
      <c r="O438" s="12">
        <v>343.88</v>
      </c>
      <c r="P438" s="12">
        <v>330.1</v>
      </c>
      <c r="Q438" s="12">
        <v>368.26</v>
      </c>
      <c r="R438" s="12">
        <v>459.59</v>
      </c>
      <c r="S438" s="12">
        <v>545.27</v>
      </c>
      <c r="T438" s="12">
        <v>465.83</v>
      </c>
      <c r="U438" s="12">
        <v>478.03</v>
      </c>
      <c r="V438" s="12">
        <v>407.71</v>
      </c>
      <c r="W438" s="12">
        <v>391.31</v>
      </c>
      <c r="X438" s="12">
        <v>378.87</v>
      </c>
      <c r="Y438" s="12">
        <v>346.54</v>
      </c>
      <c r="AA438" s="17">
        <f>MAX($B$438:$Y$438)</f>
        <v>545.27</v>
      </c>
      <c r="AB438" s="17">
        <f>MIN($B$438:$Y$438)</f>
        <v>256.99</v>
      </c>
      <c r="AC438" s="17">
        <f>AVERAGE($B$438:$Y$438)</f>
        <v>378.95916666666699</v>
      </c>
    </row>
    <row r="439" spans="1:29">
      <c r="A439" s="10">
        <v>45729</v>
      </c>
      <c r="B439" s="12">
        <v>451.39</v>
      </c>
      <c r="C439" s="12">
        <v>474.15</v>
      </c>
      <c r="D439" s="12">
        <v>402.92</v>
      </c>
      <c r="E439" s="12">
        <v>385.99</v>
      </c>
      <c r="F439" s="12">
        <v>364.38</v>
      </c>
      <c r="G439" s="12">
        <v>356.25</v>
      </c>
      <c r="H439" s="12">
        <v>458.42</v>
      </c>
      <c r="I439" s="12">
        <v>455.72</v>
      </c>
      <c r="J439" s="12">
        <v>383.19</v>
      </c>
      <c r="K439" s="12">
        <v>386.78</v>
      </c>
      <c r="L439" s="12">
        <v>370.11</v>
      </c>
      <c r="M439" s="12">
        <v>393</v>
      </c>
      <c r="N439" s="12">
        <v>322.33</v>
      </c>
      <c r="O439" s="12">
        <v>352.47</v>
      </c>
      <c r="P439" s="12">
        <v>352.04</v>
      </c>
      <c r="Q439" s="12">
        <v>371.17</v>
      </c>
      <c r="R439" s="12">
        <v>412.11</v>
      </c>
      <c r="S439" s="12">
        <v>398.07</v>
      </c>
      <c r="T439" s="12">
        <v>488.52</v>
      </c>
      <c r="U439" s="12">
        <v>509.83</v>
      </c>
      <c r="V439" s="12">
        <v>526.9</v>
      </c>
      <c r="W439" s="12">
        <v>529.66</v>
      </c>
      <c r="X439" s="12">
        <v>497.11</v>
      </c>
      <c r="Y439" s="12">
        <v>362.37</v>
      </c>
      <c r="AA439" s="17">
        <f>MAX($B$439:$Y$439)</f>
        <v>529.66</v>
      </c>
      <c r="AB439" s="17">
        <f>MIN($B$439:$Y$439)</f>
        <v>322.33</v>
      </c>
      <c r="AC439" s="17">
        <f>AVERAGE($B$439:$Y$439)</f>
        <v>416.87</v>
      </c>
    </row>
    <row r="440" spans="1:29">
      <c r="A440" s="10">
        <v>45730</v>
      </c>
      <c r="B440" s="12">
        <v>456.85</v>
      </c>
      <c r="C440" s="12">
        <v>481.07</v>
      </c>
      <c r="D440" s="12">
        <v>425.43</v>
      </c>
      <c r="E440" s="12">
        <v>367.4</v>
      </c>
      <c r="F440" s="12">
        <v>350.68</v>
      </c>
      <c r="G440" s="12">
        <v>345.45</v>
      </c>
      <c r="H440" s="12">
        <v>388.71</v>
      </c>
      <c r="I440" s="12">
        <v>421.33</v>
      </c>
      <c r="J440" s="12">
        <v>408.7</v>
      </c>
      <c r="K440" s="12">
        <v>501.19</v>
      </c>
      <c r="L440" s="12">
        <v>449.82</v>
      </c>
      <c r="M440" s="12">
        <v>437.74</v>
      </c>
      <c r="N440" s="12">
        <v>271.55</v>
      </c>
      <c r="O440" s="12">
        <v>337.18</v>
      </c>
      <c r="P440" s="12">
        <v>357.99</v>
      </c>
      <c r="Q440" s="12">
        <v>360.22</v>
      </c>
      <c r="R440" s="12">
        <v>381.96</v>
      </c>
      <c r="S440" s="12">
        <v>381.59</v>
      </c>
      <c r="T440" s="12">
        <v>386.68</v>
      </c>
      <c r="U440" s="12">
        <v>387.25</v>
      </c>
      <c r="V440" s="12">
        <v>405.16</v>
      </c>
      <c r="W440" s="12">
        <v>384.05</v>
      </c>
      <c r="X440" s="12">
        <v>355.13</v>
      </c>
      <c r="Y440" s="12">
        <v>324.64999999999998</v>
      </c>
      <c r="AA440" s="17">
        <f>MAX($B$440:$Y$440)</f>
        <v>501.19</v>
      </c>
      <c r="AB440" s="17">
        <f>MIN($B$440:$Y$440)</f>
        <v>271.55</v>
      </c>
      <c r="AC440" s="17">
        <f>AVERAGE($B$440:$Y$440)</f>
        <v>390.324166666667</v>
      </c>
    </row>
    <row r="441" spans="1:29">
      <c r="A441" s="10">
        <v>45731</v>
      </c>
      <c r="B441" s="12">
        <v>373.64</v>
      </c>
      <c r="C441" s="12">
        <v>501.14</v>
      </c>
      <c r="D441" s="12">
        <v>581.46</v>
      </c>
      <c r="E441" s="12">
        <v>580.01</v>
      </c>
      <c r="F441" s="12">
        <v>443.13</v>
      </c>
      <c r="G441" s="12">
        <v>413.99</v>
      </c>
      <c r="H441" s="12">
        <v>544.67999999999995</v>
      </c>
      <c r="I441" s="12">
        <v>430.16</v>
      </c>
      <c r="J441" s="12">
        <v>574.13</v>
      </c>
      <c r="K441" s="12">
        <v>452.42</v>
      </c>
      <c r="L441" s="12">
        <v>374.21</v>
      </c>
      <c r="M441" s="12">
        <v>400.23</v>
      </c>
      <c r="N441" s="12">
        <v>314.93</v>
      </c>
      <c r="O441" s="12">
        <v>385.74</v>
      </c>
      <c r="P441" s="12">
        <v>369.07</v>
      </c>
      <c r="Q441" s="12">
        <v>351.58</v>
      </c>
      <c r="R441" s="12">
        <v>359.7</v>
      </c>
      <c r="S441" s="12">
        <v>365.98</v>
      </c>
      <c r="T441" s="12">
        <v>443.91</v>
      </c>
      <c r="U441" s="12">
        <v>441.99</v>
      </c>
      <c r="V441" s="12">
        <v>500.32</v>
      </c>
      <c r="W441" s="12">
        <v>384.25</v>
      </c>
      <c r="X441" s="12">
        <v>362.04</v>
      </c>
      <c r="Y441" s="12">
        <v>337.15</v>
      </c>
      <c r="AA441" s="17">
        <f>MAX($B$441:$Y$441)</f>
        <v>581.46</v>
      </c>
      <c r="AB441" s="17">
        <f>MIN($B$441:$Y$441)</f>
        <v>314.93</v>
      </c>
      <c r="AC441" s="17">
        <f>AVERAGE($B$441:$Y$441)</f>
        <v>428.57749999999999</v>
      </c>
    </row>
    <row r="442" spans="1:29">
      <c r="A442" s="10">
        <v>45732</v>
      </c>
      <c r="B442" s="12">
        <v>340.69</v>
      </c>
      <c r="C442" s="12">
        <v>347.44</v>
      </c>
      <c r="D442" s="12">
        <v>322.93</v>
      </c>
      <c r="E442" s="12">
        <v>210.99</v>
      </c>
      <c r="F442" s="12">
        <v>147.12</v>
      </c>
      <c r="G442" s="12">
        <v>173.77</v>
      </c>
      <c r="H442" s="12">
        <v>208.87</v>
      </c>
      <c r="I442" s="12">
        <v>177.21</v>
      </c>
      <c r="J442" s="12">
        <v>257.95</v>
      </c>
      <c r="K442" s="12">
        <v>279.83999999999997</v>
      </c>
      <c r="L442" s="12">
        <v>387.51</v>
      </c>
      <c r="M442" s="12">
        <v>165.02</v>
      </c>
      <c r="N442" s="12">
        <v>133.96</v>
      </c>
      <c r="O442" s="12">
        <v>110.95</v>
      </c>
      <c r="P442" s="12">
        <v>70.849999999999994</v>
      </c>
      <c r="Q442" s="12">
        <v>67.78</v>
      </c>
      <c r="R442" s="12">
        <v>325.73</v>
      </c>
      <c r="S442" s="12">
        <v>338.79</v>
      </c>
      <c r="T442" s="12">
        <v>396.62</v>
      </c>
      <c r="U442" s="12">
        <v>418.33</v>
      </c>
      <c r="V442" s="12">
        <v>499.33</v>
      </c>
      <c r="W442" s="12">
        <v>442.17</v>
      </c>
      <c r="X442" s="12">
        <v>343.82</v>
      </c>
      <c r="Y442" s="12">
        <v>218.09</v>
      </c>
      <c r="AA442" s="17">
        <f>MAX($B$442:$Y$442)</f>
        <v>499.33</v>
      </c>
      <c r="AB442" s="17">
        <f>MIN($B$442:$Y$442)</f>
        <v>67.78</v>
      </c>
      <c r="AC442" s="17">
        <f>AVERAGE($B$442:$Y$442)</f>
        <v>266.07333333333298</v>
      </c>
    </row>
    <row r="443" spans="1:29">
      <c r="A443" s="10">
        <v>45733</v>
      </c>
      <c r="B443" s="12">
        <v>278.93</v>
      </c>
      <c r="C443" s="12">
        <v>232.18</v>
      </c>
      <c r="D443" s="12">
        <v>247.8</v>
      </c>
      <c r="E443" s="12">
        <v>245.52</v>
      </c>
      <c r="F443" s="12">
        <v>166.06</v>
      </c>
      <c r="G443" s="12">
        <v>168.2</v>
      </c>
      <c r="H443" s="12">
        <v>288.45999999999998</v>
      </c>
      <c r="I443" s="12">
        <v>328.99</v>
      </c>
      <c r="J443" s="12">
        <v>573</v>
      </c>
      <c r="K443" s="12">
        <v>844.6</v>
      </c>
      <c r="L443" s="12">
        <v>786.35</v>
      </c>
      <c r="M443" s="12">
        <v>750.91</v>
      </c>
      <c r="N443" s="12">
        <v>243.52</v>
      </c>
      <c r="O443" s="12">
        <v>327.98</v>
      </c>
      <c r="P443" s="12">
        <v>317.64999999999998</v>
      </c>
      <c r="Q443" s="12">
        <v>318.72000000000003</v>
      </c>
      <c r="R443" s="12">
        <v>322.98</v>
      </c>
      <c r="S443" s="12">
        <v>366.71</v>
      </c>
      <c r="T443" s="12">
        <v>376.73</v>
      </c>
      <c r="U443" s="12">
        <v>398.02</v>
      </c>
      <c r="V443" s="12">
        <v>422.74</v>
      </c>
      <c r="W443" s="12">
        <v>465.42</v>
      </c>
      <c r="X443" s="12">
        <v>407.4</v>
      </c>
      <c r="Y443" s="12">
        <v>345.02</v>
      </c>
      <c r="AA443" s="17">
        <f>MAX($B$443:$Y$443)</f>
        <v>844.6</v>
      </c>
      <c r="AB443" s="17">
        <f>MIN($B$443:$Y$443)</f>
        <v>166.06</v>
      </c>
      <c r="AC443" s="17">
        <f>AVERAGE($B$443:$Y$443)</f>
        <v>384.32875000000001</v>
      </c>
    </row>
    <row r="444" spans="1:29">
      <c r="A444" s="10">
        <v>45734</v>
      </c>
      <c r="B444" s="12">
        <v>344.77</v>
      </c>
      <c r="C444" s="12">
        <v>350.62</v>
      </c>
      <c r="D444" s="12">
        <v>332.47</v>
      </c>
      <c r="E444" s="12">
        <v>326.07</v>
      </c>
      <c r="F444" s="12">
        <v>320.33</v>
      </c>
      <c r="G444" s="12">
        <v>322.01</v>
      </c>
      <c r="H444" s="12">
        <v>401.03</v>
      </c>
      <c r="I444" s="12">
        <v>652.16</v>
      </c>
      <c r="J444" s="12">
        <v>699.27</v>
      </c>
      <c r="K444" s="12">
        <v>484.5</v>
      </c>
      <c r="L444" s="12">
        <v>400.91</v>
      </c>
      <c r="M444" s="12">
        <v>414.71</v>
      </c>
      <c r="N444" s="12">
        <v>228.9</v>
      </c>
      <c r="O444" s="12">
        <v>355.37</v>
      </c>
      <c r="P444" s="12">
        <v>388.44</v>
      </c>
      <c r="Q444" s="12">
        <v>427.78</v>
      </c>
      <c r="R444" s="12">
        <v>360.17</v>
      </c>
      <c r="S444" s="12">
        <v>368.34</v>
      </c>
      <c r="T444" s="12">
        <v>426.68</v>
      </c>
      <c r="U444" s="12">
        <v>504.98</v>
      </c>
      <c r="V444" s="12">
        <v>480.53</v>
      </c>
      <c r="W444" s="12">
        <v>503.66</v>
      </c>
      <c r="X444" s="12">
        <v>411.01</v>
      </c>
      <c r="Y444" s="12">
        <v>345.45</v>
      </c>
      <c r="AA444" s="17">
        <f>MAX($B$444:$Y$444)</f>
        <v>699.27</v>
      </c>
      <c r="AB444" s="17">
        <f>MIN($B$444:$Y$444)</f>
        <v>228.9</v>
      </c>
      <c r="AC444" s="17">
        <f>AVERAGE($B$444:$Y$444)</f>
        <v>410.42333333333301</v>
      </c>
    </row>
    <row r="445" spans="1:29">
      <c r="A445" s="10">
        <v>45735</v>
      </c>
      <c r="B445" s="12">
        <v>339.2</v>
      </c>
      <c r="C445" s="12">
        <v>367.77</v>
      </c>
      <c r="D445" s="12">
        <v>394.73</v>
      </c>
      <c r="E445" s="12">
        <v>365.01</v>
      </c>
      <c r="F445" s="12">
        <v>333.35</v>
      </c>
      <c r="G445" s="12">
        <v>334.94</v>
      </c>
      <c r="H445" s="12">
        <v>435.76</v>
      </c>
      <c r="I445" s="12">
        <v>649.04999999999995</v>
      </c>
      <c r="J445" s="12">
        <v>456.75</v>
      </c>
      <c r="K445" s="12">
        <v>280.10000000000002</v>
      </c>
      <c r="L445" s="12">
        <v>266.77999999999997</v>
      </c>
      <c r="M445" s="12">
        <v>248.75</v>
      </c>
      <c r="N445" s="12">
        <v>37.72</v>
      </c>
      <c r="O445" s="12">
        <v>214.98</v>
      </c>
      <c r="P445" s="12">
        <v>307.35000000000002</v>
      </c>
      <c r="Q445" s="12">
        <v>341.21</v>
      </c>
      <c r="R445" s="12">
        <v>357.95</v>
      </c>
      <c r="S445" s="12">
        <v>376.03</v>
      </c>
      <c r="T445" s="12">
        <v>392.09</v>
      </c>
      <c r="U445" s="12">
        <v>445.4</v>
      </c>
      <c r="V445" s="12">
        <v>456.18</v>
      </c>
      <c r="W445" s="12">
        <v>477.48</v>
      </c>
      <c r="X445" s="12">
        <v>420.13</v>
      </c>
      <c r="Y445" s="12">
        <v>363.99</v>
      </c>
      <c r="AA445" s="17">
        <f>MAX($B$445:$Y$445)</f>
        <v>649.04999999999995</v>
      </c>
      <c r="AB445" s="17">
        <f>MIN($B$445:$Y$445)</f>
        <v>37.72</v>
      </c>
      <c r="AC445" s="17">
        <f>AVERAGE($B$445:$Y$445)</f>
        <v>360.94583333333298</v>
      </c>
    </row>
    <row r="446" spans="1:29">
      <c r="A446" s="10">
        <v>45736</v>
      </c>
      <c r="B446" s="12">
        <v>344.04</v>
      </c>
      <c r="C446" s="12">
        <v>332.82</v>
      </c>
      <c r="D446" s="12">
        <v>339.58</v>
      </c>
      <c r="E446" s="12">
        <v>329.49</v>
      </c>
      <c r="F446" s="12">
        <v>333.97</v>
      </c>
      <c r="G446" s="12">
        <v>334.35</v>
      </c>
      <c r="H446" s="12">
        <v>399.7</v>
      </c>
      <c r="I446" s="12">
        <v>407.36</v>
      </c>
      <c r="J446" s="12">
        <v>352.52</v>
      </c>
      <c r="K446" s="12">
        <v>325.2</v>
      </c>
      <c r="L446" s="12">
        <v>316.74</v>
      </c>
      <c r="M446" s="12">
        <v>302.26</v>
      </c>
      <c r="N446" s="12">
        <v>69.040000000000006</v>
      </c>
      <c r="O446" s="12">
        <v>249.78</v>
      </c>
      <c r="P446" s="12">
        <v>257.85000000000002</v>
      </c>
      <c r="Q446" s="12">
        <v>403.8</v>
      </c>
      <c r="R446" s="12">
        <v>327.08</v>
      </c>
      <c r="S446" s="12">
        <v>360.7</v>
      </c>
      <c r="T446" s="12">
        <v>374.88</v>
      </c>
      <c r="U446" s="12">
        <v>440.37</v>
      </c>
      <c r="V446" s="12">
        <v>430.17</v>
      </c>
      <c r="W446" s="12">
        <v>504.57</v>
      </c>
      <c r="X446" s="12">
        <v>417.2</v>
      </c>
      <c r="Y446" s="12">
        <v>378.48</v>
      </c>
      <c r="AA446" s="17">
        <f>MAX($B$446:$Y$446)</f>
        <v>504.57</v>
      </c>
      <c r="AB446" s="17">
        <f>MIN($B$446:$Y$446)</f>
        <v>69.040000000000006</v>
      </c>
      <c r="AC446" s="17">
        <f>AVERAGE($B$446:$Y$446)</f>
        <v>347.16458333333298</v>
      </c>
    </row>
    <row r="447" spans="1:29">
      <c r="A447" s="10">
        <v>45737</v>
      </c>
      <c r="B447" s="12">
        <v>498.7</v>
      </c>
      <c r="C447" s="12">
        <v>527.59</v>
      </c>
      <c r="D447" s="12">
        <v>563.16999999999996</v>
      </c>
      <c r="E447" s="12">
        <v>452.98</v>
      </c>
      <c r="F447" s="12">
        <v>401.77</v>
      </c>
      <c r="G447" s="12">
        <v>424.31</v>
      </c>
      <c r="H447" s="12">
        <v>1067.79</v>
      </c>
      <c r="I447" s="12">
        <v>485.64</v>
      </c>
      <c r="J447" s="12">
        <v>395.14</v>
      </c>
      <c r="K447" s="12">
        <v>326.11</v>
      </c>
      <c r="L447" s="12">
        <v>324.82</v>
      </c>
      <c r="M447" s="12">
        <v>297.94</v>
      </c>
      <c r="N447" s="12">
        <v>137.36000000000001</v>
      </c>
      <c r="O447" s="12">
        <v>231.27</v>
      </c>
      <c r="P447" s="12">
        <v>243.41</v>
      </c>
      <c r="Q447" s="12">
        <v>297.58</v>
      </c>
      <c r="R447" s="12">
        <v>329.78</v>
      </c>
      <c r="S447" s="12">
        <v>367.43</v>
      </c>
      <c r="T447" s="12">
        <v>364.71</v>
      </c>
      <c r="U447" s="12">
        <v>386.78</v>
      </c>
      <c r="V447" s="12">
        <v>367.36</v>
      </c>
      <c r="W447" s="12">
        <v>374.2</v>
      </c>
      <c r="X447" s="12">
        <v>366.46</v>
      </c>
      <c r="Y447" s="12">
        <v>363.66</v>
      </c>
      <c r="AA447" s="17">
        <f>MAX($B$447:$Y$447)</f>
        <v>1067.79</v>
      </c>
      <c r="AB447" s="17">
        <f>MIN($B$447:$Y$447)</f>
        <v>137.36000000000001</v>
      </c>
      <c r="AC447" s="17">
        <f>AVERAGE($B$447:$Y$447)</f>
        <v>399.83166666666699</v>
      </c>
    </row>
    <row r="448" spans="1:29">
      <c r="A448" s="10">
        <v>45738</v>
      </c>
      <c r="B448" s="12">
        <v>465.24</v>
      </c>
      <c r="C448" s="12">
        <v>443.24</v>
      </c>
      <c r="D448" s="12">
        <v>396.75</v>
      </c>
      <c r="E448" s="12">
        <v>355.95</v>
      </c>
      <c r="F448" s="12">
        <v>338.01</v>
      </c>
      <c r="G448" s="12">
        <v>336.35</v>
      </c>
      <c r="H448" s="12">
        <v>419.51</v>
      </c>
      <c r="I448" s="12">
        <v>396.21</v>
      </c>
      <c r="J448" s="12">
        <v>340.62</v>
      </c>
      <c r="K448" s="12">
        <v>326.02999999999997</v>
      </c>
      <c r="L448" s="12">
        <v>316.35000000000002</v>
      </c>
      <c r="M448" s="12">
        <v>313.43</v>
      </c>
      <c r="N448" s="12">
        <v>75.7</v>
      </c>
      <c r="O448" s="12">
        <v>312.72000000000003</v>
      </c>
      <c r="P448" s="12">
        <v>328.09</v>
      </c>
      <c r="Q448" s="12">
        <v>302.82</v>
      </c>
      <c r="R448" s="12">
        <v>319.08</v>
      </c>
      <c r="S448" s="12">
        <v>331.49</v>
      </c>
      <c r="T448" s="12">
        <v>368.42</v>
      </c>
      <c r="U448" s="12">
        <v>383.02</v>
      </c>
      <c r="V448" s="12">
        <v>366.13</v>
      </c>
      <c r="W448" s="12">
        <v>373.05</v>
      </c>
      <c r="X448" s="12">
        <v>395.12</v>
      </c>
      <c r="Y448" s="12">
        <v>384.13</v>
      </c>
      <c r="AA448" s="17">
        <f>MAX($B$448:$Y$448)</f>
        <v>465.24</v>
      </c>
      <c r="AB448" s="17">
        <f>MIN($B$448:$Y$448)</f>
        <v>75.7</v>
      </c>
      <c r="AC448" s="17">
        <f>AVERAGE($B$448:$Y$448)</f>
        <v>349.47750000000002</v>
      </c>
    </row>
    <row r="449" spans="1:29">
      <c r="A449" s="10">
        <v>45739</v>
      </c>
      <c r="B449" s="12">
        <v>452.72</v>
      </c>
      <c r="C449" s="12">
        <v>399.74</v>
      </c>
      <c r="D449" s="12">
        <v>373.76</v>
      </c>
      <c r="E449" s="12">
        <v>364.04</v>
      </c>
      <c r="F449" s="12">
        <v>345.37</v>
      </c>
      <c r="G449" s="12">
        <v>343.65</v>
      </c>
      <c r="H449" s="12">
        <v>377.1</v>
      </c>
      <c r="I449" s="12">
        <v>343.62</v>
      </c>
      <c r="J449" s="12">
        <v>254.25</v>
      </c>
      <c r="K449" s="12">
        <v>325.64</v>
      </c>
      <c r="L449" s="12">
        <v>328.86</v>
      </c>
      <c r="M449" s="12">
        <v>263.60000000000002</v>
      </c>
      <c r="N449" s="12">
        <v>83.34</v>
      </c>
      <c r="O449" s="12">
        <v>158.22</v>
      </c>
      <c r="P449" s="12">
        <v>213.6</v>
      </c>
      <c r="Q449" s="12">
        <v>188.29</v>
      </c>
      <c r="R449" s="12">
        <v>313.07</v>
      </c>
      <c r="S449" s="12">
        <v>325.89</v>
      </c>
      <c r="T449" s="12">
        <v>332.53</v>
      </c>
      <c r="U449" s="12">
        <v>348.66</v>
      </c>
      <c r="V449" s="12">
        <v>350.19</v>
      </c>
      <c r="W449" s="12">
        <v>360.28</v>
      </c>
      <c r="X449" s="12">
        <v>358.05</v>
      </c>
      <c r="Y449" s="12">
        <v>334.92</v>
      </c>
      <c r="AA449" s="17">
        <f>MAX($B$449:$Y$449)</f>
        <v>452.72</v>
      </c>
      <c r="AB449" s="17">
        <f>MIN($B$449:$Y$449)</f>
        <v>83.34</v>
      </c>
      <c r="AC449" s="17">
        <f>AVERAGE($B$449:$Y$449)</f>
        <v>314.14125000000001</v>
      </c>
    </row>
    <row r="450" spans="1:29">
      <c r="A450" s="10">
        <v>45740</v>
      </c>
      <c r="B450" s="12">
        <v>360.18</v>
      </c>
      <c r="C450" s="12">
        <v>383.27</v>
      </c>
      <c r="D450" s="12">
        <v>331.68</v>
      </c>
      <c r="E450" s="12">
        <v>337.98</v>
      </c>
      <c r="F450" s="12">
        <v>342.05</v>
      </c>
      <c r="G450" s="12">
        <v>409.1</v>
      </c>
      <c r="H450" s="12">
        <v>626.91999999999996</v>
      </c>
      <c r="I450" s="12">
        <v>373.21</v>
      </c>
      <c r="J450" s="12">
        <v>370.59</v>
      </c>
      <c r="K450" s="12">
        <v>352.38</v>
      </c>
      <c r="L450" s="12">
        <v>325.3</v>
      </c>
      <c r="M450" s="12">
        <v>311.22000000000003</v>
      </c>
      <c r="N450" s="12">
        <v>227.16</v>
      </c>
      <c r="O450" s="12">
        <v>280.02</v>
      </c>
      <c r="P450" s="12">
        <v>274.36</v>
      </c>
      <c r="Q450" s="12">
        <v>318.02999999999997</v>
      </c>
      <c r="R450" s="12">
        <v>344.99</v>
      </c>
      <c r="S450" s="12">
        <v>388.71</v>
      </c>
      <c r="T450" s="12">
        <v>368.2</v>
      </c>
      <c r="U450" s="12">
        <v>401.94</v>
      </c>
      <c r="V450" s="12">
        <v>371.02</v>
      </c>
      <c r="W450" s="12">
        <v>370.44</v>
      </c>
      <c r="X450" s="12">
        <v>365.29</v>
      </c>
      <c r="Y450" s="12">
        <v>331.47</v>
      </c>
      <c r="AA450" s="17">
        <f>MAX($B$450:$Y$450)</f>
        <v>626.91999999999996</v>
      </c>
      <c r="AB450" s="17">
        <f>MIN($B$450:$Y$450)</f>
        <v>227.16</v>
      </c>
      <c r="AC450" s="17">
        <f>AVERAGE($B$450:$Y$450)</f>
        <v>356.89625000000001</v>
      </c>
    </row>
    <row r="451" spans="1:29">
      <c r="A451" s="10">
        <v>45741</v>
      </c>
      <c r="B451" s="12">
        <v>349.74</v>
      </c>
      <c r="C451" s="12">
        <v>339.48</v>
      </c>
      <c r="D451" s="12">
        <v>343.12</v>
      </c>
      <c r="E451" s="12">
        <v>336.12</v>
      </c>
      <c r="F451" s="12">
        <v>328.36</v>
      </c>
      <c r="G451" s="12">
        <v>323.52999999999997</v>
      </c>
      <c r="H451" s="12">
        <v>360.08</v>
      </c>
      <c r="I451" s="12">
        <v>347.58</v>
      </c>
      <c r="J451" s="12">
        <v>329.59</v>
      </c>
      <c r="K451" s="12">
        <v>318.86</v>
      </c>
      <c r="L451" s="12">
        <v>226.15</v>
      </c>
      <c r="M451" s="12">
        <v>235.64</v>
      </c>
      <c r="N451" s="12">
        <v>12.54</v>
      </c>
      <c r="O451" s="12">
        <v>163.51</v>
      </c>
      <c r="P451" s="12">
        <v>136.22999999999999</v>
      </c>
      <c r="Q451" s="12">
        <v>252.23</v>
      </c>
      <c r="R451" s="12">
        <v>309.70999999999998</v>
      </c>
      <c r="S451" s="12">
        <v>330.28</v>
      </c>
      <c r="T451" s="12">
        <v>343.29</v>
      </c>
      <c r="U451" s="12">
        <v>354.05</v>
      </c>
      <c r="V451" s="12">
        <v>336.25</v>
      </c>
      <c r="W451" s="12">
        <v>349.51</v>
      </c>
      <c r="X451" s="12">
        <v>349.7</v>
      </c>
      <c r="Y451" s="12">
        <v>328.7</v>
      </c>
      <c r="AA451" s="17">
        <f>MAX($B$451:$Y$451)</f>
        <v>360.08</v>
      </c>
      <c r="AB451" s="17">
        <f>MIN($B$451:$Y$451)</f>
        <v>12.54</v>
      </c>
      <c r="AC451" s="17">
        <f>AVERAGE($B$451:$Y$451)</f>
        <v>296.01041666666703</v>
      </c>
    </row>
    <row r="452" spans="1:29">
      <c r="A452" s="10">
        <v>45742</v>
      </c>
      <c r="B452" s="12">
        <v>396.87</v>
      </c>
      <c r="C452" s="12">
        <v>321.44</v>
      </c>
      <c r="D452" s="12">
        <v>310.77999999999997</v>
      </c>
      <c r="E452" s="12">
        <v>304.85000000000002</v>
      </c>
      <c r="F452" s="12">
        <v>300.05</v>
      </c>
      <c r="G452" s="12">
        <v>304.49</v>
      </c>
      <c r="H452" s="12">
        <v>329.38</v>
      </c>
      <c r="I452" s="12">
        <v>332.36</v>
      </c>
      <c r="J452" s="12">
        <v>332.11</v>
      </c>
      <c r="K452" s="12">
        <v>265.33</v>
      </c>
      <c r="L452" s="12">
        <v>281.42</v>
      </c>
      <c r="M452" s="12">
        <v>257</v>
      </c>
      <c r="N452" s="12">
        <v>74.14</v>
      </c>
      <c r="O452" s="12">
        <v>273.72000000000003</v>
      </c>
      <c r="P452" s="12">
        <v>182.25</v>
      </c>
      <c r="Q452" s="12">
        <v>222.64</v>
      </c>
      <c r="R452" s="12">
        <v>308.64999999999998</v>
      </c>
      <c r="S452" s="12">
        <v>344.18</v>
      </c>
      <c r="T452" s="12">
        <v>339.17</v>
      </c>
      <c r="U452" s="12">
        <v>344.71</v>
      </c>
      <c r="V452" s="12">
        <v>335.07</v>
      </c>
      <c r="W452" s="12">
        <v>337.1</v>
      </c>
      <c r="X452" s="12">
        <v>331.36</v>
      </c>
      <c r="Y452" s="12">
        <v>299.86</v>
      </c>
      <c r="AA452" s="17">
        <f>MAX($B$452:$Y$452)</f>
        <v>396.87</v>
      </c>
      <c r="AB452" s="17">
        <f>MIN($B$452:$Y$452)</f>
        <v>74.14</v>
      </c>
      <c r="AC452" s="17">
        <f>AVERAGE($B$452:$Y$452)</f>
        <v>297.03874999999999</v>
      </c>
    </row>
    <row r="453" spans="1:29">
      <c r="A453" s="10">
        <v>45743</v>
      </c>
      <c r="B453" s="12">
        <v>316.95999999999998</v>
      </c>
      <c r="C453" s="12">
        <v>313.02999999999997</v>
      </c>
      <c r="D453" s="12">
        <v>307.38</v>
      </c>
      <c r="E453" s="12">
        <v>303.69</v>
      </c>
      <c r="F453" s="12">
        <v>277.92</v>
      </c>
      <c r="G453" s="12">
        <v>299.39999999999998</v>
      </c>
      <c r="H453" s="12">
        <v>339.43</v>
      </c>
      <c r="I453" s="12">
        <v>346.26</v>
      </c>
      <c r="J453" s="12">
        <v>346.97</v>
      </c>
      <c r="K453" s="12">
        <v>356.82</v>
      </c>
      <c r="L453" s="12">
        <v>325.56</v>
      </c>
      <c r="M453" s="12">
        <v>322.35000000000002</v>
      </c>
      <c r="N453" s="12">
        <v>207.51</v>
      </c>
      <c r="O453" s="12">
        <v>311.14</v>
      </c>
      <c r="P453" s="12">
        <v>298.69</v>
      </c>
      <c r="Q453" s="12">
        <v>323.75</v>
      </c>
      <c r="R453" s="12">
        <v>389.75</v>
      </c>
      <c r="S453" s="12">
        <v>485.74</v>
      </c>
      <c r="T453" s="12">
        <v>379.91</v>
      </c>
      <c r="U453" s="12">
        <v>512.89</v>
      </c>
      <c r="V453" s="12">
        <v>382.03</v>
      </c>
      <c r="W453" s="12">
        <v>393.13</v>
      </c>
      <c r="X453" s="12">
        <v>396.24</v>
      </c>
      <c r="Y453" s="12">
        <v>352.15</v>
      </c>
      <c r="AA453" s="17">
        <f>MAX($B$453:$Y$453)</f>
        <v>512.89</v>
      </c>
      <c r="AB453" s="17">
        <f>MIN($B$453:$Y$453)</f>
        <v>207.51</v>
      </c>
      <c r="AC453" s="17">
        <f>AVERAGE($B$453:$Y$453)</f>
        <v>345.36250000000001</v>
      </c>
    </row>
    <row r="454" spans="1:29">
      <c r="A454" s="10">
        <v>45744</v>
      </c>
      <c r="B454" s="12">
        <v>354.08</v>
      </c>
      <c r="C454" s="12">
        <v>355.21</v>
      </c>
      <c r="D454" s="12">
        <v>348.93</v>
      </c>
      <c r="E454" s="12">
        <v>343.6</v>
      </c>
      <c r="F454" s="12">
        <v>334.2</v>
      </c>
      <c r="G454" s="12">
        <v>339.52</v>
      </c>
      <c r="H454" s="12">
        <v>387.13</v>
      </c>
      <c r="I454" s="12">
        <v>403.25</v>
      </c>
      <c r="J454" s="12">
        <v>506.79</v>
      </c>
      <c r="K454" s="12">
        <v>542.05999999999995</v>
      </c>
      <c r="L454" s="12">
        <v>476.86</v>
      </c>
      <c r="M454" s="12">
        <v>536.21</v>
      </c>
      <c r="N454" s="12">
        <v>367.82</v>
      </c>
      <c r="O454" s="12">
        <v>379.3</v>
      </c>
      <c r="P454" s="12">
        <v>345.08</v>
      </c>
      <c r="Q454" s="12">
        <v>358.72</v>
      </c>
      <c r="R454" s="12">
        <v>513</v>
      </c>
      <c r="S454" s="12">
        <v>495.4</v>
      </c>
      <c r="T454" s="12">
        <v>360.46</v>
      </c>
      <c r="U454" s="12">
        <v>347.1</v>
      </c>
      <c r="V454" s="12">
        <v>329.72</v>
      </c>
      <c r="W454" s="12">
        <v>304.36</v>
      </c>
      <c r="X454" s="12">
        <v>309.02</v>
      </c>
      <c r="Y454" s="12">
        <v>277.43</v>
      </c>
      <c r="AA454" s="17">
        <f>MAX($B$454:$Y$454)</f>
        <v>542.05999999999995</v>
      </c>
      <c r="AB454" s="17">
        <f>MIN($B$454:$Y$454)</f>
        <v>277.43</v>
      </c>
      <c r="AC454" s="17">
        <f>AVERAGE($B$454:$Y$454)</f>
        <v>388.13541666666703</v>
      </c>
    </row>
    <row r="455" spans="1:29">
      <c r="A455" s="10">
        <v>45745</v>
      </c>
      <c r="B455" s="12">
        <v>304</v>
      </c>
      <c r="C455" s="12">
        <v>298.64999999999998</v>
      </c>
      <c r="D455" s="12">
        <v>280.54000000000002</v>
      </c>
      <c r="E455" s="12">
        <v>265.45</v>
      </c>
      <c r="F455" s="12">
        <v>231.84</v>
      </c>
      <c r="G455" s="12">
        <v>255.28</v>
      </c>
      <c r="H455" s="12">
        <v>252.97</v>
      </c>
      <c r="I455" s="12">
        <v>292.58999999999997</v>
      </c>
      <c r="J455" s="12">
        <v>333.71</v>
      </c>
      <c r="K455" s="12">
        <v>329.3</v>
      </c>
      <c r="L455" s="12">
        <v>407.71</v>
      </c>
      <c r="M455" s="12">
        <v>607.46</v>
      </c>
      <c r="N455" s="12">
        <v>324.24</v>
      </c>
      <c r="O455" s="12">
        <v>502.35</v>
      </c>
      <c r="P455" s="12">
        <v>646.71</v>
      </c>
      <c r="Q455" s="12">
        <v>549.38</v>
      </c>
      <c r="R455" s="12">
        <v>471.76</v>
      </c>
      <c r="S455" s="12">
        <v>387.2</v>
      </c>
      <c r="T455" s="12">
        <v>350.15</v>
      </c>
      <c r="U455" s="12">
        <v>358.79</v>
      </c>
      <c r="V455" s="12">
        <v>340.85</v>
      </c>
      <c r="W455" s="12">
        <v>347</v>
      </c>
      <c r="X455" s="12">
        <v>342.04</v>
      </c>
      <c r="Y455" s="12">
        <v>320.38</v>
      </c>
      <c r="AA455" s="17">
        <f>MAX($B$455:$Y$455)</f>
        <v>646.71</v>
      </c>
      <c r="AB455" s="17">
        <f>MIN($B$455:$Y$455)</f>
        <v>231.84</v>
      </c>
      <c r="AC455" s="17">
        <f>AVERAGE($B$455:$Y$455)</f>
        <v>366.68124999999998</v>
      </c>
    </row>
    <row r="456" spans="1:29">
      <c r="A456" s="10">
        <v>45746</v>
      </c>
      <c r="B456" s="12">
        <v>342.39</v>
      </c>
      <c r="C456" s="12">
        <v>293.97000000000003</v>
      </c>
      <c r="D456" s="12">
        <v>276.81</v>
      </c>
      <c r="E456" s="12">
        <v>279.89999999999998</v>
      </c>
      <c r="F456" s="12">
        <v>251.6</v>
      </c>
      <c r="G456" s="12">
        <v>168.47</v>
      </c>
      <c r="H456" s="12">
        <v>248.54</v>
      </c>
      <c r="I456" s="12">
        <v>280.83</v>
      </c>
      <c r="J456" s="12">
        <v>298.88</v>
      </c>
      <c r="K456" s="12">
        <v>313.69</v>
      </c>
      <c r="L456" s="12">
        <v>378.42</v>
      </c>
      <c r="M456" s="12">
        <v>616.98</v>
      </c>
      <c r="N456" s="12">
        <v>347.17</v>
      </c>
      <c r="O456" s="12">
        <v>474.44</v>
      </c>
      <c r="P456" s="12">
        <v>377.07</v>
      </c>
      <c r="Q456" s="12">
        <v>299.08</v>
      </c>
      <c r="R456" s="12">
        <v>321.83</v>
      </c>
      <c r="S456" s="12">
        <v>341.95</v>
      </c>
      <c r="T456" s="12">
        <v>340.62</v>
      </c>
      <c r="U456" s="12">
        <v>347.7</v>
      </c>
      <c r="V456" s="12">
        <v>345.41</v>
      </c>
      <c r="W456" s="12">
        <v>366.96</v>
      </c>
      <c r="X456" s="12">
        <v>334.71</v>
      </c>
      <c r="Y456" s="12">
        <v>299.52</v>
      </c>
      <c r="AA456" s="17">
        <f>MAX($B$456:$Y$456)</f>
        <v>616.98</v>
      </c>
      <c r="AB456" s="17">
        <f>MIN($B$456:$Y$456)</f>
        <v>168.47</v>
      </c>
      <c r="AC456" s="17">
        <f>AVERAGE($B$456:$Y$456)</f>
        <v>331.1225</v>
      </c>
    </row>
    <row r="457" spans="1:29">
      <c r="A457" s="10">
        <v>45747</v>
      </c>
      <c r="B457" s="12">
        <v>347.79</v>
      </c>
      <c r="C457" s="12">
        <v>304.95</v>
      </c>
      <c r="D457" s="12">
        <v>308.95999999999998</v>
      </c>
      <c r="E457" s="12">
        <v>284.82</v>
      </c>
      <c r="F457" s="12">
        <v>284.16000000000003</v>
      </c>
      <c r="G457" s="12">
        <v>267.44</v>
      </c>
      <c r="H457" s="12">
        <v>312.23</v>
      </c>
      <c r="I457" s="12">
        <v>353.42</v>
      </c>
      <c r="J457" s="12">
        <v>461.12</v>
      </c>
      <c r="K457" s="12">
        <v>373.97</v>
      </c>
      <c r="L457" s="12">
        <v>385.27</v>
      </c>
      <c r="M457" s="12">
        <v>409.57</v>
      </c>
      <c r="N457" s="12">
        <v>355.6</v>
      </c>
      <c r="O457" s="12">
        <v>394.71</v>
      </c>
      <c r="P457" s="12">
        <v>352.37</v>
      </c>
      <c r="Q457" s="12">
        <v>323.20999999999998</v>
      </c>
      <c r="R457" s="12">
        <v>365.12</v>
      </c>
      <c r="S457" s="12">
        <v>399.77</v>
      </c>
      <c r="T457" s="12">
        <v>364.84</v>
      </c>
      <c r="U457" s="12">
        <v>373.15</v>
      </c>
      <c r="V457" s="12">
        <v>394.67</v>
      </c>
      <c r="W457" s="12">
        <v>375.18</v>
      </c>
      <c r="X457" s="12">
        <v>377.71</v>
      </c>
      <c r="Y457" s="12">
        <v>322.27999999999997</v>
      </c>
      <c r="AA457" s="17">
        <f>MAX($B$457:$Y$457)</f>
        <v>461.12</v>
      </c>
      <c r="AB457" s="17">
        <f>MIN($B$457:$Y$457)</f>
        <v>267.44</v>
      </c>
      <c r="AC457" s="17">
        <f>AVERAGE($B$457:$Y$457)</f>
        <v>353.84625</v>
      </c>
    </row>
    <row r="458" spans="1:29">
      <c r="A458" s="10">
        <v>45748</v>
      </c>
      <c r="B458" s="12">
        <v>382.23</v>
      </c>
      <c r="C458" s="12">
        <v>324.24</v>
      </c>
      <c r="D458" s="12">
        <v>334.32</v>
      </c>
      <c r="E458" s="12">
        <v>330.71</v>
      </c>
      <c r="F458" s="12">
        <v>316.37</v>
      </c>
      <c r="G458" s="12">
        <v>306.17</v>
      </c>
      <c r="H458" s="12">
        <v>332.2</v>
      </c>
      <c r="I458" s="12">
        <v>341.58</v>
      </c>
      <c r="J458" s="12">
        <v>331.74</v>
      </c>
      <c r="K458" s="12">
        <v>295.45</v>
      </c>
      <c r="L458" s="12">
        <v>276.66000000000003</v>
      </c>
      <c r="M458" s="12">
        <v>276.61</v>
      </c>
      <c r="N458" s="12">
        <v>196.98</v>
      </c>
      <c r="O458" s="12">
        <v>142.72</v>
      </c>
      <c r="P458" s="12">
        <v>203.73</v>
      </c>
      <c r="Q458" s="12">
        <v>162.19999999999999</v>
      </c>
      <c r="R458" s="12">
        <v>290.44</v>
      </c>
      <c r="S458" s="12">
        <v>303.18</v>
      </c>
      <c r="T458" s="12">
        <v>343.38</v>
      </c>
      <c r="U458" s="12">
        <v>432.44</v>
      </c>
      <c r="V458" s="12">
        <v>516.42999999999995</v>
      </c>
      <c r="W458" s="12">
        <v>576.42999999999995</v>
      </c>
      <c r="X458" s="12">
        <v>556.97</v>
      </c>
      <c r="Y458" s="12">
        <v>404.35</v>
      </c>
      <c r="AA458" s="17">
        <f>MAX($B$458:$Y$458)</f>
        <v>576.42999999999995</v>
      </c>
      <c r="AB458" s="17">
        <f>MIN($B$458:$Y$458)</f>
        <v>142.72</v>
      </c>
      <c r="AC458" s="17">
        <f>AVERAGE($B$458:$Y$458)</f>
        <v>332.397083333333</v>
      </c>
    </row>
    <row r="459" spans="1:29">
      <c r="A459" s="10">
        <v>45749</v>
      </c>
      <c r="B459" s="12">
        <v>481.06</v>
      </c>
      <c r="C459" s="12">
        <v>477.59</v>
      </c>
      <c r="D459" s="12">
        <v>506.73</v>
      </c>
      <c r="E459" s="12">
        <v>364.07</v>
      </c>
      <c r="F459" s="12">
        <v>322.29000000000002</v>
      </c>
      <c r="G459" s="12">
        <v>329.29</v>
      </c>
      <c r="H459" s="12">
        <v>493.93</v>
      </c>
      <c r="I459" s="12">
        <v>408.47</v>
      </c>
      <c r="J459" s="12">
        <v>318.8</v>
      </c>
      <c r="K459" s="12">
        <v>297.74</v>
      </c>
      <c r="L459" s="12">
        <v>297.64</v>
      </c>
      <c r="M459" s="12">
        <v>293.07</v>
      </c>
      <c r="N459" s="12">
        <v>85.54</v>
      </c>
      <c r="O459" s="12">
        <v>194.95</v>
      </c>
      <c r="P459" s="12">
        <v>69.290000000000006</v>
      </c>
      <c r="Q459" s="12">
        <v>159.56</v>
      </c>
      <c r="R459" s="12">
        <v>292.05</v>
      </c>
      <c r="S459" s="12">
        <v>307.66000000000003</v>
      </c>
      <c r="T459" s="12">
        <v>326.36</v>
      </c>
      <c r="U459" s="12">
        <v>402.27</v>
      </c>
      <c r="V459" s="12">
        <v>352.39</v>
      </c>
      <c r="W459" s="12">
        <v>371.98</v>
      </c>
      <c r="X459" s="12">
        <v>407.58</v>
      </c>
      <c r="Y459" s="12">
        <v>351.26</v>
      </c>
      <c r="AA459" s="17">
        <f>MAX($B$459:$Y$459)</f>
        <v>506.73</v>
      </c>
      <c r="AB459" s="17">
        <f>MIN($B$459:$Y$459)</f>
        <v>69.290000000000006</v>
      </c>
      <c r="AC459" s="17">
        <f>AVERAGE($B$459:$Y$459)</f>
        <v>329.64875000000001</v>
      </c>
    </row>
    <row r="460" spans="1:29">
      <c r="A460" s="10">
        <v>45750</v>
      </c>
      <c r="B460" s="12">
        <v>376.54</v>
      </c>
      <c r="C460" s="12">
        <v>381</v>
      </c>
      <c r="D460" s="12">
        <v>468.93</v>
      </c>
      <c r="E460" s="12">
        <v>384.22</v>
      </c>
      <c r="F460" s="12">
        <v>381.11</v>
      </c>
      <c r="G460" s="12">
        <v>332.68</v>
      </c>
      <c r="H460" s="12">
        <v>508.01</v>
      </c>
      <c r="I460" s="12">
        <v>435.27</v>
      </c>
      <c r="J460" s="12">
        <v>326.43</v>
      </c>
      <c r="K460" s="12">
        <v>275.98</v>
      </c>
      <c r="L460" s="12">
        <v>170.91</v>
      </c>
      <c r="M460" s="12">
        <v>202.9</v>
      </c>
      <c r="N460" s="12">
        <v>82</v>
      </c>
      <c r="O460" s="12">
        <v>128.15</v>
      </c>
      <c r="P460" s="12">
        <v>39.770000000000003</v>
      </c>
      <c r="Q460" s="12">
        <v>7.69</v>
      </c>
      <c r="R460" s="12">
        <v>262.32</v>
      </c>
      <c r="S460" s="12">
        <v>306.91000000000003</v>
      </c>
      <c r="T460" s="12">
        <v>354.4</v>
      </c>
      <c r="U460" s="12">
        <v>352.06</v>
      </c>
      <c r="V460" s="12">
        <v>341.79</v>
      </c>
      <c r="W460" s="12">
        <v>415.45</v>
      </c>
      <c r="X460" s="12">
        <v>498.28</v>
      </c>
      <c r="Y460" s="12">
        <v>341.87</v>
      </c>
      <c r="AA460" s="17">
        <f>MAX($B$460:$Y$460)</f>
        <v>508.01</v>
      </c>
      <c r="AB460" s="17">
        <f>MIN($B$460:$Y$460)</f>
        <v>7.69</v>
      </c>
      <c r="AC460" s="17">
        <f>AVERAGE($B$460:$Y$460)</f>
        <v>307.27791666666701</v>
      </c>
    </row>
    <row r="461" spans="1:29">
      <c r="A461" s="10">
        <v>45751</v>
      </c>
      <c r="B461" s="12">
        <v>387.12</v>
      </c>
      <c r="C461" s="12">
        <v>304.8</v>
      </c>
      <c r="D461" s="12">
        <v>289.18</v>
      </c>
      <c r="E461" s="12">
        <v>251.02</v>
      </c>
      <c r="F461" s="12">
        <v>238.26</v>
      </c>
      <c r="G461" s="12">
        <v>229.7</v>
      </c>
      <c r="H461" s="12">
        <v>386.44</v>
      </c>
      <c r="I461" s="12">
        <v>261.62</v>
      </c>
      <c r="J461" s="12">
        <v>7.87</v>
      </c>
      <c r="K461" s="12">
        <v>0</v>
      </c>
      <c r="L461" s="12">
        <v>0</v>
      </c>
      <c r="M461" s="12">
        <v>0</v>
      </c>
      <c r="N461" s="12">
        <v>8</v>
      </c>
      <c r="O461" s="12">
        <v>0</v>
      </c>
      <c r="P461" s="12">
        <v>50.04</v>
      </c>
      <c r="Q461" s="12">
        <v>13.56</v>
      </c>
      <c r="R461" s="12">
        <v>232.87</v>
      </c>
      <c r="S461" s="12">
        <v>244.16</v>
      </c>
      <c r="T461" s="12">
        <v>175.76</v>
      </c>
      <c r="U461" s="12">
        <v>309.52</v>
      </c>
      <c r="V461" s="12">
        <v>293.42</v>
      </c>
      <c r="W461" s="12">
        <v>298.89999999999998</v>
      </c>
      <c r="X461" s="12">
        <v>304.43</v>
      </c>
      <c r="Y461" s="12">
        <v>325.14999999999998</v>
      </c>
      <c r="AA461" s="17">
        <f>MAX($B$461:$Y$461)</f>
        <v>387.12</v>
      </c>
      <c r="AB461" s="17">
        <f>MIN($B$461:$Y$461)</f>
        <v>0</v>
      </c>
      <c r="AC461" s="17">
        <f>AVERAGE($B$461:$Y$461)</f>
        <v>192.15916666666701</v>
      </c>
    </row>
    <row r="462" spans="1:29">
      <c r="A462" s="10">
        <v>45752</v>
      </c>
      <c r="B462" s="12">
        <v>599.83000000000004</v>
      </c>
      <c r="C462" s="12">
        <v>409.58</v>
      </c>
      <c r="D462" s="12">
        <v>348.69</v>
      </c>
      <c r="E462" s="12">
        <v>332.99</v>
      </c>
      <c r="F462" s="12">
        <v>318.27</v>
      </c>
      <c r="G462" s="12">
        <v>391.48</v>
      </c>
      <c r="H462" s="12">
        <v>533.88</v>
      </c>
      <c r="I462" s="12">
        <v>488.8</v>
      </c>
      <c r="J462" s="12">
        <v>323.08999999999997</v>
      </c>
      <c r="K462" s="12">
        <v>349.94</v>
      </c>
      <c r="L462" s="12">
        <v>354.57</v>
      </c>
      <c r="M462" s="12">
        <v>458.2</v>
      </c>
      <c r="N462" s="12">
        <v>542.71</v>
      </c>
      <c r="O462" s="12">
        <v>553.27</v>
      </c>
      <c r="P462" s="12">
        <v>343.17</v>
      </c>
      <c r="Q462" s="12">
        <v>297.66000000000003</v>
      </c>
      <c r="R462" s="12">
        <v>321.33</v>
      </c>
      <c r="S462" s="12">
        <v>326.68</v>
      </c>
      <c r="T462" s="12">
        <v>309.68</v>
      </c>
      <c r="U462" s="12">
        <v>340.8</v>
      </c>
      <c r="V462" s="12">
        <v>356.92</v>
      </c>
      <c r="W462" s="12">
        <v>330.69</v>
      </c>
      <c r="X462" s="12">
        <v>338.54</v>
      </c>
      <c r="Y462" s="12">
        <v>402.92</v>
      </c>
      <c r="AA462" s="17">
        <f>MAX($B$462:$Y$462)</f>
        <v>599.83000000000004</v>
      </c>
      <c r="AB462" s="17">
        <f>MIN($B$462:$Y$462)</f>
        <v>297.66000000000003</v>
      </c>
      <c r="AC462" s="17">
        <f>AVERAGE($B$462:$Y$462)</f>
        <v>390.57041666666697</v>
      </c>
    </row>
    <row r="463" spans="1:29">
      <c r="A463" s="10">
        <v>45753</v>
      </c>
      <c r="B463" s="12">
        <v>441.9</v>
      </c>
      <c r="C463" s="12">
        <v>413.1</v>
      </c>
      <c r="D463" s="12">
        <v>375.04</v>
      </c>
      <c r="E463" s="12">
        <v>347.02</v>
      </c>
      <c r="F463" s="12">
        <v>341.63</v>
      </c>
      <c r="G463" s="12">
        <v>359.21</v>
      </c>
      <c r="H463" s="12">
        <v>547.95000000000005</v>
      </c>
      <c r="I463" s="12">
        <v>619.01</v>
      </c>
      <c r="J463" s="12">
        <v>359.03</v>
      </c>
      <c r="K463" s="12">
        <v>349.01</v>
      </c>
      <c r="L463" s="12">
        <v>279.5</v>
      </c>
      <c r="M463" s="12">
        <v>275.49</v>
      </c>
      <c r="N463" s="12">
        <v>283.51</v>
      </c>
      <c r="O463" s="12">
        <v>310.24</v>
      </c>
      <c r="P463" s="12">
        <v>306.11</v>
      </c>
      <c r="Q463" s="12">
        <v>309.07</v>
      </c>
      <c r="R463" s="12">
        <v>322.29000000000002</v>
      </c>
      <c r="S463" s="12">
        <v>301.8</v>
      </c>
      <c r="T463" s="12">
        <v>298.85000000000002</v>
      </c>
      <c r="U463" s="12">
        <v>303.74</v>
      </c>
      <c r="V463" s="12">
        <v>326.2</v>
      </c>
      <c r="W463" s="12">
        <v>321.10000000000002</v>
      </c>
      <c r="X463" s="12">
        <v>331.86</v>
      </c>
      <c r="Y463" s="12">
        <v>376.64</v>
      </c>
      <c r="AA463" s="17">
        <f>MAX($B$463:$Y$463)</f>
        <v>619.01</v>
      </c>
      <c r="AB463" s="17">
        <f>MIN($B$463:$Y$463)</f>
        <v>275.49</v>
      </c>
      <c r="AC463" s="17">
        <f>AVERAGE($B$463:$Y$463)</f>
        <v>354.13749999999999</v>
      </c>
    </row>
    <row r="464" spans="1:29">
      <c r="A464" s="10">
        <v>45754</v>
      </c>
      <c r="B464" s="12">
        <v>445.45</v>
      </c>
      <c r="C464" s="12">
        <v>412.98</v>
      </c>
      <c r="D464" s="12">
        <v>324.76</v>
      </c>
      <c r="E464" s="12">
        <v>320.57</v>
      </c>
      <c r="F464" s="12">
        <v>314.62</v>
      </c>
      <c r="G464" s="12">
        <v>313.38</v>
      </c>
      <c r="H464" s="12">
        <v>404.03</v>
      </c>
      <c r="I464" s="12">
        <v>448.27</v>
      </c>
      <c r="J464" s="12">
        <v>402.19</v>
      </c>
      <c r="K464" s="12">
        <v>354.54</v>
      </c>
      <c r="L464" s="12">
        <v>285.69</v>
      </c>
      <c r="M464" s="12">
        <v>222.18</v>
      </c>
      <c r="N464" s="12">
        <v>68.930000000000007</v>
      </c>
      <c r="O464" s="12">
        <v>213.26</v>
      </c>
      <c r="P464" s="12">
        <v>258.33999999999997</v>
      </c>
      <c r="Q464" s="12">
        <v>269.55</v>
      </c>
      <c r="R464" s="12">
        <v>282.18</v>
      </c>
      <c r="S464" s="12">
        <v>298.91000000000003</v>
      </c>
      <c r="T464" s="12">
        <v>311.99</v>
      </c>
      <c r="U464" s="12">
        <v>359.03</v>
      </c>
      <c r="V464" s="12">
        <v>337.81</v>
      </c>
      <c r="W464" s="12">
        <v>330.65</v>
      </c>
      <c r="X464" s="12">
        <v>333.23</v>
      </c>
      <c r="Y464" s="12">
        <v>308.7</v>
      </c>
      <c r="AA464" s="17">
        <f>MAX($B$464:$Y$464)</f>
        <v>448.27</v>
      </c>
      <c r="AB464" s="17">
        <f>MIN($B$464:$Y$464)</f>
        <v>68.930000000000007</v>
      </c>
      <c r="AC464" s="17">
        <f>AVERAGE($B$464:$Y$464)</f>
        <v>317.55166666666702</v>
      </c>
    </row>
    <row r="465" spans="1:29">
      <c r="A465" s="10">
        <v>45755</v>
      </c>
      <c r="B465" s="12">
        <v>341.97</v>
      </c>
      <c r="C465" s="12">
        <v>327.64</v>
      </c>
      <c r="D465" s="12">
        <v>355.37</v>
      </c>
      <c r="E465" s="12">
        <v>325.47000000000003</v>
      </c>
      <c r="F465" s="12">
        <v>307.64</v>
      </c>
      <c r="G465" s="12">
        <v>314.99</v>
      </c>
      <c r="H465" s="12">
        <v>403.66</v>
      </c>
      <c r="I465" s="12">
        <v>370.18</v>
      </c>
      <c r="J465" s="12">
        <v>716.88</v>
      </c>
      <c r="K465" s="12">
        <v>613.41999999999996</v>
      </c>
      <c r="L465" s="12">
        <v>357.1</v>
      </c>
      <c r="M465" s="12">
        <v>357.04</v>
      </c>
      <c r="N465" s="12">
        <v>266.91000000000003</v>
      </c>
      <c r="O465" s="12">
        <v>311.11</v>
      </c>
      <c r="P465" s="12">
        <v>303.67</v>
      </c>
      <c r="Q465" s="12">
        <v>305.14999999999998</v>
      </c>
      <c r="R465" s="12">
        <v>330.31</v>
      </c>
      <c r="S465" s="12">
        <v>352.05</v>
      </c>
      <c r="T465" s="12">
        <v>345.9</v>
      </c>
      <c r="U465" s="12">
        <v>383.17</v>
      </c>
      <c r="V465" s="12">
        <v>385.13</v>
      </c>
      <c r="W465" s="12">
        <v>354.29</v>
      </c>
      <c r="X465" s="12">
        <v>360.25</v>
      </c>
      <c r="Y465" s="12">
        <v>328.63</v>
      </c>
      <c r="AA465" s="17">
        <f>MAX($B$465:$Y$465)</f>
        <v>716.88</v>
      </c>
      <c r="AB465" s="17">
        <f>MIN($B$465:$Y$465)</f>
        <v>266.91000000000003</v>
      </c>
      <c r="AC465" s="17">
        <f>AVERAGE($B$465:$Y$465)</f>
        <v>367.41374999999999</v>
      </c>
    </row>
    <row r="466" spans="1:29">
      <c r="A466" s="10">
        <v>45756</v>
      </c>
      <c r="B466" s="12">
        <v>342.28</v>
      </c>
      <c r="C466" s="12">
        <v>349.72</v>
      </c>
      <c r="D466" s="12">
        <v>327.07</v>
      </c>
      <c r="E466" s="12">
        <v>321.66000000000003</v>
      </c>
      <c r="F466" s="12">
        <v>311.60000000000002</v>
      </c>
      <c r="G466" s="12">
        <v>312.67</v>
      </c>
      <c r="H466" s="12">
        <v>366.07</v>
      </c>
      <c r="I466" s="12">
        <v>387.01</v>
      </c>
      <c r="J466" s="12">
        <v>347.36</v>
      </c>
      <c r="K466" s="12">
        <v>337.04</v>
      </c>
      <c r="L466" s="12">
        <v>322.86</v>
      </c>
      <c r="M466" s="12">
        <v>301.77999999999997</v>
      </c>
      <c r="N466" s="12">
        <v>190.16</v>
      </c>
      <c r="O466" s="12">
        <v>306.55</v>
      </c>
      <c r="P466" s="12">
        <v>289.76</v>
      </c>
      <c r="Q466" s="12">
        <v>315.27</v>
      </c>
      <c r="R466" s="12">
        <v>332.04</v>
      </c>
      <c r="S466" s="12">
        <v>322.22000000000003</v>
      </c>
      <c r="T466" s="12">
        <v>324.89</v>
      </c>
      <c r="U466" s="12">
        <v>350.4</v>
      </c>
      <c r="V466" s="12">
        <v>354.98</v>
      </c>
      <c r="W466" s="12">
        <v>358.51</v>
      </c>
      <c r="X466" s="12">
        <v>356.45</v>
      </c>
      <c r="Y466" s="12">
        <v>325.89</v>
      </c>
      <c r="AA466" s="17">
        <f>MAX($B$466:$Y$466)</f>
        <v>387.01</v>
      </c>
      <c r="AB466" s="17">
        <f>MIN($B$466:$Y$466)</f>
        <v>190.16</v>
      </c>
      <c r="AC466" s="17">
        <f>AVERAGE($B$466:$Y$466)</f>
        <v>327.26</v>
      </c>
    </row>
    <row r="467" spans="1:29">
      <c r="A467" s="10">
        <v>45757</v>
      </c>
      <c r="B467" s="12">
        <v>330.85</v>
      </c>
      <c r="C467" s="12">
        <v>425.72</v>
      </c>
      <c r="D467" s="12">
        <v>337.17</v>
      </c>
      <c r="E467" s="12">
        <v>323.33</v>
      </c>
      <c r="F467" s="12">
        <v>321.47000000000003</v>
      </c>
      <c r="G467" s="12">
        <v>323.02999999999997</v>
      </c>
      <c r="H467" s="12">
        <v>397.85</v>
      </c>
      <c r="I467" s="12">
        <v>386.57</v>
      </c>
      <c r="J467" s="12">
        <v>367.05</v>
      </c>
      <c r="K467" s="12">
        <v>357.39</v>
      </c>
      <c r="L467" s="12">
        <v>337.82</v>
      </c>
      <c r="M467" s="12">
        <v>306.18</v>
      </c>
      <c r="N467" s="12">
        <v>186</v>
      </c>
      <c r="O467" s="12">
        <v>296.83999999999997</v>
      </c>
      <c r="P467" s="12">
        <v>299.19</v>
      </c>
      <c r="Q467" s="12">
        <v>333.25</v>
      </c>
      <c r="R467" s="12">
        <v>339.42</v>
      </c>
      <c r="S467" s="12">
        <v>341.28</v>
      </c>
      <c r="T467" s="12">
        <v>325.95999999999998</v>
      </c>
      <c r="U467" s="12">
        <v>374.16</v>
      </c>
      <c r="V467" s="12">
        <v>350.53</v>
      </c>
      <c r="W467" s="12">
        <v>358.32</v>
      </c>
      <c r="X467" s="12">
        <v>359.04</v>
      </c>
      <c r="Y467" s="12">
        <v>326.54000000000002</v>
      </c>
      <c r="AA467" s="17">
        <f>MAX($B$467:$Y$467)</f>
        <v>425.72</v>
      </c>
      <c r="AB467" s="17">
        <f>MIN($B$467:$Y$467)</f>
        <v>186</v>
      </c>
      <c r="AC467" s="17">
        <f>AVERAGE($B$467:$Y$467)</f>
        <v>337.70666666666699</v>
      </c>
    </row>
    <row r="468" spans="1:29">
      <c r="A468" s="10">
        <v>45758</v>
      </c>
      <c r="B468" s="12">
        <v>390.94</v>
      </c>
      <c r="C468" s="12">
        <v>464.15</v>
      </c>
      <c r="D468" s="12">
        <v>375.02</v>
      </c>
      <c r="E468" s="12">
        <v>325.29000000000002</v>
      </c>
      <c r="F468" s="12">
        <v>316</v>
      </c>
      <c r="G468" s="12">
        <v>315.11</v>
      </c>
      <c r="H468" s="12">
        <v>341.12</v>
      </c>
      <c r="I468" s="12">
        <v>322.82</v>
      </c>
      <c r="J468" s="12">
        <v>370.46</v>
      </c>
      <c r="K468" s="12">
        <v>487.6</v>
      </c>
      <c r="L468" s="12">
        <v>364.3</v>
      </c>
      <c r="M468" s="12">
        <v>369.78</v>
      </c>
      <c r="N468" s="12">
        <v>223</v>
      </c>
      <c r="O468" s="12">
        <v>327.88</v>
      </c>
      <c r="P468" s="12">
        <v>312.25</v>
      </c>
      <c r="Q468" s="12">
        <v>338.99</v>
      </c>
      <c r="R468" s="12">
        <v>352.66</v>
      </c>
      <c r="S468" s="12">
        <v>348.98</v>
      </c>
      <c r="T468" s="12">
        <v>316.92</v>
      </c>
      <c r="U468" s="12">
        <v>329.32</v>
      </c>
      <c r="V468" s="12">
        <v>326.95</v>
      </c>
      <c r="W468" s="12">
        <v>326.5</v>
      </c>
      <c r="X468" s="12">
        <v>333.69</v>
      </c>
      <c r="Y468" s="12">
        <v>317.66000000000003</v>
      </c>
      <c r="AA468" s="17">
        <f>MAX($B$468:$Y$468)</f>
        <v>487.6</v>
      </c>
      <c r="AB468" s="17">
        <f>MIN($B$468:$Y$468)</f>
        <v>223</v>
      </c>
      <c r="AC468" s="17">
        <f>AVERAGE($B$468:$Y$468)</f>
        <v>345.72458333333299</v>
      </c>
    </row>
    <row r="469" spans="1:29">
      <c r="A469" s="10">
        <v>45759</v>
      </c>
      <c r="B469" s="12">
        <v>384.58</v>
      </c>
      <c r="C469" s="12">
        <v>428.38</v>
      </c>
      <c r="D469" s="12">
        <v>355.35</v>
      </c>
      <c r="E469" s="12">
        <v>324.29000000000002</v>
      </c>
      <c r="F469" s="12">
        <v>300.51</v>
      </c>
      <c r="G469" s="12">
        <v>308.10000000000002</v>
      </c>
      <c r="H469" s="12">
        <v>318.04000000000002</v>
      </c>
      <c r="I469" s="12">
        <v>320.04000000000002</v>
      </c>
      <c r="J469" s="12">
        <v>340.86</v>
      </c>
      <c r="K469" s="12">
        <v>368.79</v>
      </c>
      <c r="L469" s="12">
        <v>367.12</v>
      </c>
      <c r="M469" s="12">
        <v>474.65</v>
      </c>
      <c r="N469" s="12">
        <v>329.5</v>
      </c>
      <c r="O469" s="12">
        <v>425.76</v>
      </c>
      <c r="P469" s="12">
        <v>460</v>
      </c>
      <c r="Q469" s="12">
        <v>399.07</v>
      </c>
      <c r="R469" s="12">
        <v>360.49</v>
      </c>
      <c r="S469" s="12">
        <v>313.61</v>
      </c>
      <c r="T469" s="12">
        <v>302.45999999999998</v>
      </c>
      <c r="U469" s="12">
        <v>302.83</v>
      </c>
      <c r="V469" s="12">
        <v>299.89999999999998</v>
      </c>
      <c r="W469" s="12">
        <v>295.3</v>
      </c>
      <c r="X469" s="12">
        <v>282.35000000000002</v>
      </c>
      <c r="Y469" s="12">
        <v>183.4</v>
      </c>
      <c r="AA469" s="17">
        <f>MAX($B$469:$Y$469)</f>
        <v>474.65</v>
      </c>
      <c r="AB469" s="17">
        <f>MIN($B$469:$Y$469)</f>
        <v>183.4</v>
      </c>
      <c r="AC469" s="17">
        <f>AVERAGE($B$469:$Y$469)</f>
        <v>343.5575</v>
      </c>
    </row>
    <row r="470" spans="1:29">
      <c r="A470" s="10">
        <v>45760</v>
      </c>
      <c r="B470" s="12">
        <v>465.41</v>
      </c>
      <c r="C470" s="12">
        <v>287.38</v>
      </c>
      <c r="D470" s="12">
        <v>280.22000000000003</v>
      </c>
      <c r="E470" s="12">
        <v>266.58</v>
      </c>
      <c r="F470" s="12">
        <v>270.07</v>
      </c>
      <c r="G470" s="12">
        <v>273.89999999999998</v>
      </c>
      <c r="H470" s="12">
        <v>298.89999999999998</v>
      </c>
      <c r="I470" s="12">
        <v>266.63</v>
      </c>
      <c r="J470" s="12">
        <v>138.47999999999999</v>
      </c>
      <c r="K470" s="12">
        <v>263.66000000000003</v>
      </c>
      <c r="L470" s="12">
        <v>133.35</v>
      </c>
      <c r="M470" s="12">
        <v>144.36000000000001</v>
      </c>
      <c r="N470" s="12">
        <v>201.92</v>
      </c>
      <c r="O470" s="12">
        <v>298.77</v>
      </c>
      <c r="P470" s="12">
        <v>240.83</v>
      </c>
      <c r="Q470" s="12">
        <v>273.42</v>
      </c>
      <c r="R470" s="12">
        <v>302.45</v>
      </c>
      <c r="S470" s="12">
        <v>303.97000000000003</v>
      </c>
      <c r="T470" s="12">
        <v>314.01</v>
      </c>
      <c r="U470" s="12">
        <v>322.66000000000003</v>
      </c>
      <c r="V470" s="12">
        <v>335.35</v>
      </c>
      <c r="W470" s="12">
        <v>335.21</v>
      </c>
      <c r="X470" s="12">
        <v>330.66</v>
      </c>
      <c r="Y470" s="12">
        <v>306.54000000000002</v>
      </c>
      <c r="AA470" s="17">
        <f>MAX($B$470:$Y$470)</f>
        <v>465.41</v>
      </c>
      <c r="AB470" s="17">
        <f>MIN($B$470:$Y$470)</f>
        <v>133.35</v>
      </c>
      <c r="AC470" s="17">
        <f>AVERAGE($B$470:$Y$470)</f>
        <v>277.28041666666701</v>
      </c>
    </row>
    <row r="471" spans="1:29">
      <c r="A471" s="10">
        <v>45761</v>
      </c>
      <c r="B471" s="12">
        <v>319.87</v>
      </c>
      <c r="C471" s="12">
        <v>300.77999999999997</v>
      </c>
      <c r="D471" s="12">
        <v>297.08</v>
      </c>
      <c r="E471" s="12">
        <v>292.87</v>
      </c>
      <c r="F471" s="12">
        <v>289.25</v>
      </c>
      <c r="G471" s="12">
        <v>290.54000000000002</v>
      </c>
      <c r="H471" s="12">
        <v>322.45999999999998</v>
      </c>
      <c r="I471" s="12">
        <v>229.66</v>
      </c>
      <c r="J471" s="12">
        <v>282.87</v>
      </c>
      <c r="K471" s="12">
        <v>215.61</v>
      </c>
      <c r="L471" s="12">
        <v>50.97</v>
      </c>
      <c r="M471" s="12">
        <v>223.03</v>
      </c>
      <c r="N471" s="12">
        <v>142.36000000000001</v>
      </c>
      <c r="O471" s="12">
        <v>194.85</v>
      </c>
      <c r="P471" s="12">
        <v>126.89</v>
      </c>
      <c r="Q471" s="12">
        <v>248.14</v>
      </c>
      <c r="R471" s="12">
        <v>292.54000000000002</v>
      </c>
      <c r="S471" s="12">
        <v>315.67</v>
      </c>
      <c r="T471" s="12">
        <v>321.83999999999997</v>
      </c>
      <c r="U471" s="12">
        <v>336.75</v>
      </c>
      <c r="V471" s="12">
        <v>334.43</v>
      </c>
      <c r="W471" s="12">
        <v>333.65</v>
      </c>
      <c r="X471" s="12">
        <v>330.1</v>
      </c>
      <c r="Y471" s="12">
        <v>308.22000000000003</v>
      </c>
      <c r="AA471" s="17">
        <f>MAX($B$471:$Y$471)</f>
        <v>336.75</v>
      </c>
      <c r="AB471" s="17">
        <f>MIN($B$471:$Y$471)</f>
        <v>50.97</v>
      </c>
      <c r="AC471" s="17">
        <f>AVERAGE($B$471:$Y$471)</f>
        <v>266.68458333333302</v>
      </c>
    </row>
    <row r="472" spans="1:29">
      <c r="A472" s="10">
        <v>45762</v>
      </c>
      <c r="B472" s="12">
        <v>316.08</v>
      </c>
      <c r="C472" s="12">
        <v>314.63</v>
      </c>
      <c r="D472" s="12">
        <v>308.20999999999998</v>
      </c>
      <c r="E472" s="12">
        <v>300.51</v>
      </c>
      <c r="F472" s="12">
        <v>299.56</v>
      </c>
      <c r="G472" s="12">
        <v>304.33999999999997</v>
      </c>
      <c r="H472" s="12">
        <v>320.48</v>
      </c>
      <c r="I472" s="12">
        <v>303.77999999999997</v>
      </c>
      <c r="J472" s="12">
        <v>311.66000000000003</v>
      </c>
      <c r="K472" s="12">
        <v>215.4</v>
      </c>
      <c r="L472" s="12">
        <v>26.42</v>
      </c>
      <c r="M472" s="12">
        <v>12.02</v>
      </c>
      <c r="N472" s="12">
        <v>90.02</v>
      </c>
      <c r="O472" s="12">
        <v>238.14</v>
      </c>
      <c r="P472" s="12">
        <v>91.14</v>
      </c>
      <c r="Q472" s="12">
        <v>282.32</v>
      </c>
      <c r="R472" s="12">
        <v>305.08999999999997</v>
      </c>
      <c r="S472" s="12">
        <v>322.94</v>
      </c>
      <c r="T472" s="12">
        <v>318.24</v>
      </c>
      <c r="U472" s="12">
        <v>333.87</v>
      </c>
      <c r="V472" s="12">
        <v>334.29</v>
      </c>
      <c r="W472" s="12">
        <v>324.44</v>
      </c>
      <c r="X472" s="12">
        <v>321.08</v>
      </c>
      <c r="Y472" s="12">
        <v>306.02</v>
      </c>
      <c r="AA472" s="17">
        <f>MAX($B$472:$Y$472)</f>
        <v>334.29</v>
      </c>
      <c r="AB472" s="17">
        <f>MIN($B$472:$Y$472)</f>
        <v>12.02</v>
      </c>
      <c r="AC472" s="17">
        <f>AVERAGE($B$472:$Y$472)</f>
        <v>262.52833333333302</v>
      </c>
    </row>
    <row r="473" spans="1:29">
      <c r="A473" s="10">
        <v>45763</v>
      </c>
      <c r="B473" s="12">
        <v>300.32</v>
      </c>
      <c r="C473" s="12">
        <v>295.75</v>
      </c>
      <c r="D473" s="12">
        <v>290.31</v>
      </c>
      <c r="E473" s="12">
        <v>280.33999999999997</v>
      </c>
      <c r="F473" s="12">
        <v>282.04000000000002</v>
      </c>
      <c r="G473" s="12">
        <v>276.69</v>
      </c>
      <c r="H473" s="12">
        <v>292.2</v>
      </c>
      <c r="I473" s="12">
        <v>280.70999999999998</v>
      </c>
      <c r="J473" s="12">
        <v>265.14999999999998</v>
      </c>
      <c r="K473" s="12">
        <v>143.77000000000001</v>
      </c>
      <c r="L473" s="12">
        <v>143.56</v>
      </c>
      <c r="M473" s="12">
        <v>202.19</v>
      </c>
      <c r="N473" s="12">
        <v>51.46</v>
      </c>
      <c r="O473" s="12">
        <v>263.43</v>
      </c>
      <c r="P473" s="12">
        <v>169.2</v>
      </c>
      <c r="Q473" s="12">
        <v>117.13</v>
      </c>
      <c r="R473" s="12">
        <v>278.67</v>
      </c>
      <c r="S473" s="12">
        <v>309.41000000000003</v>
      </c>
      <c r="T473" s="12">
        <v>299.81</v>
      </c>
      <c r="U473" s="12">
        <v>325.77999999999997</v>
      </c>
      <c r="V473" s="12">
        <v>316.05</v>
      </c>
      <c r="W473" s="12">
        <v>302.77999999999997</v>
      </c>
      <c r="X473" s="12">
        <v>294.64999999999998</v>
      </c>
      <c r="Y473" s="12">
        <v>271.62</v>
      </c>
      <c r="AA473" s="17">
        <f>MAX($B$473:$Y$473)</f>
        <v>325.77999999999997</v>
      </c>
      <c r="AB473" s="17">
        <f>MIN($B$473:$Y$473)</f>
        <v>51.46</v>
      </c>
      <c r="AC473" s="17">
        <f>AVERAGE($B$473:$Y$473)</f>
        <v>252.20916666666699</v>
      </c>
    </row>
    <row r="474" spans="1:29">
      <c r="A474" s="10">
        <v>45764</v>
      </c>
      <c r="B474" s="12">
        <v>319.02999999999997</v>
      </c>
      <c r="C474" s="12">
        <v>301.08999999999997</v>
      </c>
      <c r="D474" s="12">
        <v>300.3</v>
      </c>
      <c r="E474" s="12">
        <v>274.94</v>
      </c>
      <c r="F474" s="12">
        <v>274</v>
      </c>
      <c r="G474" s="12">
        <v>281.10000000000002</v>
      </c>
      <c r="H474" s="12">
        <v>288.5</v>
      </c>
      <c r="I474" s="12">
        <v>287.31</v>
      </c>
      <c r="J474" s="12">
        <v>313.44</v>
      </c>
      <c r="K474" s="12">
        <v>304.98</v>
      </c>
      <c r="L474" s="12">
        <v>290.75</v>
      </c>
      <c r="M474" s="12">
        <v>326.22000000000003</v>
      </c>
      <c r="N474" s="12">
        <v>217.22</v>
      </c>
      <c r="O474" s="12">
        <v>339.35</v>
      </c>
      <c r="P474" s="12">
        <v>313.08999999999997</v>
      </c>
      <c r="Q474" s="12">
        <v>317.25</v>
      </c>
      <c r="R474" s="12">
        <v>323.83999999999997</v>
      </c>
      <c r="S474" s="12">
        <v>326.37</v>
      </c>
      <c r="T474" s="12">
        <v>357.13</v>
      </c>
      <c r="U474" s="12">
        <v>570.25</v>
      </c>
      <c r="V474" s="12">
        <v>737.82</v>
      </c>
      <c r="W474" s="12">
        <v>624.25</v>
      </c>
      <c r="X474" s="12">
        <v>409.48</v>
      </c>
      <c r="Y474" s="12">
        <v>284.08</v>
      </c>
      <c r="AA474" s="17">
        <f>MAX($B$474:$Y$474)</f>
        <v>737.82</v>
      </c>
      <c r="AB474" s="17">
        <f>MIN($B$474:$Y$474)</f>
        <v>217.22</v>
      </c>
      <c r="AC474" s="17">
        <f>AVERAGE($B$474:$Y$474)</f>
        <v>349.24124999999998</v>
      </c>
    </row>
    <row r="475" spans="1:29">
      <c r="A475" s="10">
        <v>45765</v>
      </c>
      <c r="B475" s="12">
        <v>363.47</v>
      </c>
      <c r="C475" s="12">
        <v>400.09</v>
      </c>
      <c r="D475" s="12">
        <v>339.89</v>
      </c>
      <c r="E475" s="12">
        <v>296.06</v>
      </c>
      <c r="F475" s="12">
        <v>273.33</v>
      </c>
      <c r="G475" s="12">
        <v>288</v>
      </c>
      <c r="H475" s="12">
        <v>326.41000000000003</v>
      </c>
      <c r="I475" s="12">
        <v>325.29000000000002</v>
      </c>
      <c r="J475" s="12">
        <v>683.37</v>
      </c>
      <c r="K475" s="12">
        <v>537.04999999999995</v>
      </c>
      <c r="L475" s="12">
        <v>346.98</v>
      </c>
      <c r="M475" s="12">
        <v>402.34</v>
      </c>
      <c r="N475" s="12">
        <v>308.14</v>
      </c>
      <c r="O475" s="12">
        <v>469.82</v>
      </c>
      <c r="P475" s="12">
        <v>449.03</v>
      </c>
      <c r="Q475" s="12">
        <v>374.43</v>
      </c>
      <c r="R475" s="12">
        <v>351</v>
      </c>
      <c r="S475" s="12">
        <v>326.11</v>
      </c>
      <c r="T475" s="12">
        <v>318.75</v>
      </c>
      <c r="U475" s="12">
        <v>370.2</v>
      </c>
      <c r="V475" s="12">
        <v>339.56</v>
      </c>
      <c r="W475" s="12">
        <v>334.44</v>
      </c>
      <c r="X475" s="12">
        <v>319.58</v>
      </c>
      <c r="Y475" s="12">
        <v>289.51</v>
      </c>
      <c r="AA475" s="17">
        <f>MAX($B$475:$Y$475)</f>
        <v>683.37</v>
      </c>
      <c r="AB475" s="17">
        <f>MIN($B$475:$Y$475)</f>
        <v>273.33</v>
      </c>
      <c r="AC475" s="17">
        <f>AVERAGE($B$475:$Y$475)</f>
        <v>368.035416666667</v>
      </c>
    </row>
    <row r="476" spans="1:29">
      <c r="A476" s="10">
        <v>45766</v>
      </c>
      <c r="B476" s="12">
        <v>404.92</v>
      </c>
      <c r="C476" s="12">
        <v>322.2</v>
      </c>
      <c r="D476" s="12">
        <v>308.58999999999997</v>
      </c>
      <c r="E476" s="12">
        <v>290.98</v>
      </c>
      <c r="F476" s="12">
        <v>284.20999999999998</v>
      </c>
      <c r="G476" s="12">
        <v>282.94</v>
      </c>
      <c r="H476" s="12">
        <v>286.57</v>
      </c>
      <c r="I476" s="12">
        <v>294.31</v>
      </c>
      <c r="J476" s="12">
        <v>353.09</v>
      </c>
      <c r="K476" s="12">
        <v>343.68</v>
      </c>
      <c r="L476" s="12">
        <v>329.41</v>
      </c>
      <c r="M476" s="12">
        <v>375.04</v>
      </c>
      <c r="N476" s="12">
        <v>325.13</v>
      </c>
      <c r="O476" s="12">
        <v>424.07</v>
      </c>
      <c r="P476" s="12">
        <v>321.61</v>
      </c>
      <c r="Q476" s="12">
        <v>320.33</v>
      </c>
      <c r="R476" s="12">
        <v>327.95</v>
      </c>
      <c r="S476" s="12">
        <v>328.05</v>
      </c>
      <c r="T476" s="12">
        <v>323.97000000000003</v>
      </c>
      <c r="U476" s="12">
        <v>432.52</v>
      </c>
      <c r="V476" s="12">
        <v>390.59</v>
      </c>
      <c r="W476" s="12">
        <v>367.6</v>
      </c>
      <c r="X476" s="12">
        <v>321.10000000000002</v>
      </c>
      <c r="Y476" s="12">
        <v>291.3</v>
      </c>
      <c r="AA476" s="17">
        <f>MAX($B$476:$Y$476)</f>
        <v>432.52</v>
      </c>
      <c r="AB476" s="17">
        <f>MIN($B$476:$Y$476)</f>
        <v>282.94</v>
      </c>
      <c r="AC476" s="17">
        <f>AVERAGE($B$476:$Y$476)</f>
        <v>335.42333333333301</v>
      </c>
    </row>
    <row r="477" spans="1:29">
      <c r="A477" s="10">
        <v>45767</v>
      </c>
      <c r="B477" s="12">
        <v>425.25</v>
      </c>
      <c r="C477" s="12">
        <v>335.07</v>
      </c>
      <c r="D477" s="12">
        <v>339.06</v>
      </c>
      <c r="E477" s="12">
        <v>317.94</v>
      </c>
      <c r="F477" s="12">
        <v>298.83999999999997</v>
      </c>
      <c r="G477" s="12">
        <v>294.31</v>
      </c>
      <c r="H477" s="12">
        <v>291.51</v>
      </c>
      <c r="I477" s="12">
        <v>288.29000000000002</v>
      </c>
      <c r="J477" s="12">
        <v>285.3</v>
      </c>
      <c r="K477" s="12">
        <v>296</v>
      </c>
      <c r="L477" s="12">
        <v>288.61</v>
      </c>
      <c r="M477" s="12">
        <v>302.18</v>
      </c>
      <c r="N477" s="12">
        <v>294.8</v>
      </c>
      <c r="O477" s="12">
        <v>292.2</v>
      </c>
      <c r="P477" s="12">
        <v>280.43</v>
      </c>
      <c r="Q477" s="12">
        <v>287.23</v>
      </c>
      <c r="R477" s="12">
        <v>301.06</v>
      </c>
      <c r="S477" s="12">
        <v>312.02999999999997</v>
      </c>
      <c r="T477" s="12">
        <v>302.60000000000002</v>
      </c>
      <c r="U477" s="12">
        <v>323.12</v>
      </c>
      <c r="V477" s="12">
        <v>333.71</v>
      </c>
      <c r="W477" s="12">
        <v>335.42</v>
      </c>
      <c r="X477" s="12">
        <v>317.41000000000003</v>
      </c>
      <c r="Y477" s="12">
        <v>287.87</v>
      </c>
      <c r="AA477" s="17">
        <f>MAX($B$477:$Y$477)</f>
        <v>425.25</v>
      </c>
      <c r="AB477" s="17">
        <f>MIN($B$477:$Y$477)</f>
        <v>280.43</v>
      </c>
      <c r="AC477" s="17">
        <f>AVERAGE($B$477:$Y$477)</f>
        <v>309.59333333333302</v>
      </c>
    </row>
    <row r="478" spans="1:29">
      <c r="A478" s="10">
        <v>45768</v>
      </c>
      <c r="B478" s="12">
        <v>295.86</v>
      </c>
      <c r="C478" s="12">
        <v>288.55</v>
      </c>
      <c r="D478" s="12">
        <v>278.18</v>
      </c>
      <c r="E478" s="12">
        <v>266.95999999999998</v>
      </c>
      <c r="F478" s="12">
        <v>232.72</v>
      </c>
      <c r="G478" s="12">
        <v>257.56</v>
      </c>
      <c r="H478" s="12">
        <v>269.92</v>
      </c>
      <c r="I478" s="12">
        <v>277.39999999999998</v>
      </c>
      <c r="J478" s="12">
        <v>312.64</v>
      </c>
      <c r="K478" s="12">
        <v>311.26</v>
      </c>
      <c r="L478" s="12">
        <v>290.70999999999998</v>
      </c>
      <c r="M478" s="12">
        <v>297.08</v>
      </c>
      <c r="N478" s="12">
        <v>200.3</v>
      </c>
      <c r="O478" s="12">
        <v>296.70999999999998</v>
      </c>
      <c r="P478" s="12">
        <v>300.49</v>
      </c>
      <c r="Q478" s="12">
        <v>331.44</v>
      </c>
      <c r="R478" s="12">
        <v>348.91</v>
      </c>
      <c r="S478" s="12">
        <v>339.12</v>
      </c>
      <c r="T478" s="12">
        <v>334.01</v>
      </c>
      <c r="U478" s="12">
        <v>427.28</v>
      </c>
      <c r="V478" s="12">
        <v>418.82</v>
      </c>
      <c r="W478" s="12">
        <v>417.95</v>
      </c>
      <c r="X478" s="12">
        <v>590.41</v>
      </c>
      <c r="Y478" s="12">
        <v>362.57</v>
      </c>
      <c r="AA478" s="17">
        <f>MAX($B$478:$Y$478)</f>
        <v>590.41</v>
      </c>
      <c r="AB478" s="17">
        <f>MIN($B$478:$Y$478)</f>
        <v>200.3</v>
      </c>
      <c r="AC478" s="17">
        <f>AVERAGE($B$478:$Y$478)</f>
        <v>322.785416666667</v>
      </c>
    </row>
    <row r="479" spans="1:29">
      <c r="A479" s="10">
        <v>45769</v>
      </c>
      <c r="B479" s="12">
        <v>514.34</v>
      </c>
      <c r="C479" s="12">
        <v>520.14</v>
      </c>
      <c r="D479" s="12">
        <v>666.98</v>
      </c>
      <c r="E479" s="12">
        <v>383.34</v>
      </c>
      <c r="F479" s="12">
        <v>371.08</v>
      </c>
      <c r="G479" s="12">
        <v>364.08</v>
      </c>
      <c r="H479" s="12">
        <v>490.3</v>
      </c>
      <c r="I479" s="12">
        <v>343.65</v>
      </c>
      <c r="J479" s="12">
        <v>396.63</v>
      </c>
      <c r="K479" s="12">
        <v>398.34</v>
      </c>
      <c r="L479" s="12">
        <v>348.88</v>
      </c>
      <c r="M479" s="12">
        <v>337.7</v>
      </c>
      <c r="N479" s="12">
        <v>308.32</v>
      </c>
      <c r="O479" s="12">
        <v>330.63</v>
      </c>
      <c r="P479" s="12">
        <v>336.65</v>
      </c>
      <c r="Q479" s="12">
        <v>352.03</v>
      </c>
      <c r="R479" s="12">
        <v>365.43</v>
      </c>
      <c r="S479" s="12">
        <v>362.43</v>
      </c>
      <c r="T479" s="12">
        <v>366.03</v>
      </c>
      <c r="U479" s="12">
        <v>725.8</v>
      </c>
      <c r="V479" s="12">
        <v>600.13</v>
      </c>
      <c r="W479" s="12">
        <v>851.32</v>
      </c>
      <c r="X479" s="12">
        <v>1018.37</v>
      </c>
      <c r="Y479" s="12">
        <v>422.31</v>
      </c>
      <c r="AA479" s="17">
        <f>MAX($B$479:$Y$479)</f>
        <v>1018.37</v>
      </c>
      <c r="AB479" s="17">
        <f>MIN($B$479:$Y$479)</f>
        <v>308.32</v>
      </c>
      <c r="AC479" s="17">
        <f>AVERAGE($B$479:$Y$479)</f>
        <v>465.62124999999997</v>
      </c>
    </row>
    <row r="480" spans="1:29">
      <c r="A480" s="10">
        <v>45770</v>
      </c>
      <c r="B480" s="12">
        <v>543.75</v>
      </c>
      <c r="C480" s="12">
        <v>594.86</v>
      </c>
      <c r="D480" s="12">
        <v>541.01</v>
      </c>
      <c r="E480" s="12">
        <v>399.84</v>
      </c>
      <c r="F480" s="12">
        <v>330.57</v>
      </c>
      <c r="G480" s="12">
        <v>331.34</v>
      </c>
      <c r="H480" s="12">
        <v>512.5</v>
      </c>
      <c r="I480" s="12">
        <v>373.97</v>
      </c>
      <c r="J480" s="12">
        <v>708.38</v>
      </c>
      <c r="K480" s="12">
        <v>589.14</v>
      </c>
      <c r="L480" s="12">
        <v>385.73</v>
      </c>
      <c r="M480" s="12">
        <v>427.5</v>
      </c>
      <c r="N480" s="12">
        <v>374.95</v>
      </c>
      <c r="O480" s="12">
        <v>472.17</v>
      </c>
      <c r="P480" s="12">
        <v>390.51</v>
      </c>
      <c r="Q480" s="12">
        <v>403.45</v>
      </c>
      <c r="R480" s="12">
        <v>567.01</v>
      </c>
      <c r="S480" s="12">
        <v>369.62</v>
      </c>
      <c r="T480" s="12">
        <v>322.2</v>
      </c>
      <c r="U480" s="12">
        <v>383.81</v>
      </c>
      <c r="V480" s="12">
        <v>386.7</v>
      </c>
      <c r="W480" s="12">
        <v>401.37</v>
      </c>
      <c r="X480" s="12">
        <v>453.4</v>
      </c>
      <c r="Y480" s="12">
        <v>347.08</v>
      </c>
      <c r="AA480" s="17">
        <f>MAX($B$480:$Y$480)</f>
        <v>708.38</v>
      </c>
      <c r="AB480" s="17">
        <f>MIN($B$480:$Y$480)</f>
        <v>322.2</v>
      </c>
      <c r="AC480" s="17">
        <f>AVERAGE($B$480:$Y$480)</f>
        <v>442.11916666666701</v>
      </c>
    </row>
    <row r="481" spans="1:29">
      <c r="A481" s="10">
        <v>45771</v>
      </c>
      <c r="B481" s="12">
        <v>372</v>
      </c>
      <c r="C481" s="12">
        <v>347.27</v>
      </c>
      <c r="D481" s="12">
        <v>341.14</v>
      </c>
      <c r="E481" s="12">
        <v>318.89</v>
      </c>
      <c r="F481" s="12">
        <v>302.44</v>
      </c>
      <c r="G481" s="12">
        <v>304.74</v>
      </c>
      <c r="H481" s="12">
        <v>312.17</v>
      </c>
      <c r="I481" s="12">
        <v>307.93</v>
      </c>
      <c r="J481" s="12">
        <v>335.25</v>
      </c>
      <c r="K481" s="12">
        <v>312.74</v>
      </c>
      <c r="L481" s="12">
        <v>306.79000000000002</v>
      </c>
      <c r="M481" s="12">
        <v>307.36</v>
      </c>
      <c r="N481" s="12">
        <v>298.60000000000002</v>
      </c>
      <c r="O481" s="12">
        <v>329.04</v>
      </c>
      <c r="P481" s="12">
        <v>299.55</v>
      </c>
      <c r="Q481" s="12">
        <v>330.92</v>
      </c>
      <c r="R481" s="12">
        <v>393.39</v>
      </c>
      <c r="S481" s="12">
        <v>341.77</v>
      </c>
      <c r="T481" s="12">
        <v>319.72000000000003</v>
      </c>
      <c r="U481" s="12">
        <v>345.78</v>
      </c>
      <c r="V481" s="12">
        <v>331.69</v>
      </c>
      <c r="W481" s="12">
        <v>306.56</v>
      </c>
      <c r="X481" s="12">
        <v>314.3</v>
      </c>
      <c r="Y481" s="12">
        <v>302.48</v>
      </c>
      <c r="AA481" s="17">
        <f>MAX($B$481:$Y$481)</f>
        <v>393.39</v>
      </c>
      <c r="AB481" s="17">
        <f>MIN($B$481:$Y$481)</f>
        <v>298.60000000000002</v>
      </c>
      <c r="AC481" s="17">
        <f>AVERAGE($B$481:$Y$481)</f>
        <v>324.27166666666699</v>
      </c>
    </row>
    <row r="482" spans="1:29">
      <c r="A482" s="10">
        <v>45772</v>
      </c>
      <c r="B482" s="12">
        <v>417.77</v>
      </c>
      <c r="C482" s="12">
        <v>331.61</v>
      </c>
      <c r="D482" s="12">
        <v>316.95</v>
      </c>
      <c r="E482" s="12">
        <v>302.24</v>
      </c>
      <c r="F482" s="12">
        <v>297.16000000000003</v>
      </c>
      <c r="G482" s="12">
        <v>294.51</v>
      </c>
      <c r="H482" s="12">
        <v>305.68</v>
      </c>
      <c r="I482" s="12">
        <v>306.85000000000002</v>
      </c>
      <c r="J482" s="12">
        <v>364.29</v>
      </c>
      <c r="K482" s="12">
        <v>367</v>
      </c>
      <c r="L482" s="12">
        <v>372.11</v>
      </c>
      <c r="M482" s="12">
        <v>496.62</v>
      </c>
      <c r="N482" s="12">
        <v>320.82</v>
      </c>
      <c r="O482" s="12">
        <v>343.81</v>
      </c>
      <c r="P482" s="12">
        <v>302.95</v>
      </c>
      <c r="Q482" s="12">
        <v>300.37</v>
      </c>
      <c r="R482" s="12">
        <v>307.68</v>
      </c>
      <c r="S482" s="12">
        <v>303.86</v>
      </c>
      <c r="T482" s="12">
        <v>298.83</v>
      </c>
      <c r="U482" s="12">
        <v>341.21</v>
      </c>
      <c r="V482" s="12">
        <v>316.62</v>
      </c>
      <c r="W482" s="12">
        <v>313.11</v>
      </c>
      <c r="X482" s="12">
        <v>292.74</v>
      </c>
      <c r="Y482" s="12">
        <v>279.75</v>
      </c>
      <c r="AA482" s="17">
        <f>MAX($B$482:$Y$482)</f>
        <v>496.62</v>
      </c>
      <c r="AB482" s="17">
        <f>MIN($B$482:$Y$482)</f>
        <v>279.75</v>
      </c>
      <c r="AC482" s="17">
        <f>AVERAGE($B$482:$Y$482)</f>
        <v>328.93916666666701</v>
      </c>
    </row>
    <row r="483" spans="1:29">
      <c r="A483" s="10">
        <v>45773</v>
      </c>
      <c r="B483" s="12">
        <v>338.6</v>
      </c>
      <c r="C483" s="12">
        <v>285.98</v>
      </c>
      <c r="D483" s="12">
        <v>276.67</v>
      </c>
      <c r="E483" s="12">
        <v>261.88</v>
      </c>
      <c r="F483" s="12">
        <v>231.4</v>
      </c>
      <c r="G483" s="12">
        <v>257.13</v>
      </c>
      <c r="H483" s="12">
        <v>264.87</v>
      </c>
      <c r="I483" s="12">
        <v>272.36</v>
      </c>
      <c r="J483" s="12">
        <v>311.94</v>
      </c>
      <c r="K483" s="12">
        <v>291.69</v>
      </c>
      <c r="L483" s="12">
        <v>267.88</v>
      </c>
      <c r="M483" s="12">
        <v>311.37</v>
      </c>
      <c r="N483" s="12">
        <v>176.01</v>
      </c>
      <c r="O483" s="12">
        <v>303.06</v>
      </c>
      <c r="P483" s="12">
        <v>343.86</v>
      </c>
      <c r="Q483" s="12">
        <v>289.66000000000003</v>
      </c>
      <c r="R483" s="12">
        <v>294.5</v>
      </c>
      <c r="S483" s="12">
        <v>292.16000000000003</v>
      </c>
      <c r="T483" s="12">
        <v>291.39</v>
      </c>
      <c r="U483" s="12">
        <v>305.66000000000003</v>
      </c>
      <c r="V483" s="12">
        <v>303.33</v>
      </c>
      <c r="W483" s="12">
        <v>296.3</v>
      </c>
      <c r="X483" s="12">
        <v>289.85000000000002</v>
      </c>
      <c r="Y483" s="12">
        <v>262.99</v>
      </c>
      <c r="AA483" s="17">
        <f>MAX($B$483:$Y$483)</f>
        <v>343.86</v>
      </c>
      <c r="AB483" s="17">
        <f>MIN($B$483:$Y$483)</f>
        <v>176.01</v>
      </c>
      <c r="AC483" s="17">
        <f>AVERAGE($B$483:$Y$483)</f>
        <v>284.18916666666701</v>
      </c>
    </row>
    <row r="484" spans="1:29">
      <c r="A484" s="10">
        <v>45774</v>
      </c>
      <c r="B484" s="12">
        <v>301.94</v>
      </c>
      <c r="C484" s="12">
        <v>283.88</v>
      </c>
      <c r="D484" s="12">
        <v>273.66000000000003</v>
      </c>
      <c r="E484" s="12">
        <v>272.64</v>
      </c>
      <c r="F484" s="12">
        <v>263.49</v>
      </c>
      <c r="G484" s="12">
        <v>273.42</v>
      </c>
      <c r="H484" s="12">
        <v>301.56</v>
      </c>
      <c r="I484" s="12">
        <v>292.83</v>
      </c>
      <c r="J484" s="12">
        <v>311.29000000000002</v>
      </c>
      <c r="K484" s="12">
        <v>339.48</v>
      </c>
      <c r="L484" s="12">
        <v>311.37</v>
      </c>
      <c r="M484" s="12">
        <v>303.95</v>
      </c>
      <c r="N484" s="12">
        <v>294.02999999999997</v>
      </c>
      <c r="O484" s="12">
        <v>298</v>
      </c>
      <c r="P484" s="12">
        <v>293.32</v>
      </c>
      <c r="Q484" s="12">
        <v>299.82</v>
      </c>
      <c r="R484" s="12">
        <v>318.91000000000003</v>
      </c>
      <c r="S484" s="12">
        <v>306.02</v>
      </c>
      <c r="T484" s="12">
        <v>299.01</v>
      </c>
      <c r="U484" s="12">
        <v>309.27999999999997</v>
      </c>
      <c r="V484" s="12">
        <v>323.07</v>
      </c>
      <c r="W484" s="12">
        <v>318.91000000000003</v>
      </c>
      <c r="X484" s="12">
        <v>313.13</v>
      </c>
      <c r="Y484" s="12">
        <v>296.99</v>
      </c>
      <c r="AA484" s="17">
        <f>MAX($B$484:$Y$484)</f>
        <v>339.48</v>
      </c>
      <c r="AB484" s="17">
        <f>MIN($B$484:$Y$484)</f>
        <v>263.49</v>
      </c>
      <c r="AC484" s="17">
        <f>AVERAGE($B$484:$Y$484)</f>
        <v>300</v>
      </c>
    </row>
    <row r="485" spans="1:29">
      <c r="A485" s="10">
        <v>45775</v>
      </c>
      <c r="B485" s="12">
        <v>314.38</v>
      </c>
      <c r="C485" s="12">
        <v>292.83999999999997</v>
      </c>
      <c r="D485" s="12">
        <v>285.14</v>
      </c>
      <c r="E485" s="12">
        <v>280.33999999999997</v>
      </c>
      <c r="F485" s="12">
        <v>277.23</v>
      </c>
      <c r="G485" s="12">
        <v>280.38</v>
      </c>
      <c r="H485" s="12">
        <v>287.17</v>
      </c>
      <c r="I485" s="12">
        <v>287.89999999999998</v>
      </c>
      <c r="J485" s="12">
        <v>325.17</v>
      </c>
      <c r="K485" s="12">
        <v>287.52</v>
      </c>
      <c r="L485" s="12">
        <v>287.2</v>
      </c>
      <c r="M485" s="12">
        <v>306.24</v>
      </c>
      <c r="N485" s="12">
        <v>307.06</v>
      </c>
      <c r="O485" s="12">
        <v>306.86</v>
      </c>
      <c r="P485" s="12">
        <v>233.54</v>
      </c>
      <c r="Q485" s="12">
        <v>305.83</v>
      </c>
      <c r="R485" s="12">
        <v>315.16000000000003</v>
      </c>
      <c r="S485" s="12">
        <v>348.77</v>
      </c>
      <c r="T485" s="12">
        <v>328.5</v>
      </c>
      <c r="U485" s="12">
        <v>363.85</v>
      </c>
      <c r="V485" s="12">
        <v>388.23</v>
      </c>
      <c r="W485" s="12">
        <v>345.91</v>
      </c>
      <c r="X485" s="12">
        <v>323.38</v>
      </c>
      <c r="Y485" s="12">
        <v>291.24</v>
      </c>
      <c r="AA485" s="17">
        <f>MAX($B$485:$Y$485)</f>
        <v>388.23</v>
      </c>
      <c r="AB485" s="17">
        <f>MIN($B$485:$Y$485)</f>
        <v>233.54</v>
      </c>
      <c r="AC485" s="17">
        <f>AVERAGE($B$485:$Y$485)</f>
        <v>307.07666666666699</v>
      </c>
    </row>
    <row r="486" spans="1:29">
      <c r="A486" s="10">
        <v>45776</v>
      </c>
      <c r="B486" s="12">
        <v>351.59</v>
      </c>
      <c r="C486" s="12">
        <v>328.83</v>
      </c>
      <c r="D486" s="12">
        <v>287.32</v>
      </c>
      <c r="E486" s="12">
        <v>287.68</v>
      </c>
      <c r="F486" s="12">
        <v>285.7</v>
      </c>
      <c r="G486" s="12">
        <v>288.86</v>
      </c>
      <c r="H486" s="12">
        <v>302.33</v>
      </c>
      <c r="I486" s="12">
        <v>275.82</v>
      </c>
      <c r="J486" s="12">
        <v>302.13</v>
      </c>
      <c r="K486" s="12">
        <v>246.19</v>
      </c>
      <c r="L486" s="12">
        <v>198.49</v>
      </c>
      <c r="M486" s="12">
        <v>194.63</v>
      </c>
      <c r="N486" s="12">
        <v>224</v>
      </c>
      <c r="O486" s="12">
        <v>467.86</v>
      </c>
      <c r="P486" s="12">
        <v>591.08000000000004</v>
      </c>
      <c r="Q486" s="12">
        <v>825.28</v>
      </c>
      <c r="R486" s="12">
        <v>894.58</v>
      </c>
      <c r="S486" s="12">
        <v>338.67</v>
      </c>
      <c r="T486" s="12">
        <v>309.05</v>
      </c>
      <c r="U486" s="12">
        <v>387.59</v>
      </c>
      <c r="V486" s="12">
        <v>356.45</v>
      </c>
      <c r="W486" s="12">
        <v>344.19</v>
      </c>
      <c r="X486" s="12">
        <v>329.52</v>
      </c>
      <c r="Y486" s="12">
        <v>307.63</v>
      </c>
      <c r="AA486" s="17">
        <f>MAX($B$486:$Y$486)</f>
        <v>894.58</v>
      </c>
      <c r="AB486" s="17">
        <f>MIN($B$486:$Y$486)</f>
        <v>194.63</v>
      </c>
      <c r="AC486" s="17">
        <f>AVERAGE($B$486:$Y$486)</f>
        <v>363.56124999999997</v>
      </c>
    </row>
    <row r="487" spans="1:29">
      <c r="A487" s="10">
        <v>45777</v>
      </c>
      <c r="B487" s="12">
        <v>626.01</v>
      </c>
      <c r="C487" s="12">
        <v>436.85</v>
      </c>
      <c r="D487" s="12">
        <v>384.75</v>
      </c>
      <c r="E487" s="12">
        <v>327.31</v>
      </c>
      <c r="F487" s="12">
        <v>319.47000000000003</v>
      </c>
      <c r="G487" s="12">
        <v>312.89999999999998</v>
      </c>
      <c r="H487" s="12">
        <v>379.14</v>
      </c>
      <c r="I487" s="12">
        <v>333.47</v>
      </c>
      <c r="J487" s="12">
        <v>347.49</v>
      </c>
      <c r="K487" s="12">
        <v>344.01</v>
      </c>
      <c r="L487" s="12">
        <v>281.26</v>
      </c>
      <c r="M487" s="12">
        <v>273.41000000000003</v>
      </c>
      <c r="N487" s="12">
        <v>277.5</v>
      </c>
      <c r="O487" s="12">
        <v>511.96</v>
      </c>
      <c r="P487" s="12">
        <v>736.74</v>
      </c>
      <c r="Q487" s="12">
        <v>520.84</v>
      </c>
      <c r="R487" s="12">
        <v>409.13</v>
      </c>
      <c r="S487" s="12">
        <v>333.09</v>
      </c>
      <c r="T487" s="12">
        <v>314.26</v>
      </c>
      <c r="U487" s="12">
        <v>370.32</v>
      </c>
      <c r="V487" s="12">
        <v>356.62</v>
      </c>
      <c r="W487" s="12">
        <v>362.48</v>
      </c>
      <c r="X487" s="12">
        <v>434.38</v>
      </c>
      <c r="Y487" s="12">
        <v>425.78</v>
      </c>
      <c r="AA487" s="17">
        <f>MAX($B$487:$Y$487)</f>
        <v>736.74</v>
      </c>
      <c r="AB487" s="17">
        <f>MIN($B$487:$Y$487)</f>
        <v>273.41000000000003</v>
      </c>
      <c r="AC487" s="17">
        <f>AVERAGE($B$487:$Y$487)</f>
        <v>392.46541666666701</v>
      </c>
    </row>
    <row r="488" spans="1:29">
      <c r="A488" s="10">
        <v>45778</v>
      </c>
      <c r="B488" s="12">
        <v>806.74</v>
      </c>
      <c r="C488" s="12">
        <v>1033.56</v>
      </c>
      <c r="D488" s="12">
        <v>650.87</v>
      </c>
      <c r="E488" s="12">
        <v>347.08</v>
      </c>
      <c r="F488" s="12">
        <v>301.33</v>
      </c>
      <c r="G488" s="12">
        <v>293.92</v>
      </c>
      <c r="H488" s="12">
        <v>316.45</v>
      </c>
      <c r="I488" s="12">
        <v>241.98</v>
      </c>
      <c r="J488" s="12">
        <v>3.18</v>
      </c>
      <c r="K488" s="12">
        <v>111.19</v>
      </c>
      <c r="L488" s="12">
        <v>122.74</v>
      </c>
      <c r="M488" s="12">
        <v>111.87</v>
      </c>
      <c r="N488" s="12">
        <v>266.92</v>
      </c>
      <c r="O488" s="12">
        <v>269.94</v>
      </c>
      <c r="P488" s="12">
        <v>112.5</v>
      </c>
      <c r="Q488" s="12">
        <v>0</v>
      </c>
      <c r="R488" s="12">
        <v>29.99</v>
      </c>
      <c r="S488" s="12">
        <v>181.92</v>
      </c>
      <c r="T488" s="12">
        <v>291.01</v>
      </c>
      <c r="U488" s="12">
        <v>508.17</v>
      </c>
      <c r="V488" s="12">
        <v>420.17</v>
      </c>
      <c r="W488" s="12">
        <v>451.67</v>
      </c>
      <c r="X488" s="12">
        <v>686.94</v>
      </c>
      <c r="Y488" s="12">
        <v>333.86</v>
      </c>
      <c r="AA488" s="17">
        <f>MAX($B$488:$Y$488)</f>
        <v>1033.56</v>
      </c>
      <c r="AB488" s="17">
        <f>MIN($B$488:$Y$488)</f>
        <v>0</v>
      </c>
      <c r="AC488" s="17">
        <f>AVERAGE($B$488:$Y$488)</f>
        <v>328.91666666666703</v>
      </c>
    </row>
    <row r="489" spans="1:29">
      <c r="A489" s="10">
        <v>45779</v>
      </c>
      <c r="B489" s="12">
        <v>539.20000000000005</v>
      </c>
      <c r="C489" s="12">
        <v>371.61</v>
      </c>
      <c r="D489" s="12">
        <v>382.63</v>
      </c>
      <c r="E489" s="12">
        <v>295.13</v>
      </c>
      <c r="F489" s="12">
        <v>300.5</v>
      </c>
      <c r="G489" s="12">
        <v>304.27999999999997</v>
      </c>
      <c r="H489" s="12">
        <v>336.43</v>
      </c>
      <c r="I489" s="12">
        <v>289.91000000000003</v>
      </c>
      <c r="J489" s="12">
        <v>228.06</v>
      </c>
      <c r="K489" s="12">
        <v>229.5</v>
      </c>
      <c r="L489" s="12">
        <v>136.57</v>
      </c>
      <c r="M489" s="12">
        <v>189.12</v>
      </c>
      <c r="N489" s="12">
        <v>163.30000000000001</v>
      </c>
      <c r="O489" s="12">
        <v>262.45</v>
      </c>
      <c r="P489" s="12">
        <v>178.59</v>
      </c>
      <c r="Q489" s="12">
        <v>251.5</v>
      </c>
      <c r="R489" s="12">
        <v>287.45999999999998</v>
      </c>
      <c r="S489" s="12">
        <v>316.89999999999998</v>
      </c>
      <c r="T489" s="12">
        <v>336.09</v>
      </c>
      <c r="U489" s="12">
        <v>563.09</v>
      </c>
      <c r="V489" s="12">
        <v>397.49</v>
      </c>
      <c r="W489" s="12">
        <v>606.27</v>
      </c>
      <c r="X489" s="12">
        <v>738.74</v>
      </c>
      <c r="Y489" s="12">
        <v>502.17</v>
      </c>
      <c r="AA489" s="17">
        <f>MAX($B$489:$Y$489)</f>
        <v>738.74</v>
      </c>
      <c r="AB489" s="17">
        <f>MIN($B$489:$Y$489)</f>
        <v>136.57</v>
      </c>
      <c r="AC489" s="17">
        <f>AVERAGE($B$489:$Y$489)</f>
        <v>341.95791666666702</v>
      </c>
    </row>
    <row r="490" spans="1:29">
      <c r="A490" s="10">
        <v>45780</v>
      </c>
      <c r="B490" s="12">
        <v>521.1</v>
      </c>
      <c r="C490" s="12">
        <v>914.41</v>
      </c>
      <c r="D490" s="12">
        <v>891.29</v>
      </c>
      <c r="E490" s="12">
        <v>709.92</v>
      </c>
      <c r="F490" s="12">
        <v>629.04</v>
      </c>
      <c r="G490" s="12">
        <v>467.34</v>
      </c>
      <c r="H490" s="12">
        <v>1007.9</v>
      </c>
      <c r="I490" s="12">
        <v>561.54999999999995</v>
      </c>
      <c r="J490" s="12">
        <v>304.83999999999997</v>
      </c>
      <c r="K490" s="12">
        <v>315.72000000000003</v>
      </c>
      <c r="L490" s="12">
        <v>278.45</v>
      </c>
      <c r="M490" s="12">
        <v>245.97</v>
      </c>
      <c r="N490" s="12">
        <v>214.59</v>
      </c>
      <c r="O490" s="12">
        <v>308.82</v>
      </c>
      <c r="P490" s="12">
        <v>294.14999999999998</v>
      </c>
      <c r="Q490" s="12">
        <v>284.27999999999997</v>
      </c>
      <c r="R490" s="12">
        <v>303.75</v>
      </c>
      <c r="S490" s="12">
        <v>295.77</v>
      </c>
      <c r="T490" s="12">
        <v>300.85000000000002</v>
      </c>
      <c r="U490" s="12">
        <v>332.44</v>
      </c>
      <c r="V490" s="12">
        <v>353.63</v>
      </c>
      <c r="W490" s="12">
        <v>358.63</v>
      </c>
      <c r="X490" s="12">
        <v>374.38</v>
      </c>
      <c r="Y490" s="12">
        <v>314.73</v>
      </c>
      <c r="AA490" s="17">
        <f>MAX($B$490:$Y$490)</f>
        <v>1007.9</v>
      </c>
      <c r="AB490" s="17">
        <f>MIN($B$490:$Y$490)</f>
        <v>214.59</v>
      </c>
      <c r="AC490" s="17">
        <f>AVERAGE($B$490:$Y$490)</f>
        <v>440.98124999999999</v>
      </c>
    </row>
    <row r="491" spans="1:29">
      <c r="A491" s="10">
        <v>45781</v>
      </c>
      <c r="B491" s="12">
        <v>397.64</v>
      </c>
      <c r="C491" s="12">
        <v>418.85</v>
      </c>
      <c r="D491" s="12">
        <v>383.71</v>
      </c>
      <c r="E491" s="12">
        <v>357.49</v>
      </c>
      <c r="F491" s="12">
        <v>345.52</v>
      </c>
      <c r="G491" s="12">
        <v>334.69</v>
      </c>
      <c r="H491" s="12">
        <v>361.32</v>
      </c>
      <c r="I491" s="12">
        <v>307.66000000000003</v>
      </c>
      <c r="J491" s="12">
        <v>306.87</v>
      </c>
      <c r="K491" s="12">
        <v>284.07</v>
      </c>
      <c r="L491" s="12">
        <v>263.67</v>
      </c>
      <c r="M491" s="12">
        <v>281.55</v>
      </c>
      <c r="N491" s="12">
        <v>179.18</v>
      </c>
      <c r="O491" s="12">
        <v>356.37</v>
      </c>
      <c r="P491" s="12">
        <v>291.72000000000003</v>
      </c>
      <c r="Q491" s="12">
        <v>394.7</v>
      </c>
      <c r="R491" s="12">
        <v>354.92</v>
      </c>
      <c r="S491" s="12">
        <v>331.13</v>
      </c>
      <c r="T491" s="12">
        <v>314.13</v>
      </c>
      <c r="U491" s="12">
        <v>337.74</v>
      </c>
      <c r="V491" s="12">
        <v>339.87</v>
      </c>
      <c r="W491" s="12">
        <v>351.53</v>
      </c>
      <c r="X491" s="12">
        <v>473.67</v>
      </c>
      <c r="Y491" s="12">
        <v>335.75</v>
      </c>
      <c r="AA491" s="17">
        <f>MAX($B$491:$Y$491)</f>
        <v>473.67</v>
      </c>
      <c r="AB491" s="17">
        <f>MIN($B$491:$Y$491)</f>
        <v>179.18</v>
      </c>
      <c r="AC491" s="17">
        <f>AVERAGE($B$491:$Y$491)</f>
        <v>337.65625</v>
      </c>
    </row>
    <row r="492" spans="1:29">
      <c r="A492" s="10">
        <v>45782</v>
      </c>
      <c r="B492" s="12">
        <v>505.96</v>
      </c>
      <c r="C492" s="12">
        <v>417.42</v>
      </c>
      <c r="D492" s="12">
        <v>343.89</v>
      </c>
      <c r="E492" s="12">
        <v>320.76</v>
      </c>
      <c r="F492" s="12">
        <v>321.68</v>
      </c>
      <c r="G492" s="12">
        <v>321.88</v>
      </c>
      <c r="H492" s="12">
        <v>339.85</v>
      </c>
      <c r="I492" s="12">
        <v>317.42</v>
      </c>
      <c r="J492" s="12">
        <v>362.34</v>
      </c>
      <c r="K492" s="12">
        <v>557.59</v>
      </c>
      <c r="L492" s="12">
        <v>481.17</v>
      </c>
      <c r="M492" s="12">
        <v>809.02</v>
      </c>
      <c r="N492" s="12">
        <v>320</v>
      </c>
      <c r="O492" s="12">
        <v>511.35</v>
      </c>
      <c r="P492" s="12">
        <v>459.3</v>
      </c>
      <c r="Q492" s="12">
        <v>856.97</v>
      </c>
      <c r="R492" s="12">
        <v>909.94</v>
      </c>
      <c r="S492" s="12">
        <v>543.23</v>
      </c>
      <c r="T492" s="12">
        <v>372.57</v>
      </c>
      <c r="U492" s="12">
        <v>392.19</v>
      </c>
      <c r="V492" s="12">
        <v>434.59</v>
      </c>
      <c r="W492" s="12">
        <v>632.1</v>
      </c>
      <c r="X492" s="12">
        <v>409.6</v>
      </c>
      <c r="Y492" s="12">
        <v>338.49</v>
      </c>
      <c r="AA492" s="17">
        <f>MAX($B$492:$Y$492)</f>
        <v>909.94</v>
      </c>
      <c r="AB492" s="17">
        <f>MIN($B$492:$Y$492)</f>
        <v>317.42</v>
      </c>
      <c r="AC492" s="17">
        <f>AVERAGE($B$492:$Y$492)</f>
        <v>469.97125</v>
      </c>
    </row>
    <row r="493" spans="1:29">
      <c r="A493" s="10">
        <v>45783</v>
      </c>
      <c r="B493" s="12">
        <v>815.61</v>
      </c>
      <c r="C493" s="12">
        <v>982.18</v>
      </c>
      <c r="D493" s="12">
        <v>770.58</v>
      </c>
      <c r="E493" s="12">
        <v>586.75</v>
      </c>
      <c r="F493" s="12">
        <v>430.5</v>
      </c>
      <c r="G493" s="12">
        <v>469.84</v>
      </c>
      <c r="H493" s="12">
        <v>756.33</v>
      </c>
      <c r="I493" s="12">
        <v>361.51</v>
      </c>
      <c r="J493" s="12">
        <v>395.69</v>
      </c>
      <c r="K493" s="12">
        <v>359.37</v>
      </c>
      <c r="L493" s="12">
        <v>374.58</v>
      </c>
      <c r="M493" s="12">
        <v>368.03</v>
      </c>
      <c r="N493" s="12">
        <v>351.73</v>
      </c>
      <c r="O493" s="12">
        <v>716.36</v>
      </c>
      <c r="P493" s="12">
        <v>465.64</v>
      </c>
      <c r="Q493" s="12">
        <v>510.42</v>
      </c>
      <c r="R493" s="12">
        <v>411.43</v>
      </c>
      <c r="S493" s="12">
        <v>457.98</v>
      </c>
      <c r="T493" s="12">
        <v>361.48</v>
      </c>
      <c r="U493" s="12">
        <v>426.4</v>
      </c>
      <c r="V493" s="12">
        <v>431.06</v>
      </c>
      <c r="W493" s="12">
        <v>552.01</v>
      </c>
      <c r="X493" s="12">
        <v>672.34</v>
      </c>
      <c r="Y493" s="12">
        <v>371.66</v>
      </c>
      <c r="AA493" s="17">
        <f>MAX($B$493:$Y$493)</f>
        <v>982.18</v>
      </c>
      <c r="AB493" s="17">
        <f>MIN($B$493:$Y$493)</f>
        <v>351.73</v>
      </c>
      <c r="AC493" s="17">
        <f>AVERAGE($B$493:$Y$493)</f>
        <v>516.64499999999998</v>
      </c>
    </row>
    <row r="494" spans="1:29">
      <c r="A494" s="10">
        <v>45784</v>
      </c>
      <c r="B494" s="12">
        <v>576.78</v>
      </c>
      <c r="C494" s="12">
        <v>371.02</v>
      </c>
      <c r="D494" s="12">
        <v>351.66</v>
      </c>
      <c r="E494" s="12">
        <v>328.47</v>
      </c>
      <c r="F494" s="12">
        <v>317.45</v>
      </c>
      <c r="G494" s="12">
        <v>317.75</v>
      </c>
      <c r="H494" s="12">
        <v>326.92</v>
      </c>
      <c r="I494" s="12">
        <v>317.87</v>
      </c>
      <c r="J494" s="12">
        <v>388.23</v>
      </c>
      <c r="K494" s="12">
        <v>346.25</v>
      </c>
      <c r="L494" s="12">
        <v>309.45999999999998</v>
      </c>
      <c r="M494" s="12">
        <v>325.42</v>
      </c>
      <c r="N494" s="12">
        <v>299.49</v>
      </c>
      <c r="O494" s="12">
        <v>317.27999999999997</v>
      </c>
      <c r="P494" s="12">
        <v>294.83999999999997</v>
      </c>
      <c r="Q494" s="12">
        <v>271.94</v>
      </c>
      <c r="R494" s="12">
        <v>287</v>
      </c>
      <c r="S494" s="12">
        <v>274.89999999999998</v>
      </c>
      <c r="T494" s="12">
        <v>259.67</v>
      </c>
      <c r="U494" s="12">
        <v>294.56</v>
      </c>
      <c r="V494" s="12">
        <v>304.62</v>
      </c>
      <c r="W494" s="12">
        <v>293.91000000000003</v>
      </c>
      <c r="X494" s="12">
        <v>275.2</v>
      </c>
      <c r="Y494" s="12">
        <v>274.74</v>
      </c>
      <c r="AA494" s="17">
        <f>MAX($B$494:$Y$494)</f>
        <v>576.78</v>
      </c>
      <c r="AB494" s="17">
        <f>MIN($B$494:$Y$494)</f>
        <v>259.67</v>
      </c>
      <c r="AC494" s="17">
        <f>AVERAGE($B$494:$Y$494)</f>
        <v>321.89291666666702</v>
      </c>
    </row>
    <row r="495" spans="1:29">
      <c r="A495" s="10">
        <v>45785</v>
      </c>
      <c r="B495" s="12">
        <v>296.63</v>
      </c>
      <c r="C495" s="12">
        <v>296.31</v>
      </c>
      <c r="D495" s="12">
        <v>293.93</v>
      </c>
      <c r="E495" s="12">
        <v>291.62</v>
      </c>
      <c r="F495" s="12">
        <v>288.83999999999997</v>
      </c>
      <c r="G495" s="12">
        <v>294.70999999999998</v>
      </c>
      <c r="H495" s="12">
        <v>306.41000000000003</v>
      </c>
      <c r="I495" s="12">
        <v>294.93</v>
      </c>
      <c r="J495" s="12">
        <v>389.86</v>
      </c>
      <c r="K495" s="12">
        <v>392</v>
      </c>
      <c r="L495" s="12">
        <v>442.63</v>
      </c>
      <c r="M495" s="12">
        <v>641.38</v>
      </c>
      <c r="N495" s="12">
        <v>266.29000000000002</v>
      </c>
      <c r="O495" s="12">
        <v>271.79000000000002</v>
      </c>
      <c r="P495" s="12">
        <v>314.27</v>
      </c>
      <c r="Q495" s="12">
        <v>335.11</v>
      </c>
      <c r="R495" s="12">
        <v>509.25</v>
      </c>
      <c r="S495" s="12">
        <v>372.55</v>
      </c>
      <c r="T495" s="12">
        <v>336.19</v>
      </c>
      <c r="U495" s="12">
        <v>373.07</v>
      </c>
      <c r="V495" s="12">
        <v>420.81</v>
      </c>
      <c r="W495" s="12">
        <v>459.63</v>
      </c>
      <c r="X495" s="12">
        <v>344.45</v>
      </c>
      <c r="Y495" s="12">
        <v>310.49</v>
      </c>
      <c r="AA495" s="17">
        <f>MAX($B$495:$Y$495)</f>
        <v>641.38</v>
      </c>
      <c r="AB495" s="17">
        <f>MIN($B$495:$Y$495)</f>
        <v>266.29000000000002</v>
      </c>
      <c r="AC495" s="17">
        <f>AVERAGE($B$495:$Y$495)</f>
        <v>355.964583333333</v>
      </c>
    </row>
    <row r="496" spans="1:29">
      <c r="A496" s="10">
        <v>45786</v>
      </c>
      <c r="B496" s="12">
        <v>358.76</v>
      </c>
      <c r="C496" s="12">
        <v>347.74</v>
      </c>
      <c r="D496" s="12">
        <v>378.33</v>
      </c>
      <c r="E496" s="12">
        <v>349.13</v>
      </c>
      <c r="F496" s="12">
        <v>321.70999999999998</v>
      </c>
      <c r="G496" s="12">
        <v>318.33999999999997</v>
      </c>
      <c r="H496" s="12">
        <v>358.63</v>
      </c>
      <c r="I496" s="12">
        <v>312.08</v>
      </c>
      <c r="J496" s="12">
        <v>574.38</v>
      </c>
      <c r="K496" s="12">
        <v>827.62</v>
      </c>
      <c r="L496" s="12">
        <v>506.49</v>
      </c>
      <c r="M496" s="12">
        <v>343.04</v>
      </c>
      <c r="N496" s="12">
        <v>290.57</v>
      </c>
      <c r="O496" s="12">
        <v>289.99</v>
      </c>
      <c r="P496" s="12">
        <v>309.01</v>
      </c>
      <c r="Q496" s="12">
        <v>285.57</v>
      </c>
      <c r="R496" s="12">
        <v>278.5</v>
      </c>
      <c r="S496" s="12">
        <v>250.85</v>
      </c>
      <c r="T496" s="12">
        <v>294.02</v>
      </c>
      <c r="U496" s="12">
        <v>331.04</v>
      </c>
      <c r="V496" s="12">
        <v>318.08</v>
      </c>
      <c r="W496" s="12">
        <v>311.73</v>
      </c>
      <c r="X496" s="12">
        <v>312.64999999999998</v>
      </c>
      <c r="Y496" s="12">
        <v>470.1</v>
      </c>
      <c r="AA496" s="17">
        <f>MAX($B$496:$Y$496)</f>
        <v>827.62</v>
      </c>
      <c r="AB496" s="17">
        <f>MIN($B$496:$Y$496)</f>
        <v>250.85</v>
      </c>
      <c r="AC496" s="17">
        <f>AVERAGE($B$496:$Y$496)</f>
        <v>364.09833333333302</v>
      </c>
    </row>
    <row r="497" spans="1:29">
      <c r="A497" s="10">
        <v>45787</v>
      </c>
      <c r="B497" s="12">
        <v>321.26</v>
      </c>
      <c r="C497" s="12">
        <v>310.62</v>
      </c>
      <c r="D497" s="12">
        <v>299.08</v>
      </c>
      <c r="E497" s="12">
        <v>299.55</v>
      </c>
      <c r="F497" s="12">
        <v>283.64999999999998</v>
      </c>
      <c r="G497" s="12">
        <v>283.36</v>
      </c>
      <c r="H497" s="12">
        <v>231.69</v>
      </c>
      <c r="I497" s="12">
        <v>270.60000000000002</v>
      </c>
      <c r="J497" s="12">
        <v>291</v>
      </c>
      <c r="K497" s="12">
        <v>285.7</v>
      </c>
      <c r="L497" s="12">
        <v>287.39</v>
      </c>
      <c r="M497" s="12">
        <v>289.77</v>
      </c>
      <c r="N497" s="12">
        <v>267.81</v>
      </c>
      <c r="O497" s="12">
        <v>294.69</v>
      </c>
      <c r="P497" s="12">
        <v>314.77</v>
      </c>
      <c r="Q497" s="12">
        <v>322.45999999999998</v>
      </c>
      <c r="R497" s="12">
        <v>348.57</v>
      </c>
      <c r="S497" s="12">
        <v>341.11</v>
      </c>
      <c r="T497" s="12">
        <v>314.60000000000002</v>
      </c>
      <c r="U497" s="12">
        <v>318.07</v>
      </c>
      <c r="V497" s="12">
        <v>311.77999999999997</v>
      </c>
      <c r="W497" s="12">
        <v>303.35000000000002</v>
      </c>
      <c r="X497" s="12">
        <v>279.68</v>
      </c>
      <c r="Y497" s="12">
        <v>263.48</v>
      </c>
      <c r="AA497" s="17">
        <f>MAX($B$497:$Y$497)</f>
        <v>348.57</v>
      </c>
      <c r="AB497" s="17">
        <f>MIN($B$497:$Y$497)</f>
        <v>231.69</v>
      </c>
      <c r="AC497" s="17">
        <f>AVERAGE($B$497:$Y$497)</f>
        <v>297.25166666666701</v>
      </c>
    </row>
    <row r="498" spans="1:29">
      <c r="A498" s="10">
        <v>45788</v>
      </c>
      <c r="B498" s="12">
        <v>265.3</v>
      </c>
      <c r="C498" s="12">
        <v>190.4</v>
      </c>
      <c r="D498" s="12">
        <v>199.83</v>
      </c>
      <c r="E498" s="12">
        <v>108.4</v>
      </c>
      <c r="F498" s="12">
        <v>0.68</v>
      </c>
      <c r="G498" s="12">
        <v>42.09</v>
      </c>
      <c r="H498" s="12">
        <v>95.5</v>
      </c>
      <c r="I498" s="12">
        <v>105.29</v>
      </c>
      <c r="J498" s="12">
        <v>96.7</v>
      </c>
      <c r="K498" s="12">
        <v>67.45</v>
      </c>
      <c r="L498" s="12">
        <v>101.5</v>
      </c>
      <c r="M498" s="12">
        <v>39.97</v>
      </c>
      <c r="N498" s="12">
        <v>34.659999999999997</v>
      </c>
      <c r="O498" s="12">
        <v>21.41</v>
      </c>
      <c r="P498" s="12">
        <v>5.96</v>
      </c>
      <c r="Q498" s="12">
        <v>8.98</v>
      </c>
      <c r="R498" s="12">
        <v>68.92</v>
      </c>
      <c r="S498" s="12">
        <v>240.68</v>
      </c>
      <c r="T498" s="12">
        <v>299.99</v>
      </c>
      <c r="U498" s="12">
        <v>303.94</v>
      </c>
      <c r="V498" s="12">
        <v>303.94</v>
      </c>
      <c r="W498" s="12">
        <v>299.68</v>
      </c>
      <c r="X498" s="12">
        <v>293.95999999999998</v>
      </c>
      <c r="Y498" s="12">
        <v>279.32</v>
      </c>
      <c r="AA498" s="17">
        <f>MAX($B$498:$Y$498)</f>
        <v>303.94</v>
      </c>
      <c r="AB498" s="17">
        <f>MIN($B$498:$Y$498)</f>
        <v>0.68</v>
      </c>
      <c r="AC498" s="17">
        <f>AVERAGE($B$498:$Y$498)</f>
        <v>144.77291666666699</v>
      </c>
    </row>
    <row r="499" spans="1:29">
      <c r="A499" s="10">
        <v>45789</v>
      </c>
      <c r="B499" s="12">
        <v>297.82</v>
      </c>
      <c r="C499" s="12">
        <v>283.73</v>
      </c>
      <c r="D499" s="12">
        <v>271.38</v>
      </c>
      <c r="E499" s="12">
        <v>258.38</v>
      </c>
      <c r="F499" s="12">
        <v>216.1</v>
      </c>
      <c r="G499" s="12">
        <v>229.02</v>
      </c>
      <c r="H499" s="12">
        <v>284.36</v>
      </c>
      <c r="I499" s="12">
        <v>181.24</v>
      </c>
      <c r="J499" s="12">
        <v>116.15</v>
      </c>
      <c r="K499" s="12">
        <v>110.8</v>
      </c>
      <c r="L499" s="12">
        <v>81.36</v>
      </c>
      <c r="M499" s="12">
        <v>161.15</v>
      </c>
      <c r="N499" s="12">
        <v>90.9</v>
      </c>
      <c r="O499" s="12">
        <v>131.25</v>
      </c>
      <c r="P499" s="12">
        <v>159.33000000000001</v>
      </c>
      <c r="Q499" s="12">
        <v>67.89</v>
      </c>
      <c r="R499" s="12">
        <v>242.45</v>
      </c>
      <c r="S499" s="12">
        <v>288.24</v>
      </c>
      <c r="T499" s="12">
        <v>305.47000000000003</v>
      </c>
      <c r="U499" s="12">
        <v>319.76</v>
      </c>
      <c r="V499" s="12">
        <v>315.44</v>
      </c>
      <c r="W499" s="12">
        <v>314.11</v>
      </c>
      <c r="X499" s="12">
        <v>292.51</v>
      </c>
      <c r="Y499" s="12">
        <v>273.20999999999998</v>
      </c>
      <c r="AA499" s="17">
        <f>MAX($B$499:$Y$499)</f>
        <v>319.76</v>
      </c>
      <c r="AB499" s="17">
        <f>MIN($B$499:$Y$499)</f>
        <v>67.89</v>
      </c>
      <c r="AC499" s="17">
        <f>AVERAGE($B$499:$Y$499)</f>
        <v>220.50208333333299</v>
      </c>
    </row>
    <row r="500" spans="1:29">
      <c r="A500" s="10">
        <v>45790</v>
      </c>
      <c r="B500" s="12">
        <v>284.14999999999998</v>
      </c>
      <c r="C500" s="12">
        <v>252.25</v>
      </c>
      <c r="D500" s="12">
        <v>233.77</v>
      </c>
      <c r="E500" s="12">
        <v>213.89</v>
      </c>
      <c r="F500" s="12">
        <v>215</v>
      </c>
      <c r="G500" s="12">
        <v>200.64</v>
      </c>
      <c r="H500" s="12">
        <v>232.88</v>
      </c>
      <c r="I500" s="12">
        <v>194.76</v>
      </c>
      <c r="J500" s="12">
        <v>87.78</v>
      </c>
      <c r="K500" s="12">
        <v>102.47</v>
      </c>
      <c r="L500" s="12">
        <v>66.61</v>
      </c>
      <c r="M500" s="12">
        <v>107.51</v>
      </c>
      <c r="N500" s="12">
        <v>97.98</v>
      </c>
      <c r="O500" s="12">
        <v>119.27</v>
      </c>
      <c r="P500" s="12">
        <v>126.19</v>
      </c>
      <c r="Q500" s="12">
        <v>195.24</v>
      </c>
      <c r="R500" s="12">
        <v>337.39</v>
      </c>
      <c r="S500" s="12">
        <v>445.71</v>
      </c>
      <c r="T500" s="12">
        <v>492.54</v>
      </c>
      <c r="U500" s="12">
        <v>528.73</v>
      </c>
      <c r="V500" s="12">
        <v>525.34</v>
      </c>
      <c r="W500" s="12">
        <v>438.86</v>
      </c>
      <c r="X500" s="12">
        <v>365.09</v>
      </c>
      <c r="Y500" s="12">
        <v>320.87</v>
      </c>
      <c r="AA500" s="17">
        <f>MAX($B$500:$Y$500)</f>
        <v>528.73</v>
      </c>
      <c r="AB500" s="17">
        <f>MIN($B$500:$Y$500)</f>
        <v>66.61</v>
      </c>
      <c r="AC500" s="17">
        <f>AVERAGE($B$500:$Y$500)</f>
        <v>257.70499999999998</v>
      </c>
    </row>
    <row r="501" spans="1:29">
      <c r="A501" s="10">
        <v>45791</v>
      </c>
      <c r="B501" s="12">
        <v>380</v>
      </c>
      <c r="C501" s="12">
        <v>316.88</v>
      </c>
      <c r="D501" s="12">
        <v>302.66000000000003</v>
      </c>
      <c r="E501" s="12">
        <v>290.99</v>
      </c>
      <c r="F501" s="12">
        <v>294.56</v>
      </c>
      <c r="G501" s="12">
        <v>296.32</v>
      </c>
      <c r="H501" s="12">
        <v>322.48</v>
      </c>
      <c r="I501" s="12">
        <v>301.49</v>
      </c>
      <c r="J501" s="12">
        <v>331.22</v>
      </c>
      <c r="K501" s="12">
        <v>359.27</v>
      </c>
      <c r="L501" s="12">
        <v>308.73</v>
      </c>
      <c r="M501" s="12">
        <v>300.39999999999998</v>
      </c>
      <c r="N501" s="12">
        <v>286.36</v>
      </c>
      <c r="O501" s="12">
        <v>314.22000000000003</v>
      </c>
      <c r="P501" s="12">
        <v>317</v>
      </c>
      <c r="Q501" s="12">
        <v>346.34</v>
      </c>
      <c r="R501" s="12">
        <v>490.08</v>
      </c>
      <c r="S501" s="12">
        <v>478.28</v>
      </c>
      <c r="T501" s="12">
        <v>581.66</v>
      </c>
      <c r="U501" s="12">
        <v>860.95</v>
      </c>
      <c r="V501" s="12">
        <v>644.32000000000005</v>
      </c>
      <c r="W501" s="12">
        <v>512.19000000000005</v>
      </c>
      <c r="X501" s="12">
        <v>384.08</v>
      </c>
      <c r="Y501" s="12">
        <v>361.79</v>
      </c>
      <c r="AA501" s="17">
        <f>MAX($B$501:$Y$501)</f>
        <v>860.95</v>
      </c>
      <c r="AB501" s="17">
        <f>MIN($B$501:$Y$501)</f>
        <v>286.36</v>
      </c>
      <c r="AC501" s="17">
        <f>AVERAGE($B$501:$Y$501)</f>
        <v>390.92791666666699</v>
      </c>
    </row>
    <row r="502" spans="1:29">
      <c r="A502" s="10">
        <v>45792</v>
      </c>
      <c r="B502" s="12">
        <v>355.49</v>
      </c>
      <c r="C502" s="12">
        <v>380.16</v>
      </c>
      <c r="D502" s="12">
        <v>366.25</v>
      </c>
      <c r="E502" s="12">
        <v>360.06</v>
      </c>
      <c r="F502" s="12">
        <v>338.54</v>
      </c>
      <c r="G502" s="12">
        <v>345.27</v>
      </c>
      <c r="H502" s="12">
        <v>366.01</v>
      </c>
      <c r="I502" s="12">
        <v>331.9</v>
      </c>
      <c r="J502" s="12">
        <v>331.6</v>
      </c>
      <c r="K502" s="12">
        <v>333.33</v>
      </c>
      <c r="L502" s="12">
        <v>315.38</v>
      </c>
      <c r="M502" s="12">
        <v>317.67</v>
      </c>
      <c r="N502" s="12">
        <v>303.62</v>
      </c>
      <c r="O502" s="12">
        <v>314.23</v>
      </c>
      <c r="P502" s="12">
        <v>312.77</v>
      </c>
      <c r="Q502" s="12">
        <v>318.58999999999997</v>
      </c>
      <c r="R502" s="12">
        <v>339.63</v>
      </c>
      <c r="S502" s="12">
        <v>370.65</v>
      </c>
      <c r="T502" s="12">
        <v>433.07</v>
      </c>
      <c r="U502" s="12">
        <v>489.47</v>
      </c>
      <c r="V502" s="12">
        <v>502.23</v>
      </c>
      <c r="W502" s="12">
        <v>469.92</v>
      </c>
      <c r="X502" s="12">
        <v>445.74</v>
      </c>
      <c r="Y502" s="12">
        <v>371.2</v>
      </c>
      <c r="AA502" s="17">
        <f>MAX($B$502:$Y$502)</f>
        <v>502.23</v>
      </c>
      <c r="AB502" s="17">
        <f>MIN($B$502:$Y$502)</f>
        <v>303.62</v>
      </c>
      <c r="AC502" s="17">
        <f>AVERAGE($B$502:$Y$502)</f>
        <v>367.199166666667</v>
      </c>
    </row>
    <row r="503" spans="1:29">
      <c r="A503" s="10">
        <v>45793</v>
      </c>
      <c r="B503" s="12">
        <v>395.56</v>
      </c>
      <c r="C503" s="12">
        <v>397.44</v>
      </c>
      <c r="D503" s="12">
        <v>393.72</v>
      </c>
      <c r="E503" s="12">
        <v>368.71</v>
      </c>
      <c r="F503" s="12">
        <v>360.37</v>
      </c>
      <c r="G503" s="12">
        <v>347.6</v>
      </c>
      <c r="H503" s="12">
        <v>359.9</v>
      </c>
      <c r="I503" s="12">
        <v>355.67</v>
      </c>
      <c r="J503" s="12">
        <v>367.74</v>
      </c>
      <c r="K503" s="12">
        <v>383.99</v>
      </c>
      <c r="L503" s="12">
        <v>479.36</v>
      </c>
      <c r="M503" s="12">
        <v>411.69</v>
      </c>
      <c r="N503" s="12">
        <v>348.42</v>
      </c>
      <c r="O503" s="12">
        <v>408.07</v>
      </c>
      <c r="P503" s="12">
        <v>411.52</v>
      </c>
      <c r="Q503" s="12">
        <v>363.13</v>
      </c>
      <c r="R503" s="12">
        <v>349.98</v>
      </c>
      <c r="S503" s="12">
        <v>394.17</v>
      </c>
      <c r="T503" s="12">
        <v>365.48</v>
      </c>
      <c r="U503" s="12">
        <v>417.78</v>
      </c>
      <c r="V503" s="12">
        <v>402.78</v>
      </c>
      <c r="W503" s="12">
        <v>392.56</v>
      </c>
      <c r="X503" s="12">
        <v>384.86</v>
      </c>
      <c r="Y503" s="12">
        <v>376.52</v>
      </c>
      <c r="AA503" s="17">
        <f>MAX($B$503:$Y$503)</f>
        <v>479.36</v>
      </c>
      <c r="AB503" s="17">
        <f>MIN($B$503:$Y$503)</f>
        <v>347.6</v>
      </c>
      <c r="AC503" s="17">
        <f>AVERAGE($B$503:$Y$503)</f>
        <v>384.87583333333299</v>
      </c>
    </row>
    <row r="504" spans="1:29">
      <c r="A504" s="10">
        <v>45794</v>
      </c>
      <c r="B504" s="12">
        <v>379.1</v>
      </c>
      <c r="C504" s="12">
        <v>357.85</v>
      </c>
      <c r="D504" s="12">
        <v>348.39</v>
      </c>
      <c r="E504" s="12">
        <v>332.7</v>
      </c>
      <c r="F504" s="12">
        <v>327.07</v>
      </c>
      <c r="G504" s="12">
        <v>311.7</v>
      </c>
      <c r="H504" s="12">
        <v>318.36</v>
      </c>
      <c r="I504" s="12">
        <v>320.63</v>
      </c>
      <c r="J504" s="12">
        <v>370.36</v>
      </c>
      <c r="K504" s="12">
        <v>356.4</v>
      </c>
      <c r="L504" s="12">
        <v>352.57</v>
      </c>
      <c r="M504" s="12">
        <v>344.38</v>
      </c>
      <c r="N504" s="12">
        <v>306.57</v>
      </c>
      <c r="O504" s="12">
        <v>346.59</v>
      </c>
      <c r="P504" s="12">
        <v>404.23</v>
      </c>
      <c r="Q504" s="12">
        <v>418.21</v>
      </c>
      <c r="R504" s="12">
        <v>428.89</v>
      </c>
      <c r="S504" s="12">
        <v>384.08</v>
      </c>
      <c r="T504" s="12">
        <v>338.34</v>
      </c>
      <c r="U504" s="12">
        <v>352.09</v>
      </c>
      <c r="V504" s="12">
        <v>418.48</v>
      </c>
      <c r="W504" s="12">
        <v>384.16</v>
      </c>
      <c r="X504" s="12">
        <v>366.65</v>
      </c>
      <c r="Y504" s="12">
        <v>384.57</v>
      </c>
      <c r="AA504" s="17">
        <f>MAX($B$504:$Y$504)</f>
        <v>428.89</v>
      </c>
      <c r="AB504" s="17">
        <f>MIN($B$504:$Y$504)</f>
        <v>306.57</v>
      </c>
      <c r="AC504" s="17">
        <f>AVERAGE($B$504:$Y$504)</f>
        <v>360.51541666666702</v>
      </c>
    </row>
    <row r="505" spans="1:29">
      <c r="A505" s="10">
        <v>45795</v>
      </c>
      <c r="B505" s="12">
        <v>370.52</v>
      </c>
      <c r="C505" s="12">
        <v>373.28</v>
      </c>
      <c r="D505" s="12">
        <v>346.79</v>
      </c>
      <c r="E505" s="12">
        <v>335.32</v>
      </c>
      <c r="F505" s="12">
        <v>318.14</v>
      </c>
      <c r="G505" s="12">
        <v>306.52999999999997</v>
      </c>
      <c r="H505" s="12">
        <v>315.7</v>
      </c>
      <c r="I505" s="12">
        <v>302.75</v>
      </c>
      <c r="J505" s="12">
        <v>300.02</v>
      </c>
      <c r="K505" s="12">
        <v>300.92</v>
      </c>
      <c r="L505" s="12">
        <v>298.77999999999997</v>
      </c>
      <c r="M505" s="12">
        <v>302.36</v>
      </c>
      <c r="N505" s="12">
        <v>282.22000000000003</v>
      </c>
      <c r="O505" s="12">
        <v>319.77999999999997</v>
      </c>
      <c r="P505" s="12">
        <v>301.06</v>
      </c>
      <c r="Q505" s="12">
        <v>309.77999999999997</v>
      </c>
      <c r="R505" s="12">
        <v>325.18</v>
      </c>
      <c r="S505" s="12">
        <v>338.01</v>
      </c>
      <c r="T505" s="12">
        <v>335.19</v>
      </c>
      <c r="U505" s="12">
        <v>320.45999999999998</v>
      </c>
      <c r="V505" s="12">
        <v>373</v>
      </c>
      <c r="W505" s="12">
        <v>367.79</v>
      </c>
      <c r="X505" s="12">
        <v>350.06</v>
      </c>
      <c r="Y505" s="12">
        <v>339.53</v>
      </c>
      <c r="AA505" s="17">
        <f>MAX($B$505:$Y$505)</f>
        <v>373.28</v>
      </c>
      <c r="AB505" s="17">
        <f>MIN($B$505:$Y$505)</f>
        <v>282.22000000000003</v>
      </c>
      <c r="AC505" s="17">
        <f>AVERAGE($B$505:$Y$505)</f>
        <v>326.38208333333301</v>
      </c>
    </row>
    <row r="506" spans="1:29">
      <c r="A506" s="10">
        <v>45796</v>
      </c>
      <c r="B506" s="12">
        <v>334.61</v>
      </c>
      <c r="C506" s="12">
        <v>322.64</v>
      </c>
      <c r="D506" s="12">
        <v>310.60000000000002</v>
      </c>
      <c r="E506" s="12">
        <v>300.05</v>
      </c>
      <c r="F506" s="12">
        <v>295.8</v>
      </c>
      <c r="G506" s="12">
        <v>295.81</v>
      </c>
      <c r="H506" s="12">
        <v>310.08</v>
      </c>
      <c r="I506" s="12">
        <v>311.57</v>
      </c>
      <c r="J506" s="12">
        <v>373.78</v>
      </c>
      <c r="K506" s="12">
        <v>464.22</v>
      </c>
      <c r="L506" s="12">
        <v>394.66</v>
      </c>
      <c r="M506" s="12">
        <v>341.81</v>
      </c>
      <c r="N506" s="12">
        <v>280.69</v>
      </c>
      <c r="O506" s="12">
        <v>389.15</v>
      </c>
      <c r="P506" s="12">
        <v>383.02</v>
      </c>
      <c r="Q506" s="12">
        <v>359.79</v>
      </c>
      <c r="R506" s="12">
        <v>356.53</v>
      </c>
      <c r="S506" s="12">
        <v>348.01</v>
      </c>
      <c r="T506" s="12">
        <v>337.76</v>
      </c>
      <c r="U506" s="12">
        <v>602.6</v>
      </c>
      <c r="V506" s="12">
        <v>428.03</v>
      </c>
      <c r="W506" s="12">
        <v>357.86</v>
      </c>
      <c r="X506" s="12">
        <v>354.19</v>
      </c>
      <c r="Y506" s="12">
        <v>315.83999999999997</v>
      </c>
      <c r="AA506" s="17">
        <f>MAX($B$506:$Y$506)</f>
        <v>602.6</v>
      </c>
      <c r="AB506" s="17">
        <f>MIN($B$506:$Y$506)</f>
        <v>280.69</v>
      </c>
      <c r="AC506" s="17">
        <f>AVERAGE($B$506:$Y$506)</f>
        <v>357.04583333333301</v>
      </c>
    </row>
    <row r="507" spans="1:29">
      <c r="A507" s="10">
        <v>45797</v>
      </c>
      <c r="B507" s="12">
        <v>325.27</v>
      </c>
      <c r="C507" s="12">
        <v>308.2</v>
      </c>
      <c r="D507" s="12">
        <v>312.27999999999997</v>
      </c>
      <c r="E507" s="12">
        <v>309.87</v>
      </c>
      <c r="F507" s="12">
        <v>297.07</v>
      </c>
      <c r="G507" s="12">
        <v>294.79000000000002</v>
      </c>
      <c r="H507" s="12">
        <v>311.39</v>
      </c>
      <c r="I507" s="12">
        <v>297.67</v>
      </c>
      <c r="J507" s="12">
        <v>409.57</v>
      </c>
      <c r="K507" s="12">
        <v>425.38</v>
      </c>
      <c r="L507" s="12">
        <v>422.07</v>
      </c>
      <c r="M507" s="12">
        <v>476.49</v>
      </c>
      <c r="N507" s="12">
        <v>295.5</v>
      </c>
      <c r="O507" s="12">
        <v>307.02999999999997</v>
      </c>
      <c r="P507" s="12">
        <v>295.64</v>
      </c>
      <c r="Q507" s="12">
        <v>233.29</v>
      </c>
      <c r="R507" s="12">
        <v>369.62</v>
      </c>
      <c r="S507" s="12">
        <v>458.81</v>
      </c>
      <c r="T507" s="12">
        <v>422.27</v>
      </c>
      <c r="U507" s="12">
        <v>476.53</v>
      </c>
      <c r="V507" s="12">
        <v>466.19</v>
      </c>
      <c r="W507" s="12">
        <v>454.61</v>
      </c>
      <c r="X507" s="12">
        <v>424.18</v>
      </c>
      <c r="Y507" s="12">
        <v>321.32</v>
      </c>
      <c r="AA507" s="17">
        <f>MAX($B$507:$Y$507)</f>
        <v>476.53</v>
      </c>
      <c r="AB507" s="17">
        <f>MIN($B$507:$Y$507)</f>
        <v>233.29</v>
      </c>
      <c r="AC507" s="17">
        <f>AVERAGE($B$507:$Y$507)</f>
        <v>363.12666666666701</v>
      </c>
    </row>
    <row r="508" spans="1:29">
      <c r="A508" s="10">
        <v>45798</v>
      </c>
      <c r="B508" s="12">
        <v>355.66</v>
      </c>
      <c r="C508" s="12">
        <v>327.10000000000002</v>
      </c>
      <c r="D508" s="12">
        <v>325.79000000000002</v>
      </c>
      <c r="E508" s="12">
        <v>312.74</v>
      </c>
      <c r="F508" s="12">
        <v>305.11</v>
      </c>
      <c r="G508" s="12">
        <v>305.14999999999998</v>
      </c>
      <c r="H508" s="12">
        <v>317.22000000000003</v>
      </c>
      <c r="I508" s="12">
        <v>287.76</v>
      </c>
      <c r="J508" s="12">
        <v>303.22000000000003</v>
      </c>
      <c r="K508" s="12">
        <v>284.82</v>
      </c>
      <c r="L508" s="12">
        <v>269.77999999999997</v>
      </c>
      <c r="M508" s="12">
        <v>311.74</v>
      </c>
      <c r="N508" s="12">
        <v>205.49</v>
      </c>
      <c r="O508" s="12">
        <v>372.95</v>
      </c>
      <c r="P508" s="12">
        <v>388.47</v>
      </c>
      <c r="Q508" s="12">
        <v>661.58</v>
      </c>
      <c r="R508" s="12">
        <v>485.46</v>
      </c>
      <c r="S508" s="12">
        <v>399.55</v>
      </c>
      <c r="T508" s="12">
        <v>333.89</v>
      </c>
      <c r="U508" s="12">
        <v>451.82</v>
      </c>
      <c r="V508" s="12">
        <v>546.35</v>
      </c>
      <c r="W508" s="12">
        <v>827.84</v>
      </c>
      <c r="X508" s="12">
        <v>677.76</v>
      </c>
      <c r="Y508" s="12">
        <v>349.9</v>
      </c>
      <c r="AA508" s="17">
        <f>MAX($B$508:$Y$508)</f>
        <v>827.84</v>
      </c>
      <c r="AB508" s="17">
        <f>MIN($B$508:$Y$508)</f>
        <v>205.49</v>
      </c>
      <c r="AC508" s="17">
        <f>AVERAGE($B$508:$Y$508)</f>
        <v>391.964583333333</v>
      </c>
    </row>
    <row r="509" spans="1:29">
      <c r="A509" s="10">
        <v>45799</v>
      </c>
      <c r="B509" s="12">
        <v>818.29</v>
      </c>
      <c r="C509" s="12">
        <v>529.73</v>
      </c>
      <c r="D509" s="12">
        <v>435.53</v>
      </c>
      <c r="E509" s="12">
        <v>342.36</v>
      </c>
      <c r="F509" s="12">
        <v>316.20999999999998</v>
      </c>
      <c r="G509" s="12">
        <v>309.47000000000003</v>
      </c>
      <c r="H509" s="12">
        <v>330</v>
      </c>
      <c r="I509" s="12">
        <v>298.97000000000003</v>
      </c>
      <c r="J509" s="12">
        <v>313.52999999999997</v>
      </c>
      <c r="K509" s="12">
        <v>317.74</v>
      </c>
      <c r="L509" s="12">
        <v>387.33</v>
      </c>
      <c r="M509" s="12">
        <v>567.66</v>
      </c>
      <c r="N509" s="12">
        <v>426.45</v>
      </c>
      <c r="O509" s="12">
        <v>774.86</v>
      </c>
      <c r="P509" s="12">
        <v>387.48</v>
      </c>
      <c r="Q509" s="12">
        <v>497.17</v>
      </c>
      <c r="R509" s="12">
        <v>510.46</v>
      </c>
      <c r="S509" s="12">
        <v>443.05</v>
      </c>
      <c r="T509" s="12">
        <v>327.9</v>
      </c>
      <c r="U509" s="12">
        <v>415.58</v>
      </c>
      <c r="V509" s="12">
        <v>480.81</v>
      </c>
      <c r="W509" s="12">
        <v>408.46</v>
      </c>
      <c r="X509" s="12">
        <v>389.05</v>
      </c>
      <c r="Y509" s="12">
        <v>317.55</v>
      </c>
      <c r="AA509" s="17">
        <f>MAX($B$509:$Y$509)</f>
        <v>818.29</v>
      </c>
      <c r="AB509" s="17">
        <f>MIN($B$509:$Y$509)</f>
        <v>298.97000000000003</v>
      </c>
      <c r="AC509" s="17">
        <f>AVERAGE($B$509:$Y$509)</f>
        <v>431.06833333333299</v>
      </c>
    </row>
    <row r="510" spans="1:29">
      <c r="A510" s="10">
        <v>45800</v>
      </c>
      <c r="B510" s="12">
        <v>444.35</v>
      </c>
      <c r="C510" s="12">
        <v>407.95</v>
      </c>
      <c r="D510" s="12">
        <v>469.29</v>
      </c>
      <c r="E510" s="12">
        <v>361.27</v>
      </c>
      <c r="F510" s="12">
        <v>335.8</v>
      </c>
      <c r="G510" s="12">
        <v>338.09</v>
      </c>
      <c r="H510" s="12">
        <v>344.1</v>
      </c>
      <c r="I510" s="12">
        <v>310.57</v>
      </c>
      <c r="J510" s="12">
        <v>341.29</v>
      </c>
      <c r="K510" s="12">
        <v>348.95</v>
      </c>
      <c r="L510" s="12">
        <v>338.92</v>
      </c>
      <c r="M510" s="12">
        <v>474.89</v>
      </c>
      <c r="N510" s="12">
        <v>373.21</v>
      </c>
      <c r="O510" s="12">
        <v>398.76</v>
      </c>
      <c r="P510" s="12">
        <v>387.64</v>
      </c>
      <c r="Q510" s="12">
        <v>369.03</v>
      </c>
      <c r="R510" s="12">
        <v>358.61</v>
      </c>
      <c r="S510" s="12">
        <v>322.95</v>
      </c>
      <c r="T510" s="12">
        <v>315.10000000000002</v>
      </c>
      <c r="U510" s="12">
        <v>333.15</v>
      </c>
      <c r="V510" s="12">
        <v>335.25</v>
      </c>
      <c r="W510" s="12">
        <v>321.79000000000002</v>
      </c>
      <c r="X510" s="12">
        <v>320.31</v>
      </c>
      <c r="Y510" s="12">
        <v>312.22000000000003</v>
      </c>
      <c r="AA510" s="17">
        <f>MAX($B$510:$Y$510)</f>
        <v>474.89</v>
      </c>
      <c r="AB510" s="17">
        <f>MIN($B$510:$Y$510)</f>
        <v>310.57</v>
      </c>
      <c r="AC510" s="17">
        <f>AVERAGE($B$510:$Y$510)</f>
        <v>360.97874999999999</v>
      </c>
    </row>
    <row r="511" spans="1:29">
      <c r="A511" s="10">
        <v>45801</v>
      </c>
      <c r="B511" s="12">
        <v>385.34</v>
      </c>
      <c r="C511" s="12">
        <v>349.2</v>
      </c>
      <c r="D511" s="12">
        <v>341.82</v>
      </c>
      <c r="E511" s="12">
        <v>329.39</v>
      </c>
      <c r="F511" s="12">
        <v>309.54000000000002</v>
      </c>
      <c r="G511" s="12">
        <v>299.23</v>
      </c>
      <c r="H511" s="12">
        <v>302.49</v>
      </c>
      <c r="I511" s="12">
        <v>275.68</v>
      </c>
      <c r="J511" s="12">
        <v>290.85000000000002</v>
      </c>
      <c r="K511" s="12">
        <v>297.99</v>
      </c>
      <c r="L511" s="12">
        <v>295.58999999999997</v>
      </c>
      <c r="M511" s="12">
        <v>312.02</v>
      </c>
      <c r="N511" s="12">
        <v>302.91000000000003</v>
      </c>
      <c r="O511" s="12">
        <v>311.70999999999998</v>
      </c>
      <c r="P511" s="12">
        <v>303.69</v>
      </c>
      <c r="Q511" s="12">
        <v>300.93</v>
      </c>
      <c r="R511" s="12">
        <v>313.38</v>
      </c>
      <c r="S511" s="12">
        <v>294.86</v>
      </c>
      <c r="T511" s="12">
        <v>293.07</v>
      </c>
      <c r="U511" s="12">
        <v>293.73</v>
      </c>
      <c r="V511" s="12">
        <v>271.64</v>
      </c>
      <c r="W511" s="12">
        <v>262.64999999999998</v>
      </c>
      <c r="X511" s="12">
        <v>157.52000000000001</v>
      </c>
      <c r="Y511" s="12">
        <v>265.12</v>
      </c>
      <c r="AA511" s="17">
        <f>MAX($B$511:$Y$511)</f>
        <v>385.34</v>
      </c>
      <c r="AB511" s="17">
        <f>MIN($B$511:$Y$511)</f>
        <v>157.52000000000001</v>
      </c>
      <c r="AC511" s="17">
        <f>AVERAGE($B$511:$Y$511)</f>
        <v>298.347916666667</v>
      </c>
    </row>
    <row r="512" spans="1:29">
      <c r="A512" s="10">
        <v>45802</v>
      </c>
      <c r="B512" s="12">
        <v>258.67</v>
      </c>
      <c r="C512" s="12">
        <v>277.63</v>
      </c>
      <c r="D512" s="12">
        <v>271.24</v>
      </c>
      <c r="E512" s="12">
        <v>261.82</v>
      </c>
      <c r="F512" s="12">
        <v>263.86</v>
      </c>
      <c r="G512" s="12">
        <v>269.76</v>
      </c>
      <c r="H512" s="12">
        <v>254.4</v>
      </c>
      <c r="I512" s="12">
        <v>133.91999999999999</v>
      </c>
      <c r="J512" s="12">
        <v>138.87</v>
      </c>
      <c r="K512" s="12">
        <v>116.44</v>
      </c>
      <c r="L512" s="12">
        <v>153.22</v>
      </c>
      <c r="M512" s="12">
        <v>122.41</v>
      </c>
      <c r="N512" s="12">
        <v>166.68</v>
      </c>
      <c r="O512" s="12">
        <v>248.78</v>
      </c>
      <c r="P512" s="12">
        <v>170.86</v>
      </c>
      <c r="Q512" s="12">
        <v>210.93</v>
      </c>
      <c r="R512" s="12">
        <v>157.87</v>
      </c>
      <c r="S512" s="12">
        <v>223.98</v>
      </c>
      <c r="T512" s="12">
        <v>205.09</v>
      </c>
      <c r="U512" s="12">
        <v>268.26</v>
      </c>
      <c r="V512" s="12">
        <v>271.83999999999997</v>
      </c>
      <c r="W512" s="12">
        <v>269.2</v>
      </c>
      <c r="X512" s="12">
        <v>260.55</v>
      </c>
      <c r="Y512" s="12">
        <v>225.56</v>
      </c>
      <c r="AA512" s="17">
        <f>MAX($B$512:$Y$512)</f>
        <v>277.63</v>
      </c>
      <c r="AB512" s="17">
        <f>MIN($B$512:$Y$512)</f>
        <v>116.44</v>
      </c>
      <c r="AC512" s="17">
        <f>AVERAGE($B$512:$Y$512)</f>
        <v>216.743333333333</v>
      </c>
    </row>
    <row r="513" spans="1:29">
      <c r="A513" s="10">
        <v>45803</v>
      </c>
      <c r="B513" s="12">
        <v>248.25</v>
      </c>
      <c r="C513" s="12">
        <v>161.63</v>
      </c>
      <c r="D513" s="12">
        <v>218.94</v>
      </c>
      <c r="E513" s="12">
        <v>238.58</v>
      </c>
      <c r="F513" s="12">
        <v>180.82</v>
      </c>
      <c r="G513" s="12">
        <v>244</v>
      </c>
      <c r="H513" s="12">
        <v>264.27</v>
      </c>
      <c r="I513" s="12">
        <v>241.33</v>
      </c>
      <c r="J513" s="12">
        <v>260.17</v>
      </c>
      <c r="K513" s="12">
        <v>247.1</v>
      </c>
      <c r="L513" s="12">
        <v>219.15</v>
      </c>
      <c r="M513" s="12">
        <v>272.31</v>
      </c>
      <c r="N513" s="12">
        <v>198.02</v>
      </c>
      <c r="O513" s="12">
        <v>267.19</v>
      </c>
      <c r="P513" s="12">
        <v>283.14999999999998</v>
      </c>
      <c r="Q513" s="12">
        <v>243.09</v>
      </c>
      <c r="R513" s="12">
        <v>278.97000000000003</v>
      </c>
      <c r="S513" s="12">
        <v>279.10000000000002</v>
      </c>
      <c r="T513" s="12">
        <v>278.56</v>
      </c>
      <c r="U513" s="12">
        <v>301.06</v>
      </c>
      <c r="V513" s="12">
        <v>294.60000000000002</v>
      </c>
      <c r="W513" s="12">
        <v>284.39999999999998</v>
      </c>
      <c r="X513" s="12">
        <v>267.43</v>
      </c>
      <c r="Y513" s="12">
        <v>240.51</v>
      </c>
      <c r="AA513" s="17">
        <f>MAX($B$513:$Y$513)</f>
        <v>301.06</v>
      </c>
      <c r="AB513" s="17">
        <f>MIN($B$513:$Y$513)</f>
        <v>161.63</v>
      </c>
      <c r="AC513" s="17">
        <f>AVERAGE($B$513:$Y$513)</f>
        <v>250.52625</v>
      </c>
    </row>
    <row r="514" spans="1:29">
      <c r="A514" s="10">
        <v>45804</v>
      </c>
      <c r="B514" s="12">
        <v>271.05</v>
      </c>
      <c r="C514" s="12">
        <v>266.45999999999998</v>
      </c>
      <c r="D514" s="12">
        <v>270</v>
      </c>
      <c r="E514" s="12">
        <v>267.75</v>
      </c>
      <c r="F514" s="12">
        <v>260.27999999999997</v>
      </c>
      <c r="G514" s="12">
        <v>224.52</v>
      </c>
      <c r="H514" s="12">
        <v>264</v>
      </c>
      <c r="I514" s="12">
        <v>182.23</v>
      </c>
      <c r="J514" s="12">
        <v>252.52</v>
      </c>
      <c r="K514" s="12">
        <v>204.35</v>
      </c>
      <c r="L514" s="12">
        <v>121.63</v>
      </c>
      <c r="M514" s="12">
        <v>344.97</v>
      </c>
      <c r="N514" s="12">
        <v>192.72</v>
      </c>
      <c r="O514" s="12">
        <v>271.48</v>
      </c>
      <c r="P514" s="12">
        <v>277.12</v>
      </c>
      <c r="Q514" s="12">
        <v>287.02999999999997</v>
      </c>
      <c r="R514" s="12">
        <v>307.07</v>
      </c>
      <c r="S514" s="12">
        <v>311.49</v>
      </c>
      <c r="T514" s="12">
        <v>346.37</v>
      </c>
      <c r="U514" s="12">
        <v>370.33</v>
      </c>
      <c r="V514" s="12">
        <v>331.66</v>
      </c>
      <c r="W514" s="12">
        <v>309.31</v>
      </c>
      <c r="X514" s="12">
        <v>276.39</v>
      </c>
      <c r="Y514" s="12">
        <v>256.49</v>
      </c>
      <c r="AA514" s="17">
        <f>MAX($B$514:$Y$514)</f>
        <v>370.33</v>
      </c>
      <c r="AB514" s="17">
        <f>MIN($B$514:$Y$514)</f>
        <v>121.63</v>
      </c>
      <c r="AC514" s="17">
        <f>AVERAGE($B$514:$Y$514)</f>
        <v>269.46749999999997</v>
      </c>
    </row>
    <row r="515" spans="1:29">
      <c r="A515" s="10">
        <v>45805</v>
      </c>
      <c r="B515" s="12">
        <v>264.89999999999998</v>
      </c>
      <c r="C515" s="12">
        <v>283.63</v>
      </c>
      <c r="D515" s="12">
        <v>283.37</v>
      </c>
      <c r="E515" s="12">
        <v>278.72000000000003</v>
      </c>
      <c r="F515" s="12">
        <v>271.33999999999997</v>
      </c>
      <c r="G515" s="12">
        <v>271.35000000000002</v>
      </c>
      <c r="H515" s="12">
        <v>283.19</v>
      </c>
      <c r="I515" s="12">
        <v>279.92</v>
      </c>
      <c r="J515" s="12">
        <v>317.01</v>
      </c>
      <c r="K515" s="12">
        <v>313.86</v>
      </c>
      <c r="L515" s="12">
        <v>323.93</v>
      </c>
      <c r="M515" s="12">
        <v>418.98</v>
      </c>
      <c r="N515" s="12">
        <v>315.24</v>
      </c>
      <c r="O515" s="12">
        <v>354.1</v>
      </c>
      <c r="P515" s="12">
        <v>383.15</v>
      </c>
      <c r="Q515" s="12">
        <v>361.49</v>
      </c>
      <c r="R515" s="12">
        <v>356.9</v>
      </c>
      <c r="S515" s="12">
        <v>485.59</v>
      </c>
      <c r="T515" s="12">
        <v>334.12</v>
      </c>
      <c r="U515" s="12">
        <v>411.62</v>
      </c>
      <c r="V515" s="12">
        <v>410.58</v>
      </c>
      <c r="W515" s="12">
        <v>360.19</v>
      </c>
      <c r="X515" s="12">
        <v>313.45</v>
      </c>
      <c r="Y515" s="12">
        <v>292.64</v>
      </c>
      <c r="AA515" s="17">
        <f>MAX($B$515:$Y$515)</f>
        <v>485.59</v>
      </c>
      <c r="AB515" s="17">
        <f>MIN($B$515:$Y$515)</f>
        <v>264.89999999999998</v>
      </c>
      <c r="AC515" s="17">
        <f>AVERAGE($B$515:$Y$515)</f>
        <v>332.05291666666699</v>
      </c>
    </row>
    <row r="516" spans="1:29">
      <c r="A516" s="10">
        <v>45806</v>
      </c>
      <c r="B516" s="12">
        <v>322.49</v>
      </c>
      <c r="C516" s="12">
        <v>294.12</v>
      </c>
      <c r="D516" s="12">
        <v>304.04000000000002</v>
      </c>
      <c r="E516" s="12">
        <v>300.91000000000003</v>
      </c>
      <c r="F516" s="12">
        <v>289.70999999999998</v>
      </c>
      <c r="G516" s="12">
        <v>284.47000000000003</v>
      </c>
      <c r="H516" s="12">
        <v>309.08</v>
      </c>
      <c r="I516" s="12">
        <v>305.07</v>
      </c>
      <c r="J516" s="12">
        <v>404.79</v>
      </c>
      <c r="K516" s="12">
        <v>528.79</v>
      </c>
      <c r="L516" s="12">
        <v>390.28</v>
      </c>
      <c r="M516" s="12">
        <v>706.34</v>
      </c>
      <c r="N516" s="12">
        <v>325.25</v>
      </c>
      <c r="O516" s="12">
        <v>368.75</v>
      </c>
      <c r="P516" s="12">
        <v>333.65</v>
      </c>
      <c r="Q516" s="12">
        <v>281</v>
      </c>
      <c r="R516" s="12">
        <v>393.23</v>
      </c>
      <c r="S516" s="12">
        <v>350.49</v>
      </c>
      <c r="T516" s="12">
        <v>336.86</v>
      </c>
      <c r="U516" s="12">
        <v>387.5</v>
      </c>
      <c r="V516" s="12">
        <v>360.69</v>
      </c>
      <c r="W516" s="12">
        <v>310.18</v>
      </c>
      <c r="X516" s="12">
        <v>264.91000000000003</v>
      </c>
      <c r="Y516" s="12">
        <v>149.1</v>
      </c>
      <c r="AA516" s="17">
        <f>MAX($B$516:$Y$516)</f>
        <v>706.34</v>
      </c>
      <c r="AB516" s="17">
        <f>MIN($B$516:$Y$516)</f>
        <v>149.1</v>
      </c>
      <c r="AC516" s="17">
        <f>AVERAGE($B$516:$Y$516)</f>
        <v>345.90416666666698</v>
      </c>
    </row>
    <row r="517" spans="1:29">
      <c r="A517" s="10">
        <v>45807</v>
      </c>
      <c r="B517" s="12">
        <v>242.02</v>
      </c>
      <c r="C517" s="12">
        <v>257.83999999999997</v>
      </c>
      <c r="D517" s="12">
        <v>262.58</v>
      </c>
      <c r="E517" s="12">
        <v>254.61</v>
      </c>
      <c r="F517" s="12">
        <v>195.14</v>
      </c>
      <c r="G517" s="12">
        <v>211.57</v>
      </c>
      <c r="H517" s="12">
        <v>242.57</v>
      </c>
      <c r="I517" s="12">
        <v>121.14</v>
      </c>
      <c r="J517" s="12">
        <v>233.09</v>
      </c>
      <c r="K517" s="12">
        <v>222.73</v>
      </c>
      <c r="L517" s="12">
        <v>170.87</v>
      </c>
      <c r="M517" s="12">
        <v>250.84</v>
      </c>
      <c r="N517" s="12">
        <v>116.42</v>
      </c>
      <c r="O517" s="12">
        <v>227.12</v>
      </c>
      <c r="P517" s="12">
        <v>189.49</v>
      </c>
      <c r="Q517" s="12">
        <v>190.21</v>
      </c>
      <c r="R517" s="12">
        <v>211.68</v>
      </c>
      <c r="S517" s="12">
        <v>152.88</v>
      </c>
      <c r="T517" s="12">
        <v>123.3</v>
      </c>
      <c r="U517" s="12">
        <v>88.9</v>
      </c>
      <c r="V517" s="12">
        <v>171.55</v>
      </c>
      <c r="W517" s="12">
        <v>147.22999999999999</v>
      </c>
      <c r="X517" s="12">
        <v>163.09</v>
      </c>
      <c r="Y517" s="12">
        <v>54.33</v>
      </c>
      <c r="AA517" s="17">
        <f>MAX($B$517:$Y$517)</f>
        <v>262.58</v>
      </c>
      <c r="AB517" s="17">
        <f>MIN($B$517:$Y$517)</f>
        <v>54.33</v>
      </c>
      <c r="AC517" s="17">
        <f>AVERAGE($B$517:$Y$517)</f>
        <v>187.55</v>
      </c>
    </row>
    <row r="518" spans="1:29">
      <c r="A518" s="10">
        <v>45808</v>
      </c>
      <c r="B518" s="12">
        <v>83.43</v>
      </c>
      <c r="C518" s="12">
        <v>214.86</v>
      </c>
      <c r="D518" s="12">
        <v>230.97</v>
      </c>
      <c r="E518" s="12">
        <v>220.11</v>
      </c>
      <c r="F518" s="12">
        <v>143.68</v>
      </c>
      <c r="G518" s="12">
        <v>32.69</v>
      </c>
      <c r="H518" s="12">
        <v>84.21</v>
      </c>
      <c r="I518" s="12">
        <v>19.78</v>
      </c>
      <c r="J518" s="12">
        <v>0</v>
      </c>
      <c r="K518" s="12">
        <v>0</v>
      </c>
      <c r="L518" s="12">
        <v>1.55</v>
      </c>
      <c r="M518" s="12">
        <v>4.3899999999999997</v>
      </c>
      <c r="N518" s="12">
        <v>111.65</v>
      </c>
      <c r="O518" s="12">
        <v>155.77000000000001</v>
      </c>
      <c r="P518" s="12">
        <v>1.98</v>
      </c>
      <c r="Q518" s="12">
        <v>54.98</v>
      </c>
      <c r="R518" s="12">
        <v>2.93</v>
      </c>
      <c r="S518" s="12">
        <v>22.3</v>
      </c>
      <c r="T518" s="12">
        <v>9.99</v>
      </c>
      <c r="U518" s="12">
        <v>5.38</v>
      </c>
      <c r="V518" s="12">
        <v>44.48</v>
      </c>
      <c r="W518" s="12">
        <v>281.61</v>
      </c>
      <c r="X518" s="12">
        <v>234.72</v>
      </c>
      <c r="Y518" s="12">
        <v>120.84</v>
      </c>
      <c r="AA518" s="17">
        <f>MAX($B$518:$Y$518)</f>
        <v>281.61</v>
      </c>
      <c r="AB518" s="17">
        <f>MIN($B$518:$Y$518)</f>
        <v>0</v>
      </c>
      <c r="AC518" s="17">
        <f>AVERAGE($B$518:$Y$518)</f>
        <v>86.762500000000003</v>
      </c>
    </row>
    <row r="519" spans="1:29">
      <c r="A519" s="10">
        <v>45809</v>
      </c>
      <c r="B519" s="12">
        <v>85.96</v>
      </c>
      <c r="C519" s="12">
        <v>88.05</v>
      </c>
      <c r="D519" s="12">
        <v>146.25</v>
      </c>
      <c r="E519" s="12">
        <v>57.5</v>
      </c>
      <c r="F519" s="12">
        <v>20</v>
      </c>
      <c r="G519" s="12">
        <v>20</v>
      </c>
      <c r="H519" s="12">
        <v>36.25</v>
      </c>
      <c r="I519" s="12">
        <v>1.04</v>
      </c>
      <c r="J519" s="12">
        <v>1.25</v>
      </c>
      <c r="K519" s="12">
        <v>0</v>
      </c>
      <c r="L519" s="12">
        <v>5.14</v>
      </c>
      <c r="M519" s="12">
        <v>126.48</v>
      </c>
      <c r="N519" s="12">
        <v>171.87</v>
      </c>
      <c r="O519" s="12">
        <v>449.54</v>
      </c>
      <c r="P519" s="12">
        <v>113.8</v>
      </c>
      <c r="Q519" s="12">
        <v>216.1</v>
      </c>
      <c r="R519" s="12">
        <v>268.22000000000003</v>
      </c>
      <c r="S519" s="12">
        <v>292.64999999999998</v>
      </c>
      <c r="T519" s="12">
        <v>241.59</v>
      </c>
      <c r="U519" s="12">
        <v>333.34</v>
      </c>
      <c r="V519" s="12">
        <v>350.84</v>
      </c>
      <c r="W519" s="12">
        <v>377.91</v>
      </c>
      <c r="X519" s="12">
        <v>347.59</v>
      </c>
      <c r="Y519" s="12">
        <v>300.45</v>
      </c>
      <c r="AA519" s="17">
        <f>MAX($B$519:$Y$519)</f>
        <v>449.54</v>
      </c>
      <c r="AB519" s="17">
        <f>MIN($B$519:$Y$519)</f>
        <v>0</v>
      </c>
      <c r="AC519" s="17">
        <f>AVERAGE($B$519:$Y$519)</f>
        <v>168.82583333333301</v>
      </c>
    </row>
    <row r="520" spans="1:29">
      <c r="A520" s="10">
        <v>45810</v>
      </c>
      <c r="B520" s="12">
        <v>496.67</v>
      </c>
      <c r="C520" s="12">
        <v>335.33</v>
      </c>
      <c r="D520" s="12">
        <v>319.02</v>
      </c>
      <c r="E520" s="12">
        <v>302.47000000000003</v>
      </c>
      <c r="F520" s="12">
        <v>296.20999999999998</v>
      </c>
      <c r="G520" s="12">
        <v>292.77</v>
      </c>
      <c r="H520" s="12">
        <v>313.25</v>
      </c>
      <c r="I520" s="12">
        <v>289.33</v>
      </c>
      <c r="J520" s="12">
        <v>340.44</v>
      </c>
      <c r="K520" s="12">
        <v>874.53</v>
      </c>
      <c r="L520" s="12">
        <v>489.16</v>
      </c>
      <c r="M520" s="12">
        <v>616.89</v>
      </c>
      <c r="N520" s="12">
        <v>297.76</v>
      </c>
      <c r="O520" s="12">
        <v>559.96</v>
      </c>
      <c r="P520" s="12">
        <v>681.33</v>
      </c>
      <c r="Q520" s="12">
        <v>1003.9</v>
      </c>
      <c r="R520" s="12">
        <v>1063.01</v>
      </c>
      <c r="S520" s="12">
        <v>756.59</v>
      </c>
      <c r="T520" s="12">
        <v>594.22</v>
      </c>
      <c r="U520" s="12">
        <v>1118.9100000000001</v>
      </c>
      <c r="V520" s="12">
        <v>1163.4000000000001</v>
      </c>
      <c r="W520" s="12">
        <v>803.75</v>
      </c>
      <c r="X520" s="12">
        <v>656.88</v>
      </c>
      <c r="Y520" s="12">
        <v>269.10000000000002</v>
      </c>
      <c r="AA520" s="17">
        <f>MAX($B$520:$Y$520)</f>
        <v>1163.4000000000001</v>
      </c>
      <c r="AB520" s="17">
        <f>MIN($B$520:$Y$520)</f>
        <v>269.10000000000002</v>
      </c>
      <c r="AC520" s="17">
        <f>AVERAGE($B$520:$Y$520)</f>
        <v>580.62</v>
      </c>
    </row>
    <row r="521" spans="1:29">
      <c r="A521" s="10">
        <v>45811</v>
      </c>
      <c r="B521" s="12">
        <v>292.27999999999997</v>
      </c>
      <c r="C521" s="12">
        <v>305.98</v>
      </c>
      <c r="D521" s="12">
        <v>332.73</v>
      </c>
      <c r="E521" s="12">
        <v>321.8</v>
      </c>
      <c r="F521" s="12">
        <v>286.97000000000003</v>
      </c>
      <c r="G521" s="12">
        <v>265.64999999999998</v>
      </c>
      <c r="H521" s="12">
        <v>263.06</v>
      </c>
      <c r="I521" s="12">
        <v>253.56</v>
      </c>
      <c r="J521" s="12">
        <v>320.76</v>
      </c>
      <c r="K521" s="12">
        <v>286.54000000000002</v>
      </c>
      <c r="L521" s="12">
        <v>247.44</v>
      </c>
      <c r="M521" s="12">
        <v>297.7</v>
      </c>
      <c r="N521" s="12">
        <v>182.6</v>
      </c>
      <c r="O521" s="12">
        <v>210.64</v>
      </c>
      <c r="P521" s="12">
        <v>263.98</v>
      </c>
      <c r="Q521" s="12">
        <v>273.49</v>
      </c>
      <c r="R521" s="12">
        <v>295.13</v>
      </c>
      <c r="S521" s="12">
        <v>252.99</v>
      </c>
      <c r="T521" s="12">
        <v>269.45</v>
      </c>
      <c r="U521" s="12">
        <v>289.52</v>
      </c>
      <c r="V521" s="12">
        <v>287.64999999999998</v>
      </c>
      <c r="W521" s="12">
        <v>285.38</v>
      </c>
      <c r="X521" s="12">
        <v>233.67</v>
      </c>
      <c r="Y521" s="12">
        <v>250</v>
      </c>
      <c r="AA521" s="17">
        <f>MAX($B$521:$Y$521)</f>
        <v>332.73</v>
      </c>
      <c r="AB521" s="17">
        <f>MIN($B$521:$Y$521)</f>
        <v>182.6</v>
      </c>
      <c r="AC521" s="17">
        <f>AVERAGE($B$521:$Y$521)</f>
        <v>273.707083333333</v>
      </c>
    </row>
    <row r="522" spans="1:29">
      <c r="A522" s="10">
        <v>45812</v>
      </c>
      <c r="B522" s="12">
        <v>294.72000000000003</v>
      </c>
      <c r="C522" s="12">
        <v>281.5</v>
      </c>
      <c r="D522" s="12">
        <v>287.85000000000002</v>
      </c>
      <c r="E522" s="12">
        <v>279.58</v>
      </c>
      <c r="F522" s="12">
        <v>273.66000000000003</v>
      </c>
      <c r="G522" s="12">
        <v>273.76</v>
      </c>
      <c r="H522" s="12">
        <v>270.41000000000003</v>
      </c>
      <c r="I522" s="12">
        <v>260.7</v>
      </c>
      <c r="J522" s="12">
        <v>296.7</v>
      </c>
      <c r="K522" s="12">
        <v>240.2</v>
      </c>
      <c r="L522" s="12">
        <v>241.22</v>
      </c>
      <c r="M522" s="12">
        <v>272.33999999999997</v>
      </c>
      <c r="N522" s="12">
        <v>275.27999999999997</v>
      </c>
      <c r="O522" s="12">
        <v>319.02</v>
      </c>
      <c r="P522" s="12">
        <v>312.94</v>
      </c>
      <c r="Q522" s="12">
        <v>282.82</v>
      </c>
      <c r="R522" s="12">
        <v>279.20999999999998</v>
      </c>
      <c r="S522" s="12">
        <v>222.24</v>
      </c>
      <c r="T522" s="12">
        <v>253.06</v>
      </c>
      <c r="U522" s="12">
        <v>274.51</v>
      </c>
      <c r="V522" s="12">
        <v>280.56</v>
      </c>
      <c r="W522" s="12">
        <v>279.52999999999997</v>
      </c>
      <c r="X522" s="12">
        <v>271.52999999999997</v>
      </c>
      <c r="Y522" s="12">
        <v>261.73</v>
      </c>
      <c r="AA522" s="17">
        <f>MAX($B$522:$Y$522)</f>
        <v>319.02</v>
      </c>
      <c r="AB522" s="17">
        <f>MIN($B$522:$Y$522)</f>
        <v>222.24</v>
      </c>
      <c r="AC522" s="17">
        <f>AVERAGE($B$522:$Y$522)</f>
        <v>274.37791666666698</v>
      </c>
    </row>
    <row r="523" spans="1:29">
      <c r="A523" s="10">
        <v>45813</v>
      </c>
      <c r="B523" s="12">
        <v>267.07</v>
      </c>
      <c r="C523" s="12">
        <v>265.39</v>
      </c>
      <c r="D523" s="12">
        <v>266.79000000000002</v>
      </c>
      <c r="E523" s="12">
        <v>257.64</v>
      </c>
      <c r="F523" s="12">
        <v>247.31</v>
      </c>
      <c r="G523" s="12">
        <v>240.08</v>
      </c>
      <c r="H523" s="12">
        <v>252.53</v>
      </c>
      <c r="I523" s="12">
        <v>250.3</v>
      </c>
      <c r="J523" s="12">
        <v>276.52999999999997</v>
      </c>
      <c r="K523" s="12">
        <v>232.24</v>
      </c>
      <c r="L523" s="12">
        <v>156.91</v>
      </c>
      <c r="M523" s="12">
        <v>237.33</v>
      </c>
      <c r="N523" s="12">
        <v>102.05</v>
      </c>
      <c r="O523" s="12">
        <v>239.7</v>
      </c>
      <c r="P523" s="12">
        <v>156.30000000000001</v>
      </c>
      <c r="Q523" s="12">
        <v>259.13</v>
      </c>
      <c r="R523" s="12">
        <v>298.14</v>
      </c>
      <c r="S523" s="12">
        <v>286.10000000000002</v>
      </c>
      <c r="T523" s="12">
        <v>274.29000000000002</v>
      </c>
      <c r="U523" s="12">
        <v>314.33</v>
      </c>
      <c r="V523" s="12">
        <v>300.99</v>
      </c>
      <c r="W523" s="12">
        <v>291.61</v>
      </c>
      <c r="X523" s="12">
        <v>272.55</v>
      </c>
      <c r="Y523" s="12">
        <v>261.27999999999997</v>
      </c>
      <c r="AA523" s="17">
        <f>MAX($B$523:$Y$523)</f>
        <v>314.33</v>
      </c>
      <c r="AB523" s="17">
        <f>MIN($B$523:$Y$523)</f>
        <v>102.05</v>
      </c>
      <c r="AC523" s="17">
        <f>AVERAGE($B$523:$Y$523)</f>
        <v>250.274583333333</v>
      </c>
    </row>
    <row r="524" spans="1:29">
      <c r="A524" s="10">
        <v>45814</v>
      </c>
      <c r="B524" s="12">
        <v>265.39</v>
      </c>
      <c r="C524" s="12">
        <v>265.2</v>
      </c>
      <c r="D524" s="12">
        <v>266.37</v>
      </c>
      <c r="E524" s="12">
        <v>261.17</v>
      </c>
      <c r="F524" s="12">
        <v>241.28</v>
      </c>
      <c r="G524" s="12">
        <v>247.53</v>
      </c>
      <c r="H524" s="12">
        <v>252.1</v>
      </c>
      <c r="I524" s="12">
        <v>245.71</v>
      </c>
      <c r="J524" s="12">
        <v>260.77999999999997</v>
      </c>
      <c r="K524" s="12">
        <v>254.39</v>
      </c>
      <c r="L524" s="12">
        <v>263.7</v>
      </c>
      <c r="M524" s="12">
        <v>292.11</v>
      </c>
      <c r="N524" s="12">
        <v>219.34</v>
      </c>
      <c r="O524" s="12">
        <v>281.57</v>
      </c>
      <c r="P524" s="12">
        <v>289.25</v>
      </c>
      <c r="Q524" s="12">
        <v>315.79000000000002</v>
      </c>
      <c r="R524" s="12">
        <v>338.4</v>
      </c>
      <c r="S524" s="12">
        <v>368</v>
      </c>
      <c r="T524" s="12">
        <v>315.7</v>
      </c>
      <c r="U524" s="12">
        <v>486.89</v>
      </c>
      <c r="V524" s="12">
        <v>544.17999999999995</v>
      </c>
      <c r="W524" s="12">
        <v>391.1</v>
      </c>
      <c r="X524" s="12">
        <v>322.36</v>
      </c>
      <c r="Y524" s="12">
        <v>301.75</v>
      </c>
      <c r="AA524" s="17">
        <f>MAX($B$524:$Y$524)</f>
        <v>544.17999999999995</v>
      </c>
      <c r="AB524" s="17">
        <f>MIN($B$524:$Y$524)</f>
        <v>219.34</v>
      </c>
      <c r="AC524" s="17">
        <f>AVERAGE($B$524:$Y$524)</f>
        <v>303.7525</v>
      </c>
    </row>
    <row r="525" spans="1:29">
      <c r="A525" s="10">
        <v>45815</v>
      </c>
      <c r="B525" s="12">
        <v>427.56</v>
      </c>
      <c r="C525" s="12">
        <v>317.72000000000003</v>
      </c>
      <c r="D525" s="12">
        <v>301.05</v>
      </c>
      <c r="E525" s="12">
        <v>293.05</v>
      </c>
      <c r="F525" s="12">
        <v>276.45</v>
      </c>
      <c r="G525" s="12">
        <v>272.07</v>
      </c>
      <c r="H525" s="12">
        <v>276.73</v>
      </c>
      <c r="I525" s="12">
        <v>260.37</v>
      </c>
      <c r="J525" s="12">
        <v>247.8</v>
      </c>
      <c r="K525" s="12">
        <v>243.76</v>
      </c>
      <c r="L525" s="12">
        <v>225.89</v>
      </c>
      <c r="M525" s="12">
        <v>255.86</v>
      </c>
      <c r="N525" s="12">
        <v>185.98</v>
      </c>
      <c r="O525" s="12">
        <v>361.62</v>
      </c>
      <c r="P525" s="12">
        <v>310.83</v>
      </c>
      <c r="Q525" s="12">
        <v>266.31</v>
      </c>
      <c r="R525" s="12">
        <v>529.12</v>
      </c>
      <c r="S525" s="12">
        <v>484.59</v>
      </c>
      <c r="T525" s="12">
        <v>551.80999999999995</v>
      </c>
      <c r="U525" s="12">
        <v>580.91</v>
      </c>
      <c r="V525" s="12">
        <v>580.9</v>
      </c>
      <c r="W525" s="12">
        <v>798.9</v>
      </c>
      <c r="X525" s="12">
        <v>604.25</v>
      </c>
      <c r="Y525" s="12">
        <v>341.42</v>
      </c>
      <c r="AA525" s="17">
        <f>MAX($B$525:$Y$525)</f>
        <v>798.9</v>
      </c>
      <c r="AB525" s="17">
        <f>MIN($B$525:$Y$525)</f>
        <v>185.98</v>
      </c>
      <c r="AC525" s="17">
        <f>AVERAGE($B$525:$Y$525)</f>
        <v>374.78958333333298</v>
      </c>
    </row>
    <row r="526" spans="1:29">
      <c r="A526" s="10">
        <v>45816</v>
      </c>
      <c r="B526" s="12">
        <v>509.85</v>
      </c>
      <c r="C526" s="12">
        <v>677.91</v>
      </c>
      <c r="D526" s="12">
        <v>891.58</v>
      </c>
      <c r="E526" s="12">
        <v>972.13</v>
      </c>
      <c r="F526" s="12">
        <v>541.30999999999995</v>
      </c>
      <c r="G526" s="12">
        <v>346.09</v>
      </c>
      <c r="H526" s="12">
        <v>321.26</v>
      </c>
      <c r="I526" s="12">
        <v>271.98</v>
      </c>
      <c r="J526" s="12">
        <v>239.39</v>
      </c>
      <c r="K526" s="12">
        <v>239.86</v>
      </c>
      <c r="L526" s="12">
        <v>189.63</v>
      </c>
      <c r="M526" s="12">
        <v>236.46</v>
      </c>
      <c r="N526" s="12">
        <v>191.54</v>
      </c>
      <c r="O526" s="12">
        <v>305.38</v>
      </c>
      <c r="P526" s="12">
        <v>287.54000000000002</v>
      </c>
      <c r="Q526" s="12">
        <v>291.45999999999998</v>
      </c>
      <c r="R526" s="12">
        <v>338.24</v>
      </c>
      <c r="S526" s="12">
        <v>429.25</v>
      </c>
      <c r="T526" s="12">
        <v>426.01</v>
      </c>
      <c r="U526" s="12">
        <v>483.54</v>
      </c>
      <c r="V526" s="12">
        <v>678.9</v>
      </c>
      <c r="W526" s="12">
        <v>1019.45</v>
      </c>
      <c r="X526" s="12">
        <v>1071.21</v>
      </c>
      <c r="Y526" s="12">
        <v>474.62</v>
      </c>
      <c r="AA526" s="17">
        <f>MAX($B$526:$Y$526)</f>
        <v>1071.21</v>
      </c>
      <c r="AB526" s="17">
        <f>MIN($B$526:$Y$526)</f>
        <v>189.63</v>
      </c>
      <c r="AC526" s="17">
        <f>AVERAGE($B$526:$Y$526)</f>
        <v>476.44125000000003</v>
      </c>
    </row>
    <row r="527" spans="1:29">
      <c r="A527" s="10">
        <v>45817</v>
      </c>
      <c r="B527" s="12">
        <v>417.07</v>
      </c>
      <c r="C527" s="12">
        <v>510.12</v>
      </c>
      <c r="D527" s="12">
        <v>648.11</v>
      </c>
      <c r="E527" s="12">
        <v>421.41</v>
      </c>
      <c r="F527" s="12">
        <v>336.28</v>
      </c>
      <c r="G527" s="12">
        <v>320.73</v>
      </c>
      <c r="H527" s="12">
        <v>321.48</v>
      </c>
      <c r="I527" s="12">
        <v>280.69</v>
      </c>
      <c r="J527" s="12">
        <v>344.62</v>
      </c>
      <c r="K527" s="12">
        <v>359.01</v>
      </c>
      <c r="L527" s="12">
        <v>305.91000000000003</v>
      </c>
      <c r="M527" s="12">
        <v>307.12</v>
      </c>
      <c r="N527" s="12">
        <v>258.13</v>
      </c>
      <c r="O527" s="12">
        <v>308.12</v>
      </c>
      <c r="P527" s="12">
        <v>311.76</v>
      </c>
      <c r="Q527" s="12">
        <v>289.94</v>
      </c>
      <c r="R527" s="12">
        <v>312</v>
      </c>
      <c r="S527" s="12">
        <v>334.3</v>
      </c>
      <c r="T527" s="12">
        <v>330.22</v>
      </c>
      <c r="U527" s="12">
        <v>441.73</v>
      </c>
      <c r="V527" s="12">
        <v>522.19000000000005</v>
      </c>
      <c r="W527" s="12">
        <v>567.13</v>
      </c>
      <c r="X527" s="12">
        <v>482.14</v>
      </c>
      <c r="Y527" s="12">
        <v>335.7</v>
      </c>
      <c r="AA527" s="17">
        <f>MAX($B$527:$Y$527)</f>
        <v>648.11</v>
      </c>
      <c r="AB527" s="17">
        <f>MIN($B$527:$Y$527)</f>
        <v>258.13</v>
      </c>
      <c r="AC527" s="17">
        <f>AVERAGE($B$527:$Y$527)</f>
        <v>377.74624999999997</v>
      </c>
    </row>
    <row r="528" spans="1:29">
      <c r="A528" s="10">
        <v>45818</v>
      </c>
      <c r="B528" s="12">
        <v>516.45000000000005</v>
      </c>
      <c r="C528" s="12">
        <v>561.84</v>
      </c>
      <c r="D528" s="12">
        <v>971.24</v>
      </c>
      <c r="E528" s="12">
        <v>678.84</v>
      </c>
      <c r="F528" s="12">
        <v>496.31</v>
      </c>
      <c r="G528" s="12">
        <v>415.2</v>
      </c>
      <c r="H528" s="12">
        <v>351.18</v>
      </c>
      <c r="I528" s="12">
        <v>269.27999999999997</v>
      </c>
      <c r="J528" s="12">
        <v>353.86</v>
      </c>
      <c r="K528" s="12">
        <v>347.09</v>
      </c>
      <c r="L528" s="12">
        <v>287.75</v>
      </c>
      <c r="M528" s="12">
        <v>263.45</v>
      </c>
      <c r="N528" s="12">
        <v>266.17</v>
      </c>
      <c r="O528" s="12">
        <v>304.5</v>
      </c>
      <c r="P528" s="12">
        <v>296.88</v>
      </c>
      <c r="Q528" s="12">
        <v>307.62</v>
      </c>
      <c r="R528" s="12">
        <v>329</v>
      </c>
      <c r="S528" s="12">
        <v>359.64</v>
      </c>
      <c r="T528" s="12">
        <v>382.95</v>
      </c>
      <c r="U528" s="12">
        <v>465.88</v>
      </c>
      <c r="V528" s="12">
        <v>443.54</v>
      </c>
      <c r="W528" s="12">
        <v>392.43</v>
      </c>
      <c r="X528" s="12">
        <v>396.97</v>
      </c>
      <c r="Y528" s="12">
        <v>287.27</v>
      </c>
      <c r="AA528" s="17">
        <f>MAX($B$528:$Y$528)</f>
        <v>971.24</v>
      </c>
      <c r="AB528" s="17">
        <f>MIN($B$528:$Y$528)</f>
        <v>263.45</v>
      </c>
      <c r="AC528" s="17">
        <f>AVERAGE($B$528:$Y$528)</f>
        <v>406.055833333333</v>
      </c>
    </row>
    <row r="529" spans="1:29">
      <c r="A529" s="10">
        <v>45819</v>
      </c>
      <c r="B529" s="12">
        <v>414.38</v>
      </c>
      <c r="C529" s="12">
        <v>290.60000000000002</v>
      </c>
      <c r="D529" s="12">
        <v>303.51</v>
      </c>
      <c r="E529" s="12">
        <v>305.61</v>
      </c>
      <c r="F529" s="12">
        <v>291.08999999999997</v>
      </c>
      <c r="G529" s="12">
        <v>266.45999999999998</v>
      </c>
      <c r="H529" s="12">
        <v>258.74</v>
      </c>
      <c r="I529" s="12">
        <v>176.6</v>
      </c>
      <c r="J529" s="12">
        <v>323.67</v>
      </c>
      <c r="K529" s="12">
        <v>437.43</v>
      </c>
      <c r="L529" s="12">
        <v>572.16</v>
      </c>
      <c r="M529" s="12">
        <v>473.36</v>
      </c>
      <c r="N529" s="12">
        <v>518.20000000000005</v>
      </c>
      <c r="O529" s="12">
        <v>666.32</v>
      </c>
      <c r="P529" s="12">
        <v>464.64</v>
      </c>
      <c r="Q529" s="12">
        <v>399.12</v>
      </c>
      <c r="R529" s="12">
        <v>403.97</v>
      </c>
      <c r="S529" s="12">
        <v>300.10000000000002</v>
      </c>
      <c r="T529" s="12">
        <v>434.97</v>
      </c>
      <c r="U529" s="12">
        <v>478.97</v>
      </c>
      <c r="V529" s="12">
        <v>388.24</v>
      </c>
      <c r="W529" s="12">
        <v>399.22</v>
      </c>
      <c r="X529" s="12">
        <v>310.95</v>
      </c>
      <c r="Y529" s="12">
        <v>244.36</v>
      </c>
      <c r="AA529" s="17">
        <f>MAX($B$529:$Y$529)</f>
        <v>666.32</v>
      </c>
      <c r="AB529" s="17">
        <f>MIN($B$529:$Y$529)</f>
        <v>176.6</v>
      </c>
      <c r="AC529" s="17">
        <f>AVERAGE($B$529:$Y$529)</f>
        <v>380.11124999999998</v>
      </c>
    </row>
    <row r="530" spans="1:29">
      <c r="A530" s="10">
        <v>45820</v>
      </c>
      <c r="B530" s="12">
        <v>278.54000000000002</v>
      </c>
      <c r="C530" s="12">
        <v>266.14</v>
      </c>
      <c r="D530" s="12">
        <v>253.83</v>
      </c>
      <c r="E530" s="12">
        <v>240.72</v>
      </c>
      <c r="F530" s="12">
        <v>226.01</v>
      </c>
      <c r="G530" s="12">
        <v>221</v>
      </c>
      <c r="H530" s="12">
        <v>228.8</v>
      </c>
      <c r="I530" s="12">
        <v>93.09</v>
      </c>
      <c r="J530" s="12">
        <v>342.87</v>
      </c>
      <c r="K530" s="12">
        <v>392.31</v>
      </c>
      <c r="L530" s="12">
        <v>316.76</v>
      </c>
      <c r="M530" s="12">
        <v>390.04</v>
      </c>
      <c r="N530" s="12">
        <v>308</v>
      </c>
      <c r="O530" s="12">
        <v>318.64</v>
      </c>
      <c r="P530" s="12">
        <v>339.09</v>
      </c>
      <c r="Q530" s="12">
        <v>408.87</v>
      </c>
      <c r="R530" s="12">
        <v>311.12</v>
      </c>
      <c r="S530" s="12">
        <v>305.04000000000002</v>
      </c>
      <c r="T530" s="12">
        <v>375.89</v>
      </c>
      <c r="U530" s="12">
        <v>462.75</v>
      </c>
      <c r="V530" s="12">
        <v>338.76</v>
      </c>
      <c r="W530" s="12">
        <v>356.68</v>
      </c>
      <c r="X530" s="12">
        <v>310.25</v>
      </c>
      <c r="Y530" s="12">
        <v>248.13</v>
      </c>
      <c r="AA530" s="17">
        <f>MAX($B$530:$Y$530)</f>
        <v>462.75</v>
      </c>
      <c r="AB530" s="17">
        <f>MIN($B$530:$Y$530)</f>
        <v>93.09</v>
      </c>
      <c r="AC530" s="17">
        <f>AVERAGE($B$530:$Y$530)</f>
        <v>305.55541666666699</v>
      </c>
    </row>
    <row r="531" spans="1:29">
      <c r="A531" s="10">
        <v>45821</v>
      </c>
      <c r="B531" s="12">
        <v>403.49</v>
      </c>
      <c r="C531" s="12">
        <v>300.95999999999998</v>
      </c>
      <c r="D531" s="12">
        <v>294.52</v>
      </c>
      <c r="E531" s="12">
        <v>276.77999999999997</v>
      </c>
      <c r="F531" s="12">
        <v>267.22000000000003</v>
      </c>
      <c r="G531" s="12">
        <v>271.11</v>
      </c>
      <c r="H531" s="12">
        <v>269.85000000000002</v>
      </c>
      <c r="I531" s="12">
        <v>259.08999999999997</v>
      </c>
      <c r="J531" s="12">
        <v>314.76</v>
      </c>
      <c r="K531" s="12">
        <v>439.68</v>
      </c>
      <c r="L531" s="12">
        <v>431.54</v>
      </c>
      <c r="M531" s="12">
        <v>407.59</v>
      </c>
      <c r="N531" s="12">
        <v>272.83</v>
      </c>
      <c r="O531" s="12">
        <v>316.89999999999998</v>
      </c>
      <c r="P531" s="12">
        <v>281.58</v>
      </c>
      <c r="Q531" s="12">
        <v>292.02</v>
      </c>
      <c r="R531" s="12">
        <v>279.87</v>
      </c>
      <c r="S531" s="12">
        <v>278.33999999999997</v>
      </c>
      <c r="T531" s="12">
        <v>282.33999999999997</v>
      </c>
      <c r="U531" s="12">
        <v>308.51</v>
      </c>
      <c r="V531" s="12">
        <v>294.2</v>
      </c>
      <c r="W531" s="12">
        <v>278.68</v>
      </c>
      <c r="X531" s="12">
        <v>261.64</v>
      </c>
      <c r="Y531" s="12">
        <v>261.29000000000002</v>
      </c>
      <c r="AA531" s="17">
        <f>MAX($B$531:$Y$531)</f>
        <v>439.68</v>
      </c>
      <c r="AB531" s="17">
        <f>MIN($B$531:$Y$531)</f>
        <v>259.08999999999997</v>
      </c>
      <c r="AC531" s="17">
        <f>AVERAGE($B$531:$Y$531)</f>
        <v>306.03291666666701</v>
      </c>
    </row>
    <row r="532" spans="1:29">
      <c r="A532" s="10">
        <v>45822</v>
      </c>
      <c r="B532" s="12">
        <v>298.19</v>
      </c>
      <c r="C532" s="12">
        <v>275.91000000000003</v>
      </c>
      <c r="D532" s="12">
        <v>273.22000000000003</v>
      </c>
      <c r="E532" s="12">
        <v>256.49</v>
      </c>
      <c r="F532" s="12">
        <v>234.92</v>
      </c>
      <c r="G532" s="12">
        <v>235.99</v>
      </c>
      <c r="H532" s="12">
        <v>233.23</v>
      </c>
      <c r="I532" s="12">
        <v>167.24</v>
      </c>
      <c r="J532" s="12">
        <v>259.47000000000003</v>
      </c>
      <c r="K532" s="12">
        <v>247.84</v>
      </c>
      <c r="L532" s="12">
        <v>224.46</v>
      </c>
      <c r="M532" s="12">
        <v>289.42</v>
      </c>
      <c r="N532" s="12">
        <v>225.88</v>
      </c>
      <c r="O532" s="12">
        <v>459.44</v>
      </c>
      <c r="P532" s="12">
        <v>396.77</v>
      </c>
      <c r="Q532" s="12">
        <v>331.13</v>
      </c>
      <c r="R532" s="12">
        <v>363.72</v>
      </c>
      <c r="S532" s="12">
        <v>232.6</v>
      </c>
      <c r="T532" s="12">
        <v>364.99</v>
      </c>
      <c r="U532" s="12">
        <v>454.35</v>
      </c>
      <c r="V532" s="12">
        <v>377.34</v>
      </c>
      <c r="W532" s="12">
        <v>277.35000000000002</v>
      </c>
      <c r="X532" s="12">
        <v>260.29000000000002</v>
      </c>
      <c r="Y532" s="12">
        <v>230.42</v>
      </c>
      <c r="AA532" s="17">
        <f>MAX($B$532:$Y$532)</f>
        <v>459.44</v>
      </c>
      <c r="AB532" s="17">
        <f>MIN($B$532:$Y$532)</f>
        <v>167.24</v>
      </c>
      <c r="AC532" s="17">
        <f>AVERAGE($B$532:$Y$532)</f>
        <v>290.444166666667</v>
      </c>
    </row>
    <row r="533" spans="1:29">
      <c r="A533" s="10">
        <v>45823</v>
      </c>
      <c r="B533" s="12">
        <v>235</v>
      </c>
      <c r="C533" s="12">
        <v>261.73</v>
      </c>
      <c r="D533" s="12">
        <v>266.92</v>
      </c>
      <c r="E533" s="12">
        <v>240.9</v>
      </c>
      <c r="F533" s="12">
        <v>159.63999999999999</v>
      </c>
      <c r="G533" s="12">
        <v>84.31</v>
      </c>
      <c r="H533" s="12">
        <v>69.61</v>
      </c>
      <c r="I533" s="12">
        <v>24.74</v>
      </c>
      <c r="J533" s="12">
        <v>62.97</v>
      </c>
      <c r="K533" s="12">
        <v>62.36</v>
      </c>
      <c r="L533" s="12">
        <v>37.159999999999997</v>
      </c>
      <c r="M533" s="12">
        <v>8.49</v>
      </c>
      <c r="N533" s="12">
        <v>24.72</v>
      </c>
      <c r="O533" s="12">
        <v>49.75</v>
      </c>
      <c r="P533" s="12">
        <v>63.94</v>
      </c>
      <c r="Q533" s="12">
        <v>53.19</v>
      </c>
      <c r="R533" s="12">
        <v>68.83</v>
      </c>
      <c r="S533" s="12">
        <v>159.62</v>
      </c>
      <c r="T533" s="12">
        <v>250.85</v>
      </c>
      <c r="U533" s="12">
        <v>266.91000000000003</v>
      </c>
      <c r="V533" s="12">
        <v>292.3</v>
      </c>
      <c r="W533" s="12">
        <v>368.48</v>
      </c>
      <c r="X533" s="12">
        <v>306.83999999999997</v>
      </c>
      <c r="Y533" s="12">
        <v>286.52999999999997</v>
      </c>
      <c r="AA533" s="17">
        <f>MAX($B$533:$Y$533)</f>
        <v>368.48</v>
      </c>
      <c r="AB533" s="17">
        <f>MIN($B$533:$Y$533)</f>
        <v>8.49</v>
      </c>
      <c r="AC533" s="17">
        <f>AVERAGE($B$533:$Y$533)</f>
        <v>154.40791666666701</v>
      </c>
    </row>
    <row r="534" spans="1:29">
      <c r="A534" s="10">
        <v>45829</v>
      </c>
      <c r="B534" s="12">
        <v>474.48</v>
      </c>
      <c r="C534" s="12">
        <v>270.38</v>
      </c>
      <c r="D534" s="12">
        <v>259.05</v>
      </c>
      <c r="E534" s="12">
        <v>249.49</v>
      </c>
      <c r="F534" s="12">
        <v>226.6</v>
      </c>
      <c r="G534" s="12">
        <v>227.95</v>
      </c>
      <c r="H534" s="12">
        <v>233.97</v>
      </c>
      <c r="I534" s="12">
        <v>183.91</v>
      </c>
      <c r="J534" s="12">
        <v>267.26</v>
      </c>
      <c r="K534" s="12">
        <v>272.52999999999997</v>
      </c>
      <c r="L534" s="12">
        <v>182.54</v>
      </c>
      <c r="M534" s="12">
        <v>289.39</v>
      </c>
      <c r="N534" s="12">
        <v>168.93</v>
      </c>
      <c r="O534" s="12">
        <v>342.34</v>
      </c>
      <c r="P534" s="12">
        <v>281.56</v>
      </c>
      <c r="Q534" s="12">
        <v>269.88</v>
      </c>
      <c r="R534" s="12">
        <v>283.22000000000003</v>
      </c>
      <c r="S534" s="12">
        <v>285.52</v>
      </c>
      <c r="T534" s="12">
        <v>273.83999999999997</v>
      </c>
      <c r="U534" s="12">
        <v>310.57</v>
      </c>
      <c r="V534" s="12">
        <v>295.55</v>
      </c>
      <c r="W534" s="12">
        <v>286.35000000000002</v>
      </c>
      <c r="X534" s="12">
        <v>284.22000000000003</v>
      </c>
      <c r="Y534" s="12">
        <v>261.04000000000002</v>
      </c>
      <c r="AA534" s="17">
        <f>MAX($B$534:$Y$534)</f>
        <v>474.48</v>
      </c>
      <c r="AB534" s="17">
        <f>MIN($B$534:$Y$534)</f>
        <v>168.93</v>
      </c>
      <c r="AC534" s="17">
        <f>AVERAGE($B$534:$Y$534)</f>
        <v>270.02375000000001</v>
      </c>
    </row>
    <row r="535" spans="1:29">
      <c r="A535" s="10">
        <v>45830</v>
      </c>
      <c r="B535" s="12">
        <v>298.47000000000003</v>
      </c>
      <c r="C535" s="12">
        <v>268.01</v>
      </c>
      <c r="D535" s="12">
        <v>253.19</v>
      </c>
      <c r="E535" s="12">
        <v>247.97</v>
      </c>
      <c r="F535" s="12">
        <v>222.69</v>
      </c>
      <c r="G535" s="12">
        <v>215.4</v>
      </c>
      <c r="H535" s="12">
        <v>218.66</v>
      </c>
      <c r="I535" s="12">
        <v>121.21</v>
      </c>
      <c r="J535" s="12">
        <v>37.729999999999997</v>
      </c>
      <c r="K535" s="12">
        <v>68.63</v>
      </c>
      <c r="L535" s="12">
        <v>67.75</v>
      </c>
      <c r="M535" s="12">
        <v>69.84</v>
      </c>
      <c r="N535" s="12">
        <v>53.29</v>
      </c>
      <c r="O535" s="12">
        <v>118.36</v>
      </c>
      <c r="P535" s="12">
        <v>46.72</v>
      </c>
      <c r="Q535" s="12">
        <v>55.48</v>
      </c>
      <c r="R535" s="12">
        <v>112.91</v>
      </c>
      <c r="S535" s="12">
        <v>230.41</v>
      </c>
      <c r="T535" s="12">
        <v>221.34</v>
      </c>
      <c r="U535" s="12">
        <v>279.06</v>
      </c>
      <c r="V535" s="12">
        <v>278.47000000000003</v>
      </c>
      <c r="W535" s="12">
        <v>280.26</v>
      </c>
      <c r="X535" s="12">
        <v>274.17</v>
      </c>
      <c r="Y535" s="12">
        <v>257.81</v>
      </c>
      <c r="AA535" s="17">
        <f>MAX($B$535:$Y$535)</f>
        <v>298.47000000000003</v>
      </c>
      <c r="AB535" s="17">
        <f>MIN($B$535:$Y$535)</f>
        <v>37.729999999999997</v>
      </c>
      <c r="AC535" s="17">
        <f>AVERAGE($B$535:$Y$535)</f>
        <v>179.07624999999999</v>
      </c>
    </row>
    <row r="536" spans="1:29">
      <c r="A536" s="10">
        <v>45831</v>
      </c>
      <c r="B536" s="12">
        <v>260.82</v>
      </c>
      <c r="C536" s="12">
        <v>262.86</v>
      </c>
      <c r="D536" s="12">
        <v>257.85000000000002</v>
      </c>
      <c r="E536" s="12">
        <v>227.24</v>
      </c>
      <c r="F536" s="12">
        <v>203.85</v>
      </c>
      <c r="G536" s="12">
        <v>167.7</v>
      </c>
      <c r="H536" s="12">
        <v>224.95</v>
      </c>
      <c r="I536" s="12">
        <v>164.85</v>
      </c>
      <c r="J536" s="12">
        <v>262.04000000000002</v>
      </c>
      <c r="K536" s="12">
        <v>226.24</v>
      </c>
      <c r="L536" s="12">
        <v>172.2</v>
      </c>
      <c r="M536" s="12">
        <v>279.8</v>
      </c>
      <c r="N536" s="12">
        <v>276.33</v>
      </c>
      <c r="O536" s="12">
        <v>271.07</v>
      </c>
      <c r="P536" s="12">
        <v>216.87</v>
      </c>
      <c r="Q536" s="12">
        <v>302.08</v>
      </c>
      <c r="R536" s="12">
        <v>360.34</v>
      </c>
      <c r="S536" s="12">
        <v>333.75</v>
      </c>
      <c r="T536" s="12">
        <v>343.74</v>
      </c>
      <c r="U536" s="12">
        <v>396.52</v>
      </c>
      <c r="V536" s="12">
        <v>347.67</v>
      </c>
      <c r="W536" s="12">
        <v>324.83</v>
      </c>
      <c r="X536" s="12">
        <v>294.14999999999998</v>
      </c>
      <c r="Y536" s="12">
        <v>271.39</v>
      </c>
      <c r="AA536" s="17">
        <f>MAX($B$536:$Y$536)</f>
        <v>396.52</v>
      </c>
      <c r="AB536" s="17">
        <f>MIN($B$536:$Y$536)</f>
        <v>164.85</v>
      </c>
      <c r="AC536" s="17">
        <f>AVERAGE($B$536:$Y$536)</f>
        <v>268.71416666666698</v>
      </c>
    </row>
    <row r="537" spans="1:29">
      <c r="A537" s="10">
        <v>45832</v>
      </c>
      <c r="B537" s="12">
        <v>471.74</v>
      </c>
      <c r="C537" s="12">
        <v>306.70999999999998</v>
      </c>
      <c r="D537" s="12">
        <v>291.36</v>
      </c>
      <c r="E537" s="12">
        <v>267.93</v>
      </c>
      <c r="F537" s="12">
        <v>260.07</v>
      </c>
      <c r="G537" s="12">
        <v>257.33</v>
      </c>
      <c r="H537" s="12">
        <v>259.27</v>
      </c>
      <c r="I537" s="12">
        <v>222.82</v>
      </c>
      <c r="J537" s="12">
        <v>281.52</v>
      </c>
      <c r="K537" s="12">
        <v>223.85</v>
      </c>
      <c r="L537" s="12">
        <v>226.82</v>
      </c>
      <c r="M537" s="12">
        <v>318.88</v>
      </c>
      <c r="N537" s="12">
        <v>203.33</v>
      </c>
      <c r="O537" s="12">
        <v>287.31</v>
      </c>
      <c r="P537" s="12">
        <v>240.76</v>
      </c>
      <c r="Q537" s="12">
        <v>271.14999999999998</v>
      </c>
      <c r="R537" s="12">
        <v>311.33</v>
      </c>
      <c r="S537" s="12">
        <v>310.39</v>
      </c>
      <c r="T537" s="12">
        <v>378.24</v>
      </c>
      <c r="U537" s="12">
        <v>396.96</v>
      </c>
      <c r="V537" s="12">
        <v>356.01</v>
      </c>
      <c r="W537" s="12">
        <v>343.03</v>
      </c>
      <c r="X537" s="12">
        <v>339.64</v>
      </c>
      <c r="Y537" s="12">
        <v>310.12</v>
      </c>
      <c r="AA537" s="17">
        <f>MAX($B$537:$Y$537)</f>
        <v>471.74</v>
      </c>
      <c r="AB537" s="17">
        <f>MIN($B$537:$Y$537)</f>
        <v>203.33</v>
      </c>
      <c r="AC537" s="17">
        <f>AVERAGE($B$537:$Y$537)</f>
        <v>297.35708333333298</v>
      </c>
    </row>
    <row r="538" spans="1:29">
      <c r="A538" s="10">
        <v>45833</v>
      </c>
      <c r="B538" s="12">
        <v>490.31</v>
      </c>
      <c r="C538" s="12">
        <v>436.71</v>
      </c>
      <c r="D538" s="12">
        <v>319.85000000000002</v>
      </c>
      <c r="E538" s="12">
        <v>284</v>
      </c>
      <c r="F538" s="12">
        <v>268.24</v>
      </c>
      <c r="G538" s="12">
        <v>262.08</v>
      </c>
      <c r="H538" s="12">
        <v>262.19</v>
      </c>
      <c r="I538" s="12">
        <v>216.76</v>
      </c>
      <c r="J538" s="12">
        <v>265.67</v>
      </c>
      <c r="K538" s="12">
        <v>350.7</v>
      </c>
      <c r="L538" s="12">
        <v>429.33</v>
      </c>
      <c r="M538" s="12">
        <v>481.14</v>
      </c>
      <c r="N538" s="12">
        <v>361.46</v>
      </c>
      <c r="O538" s="12">
        <v>493.36</v>
      </c>
      <c r="P538" s="12">
        <v>247.92</v>
      </c>
      <c r="Q538" s="12">
        <v>361.32</v>
      </c>
      <c r="R538" s="12">
        <v>407.03</v>
      </c>
      <c r="S538" s="12">
        <v>316.01</v>
      </c>
      <c r="T538" s="12">
        <v>377.2</v>
      </c>
      <c r="U538" s="12">
        <v>458.3</v>
      </c>
      <c r="V538" s="12">
        <v>489.69</v>
      </c>
      <c r="W538" s="12">
        <v>513.86</v>
      </c>
      <c r="X538" s="12">
        <v>544.53</v>
      </c>
      <c r="Y538" s="12">
        <v>321.58999999999997</v>
      </c>
      <c r="AA538" s="17">
        <f>MAX($B$538:$Y$538)</f>
        <v>544.53</v>
      </c>
      <c r="AB538" s="17">
        <f>MIN($B$538:$Y$538)</f>
        <v>216.76</v>
      </c>
      <c r="AC538" s="17">
        <f>AVERAGE($B$538:$Y$538)</f>
        <v>373.30208333333297</v>
      </c>
    </row>
    <row r="539" spans="1:29">
      <c r="A539" s="10">
        <v>45834</v>
      </c>
      <c r="B539" s="12">
        <v>611.07000000000005</v>
      </c>
      <c r="C539" s="12">
        <v>588.79999999999995</v>
      </c>
      <c r="D539" s="12">
        <v>300.38</v>
      </c>
      <c r="E539" s="12">
        <v>273.58999999999997</v>
      </c>
      <c r="F539" s="12">
        <v>253.55</v>
      </c>
      <c r="G539" s="12">
        <v>241.22</v>
      </c>
      <c r="H539" s="12">
        <v>237.65</v>
      </c>
      <c r="I539" s="12">
        <v>217.7</v>
      </c>
      <c r="J539" s="12">
        <v>358.44</v>
      </c>
      <c r="K539" s="12">
        <v>383.23</v>
      </c>
      <c r="L539" s="12">
        <v>618.58000000000004</v>
      </c>
      <c r="M539" s="12">
        <v>439.08</v>
      </c>
      <c r="N539" s="12">
        <v>280.57</v>
      </c>
      <c r="O539" s="12">
        <v>335.97</v>
      </c>
      <c r="P539" s="12">
        <v>298.62</v>
      </c>
      <c r="Q539" s="12">
        <v>284.36</v>
      </c>
      <c r="R539" s="12">
        <v>294.52999999999997</v>
      </c>
      <c r="S539" s="12">
        <v>292.35000000000002</v>
      </c>
      <c r="T539" s="12">
        <v>268.52999999999997</v>
      </c>
      <c r="U539" s="12">
        <v>357.53</v>
      </c>
      <c r="V539" s="12">
        <v>328.55</v>
      </c>
      <c r="W539" s="12">
        <v>328.67</v>
      </c>
      <c r="X539" s="12">
        <v>305.86</v>
      </c>
      <c r="Y539" s="12">
        <v>264.14999999999998</v>
      </c>
      <c r="AA539" s="17">
        <f>MAX($B$539:$Y$539)</f>
        <v>618.58000000000004</v>
      </c>
      <c r="AB539" s="17">
        <f>MIN($B$539:$Y$539)</f>
        <v>217.7</v>
      </c>
      <c r="AC539" s="17">
        <f>AVERAGE($B$539:$Y$539)</f>
        <v>340.12416666666701</v>
      </c>
    </row>
    <row r="540" spans="1:29">
      <c r="A540" s="10">
        <v>45835</v>
      </c>
      <c r="B540" s="12">
        <v>320.89999999999998</v>
      </c>
      <c r="C540" s="12">
        <v>275.58999999999997</v>
      </c>
      <c r="D540" s="12">
        <v>253.93</v>
      </c>
      <c r="E540" s="12">
        <v>254.37</v>
      </c>
      <c r="F540" s="12">
        <v>232.36</v>
      </c>
      <c r="G540" s="12">
        <v>227.68</v>
      </c>
      <c r="H540" s="12">
        <v>239.83</v>
      </c>
      <c r="I540" s="12">
        <v>220.31</v>
      </c>
      <c r="J540" s="12">
        <v>275.24</v>
      </c>
      <c r="K540" s="12">
        <v>280.81</v>
      </c>
      <c r="L540" s="12">
        <v>352.28</v>
      </c>
      <c r="M540" s="12">
        <v>329.95</v>
      </c>
      <c r="N540" s="12">
        <v>242.78</v>
      </c>
      <c r="O540" s="12">
        <v>545.49</v>
      </c>
      <c r="P540" s="12">
        <v>312.92</v>
      </c>
      <c r="Q540" s="12">
        <v>317.55</v>
      </c>
      <c r="R540" s="12">
        <v>352.57</v>
      </c>
      <c r="S540" s="12">
        <v>407.82</v>
      </c>
      <c r="T540" s="12">
        <v>316.62</v>
      </c>
      <c r="U540" s="12">
        <v>576.57000000000005</v>
      </c>
      <c r="V540" s="12">
        <v>556.16</v>
      </c>
      <c r="W540" s="12">
        <v>570.21</v>
      </c>
      <c r="X540" s="12">
        <v>324.48</v>
      </c>
      <c r="Y540" s="12">
        <v>277.94</v>
      </c>
      <c r="AA540" s="17">
        <f>MAX($B$540:$Y$540)</f>
        <v>576.57000000000005</v>
      </c>
      <c r="AB540" s="17">
        <f>MIN($B$540:$Y$540)</f>
        <v>220.31</v>
      </c>
      <c r="AC540" s="17">
        <f>AVERAGE($B$540:$Y$540)</f>
        <v>336.01499999999999</v>
      </c>
    </row>
    <row r="541" spans="1:29">
      <c r="A541" s="10">
        <v>45836</v>
      </c>
      <c r="B541" s="12">
        <v>387</v>
      </c>
      <c r="C541" s="12">
        <v>301.52999999999997</v>
      </c>
      <c r="D541" s="12">
        <v>279.44</v>
      </c>
      <c r="E541" s="12">
        <v>268.8</v>
      </c>
      <c r="F541" s="12">
        <v>245.62</v>
      </c>
      <c r="G541" s="12">
        <v>241.07</v>
      </c>
      <c r="H541" s="12">
        <v>233.34</v>
      </c>
      <c r="I541" s="12">
        <v>228.88</v>
      </c>
      <c r="J541" s="12">
        <v>213.91</v>
      </c>
      <c r="K541" s="12">
        <v>233.8</v>
      </c>
      <c r="L541" s="12">
        <v>339.22</v>
      </c>
      <c r="M541" s="12">
        <v>340.78</v>
      </c>
      <c r="N541" s="12">
        <v>162.41</v>
      </c>
      <c r="O541" s="12">
        <v>325.12</v>
      </c>
      <c r="P541" s="12">
        <v>324.39</v>
      </c>
      <c r="Q541" s="12">
        <v>323.27</v>
      </c>
      <c r="R541" s="12">
        <v>346.87</v>
      </c>
      <c r="S541" s="12">
        <v>235.66</v>
      </c>
      <c r="T541" s="12">
        <v>256.70999999999998</v>
      </c>
      <c r="U541" s="12">
        <v>319.25</v>
      </c>
      <c r="V541" s="12">
        <v>299.35000000000002</v>
      </c>
      <c r="W541" s="12">
        <v>282.10000000000002</v>
      </c>
      <c r="X541" s="12">
        <v>286.68</v>
      </c>
      <c r="Y541" s="12">
        <v>274.27</v>
      </c>
      <c r="AA541" s="17">
        <f>MAX($B$541:$Y$541)</f>
        <v>387</v>
      </c>
      <c r="AB541" s="17">
        <f>MIN($B$541:$Y$541)</f>
        <v>162.41</v>
      </c>
      <c r="AC541" s="17">
        <f>AVERAGE($B$541:$Y$541)</f>
        <v>281.227916666667</v>
      </c>
    </row>
    <row r="542" spans="1:29">
      <c r="A542" s="10">
        <v>45837</v>
      </c>
      <c r="B542" s="12">
        <v>291.01</v>
      </c>
      <c r="C542" s="12">
        <v>269.45999999999998</v>
      </c>
      <c r="D542" s="12">
        <v>235.58</v>
      </c>
      <c r="E542" s="12">
        <v>225.58</v>
      </c>
      <c r="F542" s="12">
        <v>206.7</v>
      </c>
      <c r="G542" s="12">
        <v>201.25</v>
      </c>
      <c r="H542" s="12">
        <v>210.72</v>
      </c>
      <c r="I542" s="12">
        <v>136.30000000000001</v>
      </c>
      <c r="J542" s="12">
        <v>31.89</v>
      </c>
      <c r="K542" s="12">
        <v>41.7</v>
      </c>
      <c r="L542" s="12">
        <v>40.14</v>
      </c>
      <c r="M542" s="12">
        <v>93.83</v>
      </c>
      <c r="N542" s="12">
        <v>83.99</v>
      </c>
      <c r="O542" s="12">
        <v>129.36000000000001</v>
      </c>
      <c r="P542" s="12">
        <v>156.15</v>
      </c>
      <c r="Q542" s="12">
        <v>190.65</v>
      </c>
      <c r="R542" s="12">
        <v>172.8</v>
      </c>
      <c r="S542" s="12">
        <v>233.03</v>
      </c>
      <c r="T542" s="12">
        <v>251.71</v>
      </c>
      <c r="U542" s="12">
        <v>287.87</v>
      </c>
      <c r="V542" s="12">
        <v>290.68</v>
      </c>
      <c r="W542" s="12">
        <v>297.7</v>
      </c>
      <c r="X542" s="12">
        <v>279.87</v>
      </c>
      <c r="Y542" s="12">
        <v>262.8</v>
      </c>
      <c r="AA542" s="17">
        <f>MAX($B$542:$Y$542)</f>
        <v>297.7</v>
      </c>
      <c r="AB542" s="17">
        <f>MIN($B$542:$Y$542)</f>
        <v>31.89</v>
      </c>
      <c r="AC542" s="17">
        <f>AVERAGE($B$542:$Y$542)</f>
        <v>192.53208333333299</v>
      </c>
    </row>
    <row r="543" spans="1:29">
      <c r="A543" s="10">
        <v>45838</v>
      </c>
      <c r="B543" s="12">
        <v>272.56</v>
      </c>
      <c r="C543" s="12">
        <v>230.36</v>
      </c>
      <c r="D543" s="12">
        <v>177.37</v>
      </c>
      <c r="E543" s="12">
        <v>152.28</v>
      </c>
      <c r="F543" s="12">
        <v>154.44</v>
      </c>
      <c r="G543" s="12">
        <v>136.80000000000001</v>
      </c>
      <c r="H543" s="12">
        <v>153.54</v>
      </c>
      <c r="I543" s="12">
        <v>159.13</v>
      </c>
      <c r="J543" s="12">
        <v>252.8</v>
      </c>
      <c r="K543" s="12">
        <v>289.88</v>
      </c>
      <c r="L543" s="12">
        <v>276.64999999999998</v>
      </c>
      <c r="M543" s="12">
        <v>276.75</v>
      </c>
      <c r="N543" s="12">
        <v>257.64999999999998</v>
      </c>
      <c r="O543" s="12">
        <v>265.41000000000003</v>
      </c>
      <c r="P543" s="12">
        <v>290.37</v>
      </c>
      <c r="Q543" s="12">
        <v>261.14</v>
      </c>
      <c r="R543" s="12">
        <v>269.12</v>
      </c>
      <c r="S543" s="12">
        <v>257.42</v>
      </c>
      <c r="T543" s="12">
        <v>257.02</v>
      </c>
      <c r="U543" s="12">
        <v>284.3</v>
      </c>
      <c r="V543" s="12">
        <v>295.20999999999998</v>
      </c>
      <c r="W543" s="12">
        <v>275.64</v>
      </c>
      <c r="X543" s="12">
        <v>260.44</v>
      </c>
      <c r="Y543" s="12">
        <v>250.48</v>
      </c>
      <c r="AA543" s="17">
        <f>MAX($B$543:$Y$543)</f>
        <v>295.20999999999998</v>
      </c>
      <c r="AB543" s="17">
        <f>MIN($B$543:$Y$543)</f>
        <v>136.80000000000001</v>
      </c>
      <c r="AC543" s="17">
        <f>AVERAGE($B$543:$Y$543)</f>
        <v>239.86500000000001</v>
      </c>
    </row>
    <row r="544" spans="1:29">
      <c r="A544" s="10">
        <v>45839</v>
      </c>
      <c r="B544" s="12">
        <v>266.89</v>
      </c>
      <c r="C544" s="12">
        <v>246.38</v>
      </c>
      <c r="D544" s="12">
        <v>205.27</v>
      </c>
      <c r="E544" s="12">
        <v>211.41</v>
      </c>
      <c r="F544" s="12">
        <v>198.36</v>
      </c>
      <c r="G544" s="12">
        <v>149.69</v>
      </c>
      <c r="H544" s="12">
        <v>195.34</v>
      </c>
      <c r="I544" s="12">
        <v>207.82</v>
      </c>
      <c r="J544" s="12">
        <v>240.72</v>
      </c>
      <c r="K544" s="12">
        <v>260.19</v>
      </c>
      <c r="L544" s="12">
        <v>253.07</v>
      </c>
      <c r="M544" s="12">
        <v>235.77</v>
      </c>
      <c r="N544" s="12">
        <v>198.53</v>
      </c>
      <c r="O544" s="12">
        <v>271.16000000000003</v>
      </c>
      <c r="P544" s="12">
        <v>283.95999999999998</v>
      </c>
      <c r="Q544" s="12">
        <v>264.57</v>
      </c>
      <c r="R544" s="12">
        <v>262.8</v>
      </c>
      <c r="S544" s="12">
        <v>265.51</v>
      </c>
      <c r="T544" s="12">
        <v>279.39999999999998</v>
      </c>
      <c r="U544" s="12">
        <v>432</v>
      </c>
      <c r="V544" s="12">
        <v>398.63</v>
      </c>
      <c r="W544" s="12">
        <v>288.12</v>
      </c>
      <c r="X544" s="12">
        <v>273.32</v>
      </c>
      <c r="Y544" s="12">
        <v>247.89</v>
      </c>
      <c r="AA544" s="17">
        <f>MAX($B$544:$Y$544)</f>
        <v>432</v>
      </c>
      <c r="AB544" s="17">
        <f>MIN($B$544:$Y$544)</f>
        <v>149.69</v>
      </c>
      <c r="AC544" s="17">
        <f>AVERAGE($B$544:$Y$544)</f>
        <v>255.7</v>
      </c>
    </row>
    <row r="545" spans="1:29">
      <c r="A545" s="10">
        <v>45840</v>
      </c>
      <c r="B545" s="12">
        <v>257.25</v>
      </c>
      <c r="C545" s="12">
        <v>226.24</v>
      </c>
      <c r="D545" s="12">
        <v>222.14</v>
      </c>
      <c r="E545" s="12">
        <v>220.87</v>
      </c>
      <c r="F545" s="12">
        <v>198.68</v>
      </c>
      <c r="G545" s="12">
        <v>209.26</v>
      </c>
      <c r="H545" s="12">
        <v>223.8</v>
      </c>
      <c r="I545" s="12">
        <v>202.9</v>
      </c>
      <c r="J545" s="12">
        <v>249.69</v>
      </c>
      <c r="K545" s="12">
        <v>268.33999999999997</v>
      </c>
      <c r="L545" s="12">
        <v>346.71</v>
      </c>
      <c r="M545" s="12">
        <v>275.56</v>
      </c>
      <c r="N545" s="12">
        <v>235.44</v>
      </c>
      <c r="O545" s="12">
        <v>287.08</v>
      </c>
      <c r="P545" s="12">
        <v>283.89</v>
      </c>
      <c r="Q545" s="12">
        <v>276.79000000000002</v>
      </c>
      <c r="R545" s="12">
        <v>324.3</v>
      </c>
      <c r="S545" s="12">
        <v>361.32</v>
      </c>
      <c r="T545" s="12">
        <v>311.98</v>
      </c>
      <c r="U545" s="12">
        <v>719.79</v>
      </c>
      <c r="V545" s="12">
        <v>846.68</v>
      </c>
      <c r="W545" s="12">
        <v>580.66999999999996</v>
      </c>
      <c r="X545" s="12">
        <v>410.84</v>
      </c>
      <c r="Y545" s="12">
        <v>283.33</v>
      </c>
      <c r="AA545" s="17">
        <f>MAX($B$545:$Y$545)</f>
        <v>846.68</v>
      </c>
      <c r="AB545" s="17">
        <f>MIN($B$545:$Y$545)</f>
        <v>198.68</v>
      </c>
      <c r="AC545" s="17">
        <f>AVERAGE($B$545:$Y$545)</f>
        <v>325.98124999999999</v>
      </c>
    </row>
    <row r="546" spans="1:29">
      <c r="A546" s="10">
        <v>45841</v>
      </c>
      <c r="B546" s="12">
        <v>218.63</v>
      </c>
      <c r="C546" s="12">
        <v>267.73</v>
      </c>
      <c r="D546" s="12">
        <v>247.68</v>
      </c>
      <c r="E546" s="12">
        <v>235.4</v>
      </c>
      <c r="F546" s="12">
        <v>228.89</v>
      </c>
      <c r="G546" s="12">
        <v>226.3</v>
      </c>
      <c r="H546" s="12">
        <v>228.49</v>
      </c>
      <c r="I546" s="12">
        <v>208.02</v>
      </c>
      <c r="J546" s="12">
        <v>262.7</v>
      </c>
      <c r="K546" s="12">
        <v>270.49</v>
      </c>
      <c r="L546" s="12">
        <v>285.2</v>
      </c>
      <c r="M546" s="12">
        <v>324.39</v>
      </c>
      <c r="N546" s="12">
        <v>253.81</v>
      </c>
      <c r="O546" s="12">
        <v>284.27999999999997</v>
      </c>
      <c r="P546" s="12">
        <v>288.11</v>
      </c>
      <c r="Q546" s="12">
        <v>300.36</v>
      </c>
      <c r="R546" s="12">
        <v>365.23</v>
      </c>
      <c r="S546" s="12">
        <v>507.89</v>
      </c>
      <c r="T546" s="12">
        <v>332.84</v>
      </c>
      <c r="U546" s="12">
        <v>591.92999999999995</v>
      </c>
      <c r="V546" s="12">
        <v>518.47</v>
      </c>
      <c r="W546" s="12">
        <v>409.11</v>
      </c>
      <c r="X546" s="12">
        <v>354.83</v>
      </c>
      <c r="Y546" s="12">
        <v>310.73</v>
      </c>
      <c r="AA546" s="17">
        <f>MAX($B$546:$Y$546)</f>
        <v>591.92999999999995</v>
      </c>
      <c r="AB546" s="17">
        <f>MIN($B$546:$Y$546)</f>
        <v>208.02</v>
      </c>
      <c r="AC546" s="17">
        <f>AVERAGE($B$546:$Y$546)</f>
        <v>313.39625000000001</v>
      </c>
    </row>
    <row r="547" spans="1:29">
      <c r="A547" s="10">
        <v>45842</v>
      </c>
      <c r="B547" s="12">
        <v>324.52999999999997</v>
      </c>
      <c r="C547" s="12">
        <v>278.62</v>
      </c>
      <c r="D547" s="12">
        <v>260.35000000000002</v>
      </c>
      <c r="E547" s="12">
        <v>244.94</v>
      </c>
      <c r="F547" s="12">
        <v>239.37</v>
      </c>
      <c r="G547" s="12">
        <v>232.9</v>
      </c>
      <c r="H547" s="12">
        <v>238.33</v>
      </c>
      <c r="I547" s="12">
        <v>218.3</v>
      </c>
      <c r="J547" s="12">
        <v>243.73</v>
      </c>
      <c r="K547" s="12">
        <v>264.42</v>
      </c>
      <c r="L547" s="12">
        <v>276.66000000000003</v>
      </c>
      <c r="M547" s="12">
        <v>261.31</v>
      </c>
      <c r="N547" s="12">
        <v>209.39</v>
      </c>
      <c r="O547" s="12">
        <v>257.07</v>
      </c>
      <c r="P547" s="12">
        <v>270.7</v>
      </c>
      <c r="Q547" s="12">
        <v>268.39999999999998</v>
      </c>
      <c r="R547" s="12">
        <v>288.77</v>
      </c>
      <c r="S547" s="12">
        <v>304.87</v>
      </c>
      <c r="T547" s="12">
        <v>312.81</v>
      </c>
      <c r="U547" s="12">
        <v>446.4</v>
      </c>
      <c r="V547" s="12">
        <v>453.98</v>
      </c>
      <c r="W547" s="12">
        <v>526.39</v>
      </c>
      <c r="X547" s="12">
        <v>459.58</v>
      </c>
      <c r="Y547" s="12">
        <v>378.04</v>
      </c>
      <c r="AA547" s="17">
        <f>MAX($B$547:$Y$547)</f>
        <v>526.39</v>
      </c>
      <c r="AB547" s="17">
        <f>MIN($B$547:$Y$547)</f>
        <v>209.39</v>
      </c>
      <c r="AC547" s="17">
        <f>AVERAGE($B$547:$Y$547)</f>
        <v>302.49416666666701</v>
      </c>
    </row>
    <row r="548" spans="1:29">
      <c r="A548" s="10">
        <v>45843</v>
      </c>
      <c r="B548" s="12">
        <v>443.63</v>
      </c>
      <c r="C548" s="12">
        <v>339.06</v>
      </c>
      <c r="D548" s="12">
        <v>294.77999999999997</v>
      </c>
      <c r="E548" s="12">
        <v>275.51</v>
      </c>
      <c r="F548" s="12">
        <v>265.64999999999998</v>
      </c>
      <c r="G548" s="12">
        <v>263.41000000000003</v>
      </c>
      <c r="H548" s="12">
        <v>260.93</v>
      </c>
      <c r="I548" s="12">
        <v>248.49</v>
      </c>
      <c r="J548" s="12">
        <v>255.75</v>
      </c>
      <c r="K548" s="12">
        <v>264.39999999999998</v>
      </c>
      <c r="L548" s="12">
        <v>237.3</v>
      </c>
      <c r="M548" s="12">
        <v>217.01</v>
      </c>
      <c r="N548" s="12">
        <v>214.19</v>
      </c>
      <c r="O548" s="12">
        <v>269.27</v>
      </c>
      <c r="P548" s="12">
        <v>256.67</v>
      </c>
      <c r="Q548" s="12">
        <v>266.85000000000002</v>
      </c>
      <c r="R548" s="12">
        <v>286.89</v>
      </c>
      <c r="S548" s="12">
        <v>300.37</v>
      </c>
      <c r="T548" s="12">
        <v>295.02</v>
      </c>
      <c r="U548" s="12">
        <v>318.49</v>
      </c>
      <c r="V548" s="12">
        <v>325.33</v>
      </c>
      <c r="W548" s="12">
        <v>321.11</v>
      </c>
      <c r="X548" s="12">
        <v>354.87</v>
      </c>
      <c r="Y548" s="12">
        <v>313.57</v>
      </c>
      <c r="AA548" s="17">
        <f>MAX($B$548:$Y$548)</f>
        <v>443.63</v>
      </c>
      <c r="AB548" s="17">
        <f>MIN($B$548:$Y$548)</f>
        <v>214.19</v>
      </c>
      <c r="AC548" s="17">
        <f>AVERAGE($B$548:$Y$548)</f>
        <v>287.02291666666702</v>
      </c>
    </row>
    <row r="549" spans="1:29">
      <c r="A549" s="10">
        <v>45844</v>
      </c>
      <c r="B549" s="12">
        <v>345</v>
      </c>
      <c r="C549" s="12">
        <v>315.06</v>
      </c>
      <c r="D549" s="12">
        <v>327.57</v>
      </c>
      <c r="E549" s="12">
        <v>278.26</v>
      </c>
      <c r="F549" s="12">
        <v>264.89</v>
      </c>
      <c r="G549" s="12">
        <v>258.39999999999998</v>
      </c>
      <c r="H549" s="12">
        <v>259.27999999999997</v>
      </c>
      <c r="I549" s="12">
        <v>237.98</v>
      </c>
      <c r="J549" s="12">
        <v>160.16999999999999</v>
      </c>
      <c r="K549" s="12">
        <v>155.91</v>
      </c>
      <c r="L549" s="12">
        <v>175.09</v>
      </c>
      <c r="M549" s="12">
        <v>215.19</v>
      </c>
      <c r="N549" s="12">
        <v>197.07</v>
      </c>
      <c r="O549" s="12">
        <v>249.23</v>
      </c>
      <c r="P549" s="12">
        <v>230.6</v>
      </c>
      <c r="Q549" s="12">
        <v>262.32</v>
      </c>
      <c r="R549" s="12">
        <v>315.83999999999997</v>
      </c>
      <c r="S549" s="12">
        <v>290.26</v>
      </c>
      <c r="T549" s="12">
        <v>311.45999999999998</v>
      </c>
      <c r="U549" s="12">
        <v>343.8</v>
      </c>
      <c r="V549" s="12">
        <v>340.84</v>
      </c>
      <c r="W549" s="12">
        <v>382.96</v>
      </c>
      <c r="X549" s="12">
        <v>502.3</v>
      </c>
      <c r="Y549" s="12">
        <v>374.32</v>
      </c>
      <c r="AA549" s="17">
        <f>MAX($B$549:$Y$549)</f>
        <v>502.3</v>
      </c>
      <c r="AB549" s="17">
        <f>MIN($B$549:$Y$549)</f>
        <v>155.91</v>
      </c>
      <c r="AC549" s="17">
        <f>AVERAGE($B$549:$Y$549)</f>
        <v>283.07499999999999</v>
      </c>
    </row>
    <row r="550" spans="1:29">
      <c r="A550" s="10">
        <v>45845</v>
      </c>
      <c r="B550" s="12">
        <v>378.92</v>
      </c>
      <c r="C550" s="12">
        <v>283.57</v>
      </c>
      <c r="D550" s="12">
        <v>257.94</v>
      </c>
      <c r="E550" s="12">
        <v>250.12</v>
      </c>
      <c r="F550" s="12">
        <v>243.69</v>
      </c>
      <c r="G550" s="12">
        <v>237.19</v>
      </c>
      <c r="H550" s="12">
        <v>249.36</v>
      </c>
      <c r="I550" s="12">
        <v>236.36</v>
      </c>
      <c r="J550" s="12">
        <v>272.39999999999998</v>
      </c>
      <c r="K550" s="12">
        <v>286.02</v>
      </c>
      <c r="L550" s="12">
        <v>290.14999999999998</v>
      </c>
      <c r="M550" s="12">
        <v>274.89999999999998</v>
      </c>
      <c r="N550" s="12">
        <v>329.48</v>
      </c>
      <c r="O550" s="12">
        <v>395.96</v>
      </c>
      <c r="P550" s="12">
        <v>376.67</v>
      </c>
      <c r="Q550" s="12">
        <v>378.89</v>
      </c>
      <c r="R550" s="12">
        <v>495.01</v>
      </c>
      <c r="S550" s="12">
        <v>616.79</v>
      </c>
      <c r="T550" s="12">
        <v>556.53</v>
      </c>
      <c r="U550" s="12">
        <v>858.96</v>
      </c>
      <c r="V550" s="12">
        <v>1109.81</v>
      </c>
      <c r="W550" s="12">
        <v>1096.83</v>
      </c>
      <c r="X550" s="12">
        <v>690.15</v>
      </c>
      <c r="Y550" s="12">
        <v>352.44</v>
      </c>
      <c r="AA550" s="17">
        <f>MAX($B$550:$Y$550)</f>
        <v>1109.81</v>
      </c>
      <c r="AB550" s="17">
        <f>MIN($B$550:$Y$550)</f>
        <v>236.36</v>
      </c>
      <c r="AC550" s="17">
        <f>AVERAGE($B$550:$Y$550)</f>
        <v>438.25583333333299</v>
      </c>
    </row>
    <row r="551" spans="1:29">
      <c r="A551" s="10">
        <v>45846</v>
      </c>
      <c r="B551" s="12">
        <v>315.12</v>
      </c>
      <c r="C551" s="12">
        <v>292.39</v>
      </c>
      <c r="D551" s="12">
        <v>282.13</v>
      </c>
      <c r="E551" s="12">
        <v>266.61</v>
      </c>
      <c r="F551" s="12">
        <v>259.67</v>
      </c>
      <c r="G551" s="12">
        <v>259.37</v>
      </c>
      <c r="H551" s="12">
        <v>252.56</v>
      </c>
      <c r="I551" s="12">
        <v>243.49</v>
      </c>
      <c r="J551" s="12">
        <v>267.48</v>
      </c>
      <c r="K551" s="12">
        <v>395.87</v>
      </c>
      <c r="L551" s="12">
        <v>271.08</v>
      </c>
      <c r="M551" s="12">
        <v>284.35000000000002</v>
      </c>
      <c r="N551" s="12">
        <v>320.3</v>
      </c>
      <c r="O551" s="12">
        <v>553.46</v>
      </c>
      <c r="P551" s="12">
        <v>444.77</v>
      </c>
      <c r="Q551" s="12">
        <v>420.94</v>
      </c>
      <c r="R551" s="12">
        <v>331.94</v>
      </c>
      <c r="S551" s="12">
        <v>332.07</v>
      </c>
      <c r="T551" s="12">
        <v>296.11</v>
      </c>
      <c r="U551" s="12">
        <v>341.89</v>
      </c>
      <c r="V551" s="12">
        <v>314.36</v>
      </c>
      <c r="W551" s="12">
        <v>329.93</v>
      </c>
      <c r="X551" s="12">
        <v>316.33999999999997</v>
      </c>
      <c r="Y551" s="12">
        <v>295.25</v>
      </c>
      <c r="AA551" s="17">
        <f>MAX($B$551:$Y$551)</f>
        <v>553.46</v>
      </c>
      <c r="AB551" s="17">
        <f>MIN($B$551:$Y$551)</f>
        <v>243.49</v>
      </c>
      <c r="AC551" s="17">
        <f>AVERAGE($B$551:$Y$551)</f>
        <v>320.31166666666701</v>
      </c>
    </row>
    <row r="552" spans="1:29">
      <c r="A552" s="10">
        <v>45847</v>
      </c>
      <c r="B552" s="12">
        <v>313.98</v>
      </c>
      <c r="C552" s="12">
        <v>295.17</v>
      </c>
      <c r="D552" s="12">
        <v>264.66000000000003</v>
      </c>
      <c r="E552" s="12">
        <v>250.79</v>
      </c>
      <c r="F552" s="12">
        <v>244.88</v>
      </c>
      <c r="G552" s="12">
        <v>242.41</v>
      </c>
      <c r="H552" s="12">
        <v>243.88</v>
      </c>
      <c r="I552" s="12">
        <v>235.93</v>
      </c>
      <c r="J552" s="12">
        <v>284.64999999999998</v>
      </c>
      <c r="K552" s="12">
        <v>316.64</v>
      </c>
      <c r="L552" s="12">
        <v>287.99</v>
      </c>
      <c r="M552" s="12">
        <v>274.27</v>
      </c>
      <c r="N552" s="12">
        <v>217.24</v>
      </c>
      <c r="O552" s="12">
        <v>360.47</v>
      </c>
      <c r="P552" s="12">
        <v>313.52</v>
      </c>
      <c r="Q552" s="12">
        <v>502.21</v>
      </c>
      <c r="R552" s="12">
        <v>606.69000000000005</v>
      </c>
      <c r="S552" s="12">
        <v>600.54999999999995</v>
      </c>
      <c r="T552" s="12">
        <v>370.75</v>
      </c>
      <c r="U552" s="12">
        <v>440.41</v>
      </c>
      <c r="V552" s="12">
        <v>409.51</v>
      </c>
      <c r="W552" s="12">
        <v>466.8</v>
      </c>
      <c r="X552" s="12">
        <v>402.3</v>
      </c>
      <c r="Y552" s="12">
        <v>321.99</v>
      </c>
      <c r="AA552" s="17">
        <f>MAX($B$552:$Y$552)</f>
        <v>606.69000000000005</v>
      </c>
      <c r="AB552" s="17">
        <f>MIN($B$552:$Y$552)</f>
        <v>217.24</v>
      </c>
      <c r="AC552" s="17">
        <f>AVERAGE($B$552:$Y$552)</f>
        <v>344.48708333333298</v>
      </c>
    </row>
    <row r="553" spans="1:29">
      <c r="A553" s="10">
        <v>45848</v>
      </c>
      <c r="B553" s="12">
        <v>303.81</v>
      </c>
      <c r="C553" s="12">
        <v>309.86</v>
      </c>
      <c r="D553" s="12">
        <v>291.81</v>
      </c>
      <c r="E553" s="12">
        <v>270.06</v>
      </c>
      <c r="F553" s="12">
        <v>257.70999999999998</v>
      </c>
      <c r="G553" s="12">
        <v>263.39999999999998</v>
      </c>
      <c r="H553" s="12">
        <v>265.88</v>
      </c>
      <c r="I553" s="12">
        <v>260.55</v>
      </c>
      <c r="J553" s="12">
        <v>287.81</v>
      </c>
      <c r="K553" s="12">
        <v>319.86</v>
      </c>
      <c r="L553" s="12">
        <v>300.7</v>
      </c>
      <c r="M553" s="12">
        <v>322.52</v>
      </c>
      <c r="N553" s="12">
        <v>268.91000000000003</v>
      </c>
      <c r="O553" s="12">
        <v>279.31</v>
      </c>
      <c r="P553" s="12">
        <v>284.41000000000003</v>
      </c>
      <c r="Q553" s="12">
        <v>271.64999999999998</v>
      </c>
      <c r="R553" s="12">
        <v>269.02</v>
      </c>
      <c r="S553" s="12">
        <v>270.95999999999998</v>
      </c>
      <c r="T553" s="12">
        <v>265.77</v>
      </c>
      <c r="U553" s="12">
        <v>267.45</v>
      </c>
      <c r="V553" s="12">
        <v>269.52999999999997</v>
      </c>
      <c r="W553" s="12">
        <v>261.69</v>
      </c>
      <c r="X553" s="12">
        <v>243.33</v>
      </c>
      <c r="Y553" s="12">
        <v>268.45</v>
      </c>
      <c r="AA553" s="17">
        <f>MAX($B$553:$Y$553)</f>
        <v>322.52</v>
      </c>
      <c r="AB553" s="17">
        <f>MIN($B$553:$Y$553)</f>
        <v>243.33</v>
      </c>
      <c r="AC553" s="17">
        <f>AVERAGE($B$553:$Y$553)</f>
        <v>278.10208333333298</v>
      </c>
    </row>
    <row r="554" spans="1:29">
      <c r="A554" s="10">
        <v>45849</v>
      </c>
      <c r="B554" s="12">
        <v>253.89</v>
      </c>
      <c r="C554" s="12">
        <v>254.2</v>
      </c>
      <c r="D554" s="12">
        <v>228.2</v>
      </c>
      <c r="E554" s="12">
        <v>224.9</v>
      </c>
      <c r="F554" s="12">
        <v>227.76</v>
      </c>
      <c r="G554" s="12">
        <v>217.27</v>
      </c>
      <c r="H554" s="12">
        <v>221.23</v>
      </c>
      <c r="I554" s="12">
        <v>222.26</v>
      </c>
      <c r="J554" s="12">
        <v>259.91000000000003</v>
      </c>
      <c r="K554" s="12">
        <v>326.52</v>
      </c>
      <c r="L554" s="12">
        <v>282.98</v>
      </c>
      <c r="M554" s="12">
        <v>278.27</v>
      </c>
      <c r="N554" s="12">
        <v>245.65</v>
      </c>
      <c r="O554" s="12">
        <v>320.23</v>
      </c>
      <c r="P554" s="12">
        <v>271.06</v>
      </c>
      <c r="Q554" s="12">
        <v>268.37</v>
      </c>
      <c r="R554" s="12">
        <v>275.66000000000003</v>
      </c>
      <c r="S554" s="12">
        <v>281.26</v>
      </c>
      <c r="T554" s="12">
        <v>274.58999999999997</v>
      </c>
      <c r="U554" s="12">
        <v>295.83999999999997</v>
      </c>
      <c r="V554" s="12">
        <v>312.73</v>
      </c>
      <c r="W554" s="12">
        <v>273.07</v>
      </c>
      <c r="X554" s="12">
        <v>260.52</v>
      </c>
      <c r="Y554" s="12">
        <v>247.49</v>
      </c>
      <c r="AA554" s="17">
        <f>MAX($B$554:$Y$554)</f>
        <v>326.52</v>
      </c>
      <c r="AB554" s="17">
        <f>MIN($B$554:$Y$554)</f>
        <v>217.27</v>
      </c>
      <c r="AC554" s="17">
        <f>AVERAGE($B$554:$Y$554)</f>
        <v>263.49416666666701</v>
      </c>
    </row>
    <row r="555" spans="1:29">
      <c r="A555" s="10">
        <v>45850</v>
      </c>
      <c r="B555" s="12">
        <v>279.88</v>
      </c>
      <c r="C555" s="12">
        <v>273.77</v>
      </c>
      <c r="D555" s="12">
        <v>260.56</v>
      </c>
      <c r="E555" s="12">
        <v>240.59</v>
      </c>
      <c r="F555" s="12">
        <v>224.56</v>
      </c>
      <c r="G555" s="12">
        <v>241.71</v>
      </c>
      <c r="H555" s="12">
        <v>224.79</v>
      </c>
      <c r="I555" s="12">
        <v>212.98</v>
      </c>
      <c r="J555" s="12">
        <v>273.02</v>
      </c>
      <c r="K555" s="12">
        <v>278.77</v>
      </c>
      <c r="L555" s="12">
        <v>259.89</v>
      </c>
      <c r="M555" s="12">
        <v>261.20999999999998</v>
      </c>
      <c r="N555" s="12">
        <v>222.58</v>
      </c>
      <c r="O555" s="12">
        <v>263.85000000000002</v>
      </c>
      <c r="P555" s="12">
        <v>261.33999999999997</v>
      </c>
      <c r="Q555" s="12">
        <v>269.94</v>
      </c>
      <c r="R555" s="12">
        <v>282.54000000000002</v>
      </c>
      <c r="S555" s="12">
        <v>271.14</v>
      </c>
      <c r="T555" s="12">
        <v>276.02</v>
      </c>
      <c r="U555" s="12">
        <v>289.91000000000003</v>
      </c>
      <c r="V555" s="12">
        <v>376.23</v>
      </c>
      <c r="W555" s="12">
        <v>381.34</v>
      </c>
      <c r="X555" s="12">
        <v>356.49</v>
      </c>
      <c r="Y555" s="12">
        <v>305.41000000000003</v>
      </c>
      <c r="AA555" s="17">
        <f>MAX($B$555:$Y$555)</f>
        <v>381.34</v>
      </c>
      <c r="AB555" s="17">
        <f>MIN($B$555:$Y$555)</f>
        <v>212.98</v>
      </c>
      <c r="AC555" s="17">
        <f>AVERAGE($B$555:$Y$555)</f>
        <v>274.52166666666699</v>
      </c>
    </row>
    <row r="556" spans="1:29">
      <c r="A556" s="10">
        <v>45851</v>
      </c>
      <c r="B556" s="12">
        <v>316.61</v>
      </c>
      <c r="C556" s="12">
        <v>297.24</v>
      </c>
      <c r="D556" s="12">
        <v>269.66000000000003</v>
      </c>
      <c r="E556" s="12">
        <v>247.69</v>
      </c>
      <c r="F556" s="12">
        <v>248.72</v>
      </c>
      <c r="G556" s="12">
        <v>243.21</v>
      </c>
      <c r="H556" s="12">
        <v>236.62</v>
      </c>
      <c r="I556" s="12">
        <v>203.89</v>
      </c>
      <c r="J556" s="12">
        <v>170.7</v>
      </c>
      <c r="K556" s="12">
        <v>176.37</v>
      </c>
      <c r="L556" s="12">
        <v>190.33</v>
      </c>
      <c r="M556" s="12">
        <v>200.74</v>
      </c>
      <c r="N556" s="12">
        <v>212.54</v>
      </c>
      <c r="O556" s="12">
        <v>227.59</v>
      </c>
      <c r="P556" s="12">
        <v>231.38</v>
      </c>
      <c r="Q556" s="12">
        <v>224.19</v>
      </c>
      <c r="R556" s="12">
        <v>246.54</v>
      </c>
      <c r="S556" s="12">
        <v>265.48</v>
      </c>
      <c r="T556" s="12">
        <v>268.85000000000002</v>
      </c>
      <c r="U556" s="12">
        <v>294.91000000000003</v>
      </c>
      <c r="V556" s="12">
        <v>309.45999999999998</v>
      </c>
      <c r="W556" s="12">
        <v>328.74</v>
      </c>
      <c r="X556" s="12">
        <v>300.58999999999997</v>
      </c>
      <c r="Y556" s="12">
        <v>286.91000000000003</v>
      </c>
      <c r="AA556" s="17">
        <f>MAX($B$556:$Y$556)</f>
        <v>328.74</v>
      </c>
      <c r="AB556" s="17">
        <f>MIN($B$556:$Y$556)</f>
        <v>170.7</v>
      </c>
      <c r="AC556" s="17">
        <f>AVERAGE($B$556:$Y$556)</f>
        <v>249.95666666666699</v>
      </c>
    </row>
    <row r="557" spans="1:29">
      <c r="A557" s="10">
        <v>45852</v>
      </c>
      <c r="B557" s="12">
        <v>294.63</v>
      </c>
      <c r="C557" s="12">
        <v>279.37</v>
      </c>
      <c r="D557" s="12">
        <v>265.52</v>
      </c>
      <c r="E557" s="12">
        <v>256.52</v>
      </c>
      <c r="F557" s="12">
        <v>250.27</v>
      </c>
      <c r="G557" s="12">
        <v>249.5</v>
      </c>
      <c r="H557" s="12">
        <v>257.35000000000002</v>
      </c>
      <c r="I557" s="12">
        <v>260.91000000000003</v>
      </c>
      <c r="J557" s="12">
        <v>289.39999999999998</v>
      </c>
      <c r="K557" s="12">
        <v>370.15</v>
      </c>
      <c r="L557" s="12">
        <v>277.16000000000003</v>
      </c>
      <c r="M557" s="12">
        <v>263.02</v>
      </c>
      <c r="N557" s="12">
        <v>243.69</v>
      </c>
      <c r="O557" s="12">
        <v>285.39</v>
      </c>
      <c r="P557" s="12">
        <v>298.31</v>
      </c>
      <c r="Q557" s="12">
        <v>307.86</v>
      </c>
      <c r="R557" s="12">
        <v>348.9</v>
      </c>
      <c r="S557" s="12">
        <v>453.3</v>
      </c>
      <c r="T557" s="12">
        <v>428.56</v>
      </c>
      <c r="U557" s="12">
        <v>981.31</v>
      </c>
      <c r="V557" s="12">
        <v>1139.76</v>
      </c>
      <c r="W557" s="12">
        <v>1032.8599999999999</v>
      </c>
      <c r="X557" s="12">
        <v>677.05</v>
      </c>
      <c r="Y557" s="12">
        <v>325.5</v>
      </c>
      <c r="AA557" s="17">
        <f>MAX($B$557:$Y$557)</f>
        <v>1139.76</v>
      </c>
      <c r="AB557" s="17">
        <f>MIN($B$557:$Y$557)</f>
        <v>243.69</v>
      </c>
      <c r="AC557" s="17">
        <f>AVERAGE($B$557:$Y$557)</f>
        <v>409.84541666666701</v>
      </c>
    </row>
    <row r="558" spans="1:29">
      <c r="A558" s="10">
        <v>45853</v>
      </c>
      <c r="B558" s="12">
        <v>312.66000000000003</v>
      </c>
      <c r="C558" s="12">
        <v>286.95</v>
      </c>
      <c r="D558" s="12">
        <v>227.63</v>
      </c>
      <c r="E558" s="12">
        <v>185.7</v>
      </c>
      <c r="F558" s="12">
        <v>250.02</v>
      </c>
      <c r="G558" s="12">
        <v>250.55</v>
      </c>
      <c r="H558" s="12">
        <v>252.78</v>
      </c>
      <c r="I558" s="12">
        <v>239.04</v>
      </c>
      <c r="J558" s="12">
        <v>274.88</v>
      </c>
      <c r="K558" s="12">
        <v>278.26</v>
      </c>
      <c r="L558" s="12">
        <v>275.17</v>
      </c>
      <c r="M558" s="12">
        <v>269.81</v>
      </c>
      <c r="N558" s="12">
        <v>247.53</v>
      </c>
      <c r="O558" s="12">
        <v>302.37</v>
      </c>
      <c r="P558" s="12">
        <v>331.84</v>
      </c>
      <c r="Q558" s="12">
        <v>310.73</v>
      </c>
      <c r="R558" s="12">
        <v>243.77</v>
      </c>
      <c r="S558" s="12">
        <v>300.35000000000002</v>
      </c>
      <c r="T558" s="12">
        <v>300.36</v>
      </c>
      <c r="U558" s="12">
        <v>353.88</v>
      </c>
      <c r="V558" s="12">
        <v>366.28</v>
      </c>
      <c r="W558" s="12">
        <v>365.76</v>
      </c>
      <c r="X558" s="12">
        <v>346.71</v>
      </c>
      <c r="Y558" s="12">
        <v>293.48</v>
      </c>
      <c r="AA558" s="17">
        <f>MAX($B$558:$Y$558)</f>
        <v>366.28</v>
      </c>
      <c r="AB558" s="17">
        <f>MIN($B$558:$Y$558)</f>
        <v>185.7</v>
      </c>
      <c r="AC558" s="17">
        <f>AVERAGE($B$558:$Y$558)</f>
        <v>286.10458333333298</v>
      </c>
    </row>
    <row r="559" spans="1:29">
      <c r="A559" s="10">
        <v>45854</v>
      </c>
      <c r="B559" s="12">
        <v>346.9</v>
      </c>
      <c r="C559" s="12">
        <v>300.45</v>
      </c>
      <c r="D559" s="12">
        <v>277.79000000000002</v>
      </c>
      <c r="E559" s="12">
        <v>268.67</v>
      </c>
      <c r="F559" s="12">
        <v>263.31</v>
      </c>
      <c r="G559" s="12">
        <v>255.95</v>
      </c>
      <c r="H559" s="12">
        <v>259.98</v>
      </c>
      <c r="I559" s="12">
        <v>250.76</v>
      </c>
      <c r="J559" s="12">
        <v>281.20999999999998</v>
      </c>
      <c r="K559" s="12">
        <v>277.57</v>
      </c>
      <c r="L559" s="12">
        <v>277.35000000000002</v>
      </c>
      <c r="M559" s="12">
        <v>268.39999999999998</v>
      </c>
      <c r="N559" s="12">
        <v>249.98</v>
      </c>
      <c r="O559" s="12">
        <v>293.18</v>
      </c>
      <c r="P559" s="12">
        <v>275.02999999999997</v>
      </c>
      <c r="Q559" s="12">
        <v>274.87</v>
      </c>
      <c r="R559" s="12">
        <v>312.55</v>
      </c>
      <c r="S559" s="12">
        <v>322.51</v>
      </c>
      <c r="T559" s="12">
        <v>357.23</v>
      </c>
      <c r="U559" s="12">
        <v>399.95</v>
      </c>
      <c r="V559" s="12">
        <v>404.49</v>
      </c>
      <c r="W559" s="12">
        <v>484.91</v>
      </c>
      <c r="X559" s="12">
        <v>482.92</v>
      </c>
      <c r="Y559" s="12">
        <v>354.9</v>
      </c>
      <c r="AA559" s="17">
        <f>MAX($B$559:$Y$559)</f>
        <v>484.91</v>
      </c>
      <c r="AB559" s="17">
        <f>MIN($B$559:$Y$559)</f>
        <v>249.98</v>
      </c>
      <c r="AC559" s="17">
        <f>AVERAGE($B$559:$Y$559)</f>
        <v>314.20249999999999</v>
      </c>
    </row>
    <row r="560" spans="1:29">
      <c r="A560" s="10">
        <v>45855</v>
      </c>
      <c r="B560" s="12">
        <v>396.54</v>
      </c>
      <c r="C560" s="12">
        <v>374.3</v>
      </c>
      <c r="D560" s="12">
        <v>399.37</v>
      </c>
      <c r="E560" s="12">
        <v>395.61</v>
      </c>
      <c r="F560" s="12">
        <v>353.6</v>
      </c>
      <c r="G560" s="12">
        <v>344.38</v>
      </c>
      <c r="H560" s="12">
        <v>333.18</v>
      </c>
      <c r="I560" s="12">
        <v>303.12</v>
      </c>
      <c r="J560" s="12">
        <v>311.33</v>
      </c>
      <c r="K560" s="12">
        <v>310.11</v>
      </c>
      <c r="L560" s="12">
        <v>313.12</v>
      </c>
      <c r="M560" s="12">
        <v>304.74</v>
      </c>
      <c r="N560" s="12">
        <v>296.04000000000002</v>
      </c>
      <c r="O560" s="12">
        <v>369.79</v>
      </c>
      <c r="P560" s="12">
        <v>337.18</v>
      </c>
      <c r="Q560" s="12">
        <v>297.11</v>
      </c>
      <c r="R560" s="12">
        <v>310.45</v>
      </c>
      <c r="S560" s="12">
        <v>353.52</v>
      </c>
      <c r="T560" s="12">
        <v>349.18</v>
      </c>
      <c r="U560" s="12">
        <v>515.58000000000004</v>
      </c>
      <c r="V560" s="12">
        <v>586.72</v>
      </c>
      <c r="W560" s="12">
        <v>891.12</v>
      </c>
      <c r="X560" s="12">
        <v>795.53</v>
      </c>
      <c r="Y560" s="12">
        <v>466.7</v>
      </c>
      <c r="AA560" s="17">
        <f>MAX($B$560:$Y$560)</f>
        <v>891.12</v>
      </c>
      <c r="AB560" s="17">
        <f>MIN($B$560:$Y$560)</f>
        <v>296.04000000000002</v>
      </c>
      <c r="AC560" s="17">
        <f>AVERAGE($B$560:$Y$560)</f>
        <v>404.51333333333298</v>
      </c>
    </row>
    <row r="561" spans="1:29">
      <c r="A561" s="10">
        <v>45856</v>
      </c>
      <c r="B561" s="12">
        <v>898</v>
      </c>
      <c r="C561" s="12">
        <v>608.51</v>
      </c>
      <c r="D561" s="12">
        <v>835.69</v>
      </c>
      <c r="E561" s="12">
        <v>637.89</v>
      </c>
      <c r="F561" s="12">
        <v>410.01</v>
      </c>
      <c r="G561" s="12">
        <v>398.18</v>
      </c>
      <c r="H561" s="12">
        <v>394.53</v>
      </c>
      <c r="I561" s="12">
        <v>360.51</v>
      </c>
      <c r="J561" s="12">
        <v>433.03</v>
      </c>
      <c r="K561" s="12">
        <v>482.6</v>
      </c>
      <c r="L561" s="12">
        <v>342.05</v>
      </c>
      <c r="M561" s="12">
        <v>333.98</v>
      </c>
      <c r="N561" s="12">
        <v>367.16</v>
      </c>
      <c r="O561" s="12">
        <v>409.95</v>
      </c>
      <c r="P561" s="12">
        <v>240.35</v>
      </c>
      <c r="Q561" s="12">
        <v>283.64</v>
      </c>
      <c r="R561" s="12">
        <v>306.32</v>
      </c>
      <c r="S561" s="12">
        <v>302.86</v>
      </c>
      <c r="T561" s="12">
        <v>296.31</v>
      </c>
      <c r="U561" s="12">
        <v>296.39999999999998</v>
      </c>
      <c r="V561" s="12">
        <v>293.13</v>
      </c>
      <c r="W561" s="12">
        <v>283.95999999999998</v>
      </c>
      <c r="X561" s="12">
        <v>294</v>
      </c>
      <c r="Y561" s="12">
        <v>292.7</v>
      </c>
      <c r="AA561" s="17">
        <f>MAX($B$561:$Y$561)</f>
        <v>898</v>
      </c>
      <c r="AB561" s="17">
        <f>MIN($B$561:$Y$561)</f>
        <v>240.35</v>
      </c>
      <c r="AC561" s="17">
        <f>AVERAGE($B$561:$Y$561)</f>
        <v>408.40666666666698</v>
      </c>
    </row>
    <row r="562" spans="1:29">
      <c r="A562" s="10">
        <v>45857</v>
      </c>
      <c r="B562" s="12">
        <v>312.29000000000002</v>
      </c>
      <c r="C562" s="12">
        <v>313.62</v>
      </c>
      <c r="D562" s="12">
        <v>290.77999999999997</v>
      </c>
      <c r="E562" s="12">
        <v>287.07</v>
      </c>
      <c r="F562" s="12">
        <v>286.91000000000003</v>
      </c>
      <c r="G562" s="12">
        <v>266.98</v>
      </c>
      <c r="H562" s="12">
        <v>267.43</v>
      </c>
      <c r="I562" s="12">
        <v>260.81</v>
      </c>
      <c r="J562" s="12">
        <v>262.37</v>
      </c>
      <c r="K562" s="12">
        <v>246.5</v>
      </c>
      <c r="L562" s="12">
        <v>245.9</v>
      </c>
      <c r="M562" s="12">
        <v>264.02999999999997</v>
      </c>
      <c r="N562" s="12">
        <v>228.98</v>
      </c>
      <c r="O562" s="12">
        <v>235.69</v>
      </c>
      <c r="P562" s="12">
        <v>278.32</v>
      </c>
      <c r="Q562" s="12">
        <v>292.68</v>
      </c>
      <c r="R562" s="12">
        <v>284.56</v>
      </c>
      <c r="S562" s="12">
        <v>302.39999999999998</v>
      </c>
      <c r="T562" s="12">
        <v>317.52</v>
      </c>
      <c r="U562" s="12">
        <v>335.32</v>
      </c>
      <c r="V562" s="12">
        <v>310.55</v>
      </c>
      <c r="W562" s="12">
        <v>339.4</v>
      </c>
      <c r="X562" s="12">
        <v>343.21</v>
      </c>
      <c r="Y562" s="12">
        <v>328.18</v>
      </c>
      <c r="AA562" s="17">
        <f>MAX($B$562:$Y$562)</f>
        <v>343.21</v>
      </c>
      <c r="AB562" s="17">
        <f>MIN($B$562:$Y$562)</f>
        <v>228.98</v>
      </c>
      <c r="AC562" s="17">
        <f>AVERAGE($B$562:$Y$562)</f>
        <v>287.5625</v>
      </c>
    </row>
    <row r="563" spans="1:29">
      <c r="A563" s="10">
        <v>45858</v>
      </c>
      <c r="B563" s="12">
        <v>481.59</v>
      </c>
      <c r="C563" s="12">
        <v>340.76</v>
      </c>
      <c r="D563" s="12">
        <v>356.35</v>
      </c>
      <c r="E563" s="12">
        <v>318.58</v>
      </c>
      <c r="F563" s="12">
        <v>290.61</v>
      </c>
      <c r="G563" s="12">
        <v>282.19</v>
      </c>
      <c r="H563" s="12">
        <v>280.43</v>
      </c>
      <c r="I563" s="12">
        <v>264.82</v>
      </c>
      <c r="J563" s="12">
        <v>233.66</v>
      </c>
      <c r="K563" s="12">
        <v>226.07</v>
      </c>
      <c r="L563" s="12">
        <v>166.81</v>
      </c>
      <c r="M563" s="12">
        <v>204.39</v>
      </c>
      <c r="N563" s="12">
        <v>138.38999999999999</v>
      </c>
      <c r="O563" s="12">
        <v>206.15</v>
      </c>
      <c r="P563" s="12">
        <v>151.1</v>
      </c>
      <c r="Q563" s="12">
        <v>62.58</v>
      </c>
      <c r="R563" s="12">
        <v>97.2</v>
      </c>
      <c r="S563" s="12">
        <v>212.17</v>
      </c>
      <c r="T563" s="12">
        <v>249.78</v>
      </c>
      <c r="U563" s="12">
        <v>241.81</v>
      </c>
      <c r="V563" s="12">
        <v>210.17</v>
      </c>
      <c r="W563" s="12">
        <v>243.4</v>
      </c>
      <c r="X563" s="12">
        <v>249.4</v>
      </c>
      <c r="Y563" s="12">
        <v>227.83</v>
      </c>
      <c r="AA563" s="17">
        <f>MAX($B$563:$Y$563)</f>
        <v>481.59</v>
      </c>
      <c r="AB563" s="17">
        <f>MIN($B$563:$Y$563)</f>
        <v>62.58</v>
      </c>
      <c r="AC563" s="17">
        <f>AVERAGE($B$563:$Y$563)</f>
        <v>239.01</v>
      </c>
    </row>
    <row r="564" spans="1:29">
      <c r="A564" s="10">
        <v>45859</v>
      </c>
      <c r="B564" s="12">
        <v>202.38</v>
      </c>
      <c r="C564" s="12">
        <v>222.84</v>
      </c>
      <c r="D564" s="12">
        <v>189.16</v>
      </c>
      <c r="E564" s="12">
        <v>181.89</v>
      </c>
      <c r="F564" s="12">
        <v>192.04</v>
      </c>
      <c r="G564" s="12">
        <v>208.67</v>
      </c>
      <c r="H564" s="12">
        <v>200.85</v>
      </c>
      <c r="I564" s="12">
        <v>210.28</v>
      </c>
      <c r="J564" s="12">
        <v>260.14999999999998</v>
      </c>
      <c r="K564" s="12">
        <v>352.78</v>
      </c>
      <c r="L564" s="12">
        <v>378.61</v>
      </c>
      <c r="M564" s="12">
        <v>313.67</v>
      </c>
      <c r="N564" s="12">
        <v>213.31</v>
      </c>
      <c r="O564" s="12">
        <v>299.06</v>
      </c>
      <c r="P564" s="12">
        <v>323.66000000000003</v>
      </c>
      <c r="Q564" s="12">
        <v>315.55</v>
      </c>
      <c r="R564" s="12">
        <v>322.11</v>
      </c>
      <c r="S564" s="12">
        <v>305.16000000000003</v>
      </c>
      <c r="T564" s="12">
        <v>284.58999999999997</v>
      </c>
      <c r="U564" s="12">
        <v>289.82</v>
      </c>
      <c r="V564" s="12">
        <v>294.92</v>
      </c>
      <c r="W564" s="12">
        <v>273.04000000000002</v>
      </c>
      <c r="X564" s="12">
        <v>259.58</v>
      </c>
      <c r="Y564" s="12">
        <v>253.43</v>
      </c>
      <c r="AA564" s="17">
        <f>MAX($B$564:$Y$564)</f>
        <v>378.61</v>
      </c>
      <c r="AB564" s="17">
        <f>MIN($B$564:$Y$564)</f>
        <v>181.89</v>
      </c>
      <c r="AC564" s="17">
        <f>AVERAGE($B$564:$Y$564)</f>
        <v>264.48124999999999</v>
      </c>
    </row>
    <row r="565" spans="1:29">
      <c r="A565" s="10">
        <v>45860</v>
      </c>
      <c r="B565" s="12">
        <v>276.52999999999997</v>
      </c>
      <c r="C565" s="12">
        <v>259.48</v>
      </c>
      <c r="D565" s="12">
        <v>258.75</v>
      </c>
      <c r="E565" s="12">
        <v>251.88</v>
      </c>
      <c r="F565" s="12">
        <v>228.63</v>
      </c>
      <c r="G565" s="12">
        <v>225.57</v>
      </c>
      <c r="H565" s="12">
        <v>233.53</v>
      </c>
      <c r="I565" s="12">
        <v>233.6</v>
      </c>
      <c r="J565" s="12">
        <v>283.73</v>
      </c>
      <c r="K565" s="12">
        <v>329.42</v>
      </c>
      <c r="L565" s="12">
        <v>287.69</v>
      </c>
      <c r="M565" s="12">
        <v>278.76</v>
      </c>
      <c r="N565" s="12">
        <v>257.45</v>
      </c>
      <c r="O565" s="12">
        <v>272.82</v>
      </c>
      <c r="P565" s="12">
        <v>269.5</v>
      </c>
      <c r="Q565" s="12">
        <v>275.3</v>
      </c>
      <c r="R565" s="12">
        <v>314.41000000000003</v>
      </c>
      <c r="S565" s="12">
        <v>339.2</v>
      </c>
      <c r="T565" s="12">
        <v>268.08</v>
      </c>
      <c r="U565" s="12">
        <v>295.99</v>
      </c>
      <c r="V565" s="12">
        <v>297.20999999999998</v>
      </c>
      <c r="W565" s="12">
        <v>278.64</v>
      </c>
      <c r="X565" s="12">
        <v>264.87</v>
      </c>
      <c r="Y565" s="12">
        <v>265.98</v>
      </c>
      <c r="AA565" s="17">
        <f>MAX($B$565:$Y$565)</f>
        <v>339.2</v>
      </c>
      <c r="AB565" s="17">
        <f>MIN($B$565:$Y$565)</f>
        <v>225.57</v>
      </c>
      <c r="AC565" s="17">
        <f>AVERAGE($B$565:$Y$565)</f>
        <v>272.79250000000002</v>
      </c>
    </row>
    <row r="566" spans="1:29">
      <c r="A566" s="10">
        <v>45861</v>
      </c>
      <c r="B566" s="12">
        <v>271.22000000000003</v>
      </c>
      <c r="C566" s="12">
        <v>265.70999999999998</v>
      </c>
      <c r="D566" s="12">
        <v>261.22000000000003</v>
      </c>
      <c r="E566" s="12">
        <v>229.66</v>
      </c>
      <c r="F566" s="12">
        <v>251.65</v>
      </c>
      <c r="G566" s="12">
        <v>256.48</v>
      </c>
      <c r="H566" s="12">
        <v>254.61</v>
      </c>
      <c r="I566" s="12">
        <v>254.2</v>
      </c>
      <c r="J566" s="12">
        <v>302.83999999999997</v>
      </c>
      <c r="K566" s="12">
        <v>268.68</v>
      </c>
      <c r="L566" s="12">
        <v>241.86</v>
      </c>
      <c r="M566" s="12">
        <v>250.65</v>
      </c>
      <c r="N566" s="12">
        <v>191.03</v>
      </c>
      <c r="O566" s="12">
        <v>248.06</v>
      </c>
      <c r="P566" s="12">
        <v>230.21</v>
      </c>
      <c r="Q566" s="12">
        <v>234.72</v>
      </c>
      <c r="R566" s="12">
        <v>221.61</v>
      </c>
      <c r="S566" s="12">
        <v>290.36</v>
      </c>
      <c r="T566" s="12">
        <v>312.93</v>
      </c>
      <c r="U566" s="12">
        <v>299.37</v>
      </c>
      <c r="V566" s="12">
        <v>305.93</v>
      </c>
      <c r="W566" s="12">
        <v>297.64</v>
      </c>
      <c r="X566" s="12">
        <v>282.33999999999997</v>
      </c>
      <c r="Y566" s="12">
        <v>281.26</v>
      </c>
      <c r="AA566" s="17">
        <f>MAX($B$566:$Y$566)</f>
        <v>312.93</v>
      </c>
      <c r="AB566" s="17">
        <f>MIN($B$566:$Y$566)</f>
        <v>191.03</v>
      </c>
      <c r="AC566" s="17">
        <f>AVERAGE($B$566:$Y$566)</f>
        <v>262.67666666666702</v>
      </c>
    </row>
    <row r="567" spans="1:29">
      <c r="A567" s="10">
        <v>45862</v>
      </c>
      <c r="B567" s="12">
        <v>290.33</v>
      </c>
      <c r="C567" s="12">
        <v>288.79000000000002</v>
      </c>
      <c r="D567" s="12">
        <v>285.88</v>
      </c>
      <c r="E567" s="12">
        <v>279.69</v>
      </c>
      <c r="F567" s="12">
        <v>273.83</v>
      </c>
      <c r="G567" s="12">
        <v>268.05</v>
      </c>
      <c r="H567" s="12">
        <v>276.27</v>
      </c>
      <c r="I567" s="12">
        <v>275.41000000000003</v>
      </c>
      <c r="J567" s="12">
        <v>279.2</v>
      </c>
      <c r="K567" s="12">
        <v>278.82</v>
      </c>
      <c r="L567" s="12">
        <v>223.85</v>
      </c>
      <c r="M567" s="12">
        <v>255.1</v>
      </c>
      <c r="N567" s="12">
        <v>221.77</v>
      </c>
      <c r="O567" s="12">
        <v>278.64999999999998</v>
      </c>
      <c r="P567" s="12">
        <v>243.59</v>
      </c>
      <c r="Q567" s="12">
        <v>268.66000000000003</v>
      </c>
      <c r="R567" s="12">
        <v>312.99</v>
      </c>
      <c r="S567" s="12">
        <v>312.42</v>
      </c>
      <c r="T567" s="12">
        <v>314.95</v>
      </c>
      <c r="U567" s="12">
        <v>351.14</v>
      </c>
      <c r="V567" s="12">
        <v>375.93</v>
      </c>
      <c r="W567" s="12">
        <v>356.6</v>
      </c>
      <c r="X567" s="12">
        <v>320.20999999999998</v>
      </c>
      <c r="Y567" s="12">
        <v>322.55</v>
      </c>
      <c r="AA567" s="17">
        <f>MAX($B$567:$Y$567)</f>
        <v>375.93</v>
      </c>
      <c r="AB567" s="17">
        <f>MIN($B$567:$Y$567)</f>
        <v>221.77</v>
      </c>
      <c r="AC567" s="17">
        <f>AVERAGE($B$567:$Y$567)</f>
        <v>289.77833333333302</v>
      </c>
    </row>
    <row r="568" spans="1:29">
      <c r="A568" s="10">
        <v>45863</v>
      </c>
      <c r="B568" s="12">
        <v>325.22000000000003</v>
      </c>
      <c r="C568" s="12">
        <v>297.64</v>
      </c>
      <c r="D568" s="12">
        <v>281.91000000000003</v>
      </c>
      <c r="E568" s="12">
        <v>279.77</v>
      </c>
      <c r="F568" s="12">
        <v>276.16000000000003</v>
      </c>
      <c r="G568" s="12">
        <v>275.12</v>
      </c>
      <c r="H568" s="12">
        <v>278.57</v>
      </c>
      <c r="I568" s="12">
        <v>268.55</v>
      </c>
      <c r="J568" s="12">
        <v>257.58999999999997</v>
      </c>
      <c r="K568" s="12">
        <v>248.63</v>
      </c>
      <c r="L568" s="12">
        <v>255.72</v>
      </c>
      <c r="M568" s="12">
        <v>228.31</v>
      </c>
      <c r="N568" s="12">
        <v>229.72</v>
      </c>
      <c r="O568" s="12">
        <v>279.31</v>
      </c>
      <c r="P568" s="12">
        <v>311.57</v>
      </c>
      <c r="Q568" s="12">
        <v>297.49</v>
      </c>
      <c r="R568" s="12">
        <v>301.82</v>
      </c>
      <c r="S568" s="12">
        <v>323.27</v>
      </c>
      <c r="T568" s="12">
        <v>301.91000000000003</v>
      </c>
      <c r="U568" s="12">
        <v>287.17</v>
      </c>
      <c r="V568" s="12">
        <v>291.91000000000003</v>
      </c>
      <c r="W568" s="12">
        <v>304.08999999999997</v>
      </c>
      <c r="X568" s="12">
        <v>213.88</v>
      </c>
      <c r="Y568" s="12">
        <v>287.73</v>
      </c>
      <c r="AA568" s="17">
        <f>MAX($B$568:$Y$568)</f>
        <v>325.22000000000003</v>
      </c>
      <c r="AB568" s="17">
        <f>MIN($B$568:$Y$568)</f>
        <v>213.88</v>
      </c>
      <c r="AC568" s="17">
        <f>AVERAGE($B$568:$Y$568)</f>
        <v>279.29416666666702</v>
      </c>
    </row>
    <row r="569" spans="1:29">
      <c r="A569" s="10">
        <v>45864</v>
      </c>
      <c r="B569" s="12">
        <v>331.17</v>
      </c>
      <c r="C569" s="12">
        <v>293.79000000000002</v>
      </c>
      <c r="D569" s="12">
        <v>300.17</v>
      </c>
      <c r="E569" s="12">
        <v>298.69</v>
      </c>
      <c r="F569" s="12">
        <v>282.33999999999997</v>
      </c>
      <c r="G569" s="12">
        <v>281.22000000000003</v>
      </c>
      <c r="H569" s="12">
        <v>288.36</v>
      </c>
      <c r="I569" s="12">
        <v>274.33</v>
      </c>
      <c r="J569" s="12">
        <v>271.02</v>
      </c>
      <c r="K569" s="12">
        <v>247.92</v>
      </c>
      <c r="L569" s="12">
        <v>205.8</v>
      </c>
      <c r="M569" s="12">
        <v>210.45</v>
      </c>
      <c r="N569" s="12">
        <v>223.74</v>
      </c>
      <c r="O569" s="12">
        <v>241.41</v>
      </c>
      <c r="P569" s="12">
        <v>276.62</v>
      </c>
      <c r="Q569" s="12">
        <v>279.33999999999997</v>
      </c>
      <c r="R569" s="12">
        <v>291.86</v>
      </c>
      <c r="S569" s="12">
        <v>311.07</v>
      </c>
      <c r="T569" s="12">
        <v>312.72000000000003</v>
      </c>
      <c r="U569" s="12">
        <v>308.89</v>
      </c>
      <c r="V569" s="12">
        <v>334.3</v>
      </c>
      <c r="W569" s="12">
        <v>356.27</v>
      </c>
      <c r="X569" s="12">
        <v>359.91</v>
      </c>
      <c r="Y569" s="12">
        <v>345.53</v>
      </c>
      <c r="AA569" s="17">
        <f>MAX($B$569:$Y$569)</f>
        <v>359.91</v>
      </c>
      <c r="AB569" s="17">
        <f>MIN($B$569:$Y$569)</f>
        <v>205.8</v>
      </c>
      <c r="AC569" s="17">
        <f>AVERAGE($B$569:$Y$569)</f>
        <v>288.62166666666701</v>
      </c>
    </row>
    <row r="570" spans="1:29">
      <c r="A570" s="10">
        <v>45865</v>
      </c>
      <c r="B570" s="12">
        <v>712.68</v>
      </c>
      <c r="C570" s="12">
        <v>426.43</v>
      </c>
      <c r="D570" s="12">
        <v>343.3</v>
      </c>
      <c r="E570" s="12">
        <v>320.10000000000002</v>
      </c>
      <c r="F570" s="12">
        <v>299.83</v>
      </c>
      <c r="G570" s="12">
        <v>285.54000000000002</v>
      </c>
      <c r="H570" s="12">
        <v>286.95999999999998</v>
      </c>
      <c r="I570" s="12">
        <v>254.02</v>
      </c>
      <c r="J570" s="12">
        <v>201.79</v>
      </c>
      <c r="K570" s="12">
        <v>189.78</v>
      </c>
      <c r="L570" s="12">
        <v>129.43</v>
      </c>
      <c r="M570" s="12">
        <v>226.81</v>
      </c>
      <c r="N570" s="12">
        <v>212.62</v>
      </c>
      <c r="O570" s="12">
        <v>217.02</v>
      </c>
      <c r="P570" s="12">
        <v>217.78</v>
      </c>
      <c r="Q570" s="12">
        <v>236.91</v>
      </c>
      <c r="R570" s="12">
        <v>285.36</v>
      </c>
      <c r="S570" s="12">
        <v>306.36</v>
      </c>
      <c r="T570" s="12">
        <v>327.38</v>
      </c>
      <c r="U570" s="12">
        <v>382.4</v>
      </c>
      <c r="V570" s="12">
        <v>391.26</v>
      </c>
      <c r="W570" s="12">
        <v>375.61</v>
      </c>
      <c r="X570" s="12">
        <v>370.94</v>
      </c>
      <c r="Y570" s="12">
        <v>378.03</v>
      </c>
      <c r="AA570" s="17">
        <f>MAX($B$570:$Y$570)</f>
        <v>712.68</v>
      </c>
      <c r="AB570" s="17">
        <f>MIN($B$570:$Y$570)</f>
        <v>129.43</v>
      </c>
      <c r="AC570" s="17">
        <f>AVERAGE($B$570:$Y$570)</f>
        <v>307.430833333333</v>
      </c>
    </row>
    <row r="571" spans="1:29">
      <c r="A571" s="10">
        <v>45866</v>
      </c>
      <c r="B571" s="12">
        <v>391.86</v>
      </c>
      <c r="C571" s="12">
        <v>324.74</v>
      </c>
      <c r="D571" s="12">
        <v>306.92</v>
      </c>
      <c r="E571" s="12">
        <v>295</v>
      </c>
      <c r="F571" s="12">
        <v>274.98</v>
      </c>
      <c r="G571" s="12">
        <v>276.36</v>
      </c>
      <c r="H571" s="12">
        <v>278.70999999999998</v>
      </c>
      <c r="I571" s="12">
        <v>280.17</v>
      </c>
      <c r="J571" s="12">
        <v>307.54000000000002</v>
      </c>
      <c r="K571" s="12">
        <v>334.49</v>
      </c>
      <c r="L571" s="12">
        <v>305.13</v>
      </c>
      <c r="M571" s="12">
        <v>304.54000000000002</v>
      </c>
      <c r="N571" s="12">
        <v>251.97</v>
      </c>
      <c r="O571" s="12">
        <v>345.3</v>
      </c>
      <c r="P571" s="12">
        <v>326.62</v>
      </c>
      <c r="Q571" s="12">
        <v>307.67</v>
      </c>
      <c r="R571" s="12">
        <v>339.15</v>
      </c>
      <c r="S571" s="12">
        <v>369.52</v>
      </c>
      <c r="T571" s="12">
        <v>321.08999999999997</v>
      </c>
      <c r="U571" s="12">
        <v>335.78</v>
      </c>
      <c r="V571" s="12">
        <v>331.88</v>
      </c>
      <c r="W571" s="12">
        <v>307.7</v>
      </c>
      <c r="X571" s="12">
        <v>296.29000000000002</v>
      </c>
      <c r="Y571" s="12">
        <v>295.01</v>
      </c>
      <c r="AA571" s="17">
        <f>MAX($B$571:$Y$571)</f>
        <v>391.86</v>
      </c>
      <c r="AB571" s="17">
        <f>MIN($B$571:$Y$571)</f>
        <v>251.97</v>
      </c>
      <c r="AC571" s="17">
        <f>AVERAGE($B$571:$Y$571)</f>
        <v>312.85083333333301</v>
      </c>
    </row>
    <row r="572" spans="1:29">
      <c r="A572" s="10">
        <v>45867</v>
      </c>
      <c r="B572" s="12">
        <v>315.44</v>
      </c>
      <c r="C572" s="12">
        <v>296.20999999999998</v>
      </c>
      <c r="D572" s="12">
        <v>288.20999999999998</v>
      </c>
      <c r="E572" s="12">
        <v>282.7</v>
      </c>
      <c r="F572" s="12">
        <v>277.29000000000002</v>
      </c>
      <c r="G572" s="12">
        <v>270.64</v>
      </c>
      <c r="H572" s="12">
        <v>279.33999999999997</v>
      </c>
      <c r="I572" s="12">
        <v>276.56</v>
      </c>
      <c r="J572" s="12">
        <v>273.88</v>
      </c>
      <c r="K572" s="12">
        <v>280.87</v>
      </c>
      <c r="L572" s="12">
        <v>266.57</v>
      </c>
      <c r="M572" s="12">
        <v>268.11</v>
      </c>
      <c r="N572" s="12">
        <v>226.38</v>
      </c>
      <c r="O572" s="12">
        <v>223.36</v>
      </c>
      <c r="P572" s="12">
        <v>284.41000000000003</v>
      </c>
      <c r="Q572" s="12">
        <v>280.35000000000002</v>
      </c>
      <c r="R572" s="12">
        <v>287.07</v>
      </c>
      <c r="S572" s="12">
        <v>296</v>
      </c>
      <c r="T572" s="12">
        <v>295.58999999999997</v>
      </c>
      <c r="U572" s="12">
        <v>315.61</v>
      </c>
      <c r="V572" s="12">
        <v>317.82</v>
      </c>
      <c r="W572" s="12">
        <v>336.79</v>
      </c>
      <c r="X572" s="12">
        <v>323.89</v>
      </c>
      <c r="Y572" s="12">
        <v>323.47000000000003</v>
      </c>
      <c r="AA572" s="17">
        <f>MAX($B$572:$Y$572)</f>
        <v>336.79</v>
      </c>
      <c r="AB572" s="17">
        <f>MIN($B$572:$Y$572)</f>
        <v>223.36</v>
      </c>
      <c r="AC572" s="17">
        <f>AVERAGE($B$572:$Y$572)</f>
        <v>286.94</v>
      </c>
    </row>
    <row r="573" spans="1:29">
      <c r="A573" s="10">
        <v>45868</v>
      </c>
      <c r="B573" s="12">
        <v>336.59</v>
      </c>
      <c r="C573" s="12">
        <v>301.05</v>
      </c>
      <c r="D573" s="12">
        <v>293.89999999999998</v>
      </c>
      <c r="E573" s="12">
        <v>288.43</v>
      </c>
      <c r="F573" s="12">
        <v>277.45</v>
      </c>
      <c r="G573" s="12">
        <v>266.07</v>
      </c>
      <c r="H573" s="12">
        <v>271.20999999999998</v>
      </c>
      <c r="I573" s="12">
        <v>257.52999999999997</v>
      </c>
      <c r="J573" s="12">
        <v>282.70999999999998</v>
      </c>
      <c r="K573" s="12">
        <v>290.62</v>
      </c>
      <c r="L573" s="12">
        <v>269.45999999999998</v>
      </c>
      <c r="M573" s="12">
        <v>276.48</v>
      </c>
      <c r="N573" s="12">
        <v>251.87</v>
      </c>
      <c r="O573" s="12">
        <v>312.13</v>
      </c>
      <c r="P573" s="12">
        <v>306.75</v>
      </c>
      <c r="Q573" s="12">
        <v>335.83</v>
      </c>
      <c r="R573" s="12">
        <v>474.48</v>
      </c>
      <c r="S573" s="12">
        <v>439.99</v>
      </c>
      <c r="T573" s="12">
        <v>319.10000000000002</v>
      </c>
      <c r="U573" s="12">
        <v>377.93</v>
      </c>
      <c r="V573" s="12">
        <v>367.9</v>
      </c>
      <c r="W573" s="12">
        <v>349.74</v>
      </c>
      <c r="X573" s="12">
        <v>321.70999999999998</v>
      </c>
      <c r="Y573" s="12">
        <v>310.14999999999998</v>
      </c>
      <c r="AA573" s="17">
        <f>MAX($B$573:$Y$573)</f>
        <v>474.48</v>
      </c>
      <c r="AB573" s="17">
        <f>MIN($B$573:$Y$573)</f>
        <v>251.87</v>
      </c>
      <c r="AC573" s="17">
        <f>AVERAGE($B$573:$Y$573)</f>
        <v>315.79500000000002</v>
      </c>
    </row>
    <row r="574" spans="1:29">
      <c r="A574" s="10">
        <v>45869</v>
      </c>
      <c r="B574" s="12">
        <v>316.07</v>
      </c>
      <c r="C574" s="12">
        <v>296.10000000000002</v>
      </c>
      <c r="D574" s="12">
        <v>286.92</v>
      </c>
      <c r="E574" s="12">
        <v>270.95</v>
      </c>
      <c r="F574" s="12">
        <v>258.45999999999998</v>
      </c>
      <c r="G574" s="12">
        <v>252.26</v>
      </c>
      <c r="H574" s="12">
        <v>254.94</v>
      </c>
      <c r="I574" s="12">
        <v>246.19</v>
      </c>
      <c r="J574" s="12">
        <v>261.20999999999998</v>
      </c>
      <c r="K574" s="12">
        <v>268.86</v>
      </c>
      <c r="L574" s="12">
        <v>258.89999999999998</v>
      </c>
      <c r="M574" s="12">
        <v>237.51</v>
      </c>
      <c r="N574" s="12">
        <v>234.48</v>
      </c>
      <c r="O574" s="12">
        <v>262.01</v>
      </c>
      <c r="P574" s="12">
        <v>264.35000000000002</v>
      </c>
      <c r="Q574" s="12">
        <v>263.85000000000002</v>
      </c>
      <c r="R574" s="12">
        <v>277.16000000000003</v>
      </c>
      <c r="S574" s="12">
        <v>285.58999999999997</v>
      </c>
      <c r="T574" s="12">
        <v>285.97000000000003</v>
      </c>
      <c r="U574" s="12">
        <v>312.68</v>
      </c>
      <c r="V574" s="12">
        <v>302.89999999999998</v>
      </c>
      <c r="W574" s="12">
        <v>296.36</v>
      </c>
      <c r="X574" s="12">
        <v>291.98</v>
      </c>
      <c r="Y574" s="12">
        <v>288.38</v>
      </c>
      <c r="AA574" s="17">
        <f>MAX($B$574:$Y$574)</f>
        <v>316.07</v>
      </c>
      <c r="AB574" s="17">
        <f>MIN($B$574:$Y$574)</f>
        <v>234.48</v>
      </c>
      <c r="AC574" s="17">
        <f>AVERAGE($B$574:$Y$574)</f>
        <v>273.92</v>
      </c>
    </row>
    <row r="575" spans="1:29">
      <c r="A575" s="10">
        <v>45870</v>
      </c>
      <c r="B575" s="12">
        <v>338.44</v>
      </c>
      <c r="C575" s="12">
        <v>291.44</v>
      </c>
      <c r="D575" s="12">
        <v>286.11</v>
      </c>
      <c r="E575" s="12">
        <v>279.51</v>
      </c>
      <c r="F575" s="12">
        <v>258.27999999999997</v>
      </c>
      <c r="G575" s="12">
        <v>256.52</v>
      </c>
      <c r="H575" s="12">
        <v>262.64999999999998</v>
      </c>
      <c r="I575" s="12">
        <v>237.94</v>
      </c>
      <c r="J575" s="12">
        <v>283.45</v>
      </c>
      <c r="K575" s="12">
        <v>260.39999999999998</v>
      </c>
      <c r="L575" s="12">
        <v>230.8</v>
      </c>
      <c r="M575" s="12">
        <v>218.2</v>
      </c>
      <c r="N575" s="12">
        <v>199.91</v>
      </c>
      <c r="O575" s="12">
        <v>289.52</v>
      </c>
      <c r="P575" s="12">
        <v>276.92</v>
      </c>
      <c r="Q575" s="12">
        <v>272.44</v>
      </c>
      <c r="R575" s="12">
        <v>293.12</v>
      </c>
      <c r="S575" s="12">
        <v>291.8</v>
      </c>
      <c r="T575" s="12">
        <v>287.45</v>
      </c>
      <c r="U575" s="12">
        <v>303.85000000000002</v>
      </c>
      <c r="V575" s="12">
        <v>310.41000000000003</v>
      </c>
      <c r="W575" s="12">
        <v>311.05</v>
      </c>
      <c r="X575" s="12">
        <v>305.8</v>
      </c>
      <c r="Y575" s="12">
        <v>299.72000000000003</v>
      </c>
      <c r="AA575" s="17">
        <f>MAX($B$575:$Y$575)</f>
        <v>338.44</v>
      </c>
      <c r="AB575" s="17">
        <f>MIN($B$575:$Y$575)</f>
        <v>199.91</v>
      </c>
      <c r="AC575" s="17">
        <f>AVERAGE($B$575:$Y$575)</f>
        <v>276.90541666666701</v>
      </c>
    </row>
    <row r="576" spans="1:29">
      <c r="A576" s="10">
        <v>45871</v>
      </c>
      <c r="B576" s="12">
        <v>327.48</v>
      </c>
      <c r="C576" s="12">
        <v>307.88</v>
      </c>
      <c r="D576" s="12">
        <v>306.20999999999998</v>
      </c>
      <c r="E576" s="12">
        <v>295.22000000000003</v>
      </c>
      <c r="F576" s="12">
        <v>285.88</v>
      </c>
      <c r="G576" s="12">
        <v>283.5</v>
      </c>
      <c r="H576" s="12">
        <v>279.43</v>
      </c>
      <c r="I576" s="12">
        <v>263.41000000000003</v>
      </c>
      <c r="J576" s="12">
        <v>266.73</v>
      </c>
      <c r="K576" s="12">
        <v>273.12</v>
      </c>
      <c r="L576" s="12">
        <v>272.94</v>
      </c>
      <c r="M576" s="12">
        <v>299.04000000000002</v>
      </c>
      <c r="N576" s="12">
        <v>237.65</v>
      </c>
      <c r="O576" s="12">
        <v>287.29000000000002</v>
      </c>
      <c r="P576" s="12">
        <v>284.77999999999997</v>
      </c>
      <c r="Q576" s="12">
        <v>267.41000000000003</v>
      </c>
      <c r="R576" s="12">
        <v>276.70999999999998</v>
      </c>
      <c r="S576" s="12">
        <v>282</v>
      </c>
      <c r="T576" s="12">
        <v>290.10000000000002</v>
      </c>
      <c r="U576" s="12">
        <v>302.83999999999997</v>
      </c>
      <c r="V576" s="12">
        <v>303.48</v>
      </c>
      <c r="W576" s="12">
        <v>301.02999999999997</v>
      </c>
      <c r="X576" s="12">
        <v>279.16000000000003</v>
      </c>
      <c r="Y576" s="12">
        <v>272.01</v>
      </c>
      <c r="AA576" s="17">
        <f>MAX($B$576:$Y$576)</f>
        <v>327.48</v>
      </c>
      <c r="AB576" s="17">
        <f>MIN($B$576:$Y$576)</f>
        <v>237.65</v>
      </c>
      <c r="AC576" s="17">
        <f>AVERAGE($B$576:$Y$576)</f>
        <v>285.22083333333302</v>
      </c>
    </row>
    <row r="577" spans="1:29">
      <c r="A577" s="10">
        <v>45872</v>
      </c>
      <c r="B577" s="12">
        <v>277.12</v>
      </c>
      <c r="C577" s="12">
        <v>264.19</v>
      </c>
      <c r="D577" s="12">
        <v>260.2</v>
      </c>
      <c r="E577" s="12">
        <v>258.70999999999998</v>
      </c>
      <c r="F577" s="12">
        <v>244.72</v>
      </c>
      <c r="G577" s="12">
        <v>241.97</v>
      </c>
      <c r="H577" s="12">
        <v>240.66</v>
      </c>
      <c r="I577" s="12">
        <v>216.88</v>
      </c>
      <c r="J577" s="12">
        <v>168.93</v>
      </c>
      <c r="K577" s="12">
        <v>213.29</v>
      </c>
      <c r="L577" s="12">
        <v>202.13</v>
      </c>
      <c r="M577" s="12">
        <v>173.29</v>
      </c>
      <c r="N577" s="12">
        <v>180.45</v>
      </c>
      <c r="O577" s="12">
        <v>208.72</v>
      </c>
      <c r="P577" s="12">
        <v>189.12</v>
      </c>
      <c r="Q577" s="12">
        <v>209.51</v>
      </c>
      <c r="R577" s="12">
        <v>225.67</v>
      </c>
      <c r="S577" s="12">
        <v>247.84</v>
      </c>
      <c r="T577" s="12">
        <v>253.27</v>
      </c>
      <c r="U577" s="12">
        <v>268.27</v>
      </c>
      <c r="V577" s="12">
        <v>271.63</v>
      </c>
      <c r="W577" s="12">
        <v>274.26</v>
      </c>
      <c r="X577" s="12">
        <v>257.29000000000002</v>
      </c>
      <c r="Y577" s="12">
        <v>244.02</v>
      </c>
      <c r="AA577" s="17">
        <f>MAX($B$577:$Y$577)</f>
        <v>277.12</v>
      </c>
      <c r="AB577" s="17">
        <f>MIN($B$577:$Y$577)</f>
        <v>168.93</v>
      </c>
      <c r="AC577" s="17">
        <f>AVERAGE($B$577:$Y$577)</f>
        <v>233.00583333333299</v>
      </c>
    </row>
    <row r="578" spans="1:29">
      <c r="A578" s="10">
        <v>45873</v>
      </c>
      <c r="B578" s="12">
        <v>261.35000000000002</v>
      </c>
      <c r="C578" s="12">
        <v>249.83</v>
      </c>
      <c r="D578" s="12">
        <v>250.06</v>
      </c>
      <c r="E578" s="12">
        <v>247.86</v>
      </c>
      <c r="F578" s="12">
        <v>227.18</v>
      </c>
      <c r="G578" s="12">
        <v>234.16</v>
      </c>
      <c r="H578" s="12">
        <v>237.66</v>
      </c>
      <c r="I578" s="12">
        <v>251.59</v>
      </c>
      <c r="J578" s="12">
        <v>288.55</v>
      </c>
      <c r="K578" s="12">
        <v>354.62</v>
      </c>
      <c r="L578" s="12">
        <v>314.98</v>
      </c>
      <c r="M578" s="12">
        <v>303.99</v>
      </c>
      <c r="N578" s="12">
        <v>258.85000000000002</v>
      </c>
      <c r="O578" s="12">
        <v>290.47000000000003</v>
      </c>
      <c r="P578" s="12">
        <v>284.7</v>
      </c>
      <c r="Q578" s="12">
        <v>274.33</v>
      </c>
      <c r="R578" s="12">
        <v>294.05</v>
      </c>
      <c r="S578" s="12">
        <v>293.82</v>
      </c>
      <c r="T578" s="12">
        <v>285.75</v>
      </c>
      <c r="U578" s="12">
        <v>354.21</v>
      </c>
      <c r="V578" s="12">
        <v>322.44</v>
      </c>
      <c r="W578" s="12">
        <v>311.24</v>
      </c>
      <c r="X578" s="12">
        <v>283.31</v>
      </c>
      <c r="Y578" s="12">
        <v>267.27</v>
      </c>
      <c r="AA578" s="17">
        <f>MAX($B$578:$Y$578)</f>
        <v>354.62</v>
      </c>
      <c r="AB578" s="17">
        <f>MIN($B$578:$Y$578)</f>
        <v>227.18</v>
      </c>
      <c r="AC578" s="17">
        <f>AVERAGE($B$578:$Y$578)</f>
        <v>280.92791666666699</v>
      </c>
    </row>
    <row r="579" spans="1:29">
      <c r="A579" s="10">
        <v>45874</v>
      </c>
      <c r="B579" s="12">
        <v>270.41000000000003</v>
      </c>
      <c r="C579" s="12">
        <v>265.02999999999997</v>
      </c>
      <c r="D579" s="12">
        <v>260.60000000000002</v>
      </c>
      <c r="E579" s="12">
        <v>255.41</v>
      </c>
      <c r="F579" s="12">
        <v>248.61</v>
      </c>
      <c r="G579" s="12">
        <v>242.49</v>
      </c>
      <c r="H579" s="12">
        <v>239.05</v>
      </c>
      <c r="I579" s="12">
        <v>248.98</v>
      </c>
      <c r="J579" s="12">
        <v>259.73</v>
      </c>
      <c r="K579" s="12">
        <v>274.83</v>
      </c>
      <c r="L579" s="12">
        <v>268.25</v>
      </c>
      <c r="M579" s="12">
        <v>266.89999999999998</v>
      </c>
      <c r="N579" s="12">
        <v>230.86</v>
      </c>
      <c r="O579" s="12">
        <v>250.17</v>
      </c>
      <c r="P579" s="12">
        <v>258.02999999999997</v>
      </c>
      <c r="Q579" s="12">
        <v>259.08999999999997</v>
      </c>
      <c r="R579" s="12">
        <v>266.94</v>
      </c>
      <c r="S579" s="12">
        <v>276.48</v>
      </c>
      <c r="T579" s="12">
        <v>264.39</v>
      </c>
      <c r="U579" s="12">
        <v>285.72000000000003</v>
      </c>
      <c r="V579" s="12">
        <v>289.70999999999998</v>
      </c>
      <c r="W579" s="12">
        <v>281.18</v>
      </c>
      <c r="X579" s="12">
        <v>258.92</v>
      </c>
      <c r="Y579" s="12">
        <v>265.11</v>
      </c>
      <c r="AA579" s="17">
        <f>MAX($B$579:$Y$579)</f>
        <v>289.70999999999998</v>
      </c>
      <c r="AB579" s="17">
        <f>MIN($B$579:$Y$579)</f>
        <v>230.86</v>
      </c>
      <c r="AC579" s="17">
        <f>AVERAGE($B$579:$Y$579)</f>
        <v>261.95375000000001</v>
      </c>
    </row>
    <row r="580" spans="1:29">
      <c r="A580" s="10">
        <v>45875</v>
      </c>
      <c r="B580" s="12">
        <v>258.02999999999997</v>
      </c>
      <c r="C580" s="12">
        <v>267.2</v>
      </c>
      <c r="D580" s="12">
        <v>229.51</v>
      </c>
      <c r="E580" s="12">
        <v>217.63</v>
      </c>
      <c r="F580" s="12">
        <v>125.29</v>
      </c>
      <c r="G580" s="12">
        <v>132.57</v>
      </c>
      <c r="H580" s="12">
        <v>201.39</v>
      </c>
      <c r="I580" s="12">
        <v>233.36</v>
      </c>
      <c r="J580" s="12">
        <v>273.05</v>
      </c>
      <c r="K580" s="12">
        <v>301.63</v>
      </c>
      <c r="L580" s="12">
        <v>296.24</v>
      </c>
      <c r="M580" s="12">
        <v>267.64999999999998</v>
      </c>
      <c r="N580" s="12">
        <v>210.64</v>
      </c>
      <c r="O580" s="12">
        <v>248.19</v>
      </c>
      <c r="P580" s="12">
        <v>223.68</v>
      </c>
      <c r="Q580" s="12">
        <v>233.89</v>
      </c>
      <c r="R580" s="12">
        <v>259.35000000000002</v>
      </c>
      <c r="S580" s="12">
        <v>261.89999999999998</v>
      </c>
      <c r="T580" s="12">
        <v>262.56</v>
      </c>
      <c r="U580" s="12">
        <v>288.89</v>
      </c>
      <c r="V580" s="12">
        <v>273.56</v>
      </c>
      <c r="W580" s="12">
        <v>279.29000000000002</v>
      </c>
      <c r="X580" s="12">
        <v>251.68</v>
      </c>
      <c r="Y580" s="12">
        <v>240.05</v>
      </c>
      <c r="AA580" s="17">
        <f>MAX($B$580:$Y$580)</f>
        <v>301.63</v>
      </c>
      <c r="AB580" s="17">
        <f>MIN($B$580:$Y$580)</f>
        <v>125.29</v>
      </c>
      <c r="AC580" s="17">
        <f>AVERAGE($B$580:$Y$580)</f>
        <v>243.21791666666701</v>
      </c>
    </row>
    <row r="581" spans="1:29">
      <c r="A581" s="10">
        <v>45876</v>
      </c>
      <c r="B581" s="12">
        <v>262.26</v>
      </c>
      <c r="C581" s="12">
        <v>246.9</v>
      </c>
      <c r="D581" s="12">
        <v>249.13</v>
      </c>
      <c r="E581" s="12">
        <v>236.84</v>
      </c>
      <c r="F581" s="12">
        <v>228.14</v>
      </c>
      <c r="G581" s="12">
        <v>168.51</v>
      </c>
      <c r="H581" s="12">
        <v>228.75</v>
      </c>
      <c r="I581" s="12">
        <v>237.96</v>
      </c>
      <c r="J581" s="12">
        <v>249.66</v>
      </c>
      <c r="K581" s="12">
        <v>251.07</v>
      </c>
      <c r="L581" s="12">
        <v>253.45</v>
      </c>
      <c r="M581" s="12">
        <v>238.09</v>
      </c>
      <c r="N581" s="12">
        <v>221.09</v>
      </c>
      <c r="O581" s="12">
        <v>272.52</v>
      </c>
      <c r="P581" s="12">
        <v>285.57</v>
      </c>
      <c r="Q581" s="12">
        <v>263.54000000000002</v>
      </c>
      <c r="R581" s="12">
        <v>257.14</v>
      </c>
      <c r="S581" s="12">
        <v>275.16000000000003</v>
      </c>
      <c r="T581" s="12">
        <v>253.07</v>
      </c>
      <c r="U581" s="12">
        <v>327.87</v>
      </c>
      <c r="V581" s="12">
        <v>290.88</v>
      </c>
      <c r="W581" s="12">
        <v>276.18</v>
      </c>
      <c r="X581" s="12">
        <v>262.68</v>
      </c>
      <c r="Y581" s="12">
        <v>257.33999999999997</v>
      </c>
      <c r="AA581" s="17">
        <f>MAX($B$581:$Y$581)</f>
        <v>327.87</v>
      </c>
      <c r="AB581" s="17">
        <f>MIN($B$581:$Y$581)</f>
        <v>168.51</v>
      </c>
      <c r="AC581" s="17">
        <f>AVERAGE($B$581:$Y$581)</f>
        <v>253.90833333333299</v>
      </c>
    </row>
    <row r="582" spans="1:29">
      <c r="A582" s="10">
        <v>45877</v>
      </c>
      <c r="B582" s="12">
        <v>260.88</v>
      </c>
      <c r="C582" s="12">
        <v>250.24</v>
      </c>
      <c r="D582" s="12">
        <v>251.41</v>
      </c>
      <c r="E582" s="12">
        <v>237.56</v>
      </c>
      <c r="F582" s="12">
        <v>212.59</v>
      </c>
      <c r="G582" s="12">
        <v>200.27</v>
      </c>
      <c r="H582" s="12">
        <v>208.75</v>
      </c>
      <c r="I582" s="12">
        <v>219.86</v>
      </c>
      <c r="J582" s="12">
        <v>233.41</v>
      </c>
      <c r="K582" s="12">
        <v>239.43</v>
      </c>
      <c r="L582" s="12">
        <v>191.58</v>
      </c>
      <c r="M582" s="12">
        <v>331.2</v>
      </c>
      <c r="N582" s="12">
        <v>182.48</v>
      </c>
      <c r="O582" s="12">
        <v>224.96</v>
      </c>
      <c r="P582" s="12">
        <v>244.32</v>
      </c>
      <c r="Q582" s="12">
        <v>247.46</v>
      </c>
      <c r="R582" s="12">
        <v>284.87</v>
      </c>
      <c r="S582" s="12">
        <v>293.2</v>
      </c>
      <c r="T582" s="12">
        <v>303.2</v>
      </c>
      <c r="U582" s="12">
        <v>313.43</v>
      </c>
      <c r="V582" s="12">
        <v>319.14999999999998</v>
      </c>
      <c r="W582" s="12">
        <v>300.83999999999997</v>
      </c>
      <c r="X582" s="12">
        <v>308.49</v>
      </c>
      <c r="Y582" s="12">
        <v>281.20999999999998</v>
      </c>
      <c r="AA582" s="17">
        <f>MAX($B$582:$Y$582)</f>
        <v>331.2</v>
      </c>
      <c r="AB582" s="17">
        <f>MIN($B$582:$Y$582)</f>
        <v>182.48</v>
      </c>
      <c r="AC582" s="17">
        <f>AVERAGE($B$582:$Y$582)</f>
        <v>255.86625000000001</v>
      </c>
    </row>
    <row r="583" spans="1:29">
      <c r="A583" s="10">
        <v>45878</v>
      </c>
      <c r="B583" s="12">
        <v>306.11</v>
      </c>
      <c r="C583" s="12">
        <v>288.82</v>
      </c>
      <c r="D583" s="12">
        <v>278.39999999999998</v>
      </c>
      <c r="E583" s="12">
        <v>271.98</v>
      </c>
      <c r="F583" s="12">
        <v>264.26</v>
      </c>
      <c r="G583" s="12">
        <v>254.71</v>
      </c>
      <c r="H583" s="12">
        <v>260.57</v>
      </c>
      <c r="I583" s="12">
        <v>253.41</v>
      </c>
      <c r="J583" s="12">
        <v>216.97</v>
      </c>
      <c r="K583" s="12">
        <v>205.3</v>
      </c>
      <c r="L583" s="12">
        <v>195.48</v>
      </c>
      <c r="M583" s="12">
        <v>205.43</v>
      </c>
      <c r="N583" s="12">
        <v>221.31</v>
      </c>
      <c r="O583" s="12">
        <v>215.71</v>
      </c>
      <c r="P583" s="12">
        <v>234.86</v>
      </c>
      <c r="Q583" s="12">
        <v>254.14</v>
      </c>
      <c r="R583" s="12">
        <v>264.8</v>
      </c>
      <c r="S583" s="12">
        <v>293.85000000000002</v>
      </c>
      <c r="T583" s="12">
        <v>298.32</v>
      </c>
      <c r="U583" s="12">
        <v>284.68</v>
      </c>
      <c r="V583" s="12">
        <v>289.64</v>
      </c>
      <c r="W583" s="12">
        <v>327.45999999999998</v>
      </c>
      <c r="X583" s="12">
        <v>316.89999999999998</v>
      </c>
      <c r="Y583" s="12">
        <v>276.33999999999997</v>
      </c>
      <c r="AA583" s="17">
        <f>MAX($B$583:$Y$583)</f>
        <v>327.45999999999998</v>
      </c>
      <c r="AB583" s="17">
        <f>MIN($B$583:$Y$583)</f>
        <v>195.48</v>
      </c>
      <c r="AC583" s="17">
        <f>AVERAGE($B$583:$Y$583)</f>
        <v>261.64375000000001</v>
      </c>
    </row>
    <row r="584" spans="1:29">
      <c r="A584" s="10">
        <v>45879</v>
      </c>
      <c r="B584" s="12">
        <v>335.39</v>
      </c>
      <c r="C584" s="12">
        <v>299.82</v>
      </c>
      <c r="D584" s="12">
        <v>303.19</v>
      </c>
      <c r="E584" s="12">
        <v>294.86</v>
      </c>
      <c r="F584" s="12">
        <v>277.14</v>
      </c>
      <c r="G584" s="12">
        <v>266.54000000000002</v>
      </c>
      <c r="H584" s="12">
        <v>265.73</v>
      </c>
      <c r="I584" s="12">
        <v>250.72</v>
      </c>
      <c r="J584" s="12">
        <v>164.77</v>
      </c>
      <c r="K584" s="12">
        <v>193.32</v>
      </c>
      <c r="L584" s="12">
        <v>154.97999999999999</v>
      </c>
      <c r="M584" s="12">
        <v>173.33</v>
      </c>
      <c r="N584" s="12">
        <v>166.92</v>
      </c>
      <c r="O584" s="12">
        <v>187.07</v>
      </c>
      <c r="P584" s="12">
        <v>197.34</v>
      </c>
      <c r="Q584" s="12">
        <v>190.58</v>
      </c>
      <c r="R584" s="12">
        <v>233.25</v>
      </c>
      <c r="S584" s="12">
        <v>272.37</v>
      </c>
      <c r="T584" s="12">
        <v>292.60000000000002</v>
      </c>
      <c r="U584" s="12">
        <v>315.48</v>
      </c>
      <c r="V584" s="12">
        <v>325.88</v>
      </c>
      <c r="W584" s="12">
        <v>354.98</v>
      </c>
      <c r="X584" s="12">
        <v>325.64</v>
      </c>
      <c r="Y584" s="12">
        <v>311.02999999999997</v>
      </c>
      <c r="AA584" s="17">
        <f>MAX($B$584:$Y$584)</f>
        <v>354.98</v>
      </c>
      <c r="AB584" s="17">
        <f>MIN($B$584:$Y$584)</f>
        <v>154.97999999999999</v>
      </c>
      <c r="AC584" s="17">
        <f>AVERAGE($B$584:$Y$584)</f>
        <v>256.37208333333302</v>
      </c>
    </row>
    <row r="585" spans="1:29">
      <c r="A585" s="10">
        <v>45880</v>
      </c>
      <c r="B585" s="12">
        <v>333.92</v>
      </c>
      <c r="C585" s="12">
        <v>307.17</v>
      </c>
      <c r="D585" s="12">
        <v>296.8</v>
      </c>
      <c r="E585" s="12">
        <v>288.81</v>
      </c>
      <c r="F585" s="12">
        <v>275.95</v>
      </c>
      <c r="G585" s="12">
        <v>274.2</v>
      </c>
      <c r="H585" s="12">
        <v>270.39999999999998</v>
      </c>
      <c r="I585" s="12">
        <v>264.27999999999997</v>
      </c>
      <c r="J585" s="12">
        <v>282.47000000000003</v>
      </c>
      <c r="K585" s="12">
        <v>267.64999999999998</v>
      </c>
      <c r="L585" s="12">
        <v>270.38</v>
      </c>
      <c r="M585" s="12">
        <v>224.82</v>
      </c>
      <c r="N585" s="12">
        <v>254.98</v>
      </c>
      <c r="O585" s="12">
        <v>233.39</v>
      </c>
      <c r="P585" s="12">
        <v>284.27999999999997</v>
      </c>
      <c r="Q585" s="12">
        <v>282.93</v>
      </c>
      <c r="R585" s="12">
        <v>297.22000000000003</v>
      </c>
      <c r="S585" s="12">
        <v>313.70999999999998</v>
      </c>
      <c r="T585" s="12">
        <v>327.95</v>
      </c>
      <c r="U585" s="12">
        <v>433.83</v>
      </c>
      <c r="V585" s="12">
        <v>377.35</v>
      </c>
      <c r="W585" s="12">
        <v>349.22</v>
      </c>
      <c r="X585" s="12">
        <v>331.11</v>
      </c>
      <c r="Y585" s="12">
        <v>319.45</v>
      </c>
      <c r="AA585" s="17">
        <f>MAX($B$585:$Y$585)</f>
        <v>433.83</v>
      </c>
      <c r="AB585" s="17">
        <f>MIN($B$585:$Y$585)</f>
        <v>224.82</v>
      </c>
      <c r="AC585" s="17">
        <f>AVERAGE($B$585:$Y$585)</f>
        <v>298.42791666666699</v>
      </c>
    </row>
    <row r="586" spans="1:29">
      <c r="A586" s="10">
        <v>45881</v>
      </c>
      <c r="B586" s="12">
        <v>341.96</v>
      </c>
      <c r="C586" s="12">
        <v>329.66</v>
      </c>
      <c r="D586" s="12">
        <v>315.57</v>
      </c>
      <c r="E586" s="12">
        <v>295.38</v>
      </c>
      <c r="F586" s="12">
        <v>282.10000000000002</v>
      </c>
      <c r="G586" s="12">
        <v>274.56</v>
      </c>
      <c r="H586" s="12">
        <v>277.33999999999997</v>
      </c>
      <c r="I586" s="12">
        <v>262.38</v>
      </c>
      <c r="J586" s="12">
        <v>272.68</v>
      </c>
      <c r="K586" s="12">
        <v>275.22000000000003</v>
      </c>
      <c r="L586" s="12">
        <v>225.66</v>
      </c>
      <c r="M586" s="12">
        <v>260.37</v>
      </c>
      <c r="N586" s="12">
        <v>245.8</v>
      </c>
      <c r="O586" s="12">
        <v>292.75</v>
      </c>
      <c r="P586" s="12">
        <v>277.52</v>
      </c>
      <c r="Q586" s="12">
        <v>275.39</v>
      </c>
      <c r="R586" s="12">
        <v>328.33</v>
      </c>
      <c r="S586" s="12">
        <v>335.35</v>
      </c>
      <c r="T586" s="12">
        <v>333.07</v>
      </c>
      <c r="U586" s="12">
        <v>396.17</v>
      </c>
      <c r="V586" s="12">
        <v>372.05</v>
      </c>
      <c r="W586" s="12">
        <v>479.33</v>
      </c>
      <c r="X586" s="12">
        <v>371.97</v>
      </c>
      <c r="Y586" s="12">
        <v>345.18</v>
      </c>
      <c r="AA586" s="17">
        <f>MAX($B$586:$Y$586)</f>
        <v>479.33</v>
      </c>
      <c r="AB586" s="17">
        <f>MIN($B$586:$Y$586)</f>
        <v>225.66</v>
      </c>
      <c r="AC586" s="17">
        <f>AVERAGE($B$586:$Y$586)</f>
        <v>311.07458333333301</v>
      </c>
    </row>
    <row r="587" spans="1:29">
      <c r="A587" s="10">
        <v>45882</v>
      </c>
      <c r="B587" s="12">
        <v>342.46</v>
      </c>
      <c r="C587" s="12">
        <v>308.75</v>
      </c>
      <c r="D587" s="12">
        <v>294.12</v>
      </c>
      <c r="E587" s="12">
        <v>273.8</v>
      </c>
      <c r="F587" s="12">
        <v>260.11</v>
      </c>
      <c r="G587" s="12">
        <v>254.25</v>
      </c>
      <c r="H587" s="12">
        <v>255.55</v>
      </c>
      <c r="I587" s="12">
        <v>246.67</v>
      </c>
      <c r="J587" s="12">
        <v>251.71</v>
      </c>
      <c r="K587" s="12">
        <v>252.63</v>
      </c>
      <c r="L587" s="12">
        <v>175.78</v>
      </c>
      <c r="M587" s="12">
        <v>205.71</v>
      </c>
      <c r="N587" s="12">
        <v>194.19</v>
      </c>
      <c r="O587" s="12">
        <v>170.62</v>
      </c>
      <c r="P587" s="12">
        <v>150.02000000000001</v>
      </c>
      <c r="Q587" s="12">
        <v>85.71</v>
      </c>
      <c r="R587" s="12">
        <v>169.29</v>
      </c>
      <c r="S587" s="12">
        <v>238.4</v>
      </c>
      <c r="T587" s="12">
        <v>241.05</v>
      </c>
      <c r="U587" s="12">
        <v>305.97000000000003</v>
      </c>
      <c r="V587" s="12">
        <v>290.7</v>
      </c>
      <c r="W587" s="12">
        <v>316.87</v>
      </c>
      <c r="X587" s="12">
        <v>288.20999999999998</v>
      </c>
      <c r="Y587" s="12">
        <v>251.91</v>
      </c>
      <c r="AA587" s="17">
        <f>MAX($B$587:$Y$587)</f>
        <v>342.46</v>
      </c>
      <c r="AB587" s="17">
        <f>MIN($B$587:$Y$587)</f>
        <v>85.71</v>
      </c>
      <c r="AC587" s="17">
        <f>AVERAGE($B$587:$Y$587)</f>
        <v>242.68666666666701</v>
      </c>
    </row>
    <row r="588" spans="1:29">
      <c r="A588" s="10">
        <v>45883</v>
      </c>
      <c r="B588" s="12">
        <v>320.33999999999997</v>
      </c>
      <c r="C588" s="12">
        <v>442.19</v>
      </c>
      <c r="D588" s="12">
        <v>369.48</v>
      </c>
      <c r="E588" s="12">
        <v>319.48</v>
      </c>
      <c r="F588" s="12">
        <v>290.98</v>
      </c>
      <c r="G588" s="12">
        <v>274.60000000000002</v>
      </c>
      <c r="H588" s="12">
        <v>278.54000000000002</v>
      </c>
      <c r="I588" s="12">
        <v>259.99</v>
      </c>
      <c r="J588" s="12">
        <v>293.81</v>
      </c>
      <c r="K588" s="12">
        <v>360.65</v>
      </c>
      <c r="L588" s="12">
        <v>325.64</v>
      </c>
      <c r="M588" s="12">
        <v>349.78</v>
      </c>
      <c r="N588" s="12">
        <v>262.31</v>
      </c>
      <c r="O588" s="12">
        <v>270.39999999999998</v>
      </c>
      <c r="P588" s="12">
        <v>260.69</v>
      </c>
      <c r="Q588" s="12">
        <v>257.07</v>
      </c>
      <c r="R588" s="12">
        <v>264.93</v>
      </c>
      <c r="S588" s="12">
        <v>268.57</v>
      </c>
      <c r="T588" s="12">
        <v>268.20999999999998</v>
      </c>
      <c r="U588" s="12">
        <v>265.99</v>
      </c>
      <c r="V588" s="12">
        <v>271.79000000000002</v>
      </c>
      <c r="W588" s="12">
        <v>258.29000000000002</v>
      </c>
      <c r="X588" s="12">
        <v>251.32</v>
      </c>
      <c r="Y588" s="12">
        <v>251.2</v>
      </c>
      <c r="AA588" s="17">
        <f>MAX($B$588:$Y$588)</f>
        <v>442.19</v>
      </c>
      <c r="AB588" s="17">
        <f>MIN($B$588:$Y$588)</f>
        <v>251.2</v>
      </c>
      <c r="AC588" s="17">
        <f>AVERAGE($B$588:$Y$588)</f>
        <v>293.17708333333297</v>
      </c>
    </row>
    <row r="589" spans="1:29">
      <c r="A589" s="10">
        <v>45884</v>
      </c>
      <c r="B589" s="12">
        <v>224.16</v>
      </c>
      <c r="C589" s="12">
        <v>106.33</v>
      </c>
      <c r="D589" s="12">
        <v>35.51</v>
      </c>
      <c r="E589" s="12">
        <v>23.17</v>
      </c>
      <c r="F589" s="12">
        <v>10.41</v>
      </c>
      <c r="G589" s="12">
        <v>9.07</v>
      </c>
      <c r="H589" s="12">
        <v>27.16</v>
      </c>
      <c r="I589" s="12">
        <v>8.18</v>
      </c>
      <c r="J589" s="12">
        <v>201.01</v>
      </c>
      <c r="K589" s="12">
        <v>253.62</v>
      </c>
      <c r="L589" s="12">
        <v>221.67</v>
      </c>
      <c r="M589" s="12">
        <v>209.07</v>
      </c>
      <c r="N589" s="12">
        <v>184.89</v>
      </c>
      <c r="O589" s="12">
        <v>201.99</v>
      </c>
      <c r="P589" s="12">
        <v>232.84</v>
      </c>
      <c r="Q589" s="12">
        <v>256.27</v>
      </c>
      <c r="R589" s="12">
        <v>252.5</v>
      </c>
      <c r="S589" s="12">
        <v>258.79000000000002</v>
      </c>
      <c r="T589" s="12">
        <v>275.41000000000003</v>
      </c>
      <c r="U589" s="12">
        <v>306.81</v>
      </c>
      <c r="V589" s="12">
        <v>281.63</v>
      </c>
      <c r="W589" s="12">
        <v>251.63</v>
      </c>
      <c r="X589" s="12">
        <v>231.01</v>
      </c>
      <c r="Y589" s="12">
        <v>227.19</v>
      </c>
      <c r="AA589" s="17">
        <f>MAX($B$589:$Y$589)</f>
        <v>306.81</v>
      </c>
      <c r="AB589" s="17">
        <f>MIN($B$589:$Y$589)</f>
        <v>8.18</v>
      </c>
      <c r="AC589" s="17">
        <f>AVERAGE($B$589:$Y$589)</f>
        <v>178.76333333333301</v>
      </c>
    </row>
    <row r="590" spans="1:29">
      <c r="A590" s="10">
        <v>45885</v>
      </c>
      <c r="B590" s="12">
        <v>228.76</v>
      </c>
      <c r="C590" s="12">
        <v>228.98</v>
      </c>
      <c r="D590" s="12">
        <v>222.99</v>
      </c>
      <c r="E590" s="12">
        <v>198.43</v>
      </c>
      <c r="F590" s="12">
        <v>162.5</v>
      </c>
      <c r="G590" s="12">
        <v>170.69</v>
      </c>
      <c r="H590" s="12">
        <v>197.24</v>
      </c>
      <c r="I590" s="12">
        <v>168.15</v>
      </c>
      <c r="J590" s="12">
        <v>177.15</v>
      </c>
      <c r="K590" s="12">
        <v>152.66999999999999</v>
      </c>
      <c r="L590" s="12">
        <v>211.03</v>
      </c>
      <c r="M590" s="12">
        <v>259.58999999999997</v>
      </c>
      <c r="N590" s="12">
        <v>216.93</v>
      </c>
      <c r="O590" s="12">
        <v>200.17</v>
      </c>
      <c r="P590" s="12">
        <v>284.87</v>
      </c>
      <c r="Q590" s="12">
        <v>203.46</v>
      </c>
      <c r="R590" s="12">
        <v>255.8</v>
      </c>
      <c r="S590" s="12">
        <v>263.04000000000002</v>
      </c>
      <c r="T590" s="12">
        <v>256.7</v>
      </c>
      <c r="U590" s="12">
        <v>207.75</v>
      </c>
      <c r="V590" s="12">
        <v>267.24</v>
      </c>
      <c r="W590" s="12">
        <v>252.88</v>
      </c>
      <c r="X590" s="12">
        <v>259.73</v>
      </c>
      <c r="Y590" s="12">
        <v>257.17</v>
      </c>
      <c r="AA590" s="17">
        <f>MAX($B$590:$Y$590)</f>
        <v>284.87</v>
      </c>
      <c r="AB590" s="17">
        <f>MIN($B$590:$Y$590)</f>
        <v>152.66999999999999</v>
      </c>
      <c r="AC590" s="17">
        <f>AVERAGE($B$590:$Y$590)</f>
        <v>220.99666666666701</v>
      </c>
    </row>
    <row r="591" spans="1:29">
      <c r="A591" s="10">
        <v>45886</v>
      </c>
      <c r="B591" s="12">
        <v>279.87</v>
      </c>
      <c r="C591" s="12">
        <v>275.48</v>
      </c>
      <c r="D591" s="12">
        <v>259.68</v>
      </c>
      <c r="E591" s="12">
        <v>251.78</v>
      </c>
      <c r="F591" s="12">
        <v>226.56</v>
      </c>
      <c r="G591" s="12">
        <v>210.73</v>
      </c>
      <c r="H591" s="12">
        <v>198.26</v>
      </c>
      <c r="I591" s="12">
        <v>158.19</v>
      </c>
      <c r="J591" s="12">
        <v>88.05</v>
      </c>
      <c r="K591" s="12">
        <v>61.95</v>
      </c>
      <c r="L591" s="12">
        <v>164.77</v>
      </c>
      <c r="M591" s="12">
        <v>94.19</v>
      </c>
      <c r="N591" s="12">
        <v>67.19</v>
      </c>
      <c r="O591" s="12">
        <v>164.2</v>
      </c>
      <c r="P591" s="12">
        <v>138.31</v>
      </c>
      <c r="Q591" s="12">
        <v>135.15</v>
      </c>
      <c r="R591" s="12">
        <v>125.27</v>
      </c>
      <c r="S591" s="12">
        <v>176.51</v>
      </c>
      <c r="T591" s="12">
        <v>172.48</v>
      </c>
      <c r="U591" s="12">
        <v>216.36</v>
      </c>
      <c r="V591" s="12">
        <v>224.88</v>
      </c>
      <c r="W591" s="12">
        <v>217.46</v>
      </c>
      <c r="X591" s="12">
        <v>205.84</v>
      </c>
      <c r="Y591" s="12">
        <v>198.99</v>
      </c>
      <c r="AA591" s="17">
        <f>MAX($B$591:$Y$591)</f>
        <v>279.87</v>
      </c>
      <c r="AB591" s="17">
        <f>MIN($B$591:$Y$591)</f>
        <v>61.95</v>
      </c>
      <c r="AC591" s="17">
        <f>AVERAGE($B$591:$Y$591)</f>
        <v>179.67291666666699</v>
      </c>
    </row>
    <row r="592" spans="1:29">
      <c r="A592" s="10">
        <v>45887</v>
      </c>
      <c r="B592" s="12">
        <v>235.13</v>
      </c>
      <c r="C592" s="12">
        <v>241.17</v>
      </c>
      <c r="D592" s="12">
        <v>240.35</v>
      </c>
      <c r="E592" s="12">
        <v>218.11</v>
      </c>
      <c r="F592" s="12">
        <v>201.46</v>
      </c>
      <c r="G592" s="12">
        <v>191.7</v>
      </c>
      <c r="H592" s="12">
        <v>159.76</v>
      </c>
      <c r="I592" s="12">
        <v>203.93</v>
      </c>
      <c r="J592" s="12">
        <v>234.03</v>
      </c>
      <c r="K592" s="12">
        <v>262.93</v>
      </c>
      <c r="L592" s="12">
        <v>245.14</v>
      </c>
      <c r="M592" s="12">
        <v>237.56</v>
      </c>
      <c r="N592" s="12">
        <v>212.29</v>
      </c>
      <c r="O592" s="12">
        <v>238.1</v>
      </c>
      <c r="P592" s="12">
        <v>238.15</v>
      </c>
      <c r="Q592" s="12">
        <v>229.67</v>
      </c>
      <c r="R592" s="12">
        <v>239.63</v>
      </c>
      <c r="S592" s="12">
        <v>252.58</v>
      </c>
      <c r="T592" s="12">
        <v>265.10000000000002</v>
      </c>
      <c r="U592" s="12">
        <v>285.35000000000002</v>
      </c>
      <c r="V592" s="12">
        <v>269.31</v>
      </c>
      <c r="W592" s="12">
        <v>267.82</v>
      </c>
      <c r="X592" s="12">
        <v>236.4</v>
      </c>
      <c r="Y592" s="12">
        <v>227.73</v>
      </c>
      <c r="AA592" s="17">
        <f>MAX($B$592:$Y$592)</f>
        <v>285.35000000000002</v>
      </c>
      <c r="AB592" s="17">
        <f>MIN($B$592:$Y$592)</f>
        <v>159.76</v>
      </c>
      <c r="AC592" s="17">
        <f>AVERAGE($B$592:$Y$592)</f>
        <v>234.72499999999999</v>
      </c>
    </row>
    <row r="593" spans="1:29">
      <c r="A593" s="10">
        <v>45888</v>
      </c>
      <c r="B593" s="12">
        <v>249.39</v>
      </c>
      <c r="C593" s="12">
        <v>229.58</v>
      </c>
      <c r="D593" s="12">
        <v>231.53</v>
      </c>
      <c r="E593" s="12">
        <v>229.48</v>
      </c>
      <c r="F593" s="12">
        <v>217.22</v>
      </c>
      <c r="G593" s="12">
        <v>216</v>
      </c>
      <c r="H593" s="12">
        <v>225.5</v>
      </c>
      <c r="I593" s="12">
        <v>234.93</v>
      </c>
      <c r="J593" s="12">
        <v>266.35000000000002</v>
      </c>
      <c r="K593" s="12">
        <v>258.13</v>
      </c>
      <c r="L593" s="12">
        <v>256.31</v>
      </c>
      <c r="M593" s="12">
        <v>273.76</v>
      </c>
      <c r="N593" s="12">
        <v>249.71</v>
      </c>
      <c r="O593" s="12">
        <v>258.32</v>
      </c>
      <c r="P593" s="12">
        <v>257.62</v>
      </c>
      <c r="Q593" s="12">
        <v>249.45</v>
      </c>
      <c r="R593" s="12">
        <v>266.73</v>
      </c>
      <c r="S593" s="12">
        <v>261.13</v>
      </c>
      <c r="T593" s="12">
        <v>257.42</v>
      </c>
      <c r="U593" s="12">
        <v>284.44</v>
      </c>
      <c r="V593" s="12">
        <v>271.11</v>
      </c>
      <c r="W593" s="12">
        <v>262.77999999999997</v>
      </c>
      <c r="X593" s="12">
        <v>253.25</v>
      </c>
      <c r="Y593" s="12">
        <v>240.73</v>
      </c>
      <c r="AA593" s="17">
        <f>MAX($B$593:$Y$593)</f>
        <v>284.44</v>
      </c>
      <c r="AB593" s="17">
        <f>MIN($B$593:$Y$593)</f>
        <v>216</v>
      </c>
      <c r="AC593" s="17">
        <f>AVERAGE($B$593:$Y$593)</f>
        <v>250.03625</v>
      </c>
    </row>
    <row r="594" spans="1:29">
      <c r="A594" s="10">
        <v>45889</v>
      </c>
      <c r="B594" s="12">
        <v>243.15</v>
      </c>
      <c r="C594" s="12">
        <v>241.23</v>
      </c>
      <c r="D594" s="12">
        <v>209.2</v>
      </c>
      <c r="E594" s="12">
        <v>176.52</v>
      </c>
      <c r="F594" s="12">
        <v>173.77</v>
      </c>
      <c r="G594" s="12">
        <v>147.78</v>
      </c>
      <c r="H594" s="12">
        <v>197.12</v>
      </c>
      <c r="I594" s="12">
        <v>222.87</v>
      </c>
      <c r="J594" s="12">
        <v>248.28</v>
      </c>
      <c r="K594" s="12">
        <v>268.29000000000002</v>
      </c>
      <c r="L594" s="12">
        <v>241.69</v>
      </c>
      <c r="M594" s="12">
        <v>244.98</v>
      </c>
      <c r="N594" s="12">
        <v>239.02</v>
      </c>
      <c r="O594" s="12">
        <v>255.76</v>
      </c>
      <c r="P594" s="12">
        <v>275.98</v>
      </c>
      <c r="Q594" s="12">
        <v>255.4</v>
      </c>
      <c r="R594" s="12">
        <v>271.20999999999998</v>
      </c>
      <c r="S594" s="12">
        <v>278.13</v>
      </c>
      <c r="T594" s="12">
        <v>285.79000000000002</v>
      </c>
      <c r="U594" s="12">
        <v>307.95999999999998</v>
      </c>
      <c r="V594" s="12">
        <v>264.62</v>
      </c>
      <c r="W594" s="12">
        <v>161.94999999999999</v>
      </c>
      <c r="X594" s="12">
        <v>205.53</v>
      </c>
      <c r="Y594" s="12">
        <v>258.77</v>
      </c>
      <c r="AA594" s="17">
        <f>MAX($B$594:$Y$594)</f>
        <v>307.95999999999998</v>
      </c>
      <c r="AB594" s="17">
        <f>MIN($B$594:$Y$594)</f>
        <v>147.78</v>
      </c>
      <c r="AC594" s="17">
        <f>AVERAGE($B$594:$Y$594)</f>
        <v>236.458333333333</v>
      </c>
    </row>
    <row r="595" spans="1:29">
      <c r="A595" s="10">
        <v>45890</v>
      </c>
      <c r="B595" s="12">
        <v>255.66</v>
      </c>
      <c r="C595" s="12">
        <v>256.20999999999998</v>
      </c>
      <c r="D595" s="12">
        <v>251.66</v>
      </c>
      <c r="E595" s="12">
        <v>235.28</v>
      </c>
      <c r="F595" s="12">
        <v>218.75</v>
      </c>
      <c r="G595" s="12">
        <v>189.78</v>
      </c>
      <c r="H595" s="12">
        <v>228.12</v>
      </c>
      <c r="I595" s="12">
        <v>231.53</v>
      </c>
      <c r="J595" s="12">
        <v>257.43</v>
      </c>
      <c r="K595" s="12">
        <v>271.47000000000003</v>
      </c>
      <c r="L595" s="12">
        <v>261.8</v>
      </c>
      <c r="M595" s="12">
        <v>251.32</v>
      </c>
      <c r="N595" s="12">
        <v>228.86</v>
      </c>
      <c r="O595" s="12">
        <v>242.74</v>
      </c>
      <c r="P595" s="12">
        <v>246.1</v>
      </c>
      <c r="Q595" s="12">
        <v>272.86</v>
      </c>
      <c r="R595" s="12">
        <v>280.73</v>
      </c>
      <c r="S595" s="12">
        <v>389.86</v>
      </c>
      <c r="T595" s="12">
        <v>295.08</v>
      </c>
      <c r="U595" s="12">
        <v>452.21</v>
      </c>
      <c r="V595" s="12">
        <v>302.33999999999997</v>
      </c>
      <c r="W595" s="12">
        <v>285.17</v>
      </c>
      <c r="X595" s="12">
        <v>267.81</v>
      </c>
      <c r="Y595" s="12">
        <v>262.81</v>
      </c>
      <c r="AA595" s="17">
        <f>MAX($B$595:$Y$595)</f>
        <v>452.21</v>
      </c>
      <c r="AB595" s="17">
        <f>MIN($B$595:$Y$595)</f>
        <v>189.78</v>
      </c>
      <c r="AC595" s="17">
        <f>AVERAGE($B$595:$Y$595)</f>
        <v>268.14916666666699</v>
      </c>
    </row>
    <row r="596" spans="1:29">
      <c r="A596" s="10">
        <v>45891</v>
      </c>
      <c r="B596" s="12">
        <v>293.41000000000003</v>
      </c>
      <c r="C596" s="12">
        <v>273.94</v>
      </c>
      <c r="D596" s="12">
        <v>259.55</v>
      </c>
      <c r="E596" s="12">
        <v>253.48</v>
      </c>
      <c r="F596" s="12">
        <v>241.34</v>
      </c>
      <c r="G596" s="12">
        <v>233.08</v>
      </c>
      <c r="H596" s="12">
        <v>246.33</v>
      </c>
      <c r="I596" s="12">
        <v>222.74</v>
      </c>
      <c r="J596" s="12">
        <v>254.79</v>
      </c>
      <c r="K596" s="12">
        <v>264.58</v>
      </c>
      <c r="L596" s="12">
        <v>255.13</v>
      </c>
      <c r="M596" s="12">
        <v>252.91</v>
      </c>
      <c r="N596" s="12">
        <v>237.86</v>
      </c>
      <c r="O596" s="12">
        <v>239.04</v>
      </c>
      <c r="P596" s="12">
        <v>243.08</v>
      </c>
      <c r="Q596" s="12">
        <v>255.88</v>
      </c>
      <c r="R596" s="12">
        <v>301.58999999999997</v>
      </c>
      <c r="S596" s="12">
        <v>314.32</v>
      </c>
      <c r="T596" s="12">
        <v>304.52999999999997</v>
      </c>
      <c r="U596" s="12">
        <v>399.14</v>
      </c>
      <c r="V596" s="12">
        <v>338.68</v>
      </c>
      <c r="W596" s="12">
        <v>349.43</v>
      </c>
      <c r="X596" s="12">
        <v>319.39999999999998</v>
      </c>
      <c r="Y596" s="12">
        <v>294.58999999999997</v>
      </c>
      <c r="AA596" s="17">
        <f>MAX($B$596:$Y$596)</f>
        <v>399.14</v>
      </c>
      <c r="AB596" s="17">
        <f>MIN($B$596:$Y$596)</f>
        <v>222.74</v>
      </c>
      <c r="AC596" s="17">
        <f>AVERAGE($B$596:$Y$596)</f>
        <v>277.03416666666698</v>
      </c>
    </row>
    <row r="597" spans="1:29">
      <c r="A597" s="10">
        <v>45892</v>
      </c>
      <c r="B597" s="12">
        <v>515.33000000000004</v>
      </c>
      <c r="C597" s="12">
        <v>337.87</v>
      </c>
      <c r="D597" s="12">
        <v>299.61</v>
      </c>
      <c r="E597" s="12">
        <v>276.33999999999997</v>
      </c>
      <c r="F597" s="12">
        <v>267.11</v>
      </c>
      <c r="G597" s="12">
        <v>259.11</v>
      </c>
      <c r="H597" s="12">
        <v>259.23</v>
      </c>
      <c r="I597" s="12">
        <v>243.25</v>
      </c>
      <c r="J597" s="12">
        <v>230.01</v>
      </c>
      <c r="K597" s="12">
        <v>243.81</v>
      </c>
      <c r="L597" s="12">
        <v>234.32</v>
      </c>
      <c r="M597" s="12">
        <v>235</v>
      </c>
      <c r="N597" s="12">
        <v>200.77</v>
      </c>
      <c r="O597" s="12">
        <v>260.94</v>
      </c>
      <c r="P597" s="12">
        <v>269.18</v>
      </c>
      <c r="Q597" s="12">
        <v>258.18</v>
      </c>
      <c r="R597" s="12">
        <v>284.69</v>
      </c>
      <c r="S597" s="12">
        <v>280.19</v>
      </c>
      <c r="T597" s="12">
        <v>267.16000000000003</v>
      </c>
      <c r="U597" s="12">
        <v>318.51</v>
      </c>
      <c r="V597" s="12">
        <v>295.66000000000003</v>
      </c>
      <c r="W597" s="12">
        <v>298.95999999999998</v>
      </c>
      <c r="X597" s="12">
        <v>301.37</v>
      </c>
      <c r="Y597" s="12">
        <v>287.61</v>
      </c>
      <c r="AA597" s="17">
        <f>MAX($B$597:$Y$597)</f>
        <v>515.33000000000004</v>
      </c>
      <c r="AB597" s="17">
        <f>MIN($B$597:$Y$597)</f>
        <v>200.77</v>
      </c>
      <c r="AC597" s="17">
        <f>AVERAGE($B$597:$Y$597)</f>
        <v>280.17541666666699</v>
      </c>
    </row>
    <row r="598" spans="1:29">
      <c r="A598" s="10">
        <v>45893</v>
      </c>
      <c r="B598" s="12">
        <v>302.18</v>
      </c>
      <c r="C598" s="12">
        <v>283.14999999999998</v>
      </c>
      <c r="D598" s="12">
        <v>266.17</v>
      </c>
      <c r="E598" s="12">
        <v>251.95</v>
      </c>
      <c r="F598" s="12">
        <v>232.35</v>
      </c>
      <c r="G598" s="12">
        <v>214.73</v>
      </c>
      <c r="H598" s="12">
        <v>226.69</v>
      </c>
      <c r="I598" s="12">
        <v>183.69</v>
      </c>
      <c r="J598" s="12">
        <v>123.95</v>
      </c>
      <c r="K598" s="12">
        <v>160.04</v>
      </c>
      <c r="L598" s="12">
        <v>229.61</v>
      </c>
      <c r="M598" s="12">
        <v>212.06</v>
      </c>
      <c r="N598" s="12">
        <v>185.75</v>
      </c>
      <c r="O598" s="12">
        <v>192.15</v>
      </c>
      <c r="P598" s="12">
        <v>195.22</v>
      </c>
      <c r="Q598" s="12">
        <v>190.62</v>
      </c>
      <c r="R598" s="12">
        <v>210.6</v>
      </c>
      <c r="S598" s="12">
        <v>217.99</v>
      </c>
      <c r="T598" s="12">
        <v>216.84</v>
      </c>
      <c r="U598" s="12">
        <v>253.19</v>
      </c>
      <c r="V598" s="12">
        <v>234.17</v>
      </c>
      <c r="W598" s="12">
        <v>248.11</v>
      </c>
      <c r="X598" s="12">
        <v>253.99</v>
      </c>
      <c r="Y598" s="12">
        <v>214.07</v>
      </c>
      <c r="AA598" s="17">
        <f>MAX($B$598:$Y$598)</f>
        <v>302.18</v>
      </c>
      <c r="AB598" s="17">
        <f>MIN($B$598:$Y$598)</f>
        <v>123.95</v>
      </c>
      <c r="AC598" s="17">
        <f>AVERAGE($B$598:$Y$598)</f>
        <v>220.80291666666699</v>
      </c>
    </row>
    <row r="599" spans="1:29">
      <c r="A599" s="10">
        <v>45894</v>
      </c>
      <c r="B599" s="12">
        <v>320.42</v>
      </c>
      <c r="C599" s="12">
        <v>215.69</v>
      </c>
      <c r="D599" s="12">
        <v>232.85</v>
      </c>
      <c r="E599" s="12">
        <v>227.66</v>
      </c>
      <c r="F599" s="12">
        <v>213.74</v>
      </c>
      <c r="G599" s="12">
        <v>180.34</v>
      </c>
      <c r="H599" s="12">
        <v>181.65</v>
      </c>
      <c r="I599" s="12">
        <v>196.58</v>
      </c>
      <c r="J599" s="12">
        <v>238.19</v>
      </c>
      <c r="K599" s="12">
        <v>256.68</v>
      </c>
      <c r="L599" s="12">
        <v>252.28</v>
      </c>
      <c r="M599" s="12">
        <v>249.85</v>
      </c>
      <c r="N599" s="12">
        <v>224.6</v>
      </c>
      <c r="O599" s="12">
        <v>304.47000000000003</v>
      </c>
      <c r="P599" s="12">
        <v>280.31</v>
      </c>
      <c r="Q599" s="12">
        <v>253.44</v>
      </c>
      <c r="R599" s="12">
        <v>313.89</v>
      </c>
      <c r="S599" s="12">
        <v>287.81</v>
      </c>
      <c r="T599" s="12">
        <v>273.33</v>
      </c>
      <c r="U599" s="12">
        <v>303.60000000000002</v>
      </c>
      <c r="V599" s="12">
        <v>279.64999999999998</v>
      </c>
      <c r="W599" s="12">
        <v>256.45999999999998</v>
      </c>
      <c r="X599" s="12">
        <v>251.89</v>
      </c>
      <c r="Y599" s="12">
        <v>245.8</v>
      </c>
      <c r="AA599" s="17">
        <f>MAX($B$599:$Y$599)</f>
        <v>320.42</v>
      </c>
      <c r="AB599" s="17">
        <f>MIN($B$599:$Y$599)</f>
        <v>180.34</v>
      </c>
      <c r="AC599" s="17">
        <f>AVERAGE($B$599:$Y$599)</f>
        <v>251.71583333333299</v>
      </c>
    </row>
    <row r="600" spans="1:29">
      <c r="A600" s="10">
        <v>45895</v>
      </c>
      <c r="B600" s="12">
        <v>283.14</v>
      </c>
      <c r="C600" s="12">
        <v>272.58999999999997</v>
      </c>
      <c r="D600" s="12">
        <v>253.8</v>
      </c>
      <c r="E600" s="12">
        <v>246.39</v>
      </c>
      <c r="F600" s="12">
        <v>225.78</v>
      </c>
      <c r="G600" s="12">
        <v>234.3</v>
      </c>
      <c r="H600" s="12">
        <v>227.26</v>
      </c>
      <c r="I600" s="12">
        <v>228.8</v>
      </c>
      <c r="J600" s="12">
        <v>251.4</v>
      </c>
      <c r="K600" s="12">
        <v>263.43</v>
      </c>
      <c r="L600" s="12">
        <v>238.76</v>
      </c>
      <c r="M600" s="12">
        <v>250.48</v>
      </c>
      <c r="N600" s="12">
        <v>234.93</v>
      </c>
      <c r="O600" s="12">
        <v>271.08999999999997</v>
      </c>
      <c r="P600" s="12">
        <v>287.17</v>
      </c>
      <c r="Q600" s="12">
        <v>258.10000000000002</v>
      </c>
      <c r="R600" s="12">
        <v>306.29000000000002</v>
      </c>
      <c r="S600" s="12">
        <v>297.56</v>
      </c>
      <c r="T600" s="12">
        <v>299.98</v>
      </c>
      <c r="U600" s="12">
        <v>339.93</v>
      </c>
      <c r="V600" s="12">
        <v>316.5</v>
      </c>
      <c r="W600" s="12">
        <v>327.04000000000002</v>
      </c>
      <c r="X600" s="12">
        <v>335.46</v>
      </c>
      <c r="Y600" s="12">
        <v>295.5</v>
      </c>
      <c r="AA600" s="17">
        <f>MAX($B$600:$Y$600)</f>
        <v>339.93</v>
      </c>
      <c r="AB600" s="17">
        <f>MIN($B$600:$Y$600)</f>
        <v>225.78</v>
      </c>
      <c r="AC600" s="17">
        <f>AVERAGE($B$600:$Y$600)</f>
        <v>272.73666666666702</v>
      </c>
    </row>
    <row r="601" spans="1:29">
      <c r="A601" s="10">
        <v>45896</v>
      </c>
      <c r="B601" s="12">
        <v>360.67</v>
      </c>
      <c r="C601" s="12">
        <v>259.14</v>
      </c>
      <c r="D601" s="12">
        <v>251.84</v>
      </c>
      <c r="E601" s="12">
        <v>233.34</v>
      </c>
      <c r="F601" s="12">
        <v>257.77</v>
      </c>
      <c r="G601" s="12">
        <v>255.1</v>
      </c>
      <c r="H601" s="12">
        <v>258.77999999999997</v>
      </c>
      <c r="I601" s="12">
        <v>256.5</v>
      </c>
      <c r="J601" s="12">
        <v>263.18</v>
      </c>
      <c r="K601" s="12">
        <v>257.39</v>
      </c>
      <c r="L601" s="12">
        <v>275.05</v>
      </c>
      <c r="M601" s="12">
        <v>291.66000000000003</v>
      </c>
      <c r="N601" s="12">
        <v>242.81</v>
      </c>
      <c r="O601" s="12">
        <v>281.16000000000003</v>
      </c>
      <c r="P601" s="12">
        <v>263.37</v>
      </c>
      <c r="Q601" s="12">
        <v>290.70999999999998</v>
      </c>
      <c r="R601" s="12">
        <v>322.11</v>
      </c>
      <c r="S601" s="12">
        <v>311.68</v>
      </c>
      <c r="T601" s="12">
        <v>295.73</v>
      </c>
      <c r="U601" s="12">
        <v>388.9</v>
      </c>
      <c r="V601" s="12">
        <v>315.81</v>
      </c>
      <c r="W601" s="12">
        <v>290.97000000000003</v>
      </c>
      <c r="X601" s="12">
        <v>270.51</v>
      </c>
      <c r="Y601" s="12">
        <v>257.77999999999997</v>
      </c>
      <c r="AA601" s="17">
        <f>MAX($B$601:$Z$601)</f>
        <v>388.9</v>
      </c>
      <c r="AB601" s="17">
        <f>MIN($B$601:$Z$601)</f>
        <v>233.34</v>
      </c>
      <c r="AC601" s="17">
        <f>AVERAGE($B$601:$Z$601)</f>
        <v>281.33166666666699</v>
      </c>
    </row>
    <row r="602" spans="1:29">
      <c r="A602" s="10">
        <v>45897</v>
      </c>
      <c r="B602" s="12">
        <v>294.63</v>
      </c>
      <c r="C602" s="12">
        <v>254.45</v>
      </c>
      <c r="D602" s="12">
        <v>165.15</v>
      </c>
      <c r="E602" s="12">
        <v>181.67</v>
      </c>
      <c r="F602" s="12">
        <v>219.12</v>
      </c>
      <c r="G602" s="12">
        <v>216.98</v>
      </c>
      <c r="H602" s="12">
        <v>224.41</v>
      </c>
      <c r="I602" s="12">
        <v>227.12</v>
      </c>
      <c r="J602" s="12">
        <v>242.12</v>
      </c>
      <c r="K602" s="12">
        <v>249.26</v>
      </c>
      <c r="L602" s="12">
        <v>294.87</v>
      </c>
      <c r="M602" s="12">
        <v>293.2</v>
      </c>
      <c r="N602" s="12">
        <v>225.21</v>
      </c>
      <c r="O602" s="12">
        <v>267.33</v>
      </c>
      <c r="P602" s="12">
        <v>265.83999999999997</v>
      </c>
      <c r="Q602" s="12">
        <v>221.45</v>
      </c>
      <c r="R602" s="12">
        <v>226.64</v>
      </c>
      <c r="S602" s="12">
        <v>273.94</v>
      </c>
      <c r="T602" s="12">
        <v>278.39</v>
      </c>
      <c r="U602" s="12">
        <v>461.71</v>
      </c>
      <c r="V602" s="12">
        <v>291.38</v>
      </c>
      <c r="W602" s="12">
        <v>265.92</v>
      </c>
      <c r="X602" s="12">
        <v>255.79</v>
      </c>
      <c r="Y602" s="12">
        <v>245.6</v>
      </c>
      <c r="AA602" s="17">
        <f>MAX($B$602:$Z$602)</f>
        <v>461.71</v>
      </c>
      <c r="AB602" s="17">
        <f>MIN($B$602:$Z$602)</f>
        <v>165.15</v>
      </c>
      <c r="AC602" s="17">
        <f>AVERAGE($B$602:$Z$602)</f>
        <v>255.92416666666699</v>
      </c>
    </row>
    <row r="603" spans="1:29">
      <c r="A603" s="10">
        <v>45898</v>
      </c>
      <c r="B603" s="12">
        <v>230.78</v>
      </c>
      <c r="C603" s="12">
        <v>261.33</v>
      </c>
      <c r="D603" s="12">
        <v>226.74</v>
      </c>
      <c r="E603" s="12">
        <v>226.24</v>
      </c>
      <c r="F603" s="12">
        <v>220</v>
      </c>
      <c r="G603" s="12">
        <v>216.98</v>
      </c>
      <c r="H603" s="12">
        <v>231.09</v>
      </c>
      <c r="I603" s="12">
        <v>208.38</v>
      </c>
      <c r="J603" s="12">
        <v>202.75</v>
      </c>
      <c r="K603" s="12">
        <v>211.32</v>
      </c>
      <c r="L603" s="12">
        <v>281.16000000000003</v>
      </c>
      <c r="M603" s="12">
        <v>251.21</v>
      </c>
      <c r="N603" s="12">
        <v>209.78</v>
      </c>
      <c r="O603" s="12">
        <v>286.36</v>
      </c>
      <c r="P603" s="12">
        <v>282.69</v>
      </c>
      <c r="Q603" s="12">
        <v>331.37</v>
      </c>
      <c r="R603" s="12">
        <v>380.23</v>
      </c>
      <c r="S603" s="12">
        <v>344.59</v>
      </c>
      <c r="T603" s="12">
        <v>281</v>
      </c>
      <c r="U603" s="12">
        <v>360.34</v>
      </c>
      <c r="V603" s="12">
        <v>300.33</v>
      </c>
      <c r="W603" s="12">
        <v>285.52999999999997</v>
      </c>
      <c r="X603" s="12">
        <v>289.99</v>
      </c>
      <c r="Y603" s="12">
        <v>279.44</v>
      </c>
      <c r="AA603" s="17">
        <f>MAX($B$603:$Z$603)</f>
        <v>380.23</v>
      </c>
      <c r="AB603" s="17">
        <f>MIN($B$603:$Z$603)</f>
        <v>202.75</v>
      </c>
      <c r="AC603" s="17">
        <f>AVERAGE($B$603:$Z$603)</f>
        <v>266.65125</v>
      </c>
    </row>
    <row r="604" spans="1:29">
      <c r="A604" s="10">
        <v>45899</v>
      </c>
      <c r="B604" s="12">
        <v>374.15</v>
      </c>
      <c r="C604" s="12">
        <v>337.3</v>
      </c>
      <c r="D604" s="12">
        <v>275.93</v>
      </c>
      <c r="E604" s="12">
        <v>261</v>
      </c>
      <c r="F604" s="12">
        <v>243.09</v>
      </c>
      <c r="G604" s="12">
        <v>235.7</v>
      </c>
      <c r="H604" s="12">
        <v>230.88</v>
      </c>
      <c r="I604" s="12">
        <v>224.92</v>
      </c>
      <c r="J604" s="12">
        <v>223.33</v>
      </c>
      <c r="K604" s="12">
        <v>288.91000000000003</v>
      </c>
      <c r="L604" s="12">
        <v>256.54000000000002</v>
      </c>
      <c r="M604" s="12">
        <v>232.63</v>
      </c>
      <c r="N604" s="12">
        <v>245.24</v>
      </c>
      <c r="O604" s="12">
        <v>260.51</v>
      </c>
      <c r="P604" s="12">
        <v>253.89</v>
      </c>
      <c r="Q604" s="12">
        <v>261.57</v>
      </c>
      <c r="R604" s="12">
        <v>277.89999999999998</v>
      </c>
      <c r="S604" s="12">
        <v>325.86</v>
      </c>
      <c r="T604" s="12">
        <v>301.39</v>
      </c>
      <c r="U604" s="12">
        <v>419.75</v>
      </c>
      <c r="V604" s="12">
        <v>357.99</v>
      </c>
      <c r="W604" s="12">
        <v>349.24</v>
      </c>
      <c r="X604" s="12">
        <v>329.81</v>
      </c>
      <c r="Y604" s="12">
        <v>299.39999999999998</v>
      </c>
      <c r="AA604" s="17">
        <f>MAX($B$604:$Z$604)</f>
        <v>419.75</v>
      </c>
      <c r="AB604" s="17">
        <f>MIN($B$604:$Z$604)</f>
        <v>223.33</v>
      </c>
      <c r="AC604" s="17">
        <f>AVERAGE($B$604:$Z$604)</f>
        <v>286.12208333333302</v>
      </c>
    </row>
    <row r="605" spans="1:29">
      <c r="A605" s="10">
        <v>45900</v>
      </c>
      <c r="B605" s="12">
        <v>484.15</v>
      </c>
      <c r="C605" s="12">
        <v>488.72</v>
      </c>
      <c r="D605" s="12">
        <v>287.24</v>
      </c>
      <c r="E605" s="12">
        <v>301.20999999999998</v>
      </c>
      <c r="F605" s="12">
        <v>265.75</v>
      </c>
      <c r="G605" s="12">
        <v>262.61</v>
      </c>
      <c r="H605" s="12">
        <v>258.02999999999997</v>
      </c>
      <c r="I605" s="12">
        <v>244.68</v>
      </c>
      <c r="J605" s="12">
        <v>198.7</v>
      </c>
      <c r="K605" s="12">
        <v>188.96</v>
      </c>
      <c r="L605" s="12">
        <v>186.34</v>
      </c>
      <c r="M605" s="12">
        <v>162.46</v>
      </c>
      <c r="N605" s="12">
        <v>164.67</v>
      </c>
      <c r="O605" s="12">
        <v>200.83</v>
      </c>
      <c r="P605" s="12">
        <v>211.23</v>
      </c>
      <c r="Q605" s="12">
        <v>218.11</v>
      </c>
      <c r="R605" s="12">
        <v>245.55</v>
      </c>
      <c r="S605" s="12">
        <v>269.12</v>
      </c>
      <c r="T605" s="12">
        <v>286.08</v>
      </c>
      <c r="U605" s="12">
        <v>393.56</v>
      </c>
      <c r="V605" s="12">
        <v>364.88</v>
      </c>
      <c r="W605" s="12">
        <v>522.59</v>
      </c>
      <c r="X605" s="12">
        <v>404.64</v>
      </c>
      <c r="Y605" s="12">
        <v>301.5</v>
      </c>
      <c r="AA605" s="17">
        <f>MAX($B$605:$Z$605)</f>
        <v>522.59</v>
      </c>
      <c r="AB605" s="17">
        <f>MIN($B$605:$Z$605)</f>
        <v>162.46</v>
      </c>
      <c r="AC605" s="17">
        <f>AVERAGE($B$605:$Z$605)</f>
        <v>287.98374999999999</v>
      </c>
    </row>
    <row r="606" spans="1:29">
      <c r="A606" s="10">
        <v>45901</v>
      </c>
      <c r="B606" s="12">
        <v>397.61</v>
      </c>
      <c r="C606" s="12">
        <v>298.95</v>
      </c>
      <c r="D606" s="12">
        <v>298.75</v>
      </c>
      <c r="E606" s="12">
        <v>295.45999999999998</v>
      </c>
      <c r="F606" s="12">
        <v>276.08</v>
      </c>
      <c r="G606" s="12">
        <v>275.11</v>
      </c>
      <c r="H606" s="12">
        <v>282.31</v>
      </c>
      <c r="I606" s="12">
        <v>262.02999999999997</v>
      </c>
      <c r="J606" s="12">
        <v>255.57</v>
      </c>
      <c r="K606" s="12">
        <v>290.39</v>
      </c>
      <c r="L606" s="12">
        <v>266.29000000000002</v>
      </c>
      <c r="M606" s="12">
        <v>236.32</v>
      </c>
      <c r="N606" s="12">
        <v>211.41</v>
      </c>
      <c r="O606" s="12">
        <v>297.32</v>
      </c>
      <c r="P606" s="12">
        <v>256.68</v>
      </c>
      <c r="Q606" s="12">
        <v>297.5</v>
      </c>
      <c r="R606" s="12">
        <v>313.01</v>
      </c>
      <c r="S606" s="12">
        <v>341.1</v>
      </c>
      <c r="T606" s="12">
        <v>420.66</v>
      </c>
      <c r="U606" s="12">
        <v>725.59</v>
      </c>
      <c r="V606" s="12">
        <v>498.81</v>
      </c>
      <c r="W606" s="12">
        <v>475.84</v>
      </c>
      <c r="X606" s="12">
        <v>425.8</v>
      </c>
      <c r="Y606" s="12">
        <v>321.68</v>
      </c>
      <c r="AA606" s="17">
        <f>MAX($B$606:$Z$606)</f>
        <v>725.59</v>
      </c>
      <c r="AB606" s="17">
        <f>MIN($B$606:$Z$606)</f>
        <v>211.41</v>
      </c>
      <c r="AC606" s="17">
        <f>AVERAGE($B$606:$Z$606)</f>
        <v>334.17791666666699</v>
      </c>
    </row>
    <row r="607" spans="1:29">
      <c r="A607" s="10">
        <v>45902</v>
      </c>
      <c r="B607" s="12">
        <v>430.02</v>
      </c>
      <c r="C607" s="12">
        <v>385.05</v>
      </c>
      <c r="D607" s="12">
        <v>418.53</v>
      </c>
      <c r="E607" s="12">
        <v>352.17</v>
      </c>
      <c r="F607" s="12">
        <v>299.39999999999998</v>
      </c>
      <c r="G607" s="12">
        <v>299.08</v>
      </c>
      <c r="H607" s="12">
        <v>304.93</v>
      </c>
      <c r="I607" s="12">
        <v>286.83999999999997</v>
      </c>
      <c r="J607" s="12">
        <v>306.27</v>
      </c>
      <c r="K607" s="12">
        <v>291.58999999999997</v>
      </c>
      <c r="L607" s="12">
        <v>276.99</v>
      </c>
      <c r="M607" s="12">
        <v>270.77</v>
      </c>
      <c r="N607" s="12">
        <v>248.76</v>
      </c>
      <c r="O607" s="12">
        <v>281.91000000000003</v>
      </c>
      <c r="P607" s="12">
        <v>289.36</v>
      </c>
      <c r="Q607" s="12">
        <v>295.35000000000002</v>
      </c>
      <c r="R607" s="12">
        <v>306.51</v>
      </c>
      <c r="S607" s="12">
        <v>376.72</v>
      </c>
      <c r="T607" s="12">
        <v>376.69</v>
      </c>
      <c r="U607" s="12">
        <v>547.54999999999995</v>
      </c>
      <c r="V607" s="12">
        <v>503.94</v>
      </c>
      <c r="W607" s="12">
        <v>581.86</v>
      </c>
      <c r="X607" s="12">
        <v>409.21</v>
      </c>
      <c r="Y607" s="12">
        <v>335.21</v>
      </c>
      <c r="AA607" s="17">
        <f>MAX($B$607:$Z$607)</f>
        <v>581.86</v>
      </c>
      <c r="AB607" s="17">
        <f>MIN($B$607:$Z$607)</f>
        <v>248.76</v>
      </c>
      <c r="AC607" s="17">
        <f>AVERAGE($B$607:$Z$607)</f>
        <v>353.11291666666699</v>
      </c>
    </row>
    <row r="608" spans="1:29">
      <c r="A608" s="10">
        <v>45903</v>
      </c>
      <c r="B608" s="12">
        <v>552.34</v>
      </c>
      <c r="C608" s="12">
        <v>499.62</v>
      </c>
      <c r="D608" s="12">
        <v>414.32</v>
      </c>
      <c r="E608" s="12">
        <v>216.07</v>
      </c>
      <c r="F608" s="12">
        <v>276.68</v>
      </c>
      <c r="G608" s="12">
        <v>299.74</v>
      </c>
      <c r="H608" s="12">
        <v>311.38</v>
      </c>
      <c r="I608" s="12">
        <v>284.83999999999997</v>
      </c>
      <c r="J608" s="12">
        <v>319.77</v>
      </c>
      <c r="K608" s="12">
        <v>328.74</v>
      </c>
      <c r="L608" s="12">
        <v>293.60000000000002</v>
      </c>
      <c r="M608" s="12">
        <v>239.72</v>
      </c>
      <c r="N608" s="12">
        <v>289.95999999999998</v>
      </c>
      <c r="O608" s="12">
        <v>319.91000000000003</v>
      </c>
      <c r="P608" s="12">
        <v>286.58</v>
      </c>
      <c r="Q608" s="12">
        <v>279.41000000000003</v>
      </c>
      <c r="R608" s="12">
        <v>301.98</v>
      </c>
      <c r="S608" s="12">
        <v>340.33</v>
      </c>
      <c r="T608" s="12">
        <v>441.73</v>
      </c>
      <c r="U608" s="12">
        <v>785.78</v>
      </c>
      <c r="V608" s="12">
        <v>597.03</v>
      </c>
      <c r="W608" s="12">
        <v>618.46</v>
      </c>
      <c r="X608" s="12">
        <v>552.78</v>
      </c>
      <c r="Y608" s="12">
        <v>339.86</v>
      </c>
      <c r="AA608" s="17">
        <f>MAX($B$608:$Z$608)</f>
        <v>785.78</v>
      </c>
      <c r="AB608" s="17">
        <f>MIN($B$608:$Z$608)</f>
        <v>216.07</v>
      </c>
      <c r="AC608" s="17">
        <f>AVERAGE($B$608:$Z$608)</f>
        <v>382.94291666666697</v>
      </c>
    </row>
    <row r="609" spans="1:29">
      <c r="A609" s="10">
        <v>45904</v>
      </c>
      <c r="B609" s="12">
        <v>531.71</v>
      </c>
      <c r="C609" s="12">
        <v>373.4</v>
      </c>
      <c r="D609" s="12">
        <v>335.08</v>
      </c>
      <c r="E609" s="12">
        <v>319.3</v>
      </c>
      <c r="F609" s="12">
        <v>300.42</v>
      </c>
      <c r="G609" s="12">
        <v>300.11</v>
      </c>
      <c r="H609" s="12">
        <v>304.58</v>
      </c>
      <c r="I609" s="12">
        <v>277.2</v>
      </c>
      <c r="J609" s="12">
        <v>295.07</v>
      </c>
      <c r="K609" s="12">
        <v>314.64</v>
      </c>
      <c r="L609" s="12">
        <v>352.48</v>
      </c>
      <c r="M609" s="12">
        <v>413.17</v>
      </c>
      <c r="N609" s="12">
        <v>280.17</v>
      </c>
      <c r="O609" s="12">
        <v>371.03</v>
      </c>
      <c r="P609" s="12">
        <v>291.77</v>
      </c>
      <c r="Q609" s="12">
        <v>297.49</v>
      </c>
      <c r="R609" s="12">
        <v>355.5</v>
      </c>
      <c r="S609" s="12">
        <v>412.64</v>
      </c>
      <c r="T609" s="12">
        <v>478.87</v>
      </c>
      <c r="U609" s="12">
        <v>682.2</v>
      </c>
      <c r="V609" s="12">
        <v>655.05999999999995</v>
      </c>
      <c r="W609" s="12">
        <v>758.98</v>
      </c>
      <c r="X609" s="12">
        <v>508.82</v>
      </c>
      <c r="Y609" s="12">
        <v>405.98</v>
      </c>
      <c r="AA609" s="17">
        <f>MAX($B$609:$Z$609)</f>
        <v>758.98</v>
      </c>
      <c r="AB609" s="17">
        <f>MIN($B$609:$Z$609)</f>
        <v>277.2</v>
      </c>
      <c r="AC609" s="17">
        <f>AVERAGE($B$609:$Z$609)</f>
        <v>400.65291666666701</v>
      </c>
    </row>
    <row r="610" spans="1:29">
      <c r="A610" s="10">
        <v>45905</v>
      </c>
      <c r="B610" s="12">
        <v>685.07</v>
      </c>
      <c r="C610" s="12">
        <v>572.83000000000004</v>
      </c>
      <c r="D610" s="12">
        <v>548.29999999999995</v>
      </c>
      <c r="E610" s="12">
        <v>497.64</v>
      </c>
      <c r="F610" s="12">
        <v>418.43</v>
      </c>
      <c r="G610" s="12">
        <v>380.77</v>
      </c>
      <c r="H610" s="12">
        <v>443.24</v>
      </c>
      <c r="I610" s="12">
        <v>353.17</v>
      </c>
      <c r="J610" s="12">
        <v>380.69</v>
      </c>
      <c r="K610" s="12">
        <v>327.33999999999997</v>
      </c>
      <c r="L610" s="12">
        <v>346.35</v>
      </c>
      <c r="M610" s="12">
        <v>356.02</v>
      </c>
      <c r="N610" s="12">
        <v>259.75</v>
      </c>
      <c r="O610" s="12">
        <v>374.95</v>
      </c>
      <c r="P610" s="12">
        <v>374.72</v>
      </c>
      <c r="Q610" s="12">
        <v>324.92</v>
      </c>
      <c r="R610" s="12">
        <v>473.6</v>
      </c>
      <c r="S610" s="12">
        <v>448.74</v>
      </c>
      <c r="T610" s="12">
        <v>499.99</v>
      </c>
      <c r="U610" s="12">
        <v>665.2</v>
      </c>
      <c r="V610" s="12">
        <v>717.86</v>
      </c>
      <c r="W610" s="12">
        <v>578.53</v>
      </c>
      <c r="X610" s="12">
        <v>544.36</v>
      </c>
      <c r="Y610" s="12">
        <v>514.66</v>
      </c>
      <c r="AA610" s="17"/>
      <c r="AB610" s="17"/>
      <c r="AC610" s="17"/>
    </row>
    <row r="611" spans="1:29">
      <c r="A611" s="10">
        <v>45906</v>
      </c>
      <c r="B611" s="12">
        <v>562.13</v>
      </c>
      <c r="C611" s="12">
        <v>524.35</v>
      </c>
      <c r="D611" s="12">
        <v>335.72</v>
      </c>
      <c r="E611" s="12">
        <v>427.7</v>
      </c>
      <c r="F611" s="12">
        <v>383.05</v>
      </c>
      <c r="G611" s="12">
        <v>315.7</v>
      </c>
      <c r="H611" s="12">
        <v>315.39</v>
      </c>
      <c r="I611" s="12">
        <v>299.27999999999997</v>
      </c>
      <c r="J611" s="12">
        <v>303.87</v>
      </c>
      <c r="K611" s="12">
        <v>293.51</v>
      </c>
      <c r="L611" s="12">
        <v>291.42</v>
      </c>
      <c r="M611" s="12">
        <v>224.74</v>
      </c>
      <c r="N611" s="12">
        <v>257.16000000000003</v>
      </c>
      <c r="O611" s="12">
        <v>334.57</v>
      </c>
      <c r="P611" s="12">
        <v>357.73</v>
      </c>
      <c r="Q611" s="12">
        <v>356.39</v>
      </c>
      <c r="R611" s="12">
        <v>412.4</v>
      </c>
      <c r="S611" s="12">
        <v>388.9</v>
      </c>
      <c r="T611" s="12">
        <v>372.75</v>
      </c>
      <c r="U611" s="12">
        <v>517.44000000000005</v>
      </c>
      <c r="V611" s="12">
        <v>513.39</v>
      </c>
      <c r="W611" s="12">
        <v>565.99</v>
      </c>
      <c r="X611" s="12">
        <v>538.66999999999996</v>
      </c>
      <c r="Y611" s="12">
        <v>455.53</v>
      </c>
      <c r="AA611" s="17">
        <f>MAX($B$611:$Z$611)</f>
        <v>565.99</v>
      </c>
      <c r="AB611" s="17">
        <f>MIN($B$611:$Z$611)</f>
        <v>224.74</v>
      </c>
      <c r="AC611" s="17">
        <f>AVERAGE($B$611:$Z$611)</f>
        <v>389.490833333333</v>
      </c>
    </row>
    <row r="612" spans="1:29">
      <c r="A612" s="10">
        <v>45907</v>
      </c>
      <c r="B612" s="12">
        <v>829.41</v>
      </c>
      <c r="C612" s="12">
        <v>484.96</v>
      </c>
      <c r="D612" s="12">
        <v>430.59</v>
      </c>
      <c r="E612" s="12">
        <v>370.59</v>
      </c>
      <c r="F612" s="12">
        <v>332.58</v>
      </c>
      <c r="G612" s="12">
        <v>320.10000000000002</v>
      </c>
      <c r="H612" s="12">
        <v>306.94</v>
      </c>
      <c r="I612" s="12">
        <v>272.44</v>
      </c>
      <c r="J612" s="12">
        <v>248.2</v>
      </c>
      <c r="K612" s="12">
        <v>237.73</v>
      </c>
      <c r="L612" s="12">
        <v>208.13</v>
      </c>
      <c r="M612" s="12">
        <v>193.66</v>
      </c>
      <c r="N612" s="12">
        <v>250.5</v>
      </c>
      <c r="O612" s="12">
        <v>294.14999999999998</v>
      </c>
      <c r="P612" s="12">
        <v>275.35000000000002</v>
      </c>
      <c r="Q612" s="12">
        <v>278.69</v>
      </c>
      <c r="R612" s="12">
        <v>283.72000000000003</v>
      </c>
      <c r="S612" s="12">
        <v>275.95</v>
      </c>
      <c r="T612" s="12">
        <v>296.51</v>
      </c>
      <c r="U612" s="12">
        <v>316.89</v>
      </c>
      <c r="V612" s="12">
        <v>305.37</v>
      </c>
      <c r="W612" s="12">
        <v>298.01</v>
      </c>
      <c r="X612" s="12">
        <v>263.66000000000003</v>
      </c>
      <c r="Y612" s="12">
        <v>252.66</v>
      </c>
      <c r="AA612" s="17">
        <f>MAX($B$612:$Z$612)</f>
        <v>829.41</v>
      </c>
      <c r="AB612" s="17">
        <f>MIN($B$612:$Z$612)</f>
        <v>193.66</v>
      </c>
      <c r="AC612" s="17">
        <f>AVERAGE($B$612:$Z$612)</f>
        <v>317.78291666666701</v>
      </c>
    </row>
    <row r="613" spans="1:29">
      <c r="A613" s="10">
        <v>45908</v>
      </c>
      <c r="B613" s="12">
        <v>258.31</v>
      </c>
      <c r="C613" s="12">
        <v>239.69</v>
      </c>
      <c r="D613" s="12">
        <v>199.54</v>
      </c>
      <c r="E613" s="12">
        <v>143.19999999999999</v>
      </c>
      <c r="F613" s="12">
        <v>208.78</v>
      </c>
      <c r="G613" s="12">
        <v>214.58</v>
      </c>
      <c r="H613" s="12">
        <v>231.62</v>
      </c>
      <c r="I613" s="12">
        <v>221.17</v>
      </c>
      <c r="J613" s="12">
        <v>326.02999999999997</v>
      </c>
      <c r="K613" s="12">
        <v>373.01</v>
      </c>
      <c r="L613" s="12">
        <v>368.12</v>
      </c>
      <c r="M613" s="12">
        <v>338.16</v>
      </c>
      <c r="N613" s="12">
        <v>231.63</v>
      </c>
      <c r="O613" s="12">
        <v>216.42</v>
      </c>
      <c r="P613" s="12">
        <v>241.49</v>
      </c>
      <c r="Q613" s="12">
        <v>263.86</v>
      </c>
      <c r="R613" s="12">
        <v>288.35000000000002</v>
      </c>
      <c r="S613" s="12">
        <v>288.79000000000002</v>
      </c>
      <c r="T613" s="12">
        <v>284.41000000000003</v>
      </c>
      <c r="U613" s="12">
        <v>348.21</v>
      </c>
      <c r="V613" s="12">
        <v>299.18</v>
      </c>
      <c r="W613" s="12">
        <v>270.43</v>
      </c>
      <c r="X613" s="12">
        <v>251.72</v>
      </c>
      <c r="Y613" s="12">
        <v>234.96</v>
      </c>
      <c r="AA613" s="17">
        <f>MAX($B$613:$Z$613)</f>
        <v>373.01</v>
      </c>
      <c r="AB613" s="17">
        <f>MIN($B$613:$Z$613)</f>
        <v>143.19999999999999</v>
      </c>
      <c r="AC613" s="17">
        <f>AVERAGE($B$613:$Z$613)</f>
        <v>264.23583333333301</v>
      </c>
    </row>
    <row r="614" spans="1:29">
      <c r="A614" s="10">
        <v>45909</v>
      </c>
      <c r="B614" s="12">
        <v>214.56</v>
      </c>
      <c r="C614" s="12">
        <v>221.25</v>
      </c>
      <c r="D614" s="12">
        <v>211.73</v>
      </c>
      <c r="E614" s="12">
        <v>222.05</v>
      </c>
      <c r="F614" s="12">
        <v>206.68</v>
      </c>
      <c r="G614" s="12">
        <v>224.75</v>
      </c>
      <c r="H614" s="12">
        <v>224.49</v>
      </c>
      <c r="I614" s="12">
        <v>253.15</v>
      </c>
      <c r="J614" s="12">
        <v>283.05</v>
      </c>
      <c r="K614" s="12">
        <v>287.23</v>
      </c>
      <c r="L614" s="12">
        <v>279.11</v>
      </c>
      <c r="M614" s="12">
        <v>223.14</v>
      </c>
      <c r="N614" s="12">
        <v>242.31</v>
      </c>
      <c r="O614" s="12">
        <v>272.45999999999998</v>
      </c>
      <c r="P614" s="12">
        <v>266.14</v>
      </c>
      <c r="Q614" s="12">
        <v>288.02999999999997</v>
      </c>
      <c r="R614" s="12">
        <v>320.41000000000003</v>
      </c>
      <c r="S614" s="12">
        <v>334.67</v>
      </c>
      <c r="T614" s="12">
        <v>362.27</v>
      </c>
      <c r="U614" s="12">
        <v>578.97</v>
      </c>
      <c r="V614" s="12">
        <v>403.3</v>
      </c>
      <c r="W614" s="12">
        <v>418.98</v>
      </c>
      <c r="X614" s="12">
        <v>320.99</v>
      </c>
      <c r="Y614" s="12">
        <v>291.11</v>
      </c>
      <c r="AA614" s="17">
        <f>MAX($B$614:$Z$614)</f>
        <v>578.97</v>
      </c>
      <c r="AB614" s="17">
        <f>MIN($B$614:$Z$614)</f>
        <v>206.68</v>
      </c>
      <c r="AC614" s="17">
        <f>AVERAGE($B$614:$Z$614)</f>
        <v>289.61791666666699</v>
      </c>
    </row>
    <row r="615" spans="1:29">
      <c r="A615" s="10">
        <v>45910</v>
      </c>
      <c r="B615" s="12">
        <v>279.88</v>
      </c>
      <c r="C615" s="12">
        <v>273.95</v>
      </c>
      <c r="D615" s="12">
        <v>266.66000000000003</v>
      </c>
      <c r="E615" s="12">
        <v>261.42</v>
      </c>
      <c r="F615" s="12">
        <v>250.06</v>
      </c>
      <c r="G615" s="12">
        <v>240.89</v>
      </c>
      <c r="H615" s="12">
        <v>263.14999999999998</v>
      </c>
      <c r="I615" s="12">
        <v>264.43</v>
      </c>
      <c r="J615" s="12">
        <v>292.33</v>
      </c>
      <c r="K615" s="12">
        <v>324.27</v>
      </c>
      <c r="L615" s="12">
        <v>293.02</v>
      </c>
      <c r="M615" s="12">
        <v>284.19</v>
      </c>
      <c r="N615" s="12">
        <v>250.97</v>
      </c>
      <c r="O615" s="12">
        <v>287.58</v>
      </c>
      <c r="P615" s="12">
        <v>289.02</v>
      </c>
      <c r="Q615" s="12">
        <v>301.39</v>
      </c>
      <c r="R615" s="12">
        <v>342.39</v>
      </c>
      <c r="S615" s="12">
        <v>346.91</v>
      </c>
      <c r="T615" s="12">
        <v>328.78</v>
      </c>
      <c r="U615" s="12">
        <v>488.9</v>
      </c>
      <c r="V615" s="12">
        <v>373.25</v>
      </c>
      <c r="W615" s="12">
        <v>330.98</v>
      </c>
      <c r="X615" s="12">
        <v>295.51</v>
      </c>
      <c r="Y615" s="12">
        <v>260.20999999999998</v>
      </c>
      <c r="AA615" s="17">
        <f>MAX($B$615:$Z$615)</f>
        <v>488.9</v>
      </c>
      <c r="AB615" s="17">
        <f>MIN($B$615:$Z$615)</f>
        <v>240.89</v>
      </c>
      <c r="AC615" s="17">
        <f>AVERAGE($B$615:$Z$615)</f>
        <v>299.58916666666698</v>
      </c>
    </row>
    <row r="616" spans="1:29">
      <c r="A616" s="10">
        <v>45911</v>
      </c>
      <c r="B616" s="12">
        <v>284.3</v>
      </c>
      <c r="C616" s="12">
        <v>275.62</v>
      </c>
      <c r="D616" s="12">
        <v>267.98</v>
      </c>
      <c r="E616" s="12">
        <v>260.35000000000002</v>
      </c>
      <c r="F616" s="12">
        <v>254.43</v>
      </c>
      <c r="G616" s="12">
        <v>251.79</v>
      </c>
      <c r="H616" s="12">
        <v>258.79000000000002</v>
      </c>
      <c r="I616" s="12">
        <v>245.57</v>
      </c>
      <c r="J616" s="12">
        <v>268.83999999999997</v>
      </c>
      <c r="K616" s="12">
        <v>273.18</v>
      </c>
      <c r="L616" s="12">
        <v>251.01</v>
      </c>
      <c r="M616" s="12">
        <v>251.74</v>
      </c>
      <c r="N616" s="12">
        <v>212.77</v>
      </c>
      <c r="O616" s="12">
        <v>268.61</v>
      </c>
      <c r="P616" s="12">
        <v>274.61</v>
      </c>
      <c r="Q616" s="12">
        <v>296.95999999999998</v>
      </c>
      <c r="R616" s="12">
        <v>392.31</v>
      </c>
      <c r="S616" s="12">
        <v>440.45</v>
      </c>
      <c r="T616" s="12">
        <v>563.44000000000005</v>
      </c>
      <c r="U616" s="12">
        <v>733.88</v>
      </c>
      <c r="V616" s="12">
        <v>369.77</v>
      </c>
      <c r="W616" s="12">
        <v>323.92</v>
      </c>
      <c r="X616" s="12">
        <v>309.10000000000002</v>
      </c>
      <c r="Y616" s="12">
        <v>256.18</v>
      </c>
      <c r="AA616" s="17">
        <f>MAX($B$616:$Z$616)</f>
        <v>733.88</v>
      </c>
      <c r="AB616" s="17">
        <f>MIN($B$616:$Z$616)</f>
        <v>212.77</v>
      </c>
      <c r="AC616" s="17">
        <f>AVERAGE($B$616:$Z$616)</f>
        <v>316.066666666667</v>
      </c>
    </row>
    <row r="617" spans="1:29">
      <c r="A617" s="10">
        <v>45912</v>
      </c>
      <c r="B617" s="12">
        <v>414.08</v>
      </c>
      <c r="C617" s="12">
        <v>300.20999999999998</v>
      </c>
      <c r="D617" s="12">
        <v>273</v>
      </c>
      <c r="E617" s="12">
        <v>259.67</v>
      </c>
      <c r="F617" s="12">
        <v>253.58</v>
      </c>
      <c r="G617" s="12">
        <v>253.41</v>
      </c>
      <c r="H617" s="12">
        <v>258.48</v>
      </c>
      <c r="I617" s="12">
        <v>249.47</v>
      </c>
      <c r="J617" s="12">
        <v>266.18</v>
      </c>
      <c r="K617" s="12">
        <v>300.23</v>
      </c>
      <c r="L617" s="12">
        <v>275.87</v>
      </c>
      <c r="M617" s="12">
        <v>291.73</v>
      </c>
      <c r="N617" s="12">
        <v>253.42</v>
      </c>
      <c r="O617" s="12">
        <v>255</v>
      </c>
      <c r="P617" s="12">
        <v>257.89</v>
      </c>
      <c r="Q617" s="12">
        <v>268.37</v>
      </c>
      <c r="R617" s="12">
        <v>309.27999999999997</v>
      </c>
      <c r="S617" s="12">
        <v>338.4</v>
      </c>
      <c r="T617" s="12">
        <v>367.15</v>
      </c>
      <c r="U617" s="12">
        <v>500.79</v>
      </c>
      <c r="V617" s="12">
        <v>434.43</v>
      </c>
      <c r="W617" s="12">
        <v>427.38</v>
      </c>
      <c r="X617" s="12">
        <v>359.26</v>
      </c>
      <c r="Y617" s="12">
        <v>306.14999999999998</v>
      </c>
      <c r="AA617" s="17">
        <f>MAX($B$617:$Z$617)</f>
        <v>500.79</v>
      </c>
      <c r="AB617" s="17">
        <f>MIN($B$617:$Z$617)</f>
        <v>249.47</v>
      </c>
      <c r="AC617" s="17">
        <f>AVERAGE($B$617:$Z$617)</f>
        <v>311.39291666666702</v>
      </c>
    </row>
    <row r="618" spans="1:29">
      <c r="A618" s="10">
        <v>45913</v>
      </c>
      <c r="B618" s="12">
        <v>408.38</v>
      </c>
      <c r="C618" s="12">
        <v>405.62</v>
      </c>
      <c r="D618" s="12">
        <v>325.08999999999997</v>
      </c>
      <c r="E618" s="12">
        <v>301.20999999999998</v>
      </c>
      <c r="F618" s="12">
        <v>284.83999999999997</v>
      </c>
      <c r="G618" s="12">
        <v>278.57</v>
      </c>
      <c r="H618" s="12">
        <v>281.83999999999997</v>
      </c>
      <c r="I618" s="12">
        <v>271.36</v>
      </c>
      <c r="J618" s="12">
        <v>287.8</v>
      </c>
      <c r="K618" s="12">
        <v>279.45</v>
      </c>
      <c r="L618" s="12">
        <v>261.7</v>
      </c>
      <c r="M618" s="12">
        <v>263.01</v>
      </c>
      <c r="N618" s="12">
        <v>245.75</v>
      </c>
      <c r="O618" s="12">
        <v>328.32</v>
      </c>
      <c r="P618" s="12">
        <v>311.13</v>
      </c>
      <c r="Q618" s="12">
        <v>322.89</v>
      </c>
      <c r="R618" s="12">
        <v>416.33</v>
      </c>
      <c r="S618" s="12">
        <v>497.56</v>
      </c>
      <c r="T618" s="12">
        <v>450.87</v>
      </c>
      <c r="U618" s="12">
        <v>600.04</v>
      </c>
      <c r="V618" s="12">
        <v>398.42</v>
      </c>
      <c r="W618" s="12">
        <v>430.64</v>
      </c>
      <c r="X618" s="12">
        <v>366.26</v>
      </c>
      <c r="Y618" s="12">
        <v>316.91000000000003</v>
      </c>
      <c r="AA618" s="17">
        <f>MAX($B$618:$Z$618)</f>
        <v>600.04</v>
      </c>
      <c r="AB618" s="17">
        <f>MIN($B$618:$Z$618)</f>
        <v>245.75</v>
      </c>
      <c r="AC618" s="17">
        <f>AVERAGE($B$618:$Z$618)</f>
        <v>347.24958333333302</v>
      </c>
    </row>
    <row r="619" spans="1:29">
      <c r="A619" s="10">
        <v>45914</v>
      </c>
      <c r="B619" s="12">
        <v>456.99</v>
      </c>
      <c r="C619" s="12">
        <v>369.92</v>
      </c>
      <c r="D619" s="12">
        <v>307.67</v>
      </c>
      <c r="E619" s="12">
        <v>289.47000000000003</v>
      </c>
      <c r="F619" s="12">
        <v>268.04000000000002</v>
      </c>
      <c r="G619" s="12">
        <v>245.32</v>
      </c>
      <c r="H619" s="12">
        <v>263.79000000000002</v>
      </c>
      <c r="I619" s="12">
        <v>246.87</v>
      </c>
      <c r="J619" s="12">
        <v>222.96</v>
      </c>
      <c r="K619" s="12">
        <v>215.38</v>
      </c>
      <c r="L619" s="12">
        <v>213.23</v>
      </c>
      <c r="M619" s="12">
        <v>229.47</v>
      </c>
      <c r="N619" s="12">
        <v>189.16</v>
      </c>
      <c r="O619" s="12">
        <v>215.91</v>
      </c>
      <c r="P619" s="12">
        <v>231.54</v>
      </c>
      <c r="Q619" s="12">
        <v>244.64</v>
      </c>
      <c r="R619" s="12">
        <v>308.19</v>
      </c>
      <c r="S619" s="12">
        <v>376.86</v>
      </c>
      <c r="T619" s="12">
        <v>314.86</v>
      </c>
      <c r="U619" s="12">
        <v>391.37</v>
      </c>
      <c r="V619" s="12">
        <v>326.02</v>
      </c>
      <c r="W619" s="12">
        <v>394.41</v>
      </c>
      <c r="X619" s="12">
        <v>346.22</v>
      </c>
      <c r="Y619" s="12">
        <v>276.35000000000002</v>
      </c>
      <c r="AA619" s="17">
        <f>MAX($B$619:$Z$619)</f>
        <v>456.99</v>
      </c>
      <c r="AB619" s="17">
        <f>MIN($B$619:$Z$619)</f>
        <v>189.16</v>
      </c>
      <c r="AC619" s="17">
        <f>AVERAGE($B$619:$Z$619)</f>
        <v>289.36</v>
      </c>
    </row>
    <row r="620" spans="1:29">
      <c r="A620" s="10">
        <v>45915</v>
      </c>
      <c r="B620" s="12">
        <v>323.91000000000003</v>
      </c>
      <c r="C620" s="12">
        <v>307.51</v>
      </c>
      <c r="D620" s="12">
        <v>284.52</v>
      </c>
      <c r="E620" s="12">
        <v>270.35000000000002</v>
      </c>
      <c r="F620" s="12">
        <v>253.12</v>
      </c>
      <c r="G620" s="12">
        <v>257.79000000000002</v>
      </c>
      <c r="H620" s="12">
        <v>276.17</v>
      </c>
      <c r="I620" s="12">
        <v>260.57</v>
      </c>
      <c r="J620" s="12">
        <v>275.23</v>
      </c>
      <c r="K620" s="12">
        <v>300.54000000000002</v>
      </c>
      <c r="L620" s="12">
        <v>276.97000000000003</v>
      </c>
      <c r="M620" s="12">
        <v>275.02999999999997</v>
      </c>
      <c r="N620" s="12">
        <v>246.7</v>
      </c>
      <c r="O620" s="12">
        <v>278.67</v>
      </c>
      <c r="P620" s="12">
        <v>296.91000000000003</v>
      </c>
      <c r="Q620" s="12">
        <v>325.61</v>
      </c>
      <c r="R620" s="12">
        <v>368.58</v>
      </c>
      <c r="S620" s="12">
        <v>346.47</v>
      </c>
      <c r="T620" s="12">
        <v>353.59</v>
      </c>
      <c r="U620" s="12">
        <v>442.65</v>
      </c>
      <c r="V620" s="12">
        <v>330.88</v>
      </c>
      <c r="W620" s="12">
        <v>329.8</v>
      </c>
      <c r="X620" s="12">
        <v>301.85000000000002</v>
      </c>
      <c r="Y620" s="12">
        <v>269.25</v>
      </c>
      <c r="AA620" s="17"/>
      <c r="AB620" s="17"/>
      <c r="AC620" s="17"/>
    </row>
    <row r="621" spans="1:29">
      <c r="A621" s="10">
        <v>45916</v>
      </c>
      <c r="B621" s="12">
        <v>305</v>
      </c>
      <c r="C621" s="12">
        <v>326.7</v>
      </c>
      <c r="D621" s="12">
        <v>260.20999999999998</v>
      </c>
      <c r="E621" s="12">
        <v>259.27999999999997</v>
      </c>
      <c r="F621" s="12">
        <v>253.41</v>
      </c>
      <c r="G621" s="12">
        <v>257.77</v>
      </c>
      <c r="H621" s="12">
        <v>260.95999999999998</v>
      </c>
      <c r="I621" s="12">
        <v>249.63</v>
      </c>
      <c r="J621" s="12">
        <v>273.23</v>
      </c>
      <c r="K621" s="12">
        <v>270.06</v>
      </c>
      <c r="L621" s="12">
        <v>244.02</v>
      </c>
      <c r="M621" s="12">
        <v>263.33</v>
      </c>
      <c r="N621" s="12">
        <v>250.83</v>
      </c>
      <c r="O621" s="12">
        <v>306.95999999999998</v>
      </c>
      <c r="P621" s="12">
        <v>270.02</v>
      </c>
      <c r="Q621" s="12">
        <v>308.68</v>
      </c>
      <c r="R621" s="12">
        <v>337.71</v>
      </c>
      <c r="S621" s="12">
        <v>361.39</v>
      </c>
      <c r="T621" s="12">
        <v>379.06</v>
      </c>
      <c r="U621" s="12">
        <v>433.14</v>
      </c>
      <c r="V621" s="12">
        <v>332.67</v>
      </c>
      <c r="W621" s="12">
        <v>337.82</v>
      </c>
      <c r="X621" s="12">
        <v>316.39999999999998</v>
      </c>
      <c r="Y621" s="12">
        <v>278.60000000000002</v>
      </c>
      <c r="AA621" s="17">
        <f>MAX($B$621:$Z$621)</f>
        <v>433.14</v>
      </c>
      <c r="AB621" s="17">
        <f>MIN($B$621:$Z$621)</f>
        <v>244.02</v>
      </c>
      <c r="AC621" s="17">
        <f>AVERAGE($B$621:$Z$621)</f>
        <v>297.37</v>
      </c>
    </row>
    <row r="622" spans="1:29">
      <c r="A622" s="10">
        <v>45917</v>
      </c>
      <c r="B622" s="12">
        <v>370.49</v>
      </c>
      <c r="C622" s="12">
        <v>342.41</v>
      </c>
      <c r="D622" s="12">
        <v>313.43</v>
      </c>
      <c r="E622" s="12">
        <v>287.69</v>
      </c>
      <c r="F622" s="12">
        <v>263.12</v>
      </c>
      <c r="G622" s="12">
        <v>262.66000000000003</v>
      </c>
      <c r="H622" s="12">
        <v>287.56</v>
      </c>
      <c r="I622" s="12">
        <v>272.13</v>
      </c>
      <c r="J622" s="12">
        <v>326.36</v>
      </c>
      <c r="K622" s="12">
        <v>306.89999999999998</v>
      </c>
      <c r="L622" s="12">
        <v>294.58</v>
      </c>
      <c r="M622" s="12">
        <v>286.68</v>
      </c>
      <c r="N622" s="12">
        <v>279.32</v>
      </c>
      <c r="O622" s="12">
        <v>325.85000000000002</v>
      </c>
      <c r="P622" s="12">
        <v>392.58</v>
      </c>
      <c r="Q622" s="12">
        <v>380.55</v>
      </c>
      <c r="R622" s="12">
        <v>569.05999999999995</v>
      </c>
      <c r="S622" s="12">
        <v>497.52</v>
      </c>
      <c r="T622" s="12">
        <v>329.97</v>
      </c>
      <c r="U622" s="12">
        <v>325.89999999999998</v>
      </c>
      <c r="V622" s="12">
        <v>312.3</v>
      </c>
      <c r="W622" s="12">
        <v>312.64</v>
      </c>
      <c r="X622" s="12">
        <v>279.68</v>
      </c>
      <c r="Y622" s="12">
        <v>260.91000000000003</v>
      </c>
      <c r="AA622" s="17">
        <f>MAX($B$622:$Z$622)</f>
        <v>569.05999999999995</v>
      </c>
      <c r="AB622" s="17">
        <f>MIN($B$622:$Z$622)</f>
        <v>260.91000000000003</v>
      </c>
      <c r="AC622" s="17">
        <f>AVERAGE($B$622:$Z$622)</f>
        <v>328.34541666666701</v>
      </c>
    </row>
    <row r="623" spans="1:29">
      <c r="A623" s="10">
        <v>45918</v>
      </c>
      <c r="B623" s="12">
        <v>290.07</v>
      </c>
      <c r="C623" s="12">
        <v>285.82</v>
      </c>
      <c r="D623" s="12">
        <v>219.4</v>
      </c>
      <c r="E623" s="12">
        <v>214.06</v>
      </c>
      <c r="F623" s="12">
        <v>242.14</v>
      </c>
      <c r="G623" s="12">
        <v>265.99</v>
      </c>
      <c r="H623" s="12">
        <v>274.10000000000002</v>
      </c>
      <c r="I623" s="12">
        <v>256.10000000000002</v>
      </c>
      <c r="J623" s="12">
        <v>274.36</v>
      </c>
      <c r="K623" s="12">
        <v>250.39</v>
      </c>
      <c r="L623" s="12">
        <v>262.10000000000002</v>
      </c>
      <c r="M623" s="12">
        <v>319.95</v>
      </c>
      <c r="N623" s="12">
        <v>244.34</v>
      </c>
      <c r="O623" s="12">
        <v>179.24</v>
      </c>
      <c r="P623" s="12">
        <v>311.64</v>
      </c>
      <c r="Q623" s="12">
        <v>284.11</v>
      </c>
      <c r="R623" s="12">
        <v>371.51</v>
      </c>
      <c r="S623" s="12">
        <v>319.75</v>
      </c>
      <c r="T623" s="12">
        <v>322.42</v>
      </c>
      <c r="U623" s="12">
        <v>355.43</v>
      </c>
      <c r="V623" s="12">
        <v>318.14999999999998</v>
      </c>
      <c r="W623" s="12">
        <v>310.32</v>
      </c>
      <c r="X623" s="12">
        <v>275.58</v>
      </c>
      <c r="Y623" s="12">
        <v>258.08999999999997</v>
      </c>
      <c r="AA623" s="17">
        <f>MAX($B$623:$Z$623)</f>
        <v>371.51</v>
      </c>
      <c r="AB623" s="17">
        <f>MIN($B$623:$Z$623)</f>
        <v>179.24</v>
      </c>
      <c r="AC623" s="17">
        <f>AVERAGE($B$623:$Z$623)</f>
        <v>279.3775</v>
      </c>
    </row>
    <row r="624" spans="1:29">
      <c r="A624" s="10">
        <v>45919</v>
      </c>
      <c r="B624" s="12">
        <v>301.76</v>
      </c>
      <c r="C624" s="12">
        <v>270.52999999999997</v>
      </c>
      <c r="D624" s="12">
        <v>269.97000000000003</v>
      </c>
      <c r="E624" s="12">
        <v>257.26</v>
      </c>
      <c r="F624" s="12">
        <v>233.57</v>
      </c>
      <c r="G624" s="12">
        <v>244.09</v>
      </c>
      <c r="H624" s="12">
        <v>265.07</v>
      </c>
      <c r="I624" s="12">
        <v>246.76</v>
      </c>
      <c r="J624" s="12">
        <v>299.58999999999997</v>
      </c>
      <c r="K624" s="12">
        <v>312.57</v>
      </c>
      <c r="L624" s="12">
        <v>292.60000000000002</v>
      </c>
      <c r="M624" s="12">
        <v>305.92</v>
      </c>
      <c r="N624" s="12">
        <v>241.64</v>
      </c>
      <c r="O624" s="12">
        <v>290.11</v>
      </c>
      <c r="P624" s="12">
        <v>299.12</v>
      </c>
      <c r="Q624" s="12">
        <v>281.52999999999997</v>
      </c>
      <c r="R624" s="12">
        <v>322.91000000000003</v>
      </c>
      <c r="S624" s="12">
        <v>370.61</v>
      </c>
      <c r="T624" s="12">
        <v>304.47000000000003</v>
      </c>
      <c r="U624" s="12">
        <v>437.15</v>
      </c>
      <c r="V624" s="12">
        <v>335.85</v>
      </c>
      <c r="W624" s="12">
        <v>321.58999999999997</v>
      </c>
      <c r="X624" s="12">
        <v>275.87</v>
      </c>
      <c r="Y624" s="12">
        <v>267.52999999999997</v>
      </c>
      <c r="AA624" s="17">
        <f>MAX($B$624:$Z$624)</f>
        <v>437.15</v>
      </c>
      <c r="AB624" s="17">
        <f>MIN($B$624:$Z$624)</f>
        <v>233.57</v>
      </c>
      <c r="AC624" s="17">
        <f>AVERAGE($B$624:$Z$624)</f>
        <v>293.66958333333298</v>
      </c>
    </row>
    <row r="625" spans="1:29">
      <c r="A625" s="10">
        <v>45920</v>
      </c>
      <c r="B625" s="12">
        <v>345.04</v>
      </c>
      <c r="C625" s="12">
        <v>305.26</v>
      </c>
      <c r="D625" s="12">
        <v>268.26</v>
      </c>
      <c r="E625" s="12">
        <v>247.51</v>
      </c>
      <c r="F625" s="12">
        <v>230.96</v>
      </c>
      <c r="G625" s="12">
        <v>225.3</v>
      </c>
      <c r="H625" s="12">
        <v>229.62</v>
      </c>
      <c r="I625" s="12">
        <v>232.99</v>
      </c>
      <c r="J625" s="12">
        <v>237.6</v>
      </c>
      <c r="K625" s="12">
        <v>238.35</v>
      </c>
      <c r="L625" s="12">
        <v>261.64</v>
      </c>
      <c r="M625" s="12">
        <v>225.29</v>
      </c>
      <c r="N625" s="12">
        <v>226.63</v>
      </c>
      <c r="O625" s="12">
        <v>247.36</v>
      </c>
      <c r="P625" s="12">
        <v>239.68</v>
      </c>
      <c r="Q625" s="12">
        <v>229.93</v>
      </c>
      <c r="R625" s="12">
        <v>276.52</v>
      </c>
      <c r="S625" s="12">
        <v>273.27999999999997</v>
      </c>
      <c r="T625" s="12">
        <v>288.23</v>
      </c>
      <c r="U625" s="12">
        <v>310.81</v>
      </c>
      <c r="V625" s="12">
        <v>250.68</v>
      </c>
      <c r="W625" s="12">
        <v>267.05</v>
      </c>
      <c r="X625" s="12">
        <v>263.76</v>
      </c>
      <c r="Y625" s="12">
        <v>257.67</v>
      </c>
      <c r="AA625" s="17">
        <f>MAX($B$625:$Z$625)</f>
        <v>345.04</v>
      </c>
      <c r="AB625" s="17">
        <f>MIN($B$625:$Z$625)</f>
        <v>225.29</v>
      </c>
      <c r="AC625" s="17">
        <f>AVERAGE($B$625:$Z$625)</f>
        <v>257.47583333333301</v>
      </c>
    </row>
    <row r="626" spans="1:29">
      <c r="A626" s="10">
        <v>45921</v>
      </c>
      <c r="B626" s="12">
        <v>270.95</v>
      </c>
      <c r="C626" s="12">
        <v>252.65</v>
      </c>
      <c r="D626" s="12">
        <v>239.65</v>
      </c>
      <c r="E626" s="12">
        <v>181.18</v>
      </c>
      <c r="F626" s="12">
        <v>175.35</v>
      </c>
      <c r="G626" s="12">
        <v>194.89</v>
      </c>
      <c r="H626" s="12">
        <v>210.39</v>
      </c>
      <c r="I626" s="12">
        <v>214.57</v>
      </c>
      <c r="J626" s="12">
        <v>165.15</v>
      </c>
      <c r="K626" s="12">
        <v>163.93</v>
      </c>
      <c r="L626" s="12">
        <v>146.19999999999999</v>
      </c>
      <c r="M626" s="12">
        <v>201.98</v>
      </c>
      <c r="N626" s="12">
        <v>163.91</v>
      </c>
      <c r="O626" s="12">
        <v>201</v>
      </c>
      <c r="P626" s="12">
        <v>155.22999999999999</v>
      </c>
      <c r="Q626" s="12">
        <v>158.94</v>
      </c>
      <c r="R626" s="12">
        <v>170.64</v>
      </c>
      <c r="S626" s="12">
        <v>226.1</v>
      </c>
      <c r="T626" s="12">
        <v>253.06</v>
      </c>
      <c r="U626" s="12">
        <v>285.29000000000002</v>
      </c>
      <c r="V626" s="12">
        <v>257.8</v>
      </c>
      <c r="W626" s="12">
        <v>253.01</v>
      </c>
      <c r="X626" s="12">
        <v>227.01</v>
      </c>
      <c r="Y626" s="12">
        <v>207.12</v>
      </c>
      <c r="AA626" s="17">
        <f>MAX($B$626:$Z$626)</f>
        <v>285.29000000000002</v>
      </c>
      <c r="AB626" s="17">
        <f>MIN($B$626:$Z$626)</f>
        <v>146.19999999999999</v>
      </c>
      <c r="AC626" s="17">
        <f>AVERAGE($B$626:$Z$626)</f>
        <v>207.333333333333</v>
      </c>
    </row>
    <row r="627" spans="1:29">
      <c r="A627" s="10">
        <v>45922</v>
      </c>
      <c r="B627" s="12">
        <v>242.2</v>
      </c>
      <c r="C627" s="12">
        <v>227.78</v>
      </c>
      <c r="D627" s="12">
        <v>209.79</v>
      </c>
      <c r="E627" s="12">
        <v>204.94</v>
      </c>
      <c r="F627" s="12">
        <v>192.19</v>
      </c>
      <c r="G627" s="12">
        <v>178.9</v>
      </c>
      <c r="H627" s="12">
        <v>206.75</v>
      </c>
      <c r="I627" s="12">
        <v>208.04</v>
      </c>
      <c r="J627" s="12">
        <v>226.91</v>
      </c>
      <c r="K627" s="12">
        <v>252.59</v>
      </c>
      <c r="L627" s="12">
        <v>247.39</v>
      </c>
      <c r="M627" s="12">
        <v>241.78</v>
      </c>
      <c r="N627" s="12">
        <v>232.96</v>
      </c>
      <c r="O627" s="12">
        <v>249.1</v>
      </c>
      <c r="P627" s="12">
        <v>252.38</v>
      </c>
      <c r="Q627" s="12">
        <v>256.42</v>
      </c>
      <c r="R627" s="12">
        <v>311.45999999999998</v>
      </c>
      <c r="S627" s="12">
        <v>347.83</v>
      </c>
      <c r="T627" s="12">
        <v>368.69</v>
      </c>
      <c r="U627" s="12">
        <v>467.65</v>
      </c>
      <c r="V627" s="12">
        <v>380.62</v>
      </c>
      <c r="W627" s="12">
        <v>348.22</v>
      </c>
      <c r="X627" s="12">
        <v>306.23</v>
      </c>
      <c r="Y627" s="12">
        <v>275.27</v>
      </c>
      <c r="AA627" s="17">
        <f>MAX($B$627:$Z$627)</f>
        <v>467.65</v>
      </c>
      <c r="AB627" s="17">
        <f>MIN($B$627:$Z$627)</f>
        <v>178.9</v>
      </c>
      <c r="AC627" s="17">
        <f>AVERAGE($B$627:$Z$627)</f>
        <v>268.17041666666699</v>
      </c>
    </row>
    <row r="628" spans="1:29">
      <c r="A628" s="10">
        <v>45923</v>
      </c>
      <c r="B628" s="12">
        <v>310.05</v>
      </c>
      <c r="C628" s="12">
        <v>279.29000000000002</v>
      </c>
      <c r="D628" s="12">
        <v>252.83</v>
      </c>
      <c r="E628" s="12">
        <v>215.24</v>
      </c>
      <c r="F628" s="12">
        <v>141.72999999999999</v>
      </c>
      <c r="G628" s="12">
        <v>88.97</v>
      </c>
      <c r="H628" s="12">
        <v>123.75</v>
      </c>
      <c r="I628" s="12">
        <v>89.63</v>
      </c>
      <c r="J628" s="12">
        <v>164.73</v>
      </c>
      <c r="K628" s="12">
        <v>233.73</v>
      </c>
      <c r="L628" s="12">
        <v>245.83</v>
      </c>
      <c r="M628" s="12">
        <v>257.52999999999997</v>
      </c>
      <c r="N628" s="12">
        <v>236.56</v>
      </c>
      <c r="O628" s="12">
        <v>250.12</v>
      </c>
      <c r="P628" s="12">
        <v>252.77</v>
      </c>
      <c r="Q628" s="12">
        <v>243.31</v>
      </c>
      <c r="R628" s="12">
        <v>242.79</v>
      </c>
      <c r="S628" s="12">
        <v>214.89</v>
      </c>
      <c r="T628" s="12">
        <v>182.52</v>
      </c>
      <c r="U628" s="12">
        <v>186.91</v>
      </c>
      <c r="V628" s="12">
        <v>62.81</v>
      </c>
      <c r="W628" s="12">
        <v>42.35</v>
      </c>
      <c r="X628" s="12">
        <v>74.400000000000006</v>
      </c>
      <c r="Y628" s="12">
        <v>60.59</v>
      </c>
      <c r="AA628" s="17">
        <f>MAX($B$628:$Z$628)</f>
        <v>310.05</v>
      </c>
      <c r="AB628" s="17">
        <f>MIN($B$628:$Z$628)</f>
        <v>42.35</v>
      </c>
      <c r="AC628" s="17">
        <f>AVERAGE($B$628:$Z$628)</f>
        <v>185.55541666666701</v>
      </c>
    </row>
    <row r="629" spans="1:29">
      <c r="A629" s="10">
        <v>45924</v>
      </c>
      <c r="B629" s="12">
        <v>280.8</v>
      </c>
      <c r="C629" s="12">
        <v>180.66</v>
      </c>
      <c r="D629" s="12">
        <v>114.56</v>
      </c>
      <c r="E629" s="12">
        <v>31.63</v>
      </c>
      <c r="F629" s="12">
        <v>21.45</v>
      </c>
      <c r="G629" s="12">
        <v>21.75</v>
      </c>
      <c r="H629" s="12">
        <v>-0.95</v>
      </c>
      <c r="I629" s="12">
        <v>4.88</v>
      </c>
      <c r="J629" s="12">
        <v>58.02</v>
      </c>
      <c r="K629" s="12">
        <v>29.86</v>
      </c>
      <c r="L629" s="12">
        <v>44.16</v>
      </c>
      <c r="M629" s="12">
        <v>57.68</v>
      </c>
      <c r="N629" s="12">
        <v>35.01</v>
      </c>
      <c r="O629" s="12">
        <v>28.99</v>
      </c>
      <c r="P629" s="12">
        <v>19.239999999999998</v>
      </c>
      <c r="Q629" s="12">
        <v>26.62</v>
      </c>
      <c r="R629" s="12">
        <v>97.68</v>
      </c>
      <c r="S629" s="12">
        <v>192.99</v>
      </c>
      <c r="T629" s="12">
        <v>277.74</v>
      </c>
      <c r="U629" s="12">
        <v>581.91999999999996</v>
      </c>
      <c r="V629" s="12">
        <v>349.32</v>
      </c>
      <c r="W629" s="12">
        <v>309.91000000000003</v>
      </c>
      <c r="X629" s="12">
        <v>275.31</v>
      </c>
      <c r="Y629" s="12">
        <v>185.77</v>
      </c>
      <c r="AA629" s="17">
        <f>MAX($B$629:$Z$629)</f>
        <v>581.91999999999996</v>
      </c>
      <c r="AB629" s="17">
        <f>MIN($B$629:$Z$629)</f>
        <v>-0.95</v>
      </c>
      <c r="AC629" s="17">
        <f>AVERAGE($B$629:$Z$629)</f>
        <v>134.375</v>
      </c>
    </row>
    <row r="630" spans="1:29">
      <c r="A630" s="10">
        <v>45925</v>
      </c>
      <c r="B630" s="12">
        <v>212.94</v>
      </c>
      <c r="C630" s="12">
        <v>182.54</v>
      </c>
      <c r="D630" s="12">
        <v>236.58</v>
      </c>
      <c r="E630" s="12">
        <v>254.75</v>
      </c>
      <c r="F630" s="12">
        <v>279.42</v>
      </c>
      <c r="G630" s="12">
        <v>244.98</v>
      </c>
      <c r="H630" s="12">
        <v>180.19</v>
      </c>
      <c r="I630" s="12">
        <v>238.25</v>
      </c>
      <c r="J630" s="12">
        <v>387.65</v>
      </c>
      <c r="K630" s="12">
        <v>671.51</v>
      </c>
      <c r="L630" s="12">
        <v>401.66</v>
      </c>
      <c r="M630" s="12">
        <v>528.4</v>
      </c>
      <c r="N630" s="12">
        <v>333.24</v>
      </c>
      <c r="O630" s="12">
        <v>328.77</v>
      </c>
      <c r="P630" s="12">
        <v>286.5</v>
      </c>
      <c r="Q630" s="12">
        <v>304.47000000000003</v>
      </c>
      <c r="R630" s="12">
        <v>340.52</v>
      </c>
      <c r="S630" s="12">
        <v>402.56</v>
      </c>
      <c r="T630" s="12">
        <v>512.33000000000004</v>
      </c>
      <c r="U630" s="12">
        <v>599.37</v>
      </c>
      <c r="V630" s="12">
        <v>467.54</v>
      </c>
      <c r="W630" s="12">
        <v>345.17</v>
      </c>
      <c r="X630" s="12">
        <v>225.25</v>
      </c>
      <c r="Y630" s="12">
        <v>233.39</v>
      </c>
      <c r="AA630" s="17">
        <f>MAX($B$630:$Z$630)</f>
        <v>671.51</v>
      </c>
      <c r="AB630" s="17">
        <f>MIN($B$630:$Z$630)</f>
        <v>180.19</v>
      </c>
      <c r="AC630" s="17">
        <f>AVERAGE($B$630:$Z$630)</f>
        <v>341.58249999999998</v>
      </c>
    </row>
    <row r="631" spans="1:29">
      <c r="A631" s="10">
        <v>45926</v>
      </c>
      <c r="B631" s="12">
        <v>344.86</v>
      </c>
      <c r="C631" s="12">
        <v>255.85</v>
      </c>
      <c r="D631" s="12">
        <v>171.76</v>
      </c>
      <c r="E631" s="12">
        <v>146.54</v>
      </c>
      <c r="F631" s="12">
        <v>139.69</v>
      </c>
      <c r="G631" s="12">
        <v>129.1</v>
      </c>
      <c r="H631" s="12">
        <v>189.94</v>
      </c>
      <c r="I631" s="12">
        <v>203.27</v>
      </c>
      <c r="J631" s="12">
        <v>237.09</v>
      </c>
      <c r="K631" s="12">
        <v>244.24</v>
      </c>
      <c r="L631" s="12">
        <v>259.19</v>
      </c>
      <c r="M631" s="12">
        <v>332.72</v>
      </c>
      <c r="N631" s="12">
        <v>249.27</v>
      </c>
      <c r="O631" s="12">
        <v>278.02</v>
      </c>
      <c r="P631" s="12">
        <v>283.68</v>
      </c>
      <c r="Q631" s="12">
        <v>320.73</v>
      </c>
      <c r="R631" s="12">
        <v>360.84</v>
      </c>
      <c r="S631" s="12">
        <v>455.32</v>
      </c>
      <c r="T631" s="12">
        <v>458.01</v>
      </c>
      <c r="U631" s="12">
        <v>462.15</v>
      </c>
      <c r="V631" s="12">
        <v>391.82</v>
      </c>
      <c r="W631" s="12">
        <v>342.1</v>
      </c>
      <c r="X631" s="12">
        <v>289.05</v>
      </c>
      <c r="Y631" s="12">
        <v>265.89999999999998</v>
      </c>
      <c r="AA631" s="17">
        <f>MAX($B$631:$Z$631)</f>
        <v>462.15</v>
      </c>
      <c r="AB631" s="17">
        <f>MIN($B$631:$Z$631)</f>
        <v>129.1</v>
      </c>
      <c r="AC631" s="17">
        <f>AVERAGE($B$631:$Z$631)</f>
        <v>283.79750000000001</v>
      </c>
    </row>
    <row r="632" spans="1:29">
      <c r="A632" s="10">
        <v>45927</v>
      </c>
      <c r="B632" s="12">
        <v>347.46</v>
      </c>
      <c r="C632" s="12">
        <v>309</v>
      </c>
      <c r="D632" s="12">
        <v>278.52999999999997</v>
      </c>
      <c r="E632" s="12">
        <v>249.25</v>
      </c>
      <c r="F632" s="12">
        <v>245.15</v>
      </c>
      <c r="G632" s="12">
        <v>234.03</v>
      </c>
      <c r="H632" s="12">
        <v>225.04</v>
      </c>
      <c r="I632" s="12">
        <v>228.41</v>
      </c>
      <c r="J632" s="12">
        <v>345.68</v>
      </c>
      <c r="K632" s="12">
        <v>409.77</v>
      </c>
      <c r="L632" s="12">
        <v>354.27</v>
      </c>
      <c r="M632" s="12">
        <v>326.25</v>
      </c>
      <c r="N632" s="12">
        <v>289.47000000000003</v>
      </c>
      <c r="O632" s="12">
        <v>352.63</v>
      </c>
      <c r="P632" s="12">
        <v>427.72</v>
      </c>
      <c r="Q632" s="12">
        <v>367.3</v>
      </c>
      <c r="R632" s="12">
        <v>399.04</v>
      </c>
      <c r="S632" s="12">
        <v>392.29</v>
      </c>
      <c r="T632" s="12">
        <v>370.33</v>
      </c>
      <c r="U632" s="12">
        <v>488.65</v>
      </c>
      <c r="V632" s="12">
        <v>392.09</v>
      </c>
      <c r="W632" s="12">
        <v>395.68</v>
      </c>
      <c r="X632" s="12">
        <v>286.10000000000002</v>
      </c>
      <c r="Y632" s="12">
        <v>257.94</v>
      </c>
      <c r="AA632" s="17">
        <f>MAX($B$632:$Z$632)</f>
        <v>488.65</v>
      </c>
      <c r="AB632" s="17">
        <f>MIN($B$632:$Z$632)</f>
        <v>225.04</v>
      </c>
      <c r="AC632" s="17">
        <f>AVERAGE($B$632:$Z$632)</f>
        <v>332.17</v>
      </c>
    </row>
    <row r="633" spans="1:29">
      <c r="A633" s="10">
        <v>45928</v>
      </c>
      <c r="B633" s="12">
        <v>333.01</v>
      </c>
      <c r="C633" s="12">
        <v>268.99</v>
      </c>
      <c r="D633" s="12">
        <v>273.14</v>
      </c>
      <c r="E633" s="12">
        <v>268.70999999999998</v>
      </c>
      <c r="F633" s="12">
        <v>232.09</v>
      </c>
      <c r="G633" s="12">
        <v>236.99</v>
      </c>
      <c r="H633" s="12">
        <v>254.19</v>
      </c>
      <c r="I633" s="12">
        <v>228.3</v>
      </c>
      <c r="J633" s="12">
        <v>288.94</v>
      </c>
      <c r="K633" s="12">
        <v>280.86</v>
      </c>
      <c r="L633" s="12">
        <v>270.47000000000003</v>
      </c>
      <c r="M633" s="12">
        <v>234.89</v>
      </c>
      <c r="N633" s="12">
        <v>269.89999999999998</v>
      </c>
      <c r="O633" s="12">
        <v>265.22000000000003</v>
      </c>
      <c r="P633" s="12">
        <v>259.70999999999998</v>
      </c>
      <c r="Q633" s="12">
        <v>273.02999999999997</v>
      </c>
      <c r="R633" s="12">
        <v>309.17</v>
      </c>
      <c r="S633" s="12">
        <v>320.31</v>
      </c>
      <c r="T633" s="12">
        <v>312.29000000000002</v>
      </c>
      <c r="U633" s="12">
        <v>363.78</v>
      </c>
      <c r="V633" s="12">
        <v>307.74</v>
      </c>
      <c r="W633" s="12">
        <v>315.83</v>
      </c>
      <c r="X633" s="12">
        <v>304.52999999999997</v>
      </c>
      <c r="Y633" s="12">
        <v>258.39</v>
      </c>
      <c r="AA633" s="17">
        <f>MAX($B$633:$Z$633)</f>
        <v>363.78</v>
      </c>
      <c r="AB633" s="17">
        <f>MIN($B$633:$Z$633)</f>
        <v>228.3</v>
      </c>
      <c r="AC633" s="17">
        <f>AVERAGE($B$633:$Z$633)</f>
        <v>280.43666666666701</v>
      </c>
    </row>
    <row r="634" spans="1:29">
      <c r="A634" s="10">
        <v>45929</v>
      </c>
      <c r="B634" s="12">
        <v>311.64</v>
      </c>
      <c r="C634" s="12">
        <v>296.98</v>
      </c>
      <c r="D634" s="12">
        <v>277.5</v>
      </c>
      <c r="E634" s="12">
        <v>261.94</v>
      </c>
      <c r="F634" s="12">
        <v>244.82</v>
      </c>
      <c r="G634" s="12">
        <v>259.31</v>
      </c>
      <c r="H634" s="12">
        <v>265.43</v>
      </c>
      <c r="I634" s="12">
        <v>274.10000000000002</v>
      </c>
      <c r="J634" s="12">
        <v>276.54000000000002</v>
      </c>
      <c r="K634" s="12">
        <v>281.35000000000002</v>
      </c>
      <c r="L634" s="12">
        <v>250.11</v>
      </c>
      <c r="M634" s="12">
        <v>276.57</v>
      </c>
      <c r="N634" s="12">
        <v>233.52</v>
      </c>
      <c r="O634" s="12">
        <v>272.45999999999998</v>
      </c>
      <c r="P634" s="12">
        <v>293.06</v>
      </c>
      <c r="Q634" s="12">
        <v>290.07</v>
      </c>
      <c r="R634" s="12">
        <v>319.99</v>
      </c>
      <c r="S634" s="12">
        <v>348.8</v>
      </c>
      <c r="T634" s="12">
        <v>380.18</v>
      </c>
      <c r="U634" s="12">
        <v>501.3</v>
      </c>
      <c r="V634" s="12">
        <v>413.07</v>
      </c>
      <c r="W634" s="12">
        <v>457.87</v>
      </c>
      <c r="X634" s="12">
        <v>377.27</v>
      </c>
      <c r="Y634" s="12">
        <v>322.67</v>
      </c>
      <c r="AA634" s="17">
        <f>MAX($B$634:$Z$634)</f>
        <v>501.3</v>
      </c>
      <c r="AB634" s="17">
        <f>MIN($B$634:$Z$634)</f>
        <v>233.52</v>
      </c>
      <c r="AC634" s="17">
        <f>AVERAGE($B$634:$Z$634)</f>
        <v>311.93958333333302</v>
      </c>
    </row>
    <row r="635" spans="1:29">
      <c r="A635" s="10">
        <v>45930</v>
      </c>
      <c r="B635" s="12">
        <v>501.25</v>
      </c>
      <c r="C635" s="12">
        <v>353.57</v>
      </c>
      <c r="D635" s="12">
        <v>342.02</v>
      </c>
      <c r="E635" s="12">
        <v>323.8</v>
      </c>
      <c r="F635" s="12">
        <v>300.18</v>
      </c>
      <c r="G635" s="12">
        <v>294.79000000000002</v>
      </c>
      <c r="H635" s="12">
        <v>318.98</v>
      </c>
      <c r="I635" s="12">
        <v>271.20999999999998</v>
      </c>
      <c r="J635" s="12">
        <v>282.37</v>
      </c>
      <c r="K635" s="12">
        <v>278.99</v>
      </c>
      <c r="L635" s="12">
        <v>270.8</v>
      </c>
      <c r="M635" s="12">
        <v>337.6</v>
      </c>
      <c r="N635" s="12">
        <v>295.85000000000002</v>
      </c>
      <c r="O635" s="12">
        <v>528.71</v>
      </c>
      <c r="P635" s="12">
        <v>455.7</v>
      </c>
      <c r="Q635" s="12">
        <v>416.37</v>
      </c>
      <c r="R635" s="12">
        <v>458.97</v>
      </c>
      <c r="S635" s="12">
        <v>412.77</v>
      </c>
      <c r="T635" s="12">
        <v>538.20000000000005</v>
      </c>
      <c r="U635" s="12">
        <v>617.24</v>
      </c>
      <c r="V635" s="12">
        <v>530.57000000000005</v>
      </c>
      <c r="W635" s="12">
        <v>464.62</v>
      </c>
      <c r="X635" s="12">
        <v>419.73</v>
      </c>
      <c r="Y635" s="12">
        <v>327.93</v>
      </c>
      <c r="AA635" s="17">
        <f>MAX($B$635:$Z$635)</f>
        <v>617.24</v>
      </c>
      <c r="AB635" s="17">
        <f>MIN($B$635:$Z$635)</f>
        <v>270.8</v>
      </c>
      <c r="AC635" s="17">
        <f>AVERAGE($B$635:$Z$635)</f>
        <v>389.259166666667</v>
      </c>
    </row>
    <row r="636" spans="1:29">
      <c r="A636" s="10">
        <v>45931</v>
      </c>
      <c r="B636" s="12">
        <v>668.95</v>
      </c>
      <c r="C636" s="12">
        <v>618.89</v>
      </c>
      <c r="D636" s="12">
        <v>437.24</v>
      </c>
      <c r="E636" s="12">
        <v>312.38</v>
      </c>
      <c r="F636" s="12">
        <v>283.3</v>
      </c>
      <c r="G636" s="12">
        <v>258.74</v>
      </c>
      <c r="H636" s="12">
        <v>244.93</v>
      </c>
      <c r="I636" s="12">
        <v>222.39</v>
      </c>
      <c r="J636" s="12">
        <v>158.24</v>
      </c>
      <c r="K636" s="12">
        <v>101.58</v>
      </c>
      <c r="L636" s="12">
        <v>157.13999999999999</v>
      </c>
      <c r="M636" s="12">
        <v>118.66</v>
      </c>
      <c r="N636" s="12">
        <v>149.04</v>
      </c>
      <c r="O636" s="12">
        <v>215.15</v>
      </c>
      <c r="P636" s="12">
        <v>170.02</v>
      </c>
      <c r="Q636" s="12">
        <v>170.35</v>
      </c>
      <c r="R636" s="12">
        <v>244.1</v>
      </c>
      <c r="S636" s="12">
        <v>365.93</v>
      </c>
      <c r="T636" s="12">
        <v>438.13</v>
      </c>
      <c r="U636" s="12">
        <v>482.58</v>
      </c>
      <c r="V636" s="12">
        <v>361.46</v>
      </c>
      <c r="W636" s="12">
        <v>623.12</v>
      </c>
      <c r="X636" s="12">
        <v>505.64</v>
      </c>
      <c r="Y636" s="12">
        <v>399.66</v>
      </c>
      <c r="AA636" s="17">
        <f>MAX($B$636:$Z$636)</f>
        <v>668.95</v>
      </c>
      <c r="AB636" s="17">
        <f>MIN($B$636:$Z$636)</f>
        <v>101.58</v>
      </c>
      <c r="AC636" s="17">
        <f>AVERAGE($B$636:$Z$636)</f>
        <v>321.15083333333303</v>
      </c>
    </row>
    <row r="637" spans="1:29">
      <c r="A637" s="10">
        <v>45932</v>
      </c>
      <c r="B637" s="12">
        <v>696.69</v>
      </c>
      <c r="C637" s="12">
        <v>288.76</v>
      </c>
      <c r="D637" s="12">
        <v>249.61</v>
      </c>
      <c r="E637" s="12">
        <v>229.44</v>
      </c>
      <c r="F637" s="12">
        <v>206.51</v>
      </c>
      <c r="G637" s="12">
        <v>175.97</v>
      </c>
      <c r="H637" s="12">
        <v>215.86</v>
      </c>
      <c r="I637" s="12">
        <v>205.58</v>
      </c>
      <c r="J637" s="12">
        <v>150.21</v>
      </c>
      <c r="K637" s="12">
        <v>169.15</v>
      </c>
      <c r="L637" s="12">
        <v>161.59</v>
      </c>
      <c r="M637" s="12">
        <v>127.88</v>
      </c>
      <c r="N637" s="12">
        <v>118.45</v>
      </c>
      <c r="O637" s="12">
        <v>87.19</v>
      </c>
      <c r="P637" s="12">
        <v>168.63</v>
      </c>
      <c r="Q637" s="12">
        <v>175.41</v>
      </c>
      <c r="R637" s="12">
        <v>221.82</v>
      </c>
      <c r="S637" s="12">
        <v>410.4</v>
      </c>
      <c r="T637" s="12">
        <v>430.52</v>
      </c>
      <c r="U637" s="12">
        <v>379.6</v>
      </c>
      <c r="V637" s="12">
        <v>361.13</v>
      </c>
      <c r="W637" s="12">
        <v>425.78</v>
      </c>
      <c r="X637" s="12">
        <v>389.66</v>
      </c>
      <c r="Y637" s="12">
        <v>404.89</v>
      </c>
      <c r="AA637" s="17">
        <f>MAX($B$637:$Z$637)</f>
        <v>696.69</v>
      </c>
      <c r="AB637" s="17">
        <f>MIN($B$637:$Z$637)</f>
        <v>87.19</v>
      </c>
      <c r="AC637" s="17">
        <f>AVERAGE($B$637:$Z$637)</f>
        <v>268.78041666666701</v>
      </c>
    </row>
    <row r="638" spans="1:29">
      <c r="A638" s="10">
        <v>45933</v>
      </c>
      <c r="B638" s="12">
        <v>487.82</v>
      </c>
      <c r="C638" s="12">
        <v>303.68</v>
      </c>
      <c r="D638" s="12">
        <v>270.33</v>
      </c>
      <c r="E638" s="12">
        <v>238.82</v>
      </c>
      <c r="F638" s="12">
        <v>239.64</v>
      </c>
      <c r="G638" s="12">
        <v>250.77</v>
      </c>
      <c r="H638" s="12">
        <v>255.1</v>
      </c>
      <c r="I638" s="12">
        <v>242.02</v>
      </c>
      <c r="J638" s="12">
        <v>156</v>
      </c>
      <c r="K638" s="12">
        <v>160.56</v>
      </c>
      <c r="L638" s="12">
        <v>165.95</v>
      </c>
      <c r="M638" s="12">
        <v>151.04</v>
      </c>
      <c r="N638" s="12">
        <v>154.91</v>
      </c>
      <c r="O638" s="12">
        <v>204.66</v>
      </c>
      <c r="P638" s="12">
        <v>233.03</v>
      </c>
      <c r="Q638" s="12">
        <v>234.28</v>
      </c>
      <c r="R638" s="12">
        <v>279.7</v>
      </c>
      <c r="S638" s="12">
        <v>322.74</v>
      </c>
      <c r="T638" s="12">
        <v>364.69</v>
      </c>
      <c r="U638" s="12">
        <v>355.78</v>
      </c>
      <c r="V638" s="12">
        <v>342.14</v>
      </c>
      <c r="W638" s="12">
        <v>389.31</v>
      </c>
      <c r="X638" s="12">
        <v>389.45</v>
      </c>
      <c r="Y638" s="12">
        <v>380.91</v>
      </c>
      <c r="AA638" s="17">
        <f>MAX($B$638:$Z$638)</f>
        <v>487.82</v>
      </c>
      <c r="AB638" s="17">
        <f>MIN($B$638:$Z$638)</f>
        <v>151.04</v>
      </c>
      <c r="AC638" s="17">
        <f>AVERAGE($B$638:$Z$638)</f>
        <v>273.88875000000002</v>
      </c>
    </row>
    <row r="639" spans="1:29">
      <c r="A639" s="10">
        <v>45934</v>
      </c>
      <c r="B639" s="12">
        <v>797.56</v>
      </c>
      <c r="C639" s="12">
        <v>590.75</v>
      </c>
      <c r="D639" s="12">
        <v>346.17</v>
      </c>
      <c r="E639" s="12">
        <v>295.42</v>
      </c>
      <c r="F639" s="12">
        <v>279.83</v>
      </c>
      <c r="G639" s="12">
        <v>277.2</v>
      </c>
      <c r="H639" s="12">
        <v>280.08999999999997</v>
      </c>
      <c r="I639" s="12">
        <v>266.05</v>
      </c>
      <c r="J639" s="12">
        <v>244.43</v>
      </c>
      <c r="K639" s="12">
        <v>167.35</v>
      </c>
      <c r="L639" s="12">
        <v>147.44999999999999</v>
      </c>
      <c r="M639" s="12">
        <v>151.52000000000001</v>
      </c>
      <c r="N639" s="12">
        <v>206.11</v>
      </c>
      <c r="O639" s="12">
        <v>271.47000000000003</v>
      </c>
      <c r="P639" s="12">
        <v>276.57</v>
      </c>
      <c r="Q639" s="12">
        <v>321.36</v>
      </c>
      <c r="R639" s="12">
        <v>476.4</v>
      </c>
      <c r="S639" s="12">
        <v>683.72</v>
      </c>
      <c r="T639" s="12">
        <v>473.23</v>
      </c>
      <c r="U639" s="12">
        <v>389.86</v>
      </c>
      <c r="V639" s="12">
        <v>337.6</v>
      </c>
      <c r="W639" s="12">
        <v>326.05</v>
      </c>
      <c r="X639" s="12">
        <v>279.79000000000002</v>
      </c>
      <c r="Y639" s="12">
        <v>265.08999999999997</v>
      </c>
      <c r="AA639" s="17">
        <f>MAX($B$639:$Z$639)</f>
        <v>797.56</v>
      </c>
      <c r="AB639" s="17">
        <f>MIN($B$639:$Z$639)</f>
        <v>147.44999999999999</v>
      </c>
      <c r="AC639" s="17">
        <f>AVERAGE($B$639:$Z$639)</f>
        <v>339.62791666666698</v>
      </c>
    </row>
    <row r="640" spans="1:29">
      <c r="A640" s="10">
        <v>45935</v>
      </c>
      <c r="B640" s="12">
        <v>385.2</v>
      </c>
      <c r="C640" s="12">
        <v>316.42</v>
      </c>
      <c r="D640" s="12">
        <v>295.31</v>
      </c>
      <c r="E640" s="12">
        <v>271.55</v>
      </c>
      <c r="F640" s="12">
        <v>265.92</v>
      </c>
      <c r="G640" s="12">
        <v>259.19</v>
      </c>
      <c r="H640" s="12">
        <v>262.33999999999997</v>
      </c>
      <c r="I640" s="12">
        <v>247.97</v>
      </c>
      <c r="J640" s="12">
        <v>151.37</v>
      </c>
      <c r="K640" s="12">
        <v>172.77</v>
      </c>
      <c r="L640" s="12">
        <v>197.03</v>
      </c>
      <c r="M640" s="12">
        <v>199.98</v>
      </c>
      <c r="N640" s="12">
        <v>209.25</v>
      </c>
      <c r="O640" s="12">
        <v>237.98</v>
      </c>
      <c r="P640" s="12">
        <v>186.64</v>
      </c>
      <c r="Q640" s="12">
        <v>168.85</v>
      </c>
      <c r="R640" s="12">
        <v>188.62</v>
      </c>
      <c r="S640" s="12">
        <v>270.51</v>
      </c>
      <c r="T640" s="12">
        <v>282.7</v>
      </c>
      <c r="U640" s="12">
        <v>286.98</v>
      </c>
      <c r="V640" s="12">
        <v>274.97000000000003</v>
      </c>
      <c r="W640" s="12">
        <v>278.31</v>
      </c>
      <c r="X640" s="12">
        <v>270.24</v>
      </c>
      <c r="Y640" s="12">
        <v>263.74</v>
      </c>
      <c r="AA640" s="17">
        <f>MAX($B$640:$Z$640)</f>
        <v>385.2</v>
      </c>
      <c r="AB640" s="17">
        <f>MIN($B$640:$Z$640)</f>
        <v>151.37</v>
      </c>
      <c r="AC640" s="17">
        <f>AVERAGE($B$640:$Z$640)</f>
        <v>247.66</v>
      </c>
    </row>
    <row r="641" spans="1:29">
      <c r="A641" s="10">
        <v>45936</v>
      </c>
      <c r="B641" s="12">
        <v>303.39999999999998</v>
      </c>
      <c r="C641" s="12">
        <v>257.36</v>
      </c>
      <c r="D641" s="12">
        <v>250.46</v>
      </c>
      <c r="E641" s="12">
        <v>224.87</v>
      </c>
      <c r="F641" s="12">
        <v>215.44</v>
      </c>
      <c r="G641" s="12">
        <v>193.69</v>
      </c>
      <c r="H641" s="12">
        <v>205.72</v>
      </c>
      <c r="I641" s="12">
        <v>147.35</v>
      </c>
      <c r="J641" s="12">
        <v>24.26</v>
      </c>
      <c r="K641" s="12">
        <v>29.92</v>
      </c>
      <c r="L641" s="12">
        <v>33.36</v>
      </c>
      <c r="M641" s="12">
        <v>12.71</v>
      </c>
      <c r="N641" s="12">
        <v>89.75</v>
      </c>
      <c r="O641" s="12">
        <v>117.58</v>
      </c>
      <c r="P641" s="12">
        <v>53.02</v>
      </c>
      <c r="Q641" s="12">
        <v>122.17</v>
      </c>
      <c r="R641" s="12">
        <v>167.66</v>
      </c>
      <c r="S641" s="12">
        <v>228.22</v>
      </c>
      <c r="T641" s="12">
        <v>214.44</v>
      </c>
      <c r="U641" s="12">
        <v>211.57</v>
      </c>
      <c r="V641" s="12">
        <v>199.1</v>
      </c>
      <c r="W641" s="12">
        <v>211.4</v>
      </c>
      <c r="X641" s="12">
        <v>205.53</v>
      </c>
      <c r="Y641" s="12">
        <v>209.59</v>
      </c>
      <c r="AA641" s="17">
        <f>MAX($B$641:$Z$641)</f>
        <v>303.39999999999998</v>
      </c>
      <c r="AB641" s="17">
        <f>MIN($B$641:$Z$641)</f>
        <v>12.71</v>
      </c>
      <c r="AC641" s="17">
        <f>AVERAGE($B$641:$Z$641)</f>
        <v>163.69041666666701</v>
      </c>
    </row>
    <row r="642" spans="1:29">
      <c r="A642" s="10">
        <v>45937</v>
      </c>
      <c r="B642" s="12">
        <v>308.39999999999998</v>
      </c>
      <c r="C642" s="12">
        <v>255.73</v>
      </c>
      <c r="D642" s="12">
        <v>240.54</v>
      </c>
      <c r="E642" s="12">
        <v>222.01</v>
      </c>
      <c r="F642" s="12">
        <v>241.16</v>
      </c>
      <c r="G642" s="12">
        <v>235.36</v>
      </c>
      <c r="H642" s="12">
        <v>241.71</v>
      </c>
      <c r="I642" s="12">
        <v>229.42</v>
      </c>
      <c r="J642" s="12">
        <v>252.7</v>
      </c>
      <c r="K642" s="12">
        <v>240.87</v>
      </c>
      <c r="L642" s="12">
        <v>269.98</v>
      </c>
      <c r="M642" s="12">
        <v>254.45</v>
      </c>
      <c r="N642" s="12">
        <v>263.95</v>
      </c>
      <c r="O642" s="12">
        <v>360.56</v>
      </c>
      <c r="P642" s="12">
        <v>288.31</v>
      </c>
      <c r="Q642" s="12">
        <v>298.14</v>
      </c>
      <c r="R642" s="12">
        <v>416.55</v>
      </c>
      <c r="S642" s="12">
        <v>441.8</v>
      </c>
      <c r="T642" s="12">
        <v>589.61</v>
      </c>
      <c r="U642" s="12">
        <v>741.85</v>
      </c>
      <c r="V642" s="12">
        <v>538.46</v>
      </c>
      <c r="W642" s="12">
        <v>543.69000000000005</v>
      </c>
      <c r="X642" s="12">
        <v>332.93</v>
      </c>
      <c r="Y642" s="12">
        <v>330.13</v>
      </c>
      <c r="AA642" s="17">
        <f>MAX($B$642:$Z$642)</f>
        <v>741.85</v>
      </c>
      <c r="AB642" s="17">
        <f>MIN($B$642:$Z$642)</f>
        <v>222.01</v>
      </c>
      <c r="AC642" s="17">
        <f>AVERAGE($B$642:$Z$642)</f>
        <v>339.09625</v>
      </c>
    </row>
    <row r="643" spans="1:29">
      <c r="A643" s="10">
        <v>45938</v>
      </c>
      <c r="B643" s="12">
        <v>860.67</v>
      </c>
      <c r="C643" s="12">
        <v>688.03</v>
      </c>
      <c r="D643" s="12">
        <v>435.3</v>
      </c>
      <c r="E643" s="12">
        <v>365.08</v>
      </c>
      <c r="F643" s="12">
        <v>348.31</v>
      </c>
      <c r="G643" s="12">
        <v>321.89</v>
      </c>
      <c r="H643" s="12">
        <v>324.08</v>
      </c>
      <c r="I643" s="12">
        <v>302.23</v>
      </c>
      <c r="J643" s="12">
        <v>295.92</v>
      </c>
      <c r="K643" s="12">
        <v>290.02</v>
      </c>
      <c r="L643" s="12">
        <v>278.85000000000002</v>
      </c>
      <c r="M643" s="12">
        <v>302.10000000000002</v>
      </c>
      <c r="N643" s="12">
        <v>264</v>
      </c>
      <c r="O643" s="12">
        <v>299.63</v>
      </c>
      <c r="P643" s="12">
        <v>324.47000000000003</v>
      </c>
      <c r="Q643" s="12">
        <v>352.72</v>
      </c>
      <c r="R643" s="12">
        <v>448.23</v>
      </c>
      <c r="S643" s="12">
        <v>451.5</v>
      </c>
      <c r="T643" s="12">
        <v>800.87</v>
      </c>
      <c r="U643" s="12">
        <v>940.68</v>
      </c>
      <c r="V643" s="12">
        <v>765.44</v>
      </c>
      <c r="W643" s="12">
        <v>882.85</v>
      </c>
      <c r="X643" s="12">
        <v>467.6</v>
      </c>
      <c r="Y643" s="12">
        <v>337.71</v>
      </c>
      <c r="AA643" s="17">
        <f>MAX($B$643:$Z$643)</f>
        <v>940.68</v>
      </c>
      <c r="AB643" s="17">
        <f>MIN($B$643:$Z$643)</f>
        <v>264</v>
      </c>
      <c r="AC643" s="17">
        <f>AVERAGE($B$643:$Z$643)</f>
        <v>464.50749999999999</v>
      </c>
    </row>
    <row r="644" spans="1:29">
      <c r="A644" s="10">
        <v>45939</v>
      </c>
      <c r="B644" s="12">
        <v>384.58</v>
      </c>
      <c r="C644" s="12">
        <v>391.11</v>
      </c>
      <c r="D644" s="12">
        <v>350.17</v>
      </c>
      <c r="E644" s="12">
        <v>311.73</v>
      </c>
      <c r="F644" s="12">
        <v>324.8</v>
      </c>
      <c r="G644" s="12">
        <v>308.48</v>
      </c>
      <c r="H644" s="12">
        <v>328.62</v>
      </c>
      <c r="I644" s="12">
        <v>326.48</v>
      </c>
      <c r="J644" s="12">
        <v>308.39</v>
      </c>
      <c r="K644" s="12">
        <v>273.95</v>
      </c>
      <c r="L644" s="12">
        <v>289.33999999999997</v>
      </c>
      <c r="M644" s="12">
        <v>322.24</v>
      </c>
      <c r="N644" s="12">
        <v>293.81</v>
      </c>
      <c r="O644" s="12">
        <v>340.17</v>
      </c>
      <c r="P644" s="12">
        <v>310.93</v>
      </c>
      <c r="Q644" s="12">
        <v>326.33999999999997</v>
      </c>
      <c r="R644" s="12">
        <v>350.48</v>
      </c>
      <c r="S644" s="12">
        <v>507.04</v>
      </c>
      <c r="T644" s="12">
        <v>647.1</v>
      </c>
      <c r="U644" s="12">
        <v>514.21</v>
      </c>
      <c r="V644" s="12">
        <v>415.23</v>
      </c>
      <c r="W644" s="12">
        <v>416.49</v>
      </c>
      <c r="X644" s="12">
        <v>395.88</v>
      </c>
      <c r="Y644" s="12">
        <v>331.25</v>
      </c>
      <c r="AA644" s="17">
        <f>MAX($B$644:$Z$644)</f>
        <v>647.1</v>
      </c>
      <c r="AB644" s="17">
        <f>MIN($B$644:$Z$644)</f>
        <v>273.95</v>
      </c>
      <c r="AC644" s="17">
        <f>AVERAGE($B$644:$Z$644)</f>
        <v>365.36750000000001</v>
      </c>
    </row>
    <row r="645" spans="1:29">
      <c r="A645" s="10">
        <v>45940</v>
      </c>
      <c r="B645" s="12">
        <v>587.99</v>
      </c>
      <c r="C645" s="12">
        <v>843.07</v>
      </c>
      <c r="D645" s="12">
        <v>428.01</v>
      </c>
      <c r="E645" s="12">
        <v>408.21</v>
      </c>
      <c r="F645" s="12">
        <v>320.04000000000002</v>
      </c>
      <c r="G645" s="12">
        <v>309.39999999999998</v>
      </c>
      <c r="H645" s="12">
        <v>339.02</v>
      </c>
      <c r="I645" s="12">
        <v>331.62</v>
      </c>
      <c r="J645" s="12">
        <v>321.88</v>
      </c>
      <c r="K645" s="12">
        <v>313.77999999999997</v>
      </c>
      <c r="L645" s="12">
        <v>344.46</v>
      </c>
      <c r="M645" s="12">
        <v>587.21</v>
      </c>
      <c r="N645" s="12">
        <v>483.16</v>
      </c>
      <c r="O645" s="12">
        <v>473.6</v>
      </c>
      <c r="P645" s="12">
        <v>406.72</v>
      </c>
      <c r="Q645" s="12">
        <v>436.38</v>
      </c>
      <c r="R645" s="12">
        <v>422.73</v>
      </c>
      <c r="S645" s="12">
        <v>525.67999999999995</v>
      </c>
      <c r="T645" s="12">
        <v>623.46</v>
      </c>
      <c r="U645" s="12">
        <v>626.01</v>
      </c>
      <c r="V645" s="12">
        <v>542.27</v>
      </c>
      <c r="W645" s="12">
        <v>484.97</v>
      </c>
      <c r="X645" s="12">
        <v>499.62</v>
      </c>
      <c r="Y645" s="12">
        <v>350.16</v>
      </c>
      <c r="AA645" s="17">
        <f>MAX($B$645:$Z$645)</f>
        <v>843.07</v>
      </c>
      <c r="AB645" s="17">
        <f>MIN($B$645:$Z$645)</f>
        <v>309.39999999999998</v>
      </c>
      <c r="AC645" s="17">
        <f>AVERAGE($B$645:$Z$645)</f>
        <v>458.72708333333298</v>
      </c>
    </row>
    <row r="646" spans="1:29">
      <c r="A646" s="10">
        <v>45941</v>
      </c>
      <c r="B646" s="12">
        <v>473.57</v>
      </c>
      <c r="C646" s="12">
        <v>446.93</v>
      </c>
      <c r="D646" s="12">
        <v>367.76</v>
      </c>
      <c r="E646" s="12">
        <v>322.26</v>
      </c>
      <c r="F646" s="12">
        <v>330.84</v>
      </c>
      <c r="G646" s="12">
        <v>316.44</v>
      </c>
      <c r="H646" s="12">
        <v>333.61</v>
      </c>
      <c r="I646" s="12">
        <v>313.64</v>
      </c>
      <c r="J646" s="12">
        <v>320.87</v>
      </c>
      <c r="K646" s="12">
        <v>308.91000000000003</v>
      </c>
      <c r="L646" s="12">
        <v>326.41000000000003</v>
      </c>
      <c r="M646" s="12">
        <v>341.24</v>
      </c>
      <c r="N646" s="12">
        <v>363.68</v>
      </c>
      <c r="O646" s="12">
        <v>339.08</v>
      </c>
      <c r="P646" s="12">
        <v>308.54000000000002</v>
      </c>
      <c r="Q646" s="12">
        <v>330.27</v>
      </c>
      <c r="R646" s="12">
        <v>378.34</v>
      </c>
      <c r="S646" s="12">
        <v>467.82</v>
      </c>
      <c r="T646" s="12">
        <v>456.69</v>
      </c>
      <c r="U646" s="12">
        <v>469.72</v>
      </c>
      <c r="V646" s="12">
        <v>493.17</v>
      </c>
      <c r="W646" s="12">
        <v>424.4</v>
      </c>
      <c r="X646" s="12">
        <v>419.23</v>
      </c>
      <c r="Y646" s="12">
        <v>387.66</v>
      </c>
      <c r="AA646" s="17">
        <f>MAX($B$646:$Z$646)</f>
        <v>493.17</v>
      </c>
      <c r="AB646" s="17">
        <f>MIN($B$646:$Z$646)</f>
        <v>308.54000000000002</v>
      </c>
      <c r="AC646" s="17">
        <f>AVERAGE($B$646:$Z$646)</f>
        <v>376.71166666666699</v>
      </c>
    </row>
    <row r="647" spans="1:29">
      <c r="A647" s="10">
        <v>45942</v>
      </c>
      <c r="B647" s="12">
        <v>717.11</v>
      </c>
      <c r="C647" s="12">
        <v>543.17999999999995</v>
      </c>
      <c r="D647" s="12">
        <v>524.85</v>
      </c>
      <c r="E647" s="12">
        <v>459.58</v>
      </c>
      <c r="F647" s="12">
        <v>370.19</v>
      </c>
      <c r="G647" s="12">
        <v>328.87</v>
      </c>
      <c r="H647" s="12">
        <v>331.87</v>
      </c>
      <c r="I647" s="12">
        <v>323.89999999999998</v>
      </c>
      <c r="J647" s="12">
        <v>313.97000000000003</v>
      </c>
      <c r="K647" s="12">
        <v>311.70999999999998</v>
      </c>
      <c r="L647" s="12">
        <v>482.9</v>
      </c>
      <c r="M647" s="12">
        <v>993.79</v>
      </c>
      <c r="N647" s="12">
        <v>689.75</v>
      </c>
      <c r="O647" s="12">
        <v>873.57</v>
      </c>
      <c r="P647" s="12">
        <v>805.87</v>
      </c>
      <c r="Q647" s="12">
        <v>909.77</v>
      </c>
      <c r="R647" s="12">
        <v>911.96</v>
      </c>
      <c r="S647" s="12">
        <v>945.18</v>
      </c>
      <c r="T647" s="12">
        <v>670.44</v>
      </c>
      <c r="U647" s="12">
        <v>425.9</v>
      </c>
      <c r="V647" s="12">
        <v>369.72</v>
      </c>
      <c r="W647" s="12">
        <v>429.39</v>
      </c>
      <c r="X647" s="12">
        <v>425.21</v>
      </c>
      <c r="Y647" s="12">
        <v>325.75</v>
      </c>
      <c r="AA647" s="17">
        <f>MAX($B$647:$Z$647)</f>
        <v>993.79</v>
      </c>
      <c r="AB647" s="17">
        <f>MIN($B$647:$Z$647)</f>
        <v>311.70999999999998</v>
      </c>
      <c r="AC647" s="17">
        <f>AVERAGE($B$647:$Z$647)</f>
        <v>561.85125000000005</v>
      </c>
    </row>
    <row r="648" spans="1:29">
      <c r="A648" s="10">
        <v>45943</v>
      </c>
      <c r="B648" s="12">
        <v>433.33</v>
      </c>
      <c r="C648" s="12">
        <v>418.94</v>
      </c>
      <c r="D648" s="12">
        <v>407.08</v>
      </c>
      <c r="E648" s="12">
        <v>390.44</v>
      </c>
      <c r="F648" s="12">
        <v>390.93</v>
      </c>
      <c r="G648" s="12">
        <v>395.3</v>
      </c>
      <c r="H648" s="12">
        <v>431.74</v>
      </c>
      <c r="I648" s="12">
        <v>424.19</v>
      </c>
      <c r="J648" s="12">
        <v>567.04999999999995</v>
      </c>
      <c r="K648" s="12">
        <v>588.88</v>
      </c>
      <c r="L648" s="12">
        <v>944.98</v>
      </c>
      <c r="M648" s="12">
        <v>832.12</v>
      </c>
      <c r="N648" s="12">
        <v>702.48</v>
      </c>
      <c r="O648" s="12">
        <v>783.81</v>
      </c>
      <c r="P648" s="12">
        <v>730.03</v>
      </c>
      <c r="Q648" s="12">
        <v>692.79</v>
      </c>
      <c r="R648" s="12">
        <v>833.62</v>
      </c>
      <c r="S648" s="12">
        <v>695.52</v>
      </c>
      <c r="T648" s="12">
        <v>702.8</v>
      </c>
      <c r="U648" s="12">
        <v>617.47</v>
      </c>
      <c r="V648" s="12">
        <v>561.11</v>
      </c>
      <c r="W648" s="12">
        <v>502.98</v>
      </c>
      <c r="X648" s="12">
        <v>420.76</v>
      </c>
      <c r="Y648" s="12">
        <v>347.98</v>
      </c>
      <c r="AA648" s="17">
        <f>MAX($B$648:$Z$648)</f>
        <v>944.98</v>
      </c>
      <c r="AB648" s="17">
        <f>MIN($B$648:$Z$648)</f>
        <v>347.98</v>
      </c>
      <c r="AC648" s="17">
        <f>AVERAGE($B$648:$Z$648)</f>
        <v>575.68041666666704</v>
      </c>
    </row>
    <row r="649" spans="1:29">
      <c r="A649" s="10">
        <v>45944</v>
      </c>
      <c r="B649" s="12">
        <v>473.01</v>
      </c>
      <c r="C649" s="12">
        <v>612.03</v>
      </c>
      <c r="D649" s="12">
        <v>417.76</v>
      </c>
      <c r="E649" s="12">
        <v>446.4</v>
      </c>
      <c r="F649" s="12">
        <v>405.55</v>
      </c>
      <c r="G649" s="12">
        <v>374.32</v>
      </c>
      <c r="H649" s="12">
        <v>373.29</v>
      </c>
      <c r="I649" s="12">
        <v>400.03</v>
      </c>
      <c r="J649" s="12">
        <v>479.07</v>
      </c>
      <c r="K649" s="12">
        <v>394.38</v>
      </c>
      <c r="L649" s="12">
        <v>336.96</v>
      </c>
      <c r="M649" s="12">
        <v>347.31</v>
      </c>
      <c r="N649" s="12">
        <v>330.36</v>
      </c>
      <c r="O649" s="12">
        <v>350.6</v>
      </c>
      <c r="P649" s="12">
        <v>325.14999999999998</v>
      </c>
      <c r="Q649" s="12">
        <v>320.45999999999998</v>
      </c>
      <c r="R649" s="12">
        <v>345.33</v>
      </c>
      <c r="S649" s="12">
        <v>440.77</v>
      </c>
      <c r="T649" s="12">
        <v>568.30999999999995</v>
      </c>
      <c r="U649" s="12">
        <v>525.09</v>
      </c>
      <c r="V649" s="12">
        <v>458.32</v>
      </c>
      <c r="W649" s="12">
        <v>423.85</v>
      </c>
      <c r="X649" s="12">
        <v>387.1</v>
      </c>
      <c r="Y649" s="12">
        <v>339.88</v>
      </c>
      <c r="AA649" s="17">
        <f>MAX($B$649:$Z$649)</f>
        <v>612.03</v>
      </c>
      <c r="AB649" s="17">
        <f>MIN($B$649:$Z$649)</f>
        <v>320.45999999999998</v>
      </c>
      <c r="AC649" s="17">
        <f>AVERAGE($B$649:$Z$649)</f>
        <v>411.47208333333299</v>
      </c>
    </row>
    <row r="650" spans="1:29">
      <c r="A650" s="10">
        <v>45945</v>
      </c>
      <c r="B650" s="12">
        <v>447.78</v>
      </c>
      <c r="C650" s="12">
        <v>447.76</v>
      </c>
      <c r="D650" s="12">
        <v>469.66</v>
      </c>
      <c r="E650" s="12">
        <v>442.84</v>
      </c>
      <c r="F650" s="12">
        <v>398.1</v>
      </c>
      <c r="G650" s="12">
        <v>477.1</v>
      </c>
      <c r="H650" s="12">
        <v>439.99</v>
      </c>
      <c r="I650" s="12">
        <v>397.17</v>
      </c>
      <c r="J650" s="12">
        <v>444.2</v>
      </c>
      <c r="K650" s="12">
        <v>417.13</v>
      </c>
      <c r="L650" s="12">
        <v>361.49</v>
      </c>
      <c r="M650" s="12">
        <v>414.39</v>
      </c>
      <c r="N650" s="12">
        <v>374.52</v>
      </c>
      <c r="O650" s="12">
        <v>441.44</v>
      </c>
      <c r="P650" s="12">
        <v>367.1</v>
      </c>
      <c r="Q650" s="12">
        <v>326.23</v>
      </c>
      <c r="R650" s="12">
        <v>374.99</v>
      </c>
      <c r="S650" s="12">
        <v>468.37</v>
      </c>
      <c r="T650" s="12">
        <v>574.86</v>
      </c>
      <c r="U650" s="12">
        <v>572.26</v>
      </c>
      <c r="V650" s="12">
        <v>579.37</v>
      </c>
      <c r="W650" s="12">
        <v>570.24</v>
      </c>
      <c r="X650" s="12">
        <v>487.98</v>
      </c>
      <c r="Y650" s="12">
        <v>441.14</v>
      </c>
      <c r="AA650" s="17">
        <f>MAX($B$650:$Z$650)</f>
        <v>579.37</v>
      </c>
      <c r="AB650" s="17">
        <f>MIN($B$650:$Z$650)</f>
        <v>326.23</v>
      </c>
      <c r="AC650" s="17">
        <f>AVERAGE($B$650:$Z$650)</f>
        <v>447.33791666666701</v>
      </c>
    </row>
    <row r="651" spans="1:29">
      <c r="A651" s="10">
        <v>45946</v>
      </c>
      <c r="B651" s="12">
        <v>493.71</v>
      </c>
      <c r="C651" s="12">
        <v>485.64</v>
      </c>
      <c r="D651" s="12">
        <v>482.7</v>
      </c>
      <c r="E651" s="12">
        <v>456.46</v>
      </c>
      <c r="F651" s="12">
        <v>443.74</v>
      </c>
      <c r="G651" s="12">
        <v>434.26</v>
      </c>
      <c r="H651" s="12">
        <v>454.43</v>
      </c>
      <c r="I651" s="12">
        <v>407.69</v>
      </c>
      <c r="J651" s="12">
        <v>445.78</v>
      </c>
      <c r="K651" s="12">
        <v>397.98</v>
      </c>
      <c r="L651" s="12">
        <v>251.75</v>
      </c>
      <c r="M651" s="12">
        <v>341.91</v>
      </c>
      <c r="N651" s="12">
        <v>319.94</v>
      </c>
      <c r="O651" s="12">
        <v>362.65</v>
      </c>
      <c r="P651" s="12">
        <v>357.59</v>
      </c>
      <c r="Q651" s="12">
        <v>362.51</v>
      </c>
      <c r="R651" s="12">
        <v>437.7</v>
      </c>
      <c r="S651" s="12">
        <v>441.88</v>
      </c>
      <c r="T651" s="12">
        <v>486.1</v>
      </c>
      <c r="U651" s="12">
        <v>473.49</v>
      </c>
      <c r="V651" s="12">
        <v>505.07</v>
      </c>
      <c r="W651" s="12">
        <v>532.63</v>
      </c>
      <c r="X651" s="12">
        <v>494.37</v>
      </c>
      <c r="Y651" s="12">
        <v>473</v>
      </c>
      <c r="AA651" s="17">
        <f>MAX($B$651:$Z$651)</f>
        <v>532.63</v>
      </c>
      <c r="AB651" s="17">
        <f>MIN($B$651:$Z$651)</f>
        <v>251.75</v>
      </c>
      <c r="AC651" s="17">
        <f>AVERAGE($B$651:$Z$651)</f>
        <v>430.95749999999998</v>
      </c>
    </row>
    <row r="652" spans="1:29">
      <c r="A652" s="10">
        <v>45947</v>
      </c>
      <c r="B652" s="12">
        <v>758.08</v>
      </c>
      <c r="C652" s="12">
        <v>519.87</v>
      </c>
      <c r="D652" s="12">
        <v>470.34</v>
      </c>
      <c r="E652" s="12">
        <v>405.07</v>
      </c>
      <c r="F652" s="12">
        <v>385.48</v>
      </c>
      <c r="G652" s="12">
        <v>347.24</v>
      </c>
      <c r="H652" s="12">
        <v>380.59</v>
      </c>
      <c r="I652" s="12">
        <v>394.35</v>
      </c>
      <c r="J652" s="12">
        <v>414.53</v>
      </c>
      <c r="K652" s="12">
        <v>372</v>
      </c>
      <c r="L652" s="12">
        <v>397.35</v>
      </c>
      <c r="M652" s="12">
        <v>416.94</v>
      </c>
      <c r="N652" s="12">
        <v>355.53</v>
      </c>
      <c r="O652" s="12">
        <v>408.09</v>
      </c>
      <c r="P652" s="12">
        <v>405.88</v>
      </c>
      <c r="Q652" s="12">
        <v>405.26</v>
      </c>
      <c r="R652" s="12">
        <v>442.27</v>
      </c>
      <c r="S652" s="12">
        <v>485.47</v>
      </c>
      <c r="T652" s="12">
        <v>589.45000000000005</v>
      </c>
      <c r="U652" s="12">
        <v>605.95000000000005</v>
      </c>
      <c r="V652" s="12">
        <v>525.86</v>
      </c>
      <c r="W652" s="12">
        <v>582.30999999999995</v>
      </c>
      <c r="X652" s="12">
        <v>814.31</v>
      </c>
      <c r="Y652" s="12">
        <v>527.5</v>
      </c>
      <c r="AA652" s="17">
        <f>MAX($B$652:$Z$652)</f>
        <v>814.31</v>
      </c>
      <c r="AB652" s="17">
        <f>MIN($B$652:$Z$652)</f>
        <v>347.24</v>
      </c>
      <c r="AC652" s="17">
        <f>AVERAGE($B$652:$Z$652)</f>
        <v>475.40499999999997</v>
      </c>
    </row>
    <row r="653" spans="1:29">
      <c r="A653" s="10">
        <v>45948</v>
      </c>
      <c r="B653" s="12">
        <v>909.36</v>
      </c>
      <c r="C653" s="12">
        <v>848.92</v>
      </c>
      <c r="D653" s="12">
        <v>769.12</v>
      </c>
      <c r="E653" s="12">
        <v>783.94</v>
      </c>
      <c r="F653" s="12">
        <v>505.76</v>
      </c>
      <c r="G653" s="12">
        <v>491.1</v>
      </c>
      <c r="H653" s="12">
        <v>479.99</v>
      </c>
      <c r="I653" s="12">
        <v>461.43</v>
      </c>
      <c r="J653" s="12">
        <v>457.63</v>
      </c>
      <c r="K653" s="12">
        <v>503.64</v>
      </c>
      <c r="L653" s="12">
        <v>442.32</v>
      </c>
      <c r="M653" s="12">
        <v>524.79999999999995</v>
      </c>
      <c r="N653" s="12">
        <v>452.7</v>
      </c>
      <c r="O653" s="12">
        <v>503.65</v>
      </c>
      <c r="P653" s="12">
        <v>457.31</v>
      </c>
      <c r="Q653" s="12">
        <v>448.8</v>
      </c>
      <c r="R653" s="12">
        <v>501.27</v>
      </c>
      <c r="S653" s="12">
        <v>537.38</v>
      </c>
      <c r="T653" s="12">
        <v>518.14</v>
      </c>
      <c r="U653" s="12">
        <v>594.41999999999996</v>
      </c>
      <c r="V653" s="12">
        <v>592.75</v>
      </c>
      <c r="W653" s="12">
        <v>570.75</v>
      </c>
      <c r="X653" s="12">
        <v>596.87</v>
      </c>
      <c r="Y653" s="12">
        <v>504.63</v>
      </c>
      <c r="AA653" s="17">
        <f>MAX($B$653:$Z$653)</f>
        <v>909.36</v>
      </c>
      <c r="AB653" s="17">
        <f>MIN($B$653:$Z$653)</f>
        <v>442.32</v>
      </c>
      <c r="AC653" s="17">
        <f>AVERAGE($B$653:$Z$653)</f>
        <v>560.69500000000005</v>
      </c>
    </row>
    <row r="654" spans="1:29">
      <c r="A654" s="10">
        <v>45949</v>
      </c>
      <c r="B654" s="12">
        <v>755.92</v>
      </c>
      <c r="C654" s="12">
        <v>485.24</v>
      </c>
      <c r="D654" s="12">
        <v>507.08</v>
      </c>
      <c r="E654" s="12">
        <v>459.97</v>
      </c>
      <c r="F654" s="12">
        <v>433.18</v>
      </c>
      <c r="G654" s="12">
        <v>455.41</v>
      </c>
      <c r="H654" s="12">
        <v>514.25</v>
      </c>
      <c r="I654" s="12">
        <v>423.51</v>
      </c>
      <c r="J654" s="12">
        <v>271.7</v>
      </c>
      <c r="K654" s="12">
        <v>323.70999999999998</v>
      </c>
      <c r="L654" s="12">
        <v>279.64999999999998</v>
      </c>
      <c r="M654" s="12">
        <v>372.41</v>
      </c>
      <c r="N654" s="12">
        <v>383.8</v>
      </c>
      <c r="O654" s="12">
        <v>444.83</v>
      </c>
      <c r="P654" s="12">
        <v>455.85</v>
      </c>
      <c r="Q654" s="12">
        <v>516.66999999999996</v>
      </c>
      <c r="R654" s="12">
        <v>564.38</v>
      </c>
      <c r="S654" s="12">
        <v>634.38</v>
      </c>
      <c r="T654" s="12">
        <v>654.91</v>
      </c>
      <c r="U654" s="12">
        <v>503.74</v>
      </c>
      <c r="V654" s="12">
        <v>480.2</v>
      </c>
      <c r="W654" s="12">
        <v>467.41</v>
      </c>
      <c r="X654" s="12">
        <v>381.6</v>
      </c>
      <c r="Y654" s="12">
        <v>312.63</v>
      </c>
      <c r="AA654" s="17">
        <f>MAX($B$654:$Z$654)</f>
        <v>755.92</v>
      </c>
      <c r="AB654" s="17">
        <f>MIN($B$654:$Z$654)</f>
        <v>271.7</v>
      </c>
      <c r="AC654" s="17">
        <f>AVERAGE($B$654:$Z$654)</f>
        <v>461.76791666666702</v>
      </c>
    </row>
    <row r="655" spans="1:29">
      <c r="A655" s="10">
        <v>45950</v>
      </c>
      <c r="B655" s="12">
        <v>298.10000000000002</v>
      </c>
      <c r="C655" s="12">
        <v>293.72000000000003</v>
      </c>
      <c r="D655" s="12">
        <v>275.72000000000003</v>
      </c>
      <c r="E655" s="12">
        <v>265.77</v>
      </c>
      <c r="F655" s="12">
        <v>263.08</v>
      </c>
      <c r="G655" s="12">
        <v>257.77</v>
      </c>
      <c r="H655" s="12">
        <v>251.98</v>
      </c>
      <c r="I655" s="12">
        <v>264.16000000000003</v>
      </c>
      <c r="J655" s="12">
        <v>260.61</v>
      </c>
      <c r="K655" s="12">
        <v>235.82</v>
      </c>
      <c r="L655" s="12">
        <v>415.52</v>
      </c>
      <c r="M655" s="12">
        <v>380.95</v>
      </c>
      <c r="N655" s="12">
        <v>243.96</v>
      </c>
      <c r="O655" s="12">
        <v>315.95999999999998</v>
      </c>
      <c r="P655" s="12">
        <v>296.13</v>
      </c>
      <c r="Q655" s="12">
        <v>284.33</v>
      </c>
      <c r="R655" s="12">
        <v>337.78</v>
      </c>
      <c r="S655" s="12">
        <v>416.02</v>
      </c>
      <c r="T655" s="12">
        <v>376.21</v>
      </c>
      <c r="U655" s="12">
        <v>362.09</v>
      </c>
      <c r="V655" s="12">
        <v>302.54000000000002</v>
      </c>
      <c r="W655" s="12">
        <v>320.47000000000003</v>
      </c>
      <c r="X655" s="12">
        <v>278.12</v>
      </c>
      <c r="Y655" s="12">
        <v>260.33</v>
      </c>
      <c r="AA655" s="17">
        <f>MAX($B$655:$Z$655)</f>
        <v>416.02</v>
      </c>
      <c r="AB655" s="17">
        <f>MIN($B$655:$Z$655)</f>
        <v>235.82</v>
      </c>
      <c r="AC655" s="17">
        <f>AVERAGE($B$655:$Z$655)</f>
        <v>302.38083333333299</v>
      </c>
    </row>
    <row r="656" spans="1:29">
      <c r="A656" s="10">
        <v>45951</v>
      </c>
      <c r="B656" s="12">
        <v>296.86</v>
      </c>
      <c r="C656" s="12">
        <v>263.01</v>
      </c>
      <c r="D656" s="12">
        <v>246.77</v>
      </c>
      <c r="E656" s="12">
        <v>244.13</v>
      </c>
      <c r="F656" s="12">
        <v>211.23</v>
      </c>
      <c r="G656" s="12">
        <v>238.54</v>
      </c>
      <c r="H656" s="12">
        <v>266.58999999999997</v>
      </c>
      <c r="I656" s="12">
        <v>288.8</v>
      </c>
      <c r="J656" s="12">
        <v>381.41</v>
      </c>
      <c r="K656" s="12">
        <v>369.15</v>
      </c>
      <c r="L656" s="12">
        <v>220.64</v>
      </c>
      <c r="M656" s="12">
        <v>169.75</v>
      </c>
      <c r="N656" s="12">
        <v>138.81</v>
      </c>
      <c r="O656" s="12">
        <v>202.28</v>
      </c>
      <c r="P656" s="12">
        <v>233.68</v>
      </c>
      <c r="Q656" s="12">
        <v>244.56</v>
      </c>
      <c r="R656" s="12">
        <v>272.94</v>
      </c>
      <c r="S656" s="12">
        <v>297.88</v>
      </c>
      <c r="T656" s="12">
        <v>479.19</v>
      </c>
      <c r="U656" s="12">
        <v>360.2</v>
      </c>
      <c r="V656" s="12">
        <v>304.16000000000003</v>
      </c>
      <c r="W656" s="12">
        <v>274.35000000000002</v>
      </c>
      <c r="X656" s="12">
        <v>190.25</v>
      </c>
      <c r="Y656" s="12">
        <v>35.69</v>
      </c>
      <c r="AA656" s="17">
        <f>MAX($B$656:$Z$656)</f>
        <v>479.19</v>
      </c>
      <c r="AB656" s="17">
        <f>MIN($B$656:$Z$656)</f>
        <v>35.69</v>
      </c>
      <c r="AC656" s="17">
        <f>AVERAGE($B$656:$Z$656)</f>
        <v>259.61958333333303</v>
      </c>
    </row>
    <row r="657" spans="1:29">
      <c r="A657" s="10">
        <v>45952</v>
      </c>
      <c r="B657" s="12">
        <v>178.35</v>
      </c>
      <c r="C657" s="12">
        <v>205.82</v>
      </c>
      <c r="D657" s="12">
        <v>168.01</v>
      </c>
      <c r="E657" s="12">
        <v>139.66</v>
      </c>
      <c r="F657" s="12">
        <v>19.579999999999998</v>
      </c>
      <c r="G657" s="12">
        <v>58.24</v>
      </c>
      <c r="H657" s="12">
        <v>152.78</v>
      </c>
      <c r="I657" s="12">
        <v>224.07</v>
      </c>
      <c r="J657" s="12">
        <v>255.07</v>
      </c>
      <c r="K657" s="12">
        <v>253.97</v>
      </c>
      <c r="L657" s="12">
        <v>247.78</v>
      </c>
      <c r="M657" s="12">
        <v>201.03</v>
      </c>
      <c r="N657" s="12">
        <v>132.97999999999999</v>
      </c>
      <c r="O657" s="12">
        <v>171.43</v>
      </c>
      <c r="P657" s="12">
        <v>184.29</v>
      </c>
      <c r="Q657" s="12">
        <v>189.41</v>
      </c>
      <c r="R657" s="12">
        <v>228.58</v>
      </c>
      <c r="S657" s="12">
        <v>290.58</v>
      </c>
      <c r="T657" s="12">
        <v>293.94</v>
      </c>
      <c r="U657" s="12">
        <v>265.83999999999997</v>
      </c>
      <c r="V657" s="12">
        <v>266</v>
      </c>
      <c r="W657" s="12">
        <v>259.32</v>
      </c>
      <c r="X657" s="12">
        <v>232.55</v>
      </c>
      <c r="Y657" s="12">
        <v>190.96</v>
      </c>
      <c r="AA657" s="17">
        <f>MAX($B$657:$Z$657)</f>
        <v>293.94</v>
      </c>
      <c r="AB657" s="17">
        <f>MIN($B$657:$Z$657)</f>
        <v>19.579999999999998</v>
      </c>
      <c r="AC657" s="17">
        <f>AVERAGE($B$657:$Z$657)</f>
        <v>200.42666666666699</v>
      </c>
    </row>
    <row r="658" spans="1:29">
      <c r="A658" s="10">
        <v>45953</v>
      </c>
      <c r="B658" s="12">
        <v>224.12</v>
      </c>
      <c r="C658" s="12">
        <v>136.36000000000001</v>
      </c>
      <c r="D658" s="12">
        <v>118.37</v>
      </c>
      <c r="E658" s="12">
        <v>49.41</v>
      </c>
      <c r="F658" s="12">
        <v>18.18</v>
      </c>
      <c r="G658" s="12">
        <v>78.73</v>
      </c>
      <c r="H658" s="12">
        <v>185.57</v>
      </c>
      <c r="I658" s="12">
        <v>267.60000000000002</v>
      </c>
      <c r="J658" s="12">
        <v>295.48</v>
      </c>
      <c r="K658" s="12">
        <v>168.63</v>
      </c>
      <c r="L658" s="12">
        <v>191.83</v>
      </c>
      <c r="M658" s="12">
        <v>246.68</v>
      </c>
      <c r="N658" s="12">
        <v>38.33</v>
      </c>
      <c r="O658" s="12">
        <v>103.03</v>
      </c>
      <c r="P658" s="12">
        <v>110.26</v>
      </c>
      <c r="Q658" s="12">
        <v>231.85</v>
      </c>
      <c r="R658" s="12">
        <v>241.63</v>
      </c>
      <c r="S658" s="12">
        <v>262.17</v>
      </c>
      <c r="T658" s="12">
        <v>333.92</v>
      </c>
      <c r="U658" s="12">
        <v>296.5</v>
      </c>
      <c r="V658" s="12">
        <v>240.09</v>
      </c>
      <c r="W658" s="12">
        <v>293.39</v>
      </c>
      <c r="X658" s="12">
        <v>257.33</v>
      </c>
      <c r="Y658" s="12">
        <v>141.74</v>
      </c>
      <c r="AA658" s="17">
        <f>MAX($B$658:$Z$658)</f>
        <v>333.92</v>
      </c>
      <c r="AB658" s="17">
        <f>MIN($B$658:$Z$658)</f>
        <v>18.18</v>
      </c>
      <c r="AC658" s="17">
        <f>AVERAGE($B$658:$Z$658)</f>
        <v>188.8</v>
      </c>
    </row>
    <row r="659" spans="1:29">
      <c r="A659" s="10">
        <v>45954</v>
      </c>
      <c r="B659" s="12">
        <v>262.83999999999997</v>
      </c>
      <c r="C659" s="12">
        <v>222.12</v>
      </c>
      <c r="D659" s="12">
        <v>148.38999999999999</v>
      </c>
      <c r="E659" s="12">
        <v>30.95</v>
      </c>
      <c r="F659" s="12">
        <v>17.059999999999999</v>
      </c>
      <c r="G659" s="12">
        <v>66.959999999999994</v>
      </c>
      <c r="H659" s="12">
        <v>154.56</v>
      </c>
      <c r="I659" s="12">
        <v>260.88</v>
      </c>
      <c r="J659" s="12">
        <v>255.08</v>
      </c>
      <c r="K659" s="12">
        <v>188.69</v>
      </c>
      <c r="L659" s="12">
        <v>85.1</v>
      </c>
      <c r="M659" s="12">
        <v>32.950000000000003</v>
      </c>
      <c r="N659" s="12">
        <v>17.64</v>
      </c>
      <c r="O659" s="12">
        <v>88.73</v>
      </c>
      <c r="P659" s="12">
        <v>60.13</v>
      </c>
      <c r="Q659" s="12">
        <v>123.54</v>
      </c>
      <c r="R659" s="12">
        <v>263.54000000000002</v>
      </c>
      <c r="S659" s="12">
        <v>319.16000000000003</v>
      </c>
      <c r="T659" s="12">
        <v>296.25</v>
      </c>
      <c r="U659" s="12">
        <v>282.33</v>
      </c>
      <c r="V659" s="12">
        <v>275.87</v>
      </c>
      <c r="W659" s="12">
        <v>279.20999999999998</v>
      </c>
      <c r="X659" s="12">
        <v>270.73</v>
      </c>
      <c r="Y659" s="12">
        <v>241.88</v>
      </c>
      <c r="AA659" s="17">
        <f>MAX($B$659:$Z$659)</f>
        <v>319.16000000000003</v>
      </c>
      <c r="AB659" s="17">
        <f>MIN($B$659:$Z$659)</f>
        <v>17.059999999999999</v>
      </c>
      <c r="AC659" s="17">
        <f>AVERAGE($B$659:$Z$659)</f>
        <v>176.85791666666699</v>
      </c>
    </row>
    <row r="660" spans="1:29">
      <c r="A660" s="10">
        <v>45955</v>
      </c>
      <c r="B660" s="12">
        <v>272.45999999999998</v>
      </c>
      <c r="C660" s="12">
        <v>254.94</v>
      </c>
      <c r="D660" s="12">
        <v>240.59</v>
      </c>
      <c r="E660" s="12">
        <v>198.71</v>
      </c>
      <c r="F660" s="12">
        <v>163.44999999999999</v>
      </c>
      <c r="G660" s="12">
        <v>166.52</v>
      </c>
      <c r="H660" s="12">
        <v>147.72999999999999</v>
      </c>
      <c r="I660" s="12">
        <v>223.96</v>
      </c>
      <c r="J660" s="12">
        <v>233.33</v>
      </c>
      <c r="K660" s="12">
        <v>203.57</v>
      </c>
      <c r="L660" s="12">
        <v>150.6</v>
      </c>
      <c r="M660" s="12">
        <v>144.55000000000001</v>
      </c>
      <c r="N660" s="12">
        <v>84.99</v>
      </c>
      <c r="O660" s="12">
        <v>190.1</v>
      </c>
      <c r="P660" s="12">
        <v>208.71</v>
      </c>
      <c r="Q660" s="12">
        <v>318.25</v>
      </c>
      <c r="R660" s="12">
        <v>309.13</v>
      </c>
      <c r="S660" s="12">
        <v>305.16000000000003</v>
      </c>
      <c r="T660" s="12">
        <v>313.37</v>
      </c>
      <c r="U660" s="12">
        <v>291.45</v>
      </c>
      <c r="V660" s="12">
        <v>285.31</v>
      </c>
      <c r="W660" s="12">
        <v>279.13</v>
      </c>
      <c r="X660" s="12">
        <v>271.44</v>
      </c>
      <c r="Y660" s="12">
        <v>255.97</v>
      </c>
      <c r="AA660" s="17">
        <f>MAX($B$660:$Z$660)</f>
        <v>318.25</v>
      </c>
      <c r="AB660" s="17">
        <f>MIN($B$660:$Z$660)</f>
        <v>84.99</v>
      </c>
      <c r="AC660" s="17">
        <f>AVERAGE($B$660:$Z$660)</f>
        <v>229.72583333333299</v>
      </c>
    </row>
    <row r="661" spans="1:29">
      <c r="A661" s="10">
        <v>45956</v>
      </c>
      <c r="B661" s="12">
        <v>312.47000000000003</v>
      </c>
      <c r="C661" s="12">
        <v>276.60000000000002</v>
      </c>
      <c r="D661" s="12">
        <v>256.89999999999998</v>
      </c>
      <c r="E661" s="12">
        <v>250.75</v>
      </c>
      <c r="F661" s="12">
        <v>208.93</v>
      </c>
      <c r="G661" s="12">
        <v>201.02</v>
      </c>
      <c r="H661" s="12">
        <v>219.7</v>
      </c>
      <c r="I661" s="12">
        <v>235.35</v>
      </c>
      <c r="J661" s="12">
        <v>261.14</v>
      </c>
      <c r="K661" s="12">
        <v>238.9</v>
      </c>
      <c r="L661" s="12">
        <v>121.86</v>
      </c>
      <c r="M661" s="12">
        <v>117.51</v>
      </c>
      <c r="N661" s="12">
        <v>17.89</v>
      </c>
      <c r="O661" s="12">
        <v>89.39</v>
      </c>
      <c r="P661" s="12">
        <v>31.29</v>
      </c>
      <c r="Q661" s="12">
        <v>144.16</v>
      </c>
      <c r="R661" s="12">
        <v>285.95999999999998</v>
      </c>
      <c r="S661" s="12">
        <v>426.32</v>
      </c>
      <c r="T661" s="12">
        <v>340.01</v>
      </c>
      <c r="U661" s="12">
        <v>280.3</v>
      </c>
      <c r="V661" s="12">
        <v>287.52</v>
      </c>
      <c r="W661" s="12">
        <v>292.87</v>
      </c>
      <c r="X661" s="12">
        <v>259.07</v>
      </c>
      <c r="Y661" s="12">
        <v>245.49</v>
      </c>
      <c r="AA661" s="17">
        <f>MAX($B$661:$Z$661)</f>
        <v>426.32</v>
      </c>
      <c r="AB661" s="17">
        <f>MIN($B$661:$Z$661)</f>
        <v>17.89</v>
      </c>
      <c r="AC661" s="17">
        <f>AVERAGE($B$661:$Z$661)</f>
        <v>225.058333333333</v>
      </c>
    </row>
    <row r="662" spans="1:29">
      <c r="A662" s="10">
        <v>45957</v>
      </c>
      <c r="B662" s="12">
        <v>233.65</v>
      </c>
      <c r="C662" s="12">
        <v>133.6</v>
      </c>
      <c r="D662" s="12">
        <v>202.24</v>
      </c>
      <c r="E662" s="12">
        <v>207.4</v>
      </c>
      <c r="F662" s="12">
        <v>128.11000000000001</v>
      </c>
      <c r="G662" s="12">
        <v>217.91</v>
      </c>
      <c r="H662" s="12">
        <v>176.16</v>
      </c>
      <c r="I662" s="12">
        <v>245.91</v>
      </c>
      <c r="J662" s="12">
        <v>244.62</v>
      </c>
      <c r="K662" s="12">
        <v>216.57</v>
      </c>
      <c r="L662" s="12">
        <v>155.18</v>
      </c>
      <c r="M662" s="12">
        <v>167.47</v>
      </c>
      <c r="N662" s="12">
        <v>61.08</v>
      </c>
      <c r="O662" s="12">
        <v>108.51</v>
      </c>
      <c r="P662" s="12">
        <v>226.91</v>
      </c>
      <c r="Q662" s="12">
        <v>220.2</v>
      </c>
      <c r="R662" s="12">
        <v>315.58999999999997</v>
      </c>
      <c r="S662" s="12">
        <v>375.25</v>
      </c>
      <c r="T662" s="12">
        <v>467.48</v>
      </c>
      <c r="U662" s="12">
        <v>390.76</v>
      </c>
      <c r="V662" s="12">
        <v>343.74</v>
      </c>
      <c r="W662" s="12">
        <v>323.14999999999998</v>
      </c>
      <c r="X662" s="12">
        <v>266.70999999999998</v>
      </c>
      <c r="Y662" s="12">
        <v>211.8</v>
      </c>
      <c r="AA662" s="17">
        <f>MAX($B$662:$Z$662)</f>
        <v>467.48</v>
      </c>
      <c r="AB662" s="17">
        <f>MIN($B$662:$Z$662)</f>
        <v>61.08</v>
      </c>
      <c r="AC662" s="17">
        <f>AVERAGE($B$662:$Z$662)</f>
        <v>235</v>
      </c>
    </row>
    <row r="663" spans="1:29">
      <c r="A663" s="10">
        <v>45958</v>
      </c>
      <c r="B663" s="12">
        <v>275.77999999999997</v>
      </c>
      <c r="C663" s="12">
        <v>229.29</v>
      </c>
      <c r="D663" s="12">
        <v>184.13</v>
      </c>
      <c r="E663" s="12">
        <v>90.38</v>
      </c>
      <c r="F663" s="12">
        <v>94.65</v>
      </c>
      <c r="G663" s="12">
        <v>180.89</v>
      </c>
      <c r="H663" s="12">
        <v>271.49</v>
      </c>
      <c r="I663" s="12">
        <v>292.39999999999998</v>
      </c>
      <c r="J663" s="12">
        <v>271.17</v>
      </c>
      <c r="K663" s="12">
        <v>246.14</v>
      </c>
      <c r="L663" s="12">
        <v>222.45</v>
      </c>
      <c r="M663" s="12">
        <v>173.24</v>
      </c>
      <c r="N663" s="12">
        <v>144.28</v>
      </c>
      <c r="O663" s="12">
        <v>216.88</v>
      </c>
      <c r="P663" s="12">
        <v>241.32</v>
      </c>
      <c r="Q663" s="12">
        <v>255.24</v>
      </c>
      <c r="R663" s="12">
        <v>278.49</v>
      </c>
      <c r="S663" s="12">
        <v>265.85000000000002</v>
      </c>
      <c r="T663" s="12">
        <v>328.56</v>
      </c>
      <c r="U663" s="12">
        <v>290.47000000000003</v>
      </c>
      <c r="V663" s="12">
        <v>281.12</v>
      </c>
      <c r="W663" s="12">
        <v>264.66000000000003</v>
      </c>
      <c r="X663" s="12">
        <v>257.25</v>
      </c>
      <c r="Y663" s="12">
        <v>226.65</v>
      </c>
      <c r="AA663" s="17">
        <f>MAX($B$663:$Z$663)</f>
        <v>328.56</v>
      </c>
      <c r="AB663" s="17">
        <f>MIN($B$663:$Z$663)</f>
        <v>90.38</v>
      </c>
      <c r="AC663" s="17">
        <f>AVERAGE($B$663:$Z$663)</f>
        <v>232.615833333333</v>
      </c>
    </row>
    <row r="664" spans="1:29">
      <c r="A664" s="10">
        <v>45959</v>
      </c>
      <c r="B664" s="12">
        <v>262.98</v>
      </c>
      <c r="C664" s="12">
        <v>244.23</v>
      </c>
      <c r="D664" s="12">
        <v>251.1</v>
      </c>
      <c r="E664" s="12">
        <v>215.69</v>
      </c>
      <c r="F664" s="12">
        <v>198.22</v>
      </c>
      <c r="G664" s="12">
        <v>221.68</v>
      </c>
      <c r="H664" s="12">
        <v>253.11</v>
      </c>
      <c r="I664" s="12">
        <v>248.67</v>
      </c>
      <c r="J664" s="12">
        <v>252.33</v>
      </c>
      <c r="K664" s="12">
        <v>207.95</v>
      </c>
      <c r="L664" s="12">
        <v>181.56</v>
      </c>
      <c r="M664" s="12">
        <v>147.9</v>
      </c>
      <c r="N664" s="12">
        <v>134.38999999999999</v>
      </c>
      <c r="O664" s="12">
        <v>162.69999999999999</v>
      </c>
      <c r="P664" s="12">
        <v>175.35</v>
      </c>
      <c r="Q664" s="12">
        <v>245</v>
      </c>
      <c r="R664" s="12">
        <v>271.56</v>
      </c>
      <c r="S664" s="12">
        <v>278.01</v>
      </c>
      <c r="T664" s="12">
        <v>346.17</v>
      </c>
      <c r="U664" s="12">
        <v>280.45</v>
      </c>
      <c r="V664" s="12">
        <v>281.49</v>
      </c>
      <c r="W664" s="12">
        <v>266.75</v>
      </c>
      <c r="X664" s="12">
        <v>260.63</v>
      </c>
      <c r="Y664" s="12">
        <v>221.8</v>
      </c>
      <c r="AA664" s="17">
        <f>MAX($B$664:$Z$664)</f>
        <v>346.17</v>
      </c>
      <c r="AB664" s="17">
        <f>MIN($B$664:$Z$664)</f>
        <v>134.38999999999999</v>
      </c>
      <c r="AC664" s="17">
        <f>AVERAGE($B$664:$Z$664)</f>
        <v>233.738333333333</v>
      </c>
    </row>
    <row r="665" spans="1:29">
      <c r="A665" s="10">
        <v>45960</v>
      </c>
      <c r="B665" s="12">
        <v>264.74</v>
      </c>
      <c r="C665" s="12">
        <v>269.85000000000002</v>
      </c>
      <c r="D665" s="12">
        <v>274.99</v>
      </c>
      <c r="E665" s="12">
        <v>211.94</v>
      </c>
      <c r="F665" s="12">
        <v>228.81</v>
      </c>
      <c r="G665" s="12">
        <v>243.28</v>
      </c>
      <c r="H665" s="12">
        <v>275.49</v>
      </c>
      <c r="I665" s="12">
        <v>286</v>
      </c>
      <c r="J665" s="12">
        <v>311.39</v>
      </c>
      <c r="K665" s="12">
        <v>424.76</v>
      </c>
      <c r="L665" s="12">
        <v>348.03</v>
      </c>
      <c r="M665" s="12">
        <v>260.58</v>
      </c>
      <c r="N665" s="12">
        <v>210.44</v>
      </c>
      <c r="O665" s="12">
        <v>298.77999999999997</v>
      </c>
      <c r="P665" s="12">
        <v>279.94</v>
      </c>
      <c r="Q665" s="12">
        <v>324.45999999999998</v>
      </c>
      <c r="R665" s="12">
        <v>453.26</v>
      </c>
      <c r="S665" s="12">
        <v>384.01</v>
      </c>
      <c r="T665" s="12">
        <v>445.52</v>
      </c>
      <c r="U665" s="12">
        <v>433.59</v>
      </c>
      <c r="V665" s="12">
        <v>380.77</v>
      </c>
      <c r="W665" s="12">
        <v>387.94</v>
      </c>
      <c r="X665" s="12">
        <v>374.85</v>
      </c>
      <c r="Y665" s="12">
        <v>284.38</v>
      </c>
      <c r="AA665" s="17">
        <f>MAX($B$665:$Z$665)</f>
        <v>453.26</v>
      </c>
      <c r="AB665" s="17">
        <f>MIN($B$665:$Z$665)</f>
        <v>210.44</v>
      </c>
      <c r="AC665" s="17">
        <f>AVERAGE($B$665:$Z$665)</f>
        <v>319.07499999999999</v>
      </c>
    </row>
    <row r="666" spans="1:29">
      <c r="A666" s="10">
        <v>45961</v>
      </c>
      <c r="B666" s="12">
        <v>369.25</v>
      </c>
      <c r="C666" s="12">
        <v>352.66</v>
      </c>
      <c r="D666" s="12">
        <v>315.02</v>
      </c>
      <c r="E666" s="12">
        <v>288.39</v>
      </c>
      <c r="F666" s="12">
        <v>260.02999999999997</v>
      </c>
      <c r="G666" s="12">
        <v>257.75</v>
      </c>
      <c r="H666" s="12">
        <v>271.13</v>
      </c>
      <c r="I666" s="12">
        <v>274.23</v>
      </c>
      <c r="J666" s="12">
        <v>301.17</v>
      </c>
      <c r="K666" s="12">
        <v>312.55</v>
      </c>
      <c r="L666" s="12">
        <v>277.55</v>
      </c>
      <c r="M666" s="12">
        <v>254.96</v>
      </c>
      <c r="N666" s="12">
        <v>289.2</v>
      </c>
      <c r="O666" s="12">
        <v>277.94</v>
      </c>
      <c r="P666" s="12">
        <v>271.33999999999997</v>
      </c>
      <c r="Q666" s="12">
        <v>266.95999999999998</v>
      </c>
      <c r="R666" s="12">
        <v>297.31</v>
      </c>
      <c r="S666" s="12">
        <v>331.38</v>
      </c>
      <c r="T666" s="12">
        <v>317.66000000000003</v>
      </c>
      <c r="U666" s="12">
        <v>285.33999999999997</v>
      </c>
      <c r="V666" s="12">
        <v>282.02</v>
      </c>
      <c r="W666" s="12">
        <v>271.32</v>
      </c>
      <c r="X666" s="12">
        <v>254.49</v>
      </c>
      <c r="Y666" s="12">
        <v>224.23</v>
      </c>
      <c r="AA666" s="17">
        <f>MAX($B$666:$Z$666)</f>
        <v>369.25</v>
      </c>
      <c r="AB666" s="17">
        <f>MIN($B$666:$Z$666)</f>
        <v>224.23</v>
      </c>
      <c r="AC666" s="17">
        <f>AVERAGE($B$666:$Z$666)</f>
        <v>287.66166666666697</v>
      </c>
    </row>
    <row r="667" spans="1:29">
      <c r="A667" s="10">
        <v>45962</v>
      </c>
      <c r="B667" s="12">
        <v>339.21</v>
      </c>
      <c r="C667" s="12">
        <v>261.18</v>
      </c>
      <c r="D667" s="12">
        <v>259.12</v>
      </c>
      <c r="E667" s="12">
        <v>238.36</v>
      </c>
      <c r="F667" s="12">
        <v>231.81</v>
      </c>
      <c r="G667" s="12">
        <v>176.37</v>
      </c>
      <c r="H667" s="12">
        <v>229.96</v>
      </c>
      <c r="I667" s="12">
        <v>238.6</v>
      </c>
      <c r="J667" s="12">
        <v>231.14</v>
      </c>
      <c r="K667" s="12">
        <v>185.24</v>
      </c>
      <c r="L667" s="12">
        <v>117.6</v>
      </c>
      <c r="M667" s="12">
        <v>69.86</v>
      </c>
      <c r="N667" s="12">
        <v>75.97</v>
      </c>
      <c r="O667" s="12">
        <v>178.26</v>
      </c>
      <c r="P667" s="12">
        <v>219.85</v>
      </c>
      <c r="Q667" s="12">
        <v>264.3</v>
      </c>
      <c r="R667" s="12">
        <v>295.45999999999998</v>
      </c>
      <c r="S667" s="12">
        <v>299.82</v>
      </c>
      <c r="T667" s="12">
        <v>462.12</v>
      </c>
      <c r="U667" s="12">
        <v>333.26</v>
      </c>
      <c r="V667" s="12">
        <v>301.44</v>
      </c>
      <c r="W667" s="12">
        <v>282.82</v>
      </c>
      <c r="X667" s="12">
        <v>289.23</v>
      </c>
      <c r="Y667" s="12">
        <v>252.8</v>
      </c>
      <c r="AA667" s="17">
        <f>MAX($B$667:$Z$667)</f>
        <v>462.12</v>
      </c>
      <c r="AB667" s="17">
        <f>MIN($B$667:$Z$667)</f>
        <v>69.86</v>
      </c>
      <c r="AC667" s="17">
        <f>AVERAGE($B$667:$Z$667)</f>
        <v>243.074166666667</v>
      </c>
    </row>
    <row r="668" spans="1:29">
      <c r="A668" s="10">
        <v>45963</v>
      </c>
      <c r="B668" s="12">
        <v>375.06</v>
      </c>
      <c r="C668" s="12">
        <v>230.06</v>
      </c>
      <c r="D668" s="12">
        <v>198.84</v>
      </c>
      <c r="E668" s="12">
        <v>210.7</v>
      </c>
      <c r="F668" s="12">
        <v>193.51</v>
      </c>
      <c r="G668" s="12">
        <v>185.7</v>
      </c>
      <c r="H668" s="12">
        <v>192.54</v>
      </c>
      <c r="I668" s="12">
        <v>140.76</v>
      </c>
      <c r="J668" s="12">
        <v>77.88</v>
      </c>
      <c r="K668" s="12">
        <v>54.04</v>
      </c>
      <c r="L668" s="12">
        <v>123.63</v>
      </c>
      <c r="M668" s="12">
        <v>111.02</v>
      </c>
      <c r="N668" s="12">
        <v>73.72</v>
      </c>
      <c r="O668" s="12">
        <v>133.79</v>
      </c>
      <c r="P668" s="12">
        <v>258.01</v>
      </c>
      <c r="Q668" s="12">
        <v>187.82</v>
      </c>
      <c r="R668" s="12">
        <v>248.32</v>
      </c>
      <c r="S668" s="12">
        <v>275.16000000000003</v>
      </c>
      <c r="T668" s="12">
        <v>269.86</v>
      </c>
      <c r="U668" s="12">
        <v>289.47000000000003</v>
      </c>
      <c r="V668" s="12">
        <v>279.89999999999998</v>
      </c>
      <c r="W668" s="12">
        <v>243.78</v>
      </c>
      <c r="X668" s="12">
        <v>236.36</v>
      </c>
      <c r="Y668" s="12">
        <v>207.16</v>
      </c>
      <c r="AA668" s="17">
        <f>MAX($B$668:$Z$668)</f>
        <v>375.06</v>
      </c>
      <c r="AB668" s="17">
        <f>MIN($B$668:$Z$668)</f>
        <v>54.04</v>
      </c>
      <c r="AC668" s="17">
        <f>AVERAGE($B$668:$Z$668)</f>
        <v>199.87875</v>
      </c>
    </row>
    <row r="669" spans="1:29">
      <c r="A669" s="10">
        <v>45964</v>
      </c>
      <c r="B669" s="12">
        <v>261.87</v>
      </c>
      <c r="C669" s="12">
        <v>211.89</v>
      </c>
      <c r="D669" s="12">
        <v>217.16</v>
      </c>
      <c r="E669" s="12">
        <v>138.57</v>
      </c>
      <c r="F669" s="12">
        <v>104.29</v>
      </c>
      <c r="G669" s="12">
        <v>94.85</v>
      </c>
      <c r="H669" s="12">
        <v>183.3</v>
      </c>
      <c r="I669" s="12">
        <v>252.95</v>
      </c>
      <c r="J669" s="12">
        <v>394.19</v>
      </c>
      <c r="K669" s="12">
        <v>549.99</v>
      </c>
      <c r="L669" s="12">
        <v>327.58</v>
      </c>
      <c r="M669" s="12">
        <v>342.51</v>
      </c>
      <c r="N669" s="12">
        <v>264.64</v>
      </c>
      <c r="O669" s="12">
        <v>341.55</v>
      </c>
      <c r="P669" s="12">
        <v>401.89</v>
      </c>
      <c r="Q669" s="12">
        <v>350.02</v>
      </c>
      <c r="R669" s="12">
        <v>406.94</v>
      </c>
      <c r="S669" s="12">
        <v>519.09</v>
      </c>
      <c r="T669" s="12">
        <v>439.49</v>
      </c>
      <c r="U669" s="12">
        <v>419.45</v>
      </c>
      <c r="V669" s="12">
        <v>289.58</v>
      </c>
      <c r="W669" s="12">
        <v>302.58</v>
      </c>
      <c r="X669" s="12">
        <v>270.11</v>
      </c>
      <c r="Y669" s="12">
        <v>242.76</v>
      </c>
      <c r="AA669" s="17">
        <f>MAX($B$669:$Z$669)</f>
        <v>549.99</v>
      </c>
      <c r="AB669" s="17">
        <f>MIN($B$669:$Z$669)</f>
        <v>94.85</v>
      </c>
      <c r="AC669" s="17">
        <f>AVERAGE($B$669:$Z$669)</f>
        <v>305.30208333333297</v>
      </c>
    </row>
    <row r="670" spans="1:29">
      <c r="A670" s="10">
        <v>45965</v>
      </c>
      <c r="B670" s="12">
        <v>273.41000000000003</v>
      </c>
      <c r="C670" s="12">
        <v>250.5</v>
      </c>
      <c r="D670" s="12">
        <v>238.83</v>
      </c>
      <c r="E670" s="12">
        <v>237.09</v>
      </c>
      <c r="F670" s="12">
        <v>231.08</v>
      </c>
      <c r="G670" s="12">
        <v>233.1</v>
      </c>
      <c r="H670" s="12">
        <v>246.06</v>
      </c>
      <c r="I670" s="12">
        <v>335.71</v>
      </c>
      <c r="J670" s="12">
        <v>405.19</v>
      </c>
      <c r="K670" s="12">
        <v>376.37</v>
      </c>
      <c r="L670" s="12">
        <v>324.44</v>
      </c>
      <c r="M670" s="12">
        <v>288.10000000000002</v>
      </c>
      <c r="N670" s="12">
        <v>313.38</v>
      </c>
      <c r="O670" s="12">
        <v>264.19</v>
      </c>
      <c r="P670" s="12">
        <v>251.71</v>
      </c>
      <c r="Q670" s="12">
        <v>267.17</v>
      </c>
      <c r="R670" s="12">
        <v>288.31</v>
      </c>
      <c r="S670" s="12">
        <v>292.01</v>
      </c>
      <c r="T670" s="12">
        <v>306.26</v>
      </c>
      <c r="U670" s="12">
        <v>336.49</v>
      </c>
      <c r="V670" s="12">
        <v>280.47000000000003</v>
      </c>
      <c r="W670" s="12">
        <v>284.99</v>
      </c>
      <c r="X670" s="12">
        <v>276.5</v>
      </c>
      <c r="Y670" s="12">
        <v>238.3</v>
      </c>
      <c r="AA670" s="17">
        <f>MAX($B$670:$Z$670)</f>
        <v>405.19</v>
      </c>
      <c r="AB670" s="17">
        <f>MIN($B$670:$Z$670)</f>
        <v>231.08</v>
      </c>
      <c r="AC670" s="17">
        <f>AVERAGE($B$670:$Z$670)</f>
        <v>284.98583333333301</v>
      </c>
    </row>
    <row r="671" spans="1:29">
      <c r="A671" s="10">
        <v>45966</v>
      </c>
      <c r="B671" s="12">
        <v>252.19</v>
      </c>
      <c r="C671" s="12">
        <v>243.99</v>
      </c>
      <c r="D671" s="12">
        <v>249.17</v>
      </c>
      <c r="E671" s="12">
        <v>251.55</v>
      </c>
      <c r="F671" s="12">
        <v>254.24</v>
      </c>
      <c r="G671" s="12">
        <v>255.29</v>
      </c>
      <c r="H671" s="12">
        <v>267.08999999999997</v>
      </c>
      <c r="I671" s="12">
        <v>284.27999999999997</v>
      </c>
      <c r="J671" s="12">
        <v>265</v>
      </c>
      <c r="K671" s="12">
        <v>242.51</v>
      </c>
      <c r="L671" s="12">
        <v>148.51</v>
      </c>
      <c r="M671" s="12">
        <v>168.91</v>
      </c>
      <c r="N671" s="12">
        <v>101.13</v>
      </c>
      <c r="O671" s="12">
        <v>177.98</v>
      </c>
      <c r="P671" s="12">
        <v>250.81</v>
      </c>
      <c r="Q671" s="12">
        <v>268.87</v>
      </c>
      <c r="R671" s="12">
        <v>305.20999999999998</v>
      </c>
      <c r="S671" s="12">
        <v>347.72</v>
      </c>
      <c r="T671" s="12">
        <v>379.42</v>
      </c>
      <c r="U671" s="12">
        <v>331.67</v>
      </c>
      <c r="V671" s="12">
        <v>347.14</v>
      </c>
      <c r="W671" s="12">
        <v>338.03</v>
      </c>
      <c r="X671" s="12">
        <v>298.37</v>
      </c>
      <c r="Y671" s="12">
        <v>261.51</v>
      </c>
      <c r="AA671" s="17">
        <f>MAX($B$671:$Z$671)</f>
        <v>379.42</v>
      </c>
      <c r="AB671" s="17">
        <f>MIN($B$671:$Z$671)</f>
        <v>101.13</v>
      </c>
      <c r="AC671" s="17">
        <f>AVERAGE($B$671:$Z$671)</f>
        <v>262.10791666666699</v>
      </c>
    </row>
    <row r="672" spans="1:29">
      <c r="A672" s="10">
        <v>45967</v>
      </c>
      <c r="B672" s="12">
        <v>266.60000000000002</v>
      </c>
      <c r="C672" s="12">
        <v>258.92</v>
      </c>
      <c r="D672" s="12">
        <v>256.81</v>
      </c>
      <c r="E672" s="12">
        <v>252.05</v>
      </c>
      <c r="F672" s="12">
        <v>226.92</v>
      </c>
      <c r="G672" s="12">
        <v>248.91</v>
      </c>
      <c r="H672" s="12">
        <v>260.27999999999997</v>
      </c>
      <c r="I672" s="12">
        <v>263.68</v>
      </c>
      <c r="J672" s="12">
        <v>265.08</v>
      </c>
      <c r="K672" s="12">
        <v>194.84</v>
      </c>
      <c r="L672" s="12">
        <v>161.59</v>
      </c>
      <c r="M672" s="12">
        <v>125.73</v>
      </c>
      <c r="N672" s="12">
        <v>35.58</v>
      </c>
      <c r="O672" s="12">
        <v>100.36</v>
      </c>
      <c r="P672" s="12">
        <v>162.4</v>
      </c>
      <c r="Q672" s="12">
        <v>233.31</v>
      </c>
      <c r="R672" s="12">
        <v>382.81</v>
      </c>
      <c r="S672" s="12">
        <v>346.61</v>
      </c>
      <c r="T672" s="12">
        <v>363.28</v>
      </c>
      <c r="U672" s="12">
        <v>328.91</v>
      </c>
      <c r="V672" s="12">
        <v>286.79000000000002</v>
      </c>
      <c r="W672" s="12">
        <v>279.18</v>
      </c>
      <c r="X672" s="12">
        <v>262</v>
      </c>
      <c r="Y672" s="12">
        <v>234.18</v>
      </c>
      <c r="AA672" s="17">
        <f>MAX($B$672:$Z$672)</f>
        <v>382.81</v>
      </c>
      <c r="AB672" s="17">
        <f>MIN($B$672:$Z$672)</f>
        <v>35.58</v>
      </c>
      <c r="AC672" s="17">
        <f>AVERAGE($B$672:$Z$672)</f>
        <v>241.53416666666701</v>
      </c>
    </row>
    <row r="673" spans="1:29">
      <c r="A673" s="10">
        <v>45968</v>
      </c>
      <c r="B673" s="12">
        <v>255.38</v>
      </c>
      <c r="C673" s="12">
        <v>247.83</v>
      </c>
      <c r="D673" s="12">
        <v>236.26</v>
      </c>
      <c r="E673" s="12">
        <v>230.57</v>
      </c>
      <c r="F673" s="12">
        <v>183.81</v>
      </c>
      <c r="G673" s="12">
        <v>209.52</v>
      </c>
      <c r="H673" s="12">
        <v>244.95</v>
      </c>
      <c r="I673" s="12">
        <v>249.52</v>
      </c>
      <c r="J673" s="12">
        <v>253.29</v>
      </c>
      <c r="K673" s="12">
        <v>248.2</v>
      </c>
      <c r="L673" s="12">
        <v>207.7</v>
      </c>
      <c r="M673" s="12">
        <v>214.38</v>
      </c>
      <c r="N673" s="12">
        <v>211.56</v>
      </c>
      <c r="O673" s="12">
        <v>191.39</v>
      </c>
      <c r="P673" s="12">
        <v>227.64</v>
      </c>
      <c r="Q673" s="12">
        <v>248.07</v>
      </c>
      <c r="R673" s="12">
        <v>259.64</v>
      </c>
      <c r="S673" s="12">
        <v>319.52</v>
      </c>
      <c r="T673" s="12">
        <v>416.06</v>
      </c>
      <c r="U673" s="12">
        <v>333.61</v>
      </c>
      <c r="V673" s="12">
        <v>326.56</v>
      </c>
      <c r="W673" s="12">
        <v>346.09</v>
      </c>
      <c r="X673" s="12">
        <v>314.62</v>
      </c>
      <c r="Y673" s="12">
        <v>285.87</v>
      </c>
      <c r="AA673" s="17">
        <f>MAX($B$673:$Z$673)</f>
        <v>416.06</v>
      </c>
      <c r="AB673" s="17">
        <f>MIN($B$673:$Z$673)</f>
        <v>183.81</v>
      </c>
      <c r="AC673" s="17">
        <f>AVERAGE($B$673:$Z$673)</f>
        <v>260.91833333333301</v>
      </c>
    </row>
    <row r="674" spans="1:29">
      <c r="A674" s="10">
        <v>45969</v>
      </c>
      <c r="B674" s="12">
        <v>355.64</v>
      </c>
      <c r="C674" s="12">
        <v>300.38</v>
      </c>
      <c r="D674" s="12">
        <v>302.75</v>
      </c>
      <c r="E674" s="12">
        <v>298.58999999999997</v>
      </c>
      <c r="F674" s="12">
        <v>285.72000000000003</v>
      </c>
      <c r="G674" s="12">
        <v>295.76</v>
      </c>
      <c r="H674" s="12">
        <v>299.17</v>
      </c>
      <c r="I674" s="12">
        <v>297.3</v>
      </c>
      <c r="J674" s="12">
        <v>300.5</v>
      </c>
      <c r="K674" s="12">
        <v>285.67</v>
      </c>
      <c r="L674" s="12">
        <v>275.72000000000003</v>
      </c>
      <c r="M674" s="12">
        <v>267.32</v>
      </c>
      <c r="N674" s="12">
        <v>198.35</v>
      </c>
      <c r="O674" s="12">
        <v>262.77</v>
      </c>
      <c r="P674" s="12">
        <v>273.86</v>
      </c>
      <c r="Q674" s="12">
        <v>311.79000000000002</v>
      </c>
      <c r="R674" s="12">
        <v>360.55</v>
      </c>
      <c r="S674" s="12">
        <v>407.62</v>
      </c>
      <c r="T674" s="12">
        <v>410.95</v>
      </c>
      <c r="U674" s="12">
        <v>337.68</v>
      </c>
      <c r="V674" s="12">
        <v>341.51</v>
      </c>
      <c r="W674" s="12">
        <v>327.14999999999998</v>
      </c>
      <c r="X674" s="12">
        <v>297.42</v>
      </c>
      <c r="Y674" s="12">
        <v>282.95</v>
      </c>
      <c r="AA674" s="17">
        <f>MAX($B$674:$Z$674)</f>
        <v>410.95</v>
      </c>
      <c r="AB674" s="17">
        <f>MIN($B$674:$Z$674)</f>
        <v>198.35</v>
      </c>
      <c r="AC674" s="17">
        <f>AVERAGE($B$674:$Z$674)</f>
        <v>307.38</v>
      </c>
    </row>
    <row r="675" spans="1:29">
      <c r="A675" s="10">
        <v>45970</v>
      </c>
      <c r="B675" s="12">
        <v>318.14999999999998</v>
      </c>
      <c r="C675" s="12">
        <v>297.01</v>
      </c>
      <c r="D675" s="12">
        <v>285.20999999999998</v>
      </c>
      <c r="E675" s="12">
        <v>285.75</v>
      </c>
      <c r="F675" s="12">
        <v>284.77999999999997</v>
      </c>
      <c r="G675" s="12">
        <v>280.10000000000002</v>
      </c>
      <c r="H675" s="12">
        <v>278.64999999999998</v>
      </c>
      <c r="I675" s="12">
        <v>280.91000000000003</v>
      </c>
      <c r="J675" s="12">
        <v>258.91000000000003</v>
      </c>
      <c r="K675" s="12">
        <v>233.97</v>
      </c>
      <c r="L675" s="12">
        <v>207.11</v>
      </c>
      <c r="M675" s="12">
        <v>227.72</v>
      </c>
      <c r="N675" s="12">
        <v>223.16</v>
      </c>
      <c r="O675" s="12">
        <v>252.24</v>
      </c>
      <c r="P675" s="12">
        <v>264.02999999999997</v>
      </c>
      <c r="Q675" s="12">
        <v>292.14999999999998</v>
      </c>
      <c r="R675" s="12">
        <v>309.49</v>
      </c>
      <c r="S675" s="12">
        <v>320.2</v>
      </c>
      <c r="T675" s="12">
        <v>299.08</v>
      </c>
      <c r="U675" s="12">
        <v>284.47000000000003</v>
      </c>
      <c r="V675" s="12">
        <v>285.38</v>
      </c>
      <c r="W675" s="12">
        <v>278.64999999999998</v>
      </c>
      <c r="X675" s="12">
        <v>265.02</v>
      </c>
      <c r="Y675" s="12">
        <v>257</v>
      </c>
      <c r="AA675" s="17">
        <f>MAX($B$675:$Z$675)</f>
        <v>320.2</v>
      </c>
      <c r="AB675" s="17">
        <f>MIN($B$675:$Z$675)</f>
        <v>207.11</v>
      </c>
      <c r="AC675" s="17">
        <f>AVERAGE($B$675:$Z$675)</f>
        <v>273.71416666666698</v>
      </c>
    </row>
    <row r="676" spans="1:29">
      <c r="A676" s="10">
        <v>45971</v>
      </c>
      <c r="B676" s="12">
        <v>268.74</v>
      </c>
      <c r="C676" s="12">
        <v>261.20999999999998</v>
      </c>
      <c r="D676" s="12">
        <v>247.2</v>
      </c>
      <c r="E676" s="12">
        <v>231.94</v>
      </c>
      <c r="F676" s="12">
        <v>206.12</v>
      </c>
      <c r="G676" s="12">
        <v>187.17</v>
      </c>
      <c r="H676" s="12">
        <v>234.91</v>
      </c>
      <c r="I676" s="12">
        <v>243.47</v>
      </c>
      <c r="J676" s="12">
        <v>218.12</v>
      </c>
      <c r="K676" s="12">
        <v>163.13</v>
      </c>
      <c r="L676" s="12">
        <v>197.19</v>
      </c>
      <c r="M676" s="12">
        <v>191.03</v>
      </c>
      <c r="N676" s="12">
        <v>118.62</v>
      </c>
      <c r="O676" s="12">
        <v>137.88999999999999</v>
      </c>
      <c r="P676" s="12">
        <v>174.27</v>
      </c>
      <c r="Q676" s="12">
        <v>244.66</v>
      </c>
      <c r="R676" s="12">
        <v>274</v>
      </c>
      <c r="S676" s="12">
        <v>296.98</v>
      </c>
      <c r="T676" s="12">
        <v>329.61</v>
      </c>
      <c r="U676" s="12">
        <v>300.25</v>
      </c>
      <c r="V676" s="12">
        <v>286.32</v>
      </c>
      <c r="W676" s="12">
        <v>282.44</v>
      </c>
      <c r="X676" s="12">
        <v>263.67</v>
      </c>
      <c r="Y676" s="12">
        <v>250.13</v>
      </c>
      <c r="AA676" s="17">
        <f>MAX($B$676:$Z$676)</f>
        <v>329.61</v>
      </c>
      <c r="AB676" s="17">
        <f>MIN($B$676:$Z$676)</f>
        <v>118.62</v>
      </c>
      <c r="AC676" s="17">
        <f>AVERAGE($B$676:$Z$676)</f>
        <v>233.71125000000001</v>
      </c>
    </row>
    <row r="677" spans="1:29">
      <c r="A677" s="10">
        <v>45972</v>
      </c>
      <c r="B677" s="12">
        <v>265.92</v>
      </c>
      <c r="C677" s="12">
        <v>260.47000000000003</v>
      </c>
      <c r="D677" s="12">
        <v>260.13</v>
      </c>
      <c r="E677" s="12">
        <v>257.60000000000002</v>
      </c>
      <c r="F677" s="12">
        <v>231.63</v>
      </c>
      <c r="G677" s="12">
        <v>245.24</v>
      </c>
      <c r="H677" s="12">
        <v>249.43</v>
      </c>
      <c r="I677" s="12">
        <v>250.13</v>
      </c>
      <c r="J677" s="12">
        <v>270.44</v>
      </c>
      <c r="K677" s="12">
        <v>178.86</v>
      </c>
      <c r="L677" s="12">
        <v>176.88</v>
      </c>
      <c r="M677" s="12">
        <v>188.73</v>
      </c>
      <c r="N677" s="12">
        <v>118.37</v>
      </c>
      <c r="O677" s="12">
        <v>182.07</v>
      </c>
      <c r="P677" s="12">
        <v>219.83</v>
      </c>
      <c r="Q677" s="12">
        <v>206.39</v>
      </c>
      <c r="R677" s="12">
        <v>264.26</v>
      </c>
      <c r="S677" s="12">
        <v>283.83999999999997</v>
      </c>
      <c r="T677" s="12">
        <v>306.98</v>
      </c>
      <c r="U677" s="12">
        <v>302.42</v>
      </c>
      <c r="V677" s="12">
        <v>281.48</v>
      </c>
      <c r="W677" s="12">
        <v>267.58</v>
      </c>
      <c r="X677" s="12">
        <v>251.97</v>
      </c>
      <c r="Y677" s="12">
        <v>184.74</v>
      </c>
      <c r="AA677" s="17">
        <f>MAX($B$677:$Z$677)</f>
        <v>306.98</v>
      </c>
      <c r="AB677" s="17">
        <f>MIN($B$677:$Z$677)</f>
        <v>118.37</v>
      </c>
      <c r="AC677" s="17">
        <f>AVERAGE($B$677:$Z$677)</f>
        <v>237.72458333333299</v>
      </c>
    </row>
    <row r="678" spans="1:29">
      <c r="A678" s="10">
        <v>45973</v>
      </c>
      <c r="B678" s="12">
        <v>199.75</v>
      </c>
      <c r="C678" s="12">
        <v>227.74</v>
      </c>
      <c r="D678" s="12">
        <v>187.47</v>
      </c>
      <c r="E678" s="12">
        <v>68.33</v>
      </c>
      <c r="F678" s="12">
        <v>101.72</v>
      </c>
      <c r="G678" s="12">
        <v>93.54</v>
      </c>
      <c r="H678" s="12">
        <v>191.67</v>
      </c>
      <c r="I678" s="12">
        <v>247.71</v>
      </c>
      <c r="J678" s="12">
        <v>203.33</v>
      </c>
      <c r="K678" s="12">
        <v>113.85</v>
      </c>
      <c r="L678" s="12">
        <v>47.93</v>
      </c>
      <c r="M678" s="12">
        <v>40.229999999999997</v>
      </c>
      <c r="N678" s="12">
        <v>62.4</v>
      </c>
      <c r="O678" s="12">
        <v>131.61000000000001</v>
      </c>
      <c r="P678" s="12">
        <v>131.24</v>
      </c>
      <c r="Q678" s="12">
        <v>211.63</v>
      </c>
      <c r="R678" s="12">
        <v>255.43</v>
      </c>
      <c r="S678" s="12">
        <v>287.72000000000003</v>
      </c>
      <c r="T678" s="12">
        <v>353.55</v>
      </c>
      <c r="U678" s="12">
        <v>298.77999999999997</v>
      </c>
      <c r="V678" s="12">
        <v>283.07</v>
      </c>
      <c r="W678" s="12">
        <v>271.04000000000002</v>
      </c>
      <c r="X678" s="12">
        <v>251.82</v>
      </c>
      <c r="Y678" s="12">
        <v>209.83</v>
      </c>
      <c r="AA678" s="17">
        <f>MAX($B$678:$Z$678)</f>
        <v>353.55</v>
      </c>
      <c r="AB678" s="17">
        <f>MIN($B$678:$Z$678)</f>
        <v>40.229999999999997</v>
      </c>
      <c r="AC678" s="17">
        <f>AVERAGE($B$678:$Z$678)</f>
        <v>186.30791666666701</v>
      </c>
    </row>
    <row r="679" spans="1:29">
      <c r="A679" s="10">
        <v>45974</v>
      </c>
      <c r="B679" s="12">
        <v>245.35</v>
      </c>
      <c r="C679" s="12">
        <v>234.3</v>
      </c>
      <c r="D679" s="12">
        <v>201.48</v>
      </c>
      <c r="E679" s="12">
        <v>190.88</v>
      </c>
      <c r="F679" s="12">
        <v>137.61000000000001</v>
      </c>
      <c r="G679" s="12">
        <v>179.54</v>
      </c>
      <c r="H679" s="12">
        <v>237.8</v>
      </c>
      <c r="I679" s="12">
        <v>253.67</v>
      </c>
      <c r="J679" s="12">
        <v>227.57</v>
      </c>
      <c r="K679" s="12">
        <v>180.77</v>
      </c>
      <c r="L679" s="12">
        <v>143.22999999999999</v>
      </c>
      <c r="M679" s="12">
        <v>163.76</v>
      </c>
      <c r="N679" s="12">
        <v>123</v>
      </c>
      <c r="O679" s="12">
        <v>155.35</v>
      </c>
      <c r="P679" s="12">
        <v>171.48</v>
      </c>
      <c r="Q679" s="12">
        <v>196.27</v>
      </c>
      <c r="R679" s="12">
        <v>240.17</v>
      </c>
      <c r="S679" s="12">
        <v>316.33999999999997</v>
      </c>
      <c r="T679" s="12">
        <v>373.24</v>
      </c>
      <c r="U679" s="12">
        <v>309.95</v>
      </c>
      <c r="V679" s="12">
        <v>284.54000000000002</v>
      </c>
      <c r="W679" s="12">
        <v>274.52</v>
      </c>
      <c r="X679" s="12">
        <v>241.88</v>
      </c>
      <c r="Y679" s="12">
        <v>159.41</v>
      </c>
      <c r="AA679" s="17">
        <f>MAX($B$679:$Z$679)</f>
        <v>373.24</v>
      </c>
      <c r="AB679" s="17">
        <f>MIN($B$679:$Z$679)</f>
        <v>123</v>
      </c>
      <c r="AC679" s="17">
        <f>AVERAGE($B$679:$Z$679)</f>
        <v>218.42124999999999</v>
      </c>
    </row>
    <row r="680" spans="1:29">
      <c r="A680" s="10">
        <v>45975</v>
      </c>
      <c r="B680" s="12">
        <v>240.94</v>
      </c>
      <c r="C680" s="12">
        <v>231.11</v>
      </c>
      <c r="D680" s="12">
        <v>173.25</v>
      </c>
      <c r="E680" s="12">
        <v>124.38</v>
      </c>
      <c r="F680" s="12">
        <v>102.83</v>
      </c>
      <c r="G680" s="12">
        <v>89</v>
      </c>
      <c r="H680" s="12">
        <v>224.97</v>
      </c>
      <c r="I680" s="12">
        <v>238.61</v>
      </c>
      <c r="J680" s="12">
        <v>245.62</v>
      </c>
      <c r="K680" s="12">
        <v>158.49</v>
      </c>
      <c r="L680" s="12">
        <v>83.34</v>
      </c>
      <c r="M680" s="12">
        <v>34.11</v>
      </c>
      <c r="N680" s="12">
        <v>13.13</v>
      </c>
      <c r="O680" s="12">
        <v>36.630000000000003</v>
      </c>
      <c r="P680" s="12">
        <v>25.45</v>
      </c>
      <c r="Q680" s="12">
        <v>143.76</v>
      </c>
      <c r="R680" s="12">
        <v>258.77</v>
      </c>
      <c r="S680" s="12">
        <v>300.69</v>
      </c>
      <c r="T680" s="12">
        <v>408.15</v>
      </c>
      <c r="U680" s="12">
        <v>349.16</v>
      </c>
      <c r="V680" s="12">
        <v>302.57</v>
      </c>
      <c r="W680" s="12">
        <v>282.27999999999997</v>
      </c>
      <c r="X680" s="12">
        <v>282.7</v>
      </c>
      <c r="Y680" s="12">
        <v>265.24</v>
      </c>
      <c r="AA680" s="17">
        <f>MAX($B$680:$Z$680)</f>
        <v>408.15</v>
      </c>
      <c r="AB680" s="17">
        <f>MIN($B$680:$Z$680)</f>
        <v>13.13</v>
      </c>
      <c r="AC680" s="17">
        <f>AVERAGE($B$680:$Z$680)</f>
        <v>192.29916666666699</v>
      </c>
    </row>
    <row r="681" spans="1:29">
      <c r="A681" s="10">
        <v>45976</v>
      </c>
      <c r="B681" s="12">
        <v>273.05</v>
      </c>
      <c r="C681" s="12">
        <v>262.45999999999998</v>
      </c>
      <c r="D681" s="12">
        <v>256.93</v>
      </c>
      <c r="E681" s="12">
        <v>238.96</v>
      </c>
      <c r="F681" s="12">
        <v>195.24</v>
      </c>
      <c r="G681" s="12">
        <v>133.36000000000001</v>
      </c>
      <c r="H681" s="12">
        <v>221.6</v>
      </c>
      <c r="I681" s="12">
        <v>234.45</v>
      </c>
      <c r="J681" s="12">
        <v>188.98</v>
      </c>
      <c r="K681" s="12">
        <v>115.49</v>
      </c>
      <c r="L681" s="12">
        <v>73.2</v>
      </c>
      <c r="M681" s="12">
        <v>10.75</v>
      </c>
      <c r="N681" s="12">
        <v>28.19</v>
      </c>
      <c r="O681" s="12">
        <v>29.79</v>
      </c>
      <c r="P681" s="12">
        <v>22.93</v>
      </c>
      <c r="Q681" s="12">
        <v>84.18</v>
      </c>
      <c r="R681" s="12">
        <v>228.09</v>
      </c>
      <c r="S681" s="12">
        <v>321.37</v>
      </c>
      <c r="T681" s="12">
        <v>360.69</v>
      </c>
      <c r="U681" s="12">
        <v>326.94</v>
      </c>
      <c r="V681" s="12">
        <v>301.44</v>
      </c>
      <c r="W681" s="12">
        <v>292.44</v>
      </c>
      <c r="X681" s="12">
        <v>272.17</v>
      </c>
      <c r="Y681" s="12">
        <v>256.19</v>
      </c>
      <c r="AA681" s="17">
        <f>MAX($B$681:$Z$681)</f>
        <v>360.69</v>
      </c>
      <c r="AB681" s="17">
        <f>MIN($B$681:$Z$681)</f>
        <v>10.75</v>
      </c>
      <c r="AC681" s="17">
        <f>AVERAGE($B$681:$Z$681)</f>
        <v>197.03708333333299</v>
      </c>
    </row>
    <row r="682" spans="1:29">
      <c r="A682" s="10">
        <v>45977</v>
      </c>
      <c r="B682" s="12">
        <v>260.49</v>
      </c>
      <c r="C682" s="12">
        <v>250.33</v>
      </c>
      <c r="D682" s="12">
        <v>195.96</v>
      </c>
      <c r="E682" s="12">
        <v>154.06</v>
      </c>
      <c r="F682" s="12">
        <v>63.31</v>
      </c>
      <c r="G682" s="12">
        <v>14.78</v>
      </c>
      <c r="H682" s="12">
        <v>47.16</v>
      </c>
      <c r="I682" s="12">
        <v>20.74</v>
      </c>
      <c r="J682" s="12">
        <v>4.47</v>
      </c>
      <c r="K682" s="12">
        <v>-39.07</v>
      </c>
      <c r="L682" s="12">
        <v>-37.67</v>
      </c>
      <c r="M682" s="12">
        <v>-26.19</v>
      </c>
      <c r="N682" s="12">
        <v>5.84</v>
      </c>
      <c r="O682" s="12">
        <v>8.92</v>
      </c>
      <c r="P682" s="12">
        <v>-2.21</v>
      </c>
      <c r="Q682" s="12">
        <v>0.95</v>
      </c>
      <c r="R682" s="12">
        <v>73.22</v>
      </c>
      <c r="S682" s="12">
        <v>242.34</v>
      </c>
      <c r="T682" s="12">
        <v>306.29000000000002</v>
      </c>
      <c r="U682" s="12">
        <v>313.39999999999998</v>
      </c>
      <c r="V682" s="12">
        <v>308.77</v>
      </c>
      <c r="W682" s="12">
        <v>286.48</v>
      </c>
      <c r="X682" s="12">
        <v>258.64999999999998</v>
      </c>
      <c r="Y682" s="12">
        <v>237.32</v>
      </c>
      <c r="AA682" s="17">
        <f>MAX($B$682:$Z$682)</f>
        <v>313.39999999999998</v>
      </c>
      <c r="AB682" s="17">
        <f>MIN($B$682:$Z$682)</f>
        <v>-39.07</v>
      </c>
      <c r="AC682" s="17">
        <f>AVERAGE($B$682:$Z$682)</f>
        <v>122.8475</v>
      </c>
    </row>
    <row r="683" spans="1:29">
      <c r="A683" s="10">
        <v>45978</v>
      </c>
      <c r="B683" s="12">
        <v>251.17</v>
      </c>
      <c r="C683" s="12">
        <v>247.02</v>
      </c>
      <c r="D683" s="12">
        <v>242.15</v>
      </c>
      <c r="E683" s="12">
        <v>233.81</v>
      </c>
      <c r="F683" s="12">
        <v>221</v>
      </c>
      <c r="G683" s="12">
        <v>224.65</v>
      </c>
      <c r="H683" s="12">
        <v>249.23</v>
      </c>
      <c r="I683" s="12">
        <v>258.86</v>
      </c>
      <c r="J683" s="12">
        <v>263.93</v>
      </c>
      <c r="K683" s="12">
        <v>214.27</v>
      </c>
      <c r="L683" s="12">
        <v>166.35</v>
      </c>
      <c r="M683" s="12">
        <v>191.93</v>
      </c>
      <c r="N683" s="12">
        <v>94.66</v>
      </c>
      <c r="O683" s="12">
        <v>139.65</v>
      </c>
      <c r="P683" s="12">
        <v>179.54</v>
      </c>
      <c r="Q683" s="12">
        <v>251.25</v>
      </c>
      <c r="R683" s="12">
        <v>288.57</v>
      </c>
      <c r="S683" s="12">
        <v>309.43</v>
      </c>
      <c r="T683" s="12">
        <v>338</v>
      </c>
      <c r="U683" s="12">
        <v>306.55</v>
      </c>
      <c r="V683" s="12">
        <v>296.32</v>
      </c>
      <c r="W683" s="12">
        <v>290.38</v>
      </c>
      <c r="X683" s="12">
        <v>269.88</v>
      </c>
      <c r="Y683" s="12">
        <v>254.3</v>
      </c>
      <c r="AA683" s="17">
        <f>MAX($B$683:$Z$683)</f>
        <v>338</v>
      </c>
      <c r="AB683" s="17">
        <f>MIN($B$683:$Z$683)</f>
        <v>94.66</v>
      </c>
      <c r="AC683" s="17">
        <f>AVERAGE($B$683:$Z$683)</f>
        <v>240.95416666666699</v>
      </c>
    </row>
    <row r="684" spans="1:29">
      <c r="A684" s="10">
        <v>45979</v>
      </c>
      <c r="B684" s="12">
        <v>267.64</v>
      </c>
      <c r="C684" s="12">
        <v>259.18</v>
      </c>
      <c r="D684" s="12">
        <v>246.29</v>
      </c>
      <c r="E684" s="12">
        <v>227.1</v>
      </c>
      <c r="F684" s="12">
        <v>218.1</v>
      </c>
      <c r="G684" s="12">
        <v>194.35</v>
      </c>
      <c r="H684" s="12">
        <v>217.04</v>
      </c>
      <c r="I684" s="12">
        <v>220.85</v>
      </c>
      <c r="J684" s="12">
        <v>239.84</v>
      </c>
      <c r="K684" s="12">
        <v>216.95</v>
      </c>
      <c r="L684" s="12">
        <v>138.1</v>
      </c>
      <c r="M684" s="12">
        <v>189.55</v>
      </c>
      <c r="N684" s="12">
        <v>144.77000000000001</v>
      </c>
      <c r="O684" s="12">
        <v>154.34</v>
      </c>
      <c r="P684" s="12">
        <v>170.85</v>
      </c>
      <c r="Q684" s="12">
        <v>180.22</v>
      </c>
      <c r="R684" s="12">
        <v>227.61</v>
      </c>
      <c r="S684" s="12">
        <v>251.19</v>
      </c>
      <c r="T684" s="12">
        <v>256.27</v>
      </c>
      <c r="U684" s="12">
        <v>251.87</v>
      </c>
      <c r="V684" s="12">
        <v>249.85</v>
      </c>
      <c r="W684" s="12">
        <v>240.23</v>
      </c>
      <c r="X684" s="12">
        <v>203.37</v>
      </c>
      <c r="Y684" s="12">
        <v>140.69</v>
      </c>
      <c r="AA684" s="17">
        <f>MAX($B$684:$Z$684)</f>
        <v>267.64</v>
      </c>
      <c r="AB684" s="17">
        <f>MIN($B$684:$Z$684)</f>
        <v>138.1</v>
      </c>
      <c r="AC684" s="17">
        <f>AVERAGE($B$684:$Z$684)</f>
        <v>212.760416666667</v>
      </c>
    </row>
    <row r="685" spans="1:29">
      <c r="A685" s="10">
        <v>45980</v>
      </c>
      <c r="B685" s="12">
        <v>166.45</v>
      </c>
      <c r="C685" s="12">
        <v>125.03</v>
      </c>
      <c r="D685" s="12">
        <v>66.930000000000007</v>
      </c>
      <c r="E685" s="12">
        <v>95.96</v>
      </c>
      <c r="F685" s="12">
        <v>48.99</v>
      </c>
      <c r="G685" s="12">
        <v>67.33</v>
      </c>
      <c r="H685" s="12">
        <v>117.32</v>
      </c>
      <c r="I685" s="12">
        <v>168.71</v>
      </c>
      <c r="J685" s="12">
        <v>241.96</v>
      </c>
      <c r="K685" s="12">
        <v>224.51</v>
      </c>
      <c r="L685" s="12">
        <v>155.54</v>
      </c>
      <c r="M685" s="12">
        <v>117.37</v>
      </c>
      <c r="N685" s="12">
        <v>91.46</v>
      </c>
      <c r="O685" s="12">
        <v>167</v>
      </c>
      <c r="P685" s="12">
        <v>154.09</v>
      </c>
      <c r="Q685" s="12">
        <v>161.11000000000001</v>
      </c>
      <c r="R685" s="12">
        <v>224.79</v>
      </c>
      <c r="S685" s="12">
        <v>275</v>
      </c>
      <c r="T685" s="12">
        <v>277.64</v>
      </c>
      <c r="U685" s="12">
        <v>270.23</v>
      </c>
      <c r="V685" s="12">
        <v>277.99</v>
      </c>
      <c r="W685" s="12">
        <v>264.2</v>
      </c>
      <c r="X685" s="12">
        <v>238.58</v>
      </c>
      <c r="Y685" s="12">
        <v>172.14</v>
      </c>
      <c r="AA685" s="17">
        <f>MAX($B$685:$Z$685)</f>
        <v>277.99</v>
      </c>
      <c r="AB685" s="17">
        <f>MIN($B$685:$Z$685)</f>
        <v>48.99</v>
      </c>
      <c r="AC685" s="17">
        <f>AVERAGE($B$685:$Z$685)</f>
        <v>173.76374999999999</v>
      </c>
    </row>
    <row r="686" spans="1:29">
      <c r="A686" s="10">
        <v>45981</v>
      </c>
      <c r="B686" s="12">
        <v>229.27</v>
      </c>
      <c r="C686" s="12">
        <v>210.64</v>
      </c>
      <c r="D686" s="12">
        <v>200.14</v>
      </c>
      <c r="E686" s="12">
        <v>127.42</v>
      </c>
      <c r="F686" s="12">
        <v>91.81</v>
      </c>
      <c r="G686" s="12">
        <v>87.4</v>
      </c>
      <c r="H686" s="12">
        <v>171.75</v>
      </c>
      <c r="I686" s="12">
        <v>233.77</v>
      </c>
      <c r="J686" s="12">
        <v>247.63</v>
      </c>
      <c r="K686" s="12">
        <v>220.85</v>
      </c>
      <c r="L686" s="12">
        <v>158.19</v>
      </c>
      <c r="M686" s="12">
        <v>151.56</v>
      </c>
      <c r="N686" s="12">
        <v>55.89</v>
      </c>
      <c r="O686" s="12">
        <v>73.930000000000007</v>
      </c>
      <c r="P686" s="12">
        <v>109.5</v>
      </c>
      <c r="Q686" s="12">
        <v>113.21</v>
      </c>
      <c r="R686" s="12">
        <v>247.55</v>
      </c>
      <c r="S686" s="12">
        <v>350.72</v>
      </c>
      <c r="T686" s="12">
        <v>333.34</v>
      </c>
      <c r="U686" s="12">
        <v>324.45</v>
      </c>
      <c r="V686" s="12">
        <v>322.91000000000003</v>
      </c>
      <c r="W686" s="12">
        <v>325.44</v>
      </c>
      <c r="X686" s="12">
        <v>264.23</v>
      </c>
      <c r="Y686" s="12">
        <v>247.69</v>
      </c>
      <c r="AA686" s="17">
        <f>MAX($B$686:$Z$686)</f>
        <v>350.72</v>
      </c>
      <c r="AB686" s="17">
        <f>MIN($B$686:$Z$686)</f>
        <v>55.89</v>
      </c>
      <c r="AC686" s="17">
        <f>AVERAGE($B$686:$Z$686)</f>
        <v>204.13708333333301</v>
      </c>
    </row>
    <row r="687" spans="1:29">
      <c r="A687" s="10">
        <v>45982</v>
      </c>
      <c r="B687" s="12">
        <v>259.72000000000003</v>
      </c>
      <c r="C687" s="12">
        <v>251.59</v>
      </c>
      <c r="D687" s="12">
        <v>193.1</v>
      </c>
      <c r="E687" s="12">
        <v>90.84</v>
      </c>
      <c r="F687" s="12">
        <v>134.9</v>
      </c>
      <c r="G687" s="12">
        <v>102.3</v>
      </c>
      <c r="H687" s="12">
        <v>227.68</v>
      </c>
      <c r="I687" s="12">
        <v>240.24</v>
      </c>
      <c r="J687" s="12">
        <v>218.3</v>
      </c>
      <c r="K687" s="12">
        <v>172.37</v>
      </c>
      <c r="L687" s="12">
        <v>33.68</v>
      </c>
      <c r="M687" s="12">
        <v>-4.9400000000000004</v>
      </c>
      <c r="N687" s="12">
        <v>8.24</v>
      </c>
      <c r="O687" s="12">
        <v>11.07</v>
      </c>
      <c r="P687" s="12">
        <v>1.81</v>
      </c>
      <c r="Q687" s="12">
        <v>46.62</v>
      </c>
      <c r="R687" s="12">
        <v>228.49</v>
      </c>
      <c r="S687" s="12">
        <v>306.39</v>
      </c>
      <c r="T687" s="12">
        <v>323.56</v>
      </c>
      <c r="U687" s="12">
        <v>298.77</v>
      </c>
      <c r="V687" s="12">
        <v>290.79000000000002</v>
      </c>
      <c r="W687" s="12">
        <v>286.55</v>
      </c>
      <c r="X687" s="12">
        <v>283.64</v>
      </c>
      <c r="Y687" s="12">
        <v>259.77999999999997</v>
      </c>
      <c r="AA687" s="17">
        <f>MAX($B$687:$Z$687)</f>
        <v>323.56</v>
      </c>
      <c r="AB687" s="17">
        <f>MIN($B$687:$Z$687)</f>
        <v>-4.9400000000000004</v>
      </c>
      <c r="AC687" s="17">
        <f>AVERAGE($B$687:$Z$687)</f>
        <v>177.72874999999999</v>
      </c>
    </row>
    <row r="688" spans="1:29">
      <c r="A688" s="10">
        <v>45983</v>
      </c>
      <c r="B688" s="12">
        <v>276.97000000000003</v>
      </c>
      <c r="C688" s="12">
        <v>225.86</v>
      </c>
      <c r="D688" s="12">
        <v>195.47</v>
      </c>
      <c r="E688" s="12">
        <v>155.06</v>
      </c>
      <c r="F688" s="12">
        <v>173.85</v>
      </c>
      <c r="G688" s="12">
        <v>144.94999999999999</v>
      </c>
      <c r="H688" s="12">
        <v>165.28</v>
      </c>
      <c r="I688" s="12">
        <v>201.82</v>
      </c>
      <c r="J688" s="12">
        <v>231.35</v>
      </c>
      <c r="K688" s="12">
        <v>113.08</v>
      </c>
      <c r="L688" s="12">
        <v>16.170000000000002</v>
      </c>
      <c r="M688" s="12">
        <v>-11.79</v>
      </c>
      <c r="N688" s="12">
        <v>1.96</v>
      </c>
      <c r="O688" s="12">
        <v>23.28</v>
      </c>
      <c r="P688" s="12">
        <v>-2.5499999999999998</v>
      </c>
      <c r="Q688" s="12">
        <v>142.07</v>
      </c>
      <c r="R688" s="12">
        <v>257.83</v>
      </c>
      <c r="S688" s="12">
        <v>369.97</v>
      </c>
      <c r="T688" s="12">
        <v>329.56</v>
      </c>
      <c r="U688" s="12">
        <v>382.79</v>
      </c>
      <c r="V688" s="12">
        <v>348.75</v>
      </c>
      <c r="W688" s="12">
        <v>345.5</v>
      </c>
      <c r="X688" s="12">
        <v>306.08999999999997</v>
      </c>
      <c r="Y688" s="12">
        <v>267.72000000000003</v>
      </c>
      <c r="AA688" s="17">
        <f>MAX($B$688:$Z$688)</f>
        <v>382.79</v>
      </c>
      <c r="AB688" s="17">
        <f>MIN($B$688:$Z$688)</f>
        <v>-11.79</v>
      </c>
      <c r="AC688" s="17">
        <f>AVERAGE($B$688:$Z$688)</f>
        <v>194.21</v>
      </c>
    </row>
    <row r="689" spans="1:29">
      <c r="A689" s="10">
        <v>45984</v>
      </c>
      <c r="B689" s="12">
        <v>283.47000000000003</v>
      </c>
      <c r="C689" s="12">
        <v>270.33</v>
      </c>
      <c r="D689" s="12">
        <v>263.72000000000003</v>
      </c>
      <c r="E689" s="12">
        <v>255.86</v>
      </c>
      <c r="F689" s="12">
        <v>240.88</v>
      </c>
      <c r="G689" s="12">
        <v>165.54</v>
      </c>
      <c r="H689" s="12">
        <v>223.98</v>
      </c>
      <c r="I689" s="12">
        <v>241.4</v>
      </c>
      <c r="J689" s="12">
        <v>178.56</v>
      </c>
      <c r="K689" s="12">
        <v>17.32</v>
      </c>
      <c r="L689" s="12">
        <v>-19.29</v>
      </c>
      <c r="M689" s="12">
        <v>-21.04</v>
      </c>
      <c r="N689" s="12">
        <v>-16.079999999999998</v>
      </c>
      <c r="O689" s="12">
        <v>-6.99</v>
      </c>
      <c r="P689" s="12">
        <v>-10.54</v>
      </c>
      <c r="Q689" s="12">
        <v>25.15</v>
      </c>
      <c r="R689" s="12">
        <v>244.05</v>
      </c>
      <c r="S689" s="12">
        <v>300.25</v>
      </c>
      <c r="T689" s="12">
        <v>321.75</v>
      </c>
      <c r="U689" s="12">
        <v>301.43</v>
      </c>
      <c r="V689" s="12">
        <v>309.07</v>
      </c>
      <c r="W689" s="12">
        <v>297.51</v>
      </c>
      <c r="X689" s="12">
        <v>272.33</v>
      </c>
      <c r="Y689" s="12">
        <v>260.61</v>
      </c>
      <c r="AA689" s="17">
        <f>MAX($B$689:$Z$689)</f>
        <v>321.75</v>
      </c>
      <c r="AB689" s="17">
        <f>MIN($B$689:$Z$689)</f>
        <v>-21.04</v>
      </c>
      <c r="AC689" s="17">
        <f>AVERAGE($B$689:$Z$689)</f>
        <v>183.30291666666699</v>
      </c>
    </row>
    <row r="690" spans="1:29">
      <c r="A690" s="10">
        <v>45985</v>
      </c>
      <c r="B690" s="12">
        <v>281.22000000000003</v>
      </c>
      <c r="C690" s="12">
        <v>269.19</v>
      </c>
      <c r="D690" s="12">
        <v>260.92</v>
      </c>
      <c r="E690" s="12">
        <v>251.62</v>
      </c>
      <c r="F690" s="12">
        <v>221.36</v>
      </c>
      <c r="G690" s="12">
        <v>242.52</v>
      </c>
      <c r="H690" s="12">
        <v>261.36</v>
      </c>
      <c r="I690" s="12">
        <v>278</v>
      </c>
      <c r="J690" s="12">
        <v>284.83999999999997</v>
      </c>
      <c r="K690" s="12">
        <v>240.61</v>
      </c>
      <c r="L690" s="12">
        <v>86.06</v>
      </c>
      <c r="M690" s="12">
        <v>81.760000000000005</v>
      </c>
      <c r="N690" s="12">
        <v>48.83</v>
      </c>
      <c r="O690" s="12">
        <v>66.81</v>
      </c>
      <c r="P690" s="12">
        <v>82.55</v>
      </c>
      <c r="Q690" s="12">
        <v>132.24</v>
      </c>
      <c r="R690" s="12">
        <v>284.73</v>
      </c>
      <c r="S690" s="12">
        <v>331.77</v>
      </c>
      <c r="T690" s="12">
        <v>309.72000000000003</v>
      </c>
      <c r="U690" s="12">
        <v>300.33999999999997</v>
      </c>
      <c r="V690" s="12">
        <v>308.18</v>
      </c>
      <c r="W690" s="12">
        <v>305.54000000000002</v>
      </c>
      <c r="X690" s="12">
        <v>262.16000000000003</v>
      </c>
      <c r="Y690" s="12">
        <v>236.85</v>
      </c>
      <c r="AA690" s="17">
        <f>MAX($B$690:$Z$690)</f>
        <v>331.77</v>
      </c>
      <c r="AB690" s="17">
        <f>MIN($B$690:$Z$690)</f>
        <v>48.83</v>
      </c>
      <c r="AC690" s="17">
        <f>AVERAGE($B$690:$Z$690)</f>
        <v>226.21583333333299</v>
      </c>
    </row>
    <row r="691" spans="1:29">
      <c r="A691" s="10">
        <v>45986</v>
      </c>
      <c r="B691" s="12">
        <v>262.73</v>
      </c>
      <c r="C691" s="12">
        <v>219.39</v>
      </c>
      <c r="D691" s="12">
        <v>80.86</v>
      </c>
      <c r="E691" s="12">
        <v>48.07</v>
      </c>
      <c r="F691" s="12">
        <v>19.190000000000001</v>
      </c>
      <c r="G691" s="12">
        <v>28.28</v>
      </c>
      <c r="H691" s="12">
        <v>144.41999999999999</v>
      </c>
      <c r="I691" s="12">
        <v>234.89</v>
      </c>
      <c r="J691" s="12">
        <v>203.32</v>
      </c>
      <c r="K691" s="12">
        <v>76.83</v>
      </c>
      <c r="L691" s="12">
        <v>-4.6900000000000004</v>
      </c>
      <c r="M691" s="12">
        <v>-1.95</v>
      </c>
      <c r="N691" s="12">
        <v>-19.07</v>
      </c>
      <c r="O691" s="12">
        <v>4.3099999999999996</v>
      </c>
      <c r="P691" s="12">
        <v>1.81</v>
      </c>
      <c r="Q691" s="12">
        <v>59.61</v>
      </c>
      <c r="R691" s="12">
        <v>186.38</v>
      </c>
      <c r="S691" s="12">
        <v>305.31</v>
      </c>
      <c r="T691" s="12">
        <v>322.79000000000002</v>
      </c>
      <c r="U691" s="12">
        <v>319.60000000000002</v>
      </c>
      <c r="V691" s="12">
        <v>283.70999999999998</v>
      </c>
      <c r="W691" s="12">
        <v>284</v>
      </c>
      <c r="X691" s="12">
        <v>254.97</v>
      </c>
      <c r="Y691" s="12">
        <v>185.81</v>
      </c>
      <c r="AA691" s="17">
        <f>MAX($B$691:$Z$691)</f>
        <v>322.79000000000002</v>
      </c>
      <c r="AB691" s="17">
        <f>MIN($B$691:$Z$691)</f>
        <v>-19.07</v>
      </c>
      <c r="AC691" s="17">
        <f>AVERAGE($B$691:$Z$691)</f>
        <v>145.85708333333301</v>
      </c>
    </row>
    <row r="692" spans="1:29">
      <c r="A692" s="10">
        <v>45987</v>
      </c>
      <c r="B692" s="12">
        <v>248.29</v>
      </c>
      <c r="C692" s="12">
        <v>236.56</v>
      </c>
      <c r="D692" s="12">
        <v>203.82</v>
      </c>
      <c r="E692" s="12">
        <v>194.6</v>
      </c>
      <c r="F692" s="12">
        <v>72.08</v>
      </c>
      <c r="G692" s="12">
        <v>99.8</v>
      </c>
      <c r="H692" s="12">
        <v>189.27</v>
      </c>
      <c r="I692" s="12">
        <v>246.87</v>
      </c>
      <c r="J692" s="12">
        <v>192.07</v>
      </c>
      <c r="K692" s="12">
        <v>69.209999999999994</v>
      </c>
      <c r="L692" s="12">
        <v>64.69</v>
      </c>
      <c r="M692" s="12">
        <v>55.42</v>
      </c>
      <c r="N692" s="12">
        <v>-12.44</v>
      </c>
      <c r="O692" s="12">
        <v>-15.43</v>
      </c>
      <c r="P692" s="12">
        <v>-39.68</v>
      </c>
      <c r="Q692" s="12">
        <v>-17.91</v>
      </c>
      <c r="R692" s="12">
        <v>228.86</v>
      </c>
      <c r="S692" s="12">
        <v>282.98</v>
      </c>
      <c r="T692" s="12">
        <v>327.58999999999997</v>
      </c>
      <c r="U692" s="12">
        <v>292.48</v>
      </c>
      <c r="V692" s="12">
        <v>276.89999999999998</v>
      </c>
      <c r="W692" s="12">
        <v>269.48</v>
      </c>
      <c r="X692" s="12">
        <v>243.99</v>
      </c>
      <c r="Y692" s="12">
        <v>91.25</v>
      </c>
      <c r="AA692" s="17">
        <f>MAX($B$692:$Z$692)</f>
        <v>327.58999999999997</v>
      </c>
      <c r="AB692" s="17">
        <f>MIN($B$692:$Z$692)</f>
        <v>-39.68</v>
      </c>
      <c r="AC692" s="17">
        <f>AVERAGE($B$692:$Z$692)</f>
        <v>158.364583333333</v>
      </c>
    </row>
    <row r="693" spans="1:29">
      <c r="A693" s="10">
        <v>45988</v>
      </c>
      <c r="B693" s="12">
        <v>182.17</v>
      </c>
      <c r="C693" s="12">
        <v>117.41</v>
      </c>
      <c r="D693" s="12">
        <v>200.46</v>
      </c>
      <c r="E693" s="12">
        <v>98.6</v>
      </c>
      <c r="F693" s="12">
        <v>46.7</v>
      </c>
      <c r="G693" s="12">
        <v>57.77</v>
      </c>
      <c r="H693" s="12">
        <v>115.22</v>
      </c>
      <c r="I693" s="12">
        <v>202.54</v>
      </c>
      <c r="J693" s="12">
        <v>219.55</v>
      </c>
      <c r="K693" s="12">
        <v>154.25</v>
      </c>
      <c r="L693" s="12">
        <v>79.63</v>
      </c>
      <c r="M693" s="12">
        <v>74.06</v>
      </c>
      <c r="N693" s="12">
        <v>3.85</v>
      </c>
      <c r="O693" s="12">
        <v>18.940000000000001</v>
      </c>
      <c r="P693" s="12">
        <v>86.88</v>
      </c>
      <c r="Q693" s="12">
        <v>122.12</v>
      </c>
      <c r="R693" s="12">
        <v>191.97</v>
      </c>
      <c r="S693" s="12">
        <v>270.51</v>
      </c>
      <c r="T693" s="12">
        <v>334.59</v>
      </c>
      <c r="U693" s="12">
        <v>262.92</v>
      </c>
      <c r="V693" s="12">
        <v>272.45999999999998</v>
      </c>
      <c r="W693" s="12">
        <v>265.61</v>
      </c>
      <c r="X693" s="12">
        <v>242.89</v>
      </c>
      <c r="Y693" s="12">
        <v>209.61</v>
      </c>
      <c r="AA693" s="17">
        <f>MAX($B$693:$Z$693)</f>
        <v>334.59</v>
      </c>
      <c r="AB693" s="17">
        <f>MIN($B$693:$Z$693)</f>
        <v>3.85</v>
      </c>
      <c r="AC693" s="17">
        <f>AVERAGE($B$693:$Z$693)</f>
        <v>159.61291666666699</v>
      </c>
    </row>
    <row r="694" spans="1:29">
      <c r="A694" s="10">
        <v>45989</v>
      </c>
      <c r="B694" s="12">
        <v>244.43</v>
      </c>
      <c r="C694" s="12">
        <v>244.7</v>
      </c>
      <c r="D694" s="12">
        <v>241.5</v>
      </c>
      <c r="E694" s="12">
        <v>234.33</v>
      </c>
      <c r="F694" s="12">
        <v>174.47</v>
      </c>
      <c r="G694" s="12">
        <v>191.36</v>
      </c>
      <c r="H694" s="12">
        <v>229.72</v>
      </c>
      <c r="I694" s="12">
        <v>243.23</v>
      </c>
      <c r="J694" s="12">
        <v>209.72</v>
      </c>
      <c r="K694" s="12">
        <v>80.38</v>
      </c>
      <c r="L694" s="12">
        <v>62.53</v>
      </c>
      <c r="M694" s="12">
        <v>54.57</v>
      </c>
      <c r="N694" s="12">
        <v>-5.76</v>
      </c>
      <c r="O694" s="12">
        <v>34.96</v>
      </c>
      <c r="P694" s="12">
        <v>-3.06</v>
      </c>
      <c r="Q694" s="12">
        <v>-11.58</v>
      </c>
      <c r="R694" s="12">
        <v>193.38</v>
      </c>
      <c r="S694" s="12">
        <v>476.99</v>
      </c>
      <c r="T694" s="12">
        <v>427.87</v>
      </c>
      <c r="U694" s="12">
        <v>336.58</v>
      </c>
      <c r="V694" s="12">
        <v>353.76</v>
      </c>
      <c r="W694" s="12">
        <v>299.14999999999998</v>
      </c>
      <c r="X694" s="12">
        <v>298.52</v>
      </c>
      <c r="Y694" s="12">
        <v>278.49</v>
      </c>
      <c r="AA694" s="17">
        <f>MAX($B$694:$Z$694)</f>
        <v>476.99</v>
      </c>
      <c r="AB694" s="17">
        <f>MIN($B$694:$Z$694)</f>
        <v>-11.58</v>
      </c>
      <c r="AC694" s="17">
        <f>AVERAGE($B$694:$Z$694)</f>
        <v>203.76</v>
      </c>
    </row>
    <row r="695" spans="1:29">
      <c r="A695" s="10">
        <v>45990</v>
      </c>
      <c r="B695" s="12">
        <v>303.62</v>
      </c>
      <c r="C695" s="12">
        <v>299.55</v>
      </c>
      <c r="D695" s="12">
        <v>288.08999999999997</v>
      </c>
      <c r="E695" s="12">
        <v>279.74</v>
      </c>
      <c r="F695" s="12">
        <v>258.45</v>
      </c>
      <c r="G695" s="12">
        <v>264</v>
      </c>
      <c r="H695" s="12">
        <v>264.79000000000002</v>
      </c>
      <c r="I695" s="12">
        <v>270.02</v>
      </c>
      <c r="J695" s="12">
        <v>231</v>
      </c>
      <c r="K695" s="12">
        <v>56.83</v>
      </c>
      <c r="L695" s="12">
        <v>-24.65</v>
      </c>
      <c r="M695" s="12">
        <v>-25.72</v>
      </c>
      <c r="N695" s="12">
        <v>-44.35</v>
      </c>
      <c r="O695" s="12">
        <v>-12.49</v>
      </c>
      <c r="P695" s="12">
        <v>24.85</v>
      </c>
      <c r="Q695" s="12">
        <v>47.34</v>
      </c>
      <c r="R695" s="12">
        <v>244.83</v>
      </c>
      <c r="S695" s="12">
        <v>333.85</v>
      </c>
      <c r="T695" s="12">
        <v>317.35000000000002</v>
      </c>
      <c r="U695" s="12">
        <v>306.57</v>
      </c>
      <c r="V695" s="12">
        <v>322.47000000000003</v>
      </c>
      <c r="W695" s="12">
        <v>334.49</v>
      </c>
      <c r="X695" s="12">
        <v>293.95</v>
      </c>
      <c r="Y695" s="12">
        <v>272.24</v>
      </c>
      <c r="AA695" s="17">
        <f>MAX($B$695:$Z$695)</f>
        <v>334.49</v>
      </c>
      <c r="AB695" s="17">
        <f>MIN($B$695:$Z$695)</f>
        <v>-44.35</v>
      </c>
      <c r="AC695" s="17">
        <f>AVERAGE($B$695:$Z$695)</f>
        <v>204.45083333333301</v>
      </c>
    </row>
    <row r="696" spans="1:29">
      <c r="A696" s="10">
        <v>45991</v>
      </c>
      <c r="B696" s="12">
        <v>297.04000000000002</v>
      </c>
      <c r="C696" s="12">
        <v>289.37</v>
      </c>
      <c r="D696" s="12">
        <v>277.56</v>
      </c>
      <c r="E696" s="12">
        <v>270.42</v>
      </c>
      <c r="F696" s="12">
        <v>262.38</v>
      </c>
      <c r="G696" s="12">
        <v>259.79000000000002</v>
      </c>
      <c r="H696" s="12">
        <v>261.25</v>
      </c>
      <c r="I696" s="12">
        <v>268.13</v>
      </c>
      <c r="J696" s="12">
        <v>230.02</v>
      </c>
      <c r="K696" s="12">
        <v>221.11</v>
      </c>
      <c r="L696" s="12">
        <v>67.09</v>
      </c>
      <c r="M696" s="12">
        <v>157.83000000000001</v>
      </c>
      <c r="N696" s="12">
        <v>130.55000000000001</v>
      </c>
      <c r="O696" s="12">
        <v>190.4</v>
      </c>
      <c r="P696" s="12">
        <v>166.39</v>
      </c>
      <c r="Q696" s="12">
        <v>166.74</v>
      </c>
      <c r="R696" s="12">
        <v>278.52999999999997</v>
      </c>
      <c r="S696" s="12">
        <v>327.5</v>
      </c>
      <c r="T696" s="12">
        <v>296.93</v>
      </c>
      <c r="U696" s="12">
        <v>290.19</v>
      </c>
      <c r="V696" s="12">
        <v>302.02</v>
      </c>
      <c r="W696" s="12">
        <v>301.11</v>
      </c>
      <c r="X696" s="12">
        <v>295.52</v>
      </c>
      <c r="Y696" s="12">
        <v>281.29000000000002</v>
      </c>
      <c r="AA696" s="17">
        <f>MAX($B$696:$Z$696)</f>
        <v>327.5</v>
      </c>
      <c r="AB696" s="17">
        <f>MIN($B$696:$Z$696)</f>
        <v>67.09</v>
      </c>
      <c r="AC696" s="17">
        <f>AVERAGE($B$696:$Z$696)</f>
        <v>245.381666666667</v>
      </c>
    </row>
    <row r="697" spans="1:29">
      <c r="A697" s="10">
        <v>45992</v>
      </c>
      <c r="B697" s="12">
        <v>319.22000000000003</v>
      </c>
      <c r="C697" s="12">
        <v>305.33</v>
      </c>
      <c r="D697" s="12">
        <v>284.98</v>
      </c>
      <c r="E697" s="12">
        <v>275.32</v>
      </c>
      <c r="F697" s="12">
        <v>271.97000000000003</v>
      </c>
      <c r="G697" s="12">
        <v>273.85000000000002</v>
      </c>
      <c r="H697" s="12">
        <v>297.72000000000003</v>
      </c>
      <c r="I697" s="12">
        <v>332.76</v>
      </c>
      <c r="J697" s="12">
        <v>412.44</v>
      </c>
      <c r="K697" s="12">
        <v>327.14999999999998</v>
      </c>
      <c r="L697" s="12">
        <v>240.09</v>
      </c>
      <c r="M697" s="12">
        <v>207.44</v>
      </c>
      <c r="N697" s="12">
        <v>97.94</v>
      </c>
      <c r="O697" s="12">
        <v>92.94</v>
      </c>
      <c r="P697" s="12">
        <v>174.94</v>
      </c>
      <c r="Q697" s="12">
        <v>253.69</v>
      </c>
      <c r="R697" s="12">
        <v>287.45</v>
      </c>
      <c r="S697" s="12">
        <v>292.70999999999998</v>
      </c>
      <c r="T697" s="12">
        <v>325.56</v>
      </c>
      <c r="U697" s="12">
        <v>305.26</v>
      </c>
      <c r="V697" s="12">
        <v>311.95999999999998</v>
      </c>
      <c r="W697" s="12">
        <v>332.87</v>
      </c>
      <c r="X697" s="12">
        <v>341.72</v>
      </c>
      <c r="Y697" s="12">
        <v>303.51</v>
      </c>
      <c r="AA697" s="17">
        <f>MAX($B$697:$Z$697)</f>
        <v>412.44</v>
      </c>
      <c r="AB697" s="17">
        <f>MIN($B$697:$Z$697)</f>
        <v>92.94</v>
      </c>
      <c r="AC697" s="17">
        <f>AVERAGE($B$697:$Z$697)</f>
        <v>277.86750000000001</v>
      </c>
    </row>
    <row r="698" spans="1:29">
      <c r="A698" s="10">
        <v>45993</v>
      </c>
      <c r="B698" s="12">
        <v>382.32</v>
      </c>
      <c r="C698" s="12">
        <v>366.89</v>
      </c>
      <c r="D698" s="12">
        <v>335.31</v>
      </c>
      <c r="E698" s="12">
        <v>303.45999999999998</v>
      </c>
      <c r="F698" s="12">
        <v>303.14999999999998</v>
      </c>
      <c r="G698" s="12">
        <v>312.85000000000002</v>
      </c>
      <c r="H698" s="12">
        <v>428.93</v>
      </c>
      <c r="I698" s="12">
        <v>490.58</v>
      </c>
      <c r="J698" s="12">
        <v>766.27</v>
      </c>
      <c r="K698" s="12">
        <v>545.08000000000004</v>
      </c>
      <c r="L698" s="12">
        <v>433.03</v>
      </c>
      <c r="M698" s="12">
        <v>394.84</v>
      </c>
      <c r="N698" s="12">
        <v>310.26</v>
      </c>
      <c r="O698" s="12">
        <v>367.6</v>
      </c>
      <c r="P698" s="12">
        <v>321.36</v>
      </c>
      <c r="Q698" s="12">
        <v>400.66</v>
      </c>
      <c r="R698" s="12">
        <v>531.07000000000005</v>
      </c>
      <c r="S698" s="12">
        <v>549.95000000000005</v>
      </c>
      <c r="T698" s="12">
        <v>435.58</v>
      </c>
      <c r="U698" s="12">
        <v>401.93</v>
      </c>
      <c r="V698" s="12">
        <v>341</v>
      </c>
      <c r="W698" s="12">
        <v>327.33999999999997</v>
      </c>
      <c r="X698" s="12">
        <v>287.43</v>
      </c>
      <c r="Y698" s="12">
        <v>256.8</v>
      </c>
      <c r="AA698" s="17">
        <f>MAX($B$698:$Z$698)</f>
        <v>766.27</v>
      </c>
      <c r="AB698" s="17">
        <f>MIN($B$698:$Z$698)</f>
        <v>256.8</v>
      </c>
      <c r="AC698" s="17">
        <f>AVERAGE($B$698:$Z$698)</f>
        <v>399.73708333333298</v>
      </c>
    </row>
    <row r="699" spans="1:29">
      <c r="A699" s="10">
        <v>45994</v>
      </c>
      <c r="B699" s="12">
        <v>297.94</v>
      </c>
      <c r="C699" s="12">
        <v>277.58999999999997</v>
      </c>
      <c r="D699" s="12">
        <v>268.27999999999997</v>
      </c>
      <c r="E699" s="12">
        <v>261.18</v>
      </c>
      <c r="F699" s="12">
        <v>242.99</v>
      </c>
      <c r="G699" s="12">
        <v>236.68</v>
      </c>
      <c r="H699" s="12">
        <v>245.41</v>
      </c>
      <c r="I699" s="12">
        <v>262.69</v>
      </c>
      <c r="J699" s="12">
        <v>285.24</v>
      </c>
      <c r="K699" s="12">
        <v>271.87</v>
      </c>
      <c r="L699" s="12">
        <v>218.47</v>
      </c>
      <c r="M699" s="12">
        <v>117</v>
      </c>
      <c r="N699" s="12">
        <v>8.52</v>
      </c>
      <c r="O699" s="12">
        <v>30.73</v>
      </c>
      <c r="P699" s="12">
        <v>118.35</v>
      </c>
      <c r="Q699" s="12">
        <v>232.48</v>
      </c>
      <c r="R699" s="12">
        <v>269.25</v>
      </c>
      <c r="S699" s="12">
        <v>293.70999999999998</v>
      </c>
      <c r="T699" s="12">
        <v>306.85000000000002</v>
      </c>
      <c r="U699" s="12">
        <v>295.76</v>
      </c>
      <c r="V699" s="12">
        <v>306.43</v>
      </c>
      <c r="W699" s="12">
        <v>293.41000000000003</v>
      </c>
      <c r="X699" s="12">
        <v>257.93</v>
      </c>
      <c r="Y699" s="12">
        <v>222.66</v>
      </c>
      <c r="AA699" s="17">
        <f>MAX($B$699:$Z$699)</f>
        <v>306.85000000000002</v>
      </c>
      <c r="AB699" s="17">
        <f>MIN($B$699:$Z$699)</f>
        <v>8.52</v>
      </c>
      <c r="AC699" s="17">
        <f>AVERAGE($B$699:$Z$699)</f>
        <v>234.22583333333299</v>
      </c>
    </row>
    <row r="700" spans="1:29">
      <c r="A700" s="10">
        <v>45995</v>
      </c>
      <c r="B700" s="12">
        <v>254.39</v>
      </c>
      <c r="C700" s="12">
        <v>244.18</v>
      </c>
      <c r="D700" s="12">
        <v>238.96</v>
      </c>
      <c r="E700" s="12">
        <v>235.01</v>
      </c>
      <c r="F700" s="12">
        <v>228.43</v>
      </c>
      <c r="G700" s="12">
        <v>232.41</v>
      </c>
      <c r="H700" s="12">
        <v>244.31</v>
      </c>
      <c r="I700" s="12">
        <v>269.23</v>
      </c>
      <c r="J700" s="12">
        <v>314.42</v>
      </c>
      <c r="K700" s="12">
        <v>318.91000000000003</v>
      </c>
      <c r="L700" s="12">
        <v>262.02</v>
      </c>
      <c r="M700" s="12">
        <v>182.55</v>
      </c>
      <c r="N700" s="12">
        <v>97.09</v>
      </c>
      <c r="O700" s="12">
        <v>80.849999999999994</v>
      </c>
      <c r="P700" s="12">
        <v>65.84</v>
      </c>
      <c r="Q700" s="12">
        <v>195.98</v>
      </c>
      <c r="R700" s="12">
        <v>291.82</v>
      </c>
      <c r="S700" s="12">
        <v>361.23</v>
      </c>
      <c r="T700" s="12">
        <v>337.68</v>
      </c>
      <c r="U700" s="12">
        <v>298.89999999999998</v>
      </c>
      <c r="V700" s="12">
        <v>315.72000000000003</v>
      </c>
      <c r="W700" s="12">
        <v>310.22000000000003</v>
      </c>
      <c r="X700" s="12">
        <v>269.99</v>
      </c>
      <c r="Y700" s="12">
        <v>253.92</v>
      </c>
      <c r="AA700" s="17">
        <f>MAX($B$700:$Z$700)</f>
        <v>361.23</v>
      </c>
      <c r="AB700" s="17">
        <f>MIN($B$700:$Z$700)</f>
        <v>65.84</v>
      </c>
      <c r="AC700" s="17">
        <f>AVERAGE($B$700:$Z$700)</f>
        <v>246.0025</v>
      </c>
    </row>
    <row r="701" spans="1:29">
      <c r="A701" s="10">
        <v>45996</v>
      </c>
      <c r="B701" s="12">
        <v>287.02999999999997</v>
      </c>
      <c r="C701" s="12">
        <v>273.39999999999998</v>
      </c>
      <c r="D701" s="12">
        <v>264.08</v>
      </c>
      <c r="E701" s="12">
        <v>258.66000000000003</v>
      </c>
      <c r="F701" s="12">
        <v>257.17</v>
      </c>
      <c r="G701" s="12">
        <v>264.44</v>
      </c>
      <c r="H701" s="12">
        <v>279.70999999999998</v>
      </c>
      <c r="I701" s="12">
        <v>300.95</v>
      </c>
      <c r="J701" s="12">
        <v>337.07</v>
      </c>
      <c r="K701" s="12">
        <v>290.64999999999998</v>
      </c>
      <c r="L701" s="12">
        <v>244.42</v>
      </c>
      <c r="M701" s="12">
        <v>219.51</v>
      </c>
      <c r="N701" s="12">
        <v>101.35</v>
      </c>
      <c r="O701" s="12">
        <v>113.46</v>
      </c>
      <c r="P701" s="12">
        <v>151.46</v>
      </c>
      <c r="Q701" s="12">
        <v>236.26</v>
      </c>
      <c r="R701" s="12">
        <v>312.63</v>
      </c>
      <c r="S701" s="12">
        <v>329.72</v>
      </c>
      <c r="T701" s="12">
        <v>349.43</v>
      </c>
      <c r="U701" s="12">
        <v>358.94</v>
      </c>
      <c r="V701" s="12">
        <v>306.98</v>
      </c>
      <c r="W701" s="12">
        <v>322.77999999999997</v>
      </c>
      <c r="X701" s="12">
        <v>343.95</v>
      </c>
      <c r="Y701" s="12">
        <v>294.24</v>
      </c>
      <c r="AA701" s="17">
        <f>MAX($B$701:$Z$701)</f>
        <v>358.94</v>
      </c>
      <c r="AB701" s="17">
        <f>MIN($B$701:$Z$701)</f>
        <v>101.35</v>
      </c>
      <c r="AC701" s="17">
        <f>AVERAGE($B$701:$Z$701)</f>
        <v>270.76208333333301</v>
      </c>
    </row>
    <row r="702" spans="1:29">
      <c r="A702" s="10">
        <v>45997</v>
      </c>
      <c r="B702" s="12">
        <v>376.15</v>
      </c>
      <c r="C702" s="12">
        <v>331.54</v>
      </c>
      <c r="D702" s="12">
        <v>310.62</v>
      </c>
      <c r="E702" s="12">
        <v>311.33</v>
      </c>
      <c r="F702" s="12">
        <v>292.89999999999998</v>
      </c>
      <c r="G702" s="12">
        <v>279.85000000000002</v>
      </c>
      <c r="H702" s="12">
        <v>287.91000000000003</v>
      </c>
      <c r="I702" s="12">
        <v>294.39999999999998</v>
      </c>
      <c r="J702" s="12">
        <v>308.24</v>
      </c>
      <c r="K702" s="12">
        <v>291.97000000000003</v>
      </c>
      <c r="L702" s="12">
        <v>258.35000000000002</v>
      </c>
      <c r="M702" s="12">
        <v>201.2</v>
      </c>
      <c r="N702" s="12">
        <v>131.5</v>
      </c>
      <c r="O702" s="12">
        <v>115.55</v>
      </c>
      <c r="P702" s="12">
        <v>137.27000000000001</v>
      </c>
      <c r="Q702" s="12">
        <v>238.61</v>
      </c>
      <c r="R702" s="12">
        <v>289.27999999999997</v>
      </c>
      <c r="S702" s="12">
        <v>333.57</v>
      </c>
      <c r="T702" s="12">
        <v>527.84</v>
      </c>
      <c r="U702" s="12">
        <v>395.11</v>
      </c>
      <c r="V702" s="12">
        <v>329.46</v>
      </c>
      <c r="W702" s="12">
        <v>316.43</v>
      </c>
      <c r="X702" s="12">
        <v>305.76</v>
      </c>
      <c r="Y702" s="12">
        <v>285.66000000000003</v>
      </c>
      <c r="AA702" s="17">
        <f>MAX($B$702:$Z$702)</f>
        <v>527.84</v>
      </c>
      <c r="AB702" s="17">
        <f>MIN($B$702:$Z$702)</f>
        <v>115.55</v>
      </c>
      <c r="AC702" s="17">
        <f>AVERAGE($B$702:$Z$702)</f>
        <v>289.60416666666703</v>
      </c>
    </row>
    <row r="703" spans="1:29">
      <c r="A703" s="10">
        <v>45998</v>
      </c>
      <c r="B703" s="12">
        <v>304.14</v>
      </c>
      <c r="C703" s="12">
        <v>287.51</v>
      </c>
      <c r="D703" s="12">
        <v>281.07</v>
      </c>
      <c r="E703" s="12">
        <v>276.31</v>
      </c>
      <c r="F703" s="12">
        <v>274.29000000000002</v>
      </c>
      <c r="G703" s="12">
        <v>271.17</v>
      </c>
      <c r="H703" s="12">
        <v>276.18</v>
      </c>
      <c r="I703" s="12">
        <v>277.95</v>
      </c>
      <c r="J703" s="12">
        <v>270.31</v>
      </c>
      <c r="K703" s="12">
        <v>228.03</v>
      </c>
      <c r="L703" s="12">
        <v>89.02</v>
      </c>
      <c r="M703" s="12">
        <v>3.9</v>
      </c>
      <c r="N703" s="12">
        <v>-30.06</v>
      </c>
      <c r="O703" s="12">
        <v>-1.32</v>
      </c>
      <c r="P703" s="12">
        <v>-27.8</v>
      </c>
      <c r="Q703" s="12">
        <v>69.42</v>
      </c>
      <c r="R703" s="12">
        <v>263.93</v>
      </c>
      <c r="S703" s="12">
        <v>337.27</v>
      </c>
      <c r="T703" s="12">
        <v>711.52</v>
      </c>
      <c r="U703" s="12">
        <v>568.39</v>
      </c>
      <c r="V703" s="12">
        <v>345.44</v>
      </c>
      <c r="W703" s="12">
        <v>365.93</v>
      </c>
      <c r="X703" s="12">
        <v>297.57</v>
      </c>
      <c r="Y703" s="12">
        <v>271.29000000000002</v>
      </c>
      <c r="AA703" s="17">
        <f>MAX($B$703:$Z$703)</f>
        <v>711.52</v>
      </c>
      <c r="AB703" s="17">
        <f>MIN($B$703:$Z$703)</f>
        <v>-30.06</v>
      </c>
      <c r="AC703" s="17">
        <f>AVERAGE($B$703:$Z$703)</f>
        <v>250.47749999999999</v>
      </c>
    </row>
    <row r="704" spans="1:29">
      <c r="A704" s="10">
        <v>45999</v>
      </c>
      <c r="B704" s="12">
        <v>278.8</v>
      </c>
      <c r="C704" s="12">
        <v>265.86</v>
      </c>
      <c r="D704" s="12">
        <v>261.45999999999998</v>
      </c>
      <c r="E704" s="12">
        <v>251.13</v>
      </c>
      <c r="F704" s="12">
        <v>239.18</v>
      </c>
      <c r="G704" s="12">
        <v>242.74</v>
      </c>
      <c r="H704" s="12">
        <v>264.52999999999997</v>
      </c>
      <c r="I704" s="12">
        <v>271.52</v>
      </c>
      <c r="J704" s="12">
        <v>273.49</v>
      </c>
      <c r="K704" s="12">
        <v>195.99</v>
      </c>
      <c r="L704" s="12">
        <v>134.88</v>
      </c>
      <c r="M704" s="12">
        <v>108.75</v>
      </c>
      <c r="N704" s="12">
        <v>-7.65</v>
      </c>
      <c r="O704" s="12">
        <v>37.979999999999997</v>
      </c>
      <c r="P704" s="12">
        <v>21.71</v>
      </c>
      <c r="Q704" s="12">
        <v>151.04</v>
      </c>
      <c r="R704" s="12">
        <v>281.7</v>
      </c>
      <c r="S704" s="12">
        <v>447.56</v>
      </c>
      <c r="T704" s="12">
        <v>994.54</v>
      </c>
      <c r="U704" s="12">
        <v>365.04</v>
      </c>
      <c r="V704" s="12">
        <v>360.95</v>
      </c>
      <c r="W704" s="12">
        <v>296.86</v>
      </c>
      <c r="X704" s="12">
        <v>292.64999999999998</v>
      </c>
      <c r="Y704" s="12">
        <v>275.7</v>
      </c>
      <c r="AA704" s="17">
        <f>MAX($B$704:$Z$704)</f>
        <v>994.54</v>
      </c>
      <c r="AB704" s="17">
        <f>MIN($B$704:$Z$704)</f>
        <v>-7.65</v>
      </c>
      <c r="AC704" s="17">
        <f>AVERAGE($B$704:$Z$704)</f>
        <v>262.76708333333301</v>
      </c>
    </row>
    <row r="705" spans="1:29">
      <c r="A705" s="10">
        <v>46000</v>
      </c>
      <c r="B705" s="12">
        <v>289.33</v>
      </c>
      <c r="C705" s="12">
        <v>275.22000000000003</v>
      </c>
      <c r="D705" s="12">
        <v>267.95</v>
      </c>
      <c r="E705" s="12">
        <v>259.77999999999997</v>
      </c>
      <c r="F705" s="12">
        <v>255.8</v>
      </c>
      <c r="G705" s="12">
        <v>242.1</v>
      </c>
      <c r="H705" s="12">
        <v>271.61</v>
      </c>
      <c r="I705" s="12">
        <v>271.45999999999998</v>
      </c>
      <c r="J705" s="12">
        <v>274.62</v>
      </c>
      <c r="K705" s="12">
        <v>217.05</v>
      </c>
      <c r="L705" s="12">
        <v>126.79</v>
      </c>
      <c r="M705" s="12">
        <v>81.94</v>
      </c>
      <c r="N705" s="12">
        <v>-0.48</v>
      </c>
      <c r="O705" s="12">
        <v>56.98</v>
      </c>
      <c r="P705" s="12">
        <v>53.8</v>
      </c>
      <c r="Q705" s="12">
        <v>170.79</v>
      </c>
      <c r="R705" s="12">
        <v>295.02</v>
      </c>
      <c r="S705" s="12">
        <v>422.51</v>
      </c>
      <c r="T705" s="12">
        <v>623.62</v>
      </c>
      <c r="U705" s="12">
        <v>434.92</v>
      </c>
      <c r="V705" s="12">
        <v>352.81</v>
      </c>
      <c r="W705" s="12">
        <v>334.42</v>
      </c>
      <c r="X705" s="12">
        <v>298.05</v>
      </c>
      <c r="Y705" s="12">
        <v>276.33</v>
      </c>
      <c r="AA705" s="17">
        <f>MAX($B$705:$Z$705)</f>
        <v>623.62</v>
      </c>
      <c r="AB705" s="17">
        <f>MIN($B$705:$Z$705)</f>
        <v>-0.48</v>
      </c>
      <c r="AC705" s="17">
        <f>AVERAGE($B$705:$Z$705)</f>
        <v>256.35083333333301</v>
      </c>
    </row>
    <row r="706" spans="1:29">
      <c r="A706" s="10">
        <v>46001</v>
      </c>
      <c r="B706" s="12">
        <v>293.32</v>
      </c>
      <c r="C706" s="12">
        <v>308.44</v>
      </c>
      <c r="D706" s="12">
        <v>289.55</v>
      </c>
      <c r="E706" s="12">
        <v>293.24</v>
      </c>
      <c r="F706" s="12">
        <v>273.2</v>
      </c>
      <c r="G706" s="12">
        <v>281.91000000000003</v>
      </c>
      <c r="H706" s="12">
        <v>299.31</v>
      </c>
      <c r="I706" s="12">
        <v>293.55</v>
      </c>
      <c r="J706" s="12">
        <v>343</v>
      </c>
      <c r="K706" s="12">
        <v>360.89</v>
      </c>
      <c r="L706" s="12">
        <v>306.91000000000003</v>
      </c>
      <c r="M706" s="12">
        <v>277.19</v>
      </c>
      <c r="N706" s="12">
        <v>258.37</v>
      </c>
      <c r="O706" s="12">
        <v>273.72000000000003</v>
      </c>
      <c r="P706" s="12">
        <v>268.07</v>
      </c>
      <c r="Q706" s="12">
        <v>277.3</v>
      </c>
      <c r="R706" s="12">
        <v>310.64</v>
      </c>
      <c r="S706" s="12">
        <v>401.68</v>
      </c>
      <c r="T706" s="12">
        <v>498.11</v>
      </c>
      <c r="U706" s="12">
        <v>426.19</v>
      </c>
      <c r="V706" s="12">
        <v>474.08</v>
      </c>
      <c r="W706" s="12">
        <v>426</v>
      </c>
      <c r="X706" s="12">
        <v>352.32</v>
      </c>
      <c r="Y706" s="12">
        <v>310.79000000000002</v>
      </c>
      <c r="AA706" s="17">
        <f>MAX($B$706:$Z$706)</f>
        <v>498.11</v>
      </c>
      <c r="AB706" s="17">
        <f>MIN($B$706:$Z$706)</f>
        <v>258.37</v>
      </c>
      <c r="AC706" s="17">
        <f>AVERAGE($B$706:$Z$706)</f>
        <v>329.074166666667</v>
      </c>
    </row>
    <row r="707" spans="1:29">
      <c r="A707" s="10">
        <v>46002</v>
      </c>
      <c r="B707" s="12">
        <v>302.23</v>
      </c>
      <c r="C707" s="12">
        <v>308</v>
      </c>
      <c r="D707" s="12">
        <v>303.48</v>
      </c>
      <c r="E707" s="12">
        <v>291.42</v>
      </c>
      <c r="F707" s="12">
        <v>288.17</v>
      </c>
      <c r="G707" s="12">
        <v>294.67</v>
      </c>
      <c r="H707" s="12">
        <v>302.61</v>
      </c>
      <c r="I707" s="12">
        <v>315.37</v>
      </c>
      <c r="J707" s="12">
        <v>338.07</v>
      </c>
      <c r="K707" s="12">
        <v>358.57</v>
      </c>
      <c r="L707" s="12">
        <v>298.08</v>
      </c>
      <c r="M707" s="12">
        <v>255.73</v>
      </c>
      <c r="N707" s="12">
        <v>194.38</v>
      </c>
      <c r="O707" s="12">
        <v>220.57</v>
      </c>
      <c r="P707" s="12">
        <v>256.3</v>
      </c>
      <c r="Q707" s="12">
        <v>278.14</v>
      </c>
      <c r="R707" s="12">
        <v>316.95</v>
      </c>
      <c r="S707" s="12">
        <v>371.76</v>
      </c>
      <c r="T707" s="12">
        <v>432.89</v>
      </c>
      <c r="U707" s="12">
        <v>360.86</v>
      </c>
      <c r="V707" s="12">
        <v>372.05</v>
      </c>
      <c r="W707" s="12">
        <v>356.68</v>
      </c>
      <c r="X707" s="12">
        <v>312.86</v>
      </c>
      <c r="Y707" s="12">
        <v>290.12</v>
      </c>
      <c r="AA707" s="17">
        <f>MAX($B$707:$Z$707)</f>
        <v>432.89</v>
      </c>
      <c r="AB707" s="17">
        <f>MIN($B$707:$Z$707)</f>
        <v>194.38</v>
      </c>
      <c r="AC707" s="17">
        <f>AVERAGE($B$707:$Z$707)</f>
        <v>309.16500000000002</v>
      </c>
    </row>
    <row r="708" spans="1:29">
      <c r="A708" s="10">
        <v>46003</v>
      </c>
      <c r="B708" s="12">
        <v>299.62</v>
      </c>
      <c r="C708" s="12">
        <v>292.17</v>
      </c>
      <c r="D708" s="12">
        <v>287.5</v>
      </c>
      <c r="E708" s="12">
        <v>283.5</v>
      </c>
      <c r="F708" s="12">
        <v>275.89999999999998</v>
      </c>
      <c r="G708" s="12">
        <v>278.83</v>
      </c>
      <c r="H708" s="12">
        <v>293.74</v>
      </c>
      <c r="I708" s="12">
        <v>303.2</v>
      </c>
      <c r="J708" s="12">
        <v>308.3</v>
      </c>
      <c r="K708" s="12">
        <v>282.42</v>
      </c>
      <c r="L708" s="12">
        <v>244.41</v>
      </c>
      <c r="M708" s="12">
        <v>189.43</v>
      </c>
      <c r="N708" s="12">
        <v>56.64</v>
      </c>
      <c r="O708" s="12">
        <v>124</v>
      </c>
      <c r="P708" s="12">
        <v>207.67</v>
      </c>
      <c r="Q708" s="12">
        <v>257.05</v>
      </c>
      <c r="R708" s="12">
        <v>296.76</v>
      </c>
      <c r="S708" s="12">
        <v>329.59</v>
      </c>
      <c r="T708" s="12">
        <v>360.65</v>
      </c>
      <c r="U708" s="12">
        <v>340.08</v>
      </c>
      <c r="V708" s="12">
        <v>331.06</v>
      </c>
      <c r="W708" s="12">
        <v>309.27</v>
      </c>
      <c r="X708" s="12">
        <v>294.98</v>
      </c>
      <c r="Y708" s="12">
        <v>275.89999999999998</v>
      </c>
      <c r="AA708" s="17">
        <f>MAX($B$708:$Z$708)</f>
        <v>360.65</v>
      </c>
      <c r="AB708" s="17">
        <f>MIN($B$708:$Z$708)</f>
        <v>56.64</v>
      </c>
      <c r="AC708" s="17">
        <f>AVERAGE($B$708:$Z$708)</f>
        <v>271.77791666666701</v>
      </c>
    </row>
    <row r="709" spans="1:29">
      <c r="A709" s="10">
        <v>46004</v>
      </c>
      <c r="B709" s="12">
        <v>330.92</v>
      </c>
      <c r="C709" s="12">
        <v>337.02</v>
      </c>
      <c r="D709" s="12">
        <v>329.86</v>
      </c>
      <c r="E709" s="12">
        <v>309.19</v>
      </c>
      <c r="F709" s="12">
        <v>310.72000000000003</v>
      </c>
      <c r="G709" s="12">
        <v>305.16000000000003</v>
      </c>
      <c r="H709" s="12">
        <v>318.45999999999998</v>
      </c>
      <c r="I709" s="12">
        <v>303.3</v>
      </c>
      <c r="J709" s="12">
        <v>315.82</v>
      </c>
      <c r="K709" s="12">
        <v>323.13</v>
      </c>
      <c r="L709" s="12">
        <v>325.91000000000003</v>
      </c>
      <c r="M709" s="12">
        <v>324.36</v>
      </c>
      <c r="N709" s="12">
        <v>285.77</v>
      </c>
      <c r="O709" s="12">
        <v>348.42</v>
      </c>
      <c r="P709" s="12">
        <v>307.75</v>
      </c>
      <c r="Q709" s="12">
        <v>293.32</v>
      </c>
      <c r="R709" s="12">
        <v>290.17</v>
      </c>
      <c r="S709" s="12">
        <v>329.67</v>
      </c>
      <c r="T709" s="12">
        <v>340.78</v>
      </c>
      <c r="U709" s="12">
        <v>311.55</v>
      </c>
      <c r="V709" s="12">
        <v>287.01</v>
      </c>
      <c r="W709" s="12">
        <v>276.48</v>
      </c>
      <c r="X709" s="12">
        <v>271.77</v>
      </c>
      <c r="Y709" s="12">
        <v>238.85</v>
      </c>
      <c r="AA709" s="17">
        <f>MAX($B$709:$Z$709)</f>
        <v>348.42</v>
      </c>
      <c r="AB709" s="17">
        <f>MIN($B$709:$Z$709)</f>
        <v>238.85</v>
      </c>
      <c r="AC709" s="17">
        <f>AVERAGE($B$709:$Z$709)</f>
        <v>308.97458333333299</v>
      </c>
    </row>
    <row r="710" spans="1:29">
      <c r="A710" s="10">
        <v>46005</v>
      </c>
      <c r="B710" s="12">
        <v>227.51</v>
      </c>
      <c r="C710" s="12">
        <v>230.31</v>
      </c>
      <c r="D710" s="12">
        <v>230.84</v>
      </c>
      <c r="E710" s="12">
        <v>235.58</v>
      </c>
      <c r="F710" s="12">
        <v>219.87</v>
      </c>
      <c r="G710" s="12">
        <v>223.64</v>
      </c>
      <c r="H710" s="12">
        <v>219.59</v>
      </c>
      <c r="I710" s="12">
        <v>212.01</v>
      </c>
      <c r="J710" s="12">
        <v>223.34</v>
      </c>
      <c r="K710" s="12">
        <v>199.2</v>
      </c>
      <c r="L710" s="12">
        <v>77.36</v>
      </c>
      <c r="M710" s="12">
        <v>27.05</v>
      </c>
      <c r="N710" s="12">
        <v>-7.04</v>
      </c>
      <c r="O710" s="12">
        <v>25.84</v>
      </c>
      <c r="P710" s="12">
        <v>28.17</v>
      </c>
      <c r="Q710" s="12">
        <v>46.19</v>
      </c>
      <c r="R710" s="12">
        <v>249.54</v>
      </c>
      <c r="S710" s="12">
        <v>296.06</v>
      </c>
      <c r="T710" s="12">
        <v>303.13</v>
      </c>
      <c r="U710" s="12">
        <v>286.27</v>
      </c>
      <c r="V710" s="12">
        <v>283.63</v>
      </c>
      <c r="W710" s="12">
        <v>288.91000000000003</v>
      </c>
      <c r="X710" s="12">
        <v>268.02999999999997</v>
      </c>
      <c r="Y710" s="12">
        <v>253.18</v>
      </c>
      <c r="AA710" s="17">
        <f>MAX($B$710:$Z$710)</f>
        <v>303.13</v>
      </c>
      <c r="AB710" s="17">
        <f>MIN($B$710:$Z$710)</f>
        <v>-7.04</v>
      </c>
      <c r="AC710" s="17">
        <f>AVERAGE($B$710:$Z$710)</f>
        <v>193.67541666666699</v>
      </c>
    </row>
    <row r="711" spans="1:29">
      <c r="A711" s="10">
        <v>46006</v>
      </c>
      <c r="B711" s="12">
        <v>278.55</v>
      </c>
      <c r="C711" s="12">
        <v>279.42</v>
      </c>
      <c r="D711" s="12">
        <v>266.39</v>
      </c>
      <c r="E711" s="12">
        <v>260.08999999999997</v>
      </c>
      <c r="F711" s="12">
        <v>252.64</v>
      </c>
      <c r="G711" s="12">
        <v>262.51</v>
      </c>
      <c r="H711" s="12">
        <v>276.83</v>
      </c>
      <c r="I711" s="12">
        <v>286.77999999999997</v>
      </c>
      <c r="J711" s="12">
        <v>289.94</v>
      </c>
      <c r="K711" s="12">
        <v>234.52</v>
      </c>
      <c r="L711" s="12">
        <v>180.68</v>
      </c>
      <c r="M711" s="12">
        <v>79.98</v>
      </c>
      <c r="N711" s="12">
        <v>-9.51</v>
      </c>
      <c r="O711" s="12">
        <v>68.83</v>
      </c>
      <c r="P711" s="12">
        <v>60.71</v>
      </c>
      <c r="Q711" s="12">
        <v>107.2</v>
      </c>
      <c r="R711" s="12">
        <v>278.41000000000003</v>
      </c>
      <c r="S711" s="12">
        <v>352.4</v>
      </c>
      <c r="T711" s="12">
        <v>454.63</v>
      </c>
      <c r="U711" s="12">
        <v>449.73</v>
      </c>
      <c r="V711" s="12">
        <v>382.38</v>
      </c>
      <c r="W711" s="12">
        <v>405.96</v>
      </c>
      <c r="X711" s="12">
        <v>315.33</v>
      </c>
      <c r="Y711" s="12">
        <v>298.58999999999997</v>
      </c>
      <c r="AA711" s="17">
        <f>MAX($B$711:$Z$711)</f>
        <v>454.63</v>
      </c>
      <c r="AB711" s="17">
        <f>MIN($B$711:$Z$711)</f>
        <v>-9.51</v>
      </c>
      <c r="AC711" s="17">
        <f>AVERAGE($B$711:$Z$711)</f>
        <v>254.70791666666699</v>
      </c>
    </row>
    <row r="712" spans="1:29">
      <c r="A712" s="10">
        <v>46007</v>
      </c>
      <c r="B712" s="12">
        <v>327.04000000000002</v>
      </c>
      <c r="C712" s="12">
        <v>307.98</v>
      </c>
      <c r="D712" s="12">
        <v>305.39</v>
      </c>
      <c r="E712" s="12">
        <v>307.32</v>
      </c>
      <c r="F712" s="12">
        <v>303.77999999999997</v>
      </c>
      <c r="G712" s="12">
        <v>300.02</v>
      </c>
      <c r="H712" s="12">
        <v>320.57</v>
      </c>
      <c r="I712" s="12">
        <v>337.39</v>
      </c>
      <c r="J712" s="12">
        <v>367</v>
      </c>
      <c r="K712" s="12">
        <v>311</v>
      </c>
      <c r="L712" s="12">
        <v>278.72000000000003</v>
      </c>
      <c r="M712" s="12">
        <v>234.49</v>
      </c>
      <c r="N712" s="12">
        <v>200.99</v>
      </c>
      <c r="O712" s="12">
        <v>250</v>
      </c>
      <c r="P712" s="12">
        <v>240.36</v>
      </c>
      <c r="Q712" s="12">
        <v>271.55</v>
      </c>
      <c r="R712" s="12">
        <v>310.79000000000002</v>
      </c>
      <c r="S712" s="12">
        <v>497.72</v>
      </c>
      <c r="T712" s="12">
        <v>633.32000000000005</v>
      </c>
      <c r="U712" s="12">
        <v>514.73</v>
      </c>
      <c r="V712" s="12">
        <v>436.14</v>
      </c>
      <c r="W712" s="12">
        <v>426.44</v>
      </c>
      <c r="X712" s="12">
        <v>403.07</v>
      </c>
      <c r="Y712" s="12">
        <v>323.18</v>
      </c>
      <c r="AA712" s="17">
        <f>MAX($B$712:$Z$712)</f>
        <v>633.32000000000005</v>
      </c>
      <c r="AB712" s="17">
        <f>MIN($B$712:$Z$712)</f>
        <v>200.99</v>
      </c>
      <c r="AC712" s="17">
        <f>AVERAGE($B$712:$Z$712)</f>
        <v>342.04124999999999</v>
      </c>
    </row>
    <row r="713" spans="1:29">
      <c r="A713" s="10">
        <v>46008</v>
      </c>
      <c r="B713" s="12">
        <v>422.93</v>
      </c>
      <c r="C713" s="12">
        <v>328.74</v>
      </c>
      <c r="D713" s="12">
        <v>317.85000000000002</v>
      </c>
      <c r="E713" s="12">
        <v>300.05</v>
      </c>
      <c r="F713" s="12">
        <v>292.2</v>
      </c>
      <c r="G713" s="12">
        <v>292.89999999999998</v>
      </c>
      <c r="H713" s="12">
        <v>312.11</v>
      </c>
      <c r="I713" s="12">
        <v>335.1</v>
      </c>
      <c r="J713" s="12">
        <v>364.75</v>
      </c>
      <c r="K713" s="12">
        <v>291.35000000000002</v>
      </c>
      <c r="L713" s="12">
        <v>202.42</v>
      </c>
      <c r="M713" s="12">
        <v>120.8</v>
      </c>
      <c r="N713" s="12">
        <v>-26.96</v>
      </c>
      <c r="O713" s="12">
        <v>23.95</v>
      </c>
      <c r="P713" s="12">
        <v>-4.5</v>
      </c>
      <c r="Q713" s="12">
        <v>166.89</v>
      </c>
      <c r="R713" s="12">
        <v>335.65</v>
      </c>
      <c r="S713" s="12">
        <v>745.98</v>
      </c>
      <c r="T713" s="12">
        <v>668.35</v>
      </c>
      <c r="U713" s="12">
        <v>410.9</v>
      </c>
      <c r="V713" s="12">
        <v>408.27</v>
      </c>
      <c r="W713" s="12">
        <v>356.85</v>
      </c>
      <c r="X713" s="12">
        <v>321.83</v>
      </c>
      <c r="Y713" s="12">
        <v>274.29000000000002</v>
      </c>
      <c r="AA713" s="17">
        <f>MAX($B$713:$Z$713)</f>
        <v>745.98</v>
      </c>
      <c r="AB713" s="17">
        <f>MIN($B$713:$Z$713)</f>
        <v>-26.96</v>
      </c>
      <c r="AC713" s="17">
        <f>AVERAGE($B$713:$Z$713)</f>
        <v>302.61250000000001</v>
      </c>
    </row>
    <row r="714" spans="1:29">
      <c r="A714" s="10">
        <v>46009</v>
      </c>
      <c r="B714" s="12">
        <v>434.11</v>
      </c>
      <c r="C714" s="12">
        <v>465.48</v>
      </c>
      <c r="D714" s="12">
        <v>369.88</v>
      </c>
      <c r="E714" s="12">
        <v>333.85</v>
      </c>
      <c r="F714" s="12">
        <v>283.55</v>
      </c>
      <c r="G714" s="12">
        <v>312.33999999999997</v>
      </c>
      <c r="H714" s="12">
        <v>365.71</v>
      </c>
      <c r="I714" s="12">
        <v>372.87</v>
      </c>
      <c r="J714" s="12">
        <v>373.32</v>
      </c>
      <c r="K714" s="12">
        <v>289.04000000000002</v>
      </c>
      <c r="L714" s="12">
        <v>140.87</v>
      </c>
      <c r="M714" s="12">
        <v>8.08</v>
      </c>
      <c r="N714" s="12">
        <v>-28.41</v>
      </c>
      <c r="O714" s="12">
        <v>-11.45</v>
      </c>
      <c r="P714" s="12">
        <v>-0.61</v>
      </c>
      <c r="Q714" s="12">
        <v>48.57</v>
      </c>
      <c r="R714" s="12">
        <v>287.31</v>
      </c>
      <c r="S714" s="12">
        <v>346.32</v>
      </c>
      <c r="T714" s="12">
        <v>396.72</v>
      </c>
      <c r="U714" s="12">
        <v>340.53</v>
      </c>
      <c r="V714" s="12">
        <v>349.29</v>
      </c>
      <c r="W714" s="12">
        <v>323.22000000000003</v>
      </c>
      <c r="X714" s="12">
        <v>312.35000000000002</v>
      </c>
      <c r="Y714" s="12">
        <v>295.02999999999997</v>
      </c>
      <c r="AA714" s="17">
        <f>MAX($B$714:$Z$714)</f>
        <v>465.48</v>
      </c>
      <c r="AB714" s="17">
        <f>MIN($B$714:$Z$714)</f>
        <v>-28.41</v>
      </c>
      <c r="AC714" s="17">
        <f>AVERAGE($B$714:$Z$714)</f>
        <v>266.99874999999997</v>
      </c>
    </row>
    <row r="715" spans="1:29">
      <c r="A715" s="10">
        <v>46010</v>
      </c>
      <c r="B715" s="12">
        <v>322.19</v>
      </c>
      <c r="C715" s="12">
        <v>309.23</v>
      </c>
      <c r="D715" s="12">
        <v>301.27</v>
      </c>
      <c r="E715" s="12">
        <v>296.58999999999997</v>
      </c>
      <c r="F715" s="12">
        <v>282.05</v>
      </c>
      <c r="G715" s="12">
        <v>298.91000000000003</v>
      </c>
      <c r="H715" s="12">
        <v>329.8</v>
      </c>
      <c r="I715" s="12">
        <v>361.16</v>
      </c>
      <c r="J715" s="12">
        <v>438.95</v>
      </c>
      <c r="K715" s="12">
        <v>365.12</v>
      </c>
      <c r="L715" s="12">
        <v>254.86</v>
      </c>
      <c r="M715" s="12">
        <v>201.43</v>
      </c>
      <c r="N715" s="12">
        <v>115.91</v>
      </c>
      <c r="O715" s="12">
        <v>209.72</v>
      </c>
      <c r="P715" s="12">
        <v>219.84</v>
      </c>
      <c r="Q715" s="12">
        <v>257.11</v>
      </c>
      <c r="R715" s="12">
        <v>325.93</v>
      </c>
      <c r="S715" s="12">
        <v>474.04</v>
      </c>
      <c r="T715" s="12">
        <v>523.08000000000004</v>
      </c>
      <c r="U715" s="12">
        <v>479.83</v>
      </c>
      <c r="V715" s="12">
        <v>427.12</v>
      </c>
      <c r="W715" s="12">
        <v>407.9</v>
      </c>
      <c r="X715" s="12">
        <v>398.68</v>
      </c>
      <c r="Y715" s="12">
        <v>343.09</v>
      </c>
      <c r="AA715" s="17">
        <f>MAX($B$715:$Z$715)</f>
        <v>523.08000000000004</v>
      </c>
      <c r="AB715" s="17">
        <f>MIN($B$715:$Z$715)</f>
        <v>115.91</v>
      </c>
      <c r="AC715" s="17">
        <f>AVERAGE($B$715:$Z$715)</f>
        <v>330.99208333333303</v>
      </c>
    </row>
    <row r="716" spans="1:29">
      <c r="A716" s="10">
        <v>46011</v>
      </c>
      <c r="B716" s="12">
        <v>349.18</v>
      </c>
      <c r="C716" s="12">
        <v>336</v>
      </c>
      <c r="D716" s="12">
        <v>317.8</v>
      </c>
      <c r="E716" s="12">
        <v>315.02999999999997</v>
      </c>
      <c r="F716" s="12">
        <v>314.23</v>
      </c>
      <c r="G716" s="12">
        <v>313.67</v>
      </c>
      <c r="H716" s="12">
        <v>311.77</v>
      </c>
      <c r="I716" s="12">
        <v>334.24</v>
      </c>
      <c r="J716" s="12">
        <v>374.47</v>
      </c>
      <c r="K716" s="12">
        <v>331</v>
      </c>
      <c r="L716" s="12">
        <v>292.98</v>
      </c>
      <c r="M716" s="12">
        <v>247.45</v>
      </c>
      <c r="N716" s="12">
        <v>179.31</v>
      </c>
      <c r="O716" s="12">
        <v>244.24</v>
      </c>
      <c r="P716" s="12">
        <v>248</v>
      </c>
      <c r="Q716" s="12">
        <v>268.97000000000003</v>
      </c>
      <c r="R716" s="12">
        <v>310.33</v>
      </c>
      <c r="S716" s="12">
        <v>345.95</v>
      </c>
      <c r="T716" s="12">
        <v>439.07</v>
      </c>
      <c r="U716" s="12">
        <v>358.87</v>
      </c>
      <c r="V716" s="12">
        <v>312.29000000000002</v>
      </c>
      <c r="W716" s="12">
        <v>305.33</v>
      </c>
      <c r="X716" s="12">
        <v>318.10000000000002</v>
      </c>
      <c r="Y716" s="12">
        <v>301.85000000000002</v>
      </c>
      <c r="AA716" s="17">
        <f>MAX($B$716:$Z$716)</f>
        <v>439.07</v>
      </c>
      <c r="AB716" s="17">
        <f>MIN($B$716:$Z$716)</f>
        <v>179.31</v>
      </c>
      <c r="AC716" s="17">
        <f>AVERAGE($B$716:$Z$716)</f>
        <v>311.25541666666697</v>
      </c>
    </row>
    <row r="717" spans="1:29">
      <c r="A717" s="10">
        <v>46012</v>
      </c>
      <c r="B717" s="12">
        <v>338.3</v>
      </c>
      <c r="C717" s="12">
        <v>320.08999999999997</v>
      </c>
      <c r="D717" s="12">
        <v>293.93</v>
      </c>
      <c r="E717" s="12">
        <v>290.29000000000002</v>
      </c>
      <c r="F717" s="12">
        <v>277.5</v>
      </c>
      <c r="G717" s="12">
        <v>265.08</v>
      </c>
      <c r="H717" s="12">
        <v>269.86</v>
      </c>
      <c r="I717" s="12">
        <v>272.08</v>
      </c>
      <c r="J717" s="12">
        <v>259.17</v>
      </c>
      <c r="K717" s="12">
        <v>20.88</v>
      </c>
      <c r="L717" s="12">
        <v>-70.540000000000006</v>
      </c>
      <c r="M717" s="12">
        <v>-75.459999999999994</v>
      </c>
      <c r="N717" s="12">
        <v>-59.45</v>
      </c>
      <c r="O717" s="12">
        <v>-49.41</v>
      </c>
      <c r="P717" s="12">
        <v>-51.08</v>
      </c>
      <c r="Q717" s="12">
        <v>-43.72</v>
      </c>
      <c r="R717" s="12">
        <v>106.11</v>
      </c>
      <c r="S717" s="12">
        <v>318.01</v>
      </c>
      <c r="T717" s="12">
        <v>302.14</v>
      </c>
      <c r="U717" s="12">
        <v>286.85000000000002</v>
      </c>
      <c r="V717" s="12">
        <v>305.77999999999997</v>
      </c>
      <c r="W717" s="12">
        <v>295.56</v>
      </c>
      <c r="X717" s="12">
        <v>263.45999999999998</v>
      </c>
      <c r="Y717" s="12">
        <v>210.32</v>
      </c>
      <c r="AA717" s="17">
        <f>MAX($B$717:$Z$717)</f>
        <v>338.3</v>
      </c>
      <c r="AB717" s="17">
        <f>MIN($B$717:$Z$717)</f>
        <v>-75.459999999999994</v>
      </c>
      <c r="AC717" s="17">
        <f>AVERAGE($B$717:$Z$717)</f>
        <v>181.072916666667</v>
      </c>
    </row>
    <row r="718" spans="1:29">
      <c r="A718" s="10">
        <v>46013</v>
      </c>
      <c r="B718" s="12">
        <v>251.83</v>
      </c>
      <c r="C718" s="12">
        <v>239.94</v>
      </c>
      <c r="D718" s="12">
        <v>235.23</v>
      </c>
      <c r="E718" s="12">
        <v>206.95</v>
      </c>
      <c r="F718" s="12">
        <v>201.64</v>
      </c>
      <c r="G718" s="12">
        <v>184.45</v>
      </c>
      <c r="H718" s="12">
        <v>218.65</v>
      </c>
      <c r="I718" s="12">
        <v>240.14</v>
      </c>
      <c r="J718" s="12">
        <v>307.94</v>
      </c>
      <c r="K718" s="12">
        <v>311.75</v>
      </c>
      <c r="L718" s="12">
        <v>198.52</v>
      </c>
      <c r="M718" s="12">
        <v>125.74</v>
      </c>
      <c r="N718" s="12">
        <v>92.15</v>
      </c>
      <c r="O718" s="12">
        <v>101.26</v>
      </c>
      <c r="P718" s="12">
        <v>49.13</v>
      </c>
      <c r="Q718" s="12">
        <v>102.59</v>
      </c>
      <c r="R718" s="12">
        <v>218.49</v>
      </c>
      <c r="S718" s="12">
        <v>286.72000000000003</v>
      </c>
      <c r="T718" s="12">
        <v>338.93</v>
      </c>
      <c r="U718" s="12">
        <v>324.62</v>
      </c>
      <c r="V718" s="12">
        <v>312.77999999999997</v>
      </c>
      <c r="W718" s="12">
        <v>300.26</v>
      </c>
      <c r="X718" s="12">
        <v>262.95</v>
      </c>
      <c r="Y718" s="12">
        <v>240.62</v>
      </c>
      <c r="AA718" s="17">
        <f>MAX($B$718:$Z$718)</f>
        <v>338.93</v>
      </c>
      <c r="AB718" s="17">
        <f>MIN($B$718:$Z$718)</f>
        <v>49.13</v>
      </c>
      <c r="AC718" s="17">
        <f>AVERAGE($B$718:$Z$718)</f>
        <v>223.053333333333</v>
      </c>
    </row>
    <row r="719" spans="1:29">
      <c r="A719" s="10">
        <v>46014</v>
      </c>
      <c r="B719" s="12">
        <v>260.05</v>
      </c>
      <c r="C719" s="12">
        <v>265.79000000000002</v>
      </c>
      <c r="D719" s="12">
        <v>289.47000000000003</v>
      </c>
      <c r="E719" s="12">
        <v>267.7</v>
      </c>
      <c r="F719" s="12">
        <v>246.53</v>
      </c>
      <c r="G719" s="12">
        <v>249.19</v>
      </c>
      <c r="H719" s="12">
        <v>283.81</v>
      </c>
      <c r="I719" s="12">
        <v>335.5</v>
      </c>
      <c r="J719" s="12">
        <v>355.65</v>
      </c>
      <c r="K719" s="12">
        <v>269.92</v>
      </c>
      <c r="L719" s="12">
        <v>301.52999999999997</v>
      </c>
      <c r="M719" s="12">
        <v>299.93</v>
      </c>
      <c r="N719" s="12">
        <v>170.07</v>
      </c>
      <c r="O719" s="12">
        <v>229.67</v>
      </c>
      <c r="P719" s="12">
        <v>237.24</v>
      </c>
      <c r="Q719" s="12">
        <v>300.52999999999997</v>
      </c>
      <c r="R719" s="12">
        <v>367.33</v>
      </c>
      <c r="S719" s="12">
        <v>473.77</v>
      </c>
      <c r="T719" s="12">
        <v>907.34</v>
      </c>
      <c r="U719" s="12">
        <v>576.94000000000005</v>
      </c>
      <c r="V719" s="12">
        <v>443.03</v>
      </c>
      <c r="W719" s="12">
        <v>381.84</v>
      </c>
      <c r="X719" s="12">
        <v>333.92</v>
      </c>
      <c r="Y719" s="12">
        <v>313.29000000000002</v>
      </c>
      <c r="AA719" s="17">
        <f>MAX($B$719:$Z$719)</f>
        <v>907.34</v>
      </c>
      <c r="AB719" s="17">
        <f>MIN($B$719:$Z$719)</f>
        <v>170.07</v>
      </c>
      <c r="AC719" s="17">
        <f>AVERAGE($B$719:$Z$719)</f>
        <v>340.00166666666701</v>
      </c>
    </row>
    <row r="720" spans="1:29">
      <c r="A720" s="10">
        <v>46015</v>
      </c>
      <c r="B720" s="12">
        <v>332.04</v>
      </c>
      <c r="C720" s="12">
        <v>322.7</v>
      </c>
      <c r="D720" s="12">
        <v>311.68</v>
      </c>
      <c r="E720" s="12">
        <v>310.31</v>
      </c>
      <c r="F720" s="12">
        <v>298.25</v>
      </c>
      <c r="G720" s="12">
        <v>293.89</v>
      </c>
      <c r="H720" s="12">
        <v>336.29</v>
      </c>
      <c r="I720" s="12">
        <v>362.34</v>
      </c>
      <c r="J720" s="12">
        <v>379.08</v>
      </c>
      <c r="K720" s="12">
        <v>348</v>
      </c>
      <c r="L720" s="12">
        <v>301.45999999999998</v>
      </c>
      <c r="M720" s="12">
        <v>255.21</v>
      </c>
      <c r="N720" s="12">
        <v>180.99</v>
      </c>
      <c r="O720" s="12">
        <v>256.31</v>
      </c>
      <c r="P720" s="12">
        <v>256.95</v>
      </c>
      <c r="Q720" s="12">
        <v>278.48</v>
      </c>
      <c r="R720" s="12">
        <v>323.27999999999997</v>
      </c>
      <c r="S720" s="12">
        <v>371.5</v>
      </c>
      <c r="T720" s="12">
        <v>392.52</v>
      </c>
      <c r="U720" s="12">
        <v>386.11</v>
      </c>
      <c r="V720" s="12">
        <v>393.03</v>
      </c>
      <c r="W720" s="12">
        <v>311.17</v>
      </c>
      <c r="X720" s="12">
        <v>327.24</v>
      </c>
      <c r="Y720" s="12">
        <v>298.68</v>
      </c>
      <c r="AA720" s="17">
        <f>MAX($B$720:$Z$720)</f>
        <v>393.03</v>
      </c>
      <c r="AB720" s="17">
        <f>MIN($B$720:$Z$720)</f>
        <v>180.99</v>
      </c>
      <c r="AC720" s="17">
        <f>AVERAGE($B$720:$Z$720)</f>
        <v>317.81291666666698</v>
      </c>
    </row>
    <row r="721" spans="1:29">
      <c r="A721" s="10">
        <v>46016</v>
      </c>
      <c r="B721" s="12">
        <v>316.02999999999997</v>
      </c>
      <c r="C721" s="12">
        <v>326.42</v>
      </c>
      <c r="D721" s="12">
        <v>300.81</v>
      </c>
      <c r="E721" s="12">
        <v>282.77999999999997</v>
      </c>
      <c r="F721" s="12">
        <v>274.38</v>
      </c>
      <c r="G721" s="12">
        <v>275.86</v>
      </c>
      <c r="H721" s="12">
        <v>285.64999999999998</v>
      </c>
      <c r="I721" s="12">
        <v>287.79000000000002</v>
      </c>
      <c r="J721" s="12">
        <v>333.26</v>
      </c>
      <c r="K721" s="12">
        <v>312.2</v>
      </c>
      <c r="L721" s="12">
        <v>294.16000000000003</v>
      </c>
      <c r="M721" s="12">
        <v>229.93</v>
      </c>
      <c r="N721" s="12">
        <v>149.30000000000001</v>
      </c>
      <c r="O721" s="12">
        <v>224.32</v>
      </c>
      <c r="P721" s="12">
        <v>224.56</v>
      </c>
      <c r="Q721" s="12">
        <v>218.49</v>
      </c>
      <c r="R721" s="12">
        <v>283.31</v>
      </c>
      <c r="S721" s="12">
        <v>299.3</v>
      </c>
      <c r="T721" s="12">
        <v>293.87</v>
      </c>
      <c r="U721" s="12">
        <v>287.92</v>
      </c>
      <c r="V721" s="12">
        <v>285.95</v>
      </c>
      <c r="W721" s="12">
        <v>287.11</v>
      </c>
      <c r="X721" s="12">
        <v>269.27</v>
      </c>
      <c r="Y721" s="12">
        <v>229.27</v>
      </c>
      <c r="AA721" s="17">
        <f>MAX($B$721:$Z$721)</f>
        <v>333.26</v>
      </c>
      <c r="AB721" s="17">
        <f>MIN($B$721:$Z$721)</f>
        <v>149.30000000000001</v>
      </c>
      <c r="AC721" s="17">
        <f>AVERAGE($B$721:$Z$721)</f>
        <v>273.83083333333298</v>
      </c>
    </row>
    <row r="722" spans="1:29">
      <c r="A722" s="10">
        <v>46017</v>
      </c>
      <c r="B722" s="12">
        <v>261.19</v>
      </c>
      <c r="C722" s="12">
        <v>245.86</v>
      </c>
      <c r="D722" s="12">
        <v>230.12</v>
      </c>
      <c r="E722" s="12">
        <v>221.32</v>
      </c>
      <c r="F722" s="12">
        <v>226.33</v>
      </c>
      <c r="G722" s="12">
        <v>238.05</v>
      </c>
      <c r="H722" s="12">
        <v>275.73</v>
      </c>
      <c r="I722" s="12">
        <v>292.45</v>
      </c>
      <c r="J722" s="12">
        <v>431.14</v>
      </c>
      <c r="K722" s="12">
        <v>460.29</v>
      </c>
      <c r="L722" s="12">
        <v>337.69</v>
      </c>
      <c r="M722" s="12">
        <v>254.19</v>
      </c>
      <c r="N722" s="12">
        <v>219.06</v>
      </c>
      <c r="O722" s="12">
        <v>240.58</v>
      </c>
      <c r="P722" s="12">
        <v>231.45</v>
      </c>
      <c r="Q722" s="12">
        <v>295.02</v>
      </c>
      <c r="R722" s="12">
        <v>307.82</v>
      </c>
      <c r="S722" s="12">
        <v>391.21</v>
      </c>
      <c r="T722" s="12">
        <v>453.03</v>
      </c>
      <c r="U722" s="12">
        <v>752.49</v>
      </c>
      <c r="V722" s="12">
        <v>644.07000000000005</v>
      </c>
      <c r="W722" s="12">
        <v>474.9</v>
      </c>
      <c r="X722" s="12">
        <v>399.65</v>
      </c>
      <c r="Y722" s="12">
        <v>303.17</v>
      </c>
      <c r="AA722" s="17">
        <f>MAX($B$722:$Z$722)</f>
        <v>752.49</v>
      </c>
      <c r="AB722" s="17">
        <f>MIN($B$722:$Z$722)</f>
        <v>219.06</v>
      </c>
      <c r="AC722" s="17">
        <f>AVERAGE($B$722:$Z$722)</f>
        <v>341.11708333333303</v>
      </c>
    </row>
    <row r="723" spans="1:29">
      <c r="A723" s="10">
        <v>46018</v>
      </c>
      <c r="B723" s="12">
        <v>392.56</v>
      </c>
      <c r="C723" s="12">
        <v>387.48</v>
      </c>
      <c r="D723" s="12">
        <v>365.33</v>
      </c>
      <c r="E723" s="12">
        <v>312.10000000000002</v>
      </c>
      <c r="F723" s="12">
        <v>303.42</v>
      </c>
      <c r="G723" s="12">
        <v>304.88</v>
      </c>
      <c r="H723" s="12">
        <v>308.60000000000002</v>
      </c>
      <c r="I723" s="12">
        <v>315.58999999999997</v>
      </c>
      <c r="J723" s="12">
        <v>363.24</v>
      </c>
      <c r="K723" s="12">
        <v>278.12</v>
      </c>
      <c r="L723" s="12">
        <v>186.04</v>
      </c>
      <c r="M723" s="12">
        <v>91.84</v>
      </c>
      <c r="N723" s="12">
        <v>-44.94</v>
      </c>
      <c r="O723" s="12">
        <v>4.2</v>
      </c>
      <c r="P723" s="12">
        <v>26.03</v>
      </c>
      <c r="Q723" s="12">
        <v>166.57</v>
      </c>
      <c r="R723" s="12">
        <v>403.8</v>
      </c>
      <c r="S723" s="12">
        <v>461.13</v>
      </c>
      <c r="T723" s="12">
        <v>631.5</v>
      </c>
      <c r="U723" s="12">
        <v>467.61</v>
      </c>
      <c r="V723" s="12">
        <v>526.53</v>
      </c>
      <c r="W723" s="12">
        <v>426.41</v>
      </c>
      <c r="X723" s="12">
        <v>433.71</v>
      </c>
      <c r="Y723" s="12">
        <v>387.4</v>
      </c>
      <c r="AA723" s="17">
        <f>MAX($B$723:$Z$723)</f>
        <v>631.5</v>
      </c>
      <c r="AB723" s="17">
        <f>MIN($B$723:$Z$723)</f>
        <v>-44.94</v>
      </c>
      <c r="AC723" s="17">
        <f>AVERAGE($B$723:$Z$723)</f>
        <v>312.464583333333</v>
      </c>
    </row>
    <row r="724" spans="1:29">
      <c r="A724" s="10">
        <v>46019</v>
      </c>
      <c r="B724" s="12">
        <v>567.78</v>
      </c>
      <c r="C724" s="12">
        <v>453.01</v>
      </c>
      <c r="D724" s="12">
        <v>419.86</v>
      </c>
      <c r="E724" s="12">
        <v>361.53</v>
      </c>
      <c r="F724" s="12">
        <v>332.68</v>
      </c>
      <c r="G724" s="12">
        <v>322.44</v>
      </c>
      <c r="H724" s="12">
        <v>353.02</v>
      </c>
      <c r="I724" s="12">
        <v>380.29</v>
      </c>
      <c r="J724" s="12">
        <v>408.83</v>
      </c>
      <c r="K724" s="12">
        <v>299.58999999999997</v>
      </c>
      <c r="L724" s="12">
        <v>248.72</v>
      </c>
      <c r="M724" s="12">
        <v>119.16</v>
      </c>
      <c r="N724" s="12">
        <v>0.81</v>
      </c>
      <c r="O724" s="12">
        <v>147.38</v>
      </c>
      <c r="P724" s="12">
        <v>6.28</v>
      </c>
      <c r="Q724" s="12">
        <v>147.91</v>
      </c>
      <c r="R724" s="12">
        <v>382.24</v>
      </c>
      <c r="S724" s="12">
        <v>609.1</v>
      </c>
      <c r="T724" s="12">
        <v>745.78</v>
      </c>
      <c r="U724" s="12">
        <v>611.83000000000004</v>
      </c>
      <c r="V724" s="12">
        <v>970.49</v>
      </c>
      <c r="W724" s="12">
        <v>722.08</v>
      </c>
      <c r="X724" s="12">
        <v>461.2</v>
      </c>
      <c r="Y724" s="12">
        <v>382.8</v>
      </c>
      <c r="AA724" s="17">
        <f>MAX($B$724:$Z$724)</f>
        <v>970.49</v>
      </c>
      <c r="AB724" s="17">
        <f>MIN($B$724:$Z$724)</f>
        <v>0.81</v>
      </c>
      <c r="AC724" s="17">
        <f>AVERAGE($B$724:$Z$724)</f>
        <v>393.95041666666702</v>
      </c>
    </row>
    <row r="725" spans="1:29">
      <c r="A725" s="10">
        <v>46020</v>
      </c>
      <c r="B725" s="12">
        <v>385.13</v>
      </c>
      <c r="C725" s="12">
        <v>322.64999999999998</v>
      </c>
      <c r="D725" s="12">
        <v>313.98</v>
      </c>
      <c r="E725" s="12">
        <v>292.83</v>
      </c>
      <c r="F725" s="12">
        <v>281.8</v>
      </c>
      <c r="G725" s="12">
        <v>279.76</v>
      </c>
      <c r="H725" s="12">
        <v>325.92</v>
      </c>
      <c r="I725" s="12">
        <v>361.99</v>
      </c>
      <c r="J725" s="12">
        <v>404.72</v>
      </c>
      <c r="K725" s="12">
        <v>336.81</v>
      </c>
      <c r="L725" s="12">
        <v>259.86</v>
      </c>
      <c r="M725" s="12">
        <v>187.48</v>
      </c>
      <c r="N725" s="12">
        <v>-5.75</v>
      </c>
      <c r="O725" s="12">
        <v>100.61</v>
      </c>
      <c r="P725" s="12">
        <v>190.37</v>
      </c>
      <c r="Q725" s="12">
        <v>246.71</v>
      </c>
      <c r="R725" s="12">
        <v>320.89</v>
      </c>
      <c r="S725" s="12">
        <v>395.23</v>
      </c>
      <c r="T725" s="12">
        <v>466.81</v>
      </c>
      <c r="U725" s="12">
        <v>435.25</v>
      </c>
      <c r="V725" s="12">
        <v>427.11</v>
      </c>
      <c r="W725" s="12">
        <v>445.31</v>
      </c>
      <c r="X725" s="12">
        <v>354.65</v>
      </c>
      <c r="Y725" s="12">
        <v>318.06</v>
      </c>
      <c r="AA725" s="17">
        <f>MAX($B$725:$Z$725)</f>
        <v>466.81</v>
      </c>
      <c r="AB725" s="17">
        <f>MIN($B$725:$Z$725)</f>
        <v>-5.75</v>
      </c>
      <c r="AC725" s="17">
        <f>AVERAGE($B$725:$Z$725)</f>
        <v>310.34083333333302</v>
      </c>
    </row>
    <row r="726" spans="1:29">
      <c r="A726" s="10">
        <v>46021</v>
      </c>
      <c r="B726" s="12">
        <v>365.91</v>
      </c>
      <c r="C726" s="12">
        <v>328.13</v>
      </c>
      <c r="D726" s="12">
        <v>317.37</v>
      </c>
      <c r="E726" s="12">
        <v>321.2</v>
      </c>
      <c r="F726" s="12">
        <v>321.35000000000002</v>
      </c>
      <c r="G726" s="12">
        <v>313.5</v>
      </c>
      <c r="H726" s="12">
        <v>341.12</v>
      </c>
      <c r="I726" s="12">
        <v>374.35</v>
      </c>
      <c r="J726" s="12">
        <v>374.92</v>
      </c>
      <c r="K726" s="12">
        <v>319.55</v>
      </c>
      <c r="L726" s="12">
        <v>218.02</v>
      </c>
      <c r="M726" s="12">
        <v>136.46</v>
      </c>
      <c r="N726" s="12">
        <v>-31.03</v>
      </c>
      <c r="O726" s="12">
        <v>-15.67</v>
      </c>
      <c r="P726" s="12">
        <v>3.43</v>
      </c>
      <c r="Q726" s="12">
        <v>171.69</v>
      </c>
      <c r="R726" s="12">
        <v>291.89</v>
      </c>
      <c r="S726" s="12">
        <v>365.88</v>
      </c>
      <c r="T726" s="12">
        <v>341</v>
      </c>
      <c r="U726" s="12">
        <v>335.8</v>
      </c>
      <c r="V726" s="12">
        <v>353.13</v>
      </c>
      <c r="W726" s="12">
        <v>350.23</v>
      </c>
      <c r="X726" s="12">
        <v>331.64</v>
      </c>
      <c r="Y726" s="12">
        <v>308.42</v>
      </c>
      <c r="AA726" s="17">
        <f>MAX($B$726:$Z$726)</f>
        <v>374.92</v>
      </c>
      <c r="AB726" s="17">
        <f>MIN($B$726:$Z$726)</f>
        <v>-31.03</v>
      </c>
      <c r="AC726" s="17">
        <f>AVERAGE($B$726:$Z$726)</f>
        <v>272.42874999999998</v>
      </c>
    </row>
    <row r="727" spans="1:29">
      <c r="A727" s="10">
        <v>46022</v>
      </c>
      <c r="B727" s="12">
        <v>303.57</v>
      </c>
      <c r="C727" s="12">
        <v>302.67</v>
      </c>
      <c r="D727" s="12">
        <v>296.43</v>
      </c>
      <c r="E727" s="12">
        <v>283.5</v>
      </c>
      <c r="F727" s="12">
        <v>274.77999999999997</v>
      </c>
      <c r="G727" s="12">
        <v>268.60000000000002</v>
      </c>
      <c r="H727" s="12">
        <v>288.51</v>
      </c>
      <c r="I727" s="12">
        <v>305.52</v>
      </c>
      <c r="J727" s="12">
        <v>318.58999999999997</v>
      </c>
      <c r="K727" s="12">
        <v>286.83999999999997</v>
      </c>
      <c r="L727" s="12">
        <v>199.68</v>
      </c>
      <c r="M727" s="12">
        <v>156.56</v>
      </c>
      <c r="N727" s="12">
        <v>90.65</v>
      </c>
      <c r="O727" s="12">
        <v>93.14</v>
      </c>
      <c r="P727" s="12">
        <v>40.49</v>
      </c>
      <c r="Q727" s="12">
        <v>89.74</v>
      </c>
      <c r="R727" s="12">
        <v>260.58999999999997</v>
      </c>
      <c r="S727" s="12">
        <v>302.25</v>
      </c>
      <c r="T727" s="12">
        <v>300.87</v>
      </c>
      <c r="U727" s="12">
        <v>297.07</v>
      </c>
      <c r="V727" s="12">
        <v>300.76</v>
      </c>
      <c r="W727" s="12">
        <v>298.88</v>
      </c>
      <c r="X727" s="12">
        <v>291.42</v>
      </c>
      <c r="Y727" s="12">
        <v>277.43</v>
      </c>
      <c r="AA727" s="17">
        <f>MAX($B$727:$Z$727)</f>
        <v>318.58999999999997</v>
      </c>
      <c r="AB727" s="17">
        <f>MIN($B$727:$Z$727)</f>
        <v>40.49</v>
      </c>
      <c r="AC727" s="17">
        <f>AVERAGE($B$727:$Z$727)</f>
        <v>247.02250000000001</v>
      </c>
    </row>
  </sheetData>
  <phoneticPr fontId="12" type="noConversion"/>
  <pageMargins left="0.7" right="0.7" top="0.75" bottom="0.75" header="0.3" footer="0.3"/>
  <pageSetup paperSize="9"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/>
  <dimension ref="A1:AB786"/>
  <sheetViews>
    <sheetView tabSelected="1" topLeftCell="D1" workbookViewId="0">
      <pane ySplit="1" topLeftCell="A782" activePane="bottomLeft" state="frozen"/>
      <selection pane="bottomLeft" activeCell="A728" sqref="A728:Y786"/>
    </sheetView>
  </sheetViews>
  <sheetFormatPr baseColWidth="10" defaultColWidth="9" defaultRowHeight="15"/>
  <cols>
    <col min="1" max="1" width="10.5" style="6" customWidth="1"/>
    <col min="2" max="2" width="11.83203125" style="7" customWidth="1"/>
    <col min="3" max="12" width="9.5" style="7" customWidth="1"/>
    <col min="13" max="13" width="10.5" style="7" customWidth="1"/>
    <col min="14" max="16" width="9.5" style="7" customWidth="1"/>
    <col min="17" max="17" width="10.5" style="7" customWidth="1"/>
    <col min="18" max="25" width="9.5" style="7" customWidth="1"/>
    <col min="26" max="16384" width="9" style="1"/>
  </cols>
  <sheetData>
    <row r="1" spans="1:28">
      <c r="A1" s="2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  <c r="M1" s="3" t="s">
        <v>12</v>
      </c>
      <c r="N1" s="3" t="s">
        <v>13</v>
      </c>
      <c r="O1" s="3" t="s">
        <v>14</v>
      </c>
      <c r="P1" s="3" t="s">
        <v>15</v>
      </c>
      <c r="Q1" s="3" t="s">
        <v>16</v>
      </c>
      <c r="R1" s="3" t="s">
        <v>17</v>
      </c>
      <c r="S1" s="3" t="s">
        <v>18</v>
      </c>
      <c r="T1" s="3" t="s">
        <v>19</v>
      </c>
      <c r="U1" s="3" t="s">
        <v>20</v>
      </c>
      <c r="V1" s="3" t="s">
        <v>21</v>
      </c>
      <c r="W1" s="3" t="s">
        <v>22</v>
      </c>
      <c r="X1" s="3" t="s">
        <v>23</v>
      </c>
      <c r="Y1" s="3" t="s">
        <v>24</v>
      </c>
      <c r="Z1" s="4" t="s">
        <v>63</v>
      </c>
      <c r="AA1" s="4" t="s">
        <v>64</v>
      </c>
      <c r="AB1" s="4" t="s">
        <v>29</v>
      </c>
    </row>
    <row r="2" spans="1:28">
      <c r="A2" s="8">
        <v>45292</v>
      </c>
      <c r="B2" s="7">
        <f>日前电价!B2-实时电价!B2</f>
        <v>-4.3811</v>
      </c>
      <c r="C2" s="7">
        <f>日前电价!C2-实时电价!C2</f>
        <v>39.1965</v>
      </c>
      <c r="D2" s="7">
        <f>日前电价!D2-实时电价!D2</f>
        <v>91.203800000000001</v>
      </c>
      <c r="E2" s="7">
        <f>日前电价!E2-实时电价!E2</f>
        <v>20.152200000000001</v>
      </c>
      <c r="F2" s="7">
        <f>日前电价!F2-实时电价!F2</f>
        <v>0</v>
      </c>
      <c r="G2" s="7">
        <f>日前电价!G2-实时电价!G2</f>
        <v>-2.282</v>
      </c>
      <c r="H2" s="7">
        <f>日前电价!H2-实时电价!H2</f>
        <v>0.43409999999999999</v>
      </c>
      <c r="I2" s="7">
        <f>日前电价!I2-实时电价!I2</f>
        <v>-73.153099999999995</v>
      </c>
      <c r="J2" s="7">
        <f>日前电价!J2-实时电价!J2</f>
        <v>0</v>
      </c>
      <c r="K2" s="7">
        <f>日前电价!K2-实时电价!K2</f>
        <v>0</v>
      </c>
      <c r="L2" s="7">
        <f>日前电价!L2-实时电价!L2</f>
        <v>0</v>
      </c>
      <c r="M2" s="7">
        <f>日前电价!M2-实时电价!M2</f>
        <v>-296.18360000000001</v>
      </c>
      <c r="N2" s="7">
        <f>日前电价!N2-实时电价!N2</f>
        <v>-454.96429999999998</v>
      </c>
      <c r="O2" s="7">
        <f>日前电价!O2-实时电价!O2</f>
        <v>-64.264099999999999</v>
      </c>
      <c r="P2" s="7">
        <f>日前电价!P2-实时电价!P2</f>
        <v>-10.3218</v>
      </c>
      <c r="Q2" s="7">
        <f>日前电价!Q2-实时电价!Q2</f>
        <v>-451.40120000000002</v>
      </c>
      <c r="R2" s="7">
        <f>日前电价!R2-实时电价!R2</f>
        <v>-404.04700000000003</v>
      </c>
      <c r="S2" s="7">
        <f>日前电价!S2-实时电价!S2</f>
        <v>-591.86929999999995</v>
      </c>
      <c r="T2" s="7">
        <f>日前电价!T2-实时电价!T2</f>
        <v>-159.52289999999999</v>
      </c>
      <c r="U2" s="7">
        <f>日前电价!U2-实时电价!U2</f>
        <v>-3.5901000000000098</v>
      </c>
      <c r="V2" s="7">
        <f>日前电价!V2-实时电价!V2</f>
        <v>-8.3906000000000098</v>
      </c>
      <c r="W2" s="7">
        <f>日前电价!W2-实时电价!W2</f>
        <v>-37.947000000000003</v>
      </c>
      <c r="X2" s="7">
        <f>日前电价!X2-实时电价!X2</f>
        <v>-88.289000000000001</v>
      </c>
      <c r="Y2" s="7">
        <f>日前电价!Y2-实时电价!Y2</f>
        <v>-235.96029999999999</v>
      </c>
      <c r="Z2" s="9">
        <f t="shared" ref="Z2:Z65" si="0">MAX($B2:$Y2)</f>
        <v>91.203800000000001</v>
      </c>
      <c r="AA2" s="9">
        <f t="shared" ref="AA2:AA65" si="1">MIN($B2:$Y2)</f>
        <v>-591.86929999999995</v>
      </c>
      <c r="AB2" s="9">
        <f t="shared" ref="AB2:AB65" si="2">AVERAGE($B2:$Y2)</f>
        <v>-113.982533333333</v>
      </c>
    </row>
    <row r="3" spans="1:28">
      <c r="A3" s="8">
        <v>45293</v>
      </c>
      <c r="B3" s="7">
        <f>日前电价!B3-实时电价!B3</f>
        <v>-351.23489999999998</v>
      </c>
      <c r="C3" s="7">
        <f>日前电价!C3-实时电价!C3</f>
        <v>-70.114099999999993</v>
      </c>
      <c r="D3" s="7">
        <f>日前电价!D3-实时电价!D3</f>
        <v>-66.787300000000002</v>
      </c>
      <c r="E3" s="7">
        <f>日前电价!E3-实时电价!E3</f>
        <v>-114.6724</v>
      </c>
      <c r="F3" s="7">
        <f>日前电价!F3-实时电价!F3</f>
        <v>-277.66919999999999</v>
      </c>
      <c r="G3" s="7">
        <f>日前电价!G3-实时电价!G3</f>
        <v>-129.9768</v>
      </c>
      <c r="H3" s="7">
        <f>日前电价!H3-实时电价!H3</f>
        <v>-87.472800000000007</v>
      </c>
      <c r="I3" s="7">
        <f>日前电价!I3-实时电价!I3</f>
        <v>-73.438400000000001</v>
      </c>
      <c r="J3" s="7">
        <f>日前电价!J3-实时电价!J3</f>
        <v>-260.24680000000001</v>
      </c>
      <c r="K3" s="7">
        <f>日前电价!K3-实时电价!K3</f>
        <v>-213.78829999999999</v>
      </c>
      <c r="L3" s="7">
        <f>日前电价!L3-实时电价!L3</f>
        <v>-75.869100000000003</v>
      </c>
      <c r="M3" s="7">
        <f>日前电价!M3-实时电价!M3</f>
        <v>18.096</v>
      </c>
      <c r="N3" s="7">
        <f>日前电价!N3-实时电价!N3</f>
        <v>37.829900000000002</v>
      </c>
      <c r="O3" s="7">
        <f>日前电价!O3-实时电价!O3</f>
        <v>34.938800000000001</v>
      </c>
      <c r="P3" s="7">
        <f>日前电价!P3-实时电价!P3</f>
        <v>48.0623</v>
      </c>
      <c r="Q3" s="7">
        <f>日前电价!Q3-实时电价!Q3</f>
        <v>14.279400000000001</v>
      </c>
      <c r="R3" s="7">
        <f>日前电价!R3-实时电价!R3</f>
        <v>-4.4557000000000402</v>
      </c>
      <c r="S3" s="7">
        <f>日前电价!S3-实时电价!S3</f>
        <v>5.9553000000000802</v>
      </c>
      <c r="T3" s="7">
        <f>日前电价!T3-实时电价!T3</f>
        <v>-11.8247</v>
      </c>
      <c r="U3" s="7">
        <f>日前电价!U3-实时电价!U3</f>
        <v>-12.386699999999999</v>
      </c>
      <c r="V3" s="7">
        <f>日前电价!V3-实时电价!V3</f>
        <v>-107.6923</v>
      </c>
      <c r="W3" s="7">
        <f>日前电价!W3-实时电价!W3</f>
        <v>-128.84950000000001</v>
      </c>
      <c r="X3" s="7">
        <f>日前电价!X3-实时电价!X3</f>
        <v>-155.42699999999999</v>
      </c>
      <c r="Y3" s="7">
        <f>日前电价!Y3-实时电价!Y3</f>
        <v>-6.8792999999999997</v>
      </c>
      <c r="Z3" s="9">
        <f t="shared" si="0"/>
        <v>48.0623</v>
      </c>
      <c r="AA3" s="9">
        <f t="shared" si="1"/>
        <v>-351.23489999999998</v>
      </c>
      <c r="AB3" s="9">
        <f t="shared" si="2"/>
        <v>-82.900983333333301</v>
      </c>
    </row>
    <row r="4" spans="1:28">
      <c r="A4" s="8">
        <v>45294</v>
      </c>
      <c r="B4" s="7">
        <f>日前电价!B4-实时电价!B4</f>
        <v>-141.7535</v>
      </c>
      <c r="C4" s="7">
        <f>日前电价!C4-实时电价!C4</f>
        <v>-50.210099999999997</v>
      </c>
      <c r="D4" s="7">
        <f>日前电价!D4-实时电价!D4</f>
        <v>-52.885899999999999</v>
      </c>
      <c r="E4" s="7">
        <f>日前电价!E4-实时电价!E4</f>
        <v>-34.8887</v>
      </c>
      <c r="F4" s="7">
        <f>日前电价!F4-实时电价!F4</f>
        <v>-37.775599999999997</v>
      </c>
      <c r="G4" s="7">
        <f>日前电价!G4-实时电价!G4</f>
        <v>-39.493299999999998</v>
      </c>
      <c r="H4" s="7">
        <f>日前电价!H4-实时电价!H4</f>
        <v>-74.569599999999994</v>
      </c>
      <c r="I4" s="7">
        <f>日前电价!I4-实时电价!I4</f>
        <v>-126.6365</v>
      </c>
      <c r="J4" s="7">
        <f>日前电价!J4-实时电价!J4</f>
        <v>-449.35789999999997</v>
      </c>
      <c r="K4" s="7">
        <f>日前电价!K4-实时电价!K4</f>
        <v>-357.96719999999999</v>
      </c>
      <c r="L4" s="7">
        <f>日前电价!L4-实时电价!L4</f>
        <v>-57.689500000000002</v>
      </c>
      <c r="M4" s="7">
        <f>日前电价!M4-实时电价!M4</f>
        <v>37.385300000000001</v>
      </c>
      <c r="N4" s="7">
        <f>日前电价!N4-实时电价!N4</f>
        <v>129.92599999999999</v>
      </c>
      <c r="O4" s="7">
        <f>日前电价!O4-实时电价!O4</f>
        <v>65.250500000000002</v>
      </c>
      <c r="P4" s="7">
        <f>日前电价!P4-实时电价!P4</f>
        <v>35.9251</v>
      </c>
      <c r="Q4" s="7">
        <f>日前电价!Q4-实时电价!Q4</f>
        <v>7.4754000000000396</v>
      </c>
      <c r="R4" s="7">
        <f>日前电价!R4-实时电价!R4</f>
        <v>-150.03450000000001</v>
      </c>
      <c r="S4" s="7">
        <f>日前电价!S4-实时电价!S4</f>
        <v>-185.58099999999999</v>
      </c>
      <c r="T4" s="7">
        <f>日前电价!T4-实时电价!T4</f>
        <v>-92.497900000000001</v>
      </c>
      <c r="U4" s="7">
        <f>日前电价!U4-实时电价!U4</f>
        <v>-190.22710000000001</v>
      </c>
      <c r="V4" s="7">
        <f>日前电价!V4-实时电价!V4</f>
        <v>-170.3715</v>
      </c>
      <c r="W4" s="7">
        <f>日前电价!W4-实时电价!W4</f>
        <v>-197.37540000000001</v>
      </c>
      <c r="X4" s="7">
        <f>日前电价!X4-实时电价!X4</f>
        <v>-61.5700000000001</v>
      </c>
      <c r="Y4" s="7">
        <f>日前电价!Y4-实时电价!Y4</f>
        <v>-2.6340999999999899</v>
      </c>
      <c r="Z4" s="9">
        <f t="shared" si="0"/>
        <v>129.92599999999999</v>
      </c>
      <c r="AA4" s="9">
        <f t="shared" si="1"/>
        <v>-449.35789999999997</v>
      </c>
      <c r="AB4" s="9">
        <f t="shared" si="2"/>
        <v>-91.564875000000001</v>
      </c>
    </row>
    <row r="5" spans="1:28">
      <c r="A5" s="8">
        <v>45295</v>
      </c>
      <c r="B5" s="7">
        <f>日前电价!B5-实时电价!B5</f>
        <v>-46.811900000000001</v>
      </c>
      <c r="C5" s="7">
        <f>日前电价!C5-实时电价!C5</f>
        <v>-27.9846</v>
      </c>
      <c r="D5" s="7">
        <f>日前电价!D5-实时电价!D5</f>
        <v>-6.2417000000000398</v>
      </c>
      <c r="E5" s="7">
        <f>日前电价!E5-实时电价!E5</f>
        <v>8.4141000000000208</v>
      </c>
      <c r="F5" s="7">
        <f>日前电价!F5-实时电价!F5</f>
        <v>17.779399999999999</v>
      </c>
      <c r="G5" s="7">
        <f>日前电价!G5-实时电价!G5</f>
        <v>-3.96809999999999</v>
      </c>
      <c r="H5" s="7">
        <f>日前电价!H5-实时电价!H5</f>
        <v>-10.3264</v>
      </c>
      <c r="I5" s="7">
        <f>日前电价!I5-实时电价!I5</f>
        <v>-37.469200000000001</v>
      </c>
      <c r="J5" s="7">
        <f>日前电价!J5-实时电价!J5</f>
        <v>-379.81169999999997</v>
      </c>
      <c r="K5" s="7">
        <f>日前电价!K5-实时电价!K5</f>
        <v>-517.16070000000002</v>
      </c>
      <c r="L5" s="7">
        <f>日前电价!L5-实时电价!L5</f>
        <v>-138.81299999999999</v>
      </c>
      <c r="M5" s="7">
        <f>日前电价!M5-实时电价!M5</f>
        <v>83.372600000000006</v>
      </c>
      <c r="N5" s="7">
        <f>日前电价!N5-实时电价!N5</f>
        <v>225.6061</v>
      </c>
      <c r="O5" s="7">
        <f>日前电价!O5-实时电价!O5</f>
        <v>65.007099999999994</v>
      </c>
      <c r="P5" s="7">
        <f>日前电价!P5-实时电价!P5</f>
        <v>4.8454999999999604</v>
      </c>
      <c r="Q5" s="7">
        <f>日前电价!Q5-实时电价!Q5</f>
        <v>-25.4101</v>
      </c>
      <c r="R5" s="7">
        <f>日前电价!R5-实时电价!R5</f>
        <v>-220.45150000000001</v>
      </c>
      <c r="S5" s="7">
        <f>日前电价!S5-实时电价!S5</f>
        <v>-156.17670000000001</v>
      </c>
      <c r="T5" s="7">
        <f>日前电价!T5-实时电价!T5</f>
        <v>-246.20509999999999</v>
      </c>
      <c r="U5" s="7">
        <f>日前电价!U5-实时电价!U5</f>
        <v>-383.32060000000001</v>
      </c>
      <c r="V5" s="7">
        <f>日前电价!V5-实时电价!V5</f>
        <v>-374.0369</v>
      </c>
      <c r="W5" s="7">
        <f>日前电价!W5-实时电价!W5</f>
        <v>-206.57749999999999</v>
      </c>
      <c r="X5" s="7">
        <f>日前电价!X5-实时电价!X5</f>
        <v>-26.994800000000001</v>
      </c>
      <c r="Y5" s="7">
        <f>日前电价!Y5-实时电价!Y5</f>
        <v>-6.7473000000000001</v>
      </c>
      <c r="Z5" s="9">
        <f t="shared" si="0"/>
        <v>225.6061</v>
      </c>
      <c r="AA5" s="9">
        <f t="shared" si="1"/>
        <v>-517.16070000000002</v>
      </c>
      <c r="AB5" s="9">
        <f t="shared" si="2"/>
        <v>-100.39512499999999</v>
      </c>
    </row>
    <row r="6" spans="1:28">
      <c r="A6" s="8">
        <v>45296</v>
      </c>
      <c r="B6" s="7">
        <f>日前电价!B6-实时电价!B6</f>
        <v>-21.792300000000001</v>
      </c>
      <c r="C6" s="7">
        <f>日前电价!C6-实时电价!C6</f>
        <v>-19.750599999999999</v>
      </c>
      <c r="D6" s="7">
        <f>日前电价!D6-实时电价!D6</f>
        <v>-4.5590999999999999</v>
      </c>
      <c r="E6" s="7">
        <f>日前电价!E6-实时电价!E6</f>
        <v>-2.5781000000000098</v>
      </c>
      <c r="F6" s="7">
        <f>日前电价!F6-实时电价!F6</f>
        <v>4.5912000000000104</v>
      </c>
      <c r="G6" s="7">
        <f>日前电价!G6-实时电价!G6</f>
        <v>12.4725</v>
      </c>
      <c r="H6" s="7">
        <f>日前电价!H6-实时电价!H6</f>
        <v>17.995200000000001</v>
      </c>
      <c r="I6" s="7">
        <f>日前电价!I6-实时电价!I6</f>
        <v>11.879200000000001</v>
      </c>
      <c r="J6" s="7">
        <f>日前电价!J6-实时电价!J6</f>
        <v>-35.241300000000003</v>
      </c>
      <c r="K6" s="7">
        <f>日前电价!K6-实时电价!K6</f>
        <v>-65.468999999999895</v>
      </c>
      <c r="L6" s="7">
        <f>日前电价!L6-实时电价!L6</f>
        <v>42.2742</v>
      </c>
      <c r="M6" s="7">
        <f>日前电价!M6-实时电价!M6</f>
        <v>85.461499999999901</v>
      </c>
      <c r="N6" s="7">
        <f>日前电价!N6-实时电价!N6</f>
        <v>314.35300000000001</v>
      </c>
      <c r="O6" s="7">
        <f>日前电价!O6-实时电价!O6</f>
        <v>258.32549999999998</v>
      </c>
      <c r="P6" s="7">
        <f>日前电价!P6-实时电价!P6</f>
        <v>122.85809999999999</v>
      </c>
      <c r="Q6" s="7">
        <f>日前电价!Q6-实时电价!Q6</f>
        <v>11.37</v>
      </c>
      <c r="R6" s="7">
        <f>日前电价!R6-实时电价!R6</f>
        <v>-48.040700000000001</v>
      </c>
      <c r="S6" s="7">
        <f>日前电价!S6-实时电价!S6</f>
        <v>-42.7791</v>
      </c>
      <c r="T6" s="7">
        <f>日前电价!T6-实时电价!T6</f>
        <v>22.9162</v>
      </c>
      <c r="U6" s="7">
        <f>日前电价!U6-实时电价!U6</f>
        <v>-47.886400000000101</v>
      </c>
      <c r="V6" s="7">
        <f>日前电价!V6-实时电价!V6</f>
        <v>-102.4533</v>
      </c>
      <c r="W6" s="7">
        <f>日前电价!W6-实时电价!W6</f>
        <v>-13.181699999999999</v>
      </c>
      <c r="X6" s="7">
        <f>日前电价!X6-实时电价!X6</f>
        <v>-47.425099999999901</v>
      </c>
      <c r="Y6" s="7">
        <f>日前电价!Y6-实时电价!Y6</f>
        <v>-37.581899999999997</v>
      </c>
      <c r="Z6" s="9">
        <f t="shared" si="0"/>
        <v>314.35300000000001</v>
      </c>
      <c r="AA6" s="9">
        <f t="shared" si="1"/>
        <v>-102.4533</v>
      </c>
      <c r="AB6" s="9">
        <f t="shared" si="2"/>
        <v>17.323250000000002</v>
      </c>
    </row>
    <row r="7" spans="1:28">
      <c r="A7" s="8">
        <v>45297</v>
      </c>
      <c r="B7" s="7">
        <f>日前电价!B7-实时电价!B7</f>
        <v>-50.518599999999999</v>
      </c>
      <c r="C7" s="7">
        <f>日前电价!C7-实时电价!C7</f>
        <v>-23.5534</v>
      </c>
      <c r="D7" s="7">
        <f>日前电价!D7-实时电价!D7</f>
        <v>-12.723800000000001</v>
      </c>
      <c r="E7" s="7">
        <f>日前电价!E7-实时电价!E7</f>
        <v>-4.0602999999999803</v>
      </c>
      <c r="F7" s="7">
        <f>日前电价!F7-实时电价!F7</f>
        <v>-2.3027999999999902</v>
      </c>
      <c r="G7" s="7">
        <f>日前电价!G7-实时电价!G7</f>
        <v>0.27490000000000198</v>
      </c>
      <c r="H7" s="7">
        <f>日前电价!H7-实时电价!H7</f>
        <v>0.93299999999999295</v>
      </c>
      <c r="I7" s="7">
        <f>日前电价!I7-实时电价!I7</f>
        <v>-8.3709000000000096</v>
      </c>
      <c r="J7" s="7">
        <f>日前电价!J7-实时电价!J7</f>
        <v>-79.642199999999903</v>
      </c>
      <c r="K7" s="7">
        <f>日前电价!K7-实时电价!K7</f>
        <v>-57.337200000000102</v>
      </c>
      <c r="L7" s="7">
        <f>日前电价!L7-实时电价!L7</f>
        <v>14.813000000000001</v>
      </c>
      <c r="M7" s="7">
        <f>日前电价!M7-实时电价!M7</f>
        <v>47.8842</v>
      </c>
      <c r="N7" s="7">
        <f>日前电价!N7-实时电价!N7</f>
        <v>140.1277</v>
      </c>
      <c r="O7" s="7">
        <f>日前电价!O7-实时电价!O7</f>
        <v>59.376600000000003</v>
      </c>
      <c r="P7" s="7">
        <f>日前电价!P7-实时电价!P7</f>
        <v>35.824399999999997</v>
      </c>
      <c r="Q7" s="7">
        <f>日前电价!Q7-实时电价!Q7</f>
        <v>43.147799999999997</v>
      </c>
      <c r="R7" s="7">
        <f>日前电价!R7-实时电价!R7</f>
        <v>3.00350000000003</v>
      </c>
      <c r="S7" s="7">
        <f>日前电价!S7-实时电价!S7</f>
        <v>2.3737999999999602</v>
      </c>
      <c r="T7" s="7">
        <f>日前电价!T7-实时电价!T7</f>
        <v>6.1193999999999802</v>
      </c>
      <c r="U7" s="7">
        <f>日前电价!U7-实时电价!U7</f>
        <v>7.4656999999999698</v>
      </c>
      <c r="V7" s="7">
        <f>日前电价!V7-实时电价!V7</f>
        <v>0.17509999999998599</v>
      </c>
      <c r="W7" s="7">
        <f>日前电价!W7-实时电价!W7</f>
        <v>3.4889000000000001</v>
      </c>
      <c r="X7" s="7">
        <f>日前电价!X7-实时电价!X7</f>
        <v>-12.2882</v>
      </c>
      <c r="Y7" s="7">
        <f>日前电价!Y7-实时电价!Y7</f>
        <v>-13.510899999999999</v>
      </c>
      <c r="Z7" s="9">
        <f t="shared" si="0"/>
        <v>140.1277</v>
      </c>
      <c r="AA7" s="9">
        <f t="shared" si="1"/>
        <v>-79.642199999999903</v>
      </c>
      <c r="AB7" s="9">
        <f t="shared" si="2"/>
        <v>4.1958208333333298</v>
      </c>
    </row>
    <row r="8" spans="1:28">
      <c r="A8" s="8">
        <v>45298</v>
      </c>
      <c r="B8" s="7">
        <f>日前电价!B8-实时电价!B8</f>
        <v>-32.6706</v>
      </c>
      <c r="C8" s="7">
        <f>日前电价!C8-实时电价!C8</f>
        <v>-5.9968999999999797</v>
      </c>
      <c r="D8" s="7">
        <f>日前电价!D8-实时电价!D8</f>
        <v>3.1340999999999899</v>
      </c>
      <c r="E8" s="7">
        <f>日前电价!E8-实时电价!E8</f>
        <v>12.4116</v>
      </c>
      <c r="F8" s="7">
        <f>日前电价!F8-实时电价!F8</f>
        <v>8.2857999999999894</v>
      </c>
      <c r="G8" s="7">
        <f>日前电价!G8-实时电价!G8</f>
        <v>0.96980000000002098</v>
      </c>
      <c r="H8" s="7">
        <f>日前电价!H8-实时电价!H8</f>
        <v>1.9753999999999801</v>
      </c>
      <c r="I8" s="7">
        <f>日前电价!I8-实时电价!I8</f>
        <v>-20.2867</v>
      </c>
      <c r="J8" s="7">
        <f>日前电价!J8-实时电价!J8</f>
        <v>-24.389500000000002</v>
      </c>
      <c r="K8" s="7">
        <f>日前电价!K8-实时电价!K8</f>
        <v>1.69929999999999</v>
      </c>
      <c r="L8" s="7">
        <f>日前电价!L8-实时电价!L8</f>
        <v>27.368500000000001</v>
      </c>
      <c r="M8" s="7">
        <f>日前电价!M8-实时电价!M8</f>
        <v>88.027299999999997</v>
      </c>
      <c r="N8" s="7">
        <f>日前电价!N8-实时电价!N8</f>
        <v>156.15940000000001</v>
      </c>
      <c r="O8" s="7">
        <f>日前电价!O8-实时电价!O8</f>
        <v>83.377099999999999</v>
      </c>
      <c r="P8" s="7">
        <f>日前电价!P8-实时电价!P8</f>
        <v>47.971400000000003</v>
      </c>
      <c r="Q8" s="7">
        <f>日前电价!Q8-实时电价!Q8</f>
        <v>63.561900000000001</v>
      </c>
      <c r="R8" s="7">
        <f>日前电价!R8-实时电价!R8</f>
        <v>4.5946000000000096</v>
      </c>
      <c r="S8" s="7">
        <f>日前电价!S8-实时电价!S8</f>
        <v>14.6629</v>
      </c>
      <c r="T8" s="7">
        <f>日前电价!T8-实时电价!T8</f>
        <v>-0.95909999999997797</v>
      </c>
      <c r="U8" s="7">
        <f>日前电价!U8-实时电价!U8</f>
        <v>10.727499999999999</v>
      </c>
      <c r="V8" s="7">
        <f>日前电价!V8-实时电价!V8</f>
        <v>-16.420000000000002</v>
      </c>
      <c r="W8" s="7">
        <f>日前电价!W8-实时电价!W8</f>
        <v>-22.4664</v>
      </c>
      <c r="X8" s="7">
        <f>日前电价!X8-实时电价!X8</f>
        <v>-17.224499999999999</v>
      </c>
      <c r="Y8" s="7">
        <f>日前电价!Y8-实时电价!Y8</f>
        <v>-8.7351999999999599</v>
      </c>
      <c r="Z8" s="9">
        <f t="shared" si="0"/>
        <v>156.15940000000001</v>
      </c>
      <c r="AA8" s="9">
        <f t="shared" si="1"/>
        <v>-32.6706</v>
      </c>
      <c r="AB8" s="9">
        <f t="shared" si="2"/>
        <v>15.6574041666667</v>
      </c>
    </row>
    <row r="9" spans="1:28">
      <c r="A9" s="8">
        <v>45299</v>
      </c>
      <c r="B9" s="7">
        <f>日前电价!B9-实时电价!B9</f>
        <v>-6.4761000000000299</v>
      </c>
      <c r="C9" s="7">
        <f>日前电价!C9-实时电价!C9</f>
        <v>2.9268999999999901</v>
      </c>
      <c r="D9" s="7">
        <f>日前电价!D9-实时电价!D9</f>
        <v>11.9384</v>
      </c>
      <c r="E9" s="7">
        <f>日前电价!E9-实时电价!E9</f>
        <v>92.563999999999993</v>
      </c>
      <c r="F9" s="7">
        <f>日前电价!F9-实时电价!F9</f>
        <v>63.308500000000002</v>
      </c>
      <c r="G9" s="7">
        <f>日前电价!G9-实时电价!G9</f>
        <v>8.2278000000000002</v>
      </c>
      <c r="H9" s="7">
        <f>日前电价!H9-实时电价!H9</f>
        <v>-12.887700000000001</v>
      </c>
      <c r="I9" s="7">
        <f>日前电价!I9-实时电价!I9</f>
        <v>-17.154800000000002</v>
      </c>
      <c r="J9" s="7">
        <f>日前电价!J9-实时电价!J9</f>
        <v>-12.832000000000001</v>
      </c>
      <c r="K9" s="7">
        <f>日前电价!K9-实时电价!K9</f>
        <v>3.7022999999999802</v>
      </c>
      <c r="L9" s="7">
        <f>日前电价!L9-实时电价!L9</f>
        <v>41.987299999999998</v>
      </c>
      <c r="M9" s="7">
        <f>日前电价!M9-实时电价!M9</f>
        <v>31.448599999999999</v>
      </c>
      <c r="N9" s="7">
        <f>日前电价!N9-实时电价!N9</f>
        <v>124.2336</v>
      </c>
      <c r="O9" s="7">
        <f>日前电价!O9-实时电价!O9</f>
        <v>15.380100000000001</v>
      </c>
      <c r="P9" s="7">
        <f>日前电价!P9-实时电价!P9</f>
        <v>9.6077999999999992</v>
      </c>
      <c r="Q9" s="7">
        <f>日前电价!Q9-实时电价!Q9</f>
        <v>-7.5400000000001896E-2</v>
      </c>
      <c r="R9" s="7">
        <f>日前电价!R9-实时电价!R9</f>
        <v>-33.147199999999998</v>
      </c>
      <c r="S9" s="7">
        <f>日前电价!S9-实时电价!S9</f>
        <v>-20.672499999999999</v>
      </c>
      <c r="T9" s="7">
        <f>日前电价!T9-实时电价!T9</f>
        <v>-9.9939999999999696</v>
      </c>
      <c r="U9" s="7">
        <f>日前电价!U9-实时电价!U9</f>
        <v>-17.209199999999999</v>
      </c>
      <c r="V9" s="7">
        <f>日前电价!V9-实时电价!V9</f>
        <v>-26.856000000000002</v>
      </c>
      <c r="W9" s="7">
        <f>日前电价!W9-实时电价!W9</f>
        <v>-23.845500000000001</v>
      </c>
      <c r="X9" s="7">
        <f>日前电价!X9-实时电价!X9</f>
        <v>-12.563800000000001</v>
      </c>
      <c r="Y9" s="7">
        <f>日前电价!Y9-实时电价!Y9</f>
        <v>-24.5885</v>
      </c>
      <c r="Z9" s="9">
        <f t="shared" si="0"/>
        <v>124.2336</v>
      </c>
      <c r="AA9" s="9">
        <f t="shared" si="1"/>
        <v>-33.147199999999998</v>
      </c>
      <c r="AB9" s="9">
        <f t="shared" si="2"/>
        <v>7.79260833333334</v>
      </c>
    </row>
    <row r="10" spans="1:28">
      <c r="A10" s="8">
        <v>45300</v>
      </c>
      <c r="B10" s="7">
        <f>日前电价!B10-实时电价!B10</f>
        <v>-35.874600000000001</v>
      </c>
      <c r="C10" s="7">
        <f>日前电价!C10-实时电价!C10</f>
        <v>-18.555800000000001</v>
      </c>
      <c r="D10" s="7">
        <f>日前电价!D10-实时电价!D10</f>
        <v>-4.6868999999999801</v>
      </c>
      <c r="E10" s="7">
        <f>日前电价!E10-实时电价!E10</f>
        <v>-0.97470000000004098</v>
      </c>
      <c r="F10" s="7">
        <f>日前电价!F10-实时电价!F10</f>
        <v>-5.2060999999999904</v>
      </c>
      <c r="G10" s="7">
        <f>日前电价!G10-实时电价!G10</f>
        <v>-2.8797000000000099</v>
      </c>
      <c r="H10" s="7">
        <f>日前电价!H10-实时电价!H10</f>
        <v>5.1526999999999799</v>
      </c>
      <c r="I10" s="7">
        <f>日前电价!I10-实时电价!I10</f>
        <v>-7.2753000000000201</v>
      </c>
      <c r="J10" s="7">
        <f>日前电价!J10-实时电价!J10</f>
        <v>-360.5677</v>
      </c>
      <c r="K10" s="7">
        <f>日前电价!K10-实时电价!K10</f>
        <v>-304.58170000000001</v>
      </c>
      <c r="L10" s="7">
        <f>日前电价!L10-实时电价!L10</f>
        <v>-145.24520000000001</v>
      </c>
      <c r="M10" s="7">
        <f>日前电价!M10-实时电价!M10</f>
        <v>-22.923999999999999</v>
      </c>
      <c r="N10" s="7">
        <f>日前电价!N10-实时电价!N10</f>
        <v>31.757300000000001</v>
      </c>
      <c r="O10" s="7">
        <f>日前电价!O10-实时电价!O10</f>
        <v>-7.1798000000000002</v>
      </c>
      <c r="P10" s="7">
        <f>日前电价!P10-实时电价!P10</f>
        <v>-89.882199999999997</v>
      </c>
      <c r="Q10" s="7">
        <f>日前电价!Q10-实时电价!Q10</f>
        <v>-300.65280000000001</v>
      </c>
      <c r="R10" s="7">
        <f>日前电价!R10-实时电价!R10</f>
        <v>-338.3297</v>
      </c>
      <c r="S10" s="7">
        <f>日前电价!S10-实时电价!S10</f>
        <v>-176.8212</v>
      </c>
      <c r="T10" s="7">
        <f>日前电价!T10-实时电价!T10</f>
        <v>-248.4145</v>
      </c>
      <c r="U10" s="7">
        <f>日前电价!U10-实时电价!U10</f>
        <v>-316.58300000000003</v>
      </c>
      <c r="V10" s="7">
        <f>日前电价!V10-实时电价!V10</f>
        <v>-356.39699999999999</v>
      </c>
      <c r="W10" s="7">
        <f>日前电价!W10-实时电价!W10</f>
        <v>-340.17290000000003</v>
      </c>
      <c r="X10" s="7">
        <f>日前电价!X10-实时电价!X10</f>
        <v>-107.7385</v>
      </c>
      <c r="Y10" s="7">
        <f>日前电价!Y10-实时电价!Y10</f>
        <v>-23.196999999999999</v>
      </c>
      <c r="Z10" s="9">
        <f t="shared" si="0"/>
        <v>31.757300000000001</v>
      </c>
      <c r="AA10" s="9">
        <f t="shared" si="1"/>
        <v>-360.5677</v>
      </c>
      <c r="AB10" s="9">
        <f t="shared" si="2"/>
        <v>-132.38459583333301</v>
      </c>
    </row>
    <row r="11" spans="1:28">
      <c r="A11" s="8">
        <v>45301</v>
      </c>
      <c r="B11" s="7">
        <f>日前电价!B11-实时电价!B11</f>
        <v>-24.7287</v>
      </c>
      <c r="C11" s="7">
        <f>日前电价!C11-实时电价!C11</f>
        <v>-1.55220000000003</v>
      </c>
      <c r="D11" s="7">
        <f>日前电价!D11-实时电价!D11</f>
        <v>3.6537999999999902</v>
      </c>
      <c r="E11" s="7">
        <f>日前电价!E11-实时电价!E11</f>
        <v>13.8271</v>
      </c>
      <c r="F11" s="7">
        <f>日前电价!F11-实时电价!F11</f>
        <v>9.4092000000000002</v>
      </c>
      <c r="G11" s="7">
        <f>日前电价!G11-实时电价!G11</f>
        <v>10.0046</v>
      </c>
      <c r="H11" s="7">
        <f>日前电价!H11-实时电价!H11</f>
        <v>11.357200000000001</v>
      </c>
      <c r="I11" s="7">
        <f>日前电价!I11-实时电价!I11</f>
        <v>-9.64690000000002</v>
      </c>
      <c r="J11" s="7">
        <f>日前电价!J11-实时电价!J11</f>
        <v>-52.368400000000101</v>
      </c>
      <c r="K11" s="7">
        <f>日前电价!K11-实时电价!K11</f>
        <v>13.230600000000001</v>
      </c>
      <c r="L11" s="7">
        <f>日前电价!L11-实时电价!L11</f>
        <v>22.990200000000002</v>
      </c>
      <c r="M11" s="7">
        <f>日前电价!M11-实时电价!M11</f>
        <v>68.734300000000005</v>
      </c>
      <c r="N11" s="7">
        <f>日前电价!N11-实时电价!N11</f>
        <v>151.2405</v>
      </c>
      <c r="O11" s="7">
        <f>日前电价!O11-实时电价!O11</f>
        <v>33.302500000000002</v>
      </c>
      <c r="P11" s="7">
        <f>日前电价!P11-实时电价!P11</f>
        <v>34.448799999999899</v>
      </c>
      <c r="Q11" s="7">
        <f>日前电价!Q11-实时电价!Q11</f>
        <v>29.1707</v>
      </c>
      <c r="R11" s="7">
        <f>日前电价!R11-实时电价!R11</f>
        <v>3.8174999999999999</v>
      </c>
      <c r="S11" s="7">
        <f>日前电价!S11-实时电价!S11</f>
        <v>-3.99740000000003</v>
      </c>
      <c r="T11" s="7">
        <f>日前电价!T11-实时电价!T11</f>
        <v>-44.968699999999998</v>
      </c>
      <c r="U11" s="7">
        <f>日前电价!U11-实时电价!U11</f>
        <v>-20.5608</v>
      </c>
      <c r="V11" s="7">
        <f>日前电价!V11-实时电价!V11</f>
        <v>-10.5999</v>
      </c>
      <c r="W11" s="7">
        <f>日前电价!W11-实时电价!W11</f>
        <v>-4.9253999999999696</v>
      </c>
      <c r="X11" s="7">
        <f>日前电价!X11-实时电价!X11</f>
        <v>1.25629999999995</v>
      </c>
      <c r="Y11" s="7">
        <f>日前电价!Y11-实时电价!Y11</f>
        <v>-16.378799999999998</v>
      </c>
      <c r="Z11" s="9">
        <f t="shared" si="0"/>
        <v>151.2405</v>
      </c>
      <c r="AA11" s="9">
        <f t="shared" si="1"/>
        <v>-52.368400000000101</v>
      </c>
      <c r="AB11" s="9">
        <f t="shared" si="2"/>
        <v>9.0298374999999904</v>
      </c>
    </row>
    <row r="12" spans="1:28">
      <c r="A12" s="8">
        <v>45302</v>
      </c>
      <c r="B12" s="7">
        <f>日前电价!B12-实时电价!B12</f>
        <v>-16.842099999999999</v>
      </c>
      <c r="C12" s="7">
        <f>日前电价!C12-实时电价!C12</f>
        <v>-27.865200000000002</v>
      </c>
      <c r="D12" s="7">
        <f>日前电价!D12-实时电价!D12</f>
        <v>-7.8068000000000097</v>
      </c>
      <c r="E12" s="7">
        <f>日前电价!E12-实时电价!E12</f>
        <v>5.5262000000000198</v>
      </c>
      <c r="F12" s="7">
        <f>日前电价!F12-实时电价!F12</f>
        <v>50.353900000000003</v>
      </c>
      <c r="G12" s="7">
        <f>日前电价!G12-实时电价!G12</f>
        <v>18.1447</v>
      </c>
      <c r="H12" s="7">
        <f>日前电价!H12-实时电价!H12</f>
        <v>13.259600000000001</v>
      </c>
      <c r="I12" s="7">
        <f>日前电价!I12-实时电价!I12</f>
        <v>-1.2049000000000101</v>
      </c>
      <c r="J12" s="7">
        <f>日前电价!J12-实时电价!J12</f>
        <v>-22.8126</v>
      </c>
      <c r="K12" s="7">
        <f>日前电价!K12-实时电价!K12</f>
        <v>-100.074</v>
      </c>
      <c r="L12" s="7">
        <f>日前电价!L12-实时电价!L12</f>
        <v>-28.191199999999998</v>
      </c>
      <c r="M12" s="7">
        <f>日前电价!M12-实时电价!M12</f>
        <v>18.952400000000001</v>
      </c>
      <c r="N12" s="7">
        <f>日前电价!N12-实时电价!N12</f>
        <v>103.44580000000001</v>
      </c>
      <c r="O12" s="7">
        <f>日前电价!O12-实时电价!O12</f>
        <v>63.714100000000002</v>
      </c>
      <c r="P12" s="7">
        <f>日前电价!P12-实时电价!P12</f>
        <v>32.062600000000003</v>
      </c>
      <c r="Q12" s="7">
        <f>日前电价!Q12-实时电价!Q12</f>
        <v>19.405899999999999</v>
      </c>
      <c r="R12" s="7">
        <f>日前电价!R12-实时电价!R12</f>
        <v>-20.9861</v>
      </c>
      <c r="S12" s="7">
        <f>日前电价!S12-实时电价!S12</f>
        <v>-29.609400000000001</v>
      </c>
      <c r="T12" s="7">
        <f>日前电价!T12-实时电价!T12</f>
        <v>-175.9203</v>
      </c>
      <c r="U12" s="7">
        <f>日前电价!U12-实时电价!U12</f>
        <v>-312.89449999999999</v>
      </c>
      <c r="V12" s="7">
        <f>日前电价!V12-实时电价!V12</f>
        <v>-256.92160000000001</v>
      </c>
      <c r="W12" s="7">
        <f>日前电价!W12-实时电价!W12</f>
        <v>-322.45350000000002</v>
      </c>
      <c r="X12" s="7">
        <f>日前电价!X12-实时电价!X12</f>
        <v>-59.403500000000001</v>
      </c>
      <c r="Y12" s="7">
        <f>日前电价!Y12-实时电价!Y12</f>
        <v>-25.888400000000001</v>
      </c>
      <c r="Z12" s="9">
        <f t="shared" si="0"/>
        <v>103.44580000000001</v>
      </c>
      <c r="AA12" s="9">
        <f t="shared" si="1"/>
        <v>-322.45350000000002</v>
      </c>
      <c r="AB12" s="9">
        <f t="shared" si="2"/>
        <v>-45.167037499999999</v>
      </c>
    </row>
    <row r="13" spans="1:28">
      <c r="A13" s="8">
        <v>45303</v>
      </c>
      <c r="B13" s="7">
        <f>日前电价!B13-实时电价!B13</f>
        <v>-20.354700000000001</v>
      </c>
      <c r="C13" s="7">
        <f>日前电价!C13-实时电价!C13</f>
        <v>22.4482</v>
      </c>
      <c r="D13" s="7">
        <f>日前电价!D13-实时电价!D13</f>
        <v>44.807600000000001</v>
      </c>
      <c r="E13" s="7">
        <f>日前电价!E13-实时电价!E13</f>
        <v>6.0185999999999904</v>
      </c>
      <c r="F13" s="7">
        <f>日前电价!F13-实时电价!F13</f>
        <v>-11.3361</v>
      </c>
      <c r="G13" s="7">
        <f>日前电价!G13-实时电价!G13</f>
        <v>-6.7336999999999998</v>
      </c>
      <c r="H13" s="7">
        <f>日前电价!H13-实时电价!H13</f>
        <v>-21.154800000000002</v>
      </c>
      <c r="I13" s="7">
        <f>日前电价!I13-实时电价!I13</f>
        <v>-62.063199999999902</v>
      </c>
      <c r="J13" s="7">
        <f>日前电价!J13-实时电价!J13</f>
        <v>-130.01689999999999</v>
      </c>
      <c r="K13" s="7">
        <f>日前电价!K13-实时电价!K13</f>
        <v>-48.326099999999997</v>
      </c>
      <c r="L13" s="7">
        <f>日前电价!L13-实时电价!L13</f>
        <v>110.91540000000001</v>
      </c>
      <c r="M13" s="7">
        <f>日前电价!M13-实时电价!M13</f>
        <v>77.806899999999999</v>
      </c>
      <c r="N13" s="7">
        <f>日前电价!N13-实时电价!N13</f>
        <v>28.0441</v>
      </c>
      <c r="O13" s="7">
        <f>日前电价!O13-实时电价!O13</f>
        <v>32.166499999999999</v>
      </c>
      <c r="P13" s="7">
        <f>日前电价!P13-实时电价!P13</f>
        <v>11.524800000000001</v>
      </c>
      <c r="Q13" s="7">
        <f>日前电价!Q13-实时电价!Q13</f>
        <v>67.539400000000001</v>
      </c>
      <c r="R13" s="7">
        <f>日前电价!R13-实时电价!R13</f>
        <v>87.613100000000003</v>
      </c>
      <c r="S13" s="7">
        <f>日前电价!S13-实时电价!S13</f>
        <v>19.7314000000001</v>
      </c>
      <c r="T13" s="7">
        <f>日前电价!T13-实时电价!T13</f>
        <v>63.950200000000002</v>
      </c>
      <c r="U13" s="7">
        <f>日前电价!U13-实时电价!U13</f>
        <v>-68.125299999999996</v>
      </c>
      <c r="V13" s="7">
        <f>日前电价!V13-实时电价!V13</f>
        <v>-30.733799999999999</v>
      </c>
      <c r="W13" s="7">
        <f>日前电价!W13-实时电价!W13</f>
        <v>-32.056899999999999</v>
      </c>
      <c r="X13" s="7">
        <f>日前电价!X13-实时电价!X13</f>
        <v>-17.213200000000001</v>
      </c>
      <c r="Y13" s="7">
        <f>日前电价!Y13-实时电价!Y13</f>
        <v>-27.3977</v>
      </c>
      <c r="Z13" s="9">
        <f t="shared" si="0"/>
        <v>110.91540000000001</v>
      </c>
      <c r="AA13" s="9">
        <f t="shared" si="1"/>
        <v>-130.01689999999999</v>
      </c>
      <c r="AB13" s="9">
        <f t="shared" si="2"/>
        <v>4.0439083333333299</v>
      </c>
    </row>
    <row r="14" spans="1:28">
      <c r="A14" s="8">
        <v>45304</v>
      </c>
      <c r="B14" s="7">
        <f>日前电价!B14-实时电价!B14</f>
        <v>-70.8566</v>
      </c>
      <c r="C14" s="7">
        <f>日前电价!C14-实时电价!C14</f>
        <v>-24.027999999999999</v>
      </c>
      <c r="D14" s="7">
        <f>日前电价!D14-实时电价!D14</f>
        <v>-15.5258</v>
      </c>
      <c r="E14" s="7">
        <f>日前电价!E14-实时电价!E14</f>
        <v>-6.1811000000000096</v>
      </c>
      <c r="F14" s="7">
        <f>日前电价!F14-实时电价!F14</f>
        <v>0.86410000000000797</v>
      </c>
      <c r="G14" s="7">
        <f>日前电价!G14-实时电价!G14</f>
        <v>13.157500000000001</v>
      </c>
      <c r="H14" s="7">
        <f>日前电价!H14-实时电价!H14</f>
        <v>5.90159999999997</v>
      </c>
      <c r="I14" s="7">
        <f>日前电价!I14-实时电价!I14</f>
        <v>16.876999999999999</v>
      </c>
      <c r="J14" s="7">
        <f>日前电价!J14-实时电价!J14</f>
        <v>66.476100000000002</v>
      </c>
      <c r="K14" s="7">
        <f>日前电价!K14-实时电价!K14</f>
        <v>142.98500000000001</v>
      </c>
      <c r="L14" s="7">
        <f>日前电价!L14-实时电价!L14</f>
        <v>128.6575</v>
      </c>
      <c r="M14" s="7">
        <f>日前电价!M14-实时电价!M14</f>
        <v>59.833399999999997</v>
      </c>
      <c r="N14" s="7">
        <f>日前电价!N14-实时电价!N14</f>
        <v>137.02420000000001</v>
      </c>
      <c r="O14" s="7">
        <f>日前电价!O14-实时电价!O14</f>
        <v>20.081900000000001</v>
      </c>
      <c r="P14" s="7">
        <f>日前电价!P14-实时电价!P14</f>
        <v>17.895499999999998</v>
      </c>
      <c r="Q14" s="7">
        <f>日前电价!Q14-实时电价!Q14</f>
        <v>29.853899999999999</v>
      </c>
      <c r="R14" s="7">
        <f>日前电价!R14-实时电价!R14</f>
        <v>39.396799999999999</v>
      </c>
      <c r="S14" s="7">
        <f>日前电价!S14-实时电价!S14</f>
        <v>43.380800000000001</v>
      </c>
      <c r="T14" s="7">
        <f>日前电价!T14-实时电价!T14</f>
        <v>59.330300000000001</v>
      </c>
      <c r="U14" s="7">
        <f>日前电价!U14-实时电价!U14</f>
        <v>19.3034</v>
      </c>
      <c r="V14" s="7">
        <f>日前电价!V14-实时电价!V14</f>
        <v>3.1967000000000199</v>
      </c>
      <c r="W14" s="7">
        <f>日前电价!W14-实时电价!W14</f>
        <v>-3.3131000000000199</v>
      </c>
      <c r="X14" s="7">
        <f>日前电价!X14-实时电价!X14</f>
        <v>1.6943999999999699</v>
      </c>
      <c r="Y14" s="7">
        <f>日前电价!Y14-实时电价!Y14</f>
        <v>-10.7034</v>
      </c>
      <c r="Z14" s="9">
        <f t="shared" si="0"/>
        <v>142.98500000000001</v>
      </c>
      <c r="AA14" s="9">
        <f t="shared" si="1"/>
        <v>-70.8566</v>
      </c>
      <c r="AB14" s="9">
        <f t="shared" si="2"/>
        <v>28.137587499999999</v>
      </c>
    </row>
    <row r="15" spans="1:28">
      <c r="A15" s="8">
        <v>45305</v>
      </c>
      <c r="B15" s="7">
        <f>日前电价!B15-实时电价!B15</f>
        <v>-3.4746000000000099</v>
      </c>
      <c r="C15" s="7">
        <f>日前电价!C15-实时电价!C15</f>
        <v>-12.6472</v>
      </c>
      <c r="D15" s="7">
        <f>日前电价!D15-实时电价!D15</f>
        <v>-10.864100000000001</v>
      </c>
      <c r="E15" s="7">
        <f>日前电价!E15-实时电价!E15</f>
        <v>2.2896000000000098</v>
      </c>
      <c r="F15" s="7">
        <f>日前电价!F15-实时电价!F15</f>
        <v>22.1187</v>
      </c>
      <c r="G15" s="7">
        <f>日前电价!G15-实时电价!G15</f>
        <v>14.1089</v>
      </c>
      <c r="H15" s="7">
        <f>日前电价!H15-实时电价!H15</f>
        <v>12.271599999999999</v>
      </c>
      <c r="I15" s="7">
        <f>日前电价!I15-实时电价!I15</f>
        <v>-8.4193999999999996</v>
      </c>
      <c r="J15" s="7">
        <f>日前电价!J15-实时电价!J15</f>
        <v>-5.2179000000000402</v>
      </c>
      <c r="K15" s="7">
        <f>日前电价!K15-实时电价!K15</f>
        <v>0.30580000000003299</v>
      </c>
      <c r="L15" s="7">
        <f>日前电价!L15-实时电价!L15</f>
        <v>37.797800000000002</v>
      </c>
      <c r="M15" s="7">
        <f>日前电价!M15-实时电价!M15</f>
        <v>62.983699999999999</v>
      </c>
      <c r="N15" s="7">
        <f>日前电价!N15-实时电价!N15</f>
        <v>218.738</v>
      </c>
      <c r="O15" s="7">
        <f>日前电价!O15-实时电价!O15</f>
        <v>48.084200000000003</v>
      </c>
      <c r="P15" s="7">
        <f>日前电价!P15-实时电价!P15</f>
        <v>27.729299999999999</v>
      </c>
      <c r="Q15" s="7">
        <f>日前电价!Q15-实时电价!Q15</f>
        <v>28.595600000000001</v>
      </c>
      <c r="R15" s="7">
        <f>日前电价!R15-实时电价!R15</f>
        <v>48.137999999999998</v>
      </c>
      <c r="S15" s="7">
        <f>日前电价!S15-实时电价!S15</f>
        <v>42.820500000000003</v>
      </c>
      <c r="T15" s="7">
        <f>日前电价!T15-实时电价!T15</f>
        <v>23.803799999999999</v>
      </c>
      <c r="U15" s="7">
        <f>日前电价!U15-实时电价!U15</f>
        <v>4.0774000000000097</v>
      </c>
      <c r="V15" s="7">
        <f>日前电价!V15-实时电价!V15</f>
        <v>10.247999999999999</v>
      </c>
      <c r="W15" s="7">
        <f>日前电价!W15-实时电价!W15</f>
        <v>-16.408799999999999</v>
      </c>
      <c r="X15" s="7">
        <f>日前电价!X15-实时电价!X15</f>
        <v>-12.2969000000001</v>
      </c>
      <c r="Y15" s="7">
        <f>日前电价!Y15-实时电价!Y15</f>
        <v>2.10849999999999</v>
      </c>
      <c r="Z15" s="9">
        <f t="shared" si="0"/>
        <v>218.738</v>
      </c>
      <c r="AA15" s="9">
        <f t="shared" si="1"/>
        <v>-16.408799999999999</v>
      </c>
      <c r="AB15" s="9">
        <f t="shared" si="2"/>
        <v>22.370437500000001</v>
      </c>
    </row>
    <row r="16" spans="1:28">
      <c r="A16" s="8">
        <v>45306</v>
      </c>
      <c r="B16" s="7">
        <f>日前电价!B16-实时电价!B16</f>
        <v>-36.274999999999999</v>
      </c>
      <c r="C16" s="7">
        <f>日前电价!C16-实时电价!C16</f>
        <v>-14.6242</v>
      </c>
      <c r="D16" s="7">
        <f>日前电价!D16-实时电价!D16</f>
        <v>-4.6439000000000297</v>
      </c>
      <c r="E16" s="7">
        <f>日前电价!E16-实时电价!E16</f>
        <v>-8.9282999999999806</v>
      </c>
      <c r="F16" s="7">
        <f>日前电价!F16-实时电价!F16</f>
        <v>-9.0025999999999708</v>
      </c>
      <c r="G16" s="7">
        <f>日前电价!G16-实时电价!G16</f>
        <v>-14.7066</v>
      </c>
      <c r="H16" s="7">
        <f>日前电价!H16-实时电价!H16</f>
        <v>-10.559100000000001</v>
      </c>
      <c r="I16" s="7">
        <f>日前电价!I16-实时电价!I16</f>
        <v>-12.0289</v>
      </c>
      <c r="J16" s="7">
        <f>日前电价!J16-实时电价!J16</f>
        <v>-217.3629</v>
      </c>
      <c r="K16" s="7">
        <f>日前电价!K16-实时电价!K16</f>
        <v>1.84289999999999</v>
      </c>
      <c r="L16" s="7">
        <f>日前电价!L16-实时电价!L16</f>
        <v>102.3382</v>
      </c>
      <c r="M16" s="7">
        <f>日前电价!M16-实时电价!M16</f>
        <v>64.362099999999998</v>
      </c>
      <c r="N16" s="7">
        <f>日前电价!N16-实时电价!N16</f>
        <v>149.1489</v>
      </c>
      <c r="O16" s="7">
        <f>日前电价!O16-实时电价!O16</f>
        <v>16.129300000000001</v>
      </c>
      <c r="P16" s="7">
        <f>日前电价!P16-实时电价!P16</f>
        <v>19.660799999999998</v>
      </c>
      <c r="Q16" s="7">
        <f>日前电价!Q16-实时电价!Q16</f>
        <v>19.266100000000002</v>
      </c>
      <c r="R16" s="7">
        <f>日前电价!R16-实时电价!R16</f>
        <v>-149.10230000000001</v>
      </c>
      <c r="S16" s="7">
        <f>日前电价!S16-实时电价!S16</f>
        <v>-172.41</v>
      </c>
      <c r="T16" s="7">
        <f>日前电价!T16-实时电价!T16</f>
        <v>-176.47210000000001</v>
      </c>
      <c r="U16" s="7">
        <f>日前电价!U16-实时电价!U16</f>
        <v>-320.73809999999997</v>
      </c>
      <c r="V16" s="7">
        <f>日前电价!V16-实时电价!V16</f>
        <v>-188.84010000000001</v>
      </c>
      <c r="W16" s="7">
        <f>日前电价!W16-实时电价!W16</f>
        <v>-37.328299999999999</v>
      </c>
      <c r="X16" s="7">
        <f>日前电价!X16-实时电价!X16</f>
        <v>-30.285299999999999</v>
      </c>
      <c r="Y16" s="7">
        <f>日前电价!Y16-实时电价!Y16</f>
        <v>-20.793900000000001</v>
      </c>
      <c r="Z16" s="9">
        <f t="shared" si="0"/>
        <v>149.1489</v>
      </c>
      <c r="AA16" s="9">
        <f t="shared" si="1"/>
        <v>-320.73809999999997</v>
      </c>
      <c r="AB16" s="9">
        <f t="shared" si="2"/>
        <v>-43.8063875</v>
      </c>
    </row>
    <row r="17" spans="1:28">
      <c r="A17" s="8">
        <v>45307</v>
      </c>
      <c r="B17" s="7">
        <f>日前电价!B17-实时电价!B17</f>
        <v>-29.631799999999998</v>
      </c>
      <c r="C17" s="7">
        <f>日前电价!C17-实时电价!C17</f>
        <v>1.6427999999999701</v>
      </c>
      <c r="D17" s="7">
        <f>日前电价!D17-实时电价!D17</f>
        <v>22.109000000000002</v>
      </c>
      <c r="E17" s="7">
        <f>日前电价!E17-实时电价!E17</f>
        <v>28.776199999999999</v>
      </c>
      <c r="F17" s="7">
        <f>日前电价!F17-实时电价!F17</f>
        <v>32.362499999999997</v>
      </c>
      <c r="G17" s="7">
        <f>日前电价!G17-实时电价!G17</f>
        <v>21.572399999999998</v>
      </c>
      <c r="H17" s="7">
        <f>日前电价!H17-实时电价!H17</f>
        <v>23.771999999999998</v>
      </c>
      <c r="I17" s="7">
        <f>日前电价!I17-实时电价!I17</f>
        <v>17.649100000000001</v>
      </c>
      <c r="J17" s="7">
        <f>日前电价!J17-实时电价!J17</f>
        <v>15.146000000000001</v>
      </c>
      <c r="K17" s="7">
        <f>日前电价!K17-实时电价!K17</f>
        <v>42.4895</v>
      </c>
      <c r="L17" s="7">
        <f>日前电价!L17-实时电价!L17</f>
        <v>55.014200000000002</v>
      </c>
      <c r="M17" s="7">
        <f>日前电价!M17-实时电价!M17</f>
        <v>62.456099999999999</v>
      </c>
      <c r="N17" s="7">
        <f>日前电价!N17-实时电价!N17</f>
        <v>210.55369999999999</v>
      </c>
      <c r="O17" s="7">
        <f>日前电价!O17-实时电价!O17</f>
        <v>69.133099999999999</v>
      </c>
      <c r="P17" s="7">
        <f>日前电价!P17-实时电价!P17</f>
        <v>35.6053</v>
      </c>
      <c r="Q17" s="7">
        <f>日前电价!Q17-实时电价!Q17</f>
        <v>42.707299999999996</v>
      </c>
      <c r="R17" s="7">
        <f>日前电价!R17-实时电价!R17</f>
        <v>-3.5278000000000098</v>
      </c>
      <c r="S17" s="7">
        <f>日前电价!S17-实时电价!S17</f>
        <v>-6.3831000000000104</v>
      </c>
      <c r="T17" s="7">
        <f>日前电价!T17-实时电价!T17</f>
        <v>-29.658799999999999</v>
      </c>
      <c r="U17" s="7">
        <f>日前电价!U17-实时电价!U17</f>
        <v>-107.5654</v>
      </c>
      <c r="V17" s="7">
        <f>日前电价!V17-实时电价!V17</f>
        <v>-11.5679</v>
      </c>
      <c r="W17" s="7">
        <f>日前电价!W17-实时电价!W17</f>
        <v>-2.2765</v>
      </c>
      <c r="X17" s="7">
        <f>日前电价!X17-实时电价!X17</f>
        <v>-3.9060000000000099</v>
      </c>
      <c r="Y17" s="7">
        <f>日前电价!Y17-实时电价!Y17</f>
        <v>-15.5602</v>
      </c>
      <c r="Z17" s="9">
        <f t="shared" si="0"/>
        <v>210.55369999999999</v>
      </c>
      <c r="AA17" s="9">
        <f t="shared" si="1"/>
        <v>-107.5654</v>
      </c>
      <c r="AB17" s="9">
        <f t="shared" si="2"/>
        <v>19.6213208333333</v>
      </c>
    </row>
    <row r="18" spans="1:28">
      <c r="A18" s="8">
        <v>45308</v>
      </c>
      <c r="B18" s="7">
        <f>日前电价!B18-实时电价!B18</f>
        <v>-17.6815</v>
      </c>
      <c r="C18" s="7">
        <f>日前电价!C18-实时电价!C18</f>
        <v>-4.4222000000000303</v>
      </c>
      <c r="D18" s="7">
        <f>日前电价!D18-实时电价!D18</f>
        <v>7.63499999999999</v>
      </c>
      <c r="E18" s="7">
        <f>日前电价!E18-实时电价!E18</f>
        <v>14.972099999999999</v>
      </c>
      <c r="F18" s="7">
        <f>日前电价!F18-实时电价!F18</f>
        <v>8.2196000000000105</v>
      </c>
      <c r="G18" s="7">
        <f>日前电价!G18-实时电价!G18</f>
        <v>13.6286</v>
      </c>
      <c r="H18" s="7">
        <f>日前电价!H18-实时电价!H18</f>
        <v>11.280200000000001</v>
      </c>
      <c r="I18" s="7">
        <f>日前电价!I18-实时电价!I18</f>
        <v>0.67579999999998097</v>
      </c>
      <c r="J18" s="7">
        <f>日前电价!J18-实时电价!J18</f>
        <v>-8.8932999999999502</v>
      </c>
      <c r="K18" s="7">
        <f>日前电价!K18-实时电价!K18</f>
        <v>-11.6799</v>
      </c>
      <c r="L18" s="7">
        <f>日前电价!L18-实时电价!L18</f>
        <v>34.529200000000003</v>
      </c>
      <c r="M18" s="7">
        <f>日前电价!M18-实时电价!M18</f>
        <v>37.921900000000001</v>
      </c>
      <c r="N18" s="7">
        <f>日前电价!N18-实时电价!N18</f>
        <v>74.190799999999996</v>
      </c>
      <c r="O18" s="7">
        <f>日前电价!O18-实时电价!O18</f>
        <v>14.125400000000001</v>
      </c>
      <c r="P18" s="7">
        <f>日前电价!P18-实时电价!P18</f>
        <v>-0.13330000000002001</v>
      </c>
      <c r="Q18" s="7">
        <f>日前电价!Q18-实时电价!Q18</f>
        <v>-10.2028</v>
      </c>
      <c r="R18" s="7">
        <f>日前电价!R18-实时电价!R18</f>
        <v>-18.418299999999999</v>
      </c>
      <c r="S18" s="7">
        <f>日前电价!S18-实时电价!S18</f>
        <v>-23.504200000000001</v>
      </c>
      <c r="T18" s="7">
        <f>日前电价!T18-实时电价!T18</f>
        <v>-116.6195</v>
      </c>
      <c r="U18" s="7">
        <f>日前电价!U18-实时电价!U18</f>
        <v>-88.490500000000097</v>
      </c>
      <c r="V18" s="7">
        <f>日前电价!V18-实时电价!V18</f>
        <v>-18.482900000000001</v>
      </c>
      <c r="W18" s="7">
        <f>日前电价!W18-实时电价!W18</f>
        <v>-24.049700000000001</v>
      </c>
      <c r="X18" s="7">
        <f>日前电价!X18-实时电价!X18</f>
        <v>-23.5593</v>
      </c>
      <c r="Y18" s="7">
        <f>日前电价!Y18-实时电价!Y18</f>
        <v>-19.106000000000002</v>
      </c>
      <c r="Z18" s="9">
        <f t="shared" si="0"/>
        <v>74.190799999999996</v>
      </c>
      <c r="AA18" s="9">
        <f t="shared" si="1"/>
        <v>-116.6195</v>
      </c>
      <c r="AB18" s="9">
        <f t="shared" si="2"/>
        <v>-7.0026999999999999</v>
      </c>
    </row>
    <row r="19" spans="1:28">
      <c r="A19" s="8">
        <v>45309</v>
      </c>
      <c r="B19" s="7">
        <f>日前电价!B19-实时电价!B19</f>
        <v>-31.185300000000002</v>
      </c>
      <c r="C19" s="7">
        <f>日前电价!C19-实时电价!C19</f>
        <v>-15.4488</v>
      </c>
      <c r="D19" s="7">
        <f>日前电价!D19-实时电价!D19</f>
        <v>-5.41949999999997</v>
      </c>
      <c r="E19" s="7">
        <f>日前电价!E19-实时电价!E19</f>
        <v>18.892399999999999</v>
      </c>
      <c r="F19" s="7">
        <f>日前电价!F19-实时电价!F19</f>
        <v>3.0987000000000098</v>
      </c>
      <c r="G19" s="7">
        <f>日前电价!G19-实时电价!G19</f>
        <v>51.146299999999997</v>
      </c>
      <c r="H19" s="7">
        <f>日前电价!H19-实时电价!H19</f>
        <v>7.9524999999999899</v>
      </c>
      <c r="I19" s="7">
        <f>日前电价!I19-实时电价!I19</f>
        <v>-0.31450000000000999</v>
      </c>
      <c r="J19" s="7">
        <f>日前电价!J19-实时电价!J19</f>
        <v>-170.49870000000001</v>
      </c>
      <c r="K19" s="7">
        <f>日前电价!K19-实时电价!K19</f>
        <v>-132.97139999999999</v>
      </c>
      <c r="L19" s="7">
        <f>日前电价!L19-实时电价!L19</f>
        <v>22.837900000000001</v>
      </c>
      <c r="M19" s="7">
        <f>日前电价!M19-实时电价!M19</f>
        <v>24.1008</v>
      </c>
      <c r="N19" s="7">
        <f>日前电价!N19-实时电价!N19</f>
        <v>191.28450000000001</v>
      </c>
      <c r="O19" s="7">
        <f>日前电价!O19-实时电价!O19</f>
        <v>80.703000000000003</v>
      </c>
      <c r="P19" s="7">
        <f>日前电价!P19-实时电价!P19</f>
        <v>10.6074</v>
      </c>
      <c r="Q19" s="7">
        <f>日前电价!Q19-实时电价!Q19</f>
        <v>12.0243</v>
      </c>
      <c r="R19" s="7">
        <f>日前电价!R19-实时电价!R19</f>
        <v>-73.080200000000005</v>
      </c>
      <c r="S19" s="7">
        <f>日前电价!S19-实时电价!S19</f>
        <v>-23.901599999999998</v>
      </c>
      <c r="T19" s="7">
        <f>日前电价!T19-实时电价!T19</f>
        <v>-7.5196000000000298</v>
      </c>
      <c r="U19" s="7">
        <f>日前电价!U19-实时电价!U19</f>
        <v>-80.681899999999999</v>
      </c>
      <c r="V19" s="7">
        <f>日前电价!V19-实时电价!V19</f>
        <v>-17.3278</v>
      </c>
      <c r="W19" s="7">
        <f>日前电价!W19-实时电价!W19</f>
        <v>-15.287800000000001</v>
      </c>
      <c r="X19" s="7">
        <f>日前电价!X19-实时电价!X19</f>
        <v>-23.487300000000001</v>
      </c>
      <c r="Y19" s="7">
        <f>日前电价!Y19-实时电价!Y19</f>
        <v>-17.034199999999998</v>
      </c>
      <c r="Z19" s="9">
        <f t="shared" si="0"/>
        <v>191.28450000000001</v>
      </c>
      <c r="AA19" s="9">
        <f t="shared" si="1"/>
        <v>-170.49870000000001</v>
      </c>
      <c r="AB19" s="9">
        <f t="shared" si="2"/>
        <v>-7.9796166666666597</v>
      </c>
    </row>
    <row r="20" spans="1:28">
      <c r="A20" s="8">
        <v>45310</v>
      </c>
      <c r="B20" s="7">
        <f>日前电价!B20-实时电价!B20</f>
        <v>-40.614400000000003</v>
      </c>
      <c r="C20" s="7">
        <f>日前电价!C20-实时电价!C20</f>
        <v>-15.717700000000001</v>
      </c>
      <c r="D20" s="7">
        <f>日前电价!D20-实时电价!D20</f>
        <v>-10.3954</v>
      </c>
      <c r="E20" s="7">
        <f>日前电价!E20-实时电价!E20</f>
        <v>-5.5825000000000404</v>
      </c>
      <c r="F20" s="7">
        <f>日前电价!F20-实时电价!F20</f>
        <v>-7.7920999999999996</v>
      </c>
      <c r="G20" s="7">
        <f>日前电价!G20-实时电价!G20</f>
        <v>-0.16609999999997199</v>
      </c>
      <c r="H20" s="7">
        <f>日前电价!H20-实时电价!H20</f>
        <v>5.2636000000000003</v>
      </c>
      <c r="I20" s="7">
        <f>日前电价!I20-实时电价!I20</f>
        <v>-4.6361999999999703</v>
      </c>
      <c r="J20" s="7">
        <f>日前电价!J20-实时电价!J20</f>
        <v>-2.48400000000004</v>
      </c>
      <c r="K20" s="7">
        <f>日前电价!K20-实时电价!K20</f>
        <v>-117.67610000000001</v>
      </c>
      <c r="L20" s="7">
        <f>日前电价!L20-实时电价!L20</f>
        <v>77.327299999999994</v>
      </c>
      <c r="M20" s="7">
        <f>日前电价!M20-实时电价!M20</f>
        <v>39.807699999999997</v>
      </c>
      <c r="N20" s="7">
        <f>日前电价!N20-实时电价!N20</f>
        <v>116.5599</v>
      </c>
      <c r="O20" s="7">
        <f>日前电价!O20-实时电价!O20</f>
        <v>36.2898</v>
      </c>
      <c r="P20" s="7">
        <f>日前电价!P20-实时电价!P20</f>
        <v>34.828899999999997</v>
      </c>
      <c r="Q20" s="7">
        <f>日前电价!Q20-实时电价!Q20</f>
        <v>39.398000000000003</v>
      </c>
      <c r="R20" s="7">
        <f>日前电价!R20-实时电价!R20</f>
        <v>25.091699999999999</v>
      </c>
      <c r="S20" s="7">
        <f>日前电价!S20-实时电价!S20</f>
        <v>-23.535599999999999</v>
      </c>
      <c r="T20" s="7">
        <f>日前电价!T20-实时电价!T20</f>
        <v>3.85139999999996</v>
      </c>
      <c r="U20" s="7">
        <f>日前电价!U20-实时电价!U20</f>
        <v>1.8845000000000001</v>
      </c>
      <c r="V20" s="7">
        <f>日前电价!V20-实时电价!V20</f>
        <v>-3.1745999999999999</v>
      </c>
      <c r="W20" s="7">
        <f>日前电价!W20-实时电价!W20</f>
        <v>-14.9198</v>
      </c>
      <c r="X20" s="7">
        <f>日前电价!X20-实时电价!X20</f>
        <v>-14.7522</v>
      </c>
      <c r="Y20" s="7">
        <f>日前电价!Y20-实时电价!Y20</f>
        <v>-25.3443</v>
      </c>
      <c r="Z20" s="9">
        <f t="shared" si="0"/>
        <v>116.5599</v>
      </c>
      <c r="AA20" s="9">
        <f t="shared" si="1"/>
        <v>-117.67610000000001</v>
      </c>
      <c r="AB20" s="9">
        <f t="shared" si="2"/>
        <v>3.896325</v>
      </c>
    </row>
    <row r="21" spans="1:28">
      <c r="A21" s="8">
        <v>45311</v>
      </c>
      <c r="B21" s="7">
        <f>日前电价!B21-实时电价!B21</f>
        <v>-13.847899999999999</v>
      </c>
      <c r="C21" s="7">
        <f>日前电价!C21-实时电价!C21</f>
        <v>-1.20120000000003</v>
      </c>
      <c r="D21" s="7">
        <f>日前电价!D21-实时电价!D21</f>
        <v>12.037699999999999</v>
      </c>
      <c r="E21" s="7">
        <f>日前电价!E21-实时电价!E21</f>
        <v>13.7597</v>
      </c>
      <c r="F21" s="7">
        <f>日前电价!F21-实时电价!F21</f>
        <v>12.1031</v>
      </c>
      <c r="G21" s="7">
        <f>日前电价!G21-实时电价!G21</f>
        <v>-5.3716999999999802</v>
      </c>
      <c r="H21" s="7">
        <f>日前电价!H21-实时电价!H21</f>
        <v>0.629099999999994</v>
      </c>
      <c r="I21" s="7">
        <f>日前电价!I21-实时电价!I21</f>
        <v>-19.8247</v>
      </c>
      <c r="J21" s="7">
        <f>日前电价!J21-实时电价!J21</f>
        <v>-45.800699999999999</v>
      </c>
      <c r="K21" s="7">
        <f>日前电价!K21-实时电价!K21</f>
        <v>-102.1443</v>
      </c>
      <c r="L21" s="7">
        <f>日前电价!L21-实时电价!L21</f>
        <v>-22.716999999999999</v>
      </c>
      <c r="M21" s="7">
        <f>日前电价!M21-实时电价!M21</f>
        <v>-13.8172</v>
      </c>
      <c r="N21" s="7">
        <f>日前电价!N21-实时电价!N21</f>
        <v>2.0493000000000201</v>
      </c>
      <c r="O21" s="7">
        <f>日前电价!O21-实时电价!O21</f>
        <v>1.3375000000000301</v>
      </c>
      <c r="P21" s="7">
        <f>日前电价!P21-实时电价!P21</f>
        <v>7.90289999999999</v>
      </c>
      <c r="Q21" s="7">
        <f>日前电价!Q21-实时电价!Q21</f>
        <v>19.533200000000001</v>
      </c>
      <c r="R21" s="7">
        <f>日前电价!R21-实时电价!R21</f>
        <v>-87.837900000000005</v>
      </c>
      <c r="S21" s="7">
        <f>日前电价!S21-实时电价!S21</f>
        <v>-87.657499999999999</v>
      </c>
      <c r="T21" s="7">
        <f>日前电价!T21-实时电价!T21</f>
        <v>14.099500000000001</v>
      </c>
      <c r="U21" s="7">
        <f>日前电价!U21-实时电价!U21</f>
        <v>-11.8559</v>
      </c>
      <c r="V21" s="7">
        <f>日前电价!V21-实时电价!V21</f>
        <v>2.0708000000000202</v>
      </c>
      <c r="W21" s="7">
        <f>日前电价!W21-实时电价!W21</f>
        <v>12.7271</v>
      </c>
      <c r="X21" s="7">
        <f>日前电价!X21-实时电价!X21</f>
        <v>15.4695</v>
      </c>
      <c r="Y21" s="7">
        <f>日前电价!Y21-实时电价!Y21</f>
        <v>-8.7822000000000493</v>
      </c>
      <c r="Z21" s="9">
        <f t="shared" si="0"/>
        <v>19.533200000000001</v>
      </c>
      <c r="AA21" s="9">
        <f t="shared" si="1"/>
        <v>-102.1443</v>
      </c>
      <c r="AB21" s="9">
        <f t="shared" si="2"/>
        <v>-12.79745</v>
      </c>
    </row>
    <row r="22" spans="1:28">
      <c r="A22" s="8">
        <v>45312</v>
      </c>
      <c r="B22" s="7">
        <f>日前电价!B22-实时电价!B22</f>
        <v>-11.875999999999999</v>
      </c>
      <c r="C22" s="7">
        <f>日前电价!C22-实时电价!C22</f>
        <v>4.0957000000000203</v>
      </c>
      <c r="D22" s="7">
        <f>日前电价!D22-实时电价!D22</f>
        <v>15.6883</v>
      </c>
      <c r="E22" s="7">
        <f>日前电价!E22-实时电价!E22</f>
        <v>34.025700000000001</v>
      </c>
      <c r="F22" s="7">
        <f>日前电价!F22-实时电价!F22</f>
        <v>82.514899999999997</v>
      </c>
      <c r="G22" s="7">
        <f>日前电价!G22-实时电价!G22</f>
        <v>32.308500000000002</v>
      </c>
      <c r="H22" s="7">
        <f>日前电价!H22-实时电价!H22</f>
        <v>18.7225</v>
      </c>
      <c r="I22" s="7">
        <f>日前电价!I22-实时电价!I22</f>
        <v>13.751799999999999</v>
      </c>
      <c r="J22" s="7">
        <f>日前电价!J22-实时电价!J22</f>
        <v>-124.2407</v>
      </c>
      <c r="K22" s="7">
        <f>日前电价!K22-实时电价!K22</f>
        <v>5.93799999999999</v>
      </c>
      <c r="L22" s="7">
        <f>日前电价!L22-实时电价!L22</f>
        <v>15.4985</v>
      </c>
      <c r="M22" s="7">
        <f>日前电价!M22-实时电价!M22</f>
        <v>51.131500000000003</v>
      </c>
      <c r="N22" s="7">
        <f>日前电价!N22-实时电价!N22</f>
        <v>213.7706</v>
      </c>
      <c r="O22" s="7">
        <f>日前电价!O22-实时电价!O22</f>
        <v>142.02789999999999</v>
      </c>
      <c r="P22" s="7">
        <f>日前电价!P22-实时电价!P22</f>
        <v>6.2019000000000197</v>
      </c>
      <c r="Q22" s="7">
        <f>日前电价!Q22-实时电价!Q22</f>
        <v>21.700800000000001</v>
      </c>
      <c r="R22" s="7">
        <f>日前电价!R22-实时电价!R22</f>
        <v>-5.56459999999998</v>
      </c>
      <c r="S22" s="7">
        <f>日前电价!S22-实时电价!S22</f>
        <v>9.5133999999999901</v>
      </c>
      <c r="T22" s="7">
        <f>日前电价!T22-实时电价!T22</f>
        <v>6.7760000000000096</v>
      </c>
      <c r="U22" s="7">
        <f>日前电价!U22-实时电价!U22</f>
        <v>-4.8099999999976703E-2</v>
      </c>
      <c r="V22" s="7">
        <f>日前电价!V22-实时电价!V22</f>
        <v>9.6735999999999596</v>
      </c>
      <c r="W22" s="7">
        <f>日前电价!W22-实时电价!W22</f>
        <v>1.69130000000001</v>
      </c>
      <c r="X22" s="7">
        <f>日前电价!X22-实时电价!X22</f>
        <v>-9.0257000000000307</v>
      </c>
      <c r="Y22" s="7">
        <f>日前电价!Y22-实时电价!Y22</f>
        <v>-19.59</v>
      </c>
      <c r="Z22" s="9">
        <f t="shared" si="0"/>
        <v>213.7706</v>
      </c>
      <c r="AA22" s="9">
        <f t="shared" si="1"/>
        <v>-124.2407</v>
      </c>
      <c r="AB22" s="9">
        <f t="shared" si="2"/>
        <v>21.4452416666667</v>
      </c>
    </row>
    <row r="23" spans="1:28">
      <c r="A23" s="8">
        <v>45313</v>
      </c>
      <c r="B23" s="7">
        <f>日前电价!B23-实时电价!B23</f>
        <v>-32.606200000000001</v>
      </c>
      <c r="C23" s="7">
        <f>日前电价!C23-实时电价!C23</f>
        <v>84.334699999999998</v>
      </c>
      <c r="D23" s="7">
        <f>日前电价!D23-实时电价!D23</f>
        <v>42.729700000000001</v>
      </c>
      <c r="E23" s="7">
        <f>日前电价!E23-实时电价!E23</f>
        <v>220.5515</v>
      </c>
      <c r="F23" s="7">
        <f>日前电价!F23-实时电价!F23</f>
        <v>139.53809999999999</v>
      </c>
      <c r="G23" s="7">
        <f>日前电价!G23-实时电价!G23</f>
        <v>177.36949999999999</v>
      </c>
      <c r="H23" s="7">
        <f>日前电价!H23-实时电价!H23</f>
        <v>185.08430000000001</v>
      </c>
      <c r="I23" s="7">
        <f>日前电价!I23-实时电价!I23</f>
        <v>21.304300000000001</v>
      </c>
      <c r="J23" s="7">
        <f>日前电价!J23-实时电价!J23</f>
        <v>2.9825000000000199</v>
      </c>
      <c r="K23" s="7">
        <f>日前电价!K23-实时电价!K23</f>
        <v>22.584199999999999</v>
      </c>
      <c r="L23" s="7">
        <f>日前电价!L23-实时电价!L23</f>
        <v>27.590699999999998</v>
      </c>
      <c r="M23" s="7">
        <f>日前电价!M23-实时电价!M23</f>
        <v>47.736400000000003</v>
      </c>
      <c r="N23" s="7">
        <f>日前电价!N23-实时电价!N23</f>
        <v>40.250799999999998</v>
      </c>
      <c r="O23" s="7">
        <f>日前电价!O23-实时电价!O23</f>
        <v>0.385299999999972</v>
      </c>
      <c r="P23" s="7">
        <f>日前电价!P23-实时电价!P23</f>
        <v>15.492100000000001</v>
      </c>
      <c r="Q23" s="7">
        <f>日前电价!Q23-实时电价!Q23</f>
        <v>24.3248</v>
      </c>
      <c r="R23" s="7">
        <f>日前电价!R23-实时电价!R23</f>
        <v>-101.0539</v>
      </c>
      <c r="S23" s="7">
        <f>日前电价!S23-实时电价!S23</f>
        <v>-109.19159999999999</v>
      </c>
      <c r="T23" s="7">
        <f>日前电价!T23-实时电价!T23</f>
        <v>-4.2402999999999897</v>
      </c>
      <c r="U23" s="7">
        <f>日前电价!U23-实时电价!U23</f>
        <v>22.316299999999998</v>
      </c>
      <c r="V23" s="7">
        <f>日前电价!V23-实时电价!V23</f>
        <v>8.2619000000000309</v>
      </c>
      <c r="W23" s="7">
        <f>日前电价!W23-实时电价!W23</f>
        <v>-26.394100000000002</v>
      </c>
      <c r="X23" s="7">
        <f>日前电价!X23-实时电价!X23</f>
        <v>-39.105600000000003</v>
      </c>
      <c r="Y23" s="7">
        <f>日前电价!Y23-实时电价!Y23</f>
        <v>-0.98910000000000797</v>
      </c>
      <c r="Z23" s="9">
        <f t="shared" si="0"/>
        <v>220.5515</v>
      </c>
      <c r="AA23" s="9">
        <f t="shared" si="1"/>
        <v>-109.19159999999999</v>
      </c>
      <c r="AB23" s="9">
        <f t="shared" si="2"/>
        <v>32.052345833333298</v>
      </c>
    </row>
    <row r="24" spans="1:28">
      <c r="A24" s="8">
        <v>45314</v>
      </c>
      <c r="B24" s="7">
        <f>日前电价!B24-实时电价!B24</f>
        <v>-23.542100000000001</v>
      </c>
      <c r="C24" s="7">
        <f>日前电价!C24-实时电价!C24</f>
        <v>6.7029999999999701</v>
      </c>
      <c r="D24" s="7">
        <f>日前电价!D24-实时电价!D24</f>
        <v>10.5474</v>
      </c>
      <c r="E24" s="7">
        <f>日前电价!E24-实时电价!E24</f>
        <v>61.270699999999998</v>
      </c>
      <c r="F24" s="7">
        <f>日前电价!F24-实时电价!F24</f>
        <v>213.90180000000001</v>
      </c>
      <c r="G24" s="7">
        <f>日前电价!G24-实时电价!G24</f>
        <v>150.66640000000001</v>
      </c>
      <c r="H24" s="7">
        <f>日前电价!H24-实时电价!H24</f>
        <v>-3.7183999999999702</v>
      </c>
      <c r="I24" s="7">
        <f>日前电价!I24-实时电价!I24</f>
        <v>-6.3701000000000398</v>
      </c>
      <c r="J24" s="7">
        <f>日前电价!J24-实时电价!J24</f>
        <v>-285.17959999999999</v>
      </c>
      <c r="K24" s="7">
        <f>日前电价!K24-实时电价!K24</f>
        <v>-227.28809999999999</v>
      </c>
      <c r="L24" s="7">
        <f>日前电价!L24-实时电价!L24</f>
        <v>-278.36680000000001</v>
      </c>
      <c r="M24" s="7">
        <f>日前电价!M24-实时电价!M24</f>
        <v>-50.292000000000002</v>
      </c>
      <c r="N24" s="7">
        <f>日前电价!N24-实时电价!N24</f>
        <v>-28.134399999999999</v>
      </c>
      <c r="O24" s="7">
        <f>日前电价!O24-实时电价!O24</f>
        <v>-48.383200000000002</v>
      </c>
      <c r="P24" s="7">
        <f>日前电价!P24-实时电价!P24</f>
        <v>2.2995000000000201</v>
      </c>
      <c r="Q24" s="7">
        <f>日前电价!Q24-实时电价!Q24</f>
        <v>1.39149999999995</v>
      </c>
      <c r="R24" s="7">
        <f>日前电价!R24-实时电价!R24</f>
        <v>-108.1249</v>
      </c>
      <c r="S24" s="7">
        <f>日前电价!S24-实时电价!S24</f>
        <v>-185.61060000000001</v>
      </c>
      <c r="T24" s="7">
        <f>日前电价!T24-实时电价!T24</f>
        <v>-223.67150000000001</v>
      </c>
      <c r="U24" s="7">
        <f>日前电价!U24-实时电价!U24</f>
        <v>-292.3211</v>
      </c>
      <c r="V24" s="7">
        <f>日前电价!V24-实时电价!V24</f>
        <v>-286.67959999999999</v>
      </c>
      <c r="W24" s="7">
        <f>日前电价!W24-实时电价!W24</f>
        <v>-288.86750000000001</v>
      </c>
      <c r="X24" s="7">
        <f>日前电价!X24-实时电价!X24</f>
        <v>-295.5283</v>
      </c>
      <c r="Y24" s="7">
        <f>日前电价!Y24-实时电价!Y24</f>
        <v>-47.129100000000001</v>
      </c>
      <c r="Z24" s="9">
        <f t="shared" si="0"/>
        <v>213.90180000000001</v>
      </c>
      <c r="AA24" s="9">
        <f t="shared" si="1"/>
        <v>-295.5283</v>
      </c>
      <c r="AB24" s="9">
        <f t="shared" si="2"/>
        <v>-93.017791666666696</v>
      </c>
    </row>
    <row r="25" spans="1:28">
      <c r="A25" s="8">
        <v>45315</v>
      </c>
      <c r="B25" s="7">
        <f>日前电价!B25-实时电价!B25</f>
        <v>-45.080199999999998</v>
      </c>
      <c r="C25" s="7">
        <f>日前电价!C25-实时电价!C25</f>
        <v>-9.4225999999999903</v>
      </c>
      <c r="D25" s="7">
        <f>日前电价!D25-实时电价!D25</f>
        <v>21.659400000000002</v>
      </c>
      <c r="E25" s="7">
        <f>日前电价!E25-实时电价!E25</f>
        <v>25.456299999999999</v>
      </c>
      <c r="F25" s="7">
        <f>日前电价!F25-实时电价!F25</f>
        <v>17.124300000000002</v>
      </c>
      <c r="G25" s="7">
        <f>日前电价!G25-实时电价!G25</f>
        <v>27.727599999999999</v>
      </c>
      <c r="H25" s="7">
        <f>日前电价!H25-实时电价!H25</f>
        <v>28.598400000000002</v>
      </c>
      <c r="I25" s="7">
        <f>日前电价!I25-实时电价!I25</f>
        <v>-10.347799999999999</v>
      </c>
      <c r="J25" s="7">
        <f>日前电价!J25-实时电价!J25</f>
        <v>130.9365</v>
      </c>
      <c r="K25" s="7">
        <f>日前电价!K25-实时电价!K25</f>
        <v>-38.856100000000097</v>
      </c>
      <c r="L25" s="7">
        <f>日前电价!L25-实时电价!L25</f>
        <v>47.153799999999997</v>
      </c>
      <c r="M25" s="7">
        <f>日前电价!M25-实时电价!M25</f>
        <v>188.21090000000001</v>
      </c>
      <c r="N25" s="7">
        <f>日前电价!N25-实时电价!N25</f>
        <v>19.319199999999999</v>
      </c>
      <c r="O25" s="7">
        <f>日前电价!O25-实时电价!O25</f>
        <v>-80.725999999999999</v>
      </c>
      <c r="P25" s="7">
        <f>日前电价!P25-实时电价!P25</f>
        <v>-39.286799999999999</v>
      </c>
      <c r="Q25" s="7">
        <f>日前电价!Q25-实时电价!Q25</f>
        <v>40.0488</v>
      </c>
      <c r="R25" s="7">
        <f>日前电价!R25-实时电价!R25</f>
        <v>21.5351</v>
      </c>
      <c r="S25" s="7">
        <f>日前电价!S25-实时电价!S25</f>
        <v>16.292000000000002</v>
      </c>
      <c r="T25" s="7">
        <f>日前电价!T25-实时电价!T25</f>
        <v>-1.3998999999999999</v>
      </c>
      <c r="U25" s="7">
        <f>日前电价!U25-实时电价!U25</f>
        <v>-47.817</v>
      </c>
      <c r="V25" s="7">
        <f>日前电价!V25-实时电价!V25</f>
        <v>5.7808000000000002</v>
      </c>
      <c r="W25" s="7">
        <f>日前电价!W25-实时电价!W25</f>
        <v>-230.10290000000001</v>
      </c>
      <c r="X25" s="7">
        <f>日前电价!X25-实时电价!X25</f>
        <v>-230.7741</v>
      </c>
      <c r="Y25" s="7">
        <f>日前电价!Y25-实时电价!Y25</f>
        <v>-34.918500000000002</v>
      </c>
      <c r="Z25" s="9">
        <f t="shared" si="0"/>
        <v>188.21090000000001</v>
      </c>
      <c r="AA25" s="9">
        <f t="shared" si="1"/>
        <v>-230.7741</v>
      </c>
      <c r="AB25" s="9">
        <f t="shared" si="2"/>
        <v>-7.4537000000000102</v>
      </c>
    </row>
    <row r="26" spans="1:28">
      <c r="A26" s="8">
        <v>45316</v>
      </c>
      <c r="B26" s="7">
        <f>日前电价!B26-实时电价!B26</f>
        <v>-236.85659999999999</v>
      </c>
      <c r="C26" s="7">
        <f>日前电价!C26-实时电价!C26</f>
        <v>-27.2014</v>
      </c>
      <c r="D26" s="7">
        <f>日前电价!D26-实时电价!D26</f>
        <v>8.6044999999999696</v>
      </c>
      <c r="E26" s="7">
        <f>日前电价!E26-实时电价!E26</f>
        <v>-7.7717000000000098</v>
      </c>
      <c r="F26" s="7">
        <f>日前电价!F26-实时电价!F26</f>
        <v>-1.01799999999997</v>
      </c>
      <c r="G26" s="7">
        <f>日前电价!G26-实时电价!G26</f>
        <v>10.332000000000001</v>
      </c>
      <c r="H26" s="7">
        <f>日前电价!H26-实时电价!H26</f>
        <v>13.2887</v>
      </c>
      <c r="I26" s="7">
        <f>日前电价!I26-实时电价!I26</f>
        <v>7.8303000000000198</v>
      </c>
      <c r="J26" s="7">
        <f>日前电价!J26-实时电价!J26</f>
        <v>346.30399999999997</v>
      </c>
      <c r="K26" s="7">
        <f>日前电价!K26-实时电价!K26</f>
        <v>172.36940000000001</v>
      </c>
      <c r="L26" s="7">
        <f>日前电价!L26-实时电价!L26</f>
        <v>56.523000000000003</v>
      </c>
      <c r="M26" s="7">
        <f>日前电价!M26-实时电价!M26</f>
        <v>91.361500000000007</v>
      </c>
      <c r="N26" s="7">
        <f>日前电价!N26-实时电价!N26</f>
        <v>37.546599999999998</v>
      </c>
      <c r="O26" s="7">
        <f>日前电价!O26-实时电价!O26</f>
        <v>80.821200000000005</v>
      </c>
      <c r="P26" s="7">
        <f>日前电价!P26-实时电价!P26</f>
        <v>106.8319</v>
      </c>
      <c r="Q26" s="7">
        <f>日前电价!Q26-实时电价!Q26</f>
        <v>99.76</v>
      </c>
      <c r="R26" s="7">
        <f>日前电价!R26-实时电价!R26</f>
        <v>103.3925</v>
      </c>
      <c r="S26" s="7">
        <f>日前电价!S26-实时电价!S26</f>
        <v>95.362700000000004</v>
      </c>
      <c r="T26" s="7">
        <f>日前电价!T26-实时电价!T26</f>
        <v>63.163699999999899</v>
      </c>
      <c r="U26" s="7">
        <f>日前电价!U26-实时电价!U26</f>
        <v>107.45099999999999</v>
      </c>
      <c r="V26" s="7">
        <f>日前电价!V26-实时电价!V26</f>
        <v>19.139099999999999</v>
      </c>
      <c r="W26" s="7">
        <f>日前电价!W26-实时电价!W26</f>
        <v>-17.8994</v>
      </c>
      <c r="X26" s="7">
        <f>日前电价!X26-实时电价!X26</f>
        <v>-4.1152000000000202</v>
      </c>
      <c r="Y26" s="7">
        <f>日前电价!Y26-实时电价!Y26</f>
        <v>-12.300599999999999</v>
      </c>
      <c r="Z26" s="9">
        <f t="shared" si="0"/>
        <v>346.30399999999997</v>
      </c>
      <c r="AA26" s="9">
        <f t="shared" si="1"/>
        <v>-236.85659999999999</v>
      </c>
      <c r="AB26" s="9">
        <f t="shared" si="2"/>
        <v>46.3716333333333</v>
      </c>
    </row>
    <row r="27" spans="1:28">
      <c r="A27" s="8">
        <v>45317</v>
      </c>
      <c r="B27" s="7">
        <f>日前电价!B27-实时电价!B27</f>
        <v>-13.2012</v>
      </c>
      <c r="C27" s="7">
        <f>日前电价!C27-实时电价!C27</f>
        <v>2.6536999999999602</v>
      </c>
      <c r="D27" s="7">
        <f>日前电价!D27-实时电价!D27</f>
        <v>9.0355000000000096</v>
      </c>
      <c r="E27" s="7">
        <f>日前电价!E27-实时电价!E27</f>
        <v>13.4224</v>
      </c>
      <c r="F27" s="7">
        <f>日前电价!F27-实时电价!F27</f>
        <v>33.285299999999999</v>
      </c>
      <c r="G27" s="7">
        <f>日前电价!G27-实时电价!G27</f>
        <v>50.5441</v>
      </c>
      <c r="H27" s="7">
        <f>日前电价!H27-实时电价!H27</f>
        <v>27.897099999999998</v>
      </c>
      <c r="I27" s="7">
        <f>日前电价!I27-实时电价!I27</f>
        <v>-1.238</v>
      </c>
      <c r="J27" s="7">
        <f>日前电价!J27-实时电价!J27</f>
        <v>16.1129</v>
      </c>
      <c r="K27" s="7">
        <f>日前电价!K27-实时电价!K27</f>
        <v>15.5908</v>
      </c>
      <c r="L27" s="7">
        <f>日前电价!L27-实时电价!L27</f>
        <v>10.774699999999999</v>
      </c>
      <c r="M27" s="7">
        <f>日前电价!M27-实时电价!M27</f>
        <v>5.5643999999999796</v>
      </c>
      <c r="N27" s="7">
        <f>日前电价!N27-实时电价!N27</f>
        <v>22.274899999999999</v>
      </c>
      <c r="O27" s="7">
        <f>日前电价!O27-实时电价!O27</f>
        <v>14.8149</v>
      </c>
      <c r="P27" s="7">
        <f>日前电价!P27-实时电价!P27</f>
        <v>5.6234999999999804</v>
      </c>
      <c r="Q27" s="7">
        <f>日前电价!Q27-实时电价!Q27</f>
        <v>0.34230000000002297</v>
      </c>
      <c r="R27" s="7">
        <f>日前电价!R27-实时电价!R27</f>
        <v>-23.474699999999999</v>
      </c>
      <c r="S27" s="7">
        <f>日前电价!S27-实时电价!S27</f>
        <v>-17.948699999999999</v>
      </c>
      <c r="T27" s="7">
        <f>日前电价!T27-实时电价!T27</f>
        <v>8.8229999999999809</v>
      </c>
      <c r="U27" s="7">
        <f>日前电价!U27-实时电价!U27</f>
        <v>69.916300000000007</v>
      </c>
      <c r="V27" s="7">
        <f>日前电价!V27-实时电价!V27</f>
        <v>28.013200000000001</v>
      </c>
      <c r="W27" s="7">
        <f>日前电价!W27-实时电价!W27</f>
        <v>7.5838999999999697</v>
      </c>
      <c r="X27" s="7">
        <f>日前电价!X27-实时电价!X27</f>
        <v>7.3782999999999701</v>
      </c>
      <c r="Y27" s="7">
        <f>日前电价!Y27-实时电价!Y27</f>
        <v>-10.6569</v>
      </c>
      <c r="Z27" s="9">
        <f t="shared" si="0"/>
        <v>69.916300000000007</v>
      </c>
      <c r="AA27" s="9">
        <f t="shared" si="1"/>
        <v>-23.474699999999999</v>
      </c>
      <c r="AB27" s="9">
        <f t="shared" si="2"/>
        <v>11.797154166666701</v>
      </c>
    </row>
    <row r="28" spans="1:28">
      <c r="A28" s="8">
        <v>45318</v>
      </c>
      <c r="B28" s="7">
        <f>日前电价!B28-实时电价!B28</f>
        <v>-155.36410000000001</v>
      </c>
      <c r="C28" s="7">
        <f>日前电价!C28-实时电价!C28</f>
        <v>-2.44150000000002</v>
      </c>
      <c r="D28" s="7">
        <f>日前电价!D28-实时电价!D28</f>
        <v>-1.1356999999999899</v>
      </c>
      <c r="E28" s="7">
        <f>日前电价!E28-实时电价!E28</f>
        <v>7.3435000000000104</v>
      </c>
      <c r="F28" s="7">
        <f>日前电价!F28-实时电价!F28</f>
        <v>7.9432999999999696</v>
      </c>
      <c r="G28" s="7">
        <f>日前电价!G28-实时电价!G28</f>
        <v>10.325900000000001</v>
      </c>
      <c r="H28" s="7">
        <f>日前电价!H28-实时电价!H28</f>
        <v>7.5848000000000297</v>
      </c>
      <c r="I28" s="7">
        <f>日前电价!I28-实时电价!I28</f>
        <v>-2.4368999999999801</v>
      </c>
      <c r="J28" s="7">
        <f>日前电价!J28-实时电价!J28</f>
        <v>9.0675000000000008</v>
      </c>
      <c r="K28" s="7">
        <f>日前电价!K28-实时电价!K28</f>
        <v>69.916499999999999</v>
      </c>
      <c r="L28" s="7">
        <f>日前电价!L28-实时电价!L28</f>
        <v>49.383299999999998</v>
      </c>
      <c r="M28" s="7">
        <f>日前电价!M28-实时电价!M28</f>
        <v>12.4877</v>
      </c>
      <c r="N28" s="7">
        <f>日前电价!N28-实时电价!N28</f>
        <v>-26.6266</v>
      </c>
      <c r="O28" s="7">
        <f>日前电价!O28-实时电价!O28</f>
        <v>-101.00449999999999</v>
      </c>
      <c r="P28" s="7">
        <f>日前电价!P28-实时电价!P28</f>
        <v>-357.33170000000001</v>
      </c>
      <c r="Q28" s="7">
        <f>日前电价!Q28-实时电价!Q28</f>
        <v>-361.6628</v>
      </c>
      <c r="R28" s="7">
        <f>日前电价!R28-实时电价!R28</f>
        <v>-272.90929999999997</v>
      </c>
      <c r="S28" s="7">
        <f>日前电价!S28-实时电价!S28</f>
        <v>-121.9385</v>
      </c>
      <c r="T28" s="7">
        <f>日前电价!T28-实时电价!T28</f>
        <v>-138.74299999999999</v>
      </c>
      <c r="U28" s="7">
        <f>日前电价!U28-实时电价!U28</f>
        <v>-171.65029999999999</v>
      </c>
      <c r="V28" s="7">
        <f>日前电价!V28-实时电价!V28</f>
        <v>-367.70549999999997</v>
      </c>
      <c r="W28" s="7">
        <f>日前电价!W28-实时电价!W28</f>
        <v>-183.66079999999999</v>
      </c>
      <c r="X28" s="7">
        <f>日前电价!X28-实时电价!X28</f>
        <v>-157.22120000000001</v>
      </c>
      <c r="Y28" s="7">
        <f>日前电价!Y28-实时电价!Y28</f>
        <v>-15.6366</v>
      </c>
      <c r="Z28" s="9">
        <f t="shared" si="0"/>
        <v>69.916499999999999</v>
      </c>
      <c r="AA28" s="9">
        <f t="shared" si="1"/>
        <v>-367.70549999999997</v>
      </c>
      <c r="AB28" s="9">
        <f t="shared" si="2"/>
        <v>-94.309020833333307</v>
      </c>
    </row>
    <row r="29" spans="1:28">
      <c r="A29" s="8">
        <v>45319</v>
      </c>
      <c r="B29" s="7">
        <f>日前电价!B29-实时电价!B29</f>
        <v>-113.60760000000001</v>
      </c>
      <c r="C29" s="7">
        <f>日前电价!C29-实时电价!C29</f>
        <v>-13.7211</v>
      </c>
      <c r="D29" s="7">
        <f>日前电价!D29-实时电价!D29</f>
        <v>2.964</v>
      </c>
      <c r="E29" s="7">
        <f>日前电价!E29-实时电价!E29</f>
        <v>5.6147999999999998</v>
      </c>
      <c r="F29" s="7">
        <f>日前电价!F29-实时电价!F29</f>
        <v>13.530900000000001</v>
      </c>
      <c r="G29" s="7">
        <f>日前电价!G29-实时电价!G29</f>
        <v>7.7787000000000104</v>
      </c>
      <c r="H29" s="7">
        <f>日前电价!H29-实时电价!H29</f>
        <v>17.791</v>
      </c>
      <c r="I29" s="7">
        <f>日前电价!I29-实时电价!I29</f>
        <v>13.1227</v>
      </c>
      <c r="J29" s="7">
        <f>日前电价!J29-实时电价!J29</f>
        <v>-135.4016</v>
      </c>
      <c r="K29" s="7">
        <f>日前电价!K29-实时电价!K29</f>
        <v>-242.07429999999999</v>
      </c>
      <c r="L29" s="7">
        <f>日前电价!L29-实时电价!L29</f>
        <v>-319.18349999999998</v>
      </c>
      <c r="M29" s="7">
        <f>日前电价!M29-实时电价!M29</f>
        <v>-134.73330000000001</v>
      </c>
      <c r="N29" s="7">
        <f>日前电价!N29-实时电价!N29</f>
        <v>-208.95320000000001</v>
      </c>
      <c r="O29" s="7">
        <f>日前电价!O29-实时电价!O29</f>
        <v>-209.3656</v>
      </c>
      <c r="P29" s="7">
        <f>日前电价!P29-实时电价!P29</f>
        <v>-272.9425</v>
      </c>
      <c r="Q29" s="7">
        <f>日前电价!Q29-实时电价!Q29</f>
        <v>-484.88959999999997</v>
      </c>
      <c r="R29" s="7">
        <f>日前电价!R29-实时电价!R29</f>
        <v>-250.07740000000001</v>
      </c>
      <c r="S29" s="7">
        <f>日前电价!S29-实时电价!S29</f>
        <v>-292.73360000000002</v>
      </c>
      <c r="T29" s="7">
        <f>日前电价!T29-实时电价!T29</f>
        <v>-90.653700000000001</v>
      </c>
      <c r="U29" s="7">
        <f>日前电价!U29-实时电价!U29</f>
        <v>-339.38979999999998</v>
      </c>
      <c r="V29" s="7">
        <f>日前电价!V29-实时电价!V29</f>
        <v>-435.96480000000003</v>
      </c>
      <c r="W29" s="7">
        <f>日前电价!W29-实时电价!W29</f>
        <v>-380.99369999999999</v>
      </c>
      <c r="X29" s="7">
        <f>日前电价!X29-实时电价!X29</f>
        <v>-325.68759999999997</v>
      </c>
      <c r="Y29" s="7">
        <f>日前电价!Y29-实时电价!Y29</f>
        <v>-85.925200000000004</v>
      </c>
      <c r="Z29" s="9">
        <f t="shared" si="0"/>
        <v>17.791</v>
      </c>
      <c r="AA29" s="9">
        <f t="shared" si="1"/>
        <v>-484.88959999999997</v>
      </c>
      <c r="AB29" s="9">
        <f t="shared" si="2"/>
        <v>-178.14566666666701</v>
      </c>
    </row>
    <row r="30" spans="1:28">
      <c r="A30" s="8">
        <v>45320</v>
      </c>
      <c r="B30" s="7">
        <f>日前电价!B30-实时电价!B30</f>
        <v>-333.6438</v>
      </c>
      <c r="C30" s="7">
        <f>日前电价!C30-实时电价!C30</f>
        <v>-48.777099999999997</v>
      </c>
      <c r="D30" s="7">
        <f>日前电价!D30-实时电价!D30</f>
        <v>-5.35840000000002</v>
      </c>
      <c r="E30" s="7">
        <f>日前电价!E30-实时电价!E30</f>
        <v>-4.9329999999999901</v>
      </c>
      <c r="F30" s="7">
        <f>日前电价!F30-实时电价!F30</f>
        <v>0.62639999999998996</v>
      </c>
      <c r="G30" s="7">
        <f>日前电价!G30-实时电价!G30</f>
        <v>5.6748999999999796</v>
      </c>
      <c r="H30" s="7">
        <f>日前电价!H30-实时电价!H30</f>
        <v>8.2753999999999905</v>
      </c>
      <c r="I30" s="7">
        <f>日前电价!I30-实时电价!I30</f>
        <v>-2.4993000000000101</v>
      </c>
      <c r="J30" s="7">
        <f>日前电价!J30-实时电价!J30</f>
        <v>149.53059999999999</v>
      </c>
      <c r="K30" s="7">
        <f>日前电价!K30-实时电价!K30</f>
        <v>278.7414</v>
      </c>
      <c r="L30" s="7">
        <f>日前电价!L30-实时电价!L30</f>
        <v>296.21570000000003</v>
      </c>
      <c r="M30" s="7">
        <f>日前电价!M30-实时电价!M30</f>
        <v>220.16059999999999</v>
      </c>
      <c r="N30" s="7">
        <f>日前电价!N30-实时电价!N30</f>
        <v>21.373799999999999</v>
      </c>
      <c r="O30" s="7">
        <f>日前电价!O30-实时电价!O30</f>
        <v>137.10679999999999</v>
      </c>
      <c r="P30" s="7">
        <f>日前电价!P30-实时电价!P30</f>
        <v>71.215500000000006</v>
      </c>
      <c r="Q30" s="7">
        <f>日前电价!Q30-实时电价!Q30</f>
        <v>113.60769999999999</v>
      </c>
      <c r="R30" s="7">
        <f>日前电价!R30-实时电价!R30</f>
        <v>250.42070000000001</v>
      </c>
      <c r="S30" s="7">
        <f>日前电价!S30-实时电价!S30</f>
        <v>109.5574</v>
      </c>
      <c r="T30" s="7">
        <f>日前电价!T30-实时电价!T30</f>
        <v>-62.671300000000002</v>
      </c>
      <c r="U30" s="7">
        <f>日前电价!U30-实时电价!U30</f>
        <v>-33.8661999999999</v>
      </c>
      <c r="V30" s="7">
        <f>日前电价!V30-实时电价!V30</f>
        <v>62.675400000000003</v>
      </c>
      <c r="W30" s="7">
        <f>日前电价!W30-实时电价!W30</f>
        <v>60.945799999999998</v>
      </c>
      <c r="X30" s="7">
        <f>日前电价!X30-实时电价!X30</f>
        <v>59.597900000000003</v>
      </c>
      <c r="Y30" s="7">
        <f>日前电价!Y30-实时电价!Y30</f>
        <v>17.4785</v>
      </c>
      <c r="Z30" s="9">
        <f t="shared" si="0"/>
        <v>296.21570000000003</v>
      </c>
      <c r="AA30" s="9">
        <f t="shared" si="1"/>
        <v>-333.6438</v>
      </c>
      <c r="AB30" s="9">
        <f t="shared" si="2"/>
        <v>57.143974999999998</v>
      </c>
    </row>
    <row r="31" spans="1:28">
      <c r="A31" s="8">
        <v>45321</v>
      </c>
      <c r="B31" s="7">
        <f>日前电价!B31-实时电价!B31</f>
        <v>-31.396100000000001</v>
      </c>
      <c r="C31" s="7">
        <f>日前电价!C31-实时电价!C31</f>
        <v>1.71120000000002</v>
      </c>
      <c r="D31" s="7">
        <f>日前电价!D31-实时电价!D31</f>
        <v>9.7234999999999996</v>
      </c>
      <c r="E31" s="7">
        <f>日前电价!E31-实时电价!E31</f>
        <v>121.7411</v>
      </c>
      <c r="F31" s="7">
        <f>日前电价!F31-实时电价!F31</f>
        <v>184.99789999999999</v>
      </c>
      <c r="G31" s="7">
        <f>日前电价!G31-实时电价!G31</f>
        <v>227.27430000000001</v>
      </c>
      <c r="H31" s="7">
        <f>日前电价!H31-实时电价!H31</f>
        <v>11.2173</v>
      </c>
      <c r="I31" s="7">
        <f>日前电价!I31-实时电价!I31</f>
        <v>-4.7893999999999997</v>
      </c>
      <c r="J31" s="7">
        <f>日前电价!J31-实时电价!J31</f>
        <v>-3.6546999999999898</v>
      </c>
      <c r="K31" s="7">
        <f>日前电价!K31-实时电价!K31</f>
        <v>35.511000000000003</v>
      </c>
      <c r="L31" s="7">
        <f>日前电价!L31-实时电价!L31</f>
        <v>-89.154300000000006</v>
      </c>
      <c r="M31" s="7">
        <f>日前电价!M31-实时电价!M31</f>
        <v>42.2682</v>
      </c>
      <c r="N31" s="7">
        <f>日前电价!N31-实时电价!N31</f>
        <v>116.0521</v>
      </c>
      <c r="O31" s="7">
        <f>日前电价!O31-实时电价!O31</f>
        <v>42.302199999999999</v>
      </c>
      <c r="P31" s="7">
        <f>日前电价!P31-实时电价!P31</f>
        <v>61.280299999999997</v>
      </c>
      <c r="Q31" s="7">
        <f>日前电价!Q31-实时电价!Q31</f>
        <v>46.478900000000003</v>
      </c>
      <c r="R31" s="7">
        <f>日前电价!R31-实时电价!R31</f>
        <v>43.512900000000002</v>
      </c>
      <c r="S31" s="7">
        <f>日前电价!S31-实时电价!S31</f>
        <v>27.371099999999998</v>
      </c>
      <c r="T31" s="7">
        <f>日前电价!T31-实时电价!T31</f>
        <v>9.7488999999999901</v>
      </c>
      <c r="U31" s="7">
        <f>日前电价!U31-实时电价!U31</f>
        <v>-9.5497999999999994</v>
      </c>
      <c r="V31" s="7">
        <f>日前电价!V31-实时电价!V31</f>
        <v>-2.3622000000000298</v>
      </c>
      <c r="W31" s="7">
        <f>日前电价!W31-实时电价!W31</f>
        <v>-97.040499999999994</v>
      </c>
      <c r="X31" s="7">
        <f>日前电价!X31-实时电价!X31</f>
        <v>5.9808999999999601</v>
      </c>
      <c r="Y31" s="7">
        <f>日前电价!Y31-实时电价!Y31</f>
        <v>4.7646000000000299</v>
      </c>
      <c r="Z31" s="9">
        <f t="shared" si="0"/>
        <v>227.27430000000001</v>
      </c>
      <c r="AA31" s="9">
        <f t="shared" si="1"/>
        <v>-97.040499999999994</v>
      </c>
      <c r="AB31" s="9">
        <f t="shared" si="2"/>
        <v>31.416225000000001</v>
      </c>
    </row>
    <row r="32" spans="1:28">
      <c r="A32" s="8">
        <v>45322</v>
      </c>
      <c r="B32" s="7">
        <f>日前电价!B32-实时电价!B32</f>
        <v>-3.8867999999999898</v>
      </c>
      <c r="C32" s="7">
        <f>日前电价!C32-实时电价!C32</f>
        <v>13.4219000000001</v>
      </c>
      <c r="D32" s="7">
        <f>日前电价!D32-实时电价!D32</f>
        <v>47.900199999999998</v>
      </c>
      <c r="E32" s="7">
        <f>日前电价!E32-实时电价!E32</f>
        <v>29.839500000000001</v>
      </c>
      <c r="F32" s="7">
        <f>日前电价!F32-实时电价!F32</f>
        <v>19.7211</v>
      </c>
      <c r="G32" s="7">
        <f>日前电价!G32-实时电价!G32</f>
        <v>271.13560000000001</v>
      </c>
      <c r="H32" s="7">
        <f>日前电价!H32-实时电价!H32</f>
        <v>106.9132</v>
      </c>
      <c r="I32" s="7">
        <f>日前电价!I32-实时电价!I32</f>
        <v>4.1127999999999902</v>
      </c>
      <c r="J32" s="7">
        <f>日前电价!J32-实时电价!J32</f>
        <v>4.4321000000000499</v>
      </c>
      <c r="K32" s="7">
        <f>日前电价!K32-实时电价!K32</f>
        <v>32.092700000000001</v>
      </c>
      <c r="L32" s="7">
        <f>日前电价!L32-实时电价!L32</f>
        <v>47.375599999999999</v>
      </c>
      <c r="M32" s="7">
        <f>日前电价!M32-实时电价!M32</f>
        <v>60.0426</v>
      </c>
      <c r="N32" s="7">
        <f>日前电价!N32-实时电价!N32</f>
        <v>86.067400000000006</v>
      </c>
      <c r="O32" s="7">
        <f>日前电价!O32-实时电价!O32</f>
        <v>29.7681</v>
      </c>
      <c r="P32" s="7">
        <f>日前电价!P32-实时电价!P32</f>
        <v>173.00620000000001</v>
      </c>
      <c r="Q32" s="7">
        <f>日前电价!Q32-实时电价!Q32</f>
        <v>55.319499999999998</v>
      </c>
      <c r="R32" s="7">
        <f>日前电价!R32-实时电价!R32</f>
        <v>12.9392</v>
      </c>
      <c r="S32" s="7">
        <f>日前电价!S32-实时电价!S32</f>
        <v>27.5304</v>
      </c>
      <c r="T32" s="7">
        <f>日前电价!T32-实时电价!T32</f>
        <v>27.275700000000001</v>
      </c>
      <c r="U32" s="7">
        <f>日前电价!U32-实时电价!U32</f>
        <v>-10.777799999999999</v>
      </c>
      <c r="V32" s="7">
        <f>日前电价!V32-实时电价!V32</f>
        <v>35.043699999999902</v>
      </c>
      <c r="W32" s="7">
        <f>日前电价!W32-实时电价!W32</f>
        <v>0.12340000000000401</v>
      </c>
      <c r="X32" s="7">
        <f>日前电价!X32-实时电价!X32</f>
        <v>2.3181999999999898</v>
      </c>
      <c r="Y32" s="7">
        <f>日前电价!Y32-实时电价!Y32</f>
        <v>1.30000000000337E-2</v>
      </c>
      <c r="Z32" s="9">
        <f t="shared" si="0"/>
        <v>271.13560000000001</v>
      </c>
      <c r="AA32" s="9">
        <f t="shared" si="1"/>
        <v>-10.777799999999999</v>
      </c>
      <c r="AB32" s="9">
        <f t="shared" si="2"/>
        <v>44.655312500000001</v>
      </c>
    </row>
    <row r="33" spans="1:28">
      <c r="A33" s="8">
        <v>45323</v>
      </c>
      <c r="B33" s="7">
        <f>日前电价!B33-实时电价!B33</f>
        <v>-12.343400000000001</v>
      </c>
      <c r="C33" s="7">
        <f>日前电价!C33-实时电价!C33</f>
        <v>1.8477000000000301</v>
      </c>
      <c r="D33" s="7">
        <f>日前电价!D33-实时电价!D33</f>
        <v>30.398499999999999</v>
      </c>
      <c r="E33" s="7">
        <f>日前电价!E33-实时电价!E33</f>
        <v>79.403300000000002</v>
      </c>
      <c r="F33" s="7">
        <f>日前电价!F33-实时电价!F33</f>
        <v>3.1064999999999801</v>
      </c>
      <c r="G33" s="7">
        <f>日前电价!G33-实时电价!G33</f>
        <v>4.4973000000000498</v>
      </c>
      <c r="H33" s="7">
        <f>日前电价!H33-实时电价!H33</f>
        <v>3.0419999999999701</v>
      </c>
      <c r="I33" s="7">
        <f>日前电价!I33-实时电价!I33</f>
        <v>-48.2286</v>
      </c>
      <c r="J33" s="7">
        <f>日前电价!J33-实时电价!J33</f>
        <v>-14.3004</v>
      </c>
      <c r="K33" s="7">
        <f>日前电价!K33-实时电价!K33</f>
        <v>3.0502000000000198</v>
      </c>
      <c r="L33" s="7">
        <f>日前电价!L33-实时电价!L33</f>
        <v>11.399800000000001</v>
      </c>
      <c r="M33" s="7">
        <f>日前电价!M33-实时电价!M33</f>
        <v>36.293100000000003</v>
      </c>
      <c r="N33" s="7">
        <f>日前电价!N33-实时电价!N33</f>
        <v>103.40860000000001</v>
      </c>
      <c r="O33" s="7">
        <f>日前电价!O33-实时电价!O33</f>
        <v>14.197100000000001</v>
      </c>
      <c r="P33" s="7">
        <f>日前电价!P33-实时电价!P33</f>
        <v>1.42529999999999</v>
      </c>
      <c r="Q33" s="7">
        <f>日前电价!Q33-实时电价!Q33</f>
        <v>-10.8925</v>
      </c>
      <c r="R33" s="7">
        <f>日前电价!R33-实时电价!R33</f>
        <v>-11.393700000000001</v>
      </c>
      <c r="S33" s="7">
        <f>日前电价!S33-实时电价!S33</f>
        <v>-55.808100000000003</v>
      </c>
      <c r="T33" s="7">
        <f>日前电价!T33-实时电价!T33</f>
        <v>-158.63489999999999</v>
      </c>
      <c r="U33" s="7">
        <f>日前电价!U33-实时电价!U33</f>
        <v>-56.862400000000001</v>
      </c>
      <c r="V33" s="7">
        <f>日前电价!V33-实时电价!V33</f>
        <v>-18.521799999999999</v>
      </c>
      <c r="W33" s="7">
        <f>日前电价!W33-实时电价!W33</f>
        <v>-40.404800000000002</v>
      </c>
      <c r="X33" s="7">
        <f>日前电价!X33-实时电价!X33</f>
        <v>-28.902100000000001</v>
      </c>
      <c r="Y33" s="7">
        <f>日前电价!Y33-实时电价!Y33</f>
        <v>-24.287600000000001</v>
      </c>
      <c r="Z33" s="9">
        <f t="shared" si="0"/>
        <v>103.40860000000001</v>
      </c>
      <c r="AA33" s="9">
        <f t="shared" si="1"/>
        <v>-158.63489999999999</v>
      </c>
      <c r="AB33" s="9">
        <f t="shared" si="2"/>
        <v>-7.8546208333333301</v>
      </c>
    </row>
    <row r="34" spans="1:28">
      <c r="A34" s="8">
        <v>45324</v>
      </c>
      <c r="B34" s="7">
        <f>日前电价!B34-实时电价!B34</f>
        <v>-12.4894</v>
      </c>
      <c r="C34" s="7">
        <f>日前电价!C34-实时电价!C34</f>
        <v>-18.565999999999999</v>
      </c>
      <c r="D34" s="7">
        <f>日前电价!D34-实时电价!D34</f>
        <v>-24.037500000000001</v>
      </c>
      <c r="E34" s="7">
        <f>日前电价!E34-实时电价!E34</f>
        <v>-14.0284</v>
      </c>
      <c r="F34" s="7">
        <f>日前电价!F34-实时电价!F34</f>
        <v>-11.159599999999999</v>
      </c>
      <c r="G34" s="7">
        <f>日前电价!G34-实时电价!G34</f>
        <v>-18.114799999999999</v>
      </c>
      <c r="H34" s="7">
        <f>日前电价!H34-实时电价!H34</f>
        <v>-29.463200000000001</v>
      </c>
      <c r="I34" s="7">
        <f>日前电价!I34-实时电价!I34</f>
        <v>-44.431399999999996</v>
      </c>
      <c r="J34" s="7">
        <f>日前电价!J34-实时电价!J34</f>
        <v>-38.676499999999997</v>
      </c>
      <c r="K34" s="7">
        <f>日前电价!K34-实时电价!K34</f>
        <v>-18.263200000000001</v>
      </c>
      <c r="L34" s="7">
        <f>日前电价!L34-实时电价!L34</f>
        <v>8.5150000000000396</v>
      </c>
      <c r="M34" s="7">
        <f>日前电价!M34-实时电价!M34</f>
        <v>235.137</v>
      </c>
      <c r="N34" s="7">
        <f>日前电价!N34-实时电价!N34</f>
        <v>279.41640000000001</v>
      </c>
      <c r="O34" s="7">
        <f>日前电价!O34-实时电价!O34</f>
        <v>337.5265</v>
      </c>
      <c r="P34" s="7">
        <f>日前电价!P34-实时电价!P34</f>
        <v>338.65350000000001</v>
      </c>
      <c r="Q34" s="7">
        <f>日前电价!Q34-实时电价!Q34</f>
        <v>334.46530000000001</v>
      </c>
      <c r="R34" s="7">
        <f>日前电价!R34-实时电价!R34</f>
        <v>89.432699999999997</v>
      </c>
      <c r="S34" s="7">
        <f>日前电价!S34-实时电价!S34</f>
        <v>-16.419799999999999</v>
      </c>
      <c r="T34" s="7">
        <f>日前电价!T34-实时电价!T34</f>
        <v>-19.114599999999999</v>
      </c>
      <c r="U34" s="7">
        <f>日前电价!U34-实时电价!U34</f>
        <v>-3.53659999999996</v>
      </c>
      <c r="V34" s="7">
        <f>日前电价!V34-实时电价!V34</f>
        <v>14.1403</v>
      </c>
      <c r="W34" s="7">
        <f>日前电价!W34-实时电价!W34</f>
        <v>14.3736</v>
      </c>
      <c r="X34" s="7">
        <f>日前电价!X34-实时电价!X34</f>
        <v>7.1840999999999999</v>
      </c>
      <c r="Y34" s="7">
        <f>日前电价!Y34-实时电价!Y34</f>
        <v>-13.6365</v>
      </c>
      <c r="Z34" s="9">
        <f t="shared" si="0"/>
        <v>338.65350000000001</v>
      </c>
      <c r="AA34" s="9">
        <f t="shared" si="1"/>
        <v>-44.431399999999996</v>
      </c>
      <c r="AB34" s="9">
        <f t="shared" si="2"/>
        <v>57.3711208333333</v>
      </c>
    </row>
    <row r="35" spans="1:28">
      <c r="A35" s="8">
        <v>45325</v>
      </c>
      <c r="B35" s="7">
        <f>日前电价!B35-实时电价!B35</f>
        <v>-9.9460999999999995</v>
      </c>
      <c r="C35" s="7">
        <f>日前电价!C35-实时电价!C35</f>
        <v>-120.28830000000001</v>
      </c>
      <c r="D35" s="7">
        <f>日前电价!D35-实时电价!D35</f>
        <v>-238.6756</v>
      </c>
      <c r="E35" s="7">
        <f>日前电价!E35-实时电价!E35</f>
        <v>0</v>
      </c>
      <c r="F35" s="7">
        <f>日前电价!F35-实时电价!F35</f>
        <v>-12.632300000000001</v>
      </c>
      <c r="G35" s="7">
        <f>日前电价!G35-实时电价!G35</f>
        <v>0</v>
      </c>
      <c r="H35" s="7">
        <f>日前电价!H35-实时电价!H35</f>
        <v>-88.460999999999999</v>
      </c>
      <c r="I35" s="7">
        <f>日前电价!I35-实时电价!I35</f>
        <v>-130.268</v>
      </c>
      <c r="J35" s="7">
        <f>日前电价!J35-实时电价!J35</f>
        <v>4.2499999999961298E-2</v>
      </c>
      <c r="K35" s="7">
        <f>日前电价!K35-实时电价!K35</f>
        <v>54.881999999999898</v>
      </c>
      <c r="L35" s="7">
        <f>日前电价!L35-实时电价!L35</f>
        <v>305.25450000000001</v>
      </c>
      <c r="M35" s="7">
        <f>日前电价!M35-实时电价!M35</f>
        <v>136.82560000000001</v>
      </c>
      <c r="N35" s="7">
        <f>日前电价!N35-实时电价!N35</f>
        <v>303.23509999999999</v>
      </c>
      <c r="O35" s="7">
        <f>日前电价!O35-实时电价!O35</f>
        <v>74.104399999999998</v>
      </c>
      <c r="P35" s="7">
        <f>日前电价!P35-实时电价!P35</f>
        <v>-18.262799999999999</v>
      </c>
      <c r="Q35" s="7">
        <f>日前电价!Q35-实时电价!Q35</f>
        <v>280.31610000000001</v>
      </c>
      <c r="R35" s="7">
        <f>日前电价!R35-实时电价!R35</f>
        <v>93.308499999999995</v>
      </c>
      <c r="S35" s="7">
        <f>日前电价!S35-实时电价!S35</f>
        <v>-10.087400000000001</v>
      </c>
      <c r="T35" s="7">
        <f>日前电价!T35-实时电价!T35</f>
        <v>-43.941800000000001</v>
      </c>
      <c r="U35" s="7">
        <f>日前电价!U35-实时电价!U35</f>
        <v>-6.2821999999999898</v>
      </c>
      <c r="V35" s="7">
        <f>日前电价!V35-实时电价!V35</f>
        <v>4.0072000000000099</v>
      </c>
      <c r="W35" s="7">
        <f>日前电价!W35-实时电价!W35</f>
        <v>-3.1936</v>
      </c>
      <c r="X35" s="7">
        <f>日前电价!X35-实时电价!X35</f>
        <v>-17.206099999999999</v>
      </c>
      <c r="Y35" s="7">
        <f>日前电价!Y35-实时电价!Y35</f>
        <v>-12.869899999999999</v>
      </c>
      <c r="Z35" s="9">
        <f t="shared" si="0"/>
        <v>305.25450000000001</v>
      </c>
      <c r="AA35" s="9">
        <f t="shared" si="1"/>
        <v>-238.6756</v>
      </c>
      <c r="AB35" s="9">
        <f t="shared" si="2"/>
        <v>22.494199999999999</v>
      </c>
    </row>
    <row r="36" spans="1:28">
      <c r="A36" s="8">
        <v>45326</v>
      </c>
      <c r="B36" s="7">
        <f>日前电价!B36-实时电价!B36</f>
        <v>-23.9209</v>
      </c>
      <c r="C36" s="7">
        <f>日前电价!C36-实时电价!C36</f>
        <v>61.655299999999997</v>
      </c>
      <c r="D36" s="7">
        <f>日前电价!D36-实时电价!D36</f>
        <v>11.864699999999999</v>
      </c>
      <c r="E36" s="7">
        <f>日前电价!E36-实时电价!E36</f>
        <v>151.19820000000001</v>
      </c>
      <c r="F36" s="7">
        <f>日前电价!F36-实时电价!F36</f>
        <v>74.364599999999996</v>
      </c>
      <c r="G36" s="7">
        <f>日前电价!G36-实时电价!G36</f>
        <v>319.83190000000002</v>
      </c>
      <c r="H36" s="7">
        <f>日前电价!H36-实时电价!H36</f>
        <v>232.31989999999999</v>
      </c>
      <c r="I36" s="7">
        <f>日前电价!I36-实时电价!I36</f>
        <v>-32.682400000000001</v>
      </c>
      <c r="J36" s="7">
        <f>日前电价!J36-实时电价!J36</f>
        <v>-2.0894000000000101</v>
      </c>
      <c r="K36" s="7">
        <f>日前电价!K36-实时电价!K36</f>
        <v>-7.3140000000000196</v>
      </c>
      <c r="L36" s="7">
        <f>日前电价!L36-实时电价!L36</f>
        <v>92.349900000000005</v>
      </c>
      <c r="M36" s="7">
        <f>日前电价!M36-实时电价!M36</f>
        <v>-3.7424000000000301</v>
      </c>
      <c r="N36" s="7">
        <f>日前电价!N36-实时电价!N36</f>
        <v>143.93539999999999</v>
      </c>
      <c r="O36" s="7">
        <f>日前电价!O36-实时电价!O36</f>
        <v>311.69740000000002</v>
      </c>
      <c r="P36" s="7">
        <f>日前电价!P36-实时电价!P36</f>
        <v>55.173699999999997</v>
      </c>
      <c r="Q36" s="7">
        <f>日前电价!Q36-实时电价!Q36</f>
        <v>79.934899999999999</v>
      </c>
      <c r="R36" s="7">
        <f>日前电价!R36-实时电价!R36</f>
        <v>96.382599999999996</v>
      </c>
      <c r="S36" s="7">
        <f>日前电价!S36-实时电价!S36</f>
        <v>68.0535</v>
      </c>
      <c r="T36" s="7">
        <f>日前电价!T36-实时电价!T36</f>
        <v>-25.7514</v>
      </c>
      <c r="U36" s="7">
        <f>日前电价!U36-实时电价!U36</f>
        <v>-20.595700000000001</v>
      </c>
      <c r="V36" s="7">
        <f>日前电价!V36-实时电价!V36</f>
        <v>-10.8332</v>
      </c>
      <c r="W36" s="7">
        <f>日前电价!W36-实时电价!W36</f>
        <v>-1.6598000000000199</v>
      </c>
      <c r="X36" s="7">
        <f>日前电价!X36-实时电价!X36</f>
        <v>-5.9112000000000098</v>
      </c>
      <c r="Y36" s="7">
        <f>日前电价!Y36-实时电价!Y36</f>
        <v>-16.810300000000002</v>
      </c>
      <c r="Z36" s="9">
        <f t="shared" si="0"/>
        <v>319.83190000000002</v>
      </c>
      <c r="AA36" s="9">
        <f t="shared" si="1"/>
        <v>-32.682400000000001</v>
      </c>
      <c r="AB36" s="9">
        <f t="shared" si="2"/>
        <v>64.477137499999998</v>
      </c>
    </row>
    <row r="37" spans="1:28">
      <c r="A37" s="8">
        <v>45327</v>
      </c>
      <c r="B37" s="7">
        <f>日前电价!B37-实时电价!B37</f>
        <v>-22.496700000000001</v>
      </c>
      <c r="C37" s="7">
        <f>日前电价!C37-实时电价!C37</f>
        <v>-34.594200000000001</v>
      </c>
      <c r="D37" s="7">
        <f>日前电价!D37-实时电价!D37</f>
        <v>-5.0226999999999897</v>
      </c>
      <c r="E37" s="7">
        <f>日前电价!E37-实时电价!E37</f>
        <v>10.007400000000001</v>
      </c>
      <c r="F37" s="7">
        <f>日前电价!F37-实时电价!F37</f>
        <v>41.721899999999998</v>
      </c>
      <c r="G37" s="7">
        <f>日前电价!G37-实时电价!G37</f>
        <v>13.281599999999999</v>
      </c>
      <c r="H37" s="7">
        <f>日前电价!H37-实时电价!H37</f>
        <v>-18.926300000000001</v>
      </c>
      <c r="I37" s="7">
        <f>日前电价!I37-实时电价!I37</f>
        <v>-9.9187999999999796</v>
      </c>
      <c r="J37" s="7">
        <f>日前电价!J37-实时电价!J37</f>
        <v>95.192499999999995</v>
      </c>
      <c r="K37" s="7">
        <f>日前电价!K37-实时电价!K37</f>
        <v>18.286100000000001</v>
      </c>
      <c r="L37" s="7">
        <f>日前电价!L37-实时电价!L37</f>
        <v>265.49939999999998</v>
      </c>
      <c r="M37" s="7">
        <f>日前电价!M37-实时电价!M37</f>
        <v>83.639600000000002</v>
      </c>
      <c r="N37" s="7">
        <f>日前电价!N37-实时电价!N37</f>
        <v>114.64919999999999</v>
      </c>
      <c r="O37" s="7">
        <f>日前电价!O37-实时电价!O37</f>
        <v>215.15639999999999</v>
      </c>
      <c r="P37" s="7">
        <f>日前电价!P37-实时电价!P37</f>
        <v>177.84129999999999</v>
      </c>
      <c r="Q37" s="7">
        <f>日前电价!Q37-实时电价!Q37</f>
        <v>299.10660000000001</v>
      </c>
      <c r="R37" s="7">
        <f>日前电价!R37-实时电价!R37</f>
        <v>260.74579999999997</v>
      </c>
      <c r="S37" s="7">
        <f>日前电价!S37-实时电价!S37</f>
        <v>270.56630000000001</v>
      </c>
      <c r="T37" s="7">
        <f>日前电价!T37-实时电价!T37</f>
        <v>16.173300000000001</v>
      </c>
      <c r="U37" s="7">
        <f>日前电价!U37-实时电价!U37</f>
        <v>23.058800000000002</v>
      </c>
      <c r="V37" s="7">
        <f>日前电价!V37-实时电价!V37</f>
        <v>9.4914999999999701</v>
      </c>
      <c r="W37" s="7">
        <f>日前电价!W37-实时电价!W37</f>
        <v>321.80590000000001</v>
      </c>
      <c r="X37" s="7">
        <f>日前电价!X37-实时电价!X37</f>
        <v>144.44900000000001</v>
      </c>
      <c r="Y37" s="7">
        <f>日前电价!Y37-实时电价!Y37</f>
        <v>102.8853</v>
      </c>
      <c r="Z37" s="9">
        <f t="shared" si="0"/>
        <v>321.80590000000001</v>
      </c>
      <c r="AA37" s="9">
        <f t="shared" si="1"/>
        <v>-34.594200000000001</v>
      </c>
      <c r="AB37" s="9">
        <f t="shared" si="2"/>
        <v>99.6916333333333</v>
      </c>
    </row>
    <row r="38" spans="1:28">
      <c r="A38" s="8">
        <v>45328</v>
      </c>
      <c r="B38" s="7">
        <f>日前电价!B38-实时电价!B38</f>
        <v>-120.9558</v>
      </c>
      <c r="C38" s="7">
        <f>日前电价!C38-实时电价!C38</f>
        <v>-8.0158999999999896</v>
      </c>
      <c r="D38" s="7">
        <f>日前电价!D38-实时电价!D38</f>
        <v>42.713200000000001</v>
      </c>
      <c r="E38" s="7">
        <f>日前电价!E38-实时电价!E38</f>
        <v>39.322800000000001</v>
      </c>
      <c r="F38" s="7">
        <f>日前电价!F38-实时电价!F38</f>
        <v>25.954999999999998</v>
      </c>
      <c r="G38" s="7">
        <f>日前电价!G38-实时电价!G38</f>
        <v>26.577500000000001</v>
      </c>
      <c r="H38" s="7">
        <f>日前电价!H38-实时电价!H38</f>
        <v>57.934899999999999</v>
      </c>
      <c r="I38" s="7">
        <f>日前电价!I38-实时电价!I38</f>
        <v>-37.863399999999999</v>
      </c>
      <c r="J38" s="7">
        <f>日前电价!J38-实时电价!J38</f>
        <v>-20.029</v>
      </c>
      <c r="K38" s="7">
        <f>日前电价!K38-实时电价!K38</f>
        <v>-50.142600000000002</v>
      </c>
      <c r="L38" s="7">
        <f>日前电价!L38-实时电价!L38</f>
        <v>10.8438</v>
      </c>
      <c r="M38" s="7">
        <f>日前电价!M38-实时电价!M38</f>
        <v>100.27500000000001</v>
      </c>
      <c r="N38" s="7">
        <f>日前电价!N38-实时电价!N38</f>
        <v>17.787600000000001</v>
      </c>
      <c r="O38" s="7">
        <f>日前电价!O38-实时电价!O38</f>
        <v>58.530999999999999</v>
      </c>
      <c r="P38" s="7">
        <f>日前电价!P38-实时电价!P38</f>
        <v>6.4950000000000001</v>
      </c>
      <c r="Q38" s="7">
        <f>日前电价!Q38-实时电价!Q38</f>
        <v>84.317499999999995</v>
      </c>
      <c r="R38" s="7">
        <f>日前电价!R38-实时电价!R38</f>
        <v>-12.5</v>
      </c>
      <c r="S38" s="7">
        <f>日前电价!S38-实时电价!S38</f>
        <v>-223.6884</v>
      </c>
      <c r="T38" s="7">
        <f>日前电价!T38-实时电价!T38</f>
        <v>-531.34190000000001</v>
      </c>
      <c r="U38" s="7">
        <f>日前电价!U38-实时电价!U38</f>
        <v>-319.69459999999998</v>
      </c>
      <c r="V38" s="7">
        <f>日前电价!V38-实时电价!V38</f>
        <v>-270.74689999999998</v>
      </c>
      <c r="W38" s="7">
        <f>日前电价!W38-实时电价!W38</f>
        <v>-502.59550000000002</v>
      </c>
      <c r="X38" s="7">
        <f>日前电价!X38-实时电价!X38</f>
        <v>-243.6918</v>
      </c>
      <c r="Y38" s="7">
        <f>日前电价!Y38-实时电价!Y38</f>
        <v>-366.69990000000001</v>
      </c>
      <c r="Z38" s="9">
        <f t="shared" si="0"/>
        <v>100.27500000000001</v>
      </c>
      <c r="AA38" s="9">
        <f t="shared" si="1"/>
        <v>-531.34190000000001</v>
      </c>
      <c r="AB38" s="9">
        <f t="shared" si="2"/>
        <v>-93.217183333333296</v>
      </c>
    </row>
    <row r="39" spans="1:28">
      <c r="A39" s="8">
        <v>45329</v>
      </c>
      <c r="B39" s="7">
        <f>日前电价!B39-实时电价!B39</f>
        <v>-64.988399999999999</v>
      </c>
      <c r="C39" s="7">
        <f>日前电价!C39-实时电价!C39</f>
        <v>-69.694999999999993</v>
      </c>
      <c r="D39" s="7">
        <f>日前电价!D39-实时电价!D39</f>
        <v>-68.406700000000001</v>
      </c>
      <c r="E39" s="7">
        <f>日前电价!E39-实时电价!E39</f>
        <v>-20.119900000000001</v>
      </c>
      <c r="F39" s="7">
        <f>日前电价!F39-实时电价!F39</f>
        <v>-5.0274999999999697</v>
      </c>
      <c r="G39" s="7">
        <f>日前电价!G39-实时电价!G39</f>
        <v>-33.645200000000003</v>
      </c>
      <c r="H39" s="7">
        <f>日前电价!H39-实时电价!H39</f>
        <v>-45.33</v>
      </c>
      <c r="I39" s="7">
        <f>日前电价!I39-实时电价!I39</f>
        <v>-217.72210000000001</v>
      </c>
      <c r="J39" s="7">
        <f>日前电价!J39-实时电价!J39</f>
        <v>-266.64269999999999</v>
      </c>
      <c r="K39" s="7">
        <f>日前电价!K39-实时电价!K39</f>
        <v>-467.447</v>
      </c>
      <c r="L39" s="7">
        <f>日前电价!L39-实时电价!L39</f>
        <v>-666</v>
      </c>
      <c r="M39" s="7">
        <f>日前电价!M39-实时电价!M39</f>
        <v>-598.21990000000005</v>
      </c>
      <c r="N39" s="7">
        <f>日前电价!N39-实时电价!N39</f>
        <v>-492.91750000000002</v>
      </c>
      <c r="O39" s="7">
        <f>日前电价!O39-实时电价!O39</f>
        <v>-262.505</v>
      </c>
      <c r="P39" s="7">
        <f>日前电价!P39-实时电价!P39</f>
        <v>-93.86</v>
      </c>
      <c r="Q39" s="7">
        <f>日前电价!Q39-实时电价!Q39</f>
        <v>-174.47499999999999</v>
      </c>
      <c r="R39" s="7">
        <f>日前电价!R39-实时电价!R39</f>
        <v>-324.84469999999999</v>
      </c>
      <c r="S39" s="7">
        <f>日前电价!S39-实时电价!S39</f>
        <v>-541.57370000000003</v>
      </c>
      <c r="T39" s="7">
        <f>日前电价!T39-实时电价!T39</f>
        <v>-487.8519</v>
      </c>
      <c r="U39" s="7">
        <f>日前电价!U39-实时电价!U39</f>
        <v>-228.15129999999999</v>
      </c>
      <c r="V39" s="7">
        <f>日前电价!V39-实时电价!V39</f>
        <v>-68.663200000000003</v>
      </c>
      <c r="W39" s="7">
        <f>日前电价!W39-实时电价!W39</f>
        <v>-89.903499999999994</v>
      </c>
      <c r="X39" s="7">
        <f>日前电价!X39-实时电价!X39</f>
        <v>-55.956000000000003</v>
      </c>
      <c r="Y39" s="7">
        <f>日前电价!Y39-实时电价!Y39</f>
        <v>-54.730200000000004</v>
      </c>
      <c r="Z39" s="9">
        <f t="shared" si="0"/>
        <v>-5.0274999999999697</v>
      </c>
      <c r="AA39" s="9">
        <f t="shared" si="1"/>
        <v>-666</v>
      </c>
      <c r="AB39" s="9">
        <f t="shared" si="2"/>
        <v>-224.94485</v>
      </c>
    </row>
    <row r="40" spans="1:28">
      <c r="A40" s="8">
        <v>45330</v>
      </c>
      <c r="B40" s="7">
        <f>日前电价!B40-实时电价!B40</f>
        <v>-108.196</v>
      </c>
      <c r="C40" s="7">
        <f>日前电价!C40-实时电价!C40</f>
        <v>75.644000000000005</v>
      </c>
      <c r="D40" s="7">
        <f>日前电价!D40-实时电价!D40</f>
        <v>97.305999999999997</v>
      </c>
      <c r="E40" s="7">
        <f>日前电价!E40-实时电价!E40</f>
        <v>215.75399999999999</v>
      </c>
      <c r="F40" s="7">
        <f>日前电价!F40-实时电价!F40</f>
        <v>346.5</v>
      </c>
      <c r="G40" s="7">
        <f>日前电价!G40-实时电价!G40</f>
        <v>335.60500000000002</v>
      </c>
      <c r="H40" s="7">
        <f>日前电价!H40-实时电价!H40</f>
        <v>157.08500000000001</v>
      </c>
      <c r="I40" s="7">
        <f>日前电价!I40-实时电价!I40</f>
        <v>99.400400000000005</v>
      </c>
      <c r="J40" s="7">
        <f>日前电价!J40-实时电价!J40</f>
        <v>40.517299999999999</v>
      </c>
      <c r="K40" s="7">
        <f>日前电价!K40-实时电价!K40</f>
        <v>6.7262999999999797</v>
      </c>
      <c r="L40" s="7">
        <f>日前电价!L40-实时电价!L40</f>
        <v>3.75</v>
      </c>
      <c r="M40" s="7">
        <f>日前电价!M40-实时电价!M40</f>
        <v>31.47</v>
      </c>
      <c r="N40" s="7">
        <f>日前电价!N40-实时电价!N40</f>
        <v>47.9983</v>
      </c>
      <c r="O40" s="7">
        <f>日前电价!O40-实时电价!O40</f>
        <v>16.9009</v>
      </c>
      <c r="P40" s="7">
        <f>日前电价!P40-实时电价!P40</f>
        <v>-11.251099999999999</v>
      </c>
      <c r="Q40" s="7">
        <f>日前电价!Q40-实时电价!Q40</f>
        <v>-22.5</v>
      </c>
      <c r="R40" s="7">
        <f>日前电价!R40-实时电价!R40</f>
        <v>-38.97</v>
      </c>
      <c r="S40" s="7">
        <f>日前电价!S40-实时电价!S40</f>
        <v>-20.6325</v>
      </c>
      <c r="T40" s="7">
        <f>日前电价!T40-实时电价!T40</f>
        <v>-59.0045</v>
      </c>
      <c r="U40" s="7">
        <f>日前电价!U40-实时电价!U40</f>
        <v>-161.92179999999999</v>
      </c>
      <c r="V40" s="7">
        <f>日前电价!V40-实时电价!V40</f>
        <v>-60.615200000000002</v>
      </c>
      <c r="W40" s="7">
        <f>日前电价!W40-实时电价!W40</f>
        <v>-298.09449999999998</v>
      </c>
      <c r="X40" s="7">
        <f>日前电价!X40-实时电价!X40</f>
        <v>-283.07760000000002</v>
      </c>
      <c r="Y40" s="7">
        <f>日前电价!Y40-实时电价!Y40</f>
        <v>-162.0393</v>
      </c>
      <c r="Z40" s="9">
        <f t="shared" si="0"/>
        <v>346.5</v>
      </c>
      <c r="AA40" s="9">
        <f t="shared" si="1"/>
        <v>-298.09449999999998</v>
      </c>
      <c r="AB40" s="9">
        <f t="shared" si="2"/>
        <v>10.348112499999999</v>
      </c>
    </row>
    <row r="41" spans="1:28">
      <c r="A41" s="8">
        <v>45331</v>
      </c>
      <c r="B41" s="7">
        <f>日前电价!B41-实时电价!B41</f>
        <v>-294.41750000000002</v>
      </c>
      <c r="C41" s="7">
        <f>日前电价!C41-实时电价!C41</f>
        <v>-256.0831</v>
      </c>
      <c r="D41" s="7">
        <f>日前电价!D41-实时电价!D41</f>
        <v>-43.493400000000001</v>
      </c>
      <c r="E41" s="7">
        <f>日前电价!E41-实时电价!E41</f>
        <v>-46.75</v>
      </c>
      <c r="F41" s="7">
        <f>日前电价!F41-实时电价!F41</f>
        <v>-53.306800000000003</v>
      </c>
      <c r="G41" s="7">
        <f>日前电价!G41-实时电价!G41</f>
        <v>-84.8215</v>
      </c>
      <c r="H41" s="7">
        <f>日前电价!H41-实时电价!H41</f>
        <v>-95.931799999999996</v>
      </c>
      <c r="I41" s="7">
        <f>日前电价!I41-实时电价!I41</f>
        <v>-224.65889999999999</v>
      </c>
      <c r="J41" s="7">
        <f>日前电价!J41-实时电价!J41</f>
        <v>-158.55350000000001</v>
      </c>
      <c r="K41" s="7">
        <f>日前电价!K41-实时电价!K41</f>
        <v>-64.227099999999993</v>
      </c>
      <c r="L41" s="7">
        <f>日前电价!L41-实时电价!L41</f>
        <v>-34.645000000000003</v>
      </c>
      <c r="M41" s="7">
        <f>日前电价!M41-实时电价!M41</f>
        <v>-146.88999999999999</v>
      </c>
      <c r="N41" s="7">
        <f>日前电价!N41-实时电价!N41</f>
        <v>-26.145</v>
      </c>
      <c r="O41" s="7">
        <f>日前电价!O41-实时电价!O41</f>
        <v>10.8535</v>
      </c>
      <c r="P41" s="7">
        <f>日前电价!P41-实时电价!P41</f>
        <v>-27.164999999999999</v>
      </c>
      <c r="Q41" s="7">
        <f>日前电价!Q41-实时电价!Q41</f>
        <v>-196.05250000000001</v>
      </c>
      <c r="R41" s="7">
        <f>日前电价!R41-实时电价!R41</f>
        <v>-428.5</v>
      </c>
      <c r="S41" s="7">
        <f>日前电价!S41-实时电价!S41</f>
        <v>-177.94</v>
      </c>
      <c r="T41" s="7">
        <f>日前电价!T41-实时电价!T41</f>
        <v>39.647500000000001</v>
      </c>
      <c r="U41" s="7">
        <f>日前电价!U41-实时电价!U41</f>
        <v>16.217500000000001</v>
      </c>
      <c r="V41" s="7">
        <f>日前电价!V41-实时电价!V41</f>
        <v>8.1141000000000094</v>
      </c>
      <c r="W41" s="7">
        <f>日前电价!W41-实时电价!W41</f>
        <v>-14.545</v>
      </c>
      <c r="X41" s="7">
        <f>日前电价!X41-实时电价!X41</f>
        <v>-415.83249999999998</v>
      </c>
      <c r="Y41" s="7">
        <f>日前电价!Y41-实时电价!Y41</f>
        <v>-214.30959999999999</v>
      </c>
      <c r="Z41" s="9">
        <f t="shared" si="0"/>
        <v>39.647500000000001</v>
      </c>
      <c r="AA41" s="9">
        <f t="shared" si="1"/>
        <v>-428.5</v>
      </c>
      <c r="AB41" s="9">
        <f t="shared" si="2"/>
        <v>-122.059816666667</v>
      </c>
    </row>
    <row r="42" spans="1:28">
      <c r="A42" s="8">
        <v>45332</v>
      </c>
      <c r="B42" s="7">
        <f>日前电价!B42-实时电价!B42</f>
        <v>-329.17259999999999</v>
      </c>
      <c r="C42" s="7">
        <f>日前电价!C42-实时电价!C42</f>
        <v>-317.08030000000002</v>
      </c>
      <c r="D42" s="7">
        <f>日前电价!D42-实时电价!D42</f>
        <v>-474.26459999999997</v>
      </c>
      <c r="E42" s="7">
        <f>日前电价!E42-实时电价!E42</f>
        <v>-277.41500000000002</v>
      </c>
      <c r="F42" s="7">
        <f>日前电价!F42-实时电价!F42</f>
        <v>-58.442500000000003</v>
      </c>
      <c r="G42" s="7">
        <f>日前电价!G42-实时电价!G42</f>
        <v>-69</v>
      </c>
      <c r="H42" s="7">
        <f>日前电价!H42-实时电价!H42</f>
        <v>-35.340000000000003</v>
      </c>
      <c r="I42" s="7">
        <f>日前电价!I42-实时电价!I42</f>
        <v>-2.3197000000000099</v>
      </c>
      <c r="J42" s="7">
        <f>日前电价!J42-实时电价!J42</f>
        <v>321.19</v>
      </c>
      <c r="K42" s="7">
        <f>日前电价!K42-实时电价!K42</f>
        <v>267.75360000000001</v>
      </c>
      <c r="L42" s="7">
        <f>日前电价!L42-实时电价!L42</f>
        <v>267.52</v>
      </c>
      <c r="M42" s="7">
        <f>日前电价!M42-实时电价!M42</f>
        <v>-149.5805</v>
      </c>
      <c r="N42" s="7">
        <f>日前电价!N42-实时电价!N42</f>
        <v>-96.726900000000001</v>
      </c>
      <c r="O42" s="7">
        <f>日前电价!O42-实时电价!O42</f>
        <v>378.20609999999999</v>
      </c>
      <c r="P42" s="7">
        <f>日前电价!P42-实时电价!P42</f>
        <v>-162.9975</v>
      </c>
      <c r="Q42" s="7">
        <f>日前电价!Q42-实时电价!Q42</f>
        <v>-646.5</v>
      </c>
      <c r="R42" s="7">
        <f>日前电价!R42-实时电价!R42</f>
        <v>-70.89</v>
      </c>
      <c r="S42" s="7">
        <f>日前电价!S42-实时电价!S42</f>
        <v>-135.11490000000001</v>
      </c>
      <c r="T42" s="7">
        <f>日前电价!T42-实时电价!T42</f>
        <v>-291.87670000000003</v>
      </c>
      <c r="U42" s="7">
        <f>日前电价!U42-实时电价!U42</f>
        <v>-384.75259999999997</v>
      </c>
      <c r="V42" s="7">
        <f>日前电价!V42-实时电价!V42</f>
        <v>-281.5779</v>
      </c>
      <c r="W42" s="7">
        <f>日前电价!W42-实时电价!W42</f>
        <v>-244.91499999999999</v>
      </c>
      <c r="X42" s="7">
        <f>日前电价!X42-实时电价!X42</f>
        <v>-546.38699999999994</v>
      </c>
      <c r="Y42" s="7">
        <f>日前电价!Y42-实时电价!Y42</f>
        <v>-274.11520000000002</v>
      </c>
      <c r="Z42" s="9">
        <f t="shared" si="0"/>
        <v>378.20609999999999</v>
      </c>
      <c r="AA42" s="9">
        <f t="shared" si="1"/>
        <v>-646.5</v>
      </c>
      <c r="AB42" s="9">
        <f t="shared" si="2"/>
        <v>-150.574966666667</v>
      </c>
    </row>
    <row r="43" spans="1:28">
      <c r="A43" s="8">
        <v>45333</v>
      </c>
      <c r="B43" s="7">
        <f>日前电价!B43-实时电价!B43</f>
        <v>-224.58779999999999</v>
      </c>
      <c r="C43" s="7">
        <f>日前电价!C43-实时电价!C43</f>
        <v>-170.94</v>
      </c>
      <c r="D43" s="7">
        <f>日前电价!D43-实时电价!D43</f>
        <v>-69.284999999999997</v>
      </c>
      <c r="E43" s="7">
        <f>日前电价!E43-实时电价!E43</f>
        <v>-32.25</v>
      </c>
      <c r="F43" s="7">
        <f>日前电价!F43-实时电价!F43</f>
        <v>-6.3075000000000001</v>
      </c>
      <c r="G43" s="7">
        <f>日前电价!G43-实时电价!G43</f>
        <v>-8.8050000000000104</v>
      </c>
      <c r="H43" s="7">
        <f>日前电价!H43-实时电价!H43</f>
        <v>-38</v>
      </c>
      <c r="I43" s="7">
        <f>日前电价!I43-实时电价!I43</f>
        <v>-94.107500000000002</v>
      </c>
      <c r="J43" s="7">
        <f>日前电价!J43-实时电价!J43</f>
        <v>152.0086</v>
      </c>
      <c r="K43" s="7">
        <f>日前电价!K43-实时电价!K43</f>
        <v>29.5</v>
      </c>
      <c r="L43" s="7">
        <f>日前电价!L43-实时电价!L43</f>
        <v>-411.54520000000002</v>
      </c>
      <c r="M43" s="7">
        <f>日前电价!M43-实时电价!M43</f>
        <v>-767.37660000000005</v>
      </c>
      <c r="N43" s="7">
        <f>日前电价!N43-实时电价!N43</f>
        <v>-300.98250000000002</v>
      </c>
      <c r="O43" s="7">
        <f>日前电价!O43-实时电价!O43</f>
        <v>-102.3083</v>
      </c>
      <c r="P43" s="7">
        <f>日前电价!P43-实时电价!P43</f>
        <v>-496.2321</v>
      </c>
      <c r="Q43" s="7">
        <f>日前电价!Q43-实时电价!Q43</f>
        <v>-772</v>
      </c>
      <c r="R43" s="7">
        <f>日前电价!R43-实时电价!R43</f>
        <v>1.43989999999997</v>
      </c>
      <c r="S43" s="7">
        <f>日前电价!S43-实时电价!S43</f>
        <v>218.69499999999999</v>
      </c>
      <c r="T43" s="7">
        <f>日前电价!T43-实时电价!T43</f>
        <v>333.03250000000003</v>
      </c>
      <c r="U43" s="7">
        <f>日前电价!U43-实时电价!U43</f>
        <v>338.5</v>
      </c>
      <c r="V43" s="7">
        <f>日前电价!V43-实时电价!V43</f>
        <v>324.19</v>
      </c>
      <c r="W43" s="7">
        <f>日前电价!W43-实时电价!W43</f>
        <v>317.685</v>
      </c>
      <c r="X43" s="7">
        <f>日前电价!X43-实时电价!X43</f>
        <v>294.58499999999998</v>
      </c>
      <c r="Y43" s="7">
        <f>日前电价!Y43-实时电价!Y43</f>
        <v>115.86499999999999</v>
      </c>
      <c r="Z43" s="9">
        <f t="shared" si="0"/>
        <v>338.5</v>
      </c>
      <c r="AA43" s="9">
        <f t="shared" si="1"/>
        <v>-772</v>
      </c>
      <c r="AB43" s="9">
        <f t="shared" si="2"/>
        <v>-57.051104166666597</v>
      </c>
    </row>
    <row r="44" spans="1:28">
      <c r="A44" s="8">
        <v>45334</v>
      </c>
      <c r="B44" s="7">
        <f>日前电价!B44-实时电价!B44</f>
        <v>-277.91750000000002</v>
      </c>
      <c r="C44" s="7">
        <f>日前电价!C44-实时电价!C44</f>
        <v>67.165000000000006</v>
      </c>
      <c r="D44" s="7">
        <f>日前电价!D44-实时电价!D44</f>
        <v>-8.81299999999999</v>
      </c>
      <c r="E44" s="7">
        <f>日前电价!E44-实时电价!E44</f>
        <v>-56.736499999999999</v>
      </c>
      <c r="F44" s="7">
        <f>日前电价!F44-实时电价!F44</f>
        <v>-7.2549999999999999</v>
      </c>
      <c r="G44" s="7">
        <f>日前电价!G44-实时电价!G44</f>
        <v>-100.58</v>
      </c>
      <c r="H44" s="7">
        <f>日前电价!H44-实时电价!H44</f>
        <v>0</v>
      </c>
      <c r="I44" s="7">
        <f>日前电价!I44-实时电价!I44</f>
        <v>-75</v>
      </c>
      <c r="J44" s="7">
        <f>日前电价!J44-实时电价!J44</f>
        <v>-100.27500000000001</v>
      </c>
      <c r="K44" s="7">
        <f>日前电价!K44-实时电价!K44</f>
        <v>-724.1259</v>
      </c>
      <c r="L44" s="7">
        <f>日前电价!L44-实时电价!L44</f>
        <v>-996.46900000000005</v>
      </c>
      <c r="M44" s="7">
        <f>日前电价!M44-实时电价!M44</f>
        <v>-1000</v>
      </c>
      <c r="N44" s="7">
        <f>日前电价!N44-实时电价!N44</f>
        <v>-750</v>
      </c>
      <c r="O44" s="7">
        <f>日前电价!O44-实时电价!O44</f>
        <v>0</v>
      </c>
      <c r="P44" s="7">
        <f>日前电价!P44-实时电价!P44</f>
        <v>-999.75</v>
      </c>
      <c r="Q44" s="7">
        <f>日前电价!Q44-实时电价!Q44</f>
        <v>-1000</v>
      </c>
      <c r="R44" s="7">
        <f>日前电价!R44-实时电价!R44</f>
        <v>0</v>
      </c>
      <c r="S44" s="7">
        <f>日前电价!S44-实时电价!S44</f>
        <v>-70.165000000000006</v>
      </c>
      <c r="T44" s="7">
        <f>日前电价!T44-实时电价!T44</f>
        <v>130</v>
      </c>
      <c r="U44" s="7">
        <f>日前电价!U44-实时电价!U44</f>
        <v>285.49</v>
      </c>
      <c r="V44" s="7">
        <f>日前电价!V44-实时电价!V44</f>
        <v>65</v>
      </c>
      <c r="W44" s="7">
        <f>日前电价!W44-实时电价!W44</f>
        <v>0</v>
      </c>
      <c r="X44" s="7">
        <f>日前电价!X44-实时电价!X44</f>
        <v>-18.585000000000001</v>
      </c>
      <c r="Y44" s="7">
        <f>日前电价!Y44-实时电价!Y44</f>
        <v>-0.25</v>
      </c>
      <c r="Z44" s="9">
        <f t="shared" si="0"/>
        <v>285.49</v>
      </c>
      <c r="AA44" s="9">
        <f t="shared" si="1"/>
        <v>-1000</v>
      </c>
      <c r="AB44" s="9">
        <f t="shared" si="2"/>
        <v>-234.92778749999999</v>
      </c>
    </row>
    <row r="45" spans="1:28">
      <c r="A45" s="8">
        <v>45335</v>
      </c>
      <c r="B45" s="7">
        <f>日前电价!B45-实时电价!B45</f>
        <v>-39.875</v>
      </c>
      <c r="C45" s="7">
        <f>日前电价!C45-实时电价!C45</f>
        <v>179.39</v>
      </c>
      <c r="D45" s="7">
        <f>日前电价!D45-实时电价!D45</f>
        <v>96.438100000000006</v>
      </c>
      <c r="E45" s="7">
        <f>日前电价!E45-实时电价!E45</f>
        <v>78.370900000000006</v>
      </c>
      <c r="F45" s="7">
        <f>日前电价!F45-实时电价!F45</f>
        <v>246.33750000000001</v>
      </c>
      <c r="G45" s="7">
        <f>日前电价!G45-实时电价!G45</f>
        <v>310.55500000000001</v>
      </c>
      <c r="H45" s="7">
        <f>日前电价!H45-实时电价!H45</f>
        <v>190.33500000000001</v>
      </c>
      <c r="I45" s="7">
        <f>日前电价!I45-实时电价!I45</f>
        <v>5.0774999999999899</v>
      </c>
      <c r="J45" s="7">
        <f>日前电价!J45-实时电价!J45</f>
        <v>-36.217500000000001</v>
      </c>
      <c r="K45" s="7">
        <f>日前电价!K45-实时电价!K45</f>
        <v>-356.24</v>
      </c>
      <c r="L45" s="7">
        <f>日前电价!L45-实时电价!L45</f>
        <v>17.495000000000001</v>
      </c>
      <c r="M45" s="7">
        <f>日前电价!M45-实时电价!M45</f>
        <v>-147.0393</v>
      </c>
      <c r="N45" s="7">
        <f>日前电价!N45-实时电价!N45</f>
        <v>-112.4015</v>
      </c>
      <c r="O45" s="7">
        <f>日前电价!O45-实时电价!O45</f>
        <v>6.2005000000000097</v>
      </c>
      <c r="P45" s="7">
        <f>日前电价!P45-实时电价!P45</f>
        <v>-20.110499999999998</v>
      </c>
      <c r="Q45" s="7">
        <f>日前电价!Q45-实时电价!Q45</f>
        <v>-5.8501000000000003</v>
      </c>
      <c r="R45" s="7">
        <f>日前电价!R45-实时电价!R45</f>
        <v>62.555700000000002</v>
      </c>
      <c r="S45" s="7">
        <f>日前电价!S45-实时电价!S45</f>
        <v>-25.790900000000001</v>
      </c>
      <c r="T45" s="7">
        <f>日前电价!T45-实时电价!T45</f>
        <v>-37.840000000000003</v>
      </c>
      <c r="U45" s="7">
        <f>日前电价!U45-实时电价!U45</f>
        <v>-38.823500000000003</v>
      </c>
      <c r="V45" s="7">
        <f>日前电价!V45-实时电价!V45</f>
        <v>-16.590800000000002</v>
      </c>
      <c r="W45" s="7">
        <f>日前电价!W45-实时电价!W45</f>
        <v>-0.21629999999999</v>
      </c>
      <c r="X45" s="7">
        <f>日前电价!X45-实时电价!X45</f>
        <v>20.263100000000001</v>
      </c>
      <c r="Y45" s="7">
        <f>日前电价!Y45-实时电价!Y45</f>
        <v>45.773600000000002</v>
      </c>
      <c r="Z45" s="9">
        <f t="shared" si="0"/>
        <v>310.55500000000001</v>
      </c>
      <c r="AA45" s="9">
        <f t="shared" si="1"/>
        <v>-356.24</v>
      </c>
      <c r="AB45" s="9">
        <f t="shared" si="2"/>
        <v>17.5748541666667</v>
      </c>
    </row>
    <row r="46" spans="1:28">
      <c r="A46" s="8">
        <v>45336</v>
      </c>
      <c r="B46" s="7">
        <f>日前电价!B46-实时电价!B46</f>
        <v>-182.26</v>
      </c>
      <c r="C46" s="7">
        <f>日前电价!C46-实时电价!C46</f>
        <v>-145.97999999999999</v>
      </c>
      <c r="D46" s="7">
        <f>日前电价!D46-实时电价!D46</f>
        <v>-143.82419999999999</v>
      </c>
      <c r="E46" s="7">
        <f>日前电价!E46-实时电价!E46</f>
        <v>-16.079999999999998</v>
      </c>
      <c r="F46" s="7">
        <f>日前电价!F46-实时电价!F46</f>
        <v>-24.918500000000002</v>
      </c>
      <c r="G46" s="7">
        <f>日前电价!G46-实时电价!G46</f>
        <v>-151.75</v>
      </c>
      <c r="H46" s="7">
        <f>日前电价!H46-实时电价!H46</f>
        <v>-81.517499999999998</v>
      </c>
      <c r="I46" s="7">
        <f>日前电价!I46-实时电价!I46</f>
        <v>-407.0684</v>
      </c>
      <c r="J46" s="7">
        <f>日前电价!J46-实时电价!J46</f>
        <v>-47.16</v>
      </c>
      <c r="K46" s="7">
        <f>日前电价!K46-实时电价!K46</f>
        <v>147.05500000000001</v>
      </c>
      <c r="L46" s="7">
        <f>日前电价!L46-实时电价!L46</f>
        <v>146.72980000000001</v>
      </c>
      <c r="M46" s="7">
        <f>日前电价!M46-实时电价!M46</f>
        <v>181.1679</v>
      </c>
      <c r="N46" s="7">
        <f>日前电价!N46-实时电价!N46</f>
        <v>109.608</v>
      </c>
      <c r="O46" s="7">
        <f>日前电价!O46-实时电价!O46</f>
        <v>188.4375</v>
      </c>
      <c r="P46" s="7">
        <f>日前电价!P46-实时电价!P46</f>
        <v>110.89749999999999</v>
      </c>
      <c r="Q46" s="7">
        <f>日前电价!Q46-实时电价!Q46</f>
        <v>74.069199999999995</v>
      </c>
      <c r="R46" s="7">
        <f>日前电价!R46-实时电价!R46</f>
        <v>47.376199999999997</v>
      </c>
      <c r="S46" s="7">
        <f>日前电价!S46-实时电价!S46</f>
        <v>10.692500000000001</v>
      </c>
      <c r="T46" s="7">
        <f>日前电价!T46-实时电价!T46</f>
        <v>4.1374999999999904</v>
      </c>
      <c r="U46" s="7">
        <f>日前电价!U46-实时电价!U46</f>
        <v>-6.3349999999999804</v>
      </c>
      <c r="V46" s="7">
        <f>日前电价!V46-实时电价!V46</f>
        <v>28.17</v>
      </c>
      <c r="W46" s="7">
        <f>日前电价!W46-实时电价!W46</f>
        <v>33.302500000000002</v>
      </c>
      <c r="X46" s="7">
        <f>日前电价!X46-实时电价!X46</f>
        <v>30</v>
      </c>
      <c r="Y46" s="7">
        <f>日前电价!Y46-实时电价!Y46</f>
        <v>26.939299999999999</v>
      </c>
      <c r="Z46" s="9">
        <f t="shared" si="0"/>
        <v>188.4375</v>
      </c>
      <c r="AA46" s="9">
        <f t="shared" si="1"/>
        <v>-407.0684</v>
      </c>
      <c r="AB46" s="9">
        <f t="shared" si="2"/>
        <v>-2.84627916666666</v>
      </c>
    </row>
    <row r="47" spans="1:28">
      <c r="A47" s="8">
        <v>45337</v>
      </c>
      <c r="B47" s="7">
        <f>日前电价!B47-实时电价!B47</f>
        <v>-371.59460000000001</v>
      </c>
      <c r="C47" s="7">
        <f>日前电价!C47-实时电价!C47</f>
        <v>-423.17149999999998</v>
      </c>
      <c r="D47" s="7">
        <f>日前电价!D47-实时电价!D47</f>
        <v>-421.88139999999999</v>
      </c>
      <c r="E47" s="7">
        <f>日前电价!E47-实时电价!E47</f>
        <v>-178.94749999999999</v>
      </c>
      <c r="F47" s="7">
        <f>日前电价!F47-实时电价!F47</f>
        <v>-158.63749999999999</v>
      </c>
      <c r="G47" s="7">
        <f>日前电价!G47-实时电价!G47</f>
        <v>-55.195</v>
      </c>
      <c r="H47" s="7">
        <f>日前电价!H47-实时电价!H47</f>
        <v>-111.181</v>
      </c>
      <c r="I47" s="7">
        <f>日前电价!I47-实时电价!I47</f>
        <v>-101.2388</v>
      </c>
      <c r="J47" s="7">
        <f>日前电价!J47-实时电价!J47</f>
        <v>-24.75</v>
      </c>
      <c r="K47" s="7">
        <f>日前电价!K47-实时电价!K47</f>
        <v>-31.047499999999999</v>
      </c>
      <c r="L47" s="7">
        <f>日前电价!L47-实时电价!L47</f>
        <v>-32.89</v>
      </c>
      <c r="M47" s="7">
        <f>日前电价!M47-实时电价!M47</f>
        <v>-117.20780000000001</v>
      </c>
      <c r="N47" s="7">
        <f>日前电价!N47-实时电价!N47</f>
        <v>-6.3246000000000304</v>
      </c>
      <c r="O47" s="7">
        <f>日前电价!O47-实时电价!O47</f>
        <v>30.497199999999999</v>
      </c>
      <c r="P47" s="7">
        <f>日前电价!P47-实时电价!P47</f>
        <v>31.7225</v>
      </c>
      <c r="Q47" s="7">
        <f>日前电价!Q47-实时电价!Q47</f>
        <v>13.5631</v>
      </c>
      <c r="R47" s="7">
        <f>日前电价!R47-实时电价!R47</f>
        <v>26.176100000000002</v>
      </c>
      <c r="S47" s="7">
        <f>日前电价!S47-实时电价!S47</f>
        <v>-130.40199999999999</v>
      </c>
      <c r="T47" s="7">
        <f>日前电价!T47-实时电价!T47</f>
        <v>-361.25</v>
      </c>
      <c r="U47" s="7">
        <f>日前电价!U47-实时电价!U47</f>
        <v>-70.037499999999994</v>
      </c>
      <c r="V47" s="7">
        <f>日前电价!V47-实时电价!V47</f>
        <v>-37.124499999999998</v>
      </c>
      <c r="W47" s="7">
        <f>日前电价!W47-实时电价!W47</f>
        <v>-6.1519000000000101</v>
      </c>
      <c r="X47" s="7">
        <f>日前电价!X47-实时电价!X47</f>
        <v>15.022500000000001</v>
      </c>
      <c r="Y47" s="7">
        <f>日前电价!Y47-实时电价!Y47</f>
        <v>22.724799999999998</v>
      </c>
      <c r="Z47" s="9">
        <f t="shared" si="0"/>
        <v>31.7225</v>
      </c>
      <c r="AA47" s="9">
        <f t="shared" si="1"/>
        <v>-423.17149999999998</v>
      </c>
      <c r="AB47" s="9">
        <f t="shared" si="2"/>
        <v>-104.13862083333299</v>
      </c>
    </row>
    <row r="48" spans="1:28">
      <c r="A48" s="8">
        <v>45338</v>
      </c>
      <c r="B48" s="7">
        <f>日前电价!B48-实时电价!B48</f>
        <v>-351.71249999999998</v>
      </c>
      <c r="C48" s="7">
        <f>日前电价!C48-实时电价!C48</f>
        <v>-158.54499999999999</v>
      </c>
      <c r="D48" s="7">
        <f>日前电价!D48-实时电价!D48</f>
        <v>-109.6673</v>
      </c>
      <c r="E48" s="7">
        <f>日前电价!E48-实时电价!E48</f>
        <v>-39.073700000000002</v>
      </c>
      <c r="F48" s="7">
        <f>日前电价!F48-实时电价!F48</f>
        <v>-28.271599999999999</v>
      </c>
      <c r="G48" s="7">
        <f>日前电价!G48-实时电价!G48</f>
        <v>-12.692500000000001</v>
      </c>
      <c r="H48" s="7">
        <f>日前电价!H48-实时电价!H48</f>
        <v>5.8349999999999804</v>
      </c>
      <c r="I48" s="7">
        <f>日前电价!I48-实时电价!I48</f>
        <v>-37.228700000000003</v>
      </c>
      <c r="J48" s="7">
        <f>日前电价!J48-实时电价!J48</f>
        <v>-26.616099999999999</v>
      </c>
      <c r="K48" s="7">
        <f>日前电价!K48-实时电价!K48</f>
        <v>-28.254999999999999</v>
      </c>
      <c r="L48" s="7">
        <f>日前电价!L48-实时电价!L48</f>
        <v>209.33760000000001</v>
      </c>
      <c r="M48" s="7">
        <f>日前电价!M48-实时电价!M48</f>
        <v>231.72749999999999</v>
      </c>
      <c r="N48" s="7">
        <f>日前电价!N48-实时电价!N48</f>
        <v>119.0543</v>
      </c>
      <c r="O48" s="7">
        <f>日前电价!O48-实时电价!O48</f>
        <v>237.91</v>
      </c>
      <c r="P48" s="7">
        <f>日前电价!P48-实时电价!P48</f>
        <v>64.498699999999999</v>
      </c>
      <c r="Q48" s="7">
        <f>日前电价!Q48-实时电价!Q48</f>
        <v>7.1124999999999803</v>
      </c>
      <c r="R48" s="7">
        <f>日前电价!R48-实时电价!R48</f>
        <v>60.325000000000003</v>
      </c>
      <c r="S48" s="7">
        <f>日前电价!S48-实时电价!S48</f>
        <v>-11.3093</v>
      </c>
      <c r="T48" s="7">
        <f>日前电价!T48-实时电价!T48</f>
        <v>-19.3428</v>
      </c>
      <c r="U48" s="7">
        <f>日前电价!U48-实时电价!U48</f>
        <v>-60.354500000000002</v>
      </c>
      <c r="V48" s="7">
        <f>日前电价!V48-实时电价!V48</f>
        <v>-225.85230000000001</v>
      </c>
      <c r="W48" s="7">
        <f>日前电价!W48-实时电价!W48</f>
        <v>-328.74090000000001</v>
      </c>
      <c r="X48" s="7">
        <f>日前电价!X48-实时电价!X48</f>
        <v>-306.32900000000001</v>
      </c>
      <c r="Y48" s="7">
        <f>日前电价!Y48-实时电价!Y48</f>
        <v>-369.96039999999999</v>
      </c>
      <c r="Z48" s="9">
        <f t="shared" si="0"/>
        <v>237.91</v>
      </c>
      <c r="AA48" s="9">
        <f t="shared" si="1"/>
        <v>-369.96039999999999</v>
      </c>
      <c r="AB48" s="9">
        <f t="shared" si="2"/>
        <v>-49.089624999999998</v>
      </c>
    </row>
    <row r="49" spans="1:28">
      <c r="A49" s="8">
        <v>45339</v>
      </c>
      <c r="B49" s="7">
        <f>日前电价!B49-实时电价!B49</f>
        <v>-68.83</v>
      </c>
      <c r="C49" s="7">
        <f>日前电价!C49-实时电价!C49</f>
        <v>-1.9200000000000199</v>
      </c>
      <c r="D49" s="7">
        <f>日前电价!D49-实时电价!D49</f>
        <v>109.375</v>
      </c>
      <c r="E49" s="7">
        <f>日前电价!E49-实时电价!E49</f>
        <v>156.41999999999999</v>
      </c>
      <c r="F49" s="7">
        <f>日前电价!F49-实时电价!F49</f>
        <v>108.97499999999999</v>
      </c>
      <c r="G49" s="7">
        <f>日前电价!G49-实时电价!G49</f>
        <v>129.32749999999999</v>
      </c>
      <c r="H49" s="7">
        <f>日前电价!H49-实时电价!H49</f>
        <v>36.442500000000003</v>
      </c>
      <c r="I49" s="7">
        <f>日前电价!I49-实时电价!I49</f>
        <v>-33.835000000000001</v>
      </c>
      <c r="J49" s="7">
        <f>日前电价!J49-实时电价!J49</f>
        <v>-54.615000000000002</v>
      </c>
      <c r="K49" s="7">
        <f>日前电价!K49-实时电价!K49</f>
        <v>-81.874099999999999</v>
      </c>
      <c r="L49" s="7">
        <f>日前电价!L49-实时电价!L49</f>
        <v>-29.123200000000001</v>
      </c>
      <c r="M49" s="7">
        <f>日前电价!M49-实时电价!M49</f>
        <v>-21.090399999999999</v>
      </c>
      <c r="N49" s="7">
        <f>日前电价!N49-实时电价!N49</f>
        <v>-2.5810000000000199</v>
      </c>
      <c r="O49" s="7">
        <f>日前电价!O49-实时电价!O49</f>
        <v>111.6803</v>
      </c>
      <c r="P49" s="7">
        <f>日前电价!P49-实时电价!P49</f>
        <v>2.9375</v>
      </c>
      <c r="Q49" s="7">
        <f>日前电价!Q49-实时电价!Q49</f>
        <v>28.445</v>
      </c>
      <c r="R49" s="7">
        <f>日前电价!R49-实时电价!R49</f>
        <v>89.109899999999996</v>
      </c>
      <c r="S49" s="7">
        <f>日前电价!S49-实时电价!S49</f>
        <v>1.53449999999998</v>
      </c>
      <c r="T49" s="7">
        <f>日前电价!T49-实时电价!T49</f>
        <v>-17.704999999999998</v>
      </c>
      <c r="U49" s="7">
        <f>日前电价!U49-实时电价!U49</f>
        <v>-19.84</v>
      </c>
      <c r="V49" s="7">
        <f>日前电价!V49-实时电价!V49</f>
        <v>-19.302</v>
      </c>
      <c r="W49" s="7">
        <f>日前电价!W49-实时电价!W49</f>
        <v>-27.1907</v>
      </c>
      <c r="X49" s="7">
        <f>日前电价!X49-实时电价!X49</f>
        <v>23.8431</v>
      </c>
      <c r="Y49" s="7">
        <f>日前电价!Y49-实时电价!Y49</f>
        <v>-45.802900000000001</v>
      </c>
      <c r="Z49" s="9">
        <f t="shared" si="0"/>
        <v>156.41999999999999</v>
      </c>
      <c r="AA49" s="9">
        <f t="shared" si="1"/>
        <v>-81.874099999999999</v>
      </c>
      <c r="AB49" s="9">
        <f t="shared" si="2"/>
        <v>15.5992083333333</v>
      </c>
    </row>
    <row r="50" spans="1:28">
      <c r="A50" s="8">
        <v>45340</v>
      </c>
      <c r="B50" s="7">
        <f>日前电价!B50-实时电价!B50</f>
        <v>-130.75</v>
      </c>
      <c r="C50" s="7">
        <f>日前电价!C50-实时电价!C50</f>
        <v>86.25</v>
      </c>
      <c r="D50" s="7">
        <f>日前电价!D50-实时电价!D50</f>
        <v>96.08</v>
      </c>
      <c r="E50" s="7">
        <f>日前电价!E50-实时电价!E50</f>
        <v>206.63499999999999</v>
      </c>
      <c r="F50" s="7">
        <f>日前电价!F50-实时电价!F50</f>
        <v>16.1325</v>
      </c>
      <c r="G50" s="7">
        <f>日前电价!G50-实时电价!G50</f>
        <v>68.102500000000006</v>
      </c>
      <c r="H50" s="7">
        <f>日前电价!H50-实时电价!H50</f>
        <v>-25.754999999999999</v>
      </c>
      <c r="I50" s="7">
        <f>日前电价!I50-实时电价!I50</f>
        <v>-148.5575</v>
      </c>
      <c r="J50" s="7">
        <f>日前电价!J50-实时电价!J50</f>
        <v>-41.527500000000003</v>
      </c>
      <c r="K50" s="7">
        <f>日前电价!K50-实时电价!K50</f>
        <v>-32.494999999999997</v>
      </c>
      <c r="L50" s="7">
        <f>日前电价!L50-实时电价!L50</f>
        <v>-17.420000000000002</v>
      </c>
      <c r="M50" s="7">
        <f>日前电价!M50-实时电价!M50</f>
        <v>23.5229</v>
      </c>
      <c r="N50" s="7">
        <f>日前电价!N50-实时电价!N50</f>
        <v>163.8075</v>
      </c>
      <c r="O50" s="7">
        <f>日前电价!O50-实时电价!O50</f>
        <v>80.010000000000005</v>
      </c>
      <c r="P50" s="7">
        <f>日前电价!P50-实时电价!P50</f>
        <v>185.25</v>
      </c>
      <c r="Q50" s="7">
        <f>日前电价!Q50-实时电价!Q50</f>
        <v>-19.977499999999999</v>
      </c>
      <c r="R50" s="7">
        <f>日前电价!R50-实时电价!R50</f>
        <v>-5</v>
      </c>
      <c r="S50" s="7">
        <f>日前电价!S50-实时电价!S50</f>
        <v>66.25</v>
      </c>
      <c r="T50" s="7">
        <f>日前电价!T50-实时电价!T50</f>
        <v>-22.689900000000002</v>
      </c>
      <c r="U50" s="7">
        <f>日前电价!U50-实时电价!U50</f>
        <v>-52.5</v>
      </c>
      <c r="V50" s="7">
        <f>日前电价!V50-实时电价!V50</f>
        <v>-39.453499999999998</v>
      </c>
      <c r="W50" s="7">
        <f>日前电价!W50-实时电价!W50</f>
        <v>-40</v>
      </c>
      <c r="X50" s="7">
        <f>日前电价!X50-实时电价!X50</f>
        <v>-43.505000000000003</v>
      </c>
      <c r="Y50" s="7">
        <f>日前电价!Y50-实时电价!Y50</f>
        <v>-106.36750000000001</v>
      </c>
      <c r="Z50" s="9">
        <f t="shared" si="0"/>
        <v>206.63499999999999</v>
      </c>
      <c r="AA50" s="9">
        <f t="shared" si="1"/>
        <v>-148.5575</v>
      </c>
      <c r="AB50" s="9">
        <f t="shared" si="2"/>
        <v>11.0850833333333</v>
      </c>
    </row>
    <row r="51" spans="1:28">
      <c r="A51" s="8">
        <v>45341</v>
      </c>
      <c r="B51" s="7">
        <f>日前电价!B51-实时电价!B51</f>
        <v>-8.5574999999999992</v>
      </c>
      <c r="C51" s="7">
        <f>日前电价!C51-实时电价!C51</f>
        <v>-15</v>
      </c>
      <c r="D51" s="7">
        <f>日前电价!D51-实时电价!D51</f>
        <v>-14.25</v>
      </c>
      <c r="E51" s="7">
        <f>日前电价!E51-实时电价!E51</f>
        <v>4.75</v>
      </c>
      <c r="F51" s="7">
        <f>日前电价!F51-实时电价!F51</f>
        <v>-2.0575000000000001</v>
      </c>
      <c r="G51" s="7">
        <f>日前电价!G51-实时电价!G51</f>
        <v>-5.9424999999999999</v>
      </c>
      <c r="H51" s="7">
        <f>日前电价!H51-实时电价!H51</f>
        <v>-6.2549999999999999</v>
      </c>
      <c r="I51" s="7">
        <f>日前电价!I51-实时电价!I51</f>
        <v>-17.5</v>
      </c>
      <c r="J51" s="7">
        <f>日前电价!J51-实时电价!J51</f>
        <v>-151</v>
      </c>
      <c r="K51" s="7">
        <f>日前电价!K51-实时电价!K51</f>
        <v>-163.745</v>
      </c>
      <c r="L51" s="7">
        <f>日前电价!L51-实时电价!L51</f>
        <v>-16.414999999999999</v>
      </c>
      <c r="M51" s="7">
        <f>日前电价!M51-实时电价!M51</f>
        <v>29.729900000000001</v>
      </c>
      <c r="N51" s="7">
        <f>日前电价!N51-实时电价!N51</f>
        <v>192.1815</v>
      </c>
      <c r="O51" s="7">
        <f>日前电价!O51-实时电价!O51</f>
        <v>109.5367</v>
      </c>
      <c r="P51" s="7">
        <f>日前电价!P51-实时电价!P51</f>
        <v>13.47</v>
      </c>
      <c r="Q51" s="7">
        <f>日前电价!Q51-实时电价!Q51</f>
        <v>65.369200000000006</v>
      </c>
      <c r="R51" s="7">
        <f>日前电价!R51-实时电价!R51</f>
        <v>-31.7395</v>
      </c>
      <c r="S51" s="7">
        <f>日前电价!S51-实时电价!S51</f>
        <v>-12.555400000000001</v>
      </c>
      <c r="T51" s="7">
        <f>日前电价!T51-实时电价!T51</f>
        <v>-1.4223999999999799</v>
      </c>
      <c r="U51" s="7">
        <f>日前电价!U51-实时电价!U51</f>
        <v>-4.6306000000000198</v>
      </c>
      <c r="V51" s="7">
        <f>日前电价!V51-实时电价!V51</f>
        <v>15.6698</v>
      </c>
      <c r="W51" s="7">
        <f>日前电价!W51-实时电价!W51</f>
        <v>8.32040000000001</v>
      </c>
      <c r="X51" s="7">
        <f>日前电价!X51-实时电价!X51</f>
        <v>57.0627</v>
      </c>
      <c r="Y51" s="7">
        <f>日前电价!Y51-实时电价!Y51</f>
        <v>58.530700000000003</v>
      </c>
      <c r="Z51" s="9">
        <f t="shared" si="0"/>
        <v>192.1815</v>
      </c>
      <c r="AA51" s="9">
        <f t="shared" si="1"/>
        <v>-163.745</v>
      </c>
      <c r="AB51" s="9">
        <f t="shared" si="2"/>
        <v>4.3146041666666699</v>
      </c>
    </row>
    <row r="52" spans="1:28">
      <c r="A52" s="8">
        <v>45342</v>
      </c>
      <c r="B52" s="7">
        <f>日前电价!B52-实时电价!B52</f>
        <v>-5.9673999999999996</v>
      </c>
      <c r="C52" s="7">
        <f>日前电价!C52-实时电价!C52</f>
        <v>-2.3176000000000299</v>
      </c>
      <c r="D52" s="7">
        <f>日前电价!D52-实时电价!D52</f>
        <v>-0.437900000000013</v>
      </c>
      <c r="E52" s="7">
        <f>日前电价!E52-实时电价!E52</f>
        <v>154.3673</v>
      </c>
      <c r="F52" s="7">
        <f>日前电价!F52-实时电价!F52</f>
        <v>225.0522</v>
      </c>
      <c r="G52" s="7">
        <f>日前电价!G52-实时电价!G52</f>
        <v>49.327100000000002</v>
      </c>
      <c r="H52" s="7">
        <f>日前电价!H52-实时电价!H52</f>
        <v>-24.000399999999999</v>
      </c>
      <c r="I52" s="7">
        <f>日前电价!I52-实时电价!I52</f>
        <v>-20.914899999999999</v>
      </c>
      <c r="J52" s="7">
        <f>日前电价!J52-实时电价!J52</f>
        <v>-8.5335999999999803</v>
      </c>
      <c r="K52" s="7">
        <f>日前电价!K52-实时电价!K52</f>
        <v>13.9381</v>
      </c>
      <c r="L52" s="7">
        <f>日前电价!L52-实时电价!L52</f>
        <v>40.702599999999997</v>
      </c>
      <c r="M52" s="7">
        <f>日前电价!M52-实时电价!M52</f>
        <v>127.3232</v>
      </c>
      <c r="N52" s="7">
        <f>日前电价!N52-实时电价!N52</f>
        <v>302.7029</v>
      </c>
      <c r="O52" s="7">
        <f>日前电价!O52-实时电价!O52</f>
        <v>300.96469999999999</v>
      </c>
      <c r="P52" s="7">
        <f>日前电价!P52-实时电价!P52</f>
        <v>118.6885</v>
      </c>
      <c r="Q52" s="7">
        <f>日前电价!Q52-实时电价!Q52</f>
        <v>81.377099999999999</v>
      </c>
      <c r="R52" s="7">
        <f>日前电价!R52-实时电价!R52</f>
        <v>4.7119000000000097</v>
      </c>
      <c r="S52" s="7">
        <f>日前电价!S52-实时电价!S52</f>
        <v>21.3034</v>
      </c>
      <c r="T52" s="7">
        <f>日前电价!T52-实时电价!T52</f>
        <v>1.2706</v>
      </c>
      <c r="U52" s="7">
        <f>日前电价!U52-实时电价!U52</f>
        <v>-11.2309</v>
      </c>
      <c r="V52" s="7">
        <f>日前电价!V52-实时电价!V52</f>
        <v>-8.94349999999997</v>
      </c>
      <c r="W52" s="7">
        <f>日前电价!W52-实时电价!W52</f>
        <v>2.6404999999999701</v>
      </c>
      <c r="X52" s="7">
        <f>日前电价!X52-实时电价!X52</f>
        <v>6.2822000000000502</v>
      </c>
      <c r="Y52" s="7">
        <f>日前电价!Y52-实时电价!Y52</f>
        <v>-3.57040000000001</v>
      </c>
      <c r="Z52" s="9">
        <f t="shared" si="0"/>
        <v>302.7029</v>
      </c>
      <c r="AA52" s="9">
        <f t="shared" si="1"/>
        <v>-24.000399999999999</v>
      </c>
      <c r="AB52" s="9">
        <f t="shared" si="2"/>
        <v>56.8639875</v>
      </c>
    </row>
    <row r="53" spans="1:28">
      <c r="A53" s="8">
        <v>45343</v>
      </c>
      <c r="B53" s="7">
        <f>日前电价!B53-实时电价!B53</f>
        <v>0.29619999999999902</v>
      </c>
      <c r="C53" s="7">
        <f>日前电价!C53-实时电价!C53</f>
        <v>7.4583999999999797</v>
      </c>
      <c r="D53" s="7">
        <f>日前电价!D53-实时电价!D53</f>
        <v>69.639200000000002</v>
      </c>
      <c r="E53" s="7">
        <f>日前电价!E53-实时电价!E53</f>
        <v>100.9224</v>
      </c>
      <c r="F53" s="7">
        <f>日前电价!F53-实时电价!F53</f>
        <v>19.483599999999999</v>
      </c>
      <c r="G53" s="7">
        <f>日前电价!G53-实时电价!G53</f>
        <v>2.68540000000002</v>
      </c>
      <c r="H53" s="7">
        <f>日前电价!H53-实时电价!H53</f>
        <v>-2.7388000000000301</v>
      </c>
      <c r="I53" s="7">
        <f>日前电价!I53-实时电价!I53</f>
        <v>-2.9875999999999898</v>
      </c>
      <c r="J53" s="7">
        <f>日前电价!J53-实时电价!J53</f>
        <v>-25.7575</v>
      </c>
      <c r="K53" s="7">
        <f>日前电价!K53-实时电价!K53</f>
        <v>-4.7584999999999704</v>
      </c>
      <c r="L53" s="7">
        <f>日前电价!L53-实时电价!L53</f>
        <v>30.331399999999999</v>
      </c>
      <c r="M53" s="7">
        <f>日前电价!M53-实时电价!M53</f>
        <v>64.060599999999994</v>
      </c>
      <c r="N53" s="7">
        <f>日前电价!N53-实时电价!N53</f>
        <v>77.614099999999993</v>
      </c>
      <c r="O53" s="7">
        <f>日前电价!O53-实时电价!O53</f>
        <v>20.311800000000002</v>
      </c>
      <c r="P53" s="7">
        <f>日前电价!P53-实时电价!P53</f>
        <v>-7.3053000000000496</v>
      </c>
      <c r="Q53" s="7">
        <f>日前电价!Q53-实时电价!Q53</f>
        <v>-7.5275000000000301</v>
      </c>
      <c r="R53" s="7">
        <f>日前电价!R53-实时电价!R53</f>
        <v>-15.211600000000001</v>
      </c>
      <c r="S53" s="7">
        <f>日前电价!S53-实时电价!S53</f>
        <v>7.1476999999999897</v>
      </c>
      <c r="T53" s="7">
        <f>日前电价!T53-实时电价!T53</f>
        <v>10.442</v>
      </c>
      <c r="U53" s="7">
        <f>日前电价!U53-实时电价!U53</f>
        <v>6.6583999999999701</v>
      </c>
      <c r="V53" s="7">
        <f>日前电价!V53-实时电价!V53</f>
        <v>13.113799999999999</v>
      </c>
      <c r="W53" s="7">
        <f>日前电价!W53-实时电价!W53</f>
        <v>14.773099999999999</v>
      </c>
      <c r="X53" s="7">
        <f>日前电价!X53-实时电价!X53</f>
        <v>19.753299999999999</v>
      </c>
      <c r="Y53" s="7">
        <f>日前电价!Y53-实时电价!Y53</f>
        <v>19.131699999999999</v>
      </c>
      <c r="Z53" s="9">
        <f t="shared" si="0"/>
        <v>100.9224</v>
      </c>
      <c r="AA53" s="9">
        <f t="shared" si="1"/>
        <v>-25.7575</v>
      </c>
      <c r="AB53" s="9">
        <f t="shared" si="2"/>
        <v>17.397345833333301</v>
      </c>
    </row>
    <row r="54" spans="1:28">
      <c r="A54" s="8">
        <v>45344</v>
      </c>
      <c r="B54" s="7">
        <f>日前电价!B54-实时电价!B54</f>
        <v>-20.171199999999999</v>
      </c>
      <c r="C54" s="7">
        <f>日前电价!C54-实时电价!C54</f>
        <v>-4.2287999999999801</v>
      </c>
      <c r="D54" s="7">
        <f>日前电价!D54-实时电价!D54</f>
        <v>-2.51650000000001</v>
      </c>
      <c r="E54" s="7">
        <f>日前电价!E54-实时电价!E54</f>
        <v>1.45159999999998</v>
      </c>
      <c r="F54" s="7">
        <f>日前电价!F54-实时电价!F54</f>
        <v>0</v>
      </c>
      <c r="G54" s="7">
        <f>日前电价!G54-实时电价!G54</f>
        <v>-5.75</v>
      </c>
      <c r="H54" s="7">
        <f>日前电价!H54-实时电价!H54</f>
        <v>-10.8271</v>
      </c>
      <c r="I54" s="7">
        <f>日前电价!I54-实时电价!I54</f>
        <v>-20.249500000000001</v>
      </c>
      <c r="J54" s="7">
        <f>日前电价!J54-实时电价!J54</f>
        <v>-227.0609</v>
      </c>
      <c r="K54" s="7">
        <f>日前电价!K54-实时电价!K54</f>
        <v>-236.3973</v>
      </c>
      <c r="L54" s="7">
        <f>日前电价!L54-实时电价!L54</f>
        <v>-10.524699999999999</v>
      </c>
      <c r="M54" s="7">
        <f>日前电价!M54-实时电价!M54</f>
        <v>4.9923000000000002</v>
      </c>
      <c r="N54" s="7">
        <f>日前电价!N54-实时电价!N54</f>
        <v>9.2401000000000408</v>
      </c>
      <c r="O54" s="7">
        <f>日前电价!O54-实时电价!O54</f>
        <v>-4.9127000000000303</v>
      </c>
      <c r="P54" s="7">
        <f>日前电价!P54-实时电价!P54</f>
        <v>-5.0185999999999904</v>
      </c>
      <c r="Q54" s="7">
        <f>日前电价!Q54-实时电价!Q54</f>
        <v>0</v>
      </c>
      <c r="R54" s="7">
        <f>日前电价!R54-实时电价!R54</f>
        <v>-0.32760000000001799</v>
      </c>
      <c r="S54" s="7">
        <f>日前电价!S54-实时电价!S54</f>
        <v>10.904299999999999</v>
      </c>
      <c r="T54" s="7">
        <f>日前电价!T54-实时电价!T54</f>
        <v>18.9315</v>
      </c>
      <c r="U54" s="7">
        <f>日前电价!U54-实时电价!U54</f>
        <v>34.509799999999998</v>
      </c>
      <c r="V54" s="7">
        <f>日前电价!V54-实时电价!V54</f>
        <v>19.526399999999999</v>
      </c>
      <c r="W54" s="7">
        <f>日前电价!W54-实时电价!W54</f>
        <v>8.8903000000000194</v>
      </c>
      <c r="X54" s="7">
        <f>日前电价!X54-实时电价!X54</f>
        <v>6.5119999999999996</v>
      </c>
      <c r="Y54" s="7">
        <f>日前电价!Y54-实时电价!Y54</f>
        <v>13.385</v>
      </c>
      <c r="Z54" s="9">
        <f t="shared" si="0"/>
        <v>34.509799999999998</v>
      </c>
      <c r="AA54" s="9">
        <f t="shared" si="1"/>
        <v>-236.3973</v>
      </c>
      <c r="AB54" s="9">
        <f t="shared" si="2"/>
        <v>-17.4850666666667</v>
      </c>
    </row>
    <row r="55" spans="1:28">
      <c r="A55" s="8">
        <v>45345</v>
      </c>
      <c r="B55" s="7">
        <f>日前电价!B55-实时电价!B55</f>
        <v>-7.4445999999999799</v>
      </c>
      <c r="C55" s="7">
        <f>日前电价!C55-实时电价!C55</f>
        <v>4.8797000000000104</v>
      </c>
      <c r="D55" s="7">
        <f>日前电价!D55-实时电价!D55</f>
        <v>13.335000000000001</v>
      </c>
      <c r="E55" s="7">
        <f>日前电价!E55-实时电价!E55</f>
        <v>15.7525</v>
      </c>
      <c r="F55" s="7">
        <f>日前电价!F55-实时电价!F55</f>
        <v>4.9974999999999996</v>
      </c>
      <c r="G55" s="7">
        <f>日前电价!G55-实时电价!G55</f>
        <v>5.66999999999996</v>
      </c>
      <c r="H55" s="7">
        <f>日前电价!H55-实时电价!H55</f>
        <v>7.75</v>
      </c>
      <c r="I55" s="7">
        <f>日前电价!I55-实时电价!I55</f>
        <v>2.4110999999999798</v>
      </c>
      <c r="J55" s="7">
        <f>日前电价!J55-实时电价!J55</f>
        <v>-3.5774999999999899</v>
      </c>
      <c r="K55" s="7">
        <f>日前电价!K55-实时电价!K55</f>
        <v>15.351699999999999</v>
      </c>
      <c r="L55" s="7">
        <f>日前电价!L55-实时电价!L55</f>
        <v>22.314599999999999</v>
      </c>
      <c r="M55" s="7">
        <f>日前电价!M55-实时电价!M55</f>
        <v>25.519200000000001</v>
      </c>
      <c r="N55" s="7">
        <f>日前电价!N55-实时电价!N55</f>
        <v>104.2598</v>
      </c>
      <c r="O55" s="7">
        <f>日前电价!O55-实时电价!O55</f>
        <v>-1.67340000000002</v>
      </c>
      <c r="P55" s="7">
        <f>日前电价!P55-实时电价!P55</f>
        <v>6.6779999999999999</v>
      </c>
      <c r="Q55" s="7">
        <f>日前电价!Q55-实时电价!Q55</f>
        <v>4.8233000000000201</v>
      </c>
      <c r="R55" s="7">
        <f>日前电价!R55-实时电价!R55</f>
        <v>19.870100000000001</v>
      </c>
      <c r="S55" s="7">
        <f>日前电价!S55-实时电价!S55</f>
        <v>15.127800000000001</v>
      </c>
      <c r="T55" s="7">
        <f>日前电价!T55-实时电价!T55</f>
        <v>15.7943</v>
      </c>
      <c r="U55" s="7">
        <f>日前电价!U55-实时电价!U55</f>
        <v>21.192399999999999</v>
      </c>
      <c r="V55" s="7">
        <f>日前电价!V55-实时电价!V55</f>
        <v>19.288499999999999</v>
      </c>
      <c r="W55" s="7">
        <f>日前电价!W55-实时电价!W55</f>
        <v>18.692499999999999</v>
      </c>
      <c r="X55" s="7">
        <f>日前电价!X55-实时电价!X55</f>
        <v>11.892899999999999</v>
      </c>
      <c r="Y55" s="7">
        <f>日前电价!Y55-实时电价!Y55</f>
        <v>-4.8754000000000097</v>
      </c>
      <c r="Z55" s="9">
        <f t="shared" si="0"/>
        <v>104.2598</v>
      </c>
      <c r="AA55" s="9">
        <f t="shared" si="1"/>
        <v>-7.4445999999999799</v>
      </c>
      <c r="AB55" s="9">
        <f t="shared" si="2"/>
        <v>14.084583333333301</v>
      </c>
    </row>
    <row r="56" spans="1:28">
      <c r="A56" s="8">
        <v>45346</v>
      </c>
      <c r="B56" s="7">
        <f>日前电价!B56-实时电价!B56</f>
        <v>-40.139699999999998</v>
      </c>
      <c r="C56" s="7">
        <f>日前电价!C56-实时电价!C56</f>
        <v>-13.1265</v>
      </c>
      <c r="D56" s="7">
        <f>日前电价!D56-实时电价!D56</f>
        <v>5.52010000000001</v>
      </c>
      <c r="E56" s="7">
        <f>日前电价!E56-实时电价!E56</f>
        <v>-1.2947000000000299</v>
      </c>
      <c r="F56" s="7">
        <f>日前电价!F56-实时电价!F56</f>
        <v>89.907499999999999</v>
      </c>
      <c r="G56" s="7">
        <f>日前电价!G56-实时电价!G56</f>
        <v>88.41</v>
      </c>
      <c r="H56" s="7">
        <f>日前电价!H56-实时电价!H56</f>
        <v>6.9150000000000196</v>
      </c>
      <c r="I56" s="7">
        <f>日前电价!I56-实时电价!I56</f>
        <v>-9.6743000000000201</v>
      </c>
      <c r="J56" s="7">
        <f>日前电价!J56-实时电价!J56</f>
        <v>-18.494399999999999</v>
      </c>
      <c r="K56" s="7">
        <f>日前电价!K56-实时电价!K56</f>
        <v>-14.353300000000001</v>
      </c>
      <c r="L56" s="7">
        <f>日前电价!L56-实时电价!L56</f>
        <v>-12.669700000000001</v>
      </c>
      <c r="M56" s="7">
        <f>日前电价!M56-实时电价!M56</f>
        <v>5.3494999999999804</v>
      </c>
      <c r="N56" s="7">
        <f>日前电价!N56-实时电价!N56</f>
        <v>116.2677</v>
      </c>
      <c r="O56" s="7">
        <f>日前电价!O56-实时电价!O56</f>
        <v>-32.945</v>
      </c>
      <c r="P56" s="7">
        <f>日前电价!P56-实时电价!P56</f>
        <v>-4.4938000000000198</v>
      </c>
      <c r="Q56" s="7">
        <f>日前电价!Q56-实时电价!Q56</f>
        <v>-9.1750000000000096</v>
      </c>
      <c r="R56" s="7">
        <f>日前电价!R56-实时电价!R56</f>
        <v>-6.3627999999999902</v>
      </c>
      <c r="S56" s="7">
        <f>日前电价!S56-实时电价!S56</f>
        <v>-6.0618999999999801</v>
      </c>
      <c r="T56" s="7">
        <f>日前电价!T56-实时电价!T56</f>
        <v>1.2567999999999999</v>
      </c>
      <c r="U56" s="7">
        <f>日前电价!U56-实时电价!U56</f>
        <v>14.1747</v>
      </c>
      <c r="V56" s="7">
        <f>日前电价!V56-实时电价!V56</f>
        <v>30.732099999999999</v>
      </c>
      <c r="W56" s="7">
        <f>日前电价!W56-实时电价!W56</f>
        <v>20.073</v>
      </c>
      <c r="X56" s="7">
        <f>日前电价!X56-实时电价!X56</f>
        <v>4.4698000000000198</v>
      </c>
      <c r="Y56" s="7">
        <f>日前电价!Y56-实时电价!Y56</f>
        <v>-7.0659999999999696</v>
      </c>
      <c r="Z56" s="9">
        <f t="shared" si="0"/>
        <v>116.2677</v>
      </c>
      <c r="AA56" s="9">
        <f t="shared" si="1"/>
        <v>-40.139699999999998</v>
      </c>
      <c r="AB56" s="9">
        <f t="shared" si="2"/>
        <v>8.6341291666666606</v>
      </c>
    </row>
    <row r="57" spans="1:28">
      <c r="A57" s="8">
        <v>45347</v>
      </c>
      <c r="B57" s="7">
        <f>日前电价!B57-实时电价!B57</f>
        <v>-42.987099999999998</v>
      </c>
      <c r="C57" s="7">
        <f>日前电价!C57-实时电价!C57</f>
        <v>7.0299999999999701</v>
      </c>
      <c r="D57" s="7">
        <f>日前电价!D57-实时电价!D57</f>
        <v>10.67</v>
      </c>
      <c r="E57" s="7">
        <f>日前电价!E57-实时电价!E57</f>
        <v>16.170000000000002</v>
      </c>
      <c r="F57" s="7">
        <f>日前电价!F57-实时电价!F57</f>
        <v>25.072500000000002</v>
      </c>
      <c r="G57" s="7">
        <f>日前电价!G57-实时电价!G57</f>
        <v>78.33</v>
      </c>
      <c r="H57" s="7">
        <f>日前电价!H57-实时电价!H57</f>
        <v>19.412500000000001</v>
      </c>
      <c r="I57" s="7">
        <f>日前电价!I57-实时电价!I57</f>
        <v>-19.619800000000001</v>
      </c>
      <c r="J57" s="7">
        <f>日前电价!J57-实时电价!J57</f>
        <v>-20.5</v>
      </c>
      <c r="K57" s="7">
        <f>日前电价!K57-实时电价!K57</f>
        <v>-12.515599999999999</v>
      </c>
      <c r="L57" s="7">
        <f>日前电价!L57-实时电价!L57</f>
        <v>-7.4904000000000197</v>
      </c>
      <c r="M57" s="7">
        <f>日前电价!M57-实时电价!M57</f>
        <v>-20.504300000000001</v>
      </c>
      <c r="N57" s="7">
        <f>日前电价!N57-实时电价!N57</f>
        <v>-38.317300000000003</v>
      </c>
      <c r="O57" s="7">
        <f>日前电价!O57-实时电价!O57</f>
        <v>-31.042899999999999</v>
      </c>
      <c r="P57" s="7">
        <f>日前电价!P57-实时电价!P57</f>
        <v>-9.7388999999999992</v>
      </c>
      <c r="Q57" s="7">
        <f>日前电价!Q57-实时电价!Q57</f>
        <v>-9.8236999999999703</v>
      </c>
      <c r="R57" s="7">
        <f>日前电价!R57-实时电价!R57</f>
        <v>-22.7392</v>
      </c>
      <c r="S57" s="7">
        <f>日前电价!S57-实时电价!S57</f>
        <v>-33.5518</v>
      </c>
      <c r="T57" s="7">
        <f>日前电价!T57-实时电价!T57</f>
        <v>-54.360399999999998</v>
      </c>
      <c r="U57" s="7">
        <f>日前电价!U57-实时电价!U57</f>
        <v>-113.4987</v>
      </c>
      <c r="V57" s="7">
        <f>日前电价!V57-实时电价!V57</f>
        <v>-81.224900000000005</v>
      </c>
      <c r="W57" s="7">
        <f>日前电价!W57-实时电价!W57</f>
        <v>-112.7291</v>
      </c>
      <c r="X57" s="7">
        <f>日前电价!X57-实时电价!X57</f>
        <v>-37.206299999999999</v>
      </c>
      <c r="Y57" s="7">
        <f>日前电价!Y57-实时电价!Y57</f>
        <v>-43.022399999999898</v>
      </c>
      <c r="Z57" s="9">
        <f t="shared" si="0"/>
        <v>78.33</v>
      </c>
      <c r="AA57" s="9">
        <f t="shared" si="1"/>
        <v>-113.4987</v>
      </c>
      <c r="AB57" s="9">
        <f t="shared" si="2"/>
        <v>-23.091158333333301</v>
      </c>
    </row>
    <row r="58" spans="1:28">
      <c r="A58" s="8">
        <v>45348</v>
      </c>
      <c r="B58" s="7">
        <f>日前电价!B58-实时电价!B58</f>
        <v>-37.113399999999999</v>
      </c>
      <c r="C58" s="7">
        <f>日前电价!C58-实时电价!C58</f>
        <v>-21.9297</v>
      </c>
      <c r="D58" s="7">
        <f>日前电价!D58-实时电价!D58</f>
        <v>-15.624000000000001</v>
      </c>
      <c r="E58" s="7">
        <f>日前电价!E58-实时电价!E58</f>
        <v>-3.2434000000000101</v>
      </c>
      <c r="F58" s="7">
        <f>日前电价!F58-实时电价!F58</f>
        <v>-14.7988</v>
      </c>
      <c r="G58" s="7">
        <f>日前电价!G58-实时电价!G58</f>
        <v>9.5939000000000192</v>
      </c>
      <c r="H58" s="7">
        <f>日前电价!H58-实时电价!H58</f>
        <v>-16.757999999999999</v>
      </c>
      <c r="I58" s="7">
        <f>日前电价!I58-实时电价!I58</f>
        <v>-14.369400000000001</v>
      </c>
      <c r="J58" s="7">
        <f>日前电价!J58-实时电价!J58</f>
        <v>-22.552600000000002</v>
      </c>
      <c r="K58" s="7">
        <f>日前电价!K58-实时电价!K58</f>
        <v>-25.433800000000002</v>
      </c>
      <c r="L58" s="7">
        <f>日前电价!L58-实时电价!L58</f>
        <v>0.19299999999998399</v>
      </c>
      <c r="M58" s="7">
        <f>日前电价!M58-实时电价!M58</f>
        <v>24.4209</v>
      </c>
      <c r="N58" s="7">
        <f>日前电价!N58-实时电价!N58</f>
        <v>100.8096</v>
      </c>
      <c r="O58" s="7">
        <f>日前电价!O58-实时电价!O58</f>
        <v>124.8986</v>
      </c>
      <c r="P58" s="7">
        <f>日前电价!P58-实时电价!P58</f>
        <v>10.723000000000001</v>
      </c>
      <c r="Q58" s="7">
        <f>日前电价!Q58-实时电价!Q58</f>
        <v>-5.9706000000000499</v>
      </c>
      <c r="R58" s="7">
        <f>日前电价!R58-实时电价!R58</f>
        <v>-6.5476999999999599</v>
      </c>
      <c r="S58" s="7">
        <f>日前电价!S58-实时电价!S58</f>
        <v>-9.4843000000000206</v>
      </c>
      <c r="T58" s="7">
        <f>日前电价!T58-实时电价!T58</f>
        <v>-8.6677999999999997</v>
      </c>
      <c r="U58" s="7">
        <f>日前电价!U58-实时电价!U58</f>
        <v>-27.182600000000001</v>
      </c>
      <c r="V58" s="7">
        <f>日前电价!V58-实时电价!V58</f>
        <v>-47.503500000000003</v>
      </c>
      <c r="W58" s="7">
        <f>日前电价!W58-实时电价!W58</f>
        <v>-53.811799999999998</v>
      </c>
      <c r="X58" s="7">
        <f>日前电价!X58-实时电价!X58</f>
        <v>-16.6435</v>
      </c>
      <c r="Y58" s="7">
        <f>日前电价!Y58-实时电价!Y58</f>
        <v>1.3333999999999799</v>
      </c>
      <c r="Z58" s="9">
        <f t="shared" si="0"/>
        <v>124.8986</v>
      </c>
      <c r="AA58" s="9">
        <f t="shared" si="1"/>
        <v>-53.811799999999998</v>
      </c>
      <c r="AB58" s="9">
        <f t="shared" si="2"/>
        <v>-3.15260416666667</v>
      </c>
    </row>
    <row r="59" spans="1:28">
      <c r="A59" s="8">
        <v>45349</v>
      </c>
      <c r="B59" s="7">
        <f>日前电价!B59-实时电价!B59</f>
        <v>37.929400000000001</v>
      </c>
      <c r="C59" s="7">
        <f>日前电价!C59-实时电价!C59</f>
        <v>25.681699999999999</v>
      </c>
      <c r="D59" s="7">
        <f>日前电价!D59-实时电价!D59</f>
        <v>27.193899999999999</v>
      </c>
      <c r="E59" s="7">
        <f>日前电价!E59-实时电价!E59</f>
        <v>33.270299999999999</v>
      </c>
      <c r="F59" s="7">
        <f>日前电价!F59-实时电价!F59</f>
        <v>29.3508</v>
      </c>
      <c r="G59" s="7">
        <f>日前电价!G59-实时电价!G59</f>
        <v>60.862000000000002</v>
      </c>
      <c r="H59" s="7">
        <f>日前电价!H59-实时电价!H59</f>
        <v>23.701699999999999</v>
      </c>
      <c r="I59" s="7">
        <f>日前电价!I59-实时电价!I59</f>
        <v>-6.6980000000000404</v>
      </c>
      <c r="J59" s="7">
        <f>日前电价!J59-实时电价!J59</f>
        <v>-37.570500000000003</v>
      </c>
      <c r="K59" s="7">
        <f>日前电价!K59-实时电价!K59</f>
        <v>-23.104700000000001</v>
      </c>
      <c r="L59" s="7">
        <f>日前电价!L59-实时电价!L59</f>
        <v>-11.713200000000001</v>
      </c>
      <c r="M59" s="7">
        <f>日前电价!M59-实时电价!M59</f>
        <v>26.058399999999999</v>
      </c>
      <c r="N59" s="7">
        <f>日前电价!N59-实时电价!N59</f>
        <v>54.102499999999999</v>
      </c>
      <c r="O59" s="7">
        <f>日前电价!O59-实时电价!O59</f>
        <v>8.4198000000000093</v>
      </c>
      <c r="P59" s="7">
        <f>日前电价!P59-实时电价!P59</f>
        <v>6.6716999999999897</v>
      </c>
      <c r="Q59" s="7">
        <f>日前电价!Q59-实时电价!Q59</f>
        <v>-1.7208000000000001</v>
      </c>
      <c r="R59" s="7">
        <f>日前电价!R59-实时电价!R59</f>
        <v>7.6897000000000197</v>
      </c>
      <c r="S59" s="7">
        <f>日前电价!S59-实时电价!S59</f>
        <v>4.4537000000000297</v>
      </c>
      <c r="T59" s="7">
        <f>日前电价!T59-实时电价!T59</f>
        <v>-2.7084000000000401</v>
      </c>
      <c r="U59" s="7">
        <f>日前电价!U59-实时电价!U59</f>
        <v>-12.2058</v>
      </c>
      <c r="V59" s="7">
        <f>日前电价!V59-实时电价!V59</f>
        <v>-11.966100000000001</v>
      </c>
      <c r="W59" s="7">
        <f>日前电价!W59-实时电价!W59</f>
        <v>-1.90140000000002</v>
      </c>
      <c r="X59" s="7">
        <f>日前电价!X59-实时电价!X59</f>
        <v>3.3934000000000402</v>
      </c>
      <c r="Y59" s="7">
        <f>日前电价!Y59-实时电价!Y59</f>
        <v>3.1193000000000102</v>
      </c>
      <c r="Z59" s="9">
        <f t="shared" si="0"/>
        <v>60.862000000000002</v>
      </c>
      <c r="AA59" s="9">
        <f t="shared" si="1"/>
        <v>-37.570500000000003</v>
      </c>
      <c r="AB59" s="9">
        <f t="shared" si="2"/>
        <v>10.096225</v>
      </c>
    </row>
    <row r="60" spans="1:28">
      <c r="A60" s="8">
        <v>45350</v>
      </c>
      <c r="B60" s="7">
        <f>日前电价!B60-实时电价!B60</f>
        <v>-12.5825</v>
      </c>
      <c r="C60" s="7">
        <f>日前电价!C60-实时电价!C60</f>
        <v>-2.9965999999999999</v>
      </c>
      <c r="D60" s="7">
        <f>日前电价!D60-实时电价!D60</f>
        <v>13.935</v>
      </c>
      <c r="E60" s="7">
        <f>日前电价!E60-实时电价!E60</f>
        <v>9.3474999999999699</v>
      </c>
      <c r="F60" s="7">
        <f>日前电价!F60-实时电价!F60</f>
        <v>76.974999999999994</v>
      </c>
      <c r="G60" s="7">
        <f>日前电价!G60-实时电价!G60</f>
        <v>2.0475000000000101</v>
      </c>
      <c r="H60" s="7">
        <f>日前电价!H60-实时电价!H60</f>
        <v>-9.1631000000000409</v>
      </c>
      <c r="I60" s="7">
        <f>日前电价!I60-实时电价!I60</f>
        <v>-13.788</v>
      </c>
      <c r="J60" s="7">
        <f>日前电价!J60-实时电价!J60</f>
        <v>-107.3596</v>
      </c>
      <c r="K60" s="7">
        <f>日前电价!K60-实时电价!K60</f>
        <v>-159.1514</v>
      </c>
      <c r="L60" s="7">
        <f>日前电价!L60-实时电价!L60</f>
        <v>-100.66079999999999</v>
      </c>
      <c r="M60" s="7">
        <f>日前电价!M60-实时电价!M60</f>
        <v>8.6222000000000207</v>
      </c>
      <c r="N60" s="7">
        <f>日前电价!N60-实时电价!N60</f>
        <v>17.066400000000002</v>
      </c>
      <c r="O60" s="7">
        <f>日前电价!O60-实时电价!O60</f>
        <v>-1.8984999999999601</v>
      </c>
      <c r="P60" s="7">
        <f>日前电价!P60-实时电价!P60</f>
        <v>-2.6782999999999801</v>
      </c>
      <c r="Q60" s="7">
        <f>日前电价!Q60-实时电价!Q60</f>
        <v>-4.7185999999999799</v>
      </c>
      <c r="R60" s="7">
        <f>日前电价!R60-实时电价!R60</f>
        <v>-8.7395000000000191</v>
      </c>
      <c r="S60" s="7">
        <f>日前电价!S60-实时电价!S60</f>
        <v>-6.21600000000001</v>
      </c>
      <c r="T60" s="7">
        <f>日前电价!T60-实时电价!T60</f>
        <v>-15.085800000000001</v>
      </c>
      <c r="U60" s="7">
        <f>日前电价!U60-实时电价!U60</f>
        <v>-45.988999999999997</v>
      </c>
      <c r="V60" s="7">
        <f>日前电价!V60-实时电价!V60</f>
        <v>-34.189300000000003</v>
      </c>
      <c r="W60" s="7">
        <f>日前电价!W60-实时电价!W60</f>
        <v>-25.599699999999999</v>
      </c>
      <c r="X60" s="7">
        <f>日前电价!X60-实时电价!X60</f>
        <v>-6.3698999999999701</v>
      </c>
      <c r="Y60" s="7">
        <f>日前电价!Y60-实时电价!Y60</f>
        <v>-8.2069000000000205</v>
      </c>
      <c r="Z60" s="9">
        <f t="shared" si="0"/>
        <v>76.974999999999994</v>
      </c>
      <c r="AA60" s="9">
        <f t="shared" si="1"/>
        <v>-159.1514</v>
      </c>
      <c r="AB60" s="9">
        <f t="shared" si="2"/>
        <v>-18.224995833333299</v>
      </c>
    </row>
    <row r="61" spans="1:28">
      <c r="A61" s="8">
        <v>45351</v>
      </c>
      <c r="B61" s="7">
        <f>日前电价!B61-实时电价!B61</f>
        <v>-7.5964000000000196</v>
      </c>
      <c r="C61" s="7">
        <f>日前电价!C61-实时电价!C61</f>
        <v>-4.1297000000000104</v>
      </c>
      <c r="D61" s="7">
        <f>日前电价!D61-实时电价!D61</f>
        <v>-0.77940000000000997</v>
      </c>
      <c r="E61" s="7">
        <f>日前电价!E61-实时电价!E61</f>
        <v>7.88889999999998</v>
      </c>
      <c r="F61" s="7">
        <f>日前电价!F61-实时电价!F61</f>
        <v>0.75</v>
      </c>
      <c r="G61" s="7">
        <f>日前电价!G61-实时电价!G61</f>
        <v>-7.0350000000000303</v>
      </c>
      <c r="H61" s="7">
        <f>日前电价!H61-实时电价!H61</f>
        <v>-2.9198999999999802</v>
      </c>
      <c r="I61" s="7">
        <f>日前电价!I61-实时电价!I61</f>
        <v>-4.9971000000000503</v>
      </c>
      <c r="J61" s="7">
        <f>日前电价!J61-实时电价!J61</f>
        <v>9.6992999999999903</v>
      </c>
      <c r="K61" s="7">
        <f>日前电价!K61-实时电价!K61</f>
        <v>-2.4925999999999799</v>
      </c>
      <c r="L61" s="7">
        <f>日前电价!L61-实时电价!L61</f>
        <v>-2.7076999999999898</v>
      </c>
      <c r="M61" s="7">
        <f>日前电价!M61-实时电价!M61</f>
        <v>1.4982</v>
      </c>
      <c r="N61" s="7">
        <f>日前电价!N61-实时电价!N61</f>
        <v>15.1076</v>
      </c>
      <c r="O61" s="7">
        <f>日前电价!O61-实时电价!O61</f>
        <v>-5.0122000000000098</v>
      </c>
      <c r="P61" s="7">
        <f>日前电价!P61-实时电价!P61</f>
        <v>-7.1543000000000303</v>
      </c>
      <c r="Q61" s="7">
        <f>日前电价!Q61-实时电价!Q61</f>
        <v>-1.0415999999999599</v>
      </c>
      <c r="R61" s="7">
        <f>日前电价!R61-实时电价!R61</f>
        <v>11.861499999999999</v>
      </c>
      <c r="S61" s="7">
        <f>日前电价!S61-实时电价!S61</f>
        <v>17.936</v>
      </c>
      <c r="T61" s="7">
        <f>日前电价!T61-实时电价!T61</f>
        <v>26.9194</v>
      </c>
      <c r="U61" s="7">
        <f>日前电价!U61-实时电价!U61</f>
        <v>39.096899999999998</v>
      </c>
      <c r="V61" s="7">
        <f>日前电价!V61-实时电价!V61</f>
        <v>26.426200000000101</v>
      </c>
      <c r="W61" s="7">
        <f>日前电价!W61-实时电价!W61</f>
        <v>21.246500000000001</v>
      </c>
      <c r="X61" s="7">
        <f>日前电价!X61-实时电价!X61</f>
        <v>39.698900000000002</v>
      </c>
      <c r="Y61" s="7">
        <f>日前电价!Y61-实时电价!Y61</f>
        <v>24.162400000000002</v>
      </c>
      <c r="Z61" s="9">
        <f t="shared" si="0"/>
        <v>39.698900000000002</v>
      </c>
      <c r="AA61" s="9">
        <f t="shared" si="1"/>
        <v>-7.5964000000000196</v>
      </c>
      <c r="AB61" s="9">
        <f t="shared" si="2"/>
        <v>8.1844125000000005</v>
      </c>
    </row>
    <row r="62" spans="1:28">
      <c r="A62" s="8">
        <v>45352</v>
      </c>
      <c r="B62" s="7">
        <f>日前电价!B62-实时电价!B62</f>
        <v>9.59840000000003</v>
      </c>
      <c r="C62" s="7">
        <f>日前电价!C62-实时电价!C62</f>
        <v>2.5248000000000301</v>
      </c>
      <c r="D62" s="7">
        <f>日前电价!D62-实时电价!D62</f>
        <v>25.3415</v>
      </c>
      <c r="E62" s="7">
        <f>日前电价!E62-实时电价!E62</f>
        <v>173.85769999999999</v>
      </c>
      <c r="F62" s="7">
        <f>日前电价!F62-实时电价!F62</f>
        <v>-34.086599999999997</v>
      </c>
      <c r="G62" s="7">
        <f>日前电价!G62-实时电价!G62</f>
        <v>20.3142</v>
      </c>
      <c r="H62" s="7">
        <f>日前电价!H62-实时电价!H62</f>
        <v>-39.387300000000003</v>
      </c>
      <c r="I62" s="7">
        <f>日前电价!I62-实时电价!I62</f>
        <v>-7.0804</v>
      </c>
      <c r="J62" s="7">
        <f>日前电价!J62-实时电价!J62</f>
        <v>22.511700000000001</v>
      </c>
      <c r="K62" s="7">
        <f>日前电价!K62-实时电价!K62</f>
        <v>20.8948</v>
      </c>
      <c r="L62" s="7">
        <f>日前电价!L62-实时电价!L62</f>
        <v>10.0998</v>
      </c>
      <c r="M62" s="7">
        <f>日前电价!M62-实时电价!M62</f>
        <v>123.6442</v>
      </c>
      <c r="N62" s="7">
        <f>日前电价!N62-实时电价!N62</f>
        <v>41.908799999999999</v>
      </c>
      <c r="O62" s="7">
        <f>日前电价!O62-实时电价!O62</f>
        <v>-38.764299999999999</v>
      </c>
      <c r="P62" s="7">
        <f>日前电价!P62-实时电价!P62</f>
        <v>6.7608000000000201</v>
      </c>
      <c r="Q62" s="7">
        <f>日前电价!Q62-实时电价!Q62</f>
        <v>49.354300000000002</v>
      </c>
      <c r="R62" s="7">
        <f>日前电价!R62-实时电价!R62</f>
        <v>187.61969999999999</v>
      </c>
      <c r="S62" s="7">
        <f>日前电价!S62-实时电价!S62</f>
        <v>127.29649999999999</v>
      </c>
      <c r="T62" s="7">
        <f>日前电价!T62-实时电价!T62</f>
        <v>144.56270000000001</v>
      </c>
      <c r="U62" s="7">
        <f>日前电价!U62-实时电价!U62</f>
        <v>196.20140000000001</v>
      </c>
      <c r="V62" s="7">
        <f>日前电价!V62-实时电价!V62</f>
        <v>40.849699999999999</v>
      </c>
      <c r="W62" s="7">
        <f>日前电价!W62-实时电价!W62</f>
        <v>23.956299999999999</v>
      </c>
      <c r="X62" s="7">
        <f>日前电价!X62-实时电价!X62</f>
        <v>0.83909999999997398</v>
      </c>
      <c r="Y62" s="7">
        <f>日前电价!Y62-实时电价!Y62</f>
        <v>-25.167200000000001</v>
      </c>
      <c r="Z62" s="9">
        <f t="shared" si="0"/>
        <v>196.20140000000001</v>
      </c>
      <c r="AA62" s="9">
        <f t="shared" si="1"/>
        <v>-39.387300000000003</v>
      </c>
      <c r="AB62" s="9">
        <f t="shared" si="2"/>
        <v>45.152108333333302</v>
      </c>
    </row>
    <row r="63" spans="1:28">
      <c r="A63" s="8">
        <v>45353</v>
      </c>
      <c r="B63" s="7">
        <f>日前电价!B63-实时电价!B63</f>
        <v>-27.094200000000001</v>
      </c>
      <c r="C63" s="7">
        <f>日前电价!C63-实时电价!C63</f>
        <v>-13.5182</v>
      </c>
      <c r="D63" s="7">
        <f>日前电价!D63-实时电价!D63</f>
        <v>-7.5909000000000297</v>
      </c>
      <c r="E63" s="7">
        <f>日前电价!E63-实时电价!E63</f>
        <v>80.732900000000001</v>
      </c>
      <c r="F63" s="7">
        <f>日前电价!F63-实时电价!F63</f>
        <v>127.50409999999999</v>
      </c>
      <c r="G63" s="7">
        <f>日前电价!G63-实时电价!G63</f>
        <v>71.595600000000005</v>
      </c>
      <c r="H63" s="7">
        <f>日前电价!H63-实时电价!H63</f>
        <v>2.18310000000002</v>
      </c>
      <c r="I63" s="7">
        <f>日前电价!I63-实时电价!I63</f>
        <v>-12.0686</v>
      </c>
      <c r="J63" s="7">
        <f>日前电价!J63-实时电价!J63</f>
        <v>-7.9877000000000198</v>
      </c>
      <c r="K63" s="7">
        <f>日前电价!K63-实时电价!K63</f>
        <v>46.361800000000002</v>
      </c>
      <c r="L63" s="7">
        <f>日前电价!L63-实时电价!L63</f>
        <v>41.87</v>
      </c>
      <c r="M63" s="7">
        <f>日前电价!M63-实时电价!M63</f>
        <v>44.639400000000002</v>
      </c>
      <c r="N63" s="7">
        <f>日前电价!N63-实时电价!N63</f>
        <v>28.299600000000002</v>
      </c>
      <c r="O63" s="7">
        <f>日前电价!O63-实时电价!O63</f>
        <v>15.299799999999999</v>
      </c>
      <c r="P63" s="7">
        <f>日前电价!P63-实时电价!P63</f>
        <v>17.340399999999999</v>
      </c>
      <c r="Q63" s="7">
        <f>日前电价!Q63-实时电价!Q63</f>
        <v>16.437100000000001</v>
      </c>
      <c r="R63" s="7">
        <f>日前电价!R63-实时电价!R63</f>
        <v>1.3152999999999799</v>
      </c>
      <c r="S63" s="7">
        <f>日前电价!S63-实时电价!S63</f>
        <v>9.6138000000000297</v>
      </c>
      <c r="T63" s="7">
        <f>日前电价!T63-实时电价!T63</f>
        <v>14.4406</v>
      </c>
      <c r="U63" s="7">
        <f>日前电价!U63-实时电价!U63</f>
        <v>11.031000000000001</v>
      </c>
      <c r="V63" s="7">
        <f>日前电价!V63-实时电价!V63</f>
        <v>12.424099999999999</v>
      </c>
      <c r="W63" s="7">
        <f>日前电价!W63-实时电价!W63</f>
        <v>6.6163000000000203</v>
      </c>
      <c r="X63" s="7">
        <f>日前电价!X63-实时电价!X63</f>
        <v>-0.46309999999999701</v>
      </c>
      <c r="Y63" s="7">
        <f>日前电价!Y63-实时电价!Y63</f>
        <v>-18.620899999999999</v>
      </c>
      <c r="Z63" s="9">
        <f t="shared" si="0"/>
        <v>127.50409999999999</v>
      </c>
      <c r="AA63" s="9">
        <f t="shared" si="1"/>
        <v>-27.094200000000001</v>
      </c>
      <c r="AB63" s="9">
        <f t="shared" si="2"/>
        <v>19.181720833333301</v>
      </c>
    </row>
    <row r="64" spans="1:28">
      <c r="A64" s="8">
        <v>45354</v>
      </c>
      <c r="B64" s="7">
        <f>日前电价!B64-实时电价!B64</f>
        <v>-17.274699999999999</v>
      </c>
      <c r="C64" s="7">
        <f>日前电价!C64-实时电价!C64</f>
        <v>-7.3794000000000297</v>
      </c>
      <c r="D64" s="7">
        <f>日前电价!D64-实时电价!D64</f>
        <v>-1.1075999999999899</v>
      </c>
      <c r="E64" s="7">
        <f>日前电价!E64-实时电价!E64</f>
        <v>5.2475999999999798</v>
      </c>
      <c r="F64" s="7">
        <f>日前电价!F64-实时电价!F64</f>
        <v>5.1437999999999997</v>
      </c>
      <c r="G64" s="7">
        <f>日前电价!G64-实时电价!G64</f>
        <v>9.7711000000000503</v>
      </c>
      <c r="H64" s="7">
        <f>日前电价!H64-实时电价!H64</f>
        <v>13.463900000000001</v>
      </c>
      <c r="I64" s="7">
        <f>日前电价!I64-实时电价!I64</f>
        <v>10.231299999999999</v>
      </c>
      <c r="J64" s="7">
        <f>日前电价!J64-实时电价!J64</f>
        <v>25.408999999999999</v>
      </c>
      <c r="K64" s="7">
        <f>日前电价!K64-实时电价!K64</f>
        <v>31.3095</v>
      </c>
      <c r="L64" s="7">
        <f>日前电价!L64-实时电价!L64</f>
        <v>35.096899999999998</v>
      </c>
      <c r="M64" s="7">
        <f>日前电价!M64-实时电价!M64</f>
        <v>50.763399999999997</v>
      </c>
      <c r="N64" s="7">
        <f>日前电价!N64-实时电价!N64</f>
        <v>137.94909999999999</v>
      </c>
      <c r="O64" s="7">
        <f>日前电价!O64-实时电价!O64</f>
        <v>120.2166</v>
      </c>
      <c r="P64" s="7">
        <f>日前电价!P64-实时电价!P64</f>
        <v>43.5977999999999</v>
      </c>
      <c r="Q64" s="7">
        <f>日前电价!Q64-实时电价!Q64</f>
        <v>29.4633</v>
      </c>
      <c r="R64" s="7">
        <f>日前电价!R64-实时电价!R64</f>
        <v>25.689</v>
      </c>
      <c r="S64" s="7">
        <f>日前电价!S64-实时电价!S64</f>
        <v>25.467599999999901</v>
      </c>
      <c r="T64" s="7">
        <f>日前电价!T64-实时电价!T64</f>
        <v>34.991900000000001</v>
      </c>
      <c r="U64" s="7">
        <f>日前电价!U64-实时电价!U64</f>
        <v>52.819699999999997</v>
      </c>
      <c r="V64" s="7">
        <f>日前电价!V64-实时电价!V64</f>
        <v>44.2438</v>
      </c>
      <c r="W64" s="7">
        <f>日前电价!W64-实时电价!W64</f>
        <v>52.054200000000002</v>
      </c>
      <c r="X64" s="7">
        <f>日前电价!X64-实时电价!X64</f>
        <v>39.218800000000002</v>
      </c>
      <c r="Y64" s="7">
        <f>日前电价!Y64-实时电价!Y64</f>
        <v>246.39510000000001</v>
      </c>
      <c r="Z64" s="9">
        <f t="shared" si="0"/>
        <v>246.39510000000001</v>
      </c>
      <c r="AA64" s="9">
        <f t="shared" si="1"/>
        <v>-17.274699999999999</v>
      </c>
      <c r="AB64" s="9">
        <f t="shared" si="2"/>
        <v>42.199237500000002</v>
      </c>
    </row>
    <row r="65" spans="1:28">
      <c r="A65" s="8">
        <v>45355</v>
      </c>
      <c r="B65" s="7">
        <f>日前电价!B65-实时电价!B65</f>
        <v>177.749</v>
      </c>
      <c r="C65" s="7">
        <f>日前电价!C65-实时电价!C65</f>
        <v>31.088200000000001</v>
      </c>
      <c r="D65" s="7">
        <f>日前电价!D65-实时电价!D65</f>
        <v>20.3614</v>
      </c>
      <c r="E65" s="7">
        <f>日前电价!E65-实时电价!E65</f>
        <v>45.095599999999997</v>
      </c>
      <c r="F65" s="7">
        <f>日前电价!F65-实时电价!F65</f>
        <v>200.23</v>
      </c>
      <c r="G65" s="7">
        <f>日前电价!G65-实时电价!G65</f>
        <v>-204.33850000000001</v>
      </c>
      <c r="H65" s="7">
        <f>日前电价!H65-实时电价!H65</f>
        <v>118.4614</v>
      </c>
      <c r="I65" s="7">
        <f>日前电价!I65-实时电价!I65</f>
        <v>-5.3930999999999996</v>
      </c>
      <c r="J65" s="7">
        <f>日前电价!J65-实时电价!J65</f>
        <v>1.5167999999999899</v>
      </c>
      <c r="K65" s="7">
        <f>日前电价!K65-实时电价!K65</f>
        <v>-8.6786999999999903</v>
      </c>
      <c r="L65" s="7">
        <f>日前电价!L65-实时电价!L65</f>
        <v>18.447199999999999</v>
      </c>
      <c r="M65" s="7">
        <f>日前电价!M65-实时电价!M65</f>
        <v>27.918600000000001</v>
      </c>
      <c r="N65" s="7">
        <f>日前电价!N65-实时电价!N65</f>
        <v>136.82640000000001</v>
      </c>
      <c r="O65" s="7">
        <f>日前电价!O65-实时电价!O65</f>
        <v>55.956200000000003</v>
      </c>
      <c r="P65" s="7">
        <f>日前电价!P65-实时电价!P65</f>
        <v>11.9374</v>
      </c>
      <c r="Q65" s="7">
        <f>日前电价!Q65-实时电价!Q65</f>
        <v>2.5</v>
      </c>
      <c r="R65" s="7">
        <f>日前电价!R65-实时电价!R65</f>
        <v>14.543699999999999</v>
      </c>
      <c r="S65" s="7">
        <f>日前电价!S65-实时电价!S65</f>
        <v>2.4404000000000101</v>
      </c>
      <c r="T65" s="7">
        <f>日前电价!T65-实时电价!T65</f>
        <v>12.9</v>
      </c>
      <c r="U65" s="7">
        <f>日前电价!U65-实时电价!U65</f>
        <v>3.0593000000000101</v>
      </c>
      <c r="V65" s="7">
        <f>日前电价!V65-实时电价!V65</f>
        <v>6.75999999999999</v>
      </c>
      <c r="W65" s="7">
        <f>日前电价!W65-实时电价!W65</f>
        <v>1.40700000000004</v>
      </c>
      <c r="X65" s="7">
        <f>日前电价!X65-实时电价!X65</f>
        <v>10.599399999999999</v>
      </c>
      <c r="Y65" s="7">
        <f>日前电价!Y65-实时电价!Y65</f>
        <v>51.815899999999999</v>
      </c>
      <c r="Z65" s="9">
        <f t="shared" si="0"/>
        <v>200.23</v>
      </c>
      <c r="AA65" s="9">
        <f t="shared" si="1"/>
        <v>-204.33850000000001</v>
      </c>
      <c r="AB65" s="9">
        <f t="shared" si="2"/>
        <v>30.550149999999999</v>
      </c>
    </row>
    <row r="66" spans="1:28">
      <c r="A66" s="8">
        <v>45356</v>
      </c>
      <c r="B66" s="7">
        <f>日前电价!B66-实时电价!B66</f>
        <v>2.0516000000000099</v>
      </c>
      <c r="C66" s="7">
        <f>日前电价!C66-实时电价!C66</f>
        <v>22.5001</v>
      </c>
      <c r="D66" s="7">
        <f>日前电价!D66-实时电价!D66</f>
        <v>70.510900000000007</v>
      </c>
      <c r="E66" s="7">
        <f>日前电价!E66-实时电价!E66</f>
        <v>36.285499999999999</v>
      </c>
      <c r="F66" s="7">
        <f>日前电价!F66-实时电价!F66</f>
        <v>87.496799999999993</v>
      </c>
      <c r="G66" s="7">
        <f>日前电价!G66-实时电价!G66</f>
        <v>12.742900000000001</v>
      </c>
      <c r="H66" s="7">
        <f>日前电价!H66-实时电价!H66</f>
        <v>3.4481999999999902</v>
      </c>
      <c r="I66" s="7">
        <f>日前电价!I66-实时电价!I66</f>
        <v>-14.273199999999999</v>
      </c>
      <c r="J66" s="7">
        <f>日前电价!J66-实时电价!J66</f>
        <v>-3.10450000000003</v>
      </c>
      <c r="K66" s="7">
        <f>日前电价!K66-实时电价!K66</f>
        <v>-96.992099999999894</v>
      </c>
      <c r="L66" s="7">
        <f>日前电价!L66-实时电价!L66</f>
        <v>1.2131000000000001</v>
      </c>
      <c r="M66" s="7">
        <f>日前电价!M66-实时电价!M66</f>
        <v>5.5529999999999999</v>
      </c>
      <c r="N66" s="7">
        <f>日前电价!N66-实时电价!N66</f>
        <v>81.713899999999995</v>
      </c>
      <c r="O66" s="7">
        <f>日前电价!O66-实时电价!O66</f>
        <v>-83.099900000000005</v>
      </c>
      <c r="P66" s="7">
        <f>日前电价!P66-实时电价!P66</f>
        <v>-0.82290000000000396</v>
      </c>
      <c r="Q66" s="7">
        <f>日前电价!Q66-实时电价!Q66</f>
        <v>-13.548999999999999</v>
      </c>
      <c r="R66" s="7">
        <f>日前电价!R66-实时电价!R66</f>
        <v>-17.9193</v>
      </c>
      <c r="S66" s="7">
        <f>日前电价!S66-实时电价!S66</f>
        <v>-7.62450000000001</v>
      </c>
      <c r="T66" s="7">
        <f>日前电价!T66-实时电价!T66</f>
        <v>-9.1908999999999992</v>
      </c>
      <c r="U66" s="7">
        <f>日前电价!U66-实时电价!U66</f>
        <v>-14.8901</v>
      </c>
      <c r="V66" s="7">
        <f>日前电价!V66-实时电价!V66</f>
        <v>-23.593</v>
      </c>
      <c r="W66" s="7">
        <f>日前电价!W66-实时电价!W66</f>
        <v>-14.7402</v>
      </c>
      <c r="X66" s="7">
        <f>日前电价!X66-实时电价!X66</f>
        <v>-5.91750000000002</v>
      </c>
      <c r="Y66" s="7">
        <f>日前电价!Y66-实时电价!Y66</f>
        <v>-3.9399000000000202</v>
      </c>
      <c r="Z66" s="9">
        <f t="shared" ref="Z66:Z129" si="3">MAX($B66:$Y66)</f>
        <v>87.496799999999993</v>
      </c>
      <c r="AA66" s="9">
        <f t="shared" ref="AA66:AA129" si="4">MIN($B66:$Y66)</f>
        <v>-96.992099999999894</v>
      </c>
      <c r="AB66" s="9">
        <f t="shared" ref="AB66:AB129" si="5">AVERAGE($B66:$Y66)</f>
        <v>0.57745833333333496</v>
      </c>
    </row>
    <row r="67" spans="1:28">
      <c r="A67" s="8">
        <v>45357</v>
      </c>
      <c r="B67" s="7">
        <f>日前电价!B67-实时电价!B67</f>
        <v>-13.7163</v>
      </c>
      <c r="C67" s="7">
        <f>日前电价!C67-实时电价!C67</f>
        <v>-6.8532000000000197</v>
      </c>
      <c r="D67" s="7">
        <f>日前电价!D67-实时电价!D67</f>
        <v>-3.62450000000001</v>
      </c>
      <c r="E67" s="7">
        <f>日前电价!E67-实时电价!E67</f>
        <v>-4.05059999999997</v>
      </c>
      <c r="F67" s="7">
        <f>日前电价!F67-实时电价!F67</f>
        <v>-6.8079999999999901</v>
      </c>
      <c r="G67" s="7">
        <f>日前电价!G67-实时电价!G67</f>
        <v>-4.75</v>
      </c>
      <c r="H67" s="7">
        <f>日前电价!H67-实时电价!H67</f>
        <v>-10.5436</v>
      </c>
      <c r="I67" s="7">
        <f>日前电价!I67-实时电价!I67</f>
        <v>-15.503399999999999</v>
      </c>
      <c r="J67" s="7">
        <f>日前电价!J67-实时电价!J67</f>
        <v>-9.3908999999999896</v>
      </c>
      <c r="K67" s="7">
        <f>日前电价!K67-实时电价!K67</f>
        <v>-0.72230000000001804</v>
      </c>
      <c r="L67" s="7">
        <f>日前电价!L67-实时电价!L67</f>
        <v>11.2361</v>
      </c>
      <c r="M67" s="7">
        <f>日前电价!M67-实时电价!M67</f>
        <v>17.911999999999999</v>
      </c>
      <c r="N67" s="7">
        <f>日前电价!N67-实时电价!N67</f>
        <v>24.097100000000001</v>
      </c>
      <c r="O67" s="7">
        <f>日前电价!O67-实时电价!O67</f>
        <v>6.3469000000000104</v>
      </c>
      <c r="P67" s="7">
        <f>日前电价!P67-实时电价!P67</f>
        <v>4.9102999999999497</v>
      </c>
      <c r="Q67" s="7">
        <f>日前电价!Q67-实时电价!Q67</f>
        <v>15.907500000000001</v>
      </c>
      <c r="R67" s="7">
        <f>日前电价!R67-实时电价!R67</f>
        <v>19.884799999999998</v>
      </c>
      <c r="S67" s="7">
        <f>日前电价!S67-实时电价!S67</f>
        <v>28.905899999999999</v>
      </c>
      <c r="T67" s="7">
        <f>日前电价!T67-实时电价!T67</f>
        <v>27.277100000000001</v>
      </c>
      <c r="U67" s="7">
        <f>日前电价!U67-实时电价!U67</f>
        <v>41.775100000000002</v>
      </c>
      <c r="V67" s="7">
        <f>日前电价!V67-实时电价!V67</f>
        <v>42.995399999999997</v>
      </c>
      <c r="W67" s="7">
        <f>日前电价!W67-实时电价!W67</f>
        <v>49.607500000000002</v>
      </c>
      <c r="X67" s="7">
        <f>日前电价!X67-实时电价!X67</f>
        <v>59.384599999999999</v>
      </c>
      <c r="Y67" s="7">
        <f>日前电价!Y67-实时电价!Y67</f>
        <v>95.418899999999994</v>
      </c>
      <c r="Z67" s="9">
        <f t="shared" si="3"/>
        <v>95.418899999999994</v>
      </c>
      <c r="AA67" s="9">
        <f t="shared" si="4"/>
        <v>-15.503399999999999</v>
      </c>
      <c r="AB67" s="9">
        <f t="shared" si="5"/>
        <v>15.404016666666701</v>
      </c>
    </row>
    <row r="68" spans="1:28">
      <c r="A68" s="8">
        <v>45358</v>
      </c>
      <c r="B68" s="7">
        <f>日前电价!B68-实时电价!B68</f>
        <v>51.288699999999999</v>
      </c>
      <c r="C68" s="7">
        <f>日前电价!C68-实时电价!C68</f>
        <v>21.625900000000001</v>
      </c>
      <c r="D68" s="7">
        <f>日前电价!D68-实时电价!D68</f>
        <v>38.300199999999997</v>
      </c>
      <c r="E68" s="7">
        <f>日前电价!E68-实时电价!E68</f>
        <v>42.987699999999997</v>
      </c>
      <c r="F68" s="7">
        <f>日前电价!F68-实时电价!F68</f>
        <v>138.69909999999999</v>
      </c>
      <c r="G68" s="7">
        <f>日前电价!G68-实时电价!G68</f>
        <v>147.37090000000001</v>
      </c>
      <c r="H68" s="7">
        <f>日前电价!H68-实时电价!H68</f>
        <v>12.346500000000001</v>
      </c>
      <c r="I68" s="7">
        <f>日前电价!I68-实时电价!I68</f>
        <v>0.72390000000001498</v>
      </c>
      <c r="J68" s="7">
        <f>日前电价!J68-实时电价!J68</f>
        <v>10.9659</v>
      </c>
      <c r="K68" s="7">
        <f>日前电价!K68-实时电价!K68</f>
        <v>33.718699999999998</v>
      </c>
      <c r="L68" s="7">
        <f>日前电价!L68-实时电价!L68</f>
        <v>49.935400000000001</v>
      </c>
      <c r="M68" s="7">
        <f>日前电价!M68-实时电价!M68</f>
        <v>60.554600000000001</v>
      </c>
      <c r="N68" s="7">
        <f>日前电价!N68-实时电价!N68</f>
        <v>126.637</v>
      </c>
      <c r="O68" s="7">
        <f>日前电价!O68-实时电价!O68</f>
        <v>38.408200000000001</v>
      </c>
      <c r="P68" s="7">
        <f>日前电价!P68-实时电价!P68</f>
        <v>28.473800000000001</v>
      </c>
      <c r="Q68" s="7">
        <f>日前电价!Q68-实时电价!Q68</f>
        <v>24.180800000000001</v>
      </c>
      <c r="R68" s="7">
        <f>日前电价!R68-实时电价!R68</f>
        <v>27.406199999999998</v>
      </c>
      <c r="S68" s="7">
        <f>日前电价!S68-实时电价!S68</f>
        <v>17.879300000000001</v>
      </c>
      <c r="T68" s="7">
        <f>日前电价!T68-实时电价!T68</f>
        <v>13.2965</v>
      </c>
      <c r="U68" s="7">
        <f>日前电价!U68-实时电价!U68</f>
        <v>26.273199999999999</v>
      </c>
      <c r="V68" s="7">
        <f>日前电价!V68-实时电价!V68</f>
        <v>23.927399999999999</v>
      </c>
      <c r="W68" s="7">
        <f>日前电价!W68-实时电价!W68</f>
        <v>23.450600000000001</v>
      </c>
      <c r="X68" s="7">
        <f>日前电价!X68-实时电价!X68</f>
        <v>34.899299999999997</v>
      </c>
      <c r="Y68" s="7">
        <f>日前电价!Y68-实时电价!Y68</f>
        <v>106.70229999999999</v>
      </c>
      <c r="Z68" s="9">
        <f t="shared" si="3"/>
        <v>147.37090000000001</v>
      </c>
      <c r="AA68" s="9">
        <f t="shared" si="4"/>
        <v>0.72390000000001498</v>
      </c>
      <c r="AB68" s="9">
        <f t="shared" si="5"/>
        <v>45.835504166666702</v>
      </c>
    </row>
    <row r="69" spans="1:28">
      <c r="A69" s="8">
        <v>45359</v>
      </c>
      <c r="B69" s="7">
        <f>日前电价!B69-实时电价!B69</f>
        <v>4.9037999999999897</v>
      </c>
      <c r="C69" s="7">
        <f>日前电价!C69-实时电价!C69</f>
        <v>10.172499999999999</v>
      </c>
      <c r="D69" s="7">
        <f>日前电价!D69-实时电价!D69</f>
        <v>29.373000000000001</v>
      </c>
      <c r="E69" s="7">
        <f>日前电价!E69-实时电价!E69</f>
        <v>52.018099999999997</v>
      </c>
      <c r="F69" s="7">
        <f>日前电价!F69-实时电价!F69</f>
        <v>35.454900000000002</v>
      </c>
      <c r="G69" s="7">
        <f>日前电价!G69-实时电价!G69</f>
        <v>20.341100000000001</v>
      </c>
      <c r="H69" s="7">
        <f>日前电价!H69-实时电价!H69</f>
        <v>9.7515999999999998</v>
      </c>
      <c r="I69" s="7">
        <f>日前电价!I69-实时电价!I69</f>
        <v>7.5163999999999804</v>
      </c>
      <c r="J69" s="7">
        <f>日前电价!J69-实时电价!J69</f>
        <v>15.6061</v>
      </c>
      <c r="K69" s="7">
        <f>日前电价!K69-实时电价!K69</f>
        <v>59.015700000000002</v>
      </c>
      <c r="L69" s="7">
        <f>日前电价!L69-实时电价!L69</f>
        <v>93.546300000000002</v>
      </c>
      <c r="M69" s="7">
        <f>日前电价!M69-实时电价!M69</f>
        <v>91.075999999999993</v>
      </c>
      <c r="N69" s="7">
        <f>日前电价!N69-实时电价!N69</f>
        <v>244.8391</v>
      </c>
      <c r="O69" s="7">
        <f>日前电价!O69-实时电价!O69</f>
        <v>206.35400000000001</v>
      </c>
      <c r="P69" s="7">
        <f>日前电价!P69-实时电价!P69</f>
        <v>68.955200000000005</v>
      </c>
      <c r="Q69" s="7">
        <f>日前电价!Q69-实时电价!Q69</f>
        <v>62.644500000000001</v>
      </c>
      <c r="R69" s="7">
        <f>日前电价!R69-实时电价!R69</f>
        <v>54.6325</v>
      </c>
      <c r="S69" s="7">
        <f>日前电价!S69-实时电价!S69</f>
        <v>42.898299999999999</v>
      </c>
      <c r="T69" s="7">
        <f>日前电价!T69-实时电价!T69</f>
        <v>39.582599999999999</v>
      </c>
      <c r="U69" s="7">
        <f>日前电价!U69-实时电价!U69</f>
        <v>33.226399999999998</v>
      </c>
      <c r="V69" s="7">
        <f>日前电价!V69-实时电价!V69</f>
        <v>29.681400000000099</v>
      </c>
      <c r="W69" s="7">
        <f>日前电价!W69-实时电价!W69</f>
        <v>31.933800000000002</v>
      </c>
      <c r="X69" s="7">
        <f>日前电价!X69-实时电价!X69</f>
        <v>30.801200000000001</v>
      </c>
      <c r="Y69" s="7">
        <f>日前电价!Y69-实时电价!Y69</f>
        <v>12.0245</v>
      </c>
      <c r="Z69" s="9">
        <f t="shared" si="3"/>
        <v>244.8391</v>
      </c>
      <c r="AA69" s="9">
        <f t="shared" si="4"/>
        <v>4.9037999999999897</v>
      </c>
      <c r="AB69" s="9">
        <f t="shared" si="5"/>
        <v>53.597875000000002</v>
      </c>
    </row>
    <row r="70" spans="1:28">
      <c r="A70" s="8">
        <v>45360</v>
      </c>
      <c r="B70" s="7">
        <f>日前电价!B70-实时电价!B70</f>
        <v>-31.441199999999998</v>
      </c>
      <c r="C70" s="7">
        <f>日前电价!C70-实时电价!C70</f>
        <v>-12.591100000000001</v>
      </c>
      <c r="D70" s="7">
        <f>日前电价!D70-实时电价!D70</f>
        <v>-6.0149999999999899</v>
      </c>
      <c r="E70" s="7">
        <f>日前电价!E70-实时电价!E70</f>
        <v>-4.8346000000000204</v>
      </c>
      <c r="F70" s="7">
        <f>日前电价!F70-实时电价!F70</f>
        <v>-4.7836000000000398</v>
      </c>
      <c r="G70" s="7">
        <f>日前电价!G70-实时电价!G70</f>
        <v>-7.1520999999999599</v>
      </c>
      <c r="H70" s="7">
        <f>日前电价!H70-实时电价!H70</f>
        <v>-10.6113</v>
      </c>
      <c r="I70" s="7">
        <f>日前电价!I70-实时电价!I70</f>
        <v>-16.534500000000001</v>
      </c>
      <c r="J70" s="7">
        <f>日前电价!J70-实时电价!J70</f>
        <v>-9.0639999999999592</v>
      </c>
      <c r="K70" s="7">
        <f>日前电价!K70-实时电价!K70</f>
        <v>-13.280200000000001</v>
      </c>
      <c r="L70" s="7">
        <f>日前电价!L70-实时电价!L70</f>
        <v>-15.264799999999999</v>
      </c>
      <c r="M70" s="7">
        <f>日前电价!M70-实时电价!M70</f>
        <v>-9.1904000000000092</v>
      </c>
      <c r="N70" s="7">
        <f>日前电价!N70-实时电价!N70</f>
        <v>86.187100000000001</v>
      </c>
      <c r="O70" s="7">
        <f>日前电价!O70-实时电价!O70</f>
        <v>-15.315</v>
      </c>
      <c r="P70" s="7">
        <f>日前电价!P70-实时电价!P70</f>
        <v>-24.923300000000001</v>
      </c>
      <c r="Q70" s="7">
        <f>日前电价!Q70-实时电价!Q70</f>
        <v>-7.6537999999999897</v>
      </c>
      <c r="R70" s="7">
        <f>日前电价!R70-实时电价!R70</f>
        <v>-0.80839999999994905</v>
      </c>
      <c r="S70" s="7">
        <f>日前电价!S70-实时电价!S70</f>
        <v>-10.6983</v>
      </c>
      <c r="T70" s="7">
        <f>日前电价!T70-实时电价!T70</f>
        <v>12.175700000000001</v>
      </c>
      <c r="U70" s="7">
        <f>日前电价!U70-实时电价!U70</f>
        <v>26.005400000000002</v>
      </c>
      <c r="V70" s="7">
        <f>日前电价!V70-实时电价!V70</f>
        <v>35.340699999999998</v>
      </c>
      <c r="W70" s="7">
        <f>日前电价!W70-实时电价!W70</f>
        <v>19.182500000000001</v>
      </c>
      <c r="X70" s="7">
        <f>日前电价!X70-实时电价!X70</f>
        <v>5.0817999999999897</v>
      </c>
      <c r="Y70" s="7">
        <f>日前电价!Y70-实时电价!Y70</f>
        <v>-4.5102999999999698</v>
      </c>
      <c r="Z70" s="9">
        <f t="shared" si="3"/>
        <v>86.187100000000001</v>
      </c>
      <c r="AA70" s="9">
        <f t="shared" si="4"/>
        <v>-31.441199999999998</v>
      </c>
      <c r="AB70" s="9">
        <f t="shared" si="5"/>
        <v>-0.86244583333332303</v>
      </c>
    </row>
    <row r="71" spans="1:28">
      <c r="A71" s="8">
        <v>45361</v>
      </c>
      <c r="B71" s="7">
        <f>日前电价!B71-实时电价!B71</f>
        <v>-9.0602999999999803</v>
      </c>
      <c r="C71" s="7">
        <f>日前电价!C71-实时电价!C71</f>
        <v>7.5242999999999798</v>
      </c>
      <c r="D71" s="7">
        <f>日前电价!D71-实时电价!D71</f>
        <v>8.9676999999999794</v>
      </c>
      <c r="E71" s="7">
        <f>日前电价!E71-实时电价!E71</f>
        <v>55.0227</v>
      </c>
      <c r="F71" s="7">
        <f>日前电价!F71-实时电价!F71</f>
        <v>120.4569</v>
      </c>
      <c r="G71" s="7">
        <f>日前电价!G71-实时电价!G71</f>
        <v>78.532700000000006</v>
      </c>
      <c r="H71" s="7">
        <f>日前电价!H71-实时电价!H71</f>
        <v>12.584</v>
      </c>
      <c r="I71" s="7">
        <f>日前电价!I71-实时电价!I71</f>
        <v>10.9801</v>
      </c>
      <c r="J71" s="7">
        <f>日前电价!J71-实时电价!J71</f>
        <v>-5.1143999999999901</v>
      </c>
      <c r="K71" s="7">
        <f>日前电价!K71-实时电价!K71</f>
        <v>-1.9046000000000201</v>
      </c>
      <c r="L71" s="7">
        <f>日前电价!L71-实时电价!L71</f>
        <v>-5.6626000000000003</v>
      </c>
      <c r="M71" s="7">
        <f>日前电价!M71-实时电价!M71</f>
        <v>5.08260000000001</v>
      </c>
      <c r="N71" s="7">
        <f>日前电价!N71-实时电价!N71</f>
        <v>145.08349999999999</v>
      </c>
      <c r="O71" s="7">
        <f>日前电价!O71-实时电价!O71</f>
        <v>11.366199999999999</v>
      </c>
      <c r="P71" s="7">
        <f>日前电价!P71-实时电价!P71</f>
        <v>20.9085</v>
      </c>
      <c r="Q71" s="7">
        <f>日前电价!Q71-实时电价!Q71</f>
        <v>8.3889999999999496</v>
      </c>
      <c r="R71" s="7">
        <f>日前电价!R71-实时电价!R71</f>
        <v>2.2457999999999698</v>
      </c>
      <c r="S71" s="7">
        <f>日前电价!S71-实时电价!S71</f>
        <v>11.2218</v>
      </c>
      <c r="T71" s="7">
        <f>日前电价!T71-实时电价!T71</f>
        <v>12.2727</v>
      </c>
      <c r="U71" s="7">
        <f>日前电价!U71-实时电价!U71</f>
        <v>9.6178999999999597</v>
      </c>
      <c r="V71" s="7">
        <f>日前电价!V71-实时电价!V71</f>
        <v>9.1297000000000104</v>
      </c>
      <c r="W71" s="7">
        <f>日前电价!W71-实时电价!W71</f>
        <v>7.3842000000000203</v>
      </c>
      <c r="X71" s="7">
        <f>日前电价!X71-实时电价!X71</f>
        <v>14.478</v>
      </c>
      <c r="Y71" s="7">
        <f>日前电价!Y71-实时电价!Y71</f>
        <v>14.014099999999999</v>
      </c>
      <c r="Z71" s="9">
        <f t="shared" si="3"/>
        <v>145.08349999999999</v>
      </c>
      <c r="AA71" s="9">
        <f t="shared" si="4"/>
        <v>-9.0602999999999803</v>
      </c>
      <c r="AB71" s="9">
        <f t="shared" si="5"/>
        <v>22.646687499999999</v>
      </c>
    </row>
    <row r="72" spans="1:28">
      <c r="A72" s="8">
        <v>45362</v>
      </c>
      <c r="B72" s="7">
        <f>日前电价!B72-实时电价!B72</f>
        <v>13.2203</v>
      </c>
      <c r="C72" s="7">
        <f>日前电价!C72-实时电价!C72</f>
        <v>7.3511000000000299</v>
      </c>
      <c r="D72" s="7">
        <f>日前电价!D72-实时电价!D72</f>
        <v>25.498899999999999</v>
      </c>
      <c r="E72" s="7">
        <f>日前电价!E72-实时电价!E72</f>
        <v>28.9373000000001</v>
      </c>
      <c r="F72" s="7">
        <f>日前电价!F72-实时电价!F72</f>
        <v>28.229199999999999</v>
      </c>
      <c r="G72" s="7">
        <f>日前电价!G72-实时电价!G72</f>
        <v>19.966799999999999</v>
      </c>
      <c r="H72" s="7">
        <f>日前电价!H72-实时电价!H72</f>
        <v>1.774</v>
      </c>
      <c r="I72" s="7">
        <f>日前电价!I72-实时电价!I72</f>
        <v>1.34309999999999</v>
      </c>
      <c r="J72" s="7">
        <f>日前电价!J72-实时电价!J72</f>
        <v>8.2474000000000292</v>
      </c>
      <c r="K72" s="7">
        <f>日前电价!K72-实时电价!K72</f>
        <v>29.562100000000001</v>
      </c>
      <c r="L72" s="7">
        <f>日前电价!L72-实时电价!L72</f>
        <v>30.691299999999998</v>
      </c>
      <c r="M72" s="7">
        <f>日前电价!M72-实时电价!M72</f>
        <v>75.701599999999999</v>
      </c>
      <c r="N72" s="7">
        <f>日前电价!N72-实时电价!N72</f>
        <v>53.650399999999998</v>
      </c>
      <c r="O72" s="7">
        <f>日前电价!O72-实时电价!O72</f>
        <v>43.929400000000001</v>
      </c>
      <c r="P72" s="7">
        <f>日前电价!P72-实时电价!P72</f>
        <v>59.021299999999997</v>
      </c>
      <c r="Q72" s="7">
        <f>日前电价!Q72-实时电价!Q72</f>
        <v>59.222900000000003</v>
      </c>
      <c r="R72" s="7">
        <f>日前电价!R72-实时电价!R72</f>
        <v>85.522000000000006</v>
      </c>
      <c r="S72" s="7">
        <f>日前电价!S72-实时电价!S72</f>
        <v>60.151400000000002</v>
      </c>
      <c r="T72" s="7">
        <f>日前电价!T72-实时电价!T72</f>
        <v>37.6584</v>
      </c>
      <c r="U72" s="7">
        <f>日前电价!U72-实时电价!U72</f>
        <v>36.629100000000001</v>
      </c>
      <c r="V72" s="7">
        <f>日前电价!V72-实时电价!V72</f>
        <v>40.676499999999997</v>
      </c>
      <c r="W72" s="7">
        <f>日前电价!W72-实时电价!W72</f>
        <v>27.794499999999999</v>
      </c>
      <c r="X72" s="7">
        <f>日前电价!X72-实时电价!X72</f>
        <v>15.676</v>
      </c>
      <c r="Y72" s="7">
        <f>日前电价!Y72-实时电价!Y72</f>
        <v>4.4470000000000001</v>
      </c>
      <c r="Z72" s="9">
        <f t="shared" si="3"/>
        <v>85.522000000000006</v>
      </c>
      <c r="AA72" s="9">
        <f t="shared" si="4"/>
        <v>1.34309999999999</v>
      </c>
      <c r="AB72" s="9">
        <f t="shared" si="5"/>
        <v>33.120916666666702</v>
      </c>
    </row>
    <row r="73" spans="1:28">
      <c r="A73" s="8">
        <v>45363</v>
      </c>
      <c r="B73" s="7">
        <f>日前电价!B73-实时电价!B73</f>
        <v>-1.8177000000000001</v>
      </c>
      <c r="C73" s="7">
        <f>日前电价!C73-实时电价!C73</f>
        <v>8.1412000000000297</v>
      </c>
      <c r="D73" s="7">
        <f>日前电价!D73-实时电价!D73</f>
        <v>12.180999999999999</v>
      </c>
      <c r="E73" s="7">
        <f>日前电价!E73-实时电价!E73</f>
        <v>14.9826</v>
      </c>
      <c r="F73" s="7">
        <f>日前电价!F73-实时电价!F73</f>
        <v>2.988</v>
      </c>
      <c r="G73" s="7">
        <f>日前电价!G73-实时电价!G73</f>
        <v>8.25</v>
      </c>
      <c r="H73" s="7">
        <f>日前电价!H73-实时电价!H73</f>
        <v>3.5865</v>
      </c>
      <c r="I73" s="7">
        <f>日前电价!I73-实时电价!I73</f>
        <v>-3.4977000000000098</v>
      </c>
      <c r="J73" s="7">
        <f>日前电价!J73-实时电价!J73</f>
        <v>16.874099999999999</v>
      </c>
      <c r="K73" s="7">
        <f>日前电价!K73-实时电价!K73</f>
        <v>37.910200000000003</v>
      </c>
      <c r="L73" s="7">
        <f>日前电价!L73-实时电价!L73</f>
        <v>48.668100000000003</v>
      </c>
      <c r="M73" s="7">
        <f>日前电价!M73-实时电价!M73</f>
        <v>58.3429</v>
      </c>
      <c r="N73" s="7">
        <f>日前电价!N73-实时电价!N73</f>
        <v>334.1026</v>
      </c>
      <c r="O73" s="7">
        <f>日前电价!O73-实时电价!O73</f>
        <v>127.6618</v>
      </c>
      <c r="P73" s="7">
        <f>日前电价!P73-实时电价!P73</f>
        <v>169.86879999999999</v>
      </c>
      <c r="Q73" s="7">
        <f>日前电价!Q73-实时电价!Q73</f>
        <v>39.878599999999999</v>
      </c>
      <c r="R73" s="7">
        <f>日前电价!R73-实时电价!R73</f>
        <v>36.3127</v>
      </c>
      <c r="S73" s="7">
        <f>日前电价!S73-实时电价!S73</f>
        <v>40.011200000000002</v>
      </c>
      <c r="T73" s="7">
        <f>日前电价!T73-实时电价!T73</f>
        <v>21.001000000000001</v>
      </c>
      <c r="U73" s="7">
        <f>日前电价!U73-实时电价!U73</f>
        <v>22.116900000000001</v>
      </c>
      <c r="V73" s="7">
        <f>日前电价!V73-实时电价!V73</f>
        <v>24.378299999999999</v>
      </c>
      <c r="W73" s="7">
        <f>日前电价!W73-实时电价!W73</f>
        <v>20.0915</v>
      </c>
      <c r="X73" s="7">
        <f>日前电价!X73-实时电价!X73</f>
        <v>19.328700000000001</v>
      </c>
      <c r="Y73" s="7">
        <f>日前电价!Y73-实时电价!Y73</f>
        <v>4.3518000000000301</v>
      </c>
      <c r="Z73" s="9">
        <f t="shared" si="3"/>
        <v>334.1026</v>
      </c>
      <c r="AA73" s="9">
        <f t="shared" si="4"/>
        <v>-3.4977000000000098</v>
      </c>
      <c r="AB73" s="9">
        <f t="shared" si="5"/>
        <v>44.404712500000002</v>
      </c>
    </row>
    <row r="74" spans="1:28">
      <c r="A74" s="8">
        <v>45364</v>
      </c>
      <c r="B74" s="7">
        <f>日前电价!B74-实时电价!B74</f>
        <v>-12.0717</v>
      </c>
      <c r="C74" s="7">
        <f>日前电价!C74-实时电价!C74</f>
        <v>-0.19669999999996399</v>
      </c>
      <c r="D74" s="7">
        <f>日前电价!D74-实时电价!D74</f>
        <v>-0.47880000000003498</v>
      </c>
      <c r="E74" s="7">
        <f>日前电价!E74-实时电价!E74</f>
        <v>-11.331099999999999</v>
      </c>
      <c r="F74" s="7">
        <f>日前电价!F74-实时电价!F74</f>
        <v>-12.9245</v>
      </c>
      <c r="G74" s="7">
        <f>日前电价!G74-实时电价!G74</f>
        <v>-12.8345</v>
      </c>
      <c r="H74" s="7">
        <f>日前电价!H74-实时电价!H74</f>
        <v>-13.266500000000001</v>
      </c>
      <c r="I74" s="7">
        <f>日前电价!I74-实时电价!I74</f>
        <v>5.7693999999999601</v>
      </c>
      <c r="J74" s="7">
        <f>日前电价!J74-实时电价!J74</f>
        <v>-5.7429000000000201</v>
      </c>
      <c r="K74" s="7">
        <f>日前电价!K74-实时电价!K74</f>
        <v>4.4148999999999896</v>
      </c>
      <c r="L74" s="7">
        <f>日前电价!L74-实时电价!L74</f>
        <v>32.117400000000004</v>
      </c>
      <c r="M74" s="7">
        <f>日前电价!M74-实时电价!M74</f>
        <v>59.276000000000003</v>
      </c>
      <c r="N74" s="7">
        <f>日前电价!N74-实时电价!N74</f>
        <v>139.64609999999999</v>
      </c>
      <c r="O74" s="7">
        <f>日前电价!O74-实时电价!O74</f>
        <v>-3.1282000000000498</v>
      </c>
      <c r="P74" s="7">
        <f>日前电价!P74-实时电价!P74</f>
        <v>31.688700000000001</v>
      </c>
      <c r="Q74" s="7">
        <f>日前电价!Q74-实时电价!Q74</f>
        <v>66.389700000000005</v>
      </c>
      <c r="R74" s="7">
        <f>日前电价!R74-实时电价!R74</f>
        <v>43.509900000000002</v>
      </c>
      <c r="S74" s="7">
        <f>日前电价!S74-实时电价!S74</f>
        <v>18.7575</v>
      </c>
      <c r="T74" s="7">
        <f>日前电价!T74-实时电价!T74</f>
        <v>-8.1496999999999993</v>
      </c>
      <c r="U74" s="7">
        <f>日前电价!U74-实时电价!U74</f>
        <v>0.14859999999998799</v>
      </c>
      <c r="V74" s="7">
        <f>日前电价!V74-实时电价!V74</f>
        <v>39.275500000000001</v>
      </c>
      <c r="W74" s="7">
        <f>日前电价!W74-实时电价!W74</f>
        <v>20.601299999999998</v>
      </c>
      <c r="X74" s="7">
        <f>日前电价!X74-实时电价!X74</f>
        <v>24.3352</v>
      </c>
      <c r="Y74" s="7">
        <f>日前电价!Y74-实时电价!Y74</f>
        <v>12.4689</v>
      </c>
      <c r="Z74" s="9">
        <f t="shared" si="3"/>
        <v>139.64609999999999</v>
      </c>
      <c r="AA74" s="9">
        <f t="shared" si="4"/>
        <v>-13.266500000000001</v>
      </c>
      <c r="AB74" s="9">
        <f t="shared" si="5"/>
        <v>17.428104166666699</v>
      </c>
    </row>
    <row r="75" spans="1:28">
      <c r="A75" s="8">
        <v>45365</v>
      </c>
      <c r="B75" s="7">
        <f>日前电价!B75-实时电价!B75</f>
        <v>-23.666499999999999</v>
      </c>
      <c r="C75" s="7">
        <f>日前电价!C75-实时电价!C75</f>
        <v>-14.2044</v>
      </c>
      <c r="D75" s="7">
        <f>日前电价!D75-实时电价!D75</f>
        <v>-10.6159</v>
      </c>
      <c r="E75" s="7">
        <f>日前电价!E75-实时电价!E75</f>
        <v>-6.0536999999999903</v>
      </c>
      <c r="F75" s="7">
        <f>日前电价!F75-实时电价!F75</f>
        <v>1.6440999999999799</v>
      </c>
      <c r="G75" s="7">
        <f>日前电价!G75-实时电价!G75</f>
        <v>-15.025700000000001</v>
      </c>
      <c r="H75" s="7">
        <f>日前电价!H75-实时电价!H75</f>
        <v>-14.044499999999999</v>
      </c>
      <c r="I75" s="7">
        <f>日前电价!I75-实时电价!I75</f>
        <v>-20.3781</v>
      </c>
      <c r="J75" s="7">
        <f>日前电价!J75-实时电价!J75</f>
        <v>-57.693600000000004</v>
      </c>
      <c r="K75" s="7">
        <f>日前电价!K75-实时电价!K75</f>
        <v>-147.2594</v>
      </c>
      <c r="L75" s="7">
        <f>日前电价!L75-实时电价!L75</f>
        <v>-16.362200000000001</v>
      </c>
      <c r="M75" s="7">
        <f>日前电价!M75-实时电价!M75</f>
        <v>15.163500000000001</v>
      </c>
      <c r="N75" s="7">
        <f>日前电价!N75-实时电价!N75</f>
        <v>77.11</v>
      </c>
      <c r="O75" s="7">
        <f>日前电价!O75-实时电价!O75</f>
        <v>-5.4650000000000301</v>
      </c>
      <c r="P75" s="7">
        <f>日前电价!P75-实时电价!P75</f>
        <v>-7.0309000000000301</v>
      </c>
      <c r="Q75" s="7">
        <f>日前电价!Q75-实时电价!Q75</f>
        <v>-55.339300000000001</v>
      </c>
      <c r="R75" s="7">
        <f>日前电价!R75-实时电价!R75</f>
        <v>-262.48270000000002</v>
      </c>
      <c r="S75" s="7">
        <f>日前电价!S75-实时电价!S75</f>
        <v>-86.494500000000002</v>
      </c>
      <c r="T75" s="7">
        <f>日前电价!T75-实时电价!T75</f>
        <v>-9.3532999999999902</v>
      </c>
      <c r="U75" s="7">
        <f>日前电价!U75-实时电价!U75</f>
        <v>-9.5244999999999909</v>
      </c>
      <c r="V75" s="7">
        <f>日前电价!V75-实时电价!V75</f>
        <v>-9.7375999999999898</v>
      </c>
      <c r="W75" s="7">
        <f>日前电价!W75-实时电价!W75</f>
        <v>-11.4793</v>
      </c>
      <c r="X75" s="7">
        <f>日前电价!X75-实时电价!X75</f>
        <v>-2.81200000000001</v>
      </c>
      <c r="Y75" s="7">
        <f>日前电价!Y75-实时电价!Y75</f>
        <v>-4.4169</v>
      </c>
      <c r="Z75" s="9">
        <f t="shared" si="3"/>
        <v>77.11</v>
      </c>
      <c r="AA75" s="9">
        <f t="shared" si="4"/>
        <v>-262.48270000000002</v>
      </c>
      <c r="AB75" s="9">
        <f t="shared" si="5"/>
        <v>-28.9801</v>
      </c>
    </row>
    <row r="76" spans="1:28">
      <c r="A76" s="8">
        <v>45366</v>
      </c>
      <c r="B76" s="7">
        <f>日前电价!B76-实时电价!B76</f>
        <v>-29.499099999999999</v>
      </c>
      <c r="C76" s="7">
        <f>日前电价!C76-实时电价!C76</f>
        <v>-11.1732</v>
      </c>
      <c r="D76" s="7">
        <f>日前电价!D76-实时电价!D76</f>
        <v>2.0596999999999599</v>
      </c>
      <c r="E76" s="7">
        <f>日前电价!E76-实时电价!E76</f>
        <v>-4.1165999999999503</v>
      </c>
      <c r="F76" s="7">
        <f>日前电价!F76-实时电价!F76</f>
        <v>2.1909000000000001</v>
      </c>
      <c r="G76" s="7">
        <f>日前电价!G76-实时电价!G76</f>
        <v>-12.784000000000001</v>
      </c>
      <c r="H76" s="7">
        <f>日前电价!H76-实时电价!H76</f>
        <v>-8.4634000000000391</v>
      </c>
      <c r="I76" s="7">
        <f>日前电价!I76-实时电价!I76</f>
        <v>-16.7164</v>
      </c>
      <c r="J76" s="7">
        <f>日前电价!J76-实时电价!J76</f>
        <v>-11.526300000000001</v>
      </c>
      <c r="K76" s="7">
        <f>日前电价!K76-实时电价!K76</f>
        <v>-0.38769999999999499</v>
      </c>
      <c r="L76" s="7">
        <f>日前电价!L76-实时电价!L76</f>
        <v>4.3797999999999897</v>
      </c>
      <c r="M76" s="7">
        <f>日前电价!M76-实时电价!M76</f>
        <v>20.688400000000001</v>
      </c>
      <c r="N76" s="7">
        <f>日前电价!N76-实时电价!N76</f>
        <v>109.17740000000001</v>
      </c>
      <c r="O76" s="7">
        <f>日前电价!O76-实时电价!O76</f>
        <v>82.039299999999997</v>
      </c>
      <c r="P76" s="7">
        <f>日前电价!P76-实时电价!P76</f>
        <v>-11.4453</v>
      </c>
      <c r="Q76" s="7">
        <f>日前电价!Q76-实时电价!Q76</f>
        <v>0.91149999999998998</v>
      </c>
      <c r="R76" s="7">
        <f>日前电价!R76-实时电价!R76</f>
        <v>6.1211999999999902</v>
      </c>
      <c r="S76" s="7">
        <f>日前电价!S76-实时电价!S76</f>
        <v>-2.7871999999999799</v>
      </c>
      <c r="T76" s="7">
        <f>日前电价!T76-实时电价!T76</f>
        <v>-7.2751999999999803</v>
      </c>
      <c r="U76" s="7">
        <f>日前电价!U76-实时电价!U76</f>
        <v>-5.0883999999999796</v>
      </c>
      <c r="V76" s="7">
        <f>日前电价!V76-实时电价!V76</f>
        <v>-1.3921000000000301</v>
      </c>
      <c r="W76" s="7">
        <f>日前电价!W76-实时电价!W76</f>
        <v>5.7877999999999998</v>
      </c>
      <c r="X76" s="7">
        <f>日前电价!X76-实时电价!X76</f>
        <v>4.8247999999999802</v>
      </c>
      <c r="Y76" s="7">
        <f>日前电价!Y76-实时电价!Y76</f>
        <v>-7.8115000000000201</v>
      </c>
      <c r="Z76" s="9">
        <f t="shared" si="3"/>
        <v>109.17740000000001</v>
      </c>
      <c r="AA76" s="9">
        <f t="shared" si="4"/>
        <v>-29.499099999999999</v>
      </c>
      <c r="AB76" s="9">
        <f t="shared" si="5"/>
        <v>4.4881000000000002</v>
      </c>
    </row>
    <row r="77" spans="1:28">
      <c r="A77" s="8">
        <v>45367</v>
      </c>
      <c r="B77" s="7">
        <f>日前电价!B77-实时电价!B77</f>
        <v>-16.489899999999999</v>
      </c>
      <c r="C77" s="7">
        <f>日前电价!C77-实时电价!C77</f>
        <v>-8.5104000000000006</v>
      </c>
      <c r="D77" s="7">
        <f>日前电价!D77-实时电价!D77</f>
        <v>-11.962199999999999</v>
      </c>
      <c r="E77" s="7">
        <f>日前电价!E77-实时电价!E77</f>
        <v>-0.63370000000003301</v>
      </c>
      <c r="F77" s="7">
        <f>日前电价!F77-实时电价!F77</f>
        <v>7.07249999999999</v>
      </c>
      <c r="G77" s="7">
        <f>日前电价!G77-实时电价!G77</f>
        <v>9.7459999999999791</v>
      </c>
      <c r="H77" s="7">
        <f>日前电价!H77-实时电价!H77</f>
        <v>6.8760000000000296</v>
      </c>
      <c r="I77" s="7">
        <f>日前电价!I77-实时电价!I77</f>
        <v>-3.4066000000000298</v>
      </c>
      <c r="J77" s="7">
        <f>日前电价!J77-实时电价!J77</f>
        <v>-4.7887000000000102</v>
      </c>
      <c r="K77" s="7">
        <f>日前电价!K77-实时电价!K77</f>
        <v>-3.5493000000000201</v>
      </c>
      <c r="L77" s="7">
        <f>日前电价!L77-实时电价!L77</f>
        <v>-0.47449999999997799</v>
      </c>
      <c r="M77" s="7">
        <f>日前电价!M77-实时电价!M77</f>
        <v>21.288499999999999</v>
      </c>
      <c r="N77" s="7">
        <f>日前电价!N77-实时电价!N77</f>
        <v>99.011799999999994</v>
      </c>
      <c r="O77" s="7">
        <f>日前电价!O77-实时电价!O77</f>
        <v>10.428900000000001</v>
      </c>
      <c r="P77" s="7">
        <f>日前电价!P77-实时电价!P77</f>
        <v>0.70229999999998005</v>
      </c>
      <c r="Q77" s="7">
        <f>日前电价!Q77-实时电价!Q77</f>
        <v>15.357900000000001</v>
      </c>
      <c r="R77" s="7">
        <f>日前电价!R77-实时电价!R77</f>
        <v>18.0474</v>
      </c>
      <c r="S77" s="7">
        <f>日前电价!S77-实时电价!S77</f>
        <v>9.8034000000000106</v>
      </c>
      <c r="T77" s="7">
        <f>日前电价!T77-实时电价!T77</f>
        <v>0.83769999999998401</v>
      </c>
      <c r="U77" s="7">
        <f>日前电价!U77-实时电价!U77</f>
        <v>2.95009999999996</v>
      </c>
      <c r="V77" s="7">
        <f>日前电价!V77-实时电价!V77</f>
        <v>6.9488000000000101</v>
      </c>
      <c r="W77" s="7">
        <f>日前电价!W77-实时电价!W77</f>
        <v>4.7900999999999998</v>
      </c>
      <c r="X77" s="7">
        <f>日前电价!X77-实时电价!X77</f>
        <v>0.90409999999997104</v>
      </c>
      <c r="Y77" s="7">
        <f>日前电价!Y77-实时电价!Y77</f>
        <v>-6.9779000000000302</v>
      </c>
      <c r="Z77" s="9">
        <f t="shared" si="3"/>
        <v>99.011799999999994</v>
      </c>
      <c r="AA77" s="9">
        <f t="shared" si="4"/>
        <v>-16.489899999999999</v>
      </c>
      <c r="AB77" s="9">
        <f t="shared" si="5"/>
        <v>6.58217916666666</v>
      </c>
    </row>
    <row r="78" spans="1:28">
      <c r="A78" s="8">
        <v>45368</v>
      </c>
      <c r="B78" s="7">
        <f>日前电价!B78-实时电价!B78</f>
        <v>-59.106299999999997</v>
      </c>
      <c r="C78" s="7">
        <f>日前电价!C78-实时电价!C78</f>
        <v>15.503399999999999</v>
      </c>
      <c r="D78" s="7">
        <f>日前电价!D78-实时电价!D78</f>
        <v>19.312899999999999</v>
      </c>
      <c r="E78" s="7">
        <f>日前电价!E78-实时电价!E78</f>
        <v>8.7993000000000201</v>
      </c>
      <c r="F78" s="7">
        <f>日前电价!F78-实时电价!F78</f>
        <v>2.7731999999999699</v>
      </c>
      <c r="G78" s="7">
        <f>日前电价!G78-实时电价!G78</f>
        <v>-0.97149999999999204</v>
      </c>
      <c r="H78" s="7">
        <f>日前电价!H78-实时电价!H78</f>
        <v>-5.2393000000000098</v>
      </c>
      <c r="I78" s="7">
        <f>日前电价!I78-实时电价!I78</f>
        <v>-12.525</v>
      </c>
      <c r="J78" s="7">
        <f>日前电价!J78-实时电价!J78</f>
        <v>0.89860000000004403</v>
      </c>
      <c r="K78" s="7">
        <f>日前电价!K78-实时电价!K78</f>
        <v>11.575200000000001</v>
      </c>
      <c r="L78" s="7">
        <f>日前电价!L78-实时电价!L78</f>
        <v>20.003900000000002</v>
      </c>
      <c r="M78" s="7">
        <f>日前电价!M78-实时电价!M78</f>
        <v>26.466799999999999</v>
      </c>
      <c r="N78" s="7">
        <f>日前电价!N78-实时电价!N78</f>
        <v>299.97030000000001</v>
      </c>
      <c r="O78" s="7">
        <f>日前电价!O78-实时电价!O78</f>
        <v>229.94919999999999</v>
      </c>
      <c r="P78" s="7">
        <f>日前电价!P78-实时电价!P78</f>
        <v>24.744</v>
      </c>
      <c r="Q78" s="7">
        <f>日前电价!Q78-实时电价!Q78</f>
        <v>12.7235</v>
      </c>
      <c r="R78" s="7">
        <f>日前电价!R78-实时电价!R78</f>
        <v>23.796500000000002</v>
      </c>
      <c r="S78" s="7">
        <f>日前电价!S78-实时电价!S78</f>
        <v>24.2029</v>
      </c>
      <c r="T78" s="7">
        <f>日前电价!T78-实时电价!T78</f>
        <v>18.100999999999999</v>
      </c>
      <c r="U78" s="7">
        <f>日前电价!U78-实时电价!U78</f>
        <v>14.144600000000001</v>
      </c>
      <c r="V78" s="7">
        <f>日前电价!V78-实时电价!V78</f>
        <v>-21.418600000000001</v>
      </c>
      <c r="W78" s="7">
        <f>日前电价!W78-实时电价!W78</f>
        <v>-2.41529999999995</v>
      </c>
      <c r="X78" s="7">
        <f>日前电价!X78-实时电价!X78</f>
        <v>-5.9268999999999901</v>
      </c>
      <c r="Y78" s="7">
        <f>日前电价!Y78-实时电价!Y78</f>
        <v>4.5654000000000101</v>
      </c>
      <c r="Z78" s="9">
        <f t="shared" si="3"/>
        <v>299.97030000000001</v>
      </c>
      <c r="AA78" s="9">
        <f t="shared" si="4"/>
        <v>-59.106299999999997</v>
      </c>
      <c r="AB78" s="9">
        <f t="shared" si="5"/>
        <v>27.080324999999998</v>
      </c>
    </row>
    <row r="79" spans="1:28">
      <c r="A79" s="8">
        <v>45369</v>
      </c>
      <c r="B79" s="7">
        <f>日前电价!B79-实时电价!B79</f>
        <v>-17.563400000000001</v>
      </c>
      <c r="C79" s="7">
        <f>日前电价!C79-实时电价!C79</f>
        <v>-4.0645000000000104</v>
      </c>
      <c r="D79" s="7">
        <f>日前电价!D79-实时电价!D79</f>
        <v>9.3900000000019204E-2</v>
      </c>
      <c r="E79" s="7">
        <f>日前电价!E79-实时电价!E79</f>
        <v>1.89929999999998</v>
      </c>
      <c r="F79" s="7">
        <f>日前电价!F79-实时电价!F79</f>
        <v>2.04610000000002</v>
      </c>
      <c r="G79" s="7">
        <f>日前电价!G79-实时电价!G79</f>
        <v>6.9343999999999797</v>
      </c>
      <c r="H79" s="7">
        <f>日前电价!H79-实时电价!H79</f>
        <v>-5.5529000000000197</v>
      </c>
      <c r="I79" s="7">
        <f>日前电价!I79-实时电价!I79</f>
        <v>-12.441599999999999</v>
      </c>
      <c r="J79" s="7">
        <f>日前电价!J79-实时电价!J79</f>
        <v>-9.4705000000000208</v>
      </c>
      <c r="K79" s="7">
        <f>日前电价!K79-实时电价!K79</f>
        <v>-38.039000000000001</v>
      </c>
      <c r="L79" s="7">
        <f>日前电价!L79-实时电价!L79</f>
        <v>-16.738199999999999</v>
      </c>
      <c r="M79" s="7">
        <f>日前电价!M79-实时电价!M79</f>
        <v>11.507</v>
      </c>
      <c r="N79" s="7">
        <f>日前电价!N79-实时电价!N79</f>
        <v>72.991600000000005</v>
      </c>
      <c r="O79" s="7">
        <f>日前电价!O79-实时电价!O79</f>
        <v>1.4870000000000201</v>
      </c>
      <c r="P79" s="7">
        <f>日前电价!P79-实时电价!P79</f>
        <v>-12.7784</v>
      </c>
      <c r="Q79" s="7">
        <f>日前电价!Q79-实时电价!Q79</f>
        <v>-11.2286</v>
      </c>
      <c r="R79" s="7">
        <f>日前电价!R79-实时电价!R79</f>
        <v>-6.9268999999999901</v>
      </c>
      <c r="S79" s="7">
        <f>日前电价!S79-实时电价!S79</f>
        <v>13.1768</v>
      </c>
      <c r="T79" s="7">
        <f>日前电价!T79-实时电价!T79</f>
        <v>6.2942000000000498</v>
      </c>
      <c r="U79" s="7">
        <f>日前电价!U79-实时电价!U79</f>
        <v>-5.0723999999999601</v>
      </c>
      <c r="V79" s="7">
        <f>日前电价!V79-实时电价!V79</f>
        <v>7.3464000000000196</v>
      </c>
      <c r="W79" s="7">
        <f>日前电价!W79-实时电价!W79</f>
        <v>5.8573999999999797</v>
      </c>
      <c r="X79" s="7">
        <f>日前电价!X79-实时电价!X79</f>
        <v>14.579800000000001</v>
      </c>
      <c r="Y79" s="7">
        <f>日前电价!Y79-实时电价!Y79</f>
        <v>11.642099999999999</v>
      </c>
      <c r="Z79" s="9">
        <f t="shared" si="3"/>
        <v>72.991600000000005</v>
      </c>
      <c r="AA79" s="9">
        <f t="shared" si="4"/>
        <v>-38.039000000000001</v>
      </c>
      <c r="AB79" s="9">
        <f t="shared" si="5"/>
        <v>0.66581666666666794</v>
      </c>
    </row>
    <row r="80" spans="1:28">
      <c r="A80" s="8">
        <v>45370</v>
      </c>
      <c r="B80" s="7">
        <f>日前电价!B80-实时电价!B80</f>
        <v>-8.1569000000000091</v>
      </c>
      <c r="C80" s="7">
        <f>日前电价!C80-实时电价!C80</f>
        <v>5.7319000000000004</v>
      </c>
      <c r="D80" s="7">
        <f>日前电价!D80-实时电价!D80</f>
        <v>3.48390000000001</v>
      </c>
      <c r="E80" s="7">
        <f>日前电价!E80-实时电价!E80</f>
        <v>6.6272000000000197</v>
      </c>
      <c r="F80" s="7">
        <f>日前电价!F80-实时电价!F80</f>
        <v>13.810499999999999</v>
      </c>
      <c r="G80" s="7">
        <f>日前电价!G80-实时电价!G80</f>
        <v>8.3480000000000096</v>
      </c>
      <c r="H80" s="7">
        <f>日前电价!H80-实时电价!H80</f>
        <v>5.0912999999999897</v>
      </c>
      <c r="I80" s="7">
        <f>日前电价!I80-实时电价!I80</f>
        <v>-8.9177000000000195</v>
      </c>
      <c r="J80" s="7">
        <f>日前电价!J80-实时电价!J80</f>
        <v>-1.6401000000000201</v>
      </c>
      <c r="K80" s="7">
        <f>日前电价!K80-实时电价!K80</f>
        <v>3.2642999999999902</v>
      </c>
      <c r="L80" s="7">
        <f>日前电价!L80-实时电价!L80</f>
        <v>14.732200000000001</v>
      </c>
      <c r="M80" s="7">
        <f>日前电价!M80-实时电价!M80</f>
        <v>36.561700000000002</v>
      </c>
      <c r="N80" s="7">
        <f>日前电价!N80-实时电价!N80</f>
        <v>255.3972</v>
      </c>
      <c r="O80" s="7">
        <f>日前电价!O80-实时电价!O80</f>
        <v>104.28530000000001</v>
      </c>
      <c r="P80" s="7">
        <f>日前电价!P80-实时电价!P80</f>
        <v>36.4255</v>
      </c>
      <c r="Q80" s="7">
        <f>日前电价!Q80-实时电价!Q80</f>
        <v>27.5351</v>
      </c>
      <c r="R80" s="7">
        <f>日前电价!R80-实时电价!R80</f>
        <v>29.528600000000001</v>
      </c>
      <c r="S80" s="7">
        <f>日前电价!S80-实时电价!S80</f>
        <v>22.9498</v>
      </c>
      <c r="T80" s="7">
        <f>日前电价!T80-实时电价!T80</f>
        <v>17.533200000000001</v>
      </c>
      <c r="U80" s="7">
        <f>日前电价!U80-实时电价!U80</f>
        <v>-4.4133000000000502</v>
      </c>
      <c r="V80" s="7">
        <f>日前电价!V80-实时电价!V80</f>
        <v>4.4799999999952399E-2</v>
      </c>
      <c r="W80" s="7">
        <f>日前电价!W80-实时电价!W80</f>
        <v>5.5829000000000004</v>
      </c>
      <c r="X80" s="7">
        <f>日前电价!X80-实时电价!X80</f>
        <v>14.0692</v>
      </c>
      <c r="Y80" s="7">
        <f>日前电价!Y80-实时电价!Y80</f>
        <v>6.7880999999999903</v>
      </c>
      <c r="Z80" s="9">
        <f t="shared" si="3"/>
        <v>255.3972</v>
      </c>
      <c r="AA80" s="9">
        <f t="shared" si="4"/>
        <v>-8.9177000000000195</v>
      </c>
      <c r="AB80" s="9">
        <f t="shared" si="5"/>
        <v>24.7776125</v>
      </c>
    </row>
    <row r="81" spans="1:28">
      <c r="A81" s="8">
        <v>45371</v>
      </c>
      <c r="B81" s="7">
        <f>日前电价!B81-实时电价!B81</f>
        <v>-46.521099999999997</v>
      </c>
      <c r="C81" s="7">
        <f>日前电价!C81-实时电价!C81</f>
        <v>1.1641000000000199</v>
      </c>
      <c r="D81" s="7">
        <f>日前电价!D81-实时电价!D81</f>
        <v>5.5981999999999603</v>
      </c>
      <c r="E81" s="7">
        <f>日前电价!E81-实时电价!E81</f>
        <v>13.924099999999999</v>
      </c>
      <c r="F81" s="7">
        <f>日前电价!F81-实时电价!F81</f>
        <v>-5.1716999999999897</v>
      </c>
      <c r="G81" s="7">
        <f>日前电价!G81-实时电价!G81</f>
        <v>-45.564300000000003</v>
      </c>
      <c r="H81" s="7">
        <f>日前电价!H81-实时电价!H81</f>
        <v>-8.0252000000000407</v>
      </c>
      <c r="I81" s="7">
        <f>日前电价!I81-实时电价!I81</f>
        <v>-6.5215999999999799</v>
      </c>
      <c r="J81" s="7">
        <f>日前电价!J81-实时电价!J81</f>
        <v>-7.1191000000000004</v>
      </c>
      <c r="K81" s="7">
        <f>日前电价!K81-实时电价!K81</f>
        <v>34.928100000000001</v>
      </c>
      <c r="L81" s="7">
        <f>日前电价!L81-实时电价!L81</f>
        <v>67.516999999999996</v>
      </c>
      <c r="M81" s="7">
        <f>日前电价!M81-实时电价!M81</f>
        <v>84.7851</v>
      </c>
      <c r="N81" s="7">
        <f>日前电价!N81-实时电价!N81</f>
        <v>213.5779</v>
      </c>
      <c r="O81" s="7">
        <f>日前电价!O81-实时电价!O81</f>
        <v>58.28</v>
      </c>
      <c r="P81" s="7">
        <f>日前电价!P81-实时电价!P81</f>
        <v>15.0449</v>
      </c>
      <c r="Q81" s="7">
        <f>日前电价!Q81-实时电价!Q81</f>
        <v>1.74449999999996</v>
      </c>
      <c r="R81" s="7">
        <f>日前电价!R81-实时电价!R81</f>
        <v>-25.578099999999999</v>
      </c>
      <c r="S81" s="7">
        <f>日前电价!S81-实时电价!S81</f>
        <v>5.8630000000000004</v>
      </c>
      <c r="T81" s="7">
        <f>日前电价!T81-实时电价!T81</f>
        <v>4.64510000000001</v>
      </c>
      <c r="U81" s="7">
        <f>日前电价!U81-实时电价!U81</f>
        <v>0.16950000000002799</v>
      </c>
      <c r="V81" s="7">
        <f>日前电价!V81-实时电价!V81</f>
        <v>6.3879000000000001</v>
      </c>
      <c r="W81" s="7">
        <f>日前电价!W81-实时电价!W81</f>
        <v>18.6724</v>
      </c>
      <c r="X81" s="7">
        <f>日前电价!X81-实时电价!X81</f>
        <v>15.4062</v>
      </c>
      <c r="Y81" s="7">
        <f>日前电价!Y81-实时电价!Y81</f>
        <v>11.7598</v>
      </c>
      <c r="Z81" s="9">
        <f t="shared" si="3"/>
        <v>213.5779</v>
      </c>
      <c r="AA81" s="9">
        <f t="shared" si="4"/>
        <v>-46.521099999999997</v>
      </c>
      <c r="AB81" s="9">
        <f t="shared" si="5"/>
        <v>17.2902791666667</v>
      </c>
    </row>
    <row r="82" spans="1:28">
      <c r="A82" s="8">
        <v>45372</v>
      </c>
      <c r="B82" s="7">
        <f>日前电价!B82-实时电价!B82</f>
        <v>-30.4971</v>
      </c>
      <c r="C82" s="7">
        <f>日前电价!C82-实时电价!C82</f>
        <v>-11.115</v>
      </c>
      <c r="D82" s="7">
        <f>日前电价!D82-实时电价!D82</f>
        <v>-7.2436999999999898</v>
      </c>
      <c r="E82" s="7">
        <f>日前电价!E82-实时电价!E82</f>
        <v>8.0649999999999995</v>
      </c>
      <c r="F82" s="7">
        <f>日前电价!F82-实时电价!F82</f>
        <v>5.0536000000000199</v>
      </c>
      <c r="G82" s="7">
        <f>日前电价!G82-实时电价!G82</f>
        <v>7.7443999999999802</v>
      </c>
      <c r="H82" s="7">
        <f>日前电价!H82-实时电价!H82</f>
        <v>-7.3673000000000002</v>
      </c>
      <c r="I82" s="7">
        <f>日前电价!I82-实时电价!I82</f>
        <v>-12.401199999999999</v>
      </c>
      <c r="J82" s="7">
        <f>日前电价!J82-实时电价!J82</f>
        <v>-19.366399999999999</v>
      </c>
      <c r="K82" s="7">
        <f>日前电价!K82-实时电价!K82</f>
        <v>-10.636200000000001</v>
      </c>
      <c r="L82" s="7">
        <f>日前电价!L82-实时电价!L82</f>
        <v>0.77620000000001699</v>
      </c>
      <c r="M82" s="7">
        <f>日前电价!M82-实时电价!M82</f>
        <v>45.264800000000001</v>
      </c>
      <c r="N82" s="7">
        <f>日前电价!N82-实时电价!N82</f>
        <v>48.9788</v>
      </c>
      <c r="O82" s="7">
        <f>日前电价!O82-实时电价!O82</f>
        <v>0.123100000000022</v>
      </c>
      <c r="P82" s="7">
        <f>日前电价!P82-实时电价!P82</f>
        <v>4.024</v>
      </c>
      <c r="Q82" s="7">
        <f>日前电价!Q82-实时电价!Q82</f>
        <v>-16.840199999999999</v>
      </c>
      <c r="R82" s="7">
        <f>日前电价!R82-实时电价!R82</f>
        <v>-54.0533</v>
      </c>
      <c r="S82" s="7">
        <f>日前电价!S82-实时电价!S82</f>
        <v>-15.2974</v>
      </c>
      <c r="T82" s="7">
        <f>日前电价!T82-实时电价!T82</f>
        <v>3.3704999999999901</v>
      </c>
      <c r="U82" s="7">
        <f>日前电价!U82-实时电价!U82</f>
        <v>-20.365400000000001</v>
      </c>
      <c r="V82" s="7">
        <f>日前电价!V82-实时电价!V82</f>
        <v>4.0054000000000096</v>
      </c>
      <c r="W82" s="7">
        <f>日前电价!W82-实时电价!W82</f>
        <v>-2.1866999999999699</v>
      </c>
      <c r="X82" s="7">
        <f>日前电价!X82-实时电价!X82</f>
        <v>9.1890000000000196</v>
      </c>
      <c r="Y82" s="7">
        <f>日前电价!Y82-实时电价!Y82</f>
        <v>-3.2059000000000402</v>
      </c>
      <c r="Z82" s="9">
        <f t="shared" si="3"/>
        <v>48.9788</v>
      </c>
      <c r="AA82" s="9">
        <f t="shared" si="4"/>
        <v>-54.0533</v>
      </c>
      <c r="AB82" s="9">
        <f t="shared" si="5"/>
        <v>-3.0825416666666698</v>
      </c>
    </row>
    <row r="83" spans="1:28">
      <c r="A83" s="8">
        <v>45373</v>
      </c>
      <c r="B83" s="7">
        <f>日前电价!B83-实时电价!B83</f>
        <v>-34.147399999999998</v>
      </c>
      <c r="C83" s="7">
        <f>日前电价!C83-实时电价!C83</f>
        <v>5.0536999999999903</v>
      </c>
      <c r="D83" s="7">
        <f>日前电价!D83-实时电价!D83</f>
        <v>10.544499999999999</v>
      </c>
      <c r="E83" s="7">
        <f>日前电价!E83-实时电价!E83</f>
        <v>9.1544999999999792</v>
      </c>
      <c r="F83" s="7">
        <f>日前电价!F83-实时电价!F83</f>
        <v>11.896599999999999</v>
      </c>
      <c r="G83" s="7">
        <f>日前电价!G83-实时电价!G83</f>
        <v>3.8424</v>
      </c>
      <c r="H83" s="7">
        <f>日前电价!H83-实时电价!H83</f>
        <v>0.90739999999999599</v>
      </c>
      <c r="I83" s="7">
        <f>日前电价!I83-实时电价!I83</f>
        <v>-11.1595</v>
      </c>
      <c r="J83" s="7">
        <f>日前电价!J83-实时电价!J83</f>
        <v>-187.92240000000001</v>
      </c>
      <c r="K83" s="7">
        <f>日前电价!K83-实时电价!K83</f>
        <v>-93.412000000000006</v>
      </c>
      <c r="L83" s="7">
        <f>日前电价!L83-实时电价!L83</f>
        <v>-184.07050000000001</v>
      </c>
      <c r="M83" s="7">
        <f>日前电价!M83-实时电价!M83</f>
        <v>4.9619000000000097</v>
      </c>
      <c r="N83" s="7">
        <f>日前电价!N83-实时电价!N83</f>
        <v>47.645800000000001</v>
      </c>
      <c r="O83" s="7">
        <f>日前电价!O83-实时电价!O83</f>
        <v>-39.497599999999998</v>
      </c>
      <c r="P83" s="7">
        <f>日前电价!P83-实时电价!P83</f>
        <v>-75.650300000000001</v>
      </c>
      <c r="Q83" s="7">
        <f>日前电价!Q83-实时电价!Q83</f>
        <v>-53.006500000000003</v>
      </c>
      <c r="R83" s="7">
        <f>日前电价!R83-实时电价!R83</f>
        <v>-128.9288</v>
      </c>
      <c r="S83" s="7">
        <f>日前电价!S83-实时电价!S83</f>
        <v>-7.3352999999999602</v>
      </c>
      <c r="T83" s="7">
        <f>日前电价!T83-实时电价!T83</f>
        <v>-40.438899999999997</v>
      </c>
      <c r="U83" s="7">
        <f>日前电价!U83-实时电价!U83</f>
        <v>-45.371000000000002</v>
      </c>
      <c r="V83" s="7">
        <f>日前电价!V83-实时电价!V83</f>
        <v>-11.4932</v>
      </c>
      <c r="W83" s="7">
        <f>日前电价!W83-实时电价!W83</f>
        <v>-4.9596999999999998</v>
      </c>
      <c r="X83" s="7">
        <f>日前电价!X83-实时电价!X83</f>
        <v>-7.26439999999997</v>
      </c>
      <c r="Y83" s="7">
        <f>日前电价!Y83-实时电价!Y83</f>
        <v>-3.5521999999999698</v>
      </c>
      <c r="Z83" s="9">
        <f t="shared" si="3"/>
        <v>47.645800000000001</v>
      </c>
      <c r="AA83" s="9">
        <f t="shared" si="4"/>
        <v>-187.92240000000001</v>
      </c>
      <c r="AB83" s="9">
        <f t="shared" si="5"/>
        <v>-34.758454166666702</v>
      </c>
    </row>
    <row r="84" spans="1:28">
      <c r="A84" s="8">
        <v>45374</v>
      </c>
      <c r="B84" s="7">
        <f>日前电价!B84-实时电价!B84</f>
        <v>-219.60740000000001</v>
      </c>
      <c r="C84" s="7">
        <f>日前电价!C84-实时电价!C84</f>
        <v>-3.1032000000000202</v>
      </c>
      <c r="D84" s="7">
        <f>日前电价!D84-实时电价!D84</f>
        <v>10.049300000000001</v>
      </c>
      <c r="E84" s="7">
        <f>日前电价!E84-实时电价!E84</f>
        <v>7.6001999999999699</v>
      </c>
      <c r="F84" s="7">
        <f>日前电价!F84-实时电价!F84</f>
        <v>8.5921999999999894</v>
      </c>
      <c r="G84" s="7">
        <f>日前电价!G84-实时电价!G84</f>
        <v>-0.79610000000002401</v>
      </c>
      <c r="H84" s="7">
        <f>日前电价!H84-实时电价!H84</f>
        <v>15.484999999999999</v>
      </c>
      <c r="I84" s="7">
        <f>日前电价!I84-实时电价!I84</f>
        <v>-7.8874000000000102</v>
      </c>
      <c r="J84" s="7">
        <f>日前电价!J84-实时电价!J84</f>
        <v>-239.38800000000001</v>
      </c>
      <c r="K84" s="7">
        <f>日前电价!K84-实时电价!K84</f>
        <v>-257.99759999999998</v>
      </c>
      <c r="L84" s="7">
        <f>日前电价!L84-实时电价!L84</f>
        <v>-45.240499999999997</v>
      </c>
      <c r="M84" s="7">
        <f>日前电价!M84-实时电价!M84</f>
        <v>55.461100000000002</v>
      </c>
      <c r="N84" s="7">
        <f>日前电价!N84-实时电价!N84</f>
        <v>71.115099999999998</v>
      </c>
      <c r="O84" s="7">
        <f>日前电价!O84-实时电价!O84</f>
        <v>-31.796600000000002</v>
      </c>
      <c r="P84" s="7">
        <f>日前电价!P84-实时电价!P84</f>
        <v>-13.1731</v>
      </c>
      <c r="Q84" s="7">
        <f>日前电价!Q84-实时电价!Q84</f>
        <v>-10.0372</v>
      </c>
      <c r="R84" s="7">
        <f>日前电价!R84-实时电价!R84</f>
        <v>-143.02539999999999</v>
      </c>
      <c r="S84" s="7">
        <f>日前电价!S84-实时电价!S84</f>
        <v>-17.678100000000001</v>
      </c>
      <c r="T84" s="7">
        <f>日前电价!T84-实时电价!T84</f>
        <v>0.67470000000003005</v>
      </c>
      <c r="U84" s="7">
        <f>日前电价!U84-实时电价!U84</f>
        <v>-0.365100000000041</v>
      </c>
      <c r="V84" s="7">
        <f>日前电价!V84-实时电价!V84</f>
        <v>5.1107999999999798</v>
      </c>
      <c r="W84" s="7">
        <f>日前电价!W84-实时电价!W84</f>
        <v>-6.6508000000000003</v>
      </c>
      <c r="X84" s="7">
        <f>日前电价!X84-实时电价!X84</f>
        <v>-11.382099999999999</v>
      </c>
      <c r="Y84" s="7">
        <f>日前电价!Y84-实时电价!Y84</f>
        <v>-26.5078999999999</v>
      </c>
      <c r="Z84" s="9">
        <f t="shared" si="3"/>
        <v>71.115099999999998</v>
      </c>
      <c r="AA84" s="9">
        <f t="shared" si="4"/>
        <v>-257.99759999999998</v>
      </c>
      <c r="AB84" s="9">
        <f t="shared" si="5"/>
        <v>-35.856170833333302</v>
      </c>
    </row>
    <row r="85" spans="1:28">
      <c r="A85" s="8">
        <v>45375</v>
      </c>
      <c r="B85" s="7">
        <f>日前电价!B85-实时电价!B85</f>
        <v>-251.75139999999999</v>
      </c>
      <c r="C85" s="7">
        <f>日前电价!C85-实时电价!C85</f>
        <v>-20.991599999999998</v>
      </c>
      <c r="D85" s="7">
        <f>日前电价!D85-实时电价!D85</f>
        <v>-10.723100000000001</v>
      </c>
      <c r="E85" s="7">
        <f>日前电价!E85-实时电价!E85</f>
        <v>-27.536999999999999</v>
      </c>
      <c r="F85" s="7">
        <f>日前电价!F85-实时电价!F85</f>
        <v>-7.1102999999999996</v>
      </c>
      <c r="G85" s="7">
        <f>日前电价!G85-实时电价!G85</f>
        <v>-4.0627999999999798</v>
      </c>
      <c r="H85" s="7">
        <f>日前电价!H85-实时电价!H85</f>
        <v>-11.0372</v>
      </c>
      <c r="I85" s="7">
        <f>日前电价!I85-实时电价!I85</f>
        <v>-16.2394</v>
      </c>
      <c r="J85" s="7">
        <f>日前电价!J85-实时电价!J85</f>
        <v>-13.8536</v>
      </c>
      <c r="K85" s="7">
        <f>日前电价!K85-实时电价!K85</f>
        <v>-1.1929000000000101</v>
      </c>
      <c r="L85" s="7">
        <f>日前电价!L85-实时电价!L85</f>
        <v>22.133299999999998</v>
      </c>
      <c r="M85" s="7">
        <f>日前电价!M85-实时电价!M85</f>
        <v>28.805399999999999</v>
      </c>
      <c r="N85" s="7">
        <f>日前电价!N85-实时电价!N85</f>
        <v>181.64779999999999</v>
      </c>
      <c r="O85" s="7">
        <f>日前电价!O85-实时电价!O85</f>
        <v>6.8536000000000303</v>
      </c>
      <c r="P85" s="7">
        <f>日前电价!P85-实时电价!P85</f>
        <v>12.7157</v>
      </c>
      <c r="Q85" s="7">
        <f>日前电价!Q85-实时电价!Q85</f>
        <v>5.7603000000000302</v>
      </c>
      <c r="R85" s="7">
        <f>日前电价!R85-实时电价!R85</f>
        <v>-6.5989999999999904</v>
      </c>
      <c r="S85" s="7">
        <f>日前电价!S85-实时电价!S85</f>
        <v>-6.8193000000000001</v>
      </c>
      <c r="T85" s="7">
        <f>日前电价!T85-实时电价!T85</f>
        <v>-15.5318</v>
      </c>
      <c r="U85" s="7">
        <f>日前电价!U85-实时电价!U85</f>
        <v>-50.148499999999999</v>
      </c>
      <c r="V85" s="7">
        <f>日前电价!V85-实时电价!V85</f>
        <v>-167.94329999999999</v>
      </c>
      <c r="W85" s="7">
        <f>日前电价!W85-实时电价!W85</f>
        <v>-68.467399999999998</v>
      </c>
      <c r="X85" s="7">
        <f>日前电价!X85-实时电价!X85</f>
        <v>-41.928400000000003</v>
      </c>
      <c r="Y85" s="7">
        <f>日前电价!Y85-实时电价!Y85</f>
        <v>-34.529200000000003</v>
      </c>
      <c r="Z85" s="9">
        <f t="shared" si="3"/>
        <v>181.64779999999999</v>
      </c>
      <c r="AA85" s="9">
        <f t="shared" si="4"/>
        <v>-251.75139999999999</v>
      </c>
      <c r="AB85" s="9">
        <f t="shared" si="5"/>
        <v>-20.772920833333298</v>
      </c>
    </row>
    <row r="86" spans="1:28">
      <c r="A86" s="8">
        <v>45376</v>
      </c>
      <c r="B86" s="7">
        <f>日前电价!B86-实时电价!B86</f>
        <v>-166.65600000000001</v>
      </c>
      <c r="C86" s="7">
        <f>日前电价!C86-实时电价!C86</f>
        <v>-29.720500000000001</v>
      </c>
      <c r="D86" s="7">
        <f>日前电价!D86-实时电价!D86</f>
        <v>-1.77390000000003</v>
      </c>
      <c r="E86" s="7">
        <f>日前电价!E86-实时电价!E86</f>
        <v>-10.7553</v>
      </c>
      <c r="F86" s="7">
        <f>日前电价!F86-实时电价!F86</f>
        <v>-15.208399999999999</v>
      </c>
      <c r="G86" s="7">
        <f>日前电价!G86-实时电价!G86</f>
        <v>-19.818300000000001</v>
      </c>
      <c r="H86" s="7">
        <f>日前电价!H86-实时电价!H86</f>
        <v>-63.060099999999998</v>
      </c>
      <c r="I86" s="7">
        <f>日前电价!I86-实时电价!I86</f>
        <v>-247.50909999999999</v>
      </c>
      <c r="J86" s="7">
        <f>日前电价!J86-实时电价!J86</f>
        <v>-282.56310000000002</v>
      </c>
      <c r="K86" s="7">
        <f>日前电价!K86-实时电价!K86</f>
        <v>-321.63889999999998</v>
      </c>
      <c r="L86" s="7">
        <f>日前电价!L86-实时电价!L86</f>
        <v>92.0946</v>
      </c>
      <c r="M86" s="7">
        <f>日前电价!M86-实时电价!M86</f>
        <v>160.14259999999999</v>
      </c>
      <c r="N86" s="7">
        <f>日前电价!N86-实时电价!N86</f>
        <v>35.346200000000003</v>
      </c>
      <c r="O86" s="7">
        <f>日前电价!O86-实时电价!O86</f>
        <v>-95.775899999999893</v>
      </c>
      <c r="P86" s="7">
        <f>日前电价!P86-实时电价!P86</f>
        <v>99.034699999999901</v>
      </c>
      <c r="Q86" s="7">
        <f>日前电价!Q86-实时电价!Q86</f>
        <v>122.1833</v>
      </c>
      <c r="R86" s="7">
        <f>日前电价!R86-实时电价!R86</f>
        <v>99.365700000000103</v>
      </c>
      <c r="S86" s="7">
        <f>日前电价!S86-实时电价!S86</f>
        <v>80.704300000000003</v>
      </c>
      <c r="T86" s="7">
        <f>日前电价!T86-实时电价!T86</f>
        <v>57.5625</v>
      </c>
      <c r="U86" s="7">
        <f>日前电价!U86-实时电价!U86</f>
        <v>51.891500000000001</v>
      </c>
      <c r="V86" s="7">
        <f>日前电价!V86-实时电价!V86</f>
        <v>40.476900000000001</v>
      </c>
      <c r="W86" s="7">
        <f>日前电价!W86-实时电价!W86</f>
        <v>34.855800000000002</v>
      </c>
      <c r="X86" s="7">
        <f>日前电价!X86-实时电价!X86</f>
        <v>33.285800000000002</v>
      </c>
      <c r="Y86" s="7">
        <f>日前电价!Y86-实时电价!Y86</f>
        <v>-8.3372999999999706</v>
      </c>
      <c r="Z86" s="9">
        <f t="shared" si="3"/>
        <v>160.14259999999999</v>
      </c>
      <c r="AA86" s="9">
        <f t="shared" si="4"/>
        <v>-321.63889999999998</v>
      </c>
      <c r="AB86" s="9">
        <f t="shared" si="5"/>
        <v>-14.828037500000001</v>
      </c>
    </row>
    <row r="87" spans="1:28">
      <c r="A87" s="8">
        <v>45377</v>
      </c>
      <c r="B87" s="7">
        <f>日前电价!B87-实时电价!B87</f>
        <v>-364.98410000000001</v>
      </c>
      <c r="C87" s="7">
        <f>日前电价!C87-实时电价!C87</f>
        <v>-17.182099999999998</v>
      </c>
      <c r="D87" s="7">
        <f>日前电价!D87-实时电价!D87</f>
        <v>0.72320000000002005</v>
      </c>
      <c r="E87" s="7">
        <f>日前电价!E87-实时电价!E87</f>
        <v>-0.41990000000004102</v>
      </c>
      <c r="F87" s="7">
        <f>日前电价!F87-实时电价!F87</f>
        <v>-0.77389999999996895</v>
      </c>
      <c r="G87" s="7">
        <f>日前电价!G87-实时电价!G87</f>
        <v>-2.0607999999999702</v>
      </c>
      <c r="H87" s="7">
        <f>日前电价!H87-实时电价!H87</f>
        <v>-12.9823</v>
      </c>
      <c r="I87" s="7">
        <f>日前电价!I87-实时电价!I87</f>
        <v>-81.110100000000003</v>
      </c>
      <c r="J87" s="7">
        <f>日前电价!J87-实时电价!J87</f>
        <v>-109.2407</v>
      </c>
      <c r="K87" s="7">
        <f>日前电价!K87-实时电价!K87</f>
        <v>-7.2767000000000097</v>
      </c>
      <c r="L87" s="7">
        <f>日前电价!L87-实时电价!L87</f>
        <v>52.350099999999998</v>
      </c>
      <c r="M87" s="7">
        <f>日前电价!M87-实时电价!M87</f>
        <v>71.648099999999999</v>
      </c>
      <c r="N87" s="7">
        <f>日前电价!N87-实时电价!N87</f>
        <v>122.1095</v>
      </c>
      <c r="O87" s="7">
        <f>日前电价!O87-实时电价!O87</f>
        <v>28.227</v>
      </c>
      <c r="P87" s="7">
        <f>日前电价!P87-实时电价!P87</f>
        <v>20.318100000000001</v>
      </c>
      <c r="Q87" s="7">
        <f>日前电价!Q87-实时电价!Q87</f>
        <v>-9.5928999999999895</v>
      </c>
      <c r="R87" s="7">
        <f>日前电价!R87-实时电价!R87</f>
        <v>-82.512500000000003</v>
      </c>
      <c r="S87" s="7">
        <f>日前电价!S87-实时电价!S87</f>
        <v>-29.765000000000001</v>
      </c>
      <c r="T87" s="7">
        <f>日前电价!T87-实时电价!T87</f>
        <v>-3.48009999999999</v>
      </c>
      <c r="U87" s="7">
        <f>日前电价!U87-实时电价!U87</f>
        <v>-140.67259999999999</v>
      </c>
      <c r="V87" s="7">
        <f>日前电价!V87-实时电价!V87</f>
        <v>-33.516599999999997</v>
      </c>
      <c r="W87" s="7">
        <f>日前电价!W87-实时电价!W87</f>
        <v>-11.944000000000001</v>
      </c>
      <c r="X87" s="7">
        <f>日前电价!X87-实时电价!X87</f>
        <v>-0.47049999999995901</v>
      </c>
      <c r="Y87" s="7">
        <f>日前电价!Y87-实时电价!Y87</f>
        <v>-11.6347</v>
      </c>
      <c r="Z87" s="9">
        <f t="shared" si="3"/>
        <v>122.1095</v>
      </c>
      <c r="AA87" s="9">
        <f t="shared" si="4"/>
        <v>-364.98410000000001</v>
      </c>
      <c r="AB87" s="9">
        <f t="shared" si="5"/>
        <v>-26.010145833333301</v>
      </c>
    </row>
    <row r="88" spans="1:28">
      <c r="A88" s="8">
        <v>45378</v>
      </c>
      <c r="B88" s="7">
        <f>日前电价!B88-实时电价!B88</f>
        <v>-127.22969999999999</v>
      </c>
      <c r="C88" s="7">
        <f>日前电价!C88-实时电价!C88</f>
        <v>18.921500000000002</v>
      </c>
      <c r="D88" s="7">
        <f>日前电价!D88-实时电价!D88</f>
        <v>17.373799999999999</v>
      </c>
      <c r="E88" s="7">
        <f>日前电价!E88-实时电价!E88</f>
        <v>6.5199000000000096</v>
      </c>
      <c r="F88" s="7">
        <f>日前电价!F88-实时电价!F88</f>
        <v>5.2331000000000403</v>
      </c>
      <c r="G88" s="7">
        <f>日前电价!G88-实时电价!G88</f>
        <v>-7.452</v>
      </c>
      <c r="H88" s="7">
        <f>日前电价!H88-实时电价!H88</f>
        <v>-14.0876</v>
      </c>
      <c r="I88" s="7">
        <f>日前电价!I88-实时电价!I88</f>
        <v>-29.6172</v>
      </c>
      <c r="J88" s="7">
        <f>日前电价!J88-实时电价!J88</f>
        <v>-141.5247</v>
      </c>
      <c r="K88" s="7">
        <f>日前电价!K88-实时电价!K88</f>
        <v>-73.626800000000003</v>
      </c>
      <c r="L88" s="7">
        <f>日前电价!L88-实时电价!L88</f>
        <v>268.08300000000003</v>
      </c>
      <c r="M88" s="7">
        <f>日前电价!M88-实时电价!M88</f>
        <v>92.270399999999995</v>
      </c>
      <c r="N88" s="7">
        <f>日前电价!N88-实时电价!N88</f>
        <v>185.38570000000001</v>
      </c>
      <c r="O88" s="7">
        <f>日前电价!O88-实时电价!O88</f>
        <v>37.019500000000001</v>
      </c>
      <c r="P88" s="7">
        <f>日前电价!P88-实时电价!P88</f>
        <v>30.0124</v>
      </c>
      <c r="Q88" s="7">
        <f>日前电价!Q88-实时电价!Q88</f>
        <v>38.748600000000003</v>
      </c>
      <c r="R88" s="7">
        <f>日前电价!R88-实时电价!R88</f>
        <v>17.802299999999999</v>
      </c>
      <c r="S88" s="7">
        <f>日前电价!S88-实时电价!S88</f>
        <v>0.965899999999976</v>
      </c>
      <c r="T88" s="7">
        <f>日前电价!T88-实时电价!T88</f>
        <v>14.136699999999999</v>
      </c>
      <c r="U88" s="7">
        <f>日前电价!U88-实时电价!U88</f>
        <v>26.4908</v>
      </c>
      <c r="V88" s="7">
        <f>日前电价!V88-实时电价!V88</f>
        <v>66.3964</v>
      </c>
      <c r="W88" s="7">
        <f>日前电价!W88-实时电价!W88</f>
        <v>87.844899999999996</v>
      </c>
      <c r="X88" s="7">
        <f>日前电价!X88-实时电价!X88</f>
        <v>53.448799999999999</v>
      </c>
      <c r="Y88" s="7">
        <f>日前电价!Y88-实时电价!Y88</f>
        <v>40.367400000000004</v>
      </c>
      <c r="Z88" s="9">
        <f t="shared" si="3"/>
        <v>268.08300000000003</v>
      </c>
      <c r="AA88" s="9">
        <f t="shared" si="4"/>
        <v>-141.5247</v>
      </c>
      <c r="AB88" s="9">
        <f t="shared" si="5"/>
        <v>25.561795833333299</v>
      </c>
    </row>
    <row r="89" spans="1:28">
      <c r="A89" s="8">
        <v>45379</v>
      </c>
      <c r="B89" s="7">
        <f>日前电价!B89-实时电价!B89</f>
        <v>28.632000000000001</v>
      </c>
      <c r="C89" s="7">
        <f>日前电价!C89-实时电价!C89</f>
        <v>7.4957000000000003</v>
      </c>
      <c r="D89" s="7">
        <f>日前电价!D89-实时电价!D89</f>
        <v>-11.8691</v>
      </c>
      <c r="E89" s="7">
        <f>日前电价!E89-实时电价!E89</f>
        <v>-4.95749999999998</v>
      </c>
      <c r="F89" s="7">
        <f>日前电价!F89-实时电价!F89</f>
        <v>25.120100000000001</v>
      </c>
      <c r="G89" s="7">
        <f>日前电价!G89-实时电价!G89</f>
        <v>12.5289</v>
      </c>
      <c r="H89" s="7">
        <f>日前电价!H89-实时电价!H89</f>
        <v>-32.4741</v>
      </c>
      <c r="I89" s="7">
        <f>日前电价!I89-实时电价!I89</f>
        <v>-95.695800000000006</v>
      </c>
      <c r="J89" s="7">
        <f>日前电价!J89-实时电价!J89</f>
        <v>-111.0685</v>
      </c>
      <c r="K89" s="7">
        <f>日前电价!K89-实时电价!K89</f>
        <v>-108.65519999999999</v>
      </c>
      <c r="L89" s="7">
        <f>日前电价!L89-实时电价!L89</f>
        <v>-17.3095</v>
      </c>
      <c r="M89" s="7">
        <f>日前电价!M89-实时电价!M89</f>
        <v>-17.654499999999999</v>
      </c>
      <c r="N89" s="7">
        <f>日前电价!N89-实时电价!N89</f>
        <v>12.9452</v>
      </c>
      <c r="O89" s="7">
        <f>日前电价!O89-实时电价!O89</f>
        <v>-28.624199999999998</v>
      </c>
      <c r="P89" s="7">
        <f>日前电价!P89-实时电价!P89</f>
        <v>-30.905799999999999</v>
      </c>
      <c r="Q89" s="7">
        <f>日前电价!Q89-实时电价!Q89</f>
        <v>-11.679500000000001</v>
      </c>
      <c r="R89" s="7">
        <f>日前电价!R89-实时电价!R89</f>
        <v>7.6463000000000001</v>
      </c>
      <c r="S89" s="7">
        <f>日前电价!S89-实时电价!S89</f>
        <v>-19.5609</v>
      </c>
      <c r="T89" s="7">
        <f>日前电价!T89-实时电价!T89</f>
        <v>-10.583500000000001</v>
      </c>
      <c r="U89" s="7">
        <f>日前电价!U89-实时电价!U89</f>
        <v>3.4741000000000199</v>
      </c>
      <c r="V89" s="7">
        <f>日前电价!V89-实时电价!V89</f>
        <v>40.244</v>
      </c>
      <c r="W89" s="7">
        <f>日前电价!W89-实时电价!W89</f>
        <v>-6.60309999999998</v>
      </c>
      <c r="X89" s="7">
        <f>日前电价!X89-实时电价!X89</f>
        <v>4.9756999999999598</v>
      </c>
      <c r="Y89" s="7">
        <f>日前电价!Y89-实时电价!Y89</f>
        <v>-10.073</v>
      </c>
      <c r="Z89" s="9">
        <f t="shared" si="3"/>
        <v>40.244</v>
      </c>
      <c r="AA89" s="9">
        <f t="shared" si="4"/>
        <v>-111.0685</v>
      </c>
      <c r="AB89" s="9">
        <f t="shared" si="5"/>
        <v>-15.6105083333333</v>
      </c>
    </row>
    <row r="90" spans="1:28">
      <c r="A90" s="8">
        <v>45380</v>
      </c>
      <c r="B90" s="7">
        <f>日前电价!B90-实时电价!B90</f>
        <v>-58.797800000000002</v>
      </c>
      <c r="C90" s="7">
        <f>日前电价!C90-实时电价!C90</f>
        <v>-47.325099999999999</v>
      </c>
      <c r="D90" s="7">
        <f>日前电价!D90-实时电价!D90</f>
        <v>-20.626300000000001</v>
      </c>
      <c r="E90" s="7">
        <f>日前电价!E90-实时电价!E90</f>
        <v>-14.045500000000001</v>
      </c>
      <c r="F90" s="7">
        <f>日前电价!F90-实时电价!F90</f>
        <v>-32.552500000000002</v>
      </c>
      <c r="G90" s="7">
        <f>日前电价!G90-实时电价!G90</f>
        <v>-30.396699999999999</v>
      </c>
      <c r="H90" s="7">
        <f>日前电价!H90-实时电价!H90</f>
        <v>-33.429699999999997</v>
      </c>
      <c r="I90" s="7">
        <f>日前电价!I90-实时电价!I90</f>
        <v>-56.696199999999997</v>
      </c>
      <c r="J90" s="7">
        <f>日前电价!J90-实时电价!J90</f>
        <v>-69.747600000000006</v>
      </c>
      <c r="K90" s="7">
        <f>日前电价!K90-实时电价!K90</f>
        <v>-42.382899999999999</v>
      </c>
      <c r="L90" s="7">
        <f>日前电价!L90-实时电价!L90</f>
        <v>16.566299999999998</v>
      </c>
      <c r="M90" s="7">
        <f>日前电价!M90-实时电价!M90</f>
        <v>33.977200000000003</v>
      </c>
      <c r="N90" s="7">
        <f>日前电价!N90-实时电价!N90</f>
        <v>110.0677</v>
      </c>
      <c r="O90" s="7">
        <f>日前电价!O90-实时电价!O90</f>
        <v>20.327000000000002</v>
      </c>
      <c r="P90" s="7">
        <f>日前电价!P90-实时电价!P90</f>
        <v>-13.497199999999999</v>
      </c>
      <c r="Q90" s="7">
        <f>日前电价!Q90-实时电价!Q90</f>
        <v>-26.441299999999998</v>
      </c>
      <c r="R90" s="7">
        <f>日前电价!R90-实时电价!R90</f>
        <v>-38.734400000000001</v>
      </c>
      <c r="S90" s="7">
        <f>日前电价!S90-实时电价!S90</f>
        <v>-74.965299999999999</v>
      </c>
      <c r="T90" s="7">
        <f>日前电价!T90-实时电价!T90</f>
        <v>-40.841299999999997</v>
      </c>
      <c r="U90" s="7">
        <f>日前电价!U90-实时电价!U90</f>
        <v>28.3032</v>
      </c>
      <c r="V90" s="7">
        <f>日前电价!V90-实时电价!V90</f>
        <v>18.595600000000001</v>
      </c>
      <c r="W90" s="7">
        <f>日前电价!W90-实时电价!W90</f>
        <v>3.1160000000000401</v>
      </c>
      <c r="X90" s="7">
        <f>日前电价!X90-实时电价!X90</f>
        <v>-3.3698000000000001</v>
      </c>
      <c r="Y90" s="7">
        <f>日前电价!Y90-实时电价!Y90</f>
        <v>-17.772400000000001</v>
      </c>
      <c r="Z90" s="9">
        <f t="shared" si="3"/>
        <v>110.0677</v>
      </c>
      <c r="AA90" s="9">
        <f t="shared" si="4"/>
        <v>-74.965299999999999</v>
      </c>
      <c r="AB90" s="9">
        <f t="shared" si="5"/>
        <v>-16.277875000000002</v>
      </c>
    </row>
    <row r="91" spans="1:28">
      <c r="A91" s="8">
        <v>45381</v>
      </c>
      <c r="B91" s="7">
        <f>日前电价!B91-实时电价!B91</f>
        <v>-25.959099999999999</v>
      </c>
      <c r="C91" s="7">
        <f>日前电价!C91-实时电价!C91</f>
        <v>11.6462</v>
      </c>
      <c r="D91" s="7">
        <f>日前电价!D91-实时电价!D91</f>
        <v>11.108499999999999</v>
      </c>
      <c r="E91" s="7">
        <f>日前电价!E91-实时电价!E91</f>
        <v>13.5212</v>
      </c>
      <c r="F91" s="7">
        <f>日前电价!F91-实时电价!F91</f>
        <v>12.144600000000001</v>
      </c>
      <c r="G91" s="7">
        <f>日前电价!G91-实时电价!G91</f>
        <v>3.96940000000001</v>
      </c>
      <c r="H91" s="7">
        <f>日前电价!H91-实时电价!H91</f>
        <v>-13.4055</v>
      </c>
      <c r="I91" s="7">
        <f>日前电价!I91-实时电价!I91</f>
        <v>-19.5899</v>
      </c>
      <c r="J91" s="7">
        <f>日前电价!J91-实时电价!J91</f>
        <v>-4.4692999999999801</v>
      </c>
      <c r="K91" s="7">
        <f>日前电价!K91-实时电价!K91</f>
        <v>35.869500000000002</v>
      </c>
      <c r="L91" s="7">
        <f>日前电价!L91-实时电价!L91</f>
        <v>44.988999999999997</v>
      </c>
      <c r="M91" s="7">
        <f>日前电价!M91-实时电价!M91</f>
        <v>-16.1784</v>
      </c>
      <c r="N91" s="7">
        <f>日前电价!N91-实时电价!N91</f>
        <v>36.506999999999998</v>
      </c>
      <c r="O91" s="7">
        <f>日前电价!O91-实时电价!O91</f>
        <v>1.8899000000000099</v>
      </c>
      <c r="P91" s="7">
        <f>日前电价!P91-实时电价!P91</f>
        <v>-26.363800000000001</v>
      </c>
      <c r="Q91" s="7">
        <f>日前电价!Q91-实时电价!Q91</f>
        <v>-60.608400000000003</v>
      </c>
      <c r="R91" s="7">
        <f>日前电价!R91-实时电价!R91</f>
        <v>-80.348799999999997</v>
      </c>
      <c r="S91" s="7">
        <f>日前电价!S91-实时电价!S91</f>
        <v>-40.174799999999998</v>
      </c>
      <c r="T91" s="7">
        <f>日前电价!T91-实时电价!T91</f>
        <v>-19.728400000000001</v>
      </c>
      <c r="U91" s="7">
        <f>日前电价!U91-实时电价!U91</f>
        <v>-2.7316999999999898</v>
      </c>
      <c r="V91" s="7">
        <f>日前电价!V91-实时电价!V91</f>
        <v>-18.639500000000002</v>
      </c>
      <c r="W91" s="7">
        <f>日前电价!W91-实时电价!W91</f>
        <v>8.5675000000000008</v>
      </c>
      <c r="X91" s="7">
        <f>日前电价!X91-实时电价!X91</f>
        <v>-3.43960000000004</v>
      </c>
      <c r="Y91" s="7">
        <f>日前电价!Y91-实时电价!Y91</f>
        <v>18.565899999999999</v>
      </c>
      <c r="Z91" s="9">
        <f t="shared" si="3"/>
        <v>44.988999999999997</v>
      </c>
      <c r="AA91" s="9">
        <f t="shared" si="4"/>
        <v>-80.348799999999997</v>
      </c>
      <c r="AB91" s="9">
        <f t="shared" si="5"/>
        <v>-5.5357708333333404</v>
      </c>
    </row>
    <row r="92" spans="1:28">
      <c r="A92" s="8">
        <v>45382</v>
      </c>
      <c r="B92" s="7">
        <f>日前电价!B92-实时电价!B92</f>
        <v>-30.235600000000002</v>
      </c>
      <c r="C92" s="7">
        <f>日前电价!C92-实时电价!C92</f>
        <v>-16.598199999999999</v>
      </c>
      <c r="D92" s="7">
        <f>日前电价!D92-实时电价!D92</f>
        <v>-3.1540999999999699</v>
      </c>
      <c r="E92" s="7">
        <f>日前电价!E92-实时电价!E92</f>
        <v>-9.8059000000000101</v>
      </c>
      <c r="F92" s="7">
        <f>日前电价!F92-实时电价!F92</f>
        <v>-48.683900000000001</v>
      </c>
      <c r="G92" s="7">
        <f>日前电价!G92-实时电价!G92</f>
        <v>-56.761400000000002</v>
      </c>
      <c r="H92" s="7">
        <f>日前电价!H92-实时电价!H92</f>
        <v>-24.253</v>
      </c>
      <c r="I92" s="7">
        <f>日前电价!I92-实时电价!I92</f>
        <v>-8.5328999999999802</v>
      </c>
      <c r="J92" s="7">
        <f>日前电价!J92-实时电价!J92</f>
        <v>-0.82609999999999695</v>
      </c>
      <c r="K92" s="7">
        <f>日前电价!K92-实时电价!K92</f>
        <v>-1.1802999999999899</v>
      </c>
      <c r="L92" s="7">
        <f>日前电价!L92-实时电价!L92</f>
        <v>0.94620000000003301</v>
      </c>
      <c r="M92" s="7">
        <f>日前电价!M92-实时电价!M92</f>
        <v>17.422499999999999</v>
      </c>
      <c r="N92" s="7">
        <f>日前电价!N92-实时电价!N92</f>
        <v>12.501099999999999</v>
      </c>
      <c r="O92" s="7">
        <f>日前电价!O92-实时电价!O92</f>
        <v>-94.843199999999996</v>
      </c>
      <c r="P92" s="7">
        <f>日前电价!P92-实时电价!P92</f>
        <v>-136.45840000000001</v>
      </c>
      <c r="Q92" s="7">
        <f>日前电价!Q92-实时电价!Q92</f>
        <v>-56.611699999999999</v>
      </c>
      <c r="R92" s="7">
        <f>日前电价!R92-实时电价!R92</f>
        <v>-80.188400000000001</v>
      </c>
      <c r="S92" s="7">
        <f>日前电价!S92-实时电价!S92</f>
        <v>-169.84200000000001</v>
      </c>
      <c r="T92" s="7">
        <f>日前电价!T92-实时电价!T92</f>
        <v>-107.84829999999999</v>
      </c>
      <c r="U92" s="7">
        <f>日前电价!U92-实时电价!U92</f>
        <v>-99.082700000000003</v>
      </c>
      <c r="V92" s="7">
        <f>日前电价!V92-实时电价!V92</f>
        <v>-91.140299999999996</v>
      </c>
      <c r="W92" s="7">
        <f>日前电价!W92-实时电价!W92</f>
        <v>-39.688000000000002</v>
      </c>
      <c r="X92" s="7">
        <f>日前电价!X92-实时电价!X92</f>
        <v>-27.500699999999998</v>
      </c>
      <c r="Y92" s="7">
        <f>日前电价!Y92-实时电价!Y92</f>
        <v>-7.5387999999999797</v>
      </c>
      <c r="Z92" s="9">
        <f t="shared" si="3"/>
        <v>17.422499999999999</v>
      </c>
      <c r="AA92" s="9">
        <f t="shared" si="4"/>
        <v>-169.84200000000001</v>
      </c>
      <c r="AB92" s="9">
        <f t="shared" si="5"/>
        <v>-44.996004166666701</v>
      </c>
    </row>
    <row r="93" spans="1:28">
      <c r="A93" s="8">
        <v>45383</v>
      </c>
      <c r="B93" s="7">
        <f>日前电价!B93-实时电价!B93</f>
        <v>-22.67</v>
      </c>
      <c r="C93" s="7">
        <f>日前电价!C93-实时电价!C93</f>
        <v>-8.4300000000000104</v>
      </c>
      <c r="D93" s="7">
        <f>日前电价!D93-实时电价!D93</f>
        <v>-0.150000000000034</v>
      </c>
      <c r="E93" s="7">
        <f>日前电价!E93-实时电价!E93</f>
        <v>1.5899999999999701</v>
      </c>
      <c r="F93" s="7">
        <f>日前电价!F93-实时电价!F93</f>
        <v>17.23</v>
      </c>
      <c r="G93" s="7">
        <f>日前电价!G93-实时电价!G93</f>
        <v>-2.1500000000000301</v>
      </c>
      <c r="H93" s="7">
        <f>日前电价!H93-实时电价!H93</f>
        <v>-10.039999999999999</v>
      </c>
      <c r="I93" s="7">
        <f>日前电价!I93-实时电价!I93</f>
        <v>-22.72</v>
      </c>
      <c r="J93" s="7">
        <f>日前电价!J93-实时电价!J93</f>
        <v>-322.83999999999997</v>
      </c>
      <c r="K93" s="7">
        <f>日前电价!K93-实时电价!K93</f>
        <v>-232.1</v>
      </c>
      <c r="L93" s="7">
        <f>日前电价!L93-实时电价!L93</f>
        <v>-73.23</v>
      </c>
      <c r="M93" s="7">
        <f>日前电价!M93-实时电价!M93</f>
        <v>-3.44</v>
      </c>
      <c r="N93" s="7">
        <f>日前电价!N93-实时电价!N93</f>
        <v>73.83</v>
      </c>
      <c r="O93" s="7">
        <f>日前电价!O93-实时电价!O93</f>
        <v>-33.83</v>
      </c>
      <c r="P93" s="7">
        <f>日前电价!P93-实时电价!P93</f>
        <v>-62.55</v>
      </c>
      <c r="Q93" s="7">
        <f>日前电价!Q93-实时电价!Q93</f>
        <v>-41.67</v>
      </c>
      <c r="R93" s="7">
        <f>日前电价!R93-实时电价!R93</f>
        <v>-86.27</v>
      </c>
      <c r="S93" s="7">
        <f>日前电价!S93-实时电价!S93</f>
        <v>-138.31</v>
      </c>
      <c r="T93" s="7">
        <f>日前电价!T93-实时电价!T93</f>
        <v>-13.29</v>
      </c>
      <c r="U93" s="7">
        <f>日前电价!U93-实时电价!U93</f>
        <v>-19.260000000000002</v>
      </c>
      <c r="V93" s="7">
        <f>日前电价!V93-实时电价!V93</f>
        <v>-13.28</v>
      </c>
      <c r="W93" s="7">
        <f>日前电价!W93-实时电价!W93</f>
        <v>5.7100000000000399</v>
      </c>
      <c r="X93" s="7">
        <f>日前电价!X93-实时电价!X93</f>
        <v>10.17</v>
      </c>
      <c r="Y93" s="7">
        <f>日前电价!Y93-实时电价!Y93</f>
        <v>-0.68999999999999795</v>
      </c>
      <c r="Z93" s="9">
        <f t="shared" si="3"/>
        <v>73.83</v>
      </c>
      <c r="AA93" s="9">
        <f t="shared" si="4"/>
        <v>-322.83999999999997</v>
      </c>
      <c r="AB93" s="9">
        <f t="shared" si="5"/>
        <v>-41.5995833333333</v>
      </c>
    </row>
    <row r="94" spans="1:28">
      <c r="A94" s="8">
        <v>45384</v>
      </c>
      <c r="B94" s="7">
        <f>日前电价!B94-实时电价!B94</f>
        <v>21.9681</v>
      </c>
      <c r="C94" s="7">
        <f>日前电价!C94-实时电价!C94</f>
        <v>33.888500000000001</v>
      </c>
      <c r="D94" s="7">
        <f>日前电价!D94-实时电价!D94</f>
        <v>17.337800000000001</v>
      </c>
      <c r="E94" s="7">
        <f>日前电价!E94-实时电价!E94</f>
        <v>22.099699999999999</v>
      </c>
      <c r="F94" s="7">
        <f>日前电价!F94-实时电价!F94</f>
        <v>57.363900000000001</v>
      </c>
      <c r="G94" s="7">
        <f>日前电价!G94-实时电价!G94</f>
        <v>2.7438000000000198</v>
      </c>
      <c r="H94" s="7">
        <f>日前电价!H94-实时电价!H94</f>
        <v>-2.2969000000000501</v>
      </c>
      <c r="I94" s="7">
        <f>日前电价!I94-实时电价!I94</f>
        <v>-16.036200000000001</v>
      </c>
      <c r="J94" s="7">
        <f>日前电价!J94-实时电价!J94</f>
        <v>-22.067299999999999</v>
      </c>
      <c r="K94" s="7">
        <f>日前电价!K94-实时电价!K94</f>
        <v>34.440800000000003</v>
      </c>
      <c r="L94" s="7">
        <f>日前电价!L94-实时电价!L94</f>
        <v>67.662099999999995</v>
      </c>
      <c r="M94" s="7">
        <f>日前电价!M94-实时电价!M94</f>
        <v>77.869900000000001</v>
      </c>
      <c r="N94" s="7">
        <f>日前电价!N94-实时电价!N94</f>
        <v>178.16390000000001</v>
      </c>
      <c r="O94" s="7">
        <f>日前电价!O94-实时电价!O94</f>
        <v>57.098199999999999</v>
      </c>
      <c r="P94" s="7">
        <f>日前电价!P94-实时电价!P94</f>
        <v>77.506200000000007</v>
      </c>
      <c r="Q94" s="7">
        <f>日前电价!Q94-实时电价!Q94</f>
        <v>78.6126</v>
      </c>
      <c r="R94" s="7">
        <f>日前电价!R94-实时电价!R94</f>
        <v>66.844499999999996</v>
      </c>
      <c r="S94" s="7">
        <f>日前电价!S94-实时电价!S94</f>
        <v>42.612200000000001</v>
      </c>
      <c r="T94" s="7">
        <f>日前电价!T94-实时电价!T94</f>
        <v>22.991499999999998</v>
      </c>
      <c r="U94" s="7">
        <f>日前电价!U94-实时电价!U94</f>
        <v>25.280100000000001</v>
      </c>
      <c r="V94" s="7">
        <f>日前电价!V94-实时电价!V94</f>
        <v>18.722100000000001</v>
      </c>
      <c r="W94" s="7">
        <f>日前电价!W94-实时电价!W94</f>
        <v>13.2469</v>
      </c>
      <c r="X94" s="7">
        <f>日前电价!X94-实时电价!X94</f>
        <v>32.718200000000003</v>
      </c>
      <c r="Y94" s="7">
        <f>日前电价!Y94-实时电价!Y94</f>
        <v>13.656700000000001</v>
      </c>
      <c r="Z94" s="9">
        <f t="shared" si="3"/>
        <v>178.16390000000001</v>
      </c>
      <c r="AA94" s="9">
        <f t="shared" si="4"/>
        <v>-22.067299999999999</v>
      </c>
      <c r="AB94" s="9">
        <f t="shared" si="5"/>
        <v>38.4344708333333</v>
      </c>
    </row>
    <row r="95" spans="1:28">
      <c r="A95" s="8">
        <v>45385</v>
      </c>
      <c r="B95" s="7">
        <f>日前电价!B95-实时电价!B95</f>
        <v>-38.622599999999998</v>
      </c>
      <c r="C95" s="7">
        <f>日前电价!C95-实时电价!C95</f>
        <v>-45.381</v>
      </c>
      <c r="D95" s="7">
        <f>日前电价!D95-实时电价!D95</f>
        <v>-9.3930000000000309</v>
      </c>
      <c r="E95" s="7">
        <f>日前电价!E95-实时电价!E95</f>
        <v>-3.8766999999999698</v>
      </c>
      <c r="F95" s="7">
        <f>日前电价!F95-实时电价!F95</f>
        <v>-11.692600000000001</v>
      </c>
      <c r="G95" s="7">
        <f>日前电价!G95-实时电价!G95</f>
        <v>-13.467700000000001</v>
      </c>
      <c r="H95" s="7">
        <f>日前电价!H95-实时电价!H95</f>
        <v>-15.2437</v>
      </c>
      <c r="I95" s="7">
        <f>日前电价!I95-实时电价!I95</f>
        <v>-22.158200000000001</v>
      </c>
      <c r="J95" s="7">
        <f>日前电价!J95-实时电价!J95</f>
        <v>-77.972400000000107</v>
      </c>
      <c r="K95" s="7">
        <f>日前电价!K95-实时电价!K95</f>
        <v>-43.485799999999998</v>
      </c>
      <c r="L95" s="7">
        <f>日前电价!L95-实时电价!L95</f>
        <v>59.862299999999998</v>
      </c>
      <c r="M95" s="7">
        <f>日前电价!M95-实时电价!M95</f>
        <v>262.1123</v>
      </c>
      <c r="N95" s="7">
        <f>日前电价!N95-实时电价!N95</f>
        <v>27.249300000000002</v>
      </c>
      <c r="O95" s="7">
        <f>日前电价!O95-实时电价!O95</f>
        <v>47.7134</v>
      </c>
      <c r="P95" s="7">
        <f>日前电价!P95-实时电价!P95</f>
        <v>74.383600000000001</v>
      </c>
      <c r="Q95" s="7">
        <f>日前电价!Q95-实时电价!Q95</f>
        <v>83.167400000000001</v>
      </c>
      <c r="R95" s="7">
        <f>日前电价!R95-实时电价!R95</f>
        <v>40.058500000000002</v>
      </c>
      <c r="S95" s="7">
        <f>日前电价!S95-实时电价!S95</f>
        <v>30.097999999999999</v>
      </c>
      <c r="T95" s="7">
        <f>日前电价!T95-实时电价!T95</f>
        <v>14.088100000000001</v>
      </c>
      <c r="U95" s="7">
        <f>日前电价!U95-实时电价!U95</f>
        <v>7.7667999999999902</v>
      </c>
      <c r="V95" s="7">
        <f>日前电价!V95-实时电价!V95</f>
        <v>17.869700000000002</v>
      </c>
      <c r="W95" s="7">
        <f>日前电价!W95-实时电价!W95</f>
        <v>22.343399999999999</v>
      </c>
      <c r="X95" s="7">
        <f>日前电价!X95-实时电价!X95</f>
        <v>16.7239</v>
      </c>
      <c r="Y95" s="7">
        <f>日前电价!Y95-实时电价!Y95</f>
        <v>-10.6104</v>
      </c>
      <c r="Z95" s="9">
        <f t="shared" si="3"/>
        <v>262.1123</v>
      </c>
      <c r="AA95" s="9">
        <f t="shared" si="4"/>
        <v>-77.972400000000107</v>
      </c>
      <c r="AB95" s="9">
        <f t="shared" si="5"/>
        <v>17.1471916666667</v>
      </c>
    </row>
    <row r="96" spans="1:28">
      <c r="A96" s="8">
        <v>45386</v>
      </c>
      <c r="B96" s="7">
        <f>日前电价!B96-实时电价!B96</f>
        <v>-246.1404</v>
      </c>
      <c r="C96" s="7">
        <f>日前电价!C96-实时电价!C96</f>
        <v>-120.6133</v>
      </c>
      <c r="D96" s="7">
        <f>日前电价!D96-实时电价!D96</f>
        <v>-31.5062</v>
      </c>
      <c r="E96" s="7">
        <f>日前电价!E96-实时电价!E96</f>
        <v>-21.6448</v>
      </c>
      <c r="F96" s="7">
        <f>日前电价!F96-实时电价!F96</f>
        <v>-28.6495</v>
      </c>
      <c r="G96" s="7">
        <f>日前电价!G96-实时电价!G96</f>
        <v>-29.198799999999999</v>
      </c>
      <c r="H96" s="7">
        <f>日前电价!H96-实时电价!H96</f>
        <v>-21.6281</v>
      </c>
      <c r="I96" s="7">
        <f>日前电价!I96-实时电价!I96</f>
        <v>-2.4719000000000002</v>
      </c>
      <c r="J96" s="7">
        <f>日前电价!J96-实时电价!J96</f>
        <v>147.8135</v>
      </c>
      <c r="K96" s="7">
        <f>日前电价!K96-实时电价!K96</f>
        <v>143.52109999999999</v>
      </c>
      <c r="L96" s="7">
        <f>日前电价!L96-实时电价!L96</f>
        <v>302.25650000000002</v>
      </c>
      <c r="M96" s="7">
        <f>日前电价!M96-实时电价!M96</f>
        <v>278.13220000000001</v>
      </c>
      <c r="N96" s="7">
        <f>日前电价!N96-实时电价!N96</f>
        <v>226.09020000000001</v>
      </c>
      <c r="O96" s="7">
        <f>日前电价!O96-实时电价!O96</f>
        <v>292.6746</v>
      </c>
      <c r="P96" s="7">
        <f>日前电价!P96-实时电价!P96</f>
        <v>295.47579999999999</v>
      </c>
      <c r="Q96" s="7">
        <f>日前电价!Q96-实时电价!Q96</f>
        <v>190.26240000000001</v>
      </c>
      <c r="R96" s="7">
        <f>日前电价!R96-实时电价!R96</f>
        <v>60.549500000000002</v>
      </c>
      <c r="S96" s="7">
        <f>日前电价!S96-实时电价!S96</f>
        <v>15.053900000000001</v>
      </c>
      <c r="T96" s="7">
        <f>日前电价!T96-实时电价!T96</f>
        <v>102.8095</v>
      </c>
      <c r="U96" s="7">
        <f>日前电价!U96-实时电价!U96</f>
        <v>-0.86000000000001398</v>
      </c>
      <c r="V96" s="7">
        <f>日前电价!V96-实时电价!V96</f>
        <v>1.0011000000000101</v>
      </c>
      <c r="W96" s="7">
        <f>日前电价!W96-实时电价!W96</f>
        <v>0.208000000000027</v>
      </c>
      <c r="X96" s="7">
        <f>日前电价!X96-实时电价!X96</f>
        <v>-11.5275</v>
      </c>
      <c r="Y96" s="7">
        <f>日前电价!Y96-实时电价!Y96</f>
        <v>-5.5550000000000104</v>
      </c>
      <c r="Z96" s="9">
        <f t="shared" si="3"/>
        <v>302.25650000000002</v>
      </c>
      <c r="AA96" s="9">
        <f t="shared" si="4"/>
        <v>-246.1404</v>
      </c>
      <c r="AB96" s="9">
        <f t="shared" si="5"/>
        <v>64.002200000000002</v>
      </c>
    </row>
    <row r="97" spans="1:28">
      <c r="A97" s="8">
        <v>45387</v>
      </c>
      <c r="B97" s="7">
        <f>日前电价!B97-实时电价!B97</f>
        <v>-103.75</v>
      </c>
      <c r="C97" s="7">
        <f>日前电价!C97-实时电价!C97</f>
        <v>6.7808000000000002</v>
      </c>
      <c r="D97" s="7">
        <f>日前电价!D97-实时电价!D97</f>
        <v>18.488499999999998</v>
      </c>
      <c r="E97" s="7">
        <f>日前电价!E97-实时电价!E97</f>
        <v>84.310599999999994</v>
      </c>
      <c r="F97" s="7">
        <f>日前电价!F97-实时电价!F97</f>
        <v>226.24529999999999</v>
      </c>
      <c r="G97" s="7">
        <f>日前电价!G97-实时电价!G97</f>
        <v>297.74380000000002</v>
      </c>
      <c r="H97" s="7">
        <f>日前电价!H97-实时电价!H97</f>
        <v>133.0479</v>
      </c>
      <c r="I97" s="7">
        <f>日前电价!I97-实时电价!I97</f>
        <v>1.2956000000000401</v>
      </c>
      <c r="J97" s="7">
        <f>日前电价!J97-实时电价!J97</f>
        <v>8.68760000000003</v>
      </c>
      <c r="K97" s="7">
        <f>日前电价!K97-实时电价!K97</f>
        <v>28.061599999999999</v>
      </c>
      <c r="L97" s="7">
        <f>日前电价!L97-实时电价!L97</f>
        <v>62.959600000000002</v>
      </c>
      <c r="M97" s="7">
        <f>日前电价!M97-实时电价!M97</f>
        <v>85.218299999999999</v>
      </c>
      <c r="N97" s="7">
        <f>日前电价!N97-实时电价!N97</f>
        <v>9.3495000000000292</v>
      </c>
      <c r="O97" s="7">
        <f>日前电价!O97-实时电价!O97</f>
        <v>4.7220999999999496</v>
      </c>
      <c r="P97" s="7">
        <f>日前电价!P97-实时电价!P97</f>
        <v>30.673999999999999</v>
      </c>
      <c r="Q97" s="7">
        <f>日前电价!Q97-实时电价!Q97</f>
        <v>29.8949</v>
      </c>
      <c r="R97" s="7">
        <f>日前电价!R97-实时电价!R97</f>
        <v>40.013500000000001</v>
      </c>
      <c r="S97" s="7">
        <f>日前电价!S97-实时电价!S97</f>
        <v>36.386699999999998</v>
      </c>
      <c r="T97" s="7">
        <f>日前电价!T97-实时电价!T97</f>
        <v>25.4315</v>
      </c>
      <c r="U97" s="7">
        <f>日前电价!U97-实时电价!U97</f>
        <v>39.981000000000002</v>
      </c>
      <c r="V97" s="7">
        <f>日前电价!V97-实时电价!V97</f>
        <v>33.853999999999999</v>
      </c>
      <c r="W97" s="7">
        <f>日前电价!W97-实时电价!W97</f>
        <v>49.250900000000001</v>
      </c>
      <c r="X97" s="7">
        <f>日前电价!X97-实时电价!X97</f>
        <v>61.648099999999999</v>
      </c>
      <c r="Y97" s="7">
        <f>日前电价!Y97-实时电价!Y97</f>
        <v>44.187800000000003</v>
      </c>
      <c r="Z97" s="9">
        <f t="shared" si="3"/>
        <v>297.74380000000002</v>
      </c>
      <c r="AA97" s="9">
        <f t="shared" si="4"/>
        <v>-103.75</v>
      </c>
      <c r="AB97" s="9">
        <f t="shared" si="5"/>
        <v>52.270150000000001</v>
      </c>
    </row>
    <row r="98" spans="1:28">
      <c r="A98" s="8">
        <v>45388</v>
      </c>
      <c r="B98" s="7">
        <f>日前电价!B98-实时电价!B98</f>
        <v>-1.1641000000000199</v>
      </c>
      <c r="C98" s="7">
        <f>日前电价!C98-实时电价!C98</f>
        <v>-1.38710000000003</v>
      </c>
      <c r="D98" s="7">
        <f>日前电价!D98-实时电价!D98</f>
        <v>41.450499999999998</v>
      </c>
      <c r="E98" s="7">
        <f>日前电价!E98-实时电价!E98</f>
        <v>95.716899999999995</v>
      </c>
      <c r="F98" s="7">
        <f>日前电价!F98-实时电价!F98</f>
        <v>198.26300000000001</v>
      </c>
      <c r="G98" s="7">
        <f>日前电价!G98-实时电价!G98</f>
        <v>147.05029999999999</v>
      </c>
      <c r="H98" s="7">
        <f>日前电价!H98-实时电价!H98</f>
        <v>139.4298</v>
      </c>
      <c r="I98" s="7">
        <f>日前电价!I98-实时电价!I98</f>
        <v>24.600899999999999</v>
      </c>
      <c r="J98" s="7">
        <f>日前电价!J98-实时电价!J98</f>
        <v>20.180800000000001</v>
      </c>
      <c r="K98" s="7">
        <f>日前电价!K98-实时电价!K98</f>
        <v>41.085700000000003</v>
      </c>
      <c r="L98" s="7">
        <f>日前电价!L98-实时电价!L98</f>
        <v>148.4982</v>
      </c>
      <c r="M98" s="7">
        <f>日前电价!M98-实时电价!M98</f>
        <v>197.69919999999999</v>
      </c>
      <c r="N98" s="7">
        <f>日前电价!N98-实时电价!N98</f>
        <v>116.2694</v>
      </c>
      <c r="O98" s="7">
        <f>日前电价!O98-实时电价!O98</f>
        <v>36.290199999999999</v>
      </c>
      <c r="P98" s="7">
        <f>日前电价!P98-实时电价!P98</f>
        <v>66.444699999999997</v>
      </c>
      <c r="Q98" s="7">
        <f>日前电价!Q98-实时电价!Q98</f>
        <v>67.510400000000004</v>
      </c>
      <c r="R98" s="7">
        <f>日前电价!R98-实时电价!R98</f>
        <v>26.994900000000001</v>
      </c>
      <c r="S98" s="7">
        <f>日前电价!S98-实时电价!S98</f>
        <v>26.797699999999999</v>
      </c>
      <c r="T98" s="7">
        <f>日前电价!T98-实时电价!T98</f>
        <v>39.5854</v>
      </c>
      <c r="U98" s="7">
        <f>日前电价!U98-实时电价!U98</f>
        <v>49.798299999999998</v>
      </c>
      <c r="V98" s="7">
        <f>日前电价!V98-实时电价!V98</f>
        <v>46.564399999999999</v>
      </c>
      <c r="W98" s="7">
        <f>日前电价!W98-实时电价!W98</f>
        <v>36.722000000000001</v>
      </c>
      <c r="X98" s="7">
        <f>日前电价!X98-实时电价!X98</f>
        <v>57.0413</v>
      </c>
      <c r="Y98" s="7">
        <f>日前电价!Y98-实时电价!Y98</f>
        <v>65.524100000000004</v>
      </c>
      <c r="Z98" s="9">
        <f t="shared" si="3"/>
        <v>198.26300000000001</v>
      </c>
      <c r="AA98" s="9">
        <f t="shared" si="4"/>
        <v>-1.38710000000003</v>
      </c>
      <c r="AB98" s="9">
        <f t="shared" si="5"/>
        <v>70.290287500000005</v>
      </c>
    </row>
    <row r="99" spans="1:28">
      <c r="A99" s="8">
        <v>45389</v>
      </c>
      <c r="B99" s="7">
        <f>日前电价!B99-实时电价!B99</f>
        <v>-108.13420000000001</v>
      </c>
      <c r="C99" s="7">
        <f>日前电价!C99-实时电价!C99</f>
        <v>6.75049999999999</v>
      </c>
      <c r="D99" s="7">
        <f>日前电价!D99-实时电价!D99</f>
        <v>11.8422</v>
      </c>
      <c r="E99" s="7">
        <f>日前电价!E99-实时电价!E99</f>
        <v>10.9048</v>
      </c>
      <c r="F99" s="7">
        <f>日前电价!F99-实时电价!F99</f>
        <v>8.4669000000000096</v>
      </c>
      <c r="G99" s="7">
        <f>日前电价!G99-实时电价!G99</f>
        <v>8.1897999999999893</v>
      </c>
      <c r="H99" s="7">
        <f>日前电价!H99-实时电价!H99</f>
        <v>0.24479999999999799</v>
      </c>
      <c r="I99" s="7">
        <f>日前电价!I99-实时电价!I99</f>
        <v>-2.2871999999999799</v>
      </c>
      <c r="J99" s="7">
        <f>日前电价!J99-实时电价!J99</f>
        <v>-6.2082000000000299</v>
      </c>
      <c r="K99" s="7">
        <f>日前电价!K99-实时电价!K99</f>
        <v>-61.365900000000003</v>
      </c>
      <c r="L99" s="7">
        <f>日前电价!L99-实时电价!L99</f>
        <v>-217.72829999999999</v>
      </c>
      <c r="M99" s="7">
        <f>日前电价!M99-实时电价!M99</f>
        <v>-97.028899999999993</v>
      </c>
      <c r="N99" s="7">
        <f>日前电价!N99-实时电价!N99</f>
        <v>-39.140700000000002</v>
      </c>
      <c r="O99" s="7">
        <f>日前电价!O99-实时电价!O99</f>
        <v>-188.03890000000001</v>
      </c>
      <c r="P99" s="7">
        <f>日前电价!P99-实时电价!P99</f>
        <v>-294.56420000000003</v>
      </c>
      <c r="Q99" s="7">
        <f>日前电价!Q99-实时电价!Q99</f>
        <v>-56.716900000000003</v>
      </c>
      <c r="R99" s="7">
        <f>日前电价!R99-实时电价!R99</f>
        <v>-20.7456</v>
      </c>
      <c r="S99" s="7">
        <f>日前电价!S99-实时电价!S99</f>
        <v>-31.122299999999999</v>
      </c>
      <c r="T99" s="7">
        <f>日前电价!T99-实时电价!T99</f>
        <v>-16.327100000000002</v>
      </c>
      <c r="U99" s="7">
        <f>日前电价!U99-实时电价!U99</f>
        <v>0.70810000000000195</v>
      </c>
      <c r="V99" s="7">
        <f>日前电价!V99-实时电价!V99</f>
        <v>5.17490000000004</v>
      </c>
      <c r="W99" s="7">
        <f>日前电价!W99-实时电价!W99</f>
        <v>11.069000000000001</v>
      </c>
      <c r="X99" s="7">
        <f>日前电价!X99-实时电价!X99</f>
        <v>13.5967</v>
      </c>
      <c r="Y99" s="7">
        <f>日前电价!Y99-实时电价!Y99</f>
        <v>15.2089</v>
      </c>
      <c r="Z99" s="9">
        <f t="shared" si="3"/>
        <v>15.2089</v>
      </c>
      <c r="AA99" s="9">
        <f t="shared" si="4"/>
        <v>-294.56420000000003</v>
      </c>
      <c r="AB99" s="9">
        <f t="shared" si="5"/>
        <v>-43.635491666666702</v>
      </c>
    </row>
    <row r="100" spans="1:28">
      <c r="A100" s="8">
        <v>45390</v>
      </c>
      <c r="B100" s="7">
        <f>日前电价!B100-实时电价!B100</f>
        <v>16.727</v>
      </c>
      <c r="C100" s="7">
        <f>日前电价!C100-实时电价!C100</f>
        <v>23.139099999999999</v>
      </c>
      <c r="D100" s="7">
        <f>日前电价!D100-实时电价!D100</f>
        <v>18.253799999999998</v>
      </c>
      <c r="E100" s="7">
        <f>日前电价!E100-实时电价!E100</f>
        <v>18.989899999999999</v>
      </c>
      <c r="F100" s="7">
        <f>日前电价!F100-实时电价!F100</f>
        <v>16.755199999999999</v>
      </c>
      <c r="G100" s="7">
        <f>日前电价!G100-实时电价!G100</f>
        <v>15.566599999999999</v>
      </c>
      <c r="H100" s="7">
        <f>日前电价!H100-实时电价!H100</f>
        <v>9.1789999999999701</v>
      </c>
      <c r="I100" s="7">
        <f>日前电价!I100-实时电价!I100</f>
        <v>5.3523000000000103</v>
      </c>
      <c r="J100" s="7">
        <f>日前电价!J100-实时电价!J100</f>
        <v>-14.771000000000001</v>
      </c>
      <c r="K100" s="7">
        <f>日前电价!K100-实时电价!K100</f>
        <v>10.219900000000001</v>
      </c>
      <c r="L100" s="7">
        <f>日前电价!L100-实时电价!L100</f>
        <v>29.298300000000001</v>
      </c>
      <c r="M100" s="7">
        <f>日前电价!M100-实时电价!M100</f>
        <v>26.505099999999999</v>
      </c>
      <c r="N100" s="7">
        <f>日前电价!N100-实时电价!N100</f>
        <v>149.0256</v>
      </c>
      <c r="O100" s="7">
        <f>日前电价!O100-实时电价!O100</f>
        <v>62.768599999999999</v>
      </c>
      <c r="P100" s="7">
        <f>日前电价!P100-实时电价!P100</f>
        <v>52.668300000000002</v>
      </c>
      <c r="Q100" s="7">
        <f>日前电价!Q100-实时电价!Q100</f>
        <v>38.603700000000003</v>
      </c>
      <c r="R100" s="7">
        <f>日前电价!R100-实时电价!R100</f>
        <v>28.5624</v>
      </c>
      <c r="S100" s="7">
        <f>日前电价!S100-实时电价!S100</f>
        <v>30.1464999999999</v>
      </c>
      <c r="T100" s="7">
        <f>日前电价!T100-实时电价!T100</f>
        <v>28.795300000000001</v>
      </c>
      <c r="U100" s="7">
        <f>日前电价!U100-实时电价!U100</f>
        <v>22.869800000000001</v>
      </c>
      <c r="V100" s="7">
        <f>日前电价!V100-实时电价!V100</f>
        <v>25.928000000000001</v>
      </c>
      <c r="W100" s="7">
        <f>日前电价!W100-实时电价!W100</f>
        <v>31.572199999999999</v>
      </c>
      <c r="X100" s="7">
        <f>日前电价!X100-实时电价!X100</f>
        <v>33.680199999999999</v>
      </c>
      <c r="Y100" s="7">
        <f>日前电价!Y100-实时电价!Y100</f>
        <v>73.424499999999995</v>
      </c>
      <c r="Z100" s="9">
        <f t="shared" si="3"/>
        <v>149.0256</v>
      </c>
      <c r="AA100" s="9">
        <f t="shared" si="4"/>
        <v>-14.771000000000001</v>
      </c>
      <c r="AB100" s="9">
        <f t="shared" si="5"/>
        <v>31.385845833333299</v>
      </c>
    </row>
    <row r="101" spans="1:28">
      <c r="A101" s="8">
        <v>45391</v>
      </c>
      <c r="B101" s="7">
        <f>日前电价!B101-实时电价!B101</f>
        <v>21.8827</v>
      </c>
      <c r="C101" s="7">
        <f>日前电价!C101-实时电价!C101</f>
        <v>31.9008</v>
      </c>
      <c r="D101" s="7">
        <f>日前电价!D101-实时电价!D101</f>
        <v>146.57230000000001</v>
      </c>
      <c r="E101" s="7">
        <f>日前电价!E101-实时电价!E101</f>
        <v>261.89710000000002</v>
      </c>
      <c r="F101" s="7">
        <f>日前电价!F101-实时电价!F101</f>
        <v>292.40210000000002</v>
      </c>
      <c r="G101" s="7">
        <f>日前电价!G101-实时电价!G101</f>
        <v>285.3057</v>
      </c>
      <c r="H101" s="7">
        <f>日前电价!H101-实时电价!H101</f>
        <v>91.597800000000007</v>
      </c>
      <c r="I101" s="7">
        <f>日前电价!I101-实时电价!I101</f>
        <v>19.2821</v>
      </c>
      <c r="J101" s="7">
        <f>日前电价!J101-实时电价!J101</f>
        <v>25.277899999999999</v>
      </c>
      <c r="K101" s="7">
        <f>日前电价!K101-实时电价!K101</f>
        <v>38.501300000000001</v>
      </c>
      <c r="L101" s="7">
        <f>日前电价!L101-实时电价!L101</f>
        <v>91.250399999999999</v>
      </c>
      <c r="M101" s="7">
        <f>日前电价!M101-实时电价!M101</f>
        <v>312.90769999999998</v>
      </c>
      <c r="N101" s="7">
        <f>日前电价!N101-实时电价!N101</f>
        <v>327.95409999999998</v>
      </c>
      <c r="O101" s="7">
        <f>日前电价!O101-实时电价!O101</f>
        <v>36.610599999999998</v>
      </c>
      <c r="P101" s="7">
        <f>日前电价!P101-实时电价!P101</f>
        <v>43.876300000000001</v>
      </c>
      <c r="Q101" s="7">
        <f>日前电价!Q101-实时电价!Q101</f>
        <v>35.232100000000003</v>
      </c>
      <c r="R101" s="7">
        <f>日前电价!R101-实时电价!R101</f>
        <v>15.395200000000001</v>
      </c>
      <c r="S101" s="7">
        <f>日前电价!S101-实时电价!S101</f>
        <v>20.378499999999999</v>
      </c>
      <c r="T101" s="7">
        <f>日前电价!T101-实时电价!T101</f>
        <v>21.937100000000001</v>
      </c>
      <c r="U101" s="7">
        <f>日前电价!U101-实时电价!U101</f>
        <v>10.8279</v>
      </c>
      <c r="V101" s="7">
        <f>日前电价!V101-实时电价!V101</f>
        <v>25.328199999999999</v>
      </c>
      <c r="W101" s="7">
        <f>日前电价!W101-实时电价!W101</f>
        <v>36.5366</v>
      </c>
      <c r="X101" s="7">
        <f>日前电价!X101-实时电价!X101</f>
        <v>54.793599999999998</v>
      </c>
      <c r="Y101" s="7">
        <f>日前电价!Y101-实时电价!Y101</f>
        <v>305.01369999999997</v>
      </c>
      <c r="Z101" s="9">
        <f t="shared" si="3"/>
        <v>327.95409999999998</v>
      </c>
      <c r="AA101" s="9">
        <f t="shared" si="4"/>
        <v>10.8279</v>
      </c>
      <c r="AB101" s="9">
        <f t="shared" si="5"/>
        <v>106.360908333333</v>
      </c>
    </row>
    <row r="102" spans="1:28">
      <c r="A102" s="8">
        <v>45392</v>
      </c>
      <c r="B102" s="7">
        <f>日前电价!B102-实时电价!B102</f>
        <v>0.20699999999999399</v>
      </c>
      <c r="C102" s="7">
        <f>日前电价!C102-实时电价!C102</f>
        <v>215.51499999999999</v>
      </c>
      <c r="D102" s="7">
        <f>日前电价!D102-实时电价!D102</f>
        <v>207.18809999999999</v>
      </c>
      <c r="E102" s="7">
        <f>日前电价!E102-实时电价!E102</f>
        <v>2.34</v>
      </c>
      <c r="F102" s="7">
        <f>日前电价!F102-实时电价!F102</f>
        <v>0</v>
      </c>
      <c r="G102" s="7">
        <f>日前电价!G102-实时电价!G102</f>
        <v>0</v>
      </c>
      <c r="H102" s="7">
        <f>日前电价!H102-实时电价!H102</f>
        <v>56.914099999999998</v>
      </c>
      <c r="I102" s="7">
        <f>日前电价!I102-实时电价!I102</f>
        <v>-9.8376999999999803</v>
      </c>
      <c r="J102" s="7">
        <f>日前电价!J102-实时电价!J102</f>
        <v>-45.426600000000001</v>
      </c>
      <c r="K102" s="7">
        <f>日前电价!K102-实时电价!K102</f>
        <v>-26.778099999999998</v>
      </c>
      <c r="L102" s="7">
        <f>日前电价!L102-实时电价!L102</f>
        <v>19.334199999999999</v>
      </c>
      <c r="M102" s="7">
        <f>日前电价!M102-实时电价!M102</f>
        <v>30.6418</v>
      </c>
      <c r="N102" s="7">
        <f>日前电价!N102-实时电价!N102</f>
        <v>301.14909999999998</v>
      </c>
      <c r="O102" s="7">
        <f>日前电价!O102-实时电价!O102</f>
        <v>231.38399999999999</v>
      </c>
      <c r="P102" s="7">
        <f>日前电价!P102-实时电价!P102</f>
        <v>24.187999999999999</v>
      </c>
      <c r="Q102" s="7">
        <f>日前电价!Q102-实时电价!Q102</f>
        <v>-4.1536999999999598</v>
      </c>
      <c r="R102" s="7">
        <f>日前电价!R102-实时电价!R102</f>
        <v>-29.654</v>
      </c>
      <c r="S102" s="7">
        <f>日前电价!S102-实时电价!S102</f>
        <v>-18.491800000000001</v>
      </c>
      <c r="T102" s="7">
        <f>日前电价!T102-实时电价!T102</f>
        <v>14.874000000000001</v>
      </c>
      <c r="U102" s="7">
        <f>日前电价!U102-实时电价!U102</f>
        <v>-21.087599999999998</v>
      </c>
      <c r="V102" s="7">
        <f>日前电价!V102-实时电价!V102</f>
        <v>0.71229999999997096</v>
      </c>
      <c r="W102" s="7">
        <f>日前电价!W102-实时电价!W102</f>
        <v>17.169899999999998</v>
      </c>
      <c r="X102" s="7">
        <f>日前电价!X102-实时电价!X102</f>
        <v>19.399100000000001</v>
      </c>
      <c r="Y102" s="7">
        <f>日前电价!Y102-实时电价!Y102</f>
        <v>69.877499999999998</v>
      </c>
      <c r="Z102" s="9">
        <f t="shared" si="3"/>
        <v>301.14909999999998</v>
      </c>
      <c r="AA102" s="9">
        <f t="shared" si="4"/>
        <v>-45.426600000000001</v>
      </c>
      <c r="AB102" s="9">
        <f t="shared" si="5"/>
        <v>43.977691666666701</v>
      </c>
    </row>
    <row r="103" spans="1:28">
      <c r="A103" s="8">
        <v>45393</v>
      </c>
      <c r="B103" s="7">
        <f>日前电价!B103-实时电价!B103</f>
        <v>-7.2927999999999997</v>
      </c>
      <c r="C103" s="7">
        <f>日前电价!C103-实时电价!C103</f>
        <v>12.1753</v>
      </c>
      <c r="D103" s="7">
        <f>日前电价!D103-实时电价!D103</f>
        <v>19.032599999999999</v>
      </c>
      <c r="E103" s="7">
        <f>日前电价!E103-实时电价!E103</f>
        <v>12.425599999999999</v>
      </c>
      <c r="F103" s="7">
        <f>日前电价!F103-实时电价!F103</f>
        <v>175.80250000000001</v>
      </c>
      <c r="G103" s="7">
        <f>日前电价!G103-实时电价!G103</f>
        <v>41.9739</v>
      </c>
      <c r="H103" s="7">
        <f>日前电价!H103-实时电价!H103</f>
        <v>-9.9786000000000303</v>
      </c>
      <c r="I103" s="7">
        <f>日前电价!I103-实时电价!I103</f>
        <v>-16.157599999999999</v>
      </c>
      <c r="J103" s="7">
        <f>日前电价!J103-实时电价!J103</f>
        <v>-31.813200000000101</v>
      </c>
      <c r="K103" s="7">
        <f>日前电价!K103-实时电价!K103</f>
        <v>-14.980399999999999</v>
      </c>
      <c r="L103" s="7">
        <f>日前电价!L103-实时电价!L103</f>
        <v>-6.8246000000000304</v>
      </c>
      <c r="M103" s="7">
        <f>日前电价!M103-实时电价!M103</f>
        <v>1.97219999999999</v>
      </c>
      <c r="N103" s="7">
        <f>日前电价!N103-实时电价!N103</f>
        <v>67.311099999999996</v>
      </c>
      <c r="O103" s="7">
        <f>日前电价!O103-实时电价!O103</f>
        <v>-48.7087</v>
      </c>
      <c r="P103" s="7">
        <f>日前电价!P103-实时电价!P103</f>
        <v>-15.44</v>
      </c>
      <c r="Q103" s="7">
        <f>日前电价!Q103-实时电价!Q103</f>
        <v>-14.2517</v>
      </c>
      <c r="R103" s="7">
        <f>日前电价!R103-实时电价!R103</f>
        <v>-196.40780000000001</v>
      </c>
      <c r="S103" s="7">
        <f>日前电价!S103-实时电价!S103</f>
        <v>-154.13460000000001</v>
      </c>
      <c r="T103" s="7">
        <f>日前电价!T103-实时电价!T103</f>
        <v>-85.055999999999997</v>
      </c>
      <c r="U103" s="7">
        <f>日前电价!U103-实时电价!U103</f>
        <v>-114.6722</v>
      </c>
      <c r="V103" s="7">
        <f>日前电价!V103-实时电价!V103</f>
        <v>-85.814800000000005</v>
      </c>
      <c r="W103" s="7">
        <f>日前电价!W103-实时电价!W103</f>
        <v>-9.4794</v>
      </c>
      <c r="X103" s="7">
        <f>日前电价!X103-实时电价!X103</f>
        <v>-6.1025999999999998</v>
      </c>
      <c r="Y103" s="7">
        <f>日前电价!Y103-实时电价!Y103</f>
        <v>-14.2258</v>
      </c>
      <c r="Z103" s="9">
        <f t="shared" si="3"/>
        <v>175.80250000000001</v>
      </c>
      <c r="AA103" s="9">
        <f t="shared" si="4"/>
        <v>-196.40780000000001</v>
      </c>
      <c r="AB103" s="9">
        <f t="shared" si="5"/>
        <v>-20.860316666666701</v>
      </c>
    </row>
    <row r="104" spans="1:28">
      <c r="A104" s="8">
        <v>45394</v>
      </c>
      <c r="B104" s="7">
        <f>日前电价!B104-实时电价!B104</f>
        <v>-25.744199999999999</v>
      </c>
      <c r="C104" s="7">
        <f>日前电价!C104-实时电价!C104</f>
        <v>-6.0679000000000096</v>
      </c>
      <c r="D104" s="7">
        <f>日前电价!D104-实时电价!D104</f>
        <v>0.86540000000002204</v>
      </c>
      <c r="E104" s="7">
        <f>日前电价!E104-实时电价!E104</f>
        <v>2.1642999999999701</v>
      </c>
      <c r="F104" s="7">
        <f>日前电价!F104-实时电价!F104</f>
        <v>-1.75830000000002</v>
      </c>
      <c r="G104" s="7">
        <f>日前电价!G104-实时电价!G104</f>
        <v>-7.202</v>
      </c>
      <c r="H104" s="7">
        <f>日前电价!H104-实时电价!H104</f>
        <v>-12.147500000000001</v>
      </c>
      <c r="I104" s="7">
        <f>日前电价!I104-实时电价!I104</f>
        <v>-7.1703000000000001</v>
      </c>
      <c r="J104" s="7">
        <f>日前电价!J104-实时电价!J104</f>
        <v>-18.608899999999998</v>
      </c>
      <c r="K104" s="7">
        <f>日前电价!K104-实时电价!K104</f>
        <v>-25.4513</v>
      </c>
      <c r="L104" s="7">
        <f>日前电价!L104-实时电价!L104</f>
        <v>-11.1411</v>
      </c>
      <c r="M104" s="7">
        <f>日前电价!M104-实时电价!M104</f>
        <v>20.524899999999999</v>
      </c>
      <c r="N104" s="7">
        <f>日前电价!N104-实时电价!N104</f>
        <v>81.200599999999994</v>
      </c>
      <c r="O104" s="7">
        <f>日前电价!O104-实时电价!O104</f>
        <v>-19.384599999999999</v>
      </c>
      <c r="P104" s="7">
        <f>日前电价!P104-实时电价!P104</f>
        <v>-0.51040000000000396</v>
      </c>
      <c r="Q104" s="7">
        <f>日前电价!Q104-实时电价!Q104</f>
        <v>-36.830500000000001</v>
      </c>
      <c r="R104" s="7">
        <f>日前电价!R104-实时电价!R104</f>
        <v>-40.071599999999997</v>
      </c>
      <c r="S104" s="7">
        <f>日前电价!S104-实时电价!S104</f>
        <v>-28.072900000000001</v>
      </c>
      <c r="T104" s="7">
        <f>日前电价!T104-实时电价!T104</f>
        <v>-3.2397000000000298</v>
      </c>
      <c r="U104" s="7">
        <f>日前电价!U104-实时电价!U104</f>
        <v>-28.469799999999999</v>
      </c>
      <c r="V104" s="7">
        <f>日前电价!V104-实时电价!V104</f>
        <v>-32.968800000000002</v>
      </c>
      <c r="W104" s="7">
        <f>日前电价!W104-实时电价!W104</f>
        <v>-22.2988</v>
      </c>
      <c r="X104" s="7">
        <f>日前电价!X104-实时电价!X104</f>
        <v>-23.0777</v>
      </c>
      <c r="Y104" s="7">
        <f>日前电价!Y104-实时电价!Y104</f>
        <v>-31.317900000000002</v>
      </c>
      <c r="Z104" s="9">
        <f t="shared" si="3"/>
        <v>81.200599999999994</v>
      </c>
      <c r="AA104" s="9">
        <f t="shared" si="4"/>
        <v>-40.071599999999997</v>
      </c>
      <c r="AB104" s="9">
        <f t="shared" si="5"/>
        <v>-11.532458333333301</v>
      </c>
    </row>
    <row r="105" spans="1:28">
      <c r="A105" s="8">
        <v>45395</v>
      </c>
      <c r="B105" s="7">
        <f>日前电价!B105-实时电价!B105</f>
        <v>-289.47680000000003</v>
      </c>
      <c r="C105" s="7">
        <f>日前电价!C105-实时电价!C105</f>
        <v>-62.761299999999999</v>
      </c>
      <c r="D105" s="7">
        <f>日前电价!D105-实时电价!D105</f>
        <v>-14.3705</v>
      </c>
      <c r="E105" s="7">
        <f>日前电价!E105-实时电价!E105</f>
        <v>-9.2037999999999993</v>
      </c>
      <c r="F105" s="7">
        <f>日前电价!F105-实时电价!F105</f>
        <v>-10.724399999999999</v>
      </c>
      <c r="G105" s="7">
        <f>日前电价!G105-实时电价!G105</f>
        <v>-4.9109999999999996</v>
      </c>
      <c r="H105" s="7">
        <f>日前电价!H105-实时电价!H105</f>
        <v>-8.0781000000000098</v>
      </c>
      <c r="I105" s="7">
        <f>日前电价!I105-实时电价!I105</f>
        <v>-10.081899999999999</v>
      </c>
      <c r="J105" s="7">
        <f>日前电价!J105-实时电价!J105</f>
        <v>-9.4888000000000297</v>
      </c>
      <c r="K105" s="7">
        <f>日前电价!K105-实时电价!K105</f>
        <v>1.1669</v>
      </c>
      <c r="L105" s="7">
        <f>日前电价!L105-实时电价!L105</f>
        <v>2.4186999999999999</v>
      </c>
      <c r="M105" s="7">
        <f>日前电价!M105-实时电价!M105</f>
        <v>30.630800000000001</v>
      </c>
      <c r="N105" s="7">
        <f>日前电价!N105-实时电价!N105</f>
        <v>150.411</v>
      </c>
      <c r="O105" s="7">
        <f>日前电价!O105-实时电价!O105</f>
        <v>-19.295400000000001</v>
      </c>
      <c r="P105" s="7">
        <f>日前电价!P105-实时电价!P105</f>
        <v>-18.826599999999999</v>
      </c>
      <c r="Q105" s="7">
        <f>日前电价!Q105-实时电价!Q105</f>
        <v>-41.469900000000003</v>
      </c>
      <c r="R105" s="7">
        <f>日前电价!R105-实时电价!R105</f>
        <v>-99.930199999999999</v>
      </c>
      <c r="S105" s="7">
        <f>日前电价!S105-实时电价!S105</f>
        <v>10.6944</v>
      </c>
      <c r="T105" s="7">
        <f>日前电价!T105-实时电价!T105</f>
        <v>-0.40699999999998199</v>
      </c>
      <c r="U105" s="7">
        <f>日前电价!U105-实时电价!U105</f>
        <v>-15.218500000000001</v>
      </c>
      <c r="V105" s="7">
        <f>日前电价!V105-实时电价!V105</f>
        <v>3.88959999999997</v>
      </c>
      <c r="W105" s="7">
        <f>日前电价!W105-实时电价!W105</f>
        <v>3.7511000000000099</v>
      </c>
      <c r="X105" s="7">
        <f>日前电价!X105-实时电价!X105</f>
        <v>-13.1594</v>
      </c>
      <c r="Y105" s="7">
        <f>日前电价!Y105-实时电价!Y105</f>
        <v>-19.717300000000002</v>
      </c>
      <c r="Z105" s="9">
        <f t="shared" si="3"/>
        <v>150.411</v>
      </c>
      <c r="AA105" s="9">
        <f t="shared" si="4"/>
        <v>-289.47680000000003</v>
      </c>
      <c r="AB105" s="9">
        <f t="shared" si="5"/>
        <v>-18.506599999999999</v>
      </c>
    </row>
    <row r="106" spans="1:28">
      <c r="A106" s="8">
        <v>45396</v>
      </c>
      <c r="B106" s="7">
        <f>日前电价!B106-实时电价!B106</f>
        <v>-276.09859999999998</v>
      </c>
      <c r="C106" s="7">
        <f>日前电价!C106-实时电价!C106</f>
        <v>-171.43260000000001</v>
      </c>
      <c r="D106" s="7">
        <f>日前电价!D106-实时电价!D106</f>
        <v>-19.1312</v>
      </c>
      <c r="E106" s="7">
        <f>日前电价!E106-实时电价!E106</f>
        <v>-14.2827</v>
      </c>
      <c r="F106" s="7">
        <f>日前电价!F106-实时电价!F106</f>
        <v>-15.1206</v>
      </c>
      <c r="G106" s="7">
        <f>日前电价!G106-实时电价!G106</f>
        <v>-6.6946000000000403</v>
      </c>
      <c r="H106" s="7">
        <f>日前电价!H106-实时电价!H106</f>
        <v>-11.6295</v>
      </c>
      <c r="I106" s="7">
        <f>日前电价!I106-实时电价!I106</f>
        <v>-14.888999999999999</v>
      </c>
      <c r="J106" s="7">
        <f>日前电价!J106-实时电价!J106</f>
        <v>-8.0742999999999903</v>
      </c>
      <c r="K106" s="7">
        <f>日前电价!K106-实时电价!K106</f>
        <v>4.7099000000000002</v>
      </c>
      <c r="L106" s="7">
        <f>日前电价!L106-实时电价!L106</f>
        <v>-3.9440999999999899</v>
      </c>
      <c r="M106" s="7">
        <f>日前电价!M106-实时电价!M106</f>
        <v>34.991300000000003</v>
      </c>
      <c r="N106" s="7">
        <f>日前电价!N106-实时电价!N106</f>
        <v>81.849599999999995</v>
      </c>
      <c r="O106" s="7">
        <f>日前电价!O106-实时电价!O106</f>
        <v>4.1381000000000103</v>
      </c>
      <c r="P106" s="7">
        <f>日前电价!P106-实时电价!P106</f>
        <v>-16.523499999999999</v>
      </c>
      <c r="Q106" s="7">
        <f>日前电价!Q106-实时电价!Q106</f>
        <v>-5.9189999999999801</v>
      </c>
      <c r="R106" s="7">
        <f>日前电价!R106-实时电价!R106</f>
        <v>-29.334800000000001</v>
      </c>
      <c r="S106" s="7">
        <f>日前电价!S106-实时电价!S106</f>
        <v>-7.6669999999999696</v>
      </c>
      <c r="T106" s="7">
        <f>日前电价!T106-实时电价!T106</f>
        <v>-11.1023</v>
      </c>
      <c r="U106" s="7">
        <f>日前电价!U106-实时电价!U106</f>
        <v>-60.8431</v>
      </c>
      <c r="V106" s="7">
        <f>日前电价!V106-实时电价!V106</f>
        <v>-85.241500000000002</v>
      </c>
      <c r="W106" s="7">
        <f>日前电价!W106-实时电价!W106</f>
        <v>-252.84219999999999</v>
      </c>
      <c r="X106" s="7">
        <f>日前电价!X106-实时电价!X106</f>
        <v>-53.304200000000002</v>
      </c>
      <c r="Y106" s="7">
        <f>日前电价!Y106-实时电价!Y106</f>
        <v>-32.822299999999998</v>
      </c>
      <c r="Z106" s="9">
        <f t="shared" si="3"/>
        <v>81.849599999999995</v>
      </c>
      <c r="AA106" s="9">
        <f t="shared" si="4"/>
        <v>-276.09859999999998</v>
      </c>
      <c r="AB106" s="9">
        <f t="shared" si="5"/>
        <v>-40.467008333333297</v>
      </c>
    </row>
    <row r="107" spans="1:28">
      <c r="A107" s="8">
        <v>45397</v>
      </c>
      <c r="B107" s="7">
        <f>日前电价!B107-实时电价!B107</f>
        <v>-365.93119999999999</v>
      </c>
      <c r="C107" s="7">
        <f>日前电价!C107-实时电价!C107</f>
        <v>-113.2722</v>
      </c>
      <c r="D107" s="7">
        <f>日前电价!D107-实时电价!D107</f>
        <v>-14.849600000000001</v>
      </c>
      <c r="E107" s="7">
        <f>日前电价!E107-实时电价!E107</f>
        <v>-4.7706</v>
      </c>
      <c r="F107" s="7">
        <f>日前电价!F107-实时电价!F107</f>
        <v>-4.9435000000000304</v>
      </c>
      <c r="G107" s="7">
        <f>日前电价!G107-实时电价!G107</f>
        <v>-9.2159999999999496</v>
      </c>
      <c r="H107" s="7">
        <f>日前电价!H107-实时电价!H107</f>
        <v>-54.016100000000002</v>
      </c>
      <c r="I107" s="7">
        <f>日前电价!I107-实时电价!I107</f>
        <v>-103.2848</v>
      </c>
      <c r="J107" s="7">
        <f>日前电价!J107-实时电价!J107</f>
        <v>-261.8734</v>
      </c>
      <c r="K107" s="7">
        <f>日前电价!K107-实时电价!K107</f>
        <v>-207.65350000000001</v>
      </c>
      <c r="L107" s="7">
        <f>日前电价!L107-实时电价!L107</f>
        <v>52.903799999999997</v>
      </c>
      <c r="M107" s="7">
        <f>日前电价!M107-实时电价!M107</f>
        <v>82.493300000000005</v>
      </c>
      <c r="N107" s="7">
        <f>日前电价!N107-实时电价!N107</f>
        <v>17.852399999999999</v>
      </c>
      <c r="O107" s="7">
        <f>日前电价!O107-实时电价!O107</f>
        <v>20.476500000000001</v>
      </c>
      <c r="P107" s="7">
        <f>日前电价!P107-实时电价!P107</f>
        <v>125.2529</v>
      </c>
      <c r="Q107" s="7">
        <f>日前电价!Q107-实时电价!Q107</f>
        <v>-92.313599999999994</v>
      </c>
      <c r="R107" s="7">
        <f>日前电价!R107-实时电价!R107</f>
        <v>-44.574399999999997</v>
      </c>
      <c r="S107" s="7">
        <f>日前电价!S107-实时电价!S107</f>
        <v>-45.188000000000002</v>
      </c>
      <c r="T107" s="7">
        <f>日前电价!T107-实时电价!T107</f>
        <v>-22.250599999999999</v>
      </c>
      <c r="U107" s="7">
        <f>日前电价!U107-实时电价!U107</f>
        <v>-53.497199999999999</v>
      </c>
      <c r="V107" s="7">
        <f>日前电价!V107-实时电价!V107</f>
        <v>-50.626399999999997</v>
      </c>
      <c r="W107" s="7">
        <f>日前电价!W107-实时电价!W107</f>
        <v>-56.347700000000003</v>
      </c>
      <c r="X107" s="7">
        <f>日前电价!X107-实时电价!X107</f>
        <v>-19.850000000000001</v>
      </c>
      <c r="Y107" s="7">
        <f>日前电价!Y107-实时电价!Y107</f>
        <v>-14.237299999999999</v>
      </c>
      <c r="Z107" s="9">
        <f t="shared" si="3"/>
        <v>125.2529</v>
      </c>
      <c r="AA107" s="9">
        <f t="shared" si="4"/>
        <v>-365.93119999999999</v>
      </c>
      <c r="AB107" s="9">
        <f t="shared" si="5"/>
        <v>-51.654883333333302</v>
      </c>
    </row>
    <row r="108" spans="1:28">
      <c r="A108" s="8">
        <v>45398</v>
      </c>
      <c r="B108" s="7">
        <f>日前电价!B108-实时电价!B108</f>
        <v>-19.627300000000002</v>
      </c>
      <c r="C108" s="7">
        <f>日前电价!C108-实时电价!C108</f>
        <v>-2.887</v>
      </c>
      <c r="D108" s="7">
        <f>日前电价!D108-实时电价!D108</f>
        <v>-0.60610000000002595</v>
      </c>
      <c r="E108" s="7">
        <f>日前电价!E108-实时电价!E108</f>
        <v>7.6587999999999896</v>
      </c>
      <c r="F108" s="7">
        <f>日前电价!F108-实时电价!F108</f>
        <v>0.26650000000000801</v>
      </c>
      <c r="G108" s="7">
        <f>日前电价!G108-实时电价!G108</f>
        <v>5.2978999999999701</v>
      </c>
      <c r="H108" s="7">
        <f>日前电价!H108-实时电价!H108</f>
        <v>-1.17310000000003</v>
      </c>
      <c r="I108" s="7">
        <f>日前电价!I108-实时电价!I108</f>
        <v>-6.6784999999999899</v>
      </c>
      <c r="J108" s="7">
        <f>日前电价!J108-实时电价!J108</f>
        <v>-12.5426</v>
      </c>
      <c r="K108" s="7">
        <f>日前电价!K108-实时电价!K108</f>
        <v>75.071700000000007</v>
      </c>
      <c r="L108" s="7">
        <f>日前电价!L108-实时电价!L108</f>
        <v>169.40950000000001</v>
      </c>
      <c r="M108" s="7">
        <f>日前电价!M108-实时电价!M108</f>
        <v>83.953400000000002</v>
      </c>
      <c r="N108" s="7">
        <f>日前电价!N108-实时电价!N108</f>
        <v>30.7925</v>
      </c>
      <c r="O108" s="7">
        <f>日前电价!O108-实时电价!O108</f>
        <v>68.690700000000007</v>
      </c>
      <c r="P108" s="7">
        <f>日前电价!P108-实时电价!P108</f>
        <v>104.50960000000001</v>
      </c>
      <c r="Q108" s="7">
        <f>日前电价!Q108-实时电价!Q108</f>
        <v>16.980599999999999</v>
      </c>
      <c r="R108" s="7">
        <f>日前电价!R108-实时电价!R108</f>
        <v>-15.405799999999999</v>
      </c>
      <c r="S108" s="7">
        <f>日前电价!S108-实时电价!S108</f>
        <v>-21.5563</v>
      </c>
      <c r="T108" s="7">
        <f>日前电价!T108-实时电价!T108</f>
        <v>-16.450800000000001</v>
      </c>
      <c r="U108" s="7">
        <f>日前电价!U108-实时电价!U108</f>
        <v>-17.7347</v>
      </c>
      <c r="V108" s="7">
        <f>日前电价!V108-实时电价!V108</f>
        <v>-31.066400000000002</v>
      </c>
      <c r="W108" s="7">
        <f>日前电价!W108-实时电价!W108</f>
        <v>-46.673299999999998</v>
      </c>
      <c r="X108" s="7">
        <f>日前电价!X108-实时电价!X108</f>
        <v>-50.2346</v>
      </c>
      <c r="Y108" s="7">
        <f>日前电价!Y108-实时电价!Y108</f>
        <v>-33.113100000000003</v>
      </c>
      <c r="Z108" s="9">
        <f t="shared" si="3"/>
        <v>169.40950000000001</v>
      </c>
      <c r="AA108" s="9">
        <f t="shared" si="4"/>
        <v>-50.2346</v>
      </c>
      <c r="AB108" s="9">
        <f t="shared" si="5"/>
        <v>11.9534</v>
      </c>
    </row>
    <row r="109" spans="1:28">
      <c r="A109" s="8">
        <v>45399</v>
      </c>
      <c r="B109" s="7">
        <f>日前电价!B109-实时电价!B109</f>
        <v>-291.36160000000001</v>
      </c>
      <c r="C109" s="7">
        <f>日前电价!C109-实时电价!C109</f>
        <v>-159.1849</v>
      </c>
      <c r="D109" s="7">
        <f>日前电价!D109-实时电价!D109</f>
        <v>-15.744899999999999</v>
      </c>
      <c r="E109" s="7">
        <f>日前电价!E109-实时电价!E109</f>
        <v>-11.513400000000001</v>
      </c>
      <c r="F109" s="7">
        <f>日前电价!F109-实时电价!F109</f>
        <v>-12.1073</v>
      </c>
      <c r="G109" s="7">
        <f>日前电价!G109-实时电价!G109</f>
        <v>-11.387600000000001</v>
      </c>
      <c r="H109" s="7">
        <f>日前电价!H109-实时电价!H109</f>
        <v>-21.290600000000001</v>
      </c>
      <c r="I109" s="7">
        <f>日前电价!I109-实时电价!I109</f>
        <v>-21.849699999999999</v>
      </c>
      <c r="J109" s="7">
        <f>日前电价!J109-实时电价!J109</f>
        <v>-48.821899999999999</v>
      </c>
      <c r="K109" s="7">
        <f>日前电价!K109-实时电价!K109</f>
        <v>39.9193</v>
      </c>
      <c r="L109" s="7">
        <f>日前电价!L109-实时电价!L109</f>
        <v>-124.1185</v>
      </c>
      <c r="M109" s="7">
        <f>日前电价!M109-实时电价!M109</f>
        <v>86.253299999999996</v>
      </c>
      <c r="N109" s="7">
        <f>日前电价!N109-实时电价!N109</f>
        <v>-44.114800000000002</v>
      </c>
      <c r="O109" s="7">
        <f>日前电价!O109-实时电价!O109</f>
        <v>-90.936499999999995</v>
      </c>
      <c r="P109" s="7">
        <f>日前电价!P109-实时电价!P109</f>
        <v>-151.47579999999999</v>
      </c>
      <c r="Q109" s="7">
        <f>日前电价!Q109-实时电价!Q109</f>
        <v>-221.66419999999999</v>
      </c>
      <c r="R109" s="7">
        <f>日前电价!R109-实时电价!R109</f>
        <v>-96.643500000000003</v>
      </c>
      <c r="S109" s="7">
        <f>日前电价!S109-实时电价!S109</f>
        <v>-120.04179999999999</v>
      </c>
      <c r="T109" s="7">
        <f>日前电价!T109-实时电价!T109</f>
        <v>-19.402000000000001</v>
      </c>
      <c r="U109" s="7">
        <f>日前电价!U109-实时电价!U109</f>
        <v>-14.323600000000001</v>
      </c>
      <c r="V109" s="7">
        <f>日前电价!V109-实时电价!V109</f>
        <v>-165.66390000000001</v>
      </c>
      <c r="W109" s="7">
        <f>日前电价!W109-实时电价!W109</f>
        <v>-314.8075</v>
      </c>
      <c r="X109" s="7">
        <f>日前电价!X109-实时电价!X109</f>
        <v>-230.96940000000001</v>
      </c>
      <c r="Y109" s="7">
        <f>日前电价!Y109-实时电价!Y109</f>
        <v>-61.303100000000001</v>
      </c>
      <c r="Z109" s="9">
        <f t="shared" si="3"/>
        <v>86.253299999999996</v>
      </c>
      <c r="AA109" s="9">
        <f t="shared" si="4"/>
        <v>-314.8075</v>
      </c>
      <c r="AB109" s="9">
        <f t="shared" si="5"/>
        <v>-88.439745833333305</v>
      </c>
    </row>
    <row r="110" spans="1:28">
      <c r="A110" s="8">
        <v>45400</v>
      </c>
      <c r="B110" s="7">
        <f>日前电价!B110-实时电价!B110</f>
        <v>-160.1885</v>
      </c>
      <c r="C110" s="7">
        <f>日前电价!C110-实时电价!C110</f>
        <v>-167.0299</v>
      </c>
      <c r="D110" s="7">
        <f>日前电价!D110-实时电价!D110</f>
        <v>-98.937100000000001</v>
      </c>
      <c r="E110" s="7">
        <f>日前电价!E110-实时电价!E110</f>
        <v>-15.312900000000001</v>
      </c>
      <c r="F110" s="7">
        <f>日前电价!F110-实时电价!F110</f>
        <v>-16.523</v>
      </c>
      <c r="G110" s="7">
        <f>日前电价!G110-实时电价!G110</f>
        <v>-17.198899999999998</v>
      </c>
      <c r="H110" s="7">
        <f>日前电价!H110-实时电价!H110</f>
        <v>-10.075900000000001</v>
      </c>
      <c r="I110" s="7">
        <f>日前电价!I110-实时电价!I110</f>
        <v>-26.160499999999999</v>
      </c>
      <c r="J110" s="7">
        <f>日前电价!J110-实时电价!J110</f>
        <v>-139.3193</v>
      </c>
      <c r="K110" s="7">
        <f>日前电价!K110-实时电价!K110</f>
        <v>-92.787099999999995</v>
      </c>
      <c r="L110" s="7">
        <f>日前电价!L110-实时电价!L110</f>
        <v>203.83279999999999</v>
      </c>
      <c r="M110" s="7">
        <f>日前电价!M110-实时电价!M110</f>
        <v>179.83449999999999</v>
      </c>
      <c r="N110" s="7">
        <f>日前电价!N110-实时电价!N110</f>
        <v>160.42590000000001</v>
      </c>
      <c r="O110" s="7">
        <f>日前电价!O110-实时电价!O110</f>
        <v>211.78530000000001</v>
      </c>
      <c r="P110" s="7">
        <f>日前电价!P110-实时电价!P110</f>
        <v>296.28500000000003</v>
      </c>
      <c r="Q110" s="7">
        <f>日前电价!Q110-实时电价!Q110</f>
        <v>324.21050000000002</v>
      </c>
      <c r="R110" s="7">
        <f>日前电价!R110-实时电价!R110</f>
        <v>301.10789999999997</v>
      </c>
      <c r="S110" s="7">
        <f>日前电价!S110-实时电价!S110</f>
        <v>146.77359999999999</v>
      </c>
      <c r="T110" s="7">
        <f>日前电价!T110-实时电价!T110</f>
        <v>24.747699999999998</v>
      </c>
      <c r="U110" s="7">
        <f>日前电价!U110-实时电价!U110</f>
        <v>43.222200000000001</v>
      </c>
      <c r="V110" s="7">
        <f>日前电价!V110-实时电价!V110</f>
        <v>183.7355</v>
      </c>
      <c r="W110" s="7">
        <f>日前电价!W110-实时电价!W110</f>
        <v>139.87889999999999</v>
      </c>
      <c r="X110" s="7">
        <f>日前电价!X110-实时电价!X110</f>
        <v>85.266099999999994</v>
      </c>
      <c r="Y110" s="7">
        <f>日前电价!Y110-实时电价!Y110</f>
        <v>46.7316</v>
      </c>
      <c r="Z110" s="9">
        <f t="shared" si="3"/>
        <v>324.21050000000002</v>
      </c>
      <c r="AA110" s="9">
        <f t="shared" si="4"/>
        <v>-167.0299</v>
      </c>
      <c r="AB110" s="9">
        <f t="shared" si="5"/>
        <v>66.846016666666699</v>
      </c>
    </row>
    <row r="111" spans="1:28">
      <c r="A111" s="8">
        <v>45401</v>
      </c>
      <c r="B111" s="7">
        <f>日前电价!B111-实时电价!B111</f>
        <v>30.427800000000001</v>
      </c>
      <c r="C111" s="7">
        <f>日前电价!C111-实时电价!C111</f>
        <v>30.511199999999999</v>
      </c>
      <c r="D111" s="7">
        <f>日前电价!D111-实时电价!D111</f>
        <v>15.7768</v>
      </c>
      <c r="E111" s="7">
        <f>日前电价!E111-实时电价!E111</f>
        <v>19.578700000000001</v>
      </c>
      <c r="F111" s="7">
        <f>日前电价!F111-实时电价!F111</f>
        <v>7.4303000000000496</v>
      </c>
      <c r="G111" s="7">
        <f>日前电价!G111-实时电价!G111</f>
        <v>19.1905</v>
      </c>
      <c r="H111" s="7">
        <f>日前电价!H111-实时电价!H111</f>
        <v>4.5249999999999799</v>
      </c>
      <c r="I111" s="7">
        <f>日前电价!I111-实时电价!I111</f>
        <v>-2.09640000000002</v>
      </c>
      <c r="J111" s="7">
        <f>日前电价!J111-实时电价!J111</f>
        <v>-213.27529999999999</v>
      </c>
      <c r="K111" s="7">
        <f>日前电价!K111-实时电价!K111</f>
        <v>-347.13220000000001</v>
      </c>
      <c r="L111" s="7">
        <f>日前电价!L111-实时电价!L111</f>
        <v>27.996200000000002</v>
      </c>
      <c r="M111" s="7">
        <f>日前电价!M111-实时电价!M111</f>
        <v>87.226200000000006</v>
      </c>
      <c r="N111" s="7">
        <f>日前电价!N111-实时电价!N111</f>
        <v>21.4986</v>
      </c>
      <c r="O111" s="7">
        <f>日前电价!O111-实时电价!O111</f>
        <v>58.630099999999999</v>
      </c>
      <c r="P111" s="7">
        <f>日前电价!P111-实时电价!P111</f>
        <v>102.2585</v>
      </c>
      <c r="Q111" s="7">
        <f>日前电价!Q111-实时电价!Q111</f>
        <v>12.193</v>
      </c>
      <c r="R111" s="7">
        <f>日前电价!R111-实时电价!R111</f>
        <v>3.863</v>
      </c>
      <c r="S111" s="7">
        <f>日前电价!S111-实时电价!S111</f>
        <v>19.568300000000001</v>
      </c>
      <c r="T111" s="7">
        <f>日前电价!T111-实时电价!T111</f>
        <v>13.9625</v>
      </c>
      <c r="U111" s="7">
        <f>日前电价!U111-实时电价!U111</f>
        <v>7.4832999999999901</v>
      </c>
      <c r="V111" s="7">
        <f>日前电价!V111-实时电价!V111</f>
        <v>50.631900000000002</v>
      </c>
      <c r="W111" s="7">
        <f>日前电价!W111-实时电价!W111</f>
        <v>69.789900000000003</v>
      </c>
      <c r="X111" s="7">
        <f>日前电价!X111-实时电价!X111</f>
        <v>27.143899999999999</v>
      </c>
      <c r="Y111" s="7">
        <f>日前电价!Y111-实时电价!Y111</f>
        <v>16.2987</v>
      </c>
      <c r="Z111" s="9">
        <f t="shared" si="3"/>
        <v>102.2585</v>
      </c>
      <c r="AA111" s="9">
        <f t="shared" si="4"/>
        <v>-347.13220000000001</v>
      </c>
      <c r="AB111" s="9">
        <f t="shared" si="5"/>
        <v>3.47835416666666</v>
      </c>
    </row>
    <row r="112" spans="1:28">
      <c r="A112" s="8">
        <v>45402</v>
      </c>
      <c r="B112" s="7">
        <f>日前电价!B112-实时电价!B112</f>
        <v>-80.217600000000004</v>
      </c>
      <c r="C112" s="7">
        <f>日前电价!C112-实时电价!C112</f>
        <v>2.5228000000000201</v>
      </c>
      <c r="D112" s="7">
        <f>日前电价!D112-实时电价!D112</f>
        <v>4.4095999999999496</v>
      </c>
      <c r="E112" s="7">
        <f>日前电价!E112-实时电价!E112</f>
        <v>6.8764999999999601</v>
      </c>
      <c r="F112" s="7">
        <f>日前电价!F112-实时电价!F112</f>
        <v>-1.1741999999999799</v>
      </c>
      <c r="G112" s="7">
        <f>日前电价!G112-实时电价!G112</f>
        <v>-4.29990000000004</v>
      </c>
      <c r="H112" s="7">
        <f>日前电价!H112-实时电价!H112</f>
        <v>-4.7726999999999897</v>
      </c>
      <c r="I112" s="7">
        <f>日前电价!I112-实时电价!I112</f>
        <v>-9.1321000000000403</v>
      </c>
      <c r="J112" s="7">
        <f>日前电价!J112-实时电价!J112</f>
        <v>-12.7262</v>
      </c>
      <c r="K112" s="7">
        <f>日前电价!K112-实时电价!K112</f>
        <v>-164.86920000000001</v>
      </c>
      <c r="L112" s="7">
        <f>日前电价!L112-实时电价!L112</f>
        <v>-90.096699999999998</v>
      </c>
      <c r="M112" s="7">
        <f>日前电价!M112-实时电价!M112</f>
        <v>-21.161100000000001</v>
      </c>
      <c r="N112" s="7">
        <f>日前电价!N112-实时电价!N112</f>
        <v>-1.6159999999999901</v>
      </c>
      <c r="O112" s="7">
        <f>日前电价!O112-实时电价!O112</f>
        <v>-44.028399999999998</v>
      </c>
      <c r="P112" s="7">
        <f>日前电价!P112-实时电价!P112</f>
        <v>-41.800600000000003</v>
      </c>
      <c r="Q112" s="7">
        <f>日前电价!Q112-实时电价!Q112</f>
        <v>-204.9383</v>
      </c>
      <c r="R112" s="7">
        <f>日前电价!R112-实时电价!R112</f>
        <v>-6.1437999999999997</v>
      </c>
      <c r="S112" s="7">
        <f>日前电价!S112-实时电价!S112</f>
        <v>-9.0668000000000006</v>
      </c>
      <c r="T112" s="7">
        <f>日前电价!T112-实时电价!T112</f>
        <v>-3.4127999999999998</v>
      </c>
      <c r="U112" s="7">
        <f>日前电价!U112-实时电价!U112</f>
        <v>31.2441</v>
      </c>
      <c r="V112" s="7">
        <f>日前电价!V112-实时电价!V112</f>
        <v>42.067799999999998</v>
      </c>
      <c r="W112" s="7">
        <f>日前电价!W112-实时电价!W112</f>
        <v>39.445599999999999</v>
      </c>
      <c r="X112" s="7">
        <f>日前电价!X112-实时电价!X112</f>
        <v>30.6174</v>
      </c>
      <c r="Y112" s="7">
        <f>日前电价!Y112-实时电价!Y112</f>
        <v>32.0625</v>
      </c>
      <c r="Z112" s="9">
        <f t="shared" si="3"/>
        <v>42.067799999999998</v>
      </c>
      <c r="AA112" s="9">
        <f t="shared" si="4"/>
        <v>-204.9383</v>
      </c>
      <c r="AB112" s="9">
        <f t="shared" si="5"/>
        <v>-21.258754166666701</v>
      </c>
    </row>
    <row r="113" spans="1:28">
      <c r="A113" s="8">
        <v>45403</v>
      </c>
      <c r="B113" s="7">
        <f>日前电价!B113-实时电价!B113</f>
        <v>-65.221199999999996</v>
      </c>
      <c r="C113" s="7">
        <f>日前电价!C113-实时电价!C113</f>
        <v>42.458599999999997</v>
      </c>
      <c r="D113" s="7">
        <f>日前电价!D113-实时电价!D113</f>
        <v>21.2225</v>
      </c>
      <c r="E113" s="7">
        <f>日前电价!E113-实时电价!E113</f>
        <v>18.642399999999999</v>
      </c>
      <c r="F113" s="7">
        <f>日前电价!F113-实时电价!F113</f>
        <v>29.675699999999999</v>
      </c>
      <c r="G113" s="7">
        <f>日前电价!G113-实时电价!G113</f>
        <v>30.877600000000001</v>
      </c>
      <c r="H113" s="7">
        <f>日前电价!H113-实时电价!H113</f>
        <v>18.9069</v>
      </c>
      <c r="I113" s="7">
        <f>日前电价!I113-实时电价!I113</f>
        <v>15.231</v>
      </c>
      <c r="J113" s="7">
        <f>日前电价!J113-实时电价!J113</f>
        <v>18.540800000000001</v>
      </c>
      <c r="K113" s="7">
        <f>日前电价!K113-实时电价!K113</f>
        <v>-74.174000000000007</v>
      </c>
      <c r="L113" s="7">
        <f>日前电价!L113-实时电价!L113</f>
        <v>12.963100000000001</v>
      </c>
      <c r="M113" s="7">
        <f>日前电价!M113-实时电价!M113</f>
        <v>28.620999999999999</v>
      </c>
      <c r="N113" s="7">
        <f>日前电价!N113-实时电价!N113</f>
        <v>26.101700000000001</v>
      </c>
      <c r="O113" s="7">
        <f>日前电价!O113-实时电价!O113</f>
        <v>32.339300000000001</v>
      </c>
      <c r="P113" s="7">
        <f>日前电价!P113-实时电价!P113</f>
        <v>50.579000000000001</v>
      </c>
      <c r="Q113" s="7">
        <f>日前电价!Q113-实时电价!Q113</f>
        <v>63.167000000000002</v>
      </c>
      <c r="R113" s="7">
        <f>日前电价!R113-实时电价!R113</f>
        <v>90.611199999999997</v>
      </c>
      <c r="S113" s="7">
        <f>日前电价!S113-实时电价!S113</f>
        <v>120.5763</v>
      </c>
      <c r="T113" s="7">
        <f>日前电价!T113-实时电价!T113</f>
        <v>43.837000000000003</v>
      </c>
      <c r="U113" s="7">
        <f>日前电价!U113-实时电价!U113</f>
        <v>40.542299999999997</v>
      </c>
      <c r="V113" s="7">
        <f>日前电价!V113-实时电价!V113</f>
        <v>43.359200000000001</v>
      </c>
      <c r="W113" s="7">
        <f>日前电价!W113-实时电价!W113</f>
        <v>36.023800000000001</v>
      </c>
      <c r="X113" s="7">
        <f>日前电价!X113-实时电价!X113</f>
        <v>36.065300000000001</v>
      </c>
      <c r="Y113" s="7">
        <f>日前电价!Y113-实时电价!Y113</f>
        <v>222.4898</v>
      </c>
      <c r="Z113" s="9">
        <f t="shared" si="3"/>
        <v>222.4898</v>
      </c>
      <c r="AA113" s="9">
        <f t="shared" si="4"/>
        <v>-74.174000000000007</v>
      </c>
      <c r="AB113" s="9">
        <f t="shared" si="5"/>
        <v>37.643179166666698</v>
      </c>
    </row>
    <row r="114" spans="1:28">
      <c r="A114" s="8">
        <v>45404</v>
      </c>
      <c r="B114" s="7">
        <f>日前电价!B114-实时电价!B114</f>
        <v>-182.26230000000001</v>
      </c>
      <c r="C114" s="7">
        <f>日前电价!C114-实时电价!C114</f>
        <v>-0.183199999999999</v>
      </c>
      <c r="D114" s="7">
        <f>日前电价!D114-实时电价!D114</f>
        <v>20.127199999999998</v>
      </c>
      <c r="E114" s="7">
        <f>日前电价!E114-实时电价!E114</f>
        <v>6.1363999999999796</v>
      </c>
      <c r="F114" s="7">
        <f>日前电价!F114-实时电价!F114</f>
        <v>-6.1141000000000103</v>
      </c>
      <c r="G114" s="7">
        <f>日前电价!G114-实时电价!G114</f>
        <v>-11.75</v>
      </c>
      <c r="H114" s="7">
        <f>日前电价!H114-实时电价!H114</f>
        <v>-4.6286999999999798</v>
      </c>
      <c r="I114" s="7">
        <f>日前电价!I114-实时电价!I114</f>
        <v>-12.680899999999999</v>
      </c>
      <c r="J114" s="7">
        <f>日前电价!J114-实时电价!J114</f>
        <v>-247.40289999999999</v>
      </c>
      <c r="K114" s="7">
        <f>日前电价!K114-实时电价!K114</f>
        <v>-29.171199999999999</v>
      </c>
      <c r="L114" s="7">
        <f>日前电价!L114-实时电价!L114</f>
        <v>-8.2051999999999907</v>
      </c>
      <c r="M114" s="7">
        <f>日前电价!M114-实时电价!M114</f>
        <v>-8.4999999999695302E-3</v>
      </c>
      <c r="N114" s="7">
        <f>日前电价!N114-实时电价!N114</f>
        <v>-0.52150000000000296</v>
      </c>
      <c r="O114" s="7">
        <f>日前电价!O114-实时电价!O114</f>
        <v>-9.2384999999999895</v>
      </c>
      <c r="P114" s="7">
        <f>日前电价!P114-实时电价!P114</f>
        <v>-22.099399999999999</v>
      </c>
      <c r="Q114" s="7">
        <f>日前电价!Q114-实时电价!Q114</f>
        <v>-23.354299999999999</v>
      </c>
      <c r="R114" s="7">
        <f>日前电价!R114-实时电价!R114</f>
        <v>-38.656599999999997</v>
      </c>
      <c r="S114" s="7">
        <f>日前电价!S114-实时电价!S114</f>
        <v>-11.1967</v>
      </c>
      <c r="T114" s="7">
        <f>日前电价!T114-实时电价!T114</f>
        <v>-30.247399999999999</v>
      </c>
      <c r="U114" s="7">
        <f>日前电价!U114-实时电价!U114</f>
        <v>-71.721400000000003</v>
      </c>
      <c r="V114" s="7">
        <f>日前电价!V114-实时电价!V114</f>
        <v>-107.1163</v>
      </c>
      <c r="W114" s="7">
        <f>日前电价!W114-实时电价!W114</f>
        <v>-70.422799999999995</v>
      </c>
      <c r="X114" s="7">
        <f>日前电价!X114-实时电价!X114</f>
        <v>-18.496200000000002</v>
      </c>
      <c r="Y114" s="7">
        <f>日前电价!Y114-实时电价!Y114</f>
        <v>-21.905999999999999</v>
      </c>
      <c r="Z114" s="9">
        <f t="shared" si="3"/>
        <v>20.127199999999998</v>
      </c>
      <c r="AA114" s="9">
        <f t="shared" si="4"/>
        <v>-247.40289999999999</v>
      </c>
      <c r="AB114" s="9">
        <f t="shared" si="5"/>
        <v>-37.546687499999997</v>
      </c>
    </row>
    <row r="115" spans="1:28">
      <c r="A115" s="8">
        <v>45405</v>
      </c>
      <c r="B115" s="7">
        <f>日前电价!B115-实时电价!B115</f>
        <v>-9.1819999999999595</v>
      </c>
      <c r="C115" s="7">
        <f>日前电价!C115-实时电价!C115</f>
        <v>2.0985</v>
      </c>
      <c r="D115" s="7">
        <f>日前电价!D115-实时电价!D115</f>
        <v>0.70829999999995197</v>
      </c>
      <c r="E115" s="7">
        <f>日前电价!E115-实时电价!E115</f>
        <v>2.78990000000005</v>
      </c>
      <c r="F115" s="7">
        <f>日前电价!F115-实时电价!F115</f>
        <v>0.89820000000003097</v>
      </c>
      <c r="G115" s="7">
        <f>日前电价!G115-实时电价!G115</f>
        <v>0.44950000000000001</v>
      </c>
      <c r="H115" s="7">
        <f>日前电价!H115-实时电价!H115</f>
        <v>-5.2767999999999802</v>
      </c>
      <c r="I115" s="7">
        <f>日前电价!I115-实时电价!I115</f>
        <v>-10.7201</v>
      </c>
      <c r="J115" s="7">
        <f>日前电价!J115-实时电价!J115</f>
        <v>-229.25309999999999</v>
      </c>
      <c r="K115" s="7">
        <f>日前电价!K115-实时电价!K115</f>
        <v>-36.800600000000003</v>
      </c>
      <c r="L115" s="7">
        <f>日前电价!L115-实时电价!L115</f>
        <v>-55.720799999999997</v>
      </c>
      <c r="M115" s="7">
        <f>日前电价!M115-实时电价!M115</f>
        <v>-74.022499999999994</v>
      </c>
      <c r="N115" s="7">
        <f>日前电价!N115-实时电价!N115</f>
        <v>13.324400000000001</v>
      </c>
      <c r="O115" s="7">
        <f>日前电价!O115-实时电价!O115</f>
        <v>-35.074399999999997</v>
      </c>
      <c r="P115" s="7">
        <f>日前电价!P115-实时电价!P115</f>
        <v>43.231200000000001</v>
      </c>
      <c r="Q115" s="7">
        <f>日前电价!Q115-实时电价!Q115</f>
        <v>-49.334000000000003</v>
      </c>
      <c r="R115" s="7">
        <f>日前电价!R115-实时电价!R115</f>
        <v>-152.08439999999999</v>
      </c>
      <c r="S115" s="7">
        <f>日前电价!S115-实时电价!S115</f>
        <v>-129.48910000000001</v>
      </c>
      <c r="T115" s="7">
        <f>日前电价!T115-实时电价!T115</f>
        <v>-218.6892</v>
      </c>
      <c r="U115" s="7">
        <f>日前电价!U115-实时电价!U115</f>
        <v>-373.62209999999999</v>
      </c>
      <c r="V115" s="7">
        <f>日前电价!V115-实时电价!V115</f>
        <v>-169.9829</v>
      </c>
      <c r="W115" s="7">
        <f>日前电价!W115-实时电价!W115</f>
        <v>-586.03560000000004</v>
      </c>
      <c r="X115" s="7">
        <f>日前电价!X115-实时电价!X115</f>
        <v>-17.753</v>
      </c>
      <c r="Y115" s="7">
        <f>日前电价!Y115-实时电价!Y115</f>
        <v>-14.022</v>
      </c>
      <c r="Z115" s="9">
        <f t="shared" si="3"/>
        <v>43.231200000000001</v>
      </c>
      <c r="AA115" s="9">
        <f t="shared" si="4"/>
        <v>-586.03560000000004</v>
      </c>
      <c r="AB115" s="9">
        <f t="shared" si="5"/>
        <v>-87.648441666666699</v>
      </c>
    </row>
    <row r="116" spans="1:28">
      <c r="A116" s="8">
        <v>45406</v>
      </c>
      <c r="B116" s="7">
        <f>日前电价!B116-实时电价!B116</f>
        <v>-8.3157999999999692</v>
      </c>
      <c r="C116" s="7">
        <f>日前电价!C116-实时电价!C116</f>
        <v>5.4250999999999898</v>
      </c>
      <c r="D116" s="7">
        <f>日前电价!D116-实时电价!D116</f>
        <v>4.8520000000000296</v>
      </c>
      <c r="E116" s="7">
        <f>日前电价!E116-实时电价!E116</f>
        <v>3.7197000000000502</v>
      </c>
      <c r="F116" s="7">
        <f>日前电价!F116-实时电价!F116</f>
        <v>5.6872000000000202</v>
      </c>
      <c r="G116" s="7">
        <f>日前电价!G116-实时电价!G116</f>
        <v>-4.53839999999997</v>
      </c>
      <c r="H116" s="7">
        <f>日前电价!H116-实时电价!H116</f>
        <v>-14.6547</v>
      </c>
      <c r="I116" s="7">
        <f>日前电价!I116-实时电价!I116</f>
        <v>-6.0108000000000201</v>
      </c>
      <c r="J116" s="7">
        <f>日前电价!J116-实时电价!J116</f>
        <v>-53.906199999999998</v>
      </c>
      <c r="K116" s="7">
        <f>日前电价!K116-实时电价!K116</f>
        <v>-36.307200000000002</v>
      </c>
      <c r="L116" s="7">
        <f>日前电价!L116-实时电价!L116</f>
        <v>12.961600000000001</v>
      </c>
      <c r="M116" s="7">
        <f>日前电价!M116-实时电价!M116</f>
        <v>7.5065000000000204</v>
      </c>
      <c r="N116" s="7">
        <f>日前电价!N116-实时电价!N116</f>
        <v>7.9601000000000104</v>
      </c>
      <c r="O116" s="7">
        <f>日前电价!O116-实时电价!O116</f>
        <v>-1.0286000000000399</v>
      </c>
      <c r="P116" s="7">
        <f>日前电价!P116-实时电价!P116</f>
        <v>-39.8476</v>
      </c>
      <c r="Q116" s="7">
        <f>日前电价!Q116-实时电价!Q116</f>
        <v>-252.77170000000001</v>
      </c>
      <c r="R116" s="7">
        <f>日前电价!R116-实时电价!R116</f>
        <v>-316.96379999999999</v>
      </c>
      <c r="S116" s="7">
        <f>日前电价!S116-实时电价!S116</f>
        <v>-229.38159999999999</v>
      </c>
      <c r="T116" s="7">
        <f>日前电价!T116-实时电价!T116</f>
        <v>-34.287500000000001</v>
      </c>
      <c r="U116" s="7">
        <f>日前电价!U116-实时电价!U116</f>
        <v>-34.8489</v>
      </c>
      <c r="V116" s="7">
        <f>日前电价!V116-实时电价!V116</f>
        <v>-41.92</v>
      </c>
      <c r="W116" s="7">
        <f>日前电价!W116-实时电价!W116</f>
        <v>0.19130000000001199</v>
      </c>
      <c r="X116" s="7">
        <f>日前电价!X116-实时电价!X116</f>
        <v>0.320300000000032</v>
      </c>
      <c r="Y116" s="7">
        <f>日前电价!Y116-实时电价!Y116</f>
        <v>-5.4671999999999903</v>
      </c>
      <c r="Z116" s="9">
        <f t="shared" si="3"/>
        <v>12.961600000000001</v>
      </c>
      <c r="AA116" s="9">
        <f t="shared" si="4"/>
        <v>-316.96379999999999</v>
      </c>
      <c r="AB116" s="9">
        <f t="shared" si="5"/>
        <v>-42.984425000000002</v>
      </c>
    </row>
    <row r="117" spans="1:28">
      <c r="A117" s="8">
        <v>45407</v>
      </c>
      <c r="B117" s="7">
        <f>日前电价!B117-实时电价!B117</f>
        <v>-0.861099999999965</v>
      </c>
      <c r="C117" s="7">
        <f>日前电价!C117-实时电价!C117</f>
        <v>10.37</v>
      </c>
      <c r="D117" s="7">
        <f>日前电价!D117-实时电价!D117</f>
        <v>12.4085</v>
      </c>
      <c r="E117" s="7">
        <f>日前电价!E117-实时电价!E117</f>
        <v>11.129799999999999</v>
      </c>
      <c r="F117" s="7">
        <f>日前电价!F117-实时电价!F117</f>
        <v>-2.4624999999999799</v>
      </c>
      <c r="G117" s="7">
        <f>日前电价!G117-实时电价!G117</f>
        <v>-3.0855000000000201</v>
      </c>
      <c r="H117" s="7">
        <f>日前电价!H117-实时电价!H117</f>
        <v>-8.2436999999999898</v>
      </c>
      <c r="I117" s="7">
        <f>日前电价!I117-实时电价!I117</f>
        <v>-3.2071000000000298</v>
      </c>
      <c r="J117" s="7">
        <f>日前电价!J117-实时电价!J117</f>
        <v>-77.351900000000001</v>
      </c>
      <c r="K117" s="7">
        <f>日前电价!K117-实时电价!K117</f>
        <v>-147.15799999999999</v>
      </c>
      <c r="L117" s="7">
        <f>日前电价!L117-实时电价!L117</f>
        <v>-97.410899999999998</v>
      </c>
      <c r="M117" s="7">
        <f>日前电价!M117-实时电价!M117</f>
        <v>83.473500000000001</v>
      </c>
      <c r="N117" s="7">
        <f>日前电价!N117-实时电价!N117</f>
        <v>86.534599999999998</v>
      </c>
      <c r="O117" s="7">
        <f>日前电价!O117-实时电价!O117</f>
        <v>-18.735299999999999</v>
      </c>
      <c r="P117" s="7">
        <f>日前电价!P117-实时电价!P117</f>
        <v>-12.0604</v>
      </c>
      <c r="Q117" s="7">
        <f>日前电价!Q117-实时电价!Q117</f>
        <v>-9.0873000000000292</v>
      </c>
      <c r="R117" s="7">
        <f>日前电价!R117-实时电价!R117</f>
        <v>-25.8978</v>
      </c>
      <c r="S117" s="7">
        <f>日前电价!S117-实时电价!S117</f>
        <v>-56.706499999999899</v>
      </c>
      <c r="T117" s="7">
        <f>日前电价!T117-实时电价!T117</f>
        <v>-6.62240000000003</v>
      </c>
      <c r="U117" s="7">
        <f>日前电价!U117-实时电价!U117</f>
        <v>-54.980600000000003</v>
      </c>
      <c r="V117" s="7">
        <f>日前电价!V117-实时电价!V117</f>
        <v>-35.7682</v>
      </c>
      <c r="W117" s="7">
        <f>日前电价!W117-实时电价!W117</f>
        <v>-7.1440000000000099</v>
      </c>
      <c r="X117" s="7">
        <f>日前电价!X117-实时电价!X117</f>
        <v>-6.3356000000000003</v>
      </c>
      <c r="Y117" s="7">
        <f>日前电价!Y117-实时电价!Y117</f>
        <v>-18.613</v>
      </c>
      <c r="Z117" s="9">
        <f t="shared" si="3"/>
        <v>86.534599999999998</v>
      </c>
      <c r="AA117" s="9">
        <f t="shared" si="4"/>
        <v>-147.15799999999999</v>
      </c>
      <c r="AB117" s="9">
        <f t="shared" si="5"/>
        <v>-16.158975000000002</v>
      </c>
    </row>
    <row r="118" spans="1:28">
      <c r="A118" s="8">
        <v>45408</v>
      </c>
      <c r="B118" s="7">
        <f>日前电价!B118-实时电价!B118</f>
        <v>-10.199999999999999</v>
      </c>
      <c r="C118" s="7">
        <f>日前电价!C118-实时电价!C118</f>
        <v>-5.0799999999999796</v>
      </c>
      <c r="D118" s="7">
        <f>日前电价!D118-实时电价!D118</f>
        <v>-6.2200000000000299</v>
      </c>
      <c r="E118" s="7">
        <f>日前电价!E118-实时电价!E118</f>
        <v>3.69</v>
      </c>
      <c r="F118" s="7">
        <f>日前电价!F118-实时电价!F118</f>
        <v>-1.69999999999999</v>
      </c>
      <c r="G118" s="7">
        <f>日前电价!G118-实时电价!G118</f>
        <v>-6.26999999999998</v>
      </c>
      <c r="H118" s="7">
        <f>日前电价!H118-实时电价!H118</f>
        <v>-9.3899999999999899</v>
      </c>
      <c r="I118" s="7">
        <f>日前电价!I118-实时电价!I118</f>
        <v>-18.190000000000001</v>
      </c>
      <c r="J118" s="7">
        <f>日前电价!J118-实时电价!J118</f>
        <v>-6.8899999999999899</v>
      </c>
      <c r="K118" s="7">
        <f>日前电价!K118-实时电价!K118</f>
        <v>5.4300000000000104</v>
      </c>
      <c r="L118" s="7">
        <f>日前电价!L118-实时电价!L118</f>
        <v>9.48000000000002</v>
      </c>
      <c r="M118" s="7">
        <f>日前电价!M118-实时电价!M118</f>
        <v>42.21</v>
      </c>
      <c r="N118" s="7">
        <f>日前电价!N118-实时电价!N118</f>
        <v>144.63</v>
      </c>
      <c r="O118" s="7">
        <f>日前电价!O118-实时电价!O118</f>
        <v>32.94</v>
      </c>
      <c r="P118" s="7">
        <f>日前电价!P118-实时电价!P118</f>
        <v>9.6499999999999808</v>
      </c>
      <c r="Q118" s="7">
        <f>日前电价!Q118-实时电价!Q118</f>
        <v>-7.66999999999996</v>
      </c>
      <c r="R118" s="7">
        <f>日前电价!R118-实时电价!R118</f>
        <v>-74.459999999999994</v>
      </c>
      <c r="S118" s="7">
        <f>日前电价!S118-实时电价!S118</f>
        <v>-72.349999999999994</v>
      </c>
      <c r="T118" s="7">
        <f>日前电价!T118-实时电价!T118</f>
        <v>-51.13</v>
      </c>
      <c r="U118" s="7">
        <f>日前电价!U118-实时电价!U118</f>
        <v>-146.61000000000001</v>
      </c>
      <c r="V118" s="7">
        <f>日前电价!V118-实时电价!V118</f>
        <v>-29.37</v>
      </c>
      <c r="W118" s="7">
        <f>日前电价!W118-实时电价!W118</f>
        <v>-35.42</v>
      </c>
      <c r="X118" s="7">
        <f>日前电价!X118-实时电价!X118</f>
        <v>-82.19</v>
      </c>
      <c r="Y118" s="7">
        <f>日前电价!Y118-实时电价!Y118</f>
        <v>-25.85</v>
      </c>
      <c r="Z118" s="9">
        <f t="shared" si="3"/>
        <v>144.63</v>
      </c>
      <c r="AA118" s="9">
        <f t="shared" si="4"/>
        <v>-146.61000000000001</v>
      </c>
      <c r="AB118" s="9">
        <f t="shared" si="5"/>
        <v>-14.206666666666701</v>
      </c>
    </row>
    <row r="119" spans="1:28">
      <c r="A119" s="8">
        <v>45409</v>
      </c>
      <c r="B119" s="7">
        <f>日前电价!B119-实时电价!B119</f>
        <v>-278.9126</v>
      </c>
      <c r="C119" s="7">
        <f>日前电价!C119-实时电价!C119</f>
        <v>-138.6927</v>
      </c>
      <c r="D119" s="7">
        <f>日前电价!D119-实时电价!D119</f>
        <v>-20.8504</v>
      </c>
      <c r="E119" s="7">
        <f>日前电价!E119-实时电价!E119</f>
        <v>-14.898999999999999</v>
      </c>
      <c r="F119" s="7">
        <f>日前电价!F119-实时电价!F119</f>
        <v>-20.246400000000001</v>
      </c>
      <c r="G119" s="7">
        <f>日前电价!G119-实时电价!G119</f>
        <v>-15.324299999999999</v>
      </c>
      <c r="H119" s="7">
        <f>日前电价!H119-实时电价!H119</f>
        <v>-11.263999999999999</v>
      </c>
      <c r="I119" s="7">
        <f>日前电价!I119-实时电价!I119</f>
        <v>-6.7597999999999798</v>
      </c>
      <c r="J119" s="7">
        <f>日前电价!J119-实时电价!J119</f>
        <v>1.6059000000000201</v>
      </c>
      <c r="K119" s="7">
        <f>日前电价!K119-实时电价!K119</f>
        <v>-19.763999999999999</v>
      </c>
      <c r="L119" s="7">
        <f>日前电价!L119-实时电价!L119</f>
        <v>-79.265799999999999</v>
      </c>
      <c r="M119" s="7">
        <f>日前电价!M119-实时电价!M119</f>
        <v>-115.9753</v>
      </c>
      <c r="N119" s="7">
        <f>日前电价!N119-实时电价!N119</f>
        <v>-0.91050000000001297</v>
      </c>
      <c r="O119" s="7">
        <f>日前电价!O119-实时电价!O119</f>
        <v>-123.283</v>
      </c>
      <c r="P119" s="7">
        <f>日前电价!P119-实时电价!P119</f>
        <v>-278.49349999999998</v>
      </c>
      <c r="Q119" s="7">
        <f>日前电价!Q119-实时电价!Q119</f>
        <v>-222.93879999999999</v>
      </c>
      <c r="R119" s="7">
        <f>日前电价!R119-实时电价!R119</f>
        <v>-109.2118</v>
      </c>
      <c r="S119" s="7">
        <f>日前电价!S119-实时电价!S119</f>
        <v>-66.583100000000002</v>
      </c>
      <c r="T119" s="7">
        <f>日前电价!T119-实时电价!T119</f>
        <v>1.8517999999999699</v>
      </c>
      <c r="U119" s="7">
        <f>日前电价!U119-实时电价!U119</f>
        <v>22.230499999999999</v>
      </c>
      <c r="V119" s="7">
        <f>日前电价!V119-实时电价!V119</f>
        <v>71.298199999999994</v>
      </c>
      <c r="W119" s="7">
        <f>日前电价!W119-实时电价!W119</f>
        <v>53.676099999999998</v>
      </c>
      <c r="X119" s="7">
        <f>日前电价!X119-实时电价!X119</f>
        <v>56.396700000000003</v>
      </c>
      <c r="Y119" s="7">
        <f>日前电价!Y119-实时电价!Y119</f>
        <v>11.2028</v>
      </c>
      <c r="Z119" s="9">
        <f t="shared" si="3"/>
        <v>71.298199999999994</v>
      </c>
      <c r="AA119" s="9">
        <f t="shared" si="4"/>
        <v>-278.9126</v>
      </c>
      <c r="AB119" s="9">
        <f t="shared" si="5"/>
        <v>-54.379708333333298</v>
      </c>
    </row>
    <row r="120" spans="1:28">
      <c r="A120" s="8">
        <v>45410</v>
      </c>
      <c r="B120" s="7">
        <f>日前电价!B120-实时电价!B120</f>
        <v>-1.3779999999999899</v>
      </c>
      <c r="C120" s="7">
        <f>日前电价!C120-实时电价!C120</f>
        <v>3.6656000000000399</v>
      </c>
      <c r="D120" s="7">
        <f>日前电价!D120-实时电价!D120</f>
        <v>2.19209999999998</v>
      </c>
      <c r="E120" s="7">
        <f>日前电价!E120-实时电价!E120</f>
        <v>-9.4057000000000208</v>
      </c>
      <c r="F120" s="7">
        <f>日前电价!F120-实时电价!F120</f>
        <v>7.6743999999999897</v>
      </c>
      <c r="G120" s="7">
        <f>日前电价!G120-实时电价!G120</f>
        <v>8.6600999999999999</v>
      </c>
      <c r="H120" s="7">
        <f>日前电价!H120-实时电价!H120</f>
        <v>4.3487000000000098</v>
      </c>
      <c r="I120" s="7">
        <f>日前电价!I120-实时电价!I120</f>
        <v>11.6671</v>
      </c>
      <c r="J120" s="7">
        <f>日前电价!J120-实时电价!J120</f>
        <v>46.704999999999998</v>
      </c>
      <c r="K120" s="7">
        <f>日前电价!K120-实时电价!K120</f>
        <v>49.246499999999997</v>
      </c>
      <c r="L120" s="7">
        <f>日前电价!L120-实时电价!L120</f>
        <v>67.081000000000003</v>
      </c>
      <c r="M120" s="7">
        <f>日前电价!M120-实时电价!M120</f>
        <v>88.224100000000007</v>
      </c>
      <c r="N120" s="7">
        <f>日前电价!N120-实时电价!N120</f>
        <v>50.807499999999997</v>
      </c>
      <c r="O120" s="7">
        <f>日前电价!O120-实时电价!O120</f>
        <v>15.6678</v>
      </c>
      <c r="P120" s="7">
        <f>日前电价!P120-实时电价!P120</f>
        <v>35.661000000000001</v>
      </c>
      <c r="Q120" s="7">
        <f>日前电价!Q120-实时电价!Q120</f>
        <v>49.301000000000002</v>
      </c>
      <c r="R120" s="7">
        <f>日前电价!R120-实时电价!R120</f>
        <v>28.4373</v>
      </c>
      <c r="S120" s="7">
        <f>日前电价!S120-实时电价!S120</f>
        <v>21.297699999999999</v>
      </c>
      <c r="T120" s="7">
        <f>日前电价!T120-实时电价!T120</f>
        <v>24.269400000000001</v>
      </c>
      <c r="U120" s="7">
        <f>日前电价!U120-实时电价!U120</f>
        <v>40.023499999999999</v>
      </c>
      <c r="V120" s="7">
        <f>日前电价!V120-实时电价!V120</f>
        <v>28.6843</v>
      </c>
      <c r="W120" s="7">
        <f>日前电价!W120-实时电价!W120</f>
        <v>20.838100000000001</v>
      </c>
      <c r="X120" s="7">
        <f>日前电价!X120-实时电价!X120</f>
        <v>20.5457</v>
      </c>
      <c r="Y120" s="7">
        <f>日前电价!Y120-实时电价!Y120</f>
        <v>28.0747</v>
      </c>
      <c r="Z120" s="9">
        <f t="shared" si="3"/>
        <v>88.224100000000007</v>
      </c>
      <c r="AA120" s="9">
        <f t="shared" si="4"/>
        <v>-9.4057000000000208</v>
      </c>
      <c r="AB120" s="9">
        <f t="shared" si="5"/>
        <v>26.762037500000002</v>
      </c>
    </row>
    <row r="121" spans="1:28">
      <c r="A121" s="8">
        <v>45411</v>
      </c>
      <c r="B121" s="7">
        <f>日前电价!B121-实时电价!B121</f>
        <v>-14.779</v>
      </c>
      <c r="C121" s="7">
        <f>日前电价!C121-实时电价!C121</f>
        <v>-5.3461000000000398</v>
      </c>
      <c r="D121" s="7">
        <f>日前电价!D121-实时电价!D121</f>
        <v>0.19870000000003099</v>
      </c>
      <c r="E121" s="7">
        <f>日前电价!E121-实时电价!E121</f>
        <v>10.368</v>
      </c>
      <c r="F121" s="7">
        <f>日前电价!F121-实时电价!F121</f>
        <v>64.745199999999997</v>
      </c>
      <c r="G121" s="7">
        <f>日前电价!G121-实时电价!G121</f>
        <v>5.5453000000000001</v>
      </c>
      <c r="H121" s="7">
        <f>日前电价!H121-实时电价!H121</f>
        <v>6.9304999999999897</v>
      </c>
      <c r="I121" s="7">
        <f>日前电价!I121-实时电价!I121</f>
        <v>10.537800000000001</v>
      </c>
      <c r="J121" s="7">
        <f>日前电价!J121-实时电价!J121</f>
        <v>20.700099999999999</v>
      </c>
      <c r="K121" s="7">
        <f>日前电价!K121-实时电价!K121</f>
        <v>22.922699999999999</v>
      </c>
      <c r="L121" s="7">
        <f>日前电价!L121-实时电价!L121</f>
        <v>57.802</v>
      </c>
      <c r="M121" s="7">
        <f>日前电价!M121-实时电价!M121</f>
        <v>54.1631</v>
      </c>
      <c r="N121" s="7">
        <f>日前电价!N121-实时电价!N121</f>
        <v>90.639899999999997</v>
      </c>
      <c r="O121" s="7">
        <f>日前电价!O121-实时电价!O121</f>
        <v>9.2555000000000405</v>
      </c>
      <c r="P121" s="7">
        <f>日前电价!P121-实时电价!P121</f>
        <v>33.939399999999999</v>
      </c>
      <c r="Q121" s="7">
        <f>日前电价!Q121-实时电价!Q121</f>
        <v>57.139400000000002</v>
      </c>
      <c r="R121" s="7">
        <f>日前电价!R121-实时电价!R121</f>
        <v>-35.577500000000001</v>
      </c>
      <c r="S121" s="7">
        <f>日前电价!S121-实时电价!S121</f>
        <v>51.4846</v>
      </c>
      <c r="T121" s="7">
        <f>日前电价!T121-实时电价!T121</f>
        <v>7.93959999999998</v>
      </c>
      <c r="U121" s="7">
        <f>日前电价!U121-实时电价!U121</f>
        <v>-2.05610000000001</v>
      </c>
      <c r="V121" s="7">
        <f>日前电价!V121-实时电价!V121</f>
        <v>13.917999999999999</v>
      </c>
      <c r="W121" s="7">
        <f>日前电价!W121-实时电价!W121</f>
        <v>25.818000000000001</v>
      </c>
      <c r="X121" s="7">
        <f>日前电价!X121-实时电价!X121</f>
        <v>37.697699999999998</v>
      </c>
      <c r="Y121" s="7">
        <f>日前电价!Y121-实时电价!Y121</f>
        <v>10.4308</v>
      </c>
      <c r="Z121" s="9">
        <f t="shared" si="3"/>
        <v>90.639899999999997</v>
      </c>
      <c r="AA121" s="9">
        <f t="shared" si="4"/>
        <v>-35.577500000000001</v>
      </c>
      <c r="AB121" s="9">
        <f t="shared" si="5"/>
        <v>22.267399999999999</v>
      </c>
    </row>
    <row r="122" spans="1:28">
      <c r="A122" s="8">
        <v>45412</v>
      </c>
      <c r="B122" s="7">
        <f>日前电价!B122-实时电价!B122</f>
        <v>35.259900000000002</v>
      </c>
      <c r="C122" s="7">
        <f>日前电价!C122-实时电价!C122</f>
        <v>15.763500000000001</v>
      </c>
      <c r="D122" s="7">
        <f>日前电价!D122-实时电价!D122</f>
        <v>18.942900000000002</v>
      </c>
      <c r="E122" s="7">
        <f>日前电价!E122-实时电价!E122</f>
        <v>27.655799999999999</v>
      </c>
      <c r="F122" s="7">
        <f>日前电价!F122-实时电价!F122</f>
        <v>31.8264</v>
      </c>
      <c r="G122" s="7">
        <f>日前电价!G122-实时电价!G122</f>
        <v>31.3507</v>
      </c>
      <c r="H122" s="7">
        <f>日前电价!H122-实时电价!H122</f>
        <v>23.477699999999999</v>
      </c>
      <c r="I122" s="7">
        <f>日前电价!I122-实时电价!I122</f>
        <v>26.447099999999999</v>
      </c>
      <c r="J122" s="7">
        <f>日前电价!J122-实时电价!J122</f>
        <v>13.9206</v>
      </c>
      <c r="K122" s="7">
        <f>日前电价!K122-实时电价!K122</f>
        <v>4.8976000000000104</v>
      </c>
      <c r="L122" s="7">
        <f>日前电价!L122-实时电价!L122</f>
        <v>-14.439399999999999</v>
      </c>
      <c r="M122" s="7">
        <f>日前电价!M122-实时电价!M122</f>
        <v>-2.0416000000000198</v>
      </c>
      <c r="N122" s="7">
        <f>日前电价!N122-实时电价!N122</f>
        <v>101.72969999999999</v>
      </c>
      <c r="O122" s="7">
        <f>日前电价!O122-实时电价!O122</f>
        <v>17.551300000000001</v>
      </c>
      <c r="P122" s="7">
        <f>日前电价!P122-实时电价!P122</f>
        <v>17.133199999999999</v>
      </c>
      <c r="Q122" s="7">
        <f>日前电价!Q122-实时电价!Q122</f>
        <v>22.235600000000002</v>
      </c>
      <c r="R122" s="7">
        <f>日前电价!R122-实时电价!R122</f>
        <v>20.249300000000002</v>
      </c>
      <c r="S122" s="7">
        <f>日前电价!S122-实时电价!S122</f>
        <v>57.010100000000001</v>
      </c>
      <c r="T122" s="7">
        <f>日前电价!T122-实时电价!T122</f>
        <v>37.876800000000003</v>
      </c>
      <c r="U122" s="7">
        <f>日前电价!U122-实时电价!U122</f>
        <v>28.6524</v>
      </c>
      <c r="V122" s="7">
        <f>日前电价!V122-实时电价!V122</f>
        <v>28.361999999999998</v>
      </c>
      <c r="W122" s="7">
        <f>日前电价!W122-实时电价!W122</f>
        <v>46.429299999999998</v>
      </c>
      <c r="X122" s="7">
        <f>日前电价!X122-实时电价!X122</f>
        <v>27.012699999999999</v>
      </c>
      <c r="Y122" s="7">
        <f>日前电价!Y122-实时电价!Y122</f>
        <v>28.346699999999998</v>
      </c>
      <c r="Z122" s="9">
        <f t="shared" si="3"/>
        <v>101.72969999999999</v>
      </c>
      <c r="AA122" s="9">
        <f t="shared" si="4"/>
        <v>-14.439399999999999</v>
      </c>
      <c r="AB122" s="9">
        <f t="shared" si="5"/>
        <v>26.902095833333298</v>
      </c>
    </row>
    <row r="123" spans="1:28">
      <c r="A123" s="8">
        <v>45413</v>
      </c>
      <c r="B123" s="7">
        <f>日前电价!B123-实时电价!B123</f>
        <v>-61.130400000000002</v>
      </c>
      <c r="C123" s="7">
        <f>日前电价!C123-实时电价!C123</f>
        <v>48.014499999999998</v>
      </c>
      <c r="D123" s="7">
        <f>日前电价!D123-实时电价!D123</f>
        <v>34.375100000000003</v>
      </c>
      <c r="E123" s="7">
        <f>日前电价!E123-实时电价!E123</f>
        <v>116.09739999999999</v>
      </c>
      <c r="F123" s="7">
        <f>日前电价!F123-实时电价!F123</f>
        <v>267.83</v>
      </c>
      <c r="G123" s="7">
        <f>日前电价!G123-实时电价!G123</f>
        <v>319.98230000000001</v>
      </c>
      <c r="H123" s="7">
        <f>日前电价!H123-实时电价!H123</f>
        <v>332.12529999999998</v>
      </c>
      <c r="I123" s="7">
        <f>日前电价!I123-实时电价!I123</f>
        <v>281.1071</v>
      </c>
      <c r="J123" s="7">
        <f>日前电价!J123-实时电价!J123</f>
        <v>257.9513</v>
      </c>
      <c r="K123" s="7">
        <f>日前电价!K123-实时电价!K123</f>
        <v>-42.661299999999997</v>
      </c>
      <c r="L123" s="7">
        <f>日前电价!L123-实时电价!L123</f>
        <v>160.3075</v>
      </c>
      <c r="M123" s="7">
        <f>日前电价!M123-实时电价!M123</f>
        <v>223.20500000000001</v>
      </c>
      <c r="N123" s="7">
        <f>日前电价!N123-实时电价!N123</f>
        <v>270.92149999999998</v>
      </c>
      <c r="O123" s="7">
        <f>日前电价!O123-实时电价!O123</f>
        <v>267.44470000000001</v>
      </c>
      <c r="P123" s="7">
        <f>日前电价!P123-实时电价!P123</f>
        <v>274.94369999999998</v>
      </c>
      <c r="Q123" s="7">
        <f>日前电价!Q123-实时电价!Q123</f>
        <v>283.91059999999999</v>
      </c>
      <c r="R123" s="7">
        <f>日前电价!R123-实时电价!R123</f>
        <v>279.76729999999998</v>
      </c>
      <c r="S123" s="7">
        <f>日前电价!S123-实时电价!S123</f>
        <v>267.48419999999999</v>
      </c>
      <c r="T123" s="7">
        <f>日前电价!T123-实时电价!T123</f>
        <v>256.69349999999997</v>
      </c>
      <c r="U123" s="7">
        <f>日前电价!U123-实时电价!U123</f>
        <v>240.2749</v>
      </c>
      <c r="V123" s="7">
        <f>日前电价!V123-实时电价!V123</f>
        <v>219.06469999999999</v>
      </c>
      <c r="W123" s="7">
        <f>日前电价!W123-实时电价!W123</f>
        <v>137.1833</v>
      </c>
      <c r="X123" s="7">
        <f>日前电价!X123-实时电价!X123</f>
        <v>238.6542</v>
      </c>
      <c r="Y123" s="7">
        <f>日前电价!Y123-实时电价!Y123</f>
        <v>141.88740000000001</v>
      </c>
      <c r="Z123" s="9">
        <f t="shared" si="3"/>
        <v>332.12529999999998</v>
      </c>
      <c r="AA123" s="9">
        <f t="shared" si="4"/>
        <v>-61.130400000000002</v>
      </c>
      <c r="AB123" s="9">
        <f t="shared" si="5"/>
        <v>200.64307500000001</v>
      </c>
    </row>
    <row r="124" spans="1:28">
      <c r="A124" s="8">
        <v>45414</v>
      </c>
      <c r="B124" s="7">
        <f>日前电价!B124-实时电价!B124</f>
        <v>-55.925699999999999</v>
      </c>
      <c r="C124" s="7">
        <f>日前电价!C124-实时电价!C124</f>
        <v>152.91399999999999</v>
      </c>
      <c r="D124" s="7">
        <f>日前电价!D124-实时电价!D124</f>
        <v>154.45439999999999</v>
      </c>
      <c r="E124" s="7">
        <f>日前电价!E124-实时电价!E124</f>
        <v>59.3842</v>
      </c>
      <c r="F124" s="7">
        <f>日前电价!F124-实时电价!F124</f>
        <v>0</v>
      </c>
      <c r="G124" s="7">
        <f>日前电价!G124-实时电价!G124</f>
        <v>0</v>
      </c>
      <c r="H124" s="7">
        <f>日前电价!H124-实时电价!H124</f>
        <v>-2.4462999999999999</v>
      </c>
      <c r="I124" s="7">
        <f>日前电价!I124-实时电价!I124</f>
        <v>44.173099999999998</v>
      </c>
      <c r="J124" s="7">
        <f>日前电价!J124-实时电价!J124</f>
        <v>109.5478</v>
      </c>
      <c r="K124" s="7">
        <f>日前电价!K124-实时电价!K124</f>
        <v>-8.8358000000000008</v>
      </c>
      <c r="L124" s="7">
        <f>日前电价!L124-实时电价!L124</f>
        <v>13.884600000000001</v>
      </c>
      <c r="M124" s="7">
        <f>日前电价!M124-实时电价!M124</f>
        <v>125.38800000000001</v>
      </c>
      <c r="N124" s="7">
        <f>日前电价!N124-实时电价!N124</f>
        <v>-63.670900000000003</v>
      </c>
      <c r="O124" s="7">
        <f>日前电价!O124-实时电价!O124</f>
        <v>22.7407</v>
      </c>
      <c r="P124" s="7">
        <f>日前电价!P124-实时电价!P124</f>
        <v>180.0558</v>
      </c>
      <c r="Q124" s="7">
        <f>日前电价!Q124-实时电价!Q124</f>
        <v>197.71530000000001</v>
      </c>
      <c r="R124" s="7">
        <f>日前电价!R124-实时电价!R124</f>
        <v>224.54470000000001</v>
      </c>
      <c r="S124" s="7">
        <f>日前电价!S124-实时电价!S124</f>
        <v>195.8535</v>
      </c>
      <c r="T124" s="7">
        <f>日前电价!T124-实时电价!T124</f>
        <v>106.0325</v>
      </c>
      <c r="U124" s="7">
        <f>日前电价!U124-实时电价!U124</f>
        <v>65.689800000000005</v>
      </c>
      <c r="V124" s="7">
        <f>日前电价!V124-实时电价!V124</f>
        <v>31.1038</v>
      </c>
      <c r="W124" s="7">
        <f>日前电价!W124-实时电价!W124</f>
        <v>28.021599999999999</v>
      </c>
      <c r="X124" s="7">
        <f>日前电价!X124-实时电价!X124</f>
        <v>1.7690000000000099</v>
      </c>
      <c r="Y124" s="7">
        <f>日前电价!Y124-实时电价!Y124</f>
        <v>-34.606499999999997</v>
      </c>
      <c r="Z124" s="9">
        <f t="shared" si="3"/>
        <v>224.54470000000001</v>
      </c>
      <c r="AA124" s="9">
        <f t="shared" si="4"/>
        <v>-63.670900000000003</v>
      </c>
      <c r="AB124" s="9">
        <f t="shared" si="5"/>
        <v>64.491150000000005</v>
      </c>
    </row>
    <row r="125" spans="1:28">
      <c r="A125" s="8">
        <v>45415</v>
      </c>
      <c r="B125" s="7">
        <f>日前电价!B125-实时电价!B125</f>
        <v>-30.424799999999902</v>
      </c>
      <c r="C125" s="7">
        <f>日前电价!C125-实时电价!C125</f>
        <v>-0.212800000000016</v>
      </c>
      <c r="D125" s="7">
        <f>日前电价!D125-实时电价!D125</f>
        <v>0.99139999999999895</v>
      </c>
      <c r="E125" s="7">
        <f>日前电价!E125-实时电价!E125</f>
        <v>17.422799999999999</v>
      </c>
      <c r="F125" s="7">
        <f>日前电价!F125-实时电价!F125</f>
        <v>257.4366</v>
      </c>
      <c r="G125" s="7">
        <f>日前电价!G125-实时电价!G125</f>
        <v>137.4941</v>
      </c>
      <c r="H125" s="7">
        <f>日前电价!H125-实时电价!H125</f>
        <v>21.0977999999999</v>
      </c>
      <c r="I125" s="7">
        <f>日前电价!I125-实时电价!I125</f>
        <v>28.008600000000001</v>
      </c>
      <c r="J125" s="7">
        <f>日前电价!J125-实时电价!J125</f>
        <v>-7.3013000000000297</v>
      </c>
      <c r="K125" s="7">
        <f>日前电价!K125-实时电价!K125</f>
        <v>32.494399999999999</v>
      </c>
      <c r="L125" s="7">
        <f>日前电价!L125-实时电价!L125</f>
        <v>57.203600000000002</v>
      </c>
      <c r="M125" s="7">
        <f>日前电价!M125-实时电价!M125</f>
        <v>67.866399999999999</v>
      </c>
      <c r="N125" s="7">
        <f>日前电价!N125-实时电价!N125</f>
        <v>65.733900000000006</v>
      </c>
      <c r="O125" s="7">
        <f>日前电价!O125-实时电价!O125</f>
        <v>45.774000000000001</v>
      </c>
      <c r="P125" s="7">
        <f>日前电价!P125-实时电价!P125</f>
        <v>80.0685</v>
      </c>
      <c r="Q125" s="7">
        <f>日前电价!Q125-实时电价!Q125</f>
        <v>33.5002</v>
      </c>
      <c r="R125" s="7">
        <f>日前电价!R125-实时电价!R125</f>
        <v>1.46320000000003</v>
      </c>
      <c r="S125" s="7">
        <f>日前电价!S125-实时电价!S125</f>
        <v>7.2314000000000096</v>
      </c>
      <c r="T125" s="7">
        <f>日前电价!T125-实时电价!T125</f>
        <v>12.7963</v>
      </c>
      <c r="U125" s="7">
        <f>日前电价!U125-实时电价!U125</f>
        <v>6.41209999999995</v>
      </c>
      <c r="V125" s="7">
        <f>日前电价!V125-实时电价!V125</f>
        <v>25.132200000000001</v>
      </c>
      <c r="W125" s="7">
        <f>日前电价!W125-实时电价!W125</f>
        <v>37.813699999999997</v>
      </c>
      <c r="X125" s="7">
        <f>日前电价!X125-实时电价!X125</f>
        <v>-0.67050000000000398</v>
      </c>
      <c r="Y125" s="7">
        <f>日前电价!Y125-实时电价!Y125</f>
        <v>-13.0702</v>
      </c>
      <c r="Z125" s="9">
        <f t="shared" si="3"/>
        <v>257.4366</v>
      </c>
      <c r="AA125" s="9">
        <f t="shared" si="4"/>
        <v>-30.424799999999902</v>
      </c>
      <c r="AB125" s="9">
        <f t="shared" si="5"/>
        <v>36.8442333333333</v>
      </c>
    </row>
    <row r="126" spans="1:28">
      <c r="A126" s="8">
        <v>45416</v>
      </c>
      <c r="B126" s="7">
        <f>日前电价!B126-实时电价!B126</f>
        <v>-138.696</v>
      </c>
      <c r="C126" s="7">
        <f>日前电价!C126-实时电价!C126</f>
        <v>-4.9630999999999998</v>
      </c>
      <c r="D126" s="7">
        <f>日前电价!D126-实时电价!D126</f>
        <v>0.30029999999999302</v>
      </c>
      <c r="E126" s="7">
        <f>日前电价!E126-实时电价!E126</f>
        <v>10.1328</v>
      </c>
      <c r="F126" s="7">
        <f>日前电价!F126-实时电价!F126</f>
        <v>9.7401000000000408</v>
      </c>
      <c r="G126" s="7">
        <f>日前电价!G126-实时电价!G126</f>
        <v>8.1460999999999899</v>
      </c>
      <c r="H126" s="7">
        <f>日前电价!H126-实时电价!H126</f>
        <v>6.8462000000000103</v>
      </c>
      <c r="I126" s="7">
        <f>日前电价!I126-实时电价!I126</f>
        <v>-4.5776999999999903</v>
      </c>
      <c r="J126" s="7">
        <f>日前电价!J126-实时电价!J126</f>
        <v>3.3926000000000198</v>
      </c>
      <c r="K126" s="7">
        <f>日前电价!K126-实时电价!K126</f>
        <v>17.071400000000001</v>
      </c>
      <c r="L126" s="7">
        <f>日前电价!L126-实时电价!L126</f>
        <v>20.6692</v>
      </c>
      <c r="M126" s="7">
        <f>日前电价!M126-实时电价!M126</f>
        <v>69.867800000000003</v>
      </c>
      <c r="N126" s="7">
        <f>日前电价!N126-实时电价!N126</f>
        <v>56.907800000000002</v>
      </c>
      <c r="O126" s="7">
        <f>日前电价!O126-实时电价!O126</f>
        <v>59.9602</v>
      </c>
      <c r="P126" s="7">
        <f>日前电价!P126-实时电价!P126</f>
        <v>51.078200000000002</v>
      </c>
      <c r="Q126" s="7">
        <f>日前电价!Q126-实时电价!Q126</f>
        <v>28.1601</v>
      </c>
      <c r="R126" s="7">
        <f>日前电价!R126-实时电价!R126</f>
        <v>113.3623</v>
      </c>
      <c r="S126" s="7">
        <f>日前电价!S126-实时电价!S126</f>
        <v>91.546700000000001</v>
      </c>
      <c r="T126" s="7">
        <f>日前电价!T126-实时电价!T126</f>
        <v>56.248199999999997</v>
      </c>
      <c r="U126" s="7">
        <f>日前电价!U126-实时电价!U126</f>
        <v>106.5853</v>
      </c>
      <c r="V126" s="7">
        <f>日前电价!V126-实时电价!V126</f>
        <v>119.017</v>
      </c>
      <c r="W126" s="7">
        <f>日前电价!W126-实时电价!W126</f>
        <v>67.810599999999994</v>
      </c>
      <c r="X126" s="7">
        <f>日前电价!X126-实时电价!X126</f>
        <v>51.059699999999999</v>
      </c>
      <c r="Y126" s="7">
        <f>日前电价!Y126-实时电价!Y126</f>
        <v>41.26</v>
      </c>
      <c r="Z126" s="9">
        <f t="shared" si="3"/>
        <v>119.017</v>
      </c>
      <c r="AA126" s="9">
        <f t="shared" si="4"/>
        <v>-138.696</v>
      </c>
      <c r="AB126" s="9">
        <f t="shared" si="5"/>
        <v>35.038575000000002</v>
      </c>
    </row>
    <row r="127" spans="1:28">
      <c r="A127" s="8">
        <v>45417</v>
      </c>
      <c r="B127" s="7">
        <f>日前电价!B127-实时电价!B127</f>
        <v>15.218299999999999</v>
      </c>
      <c r="C127" s="7">
        <f>日前电价!C127-实时电价!C127</f>
        <v>15.5388</v>
      </c>
      <c r="D127" s="7">
        <f>日前电价!D127-实时电价!D127</f>
        <v>12.647399999999999</v>
      </c>
      <c r="E127" s="7">
        <f>日前电价!E127-实时电价!E127</f>
        <v>21.732700000000001</v>
      </c>
      <c r="F127" s="7">
        <f>日前电价!F127-实时电价!F127</f>
        <v>23.173500000000001</v>
      </c>
      <c r="G127" s="7">
        <f>日前电价!G127-实时电价!G127</f>
        <v>23.1494</v>
      </c>
      <c r="H127" s="7">
        <f>日前电价!H127-实时电价!H127</f>
        <v>11.5398</v>
      </c>
      <c r="I127" s="7">
        <f>日前电价!I127-实时电价!I127</f>
        <v>15.256500000000001</v>
      </c>
      <c r="J127" s="7">
        <f>日前电价!J127-实时电价!J127</f>
        <v>33.5871</v>
      </c>
      <c r="K127" s="7">
        <f>日前电价!K127-实时电价!K127</f>
        <v>57.929099999999998</v>
      </c>
      <c r="L127" s="7">
        <f>日前电价!L127-实时电价!L127</f>
        <v>108.9361</v>
      </c>
      <c r="M127" s="7">
        <f>日前电价!M127-实时电价!M127</f>
        <v>291.99599999999998</v>
      </c>
      <c r="N127" s="7">
        <f>日前电价!N127-实时电价!N127</f>
        <v>293.46899999999999</v>
      </c>
      <c r="O127" s="7">
        <f>日前电价!O127-实时电价!O127</f>
        <v>279.91000000000003</v>
      </c>
      <c r="P127" s="7">
        <f>日前电价!P127-实时电价!P127</f>
        <v>227.21299999999999</v>
      </c>
      <c r="Q127" s="7">
        <f>日前电价!Q127-实时电价!Q127</f>
        <v>76.632800000000003</v>
      </c>
      <c r="R127" s="7">
        <f>日前电价!R127-实时电价!R127</f>
        <v>49.844200000000001</v>
      </c>
      <c r="S127" s="7">
        <f>日前电价!S127-实时电价!S127</f>
        <v>27.8704</v>
      </c>
      <c r="T127" s="7">
        <f>日前电价!T127-实时电价!T127</f>
        <v>23.505700000000001</v>
      </c>
      <c r="U127" s="7">
        <f>日前电价!U127-实时电价!U127</f>
        <v>28.758199999999999</v>
      </c>
      <c r="V127" s="7">
        <f>日前电价!V127-实时电价!V127</f>
        <v>17.131</v>
      </c>
      <c r="W127" s="7">
        <f>日前电价!W127-实时电价!W127</f>
        <v>5.2049999999999796</v>
      </c>
      <c r="X127" s="7">
        <f>日前电价!X127-实时电价!X127</f>
        <v>-1.19749999999999</v>
      </c>
      <c r="Y127" s="7">
        <f>日前电价!Y127-实时电价!Y127</f>
        <v>-13.739100000000001</v>
      </c>
      <c r="Z127" s="9">
        <f t="shared" si="3"/>
        <v>293.46899999999999</v>
      </c>
      <c r="AA127" s="9">
        <f t="shared" si="4"/>
        <v>-13.739100000000001</v>
      </c>
      <c r="AB127" s="9">
        <f t="shared" si="5"/>
        <v>68.554474999999996</v>
      </c>
    </row>
    <row r="128" spans="1:28">
      <c r="A128" s="8">
        <v>45418</v>
      </c>
      <c r="B128" s="7">
        <f>日前电价!B128-实时电价!B128</f>
        <v>-107.5549</v>
      </c>
      <c r="C128" s="7">
        <f>日前电价!C128-实时电价!C128</f>
        <v>-7.1406000000000098</v>
      </c>
      <c r="D128" s="7">
        <f>日前电价!D128-实时电价!D128</f>
        <v>-8.1448000000000302</v>
      </c>
      <c r="E128" s="7">
        <f>日前电价!E128-实时电价!E128</f>
        <v>-9.8371000000000208</v>
      </c>
      <c r="F128" s="7">
        <f>日前电价!F128-实时电价!F128</f>
        <v>-0.52299999999996805</v>
      </c>
      <c r="G128" s="7">
        <f>日前电价!G128-实时电价!G128</f>
        <v>-3.7687000000000199</v>
      </c>
      <c r="H128" s="7">
        <f>日前电价!H128-实时电价!H128</f>
        <v>-10.433400000000001</v>
      </c>
      <c r="I128" s="7">
        <f>日前电价!I128-实时电价!I128</f>
        <v>-11.263500000000001</v>
      </c>
      <c r="J128" s="7">
        <f>日前电价!J128-实时电价!J128</f>
        <v>-70.184299999999993</v>
      </c>
      <c r="K128" s="7">
        <f>日前电价!K128-实时电价!K128</f>
        <v>46.8874</v>
      </c>
      <c r="L128" s="7">
        <f>日前电价!L128-实时电价!L128</f>
        <v>137.14619999999999</v>
      </c>
      <c r="M128" s="7">
        <f>日前电价!M128-实时电价!M128</f>
        <v>107.1957</v>
      </c>
      <c r="N128" s="7">
        <f>日前电价!N128-实时电价!N128</f>
        <v>7.8050000000000104</v>
      </c>
      <c r="O128" s="7">
        <f>日前电价!O128-实时电价!O128</f>
        <v>-31.0303</v>
      </c>
      <c r="P128" s="7">
        <f>日前电价!P128-实时电价!P128</f>
        <v>-164.54130000000001</v>
      </c>
      <c r="Q128" s="7">
        <f>日前电价!Q128-实时电价!Q128</f>
        <v>-241.94980000000001</v>
      </c>
      <c r="R128" s="7">
        <f>日前电价!R128-实时电价!R128</f>
        <v>-497.19580000000002</v>
      </c>
      <c r="S128" s="7">
        <f>日前电价!S128-实时电价!S128</f>
        <v>-273.31110000000001</v>
      </c>
      <c r="T128" s="7">
        <f>日前电价!T128-实时电价!T128</f>
        <v>-62.255699999999997</v>
      </c>
      <c r="U128" s="7">
        <f>日前电价!U128-实时电价!U128</f>
        <v>-37.8705</v>
      </c>
      <c r="V128" s="7">
        <f>日前电价!V128-实时电价!V128</f>
        <v>10.0535</v>
      </c>
      <c r="W128" s="7">
        <f>日前电价!W128-实时电价!W128</f>
        <v>13.621600000000001</v>
      </c>
      <c r="X128" s="7">
        <f>日前电价!X128-实时电价!X128</f>
        <v>17.0246</v>
      </c>
      <c r="Y128" s="7">
        <f>日前电价!Y128-实时电价!Y128</f>
        <v>2.5085000000000299</v>
      </c>
      <c r="Z128" s="9">
        <f t="shared" si="3"/>
        <v>137.14619999999999</v>
      </c>
      <c r="AA128" s="9">
        <f t="shared" si="4"/>
        <v>-497.19580000000002</v>
      </c>
      <c r="AB128" s="9">
        <f t="shared" si="5"/>
        <v>-49.781762499999999</v>
      </c>
    </row>
    <row r="129" spans="1:28">
      <c r="A129" s="8">
        <v>45419</v>
      </c>
      <c r="B129" s="7">
        <f>日前电价!B129-实时电价!B129</f>
        <v>-98.762699999999995</v>
      </c>
      <c r="C129" s="7">
        <f>日前电价!C129-实时电价!C129</f>
        <v>4.1428000000000198</v>
      </c>
      <c r="D129" s="7">
        <f>日前电价!D129-实时电价!D129</f>
        <v>7.2608000000000201</v>
      </c>
      <c r="E129" s="7">
        <f>日前电价!E129-实时电价!E129</f>
        <v>8.7629000000000001</v>
      </c>
      <c r="F129" s="7">
        <f>日前电价!F129-实时电价!F129</f>
        <v>11.8535</v>
      </c>
      <c r="G129" s="7">
        <f>日前电价!G129-实时电价!G129</f>
        <v>11.207599999999999</v>
      </c>
      <c r="H129" s="7">
        <f>日前电价!H129-实时电价!H129</f>
        <v>8.0701999999999998</v>
      </c>
      <c r="I129" s="7">
        <f>日前电价!I129-实时电价!I129</f>
        <v>7.1546000000000198</v>
      </c>
      <c r="J129" s="7">
        <f>日前电价!J129-实时电价!J129</f>
        <v>25.285599999999999</v>
      </c>
      <c r="K129" s="7">
        <f>日前电价!K129-实时电价!K129</f>
        <v>37.948700000000002</v>
      </c>
      <c r="L129" s="7">
        <f>日前电价!L129-实时电价!L129</f>
        <v>43.678899999999999</v>
      </c>
      <c r="M129" s="7">
        <f>日前电价!M129-实时电价!M129</f>
        <v>42.034700000000001</v>
      </c>
      <c r="N129" s="7">
        <f>日前电价!N129-实时电价!N129</f>
        <v>36.355600000000003</v>
      </c>
      <c r="O129" s="7">
        <f>日前电价!O129-实时电价!O129</f>
        <v>39.217599999999997</v>
      </c>
      <c r="P129" s="7">
        <f>日前电价!P129-实时电价!P129</f>
        <v>87.935100000000006</v>
      </c>
      <c r="Q129" s="7">
        <f>日前电价!Q129-实时电价!Q129</f>
        <v>40.304299999999998</v>
      </c>
      <c r="R129" s="7">
        <f>日前电价!R129-实时电价!R129</f>
        <v>31.224599999999999</v>
      </c>
      <c r="S129" s="7">
        <f>日前电价!S129-实时电价!S129</f>
        <v>25.901800000000001</v>
      </c>
      <c r="T129" s="7">
        <f>日前电价!T129-实时电价!T129</f>
        <v>25.090299999999999</v>
      </c>
      <c r="U129" s="7">
        <f>日前电价!U129-实时电价!U129</f>
        <v>17.839200000000002</v>
      </c>
      <c r="V129" s="7">
        <f>日前电价!V129-实时电价!V129</f>
        <v>25.028199999999998</v>
      </c>
      <c r="W129" s="7">
        <f>日前电价!W129-实时电价!W129</f>
        <v>19.1035</v>
      </c>
      <c r="X129" s="7">
        <f>日前电价!X129-实时电价!X129</f>
        <v>6.2593999999999701</v>
      </c>
      <c r="Y129" s="7">
        <f>日前电价!Y129-实时电价!Y129</f>
        <v>6.1428000000000198</v>
      </c>
      <c r="Z129" s="9">
        <f t="shared" si="3"/>
        <v>87.935100000000006</v>
      </c>
      <c r="AA129" s="9">
        <f t="shared" si="4"/>
        <v>-98.762699999999995</v>
      </c>
      <c r="AB129" s="9">
        <f t="shared" si="5"/>
        <v>19.543333333333301</v>
      </c>
    </row>
    <row r="130" spans="1:28">
      <c r="A130" s="8">
        <v>45420</v>
      </c>
      <c r="B130" s="7">
        <f>日前电价!B130-实时电价!B130</f>
        <v>-14.428000000000001</v>
      </c>
      <c r="C130" s="7">
        <f>日前电价!C130-实时电价!C130</f>
        <v>-4.7262000000000102</v>
      </c>
      <c r="D130" s="7">
        <f>日前电价!D130-实时电价!D130</f>
        <v>0.50899999999995804</v>
      </c>
      <c r="E130" s="7">
        <f>日前电价!E130-实时电价!E130</f>
        <v>6.5208000000000101</v>
      </c>
      <c r="F130" s="7">
        <f>日前电价!F130-实时电价!F130</f>
        <v>-0.31099999999997902</v>
      </c>
      <c r="G130" s="7">
        <f>日前电价!G130-实时电价!G130</f>
        <v>4.7090999999999799</v>
      </c>
      <c r="H130" s="7">
        <f>日前电价!H130-实时电价!H130</f>
        <v>-2.4654999999999601</v>
      </c>
      <c r="I130" s="7">
        <f>日前电价!I130-实时电价!I130</f>
        <v>-1.46120000000002</v>
      </c>
      <c r="J130" s="7">
        <f>日前电价!J130-实时电价!J130</f>
        <v>3.5566</v>
      </c>
      <c r="K130" s="7">
        <f>日前电价!K130-实时电价!K130</f>
        <v>3.9431999999999898</v>
      </c>
      <c r="L130" s="7">
        <f>日前电价!L130-实时电价!L130</f>
        <v>26.4391</v>
      </c>
      <c r="M130" s="7">
        <f>日前电价!M130-实时电价!M130</f>
        <v>23.799199999999999</v>
      </c>
      <c r="N130" s="7">
        <f>日前电价!N130-实时电价!N130</f>
        <v>14.436299999999999</v>
      </c>
      <c r="O130" s="7">
        <f>日前电价!O130-实时电价!O130</f>
        <v>3.6467000000000098</v>
      </c>
      <c r="P130" s="7">
        <f>日前电价!P130-实时电价!P130</f>
        <v>27.904399999999999</v>
      </c>
      <c r="Q130" s="7">
        <f>日前电价!Q130-实时电价!Q130</f>
        <v>20.252500000000101</v>
      </c>
      <c r="R130" s="7">
        <f>日前电价!R130-实时电价!R130</f>
        <v>8.5656000000000194</v>
      </c>
      <c r="S130" s="7">
        <f>日前电价!S130-实时电价!S130</f>
        <v>17.6267</v>
      </c>
      <c r="T130" s="7">
        <f>日前电价!T130-实时电价!T130</f>
        <v>15.4217</v>
      </c>
      <c r="U130" s="7">
        <f>日前电价!U130-实时电价!U130</f>
        <v>12.5609</v>
      </c>
      <c r="V130" s="7">
        <f>日前电价!V130-实时电价!V130</f>
        <v>11.440099999999999</v>
      </c>
      <c r="W130" s="7">
        <f>日前电价!W130-实时电价!W130</f>
        <v>11.2737</v>
      </c>
      <c r="X130" s="7">
        <f>日前电价!X130-实时电价!X130</f>
        <v>2.33449999999999</v>
      </c>
      <c r="Y130" s="7">
        <f>日前电价!Y130-实时电价!Y130</f>
        <v>-5.3601000000000498</v>
      </c>
      <c r="Z130" s="9">
        <f t="shared" ref="Z130:Z193" si="6">MAX($B130:$Y130)</f>
        <v>27.904399999999999</v>
      </c>
      <c r="AA130" s="9">
        <f t="shared" ref="AA130:AA193" si="7">MIN($B130:$Y130)</f>
        <v>-14.428000000000001</v>
      </c>
      <c r="AB130" s="9">
        <f t="shared" ref="AB130:AB193" si="8">AVERAGE($B130:$Y130)</f>
        <v>7.7578374999999999</v>
      </c>
    </row>
    <row r="131" spans="1:28">
      <c r="A131" s="8">
        <v>45421</v>
      </c>
      <c r="B131" s="7">
        <f>日前电价!B131-实时电价!B131</f>
        <v>-6.0656000000000203</v>
      </c>
      <c r="C131" s="7">
        <f>日前电价!C131-实时电价!C131</f>
        <v>6.07390000000004</v>
      </c>
      <c r="D131" s="7">
        <f>日前电价!D131-实时电价!D131</f>
        <v>10.058299999999999</v>
      </c>
      <c r="E131" s="7">
        <f>日前电价!E131-实时电价!E131</f>
        <v>6.6828999999999601</v>
      </c>
      <c r="F131" s="7">
        <f>日前电价!F131-实时电价!F131</f>
        <v>11.7377</v>
      </c>
      <c r="G131" s="7">
        <f>日前电价!G131-实时电价!G131</f>
        <v>8.88099999999997</v>
      </c>
      <c r="H131" s="7">
        <f>日前电价!H131-实时电价!H131</f>
        <v>3.7456999999999998</v>
      </c>
      <c r="I131" s="7">
        <f>日前电价!I131-实时电价!I131</f>
        <v>7.9610000000000101</v>
      </c>
      <c r="J131" s="7">
        <f>日前电价!J131-实时电价!J131</f>
        <v>8.5223999999999993</v>
      </c>
      <c r="K131" s="7">
        <f>日前电价!K131-实时电价!K131</f>
        <v>17.283200000000001</v>
      </c>
      <c r="L131" s="7">
        <f>日前电价!L131-实时电价!L131</f>
        <v>36.975900000000003</v>
      </c>
      <c r="M131" s="7">
        <f>日前电价!M131-实时电价!M131</f>
        <v>36.419800000000002</v>
      </c>
      <c r="N131" s="7">
        <f>日前电价!N131-实时电价!N131</f>
        <v>92.927999999999997</v>
      </c>
      <c r="O131" s="7">
        <f>日前电价!O131-实时电价!O131</f>
        <v>8.2476000000000305</v>
      </c>
      <c r="P131" s="7">
        <f>日前电价!P131-实时电价!P131</f>
        <v>9.0302999999999507</v>
      </c>
      <c r="Q131" s="7">
        <f>日前电价!Q131-实时电价!Q131</f>
        <v>11.811299999999999</v>
      </c>
      <c r="R131" s="7">
        <f>日前电价!R131-实时电价!R131</f>
        <v>15.1213</v>
      </c>
      <c r="S131" s="7">
        <f>日前电价!S131-实时电价!S131</f>
        <v>108.9468</v>
      </c>
      <c r="T131" s="7">
        <f>日前电价!T131-实时电价!T131</f>
        <v>28.835599999999999</v>
      </c>
      <c r="U131" s="7">
        <f>日前电价!U131-实时电价!U131</f>
        <v>25.543600000000001</v>
      </c>
      <c r="V131" s="7">
        <f>日前电价!V131-实时电价!V131</f>
        <v>22.631599999999999</v>
      </c>
      <c r="W131" s="7">
        <f>日前电价!W131-实时电价!W131</f>
        <v>25.242599999999999</v>
      </c>
      <c r="X131" s="7">
        <f>日前电价!X131-实时电价!X131</f>
        <v>27.721</v>
      </c>
      <c r="Y131" s="7">
        <f>日前电价!Y131-实时电价!Y131</f>
        <v>96.453100000000006</v>
      </c>
      <c r="Z131" s="9">
        <f t="shared" si="6"/>
        <v>108.9468</v>
      </c>
      <c r="AA131" s="9">
        <f t="shared" si="7"/>
        <v>-6.0656000000000203</v>
      </c>
      <c r="AB131" s="9">
        <f t="shared" si="8"/>
        <v>25.866208333333301</v>
      </c>
    </row>
    <row r="132" spans="1:28">
      <c r="A132" s="8">
        <v>45422</v>
      </c>
      <c r="B132" s="7">
        <f>日前电价!B132-实时电价!B132</f>
        <v>11.0854</v>
      </c>
      <c r="C132" s="7">
        <f>日前电价!C132-实时电价!C132</f>
        <v>18.242100000000001</v>
      </c>
      <c r="D132" s="7">
        <f>日前电价!D132-实时电价!D132</f>
        <v>20.203199999999999</v>
      </c>
      <c r="E132" s="7">
        <f>日前电价!E132-实时电价!E132</f>
        <v>87.009600000000006</v>
      </c>
      <c r="F132" s="7">
        <f>日前电价!F132-实时电价!F132</f>
        <v>303.4821</v>
      </c>
      <c r="G132" s="7">
        <f>日前电价!G132-实时电价!G132</f>
        <v>303.4264</v>
      </c>
      <c r="H132" s="7">
        <f>日前电价!H132-实时电价!H132</f>
        <v>11.723599999999999</v>
      </c>
      <c r="I132" s="7">
        <f>日前电价!I132-实时电价!I132</f>
        <v>13.6478</v>
      </c>
      <c r="J132" s="7">
        <f>日前电价!J132-实时电价!J132</f>
        <v>19.4788</v>
      </c>
      <c r="K132" s="7">
        <f>日前电价!K132-实时电价!K132</f>
        <v>28.822900000000001</v>
      </c>
      <c r="L132" s="7">
        <f>日前电价!L132-实时电价!L132</f>
        <v>36.7057</v>
      </c>
      <c r="M132" s="7">
        <f>日前电价!M132-实时电价!M132</f>
        <v>66.012600000000006</v>
      </c>
      <c r="N132" s="7">
        <f>日前电价!N132-实时电价!N132</f>
        <v>178.31360000000001</v>
      </c>
      <c r="O132" s="7">
        <f>日前电价!O132-实时电价!O132</f>
        <v>25.787700000000001</v>
      </c>
      <c r="P132" s="7">
        <f>日前电价!P132-实时电价!P132</f>
        <v>23.1799</v>
      </c>
      <c r="Q132" s="7">
        <f>日前电价!Q132-实时电价!Q132</f>
        <v>15.5595</v>
      </c>
      <c r="R132" s="7">
        <f>日前电价!R132-实时电价!R132</f>
        <v>12.287699999999999</v>
      </c>
      <c r="S132" s="7">
        <f>日前电价!S132-实时电价!S132</f>
        <v>111.06019999999999</v>
      </c>
      <c r="T132" s="7">
        <f>日前电价!T132-实时电价!T132</f>
        <v>142.9254</v>
      </c>
      <c r="U132" s="7">
        <f>日前电价!U132-实时电价!U132</f>
        <v>35.815100000000001</v>
      </c>
      <c r="V132" s="7">
        <f>日前电价!V132-实时电价!V132</f>
        <v>22.2136</v>
      </c>
      <c r="W132" s="7">
        <f>日前电价!W132-实时电价!W132</f>
        <v>19.7698</v>
      </c>
      <c r="X132" s="7">
        <f>日前电价!X132-实时电价!X132</f>
        <v>1.0133000000000201</v>
      </c>
      <c r="Y132" s="7">
        <f>日前电价!Y132-实时电价!Y132</f>
        <v>-5.1480000000000201</v>
      </c>
      <c r="Z132" s="9">
        <f t="shared" si="6"/>
        <v>303.4821</v>
      </c>
      <c r="AA132" s="9">
        <f t="shared" si="7"/>
        <v>-5.1480000000000201</v>
      </c>
      <c r="AB132" s="9">
        <f t="shared" si="8"/>
        <v>62.609083333333402</v>
      </c>
    </row>
    <row r="133" spans="1:28">
      <c r="A133" s="8">
        <v>45423</v>
      </c>
      <c r="B133" s="7">
        <f>日前电价!B133-实时电价!B133</f>
        <v>-3.4852000000000198</v>
      </c>
      <c r="C133" s="7">
        <f>日前电价!C133-实时电价!C133</f>
        <v>3.4891000000000099</v>
      </c>
      <c r="D133" s="7">
        <f>日前电价!D133-实时电价!D133</f>
        <v>-0.231899999999996</v>
      </c>
      <c r="E133" s="7">
        <f>日前电价!E133-实时电价!E133</f>
        <v>-3.8686999999999898</v>
      </c>
      <c r="F133" s="7">
        <f>日前电价!F133-实时电价!F133</f>
        <v>-5.7207999999999997</v>
      </c>
      <c r="G133" s="7">
        <f>日前电价!G133-实时电价!G133</f>
        <v>-8.4542000000000108</v>
      </c>
      <c r="H133" s="7">
        <f>日前电价!H133-实时电价!H133</f>
        <v>0.46660000000002799</v>
      </c>
      <c r="I133" s="7">
        <f>日前电价!I133-实时电价!I133</f>
        <v>-0.12810000000001801</v>
      </c>
      <c r="J133" s="7">
        <f>日前电价!J133-实时电价!J133</f>
        <v>2.0636000000000099</v>
      </c>
      <c r="K133" s="7">
        <f>日前电价!K133-实时电价!K133</f>
        <v>-9.5071999999999495</v>
      </c>
      <c r="L133" s="7">
        <f>日前电价!L133-实时电价!L133</f>
        <v>19.425999999999998</v>
      </c>
      <c r="M133" s="7">
        <f>日前电价!M133-实时电价!M133</f>
        <v>32.8887</v>
      </c>
      <c r="N133" s="7">
        <f>日前电价!N133-实时电价!N133</f>
        <v>101.4191</v>
      </c>
      <c r="O133" s="7">
        <f>日前电价!O133-实时电价!O133</f>
        <v>18.6386</v>
      </c>
      <c r="P133" s="7">
        <f>日前电价!P133-实时电价!P133</f>
        <v>3.1023999999999901</v>
      </c>
      <c r="Q133" s="7">
        <f>日前电价!Q133-实时电价!Q133</f>
        <v>-14.356</v>
      </c>
      <c r="R133" s="7">
        <f>日前电价!R133-实时电价!R133</f>
        <v>-24.562000000000001</v>
      </c>
      <c r="S133" s="7">
        <f>日前电价!S133-实时电价!S133</f>
        <v>4.1241000000000003</v>
      </c>
      <c r="T133" s="7">
        <f>日前电价!T133-实时电价!T133</f>
        <v>12.8399</v>
      </c>
      <c r="U133" s="7">
        <f>日前电价!U133-实时电价!U133</f>
        <v>6.1205999999999703</v>
      </c>
      <c r="V133" s="7">
        <f>日前电价!V133-实时电价!V133</f>
        <v>2.5240999999999798</v>
      </c>
      <c r="W133" s="7">
        <f>日前电价!W133-实时电价!W133</f>
        <v>7.0267000000000097</v>
      </c>
      <c r="X133" s="7">
        <f>日前电价!X133-实时电价!X133</f>
        <v>-25.7849</v>
      </c>
      <c r="Y133" s="7">
        <f>日前电价!Y133-实时电价!Y133</f>
        <v>-18.6187</v>
      </c>
      <c r="Z133" s="9">
        <f t="shared" si="6"/>
        <v>101.4191</v>
      </c>
      <c r="AA133" s="9">
        <f t="shared" si="7"/>
        <v>-25.7849</v>
      </c>
      <c r="AB133" s="9">
        <f t="shared" si="8"/>
        <v>4.1421583333333301</v>
      </c>
    </row>
    <row r="134" spans="1:28">
      <c r="A134" s="8">
        <v>45424</v>
      </c>
      <c r="B134" s="7">
        <f>日前电价!B134-实时电价!B134</f>
        <v>-30.727599999999999</v>
      </c>
      <c r="C134" s="7">
        <f>日前电价!C134-实时电价!C134</f>
        <v>-0.98439999999999395</v>
      </c>
      <c r="D134" s="7">
        <f>日前电价!D134-实时电价!D134</f>
        <v>5.3098999999999696</v>
      </c>
      <c r="E134" s="7">
        <f>日前电价!E134-实时电价!E134</f>
        <v>0.39319999999997901</v>
      </c>
      <c r="F134" s="7">
        <f>日前电价!F134-实时电价!F134</f>
        <v>-0.92259999999998898</v>
      </c>
      <c r="G134" s="7">
        <f>日前电价!G134-实时电价!G134</f>
        <v>3.7300000000016098E-2</v>
      </c>
      <c r="H134" s="7">
        <f>日前电价!H134-实时电价!H134</f>
        <v>0.23050000000000601</v>
      </c>
      <c r="I134" s="7">
        <f>日前电价!I134-实时电价!I134</f>
        <v>0.97500000000002296</v>
      </c>
      <c r="J134" s="7">
        <f>日前电价!J134-实时电价!J134</f>
        <v>13.751899999999999</v>
      </c>
      <c r="K134" s="7">
        <f>日前电价!K134-实时电价!K134</f>
        <v>14.593299999999999</v>
      </c>
      <c r="L134" s="7">
        <f>日前电价!L134-实时电价!L134</f>
        <v>20.5303</v>
      </c>
      <c r="M134" s="7">
        <f>日前电价!M134-实时电价!M134</f>
        <v>22.4404</v>
      </c>
      <c r="N134" s="7">
        <f>日前电价!N134-实时电价!N134</f>
        <v>23.532</v>
      </c>
      <c r="O134" s="7">
        <f>日前电价!O134-实时电价!O134</f>
        <v>18.190999999999999</v>
      </c>
      <c r="P134" s="7">
        <f>日前电价!P134-实时电价!P134</f>
        <v>22.6798</v>
      </c>
      <c r="Q134" s="7">
        <f>日前电价!Q134-实时电价!Q134</f>
        <v>27.776</v>
      </c>
      <c r="R134" s="7">
        <f>日前电价!R134-实时电价!R134</f>
        <v>6.3693000000000097</v>
      </c>
      <c r="S134" s="7">
        <f>日前电价!S134-实时电价!S134</f>
        <v>4.84909999999996</v>
      </c>
      <c r="T134" s="7">
        <f>日前电价!T134-实时电价!T134</f>
        <v>14.5314</v>
      </c>
      <c r="U134" s="7">
        <f>日前电价!U134-实时电价!U134</f>
        <v>19.961200000000002</v>
      </c>
      <c r="V134" s="7">
        <f>日前电价!V134-实时电价!V134</f>
        <v>15.9053</v>
      </c>
      <c r="W134" s="7">
        <f>日前电价!W134-实时电价!W134</f>
        <v>15.276999999999999</v>
      </c>
      <c r="X134" s="7">
        <f>日前电价!X134-实时电价!X134</f>
        <v>14.871700000000001</v>
      </c>
      <c r="Y134" s="7">
        <f>日前电价!Y134-实时电价!Y134</f>
        <v>10.191599999999999</v>
      </c>
      <c r="Z134" s="9">
        <f t="shared" si="6"/>
        <v>27.776</v>
      </c>
      <c r="AA134" s="9">
        <f t="shared" si="7"/>
        <v>-30.727599999999999</v>
      </c>
      <c r="AB134" s="9">
        <f t="shared" si="8"/>
        <v>9.99010833333333</v>
      </c>
    </row>
    <row r="135" spans="1:28">
      <c r="A135" s="8">
        <v>45425</v>
      </c>
      <c r="B135" s="7">
        <f>日前电价!B135-实时电价!B135</f>
        <v>-0.84179999999997801</v>
      </c>
      <c r="C135" s="7">
        <f>日前电价!C135-实时电价!C135</f>
        <v>8.6376000000000204</v>
      </c>
      <c r="D135" s="7">
        <f>日前电价!D135-实时电价!D135</f>
        <v>13.081899999999999</v>
      </c>
      <c r="E135" s="7">
        <f>日前电价!E135-实时电价!E135</f>
        <v>25.247499999999999</v>
      </c>
      <c r="F135" s="7">
        <f>日前电价!F135-实时电价!F135</f>
        <v>96.711600000000004</v>
      </c>
      <c r="G135" s="7">
        <f>日前电价!G135-实时电价!G135</f>
        <v>41.768099999999997</v>
      </c>
      <c r="H135" s="7">
        <f>日前电价!H135-实时电价!H135</f>
        <v>5.4732000000000198</v>
      </c>
      <c r="I135" s="7">
        <f>日前电价!I135-实时电价!I135</f>
        <v>8.3716000000000008</v>
      </c>
      <c r="J135" s="7">
        <f>日前电价!J135-实时电价!J135</f>
        <v>-0.72090000000002896</v>
      </c>
      <c r="K135" s="7">
        <f>日前电价!K135-实时电价!K135</f>
        <v>8.4350000000000005</v>
      </c>
      <c r="L135" s="7">
        <f>日前电价!L135-实时电价!L135</f>
        <v>119.55710000000001</v>
      </c>
      <c r="M135" s="7">
        <f>日前电价!M135-实时电价!M135</f>
        <v>81.919899999999998</v>
      </c>
      <c r="N135" s="7">
        <f>日前电价!N135-实时电价!N135</f>
        <v>248.88669999999999</v>
      </c>
      <c r="O135" s="7">
        <f>日前电价!O135-实时电价!O135</f>
        <v>78.076800000000006</v>
      </c>
      <c r="P135" s="7">
        <f>日前电价!P135-实时电价!P135</f>
        <v>24.3568</v>
      </c>
      <c r="Q135" s="7">
        <f>日前电价!Q135-实时电价!Q135</f>
        <v>10.3878</v>
      </c>
      <c r="R135" s="7">
        <f>日前电价!R135-实时电价!R135</f>
        <v>13.013</v>
      </c>
      <c r="S135" s="7">
        <f>日前电价!S135-实时电价!S135</f>
        <v>2.7434000000000101</v>
      </c>
      <c r="T135" s="7">
        <f>日前电价!T135-实时电价!T135</f>
        <v>4.5654000000000101</v>
      </c>
      <c r="U135" s="7">
        <f>日前电价!U135-实时电价!U135</f>
        <v>-1.47000000000048E-2</v>
      </c>
      <c r="V135" s="7">
        <f>日前电价!V135-实时电价!V135</f>
        <v>1.98559999999998</v>
      </c>
      <c r="W135" s="7">
        <f>日前电价!W135-实时电价!W135</f>
        <v>1.37709999999998</v>
      </c>
      <c r="X135" s="7">
        <f>日前电价!X135-实时电价!X135</f>
        <v>-1.9363000000000199</v>
      </c>
      <c r="Y135" s="7">
        <f>日前电价!Y135-实时电价!Y135</f>
        <v>-5.3040000000000296</v>
      </c>
      <c r="Z135" s="9">
        <f t="shared" si="6"/>
        <v>248.88669999999999</v>
      </c>
      <c r="AA135" s="9">
        <f t="shared" si="7"/>
        <v>-5.3040000000000296</v>
      </c>
      <c r="AB135" s="9">
        <f t="shared" si="8"/>
        <v>32.740766666666701</v>
      </c>
    </row>
    <row r="136" spans="1:28">
      <c r="A136" s="8">
        <v>45426</v>
      </c>
      <c r="B136" s="7">
        <f>日前电价!B136-实时电价!B136</f>
        <v>-80.905699999999996</v>
      </c>
      <c r="C136" s="7">
        <f>日前电价!C136-实时电价!C136</f>
        <v>4.1031000000000404</v>
      </c>
      <c r="D136" s="7">
        <f>日前电价!D136-实时电价!D136</f>
        <v>-7.5208000000000101</v>
      </c>
      <c r="E136" s="7">
        <f>日前电价!E136-实时电价!E136</f>
        <v>-14.237</v>
      </c>
      <c r="F136" s="7">
        <f>日前电价!F136-实时电价!F136</f>
        <v>-101.2222</v>
      </c>
      <c r="G136" s="7">
        <f>日前电价!G136-实时电价!G136</f>
        <v>45.466799999999999</v>
      </c>
      <c r="H136" s="7">
        <f>日前电价!H136-实时电价!H136</f>
        <v>-1.1440999999999799</v>
      </c>
      <c r="I136" s="7">
        <f>日前电价!I136-实时电价!I136</f>
        <v>5.0267000000000097</v>
      </c>
      <c r="J136" s="7">
        <f>日前电价!J136-实时电价!J136</f>
        <v>4.2526000000000304</v>
      </c>
      <c r="K136" s="7">
        <f>日前电价!K136-实时电价!K136</f>
        <v>168.82589999999999</v>
      </c>
      <c r="L136" s="7">
        <f>日前电价!L136-实时电价!L136</f>
        <v>294.67430000000002</v>
      </c>
      <c r="M136" s="7">
        <f>日前电价!M136-实时电价!M136</f>
        <v>179.11750000000001</v>
      </c>
      <c r="N136" s="7">
        <f>日前电价!N136-实时电价!N136</f>
        <v>225.0275</v>
      </c>
      <c r="O136" s="7">
        <f>日前电价!O136-实时电价!O136</f>
        <v>266.82319999999999</v>
      </c>
      <c r="P136" s="7">
        <f>日前电价!P136-实时电价!P136</f>
        <v>316.06209999999999</v>
      </c>
      <c r="Q136" s="7">
        <f>日前电价!Q136-实时电价!Q136</f>
        <v>203.351</v>
      </c>
      <c r="R136" s="7">
        <f>日前电价!R136-实时电价!R136</f>
        <v>32.395400000000002</v>
      </c>
      <c r="S136" s="7">
        <f>日前电价!S136-实时电价!S136</f>
        <v>11.2157</v>
      </c>
      <c r="T136" s="7">
        <f>日前电价!T136-实时电价!T136</f>
        <v>4.5445000000000304</v>
      </c>
      <c r="U136" s="7">
        <f>日前电价!U136-实时电价!U136</f>
        <v>6.9928999999999597</v>
      </c>
      <c r="V136" s="7">
        <f>日前电价!V136-实时电价!V136</f>
        <v>7.6996000000000304</v>
      </c>
      <c r="W136" s="7">
        <f>日前电价!W136-实时电价!W136</f>
        <v>5.5419</v>
      </c>
      <c r="X136" s="7">
        <f>日前电价!X136-实时电价!X136</f>
        <v>3.1064999999999801</v>
      </c>
      <c r="Y136" s="7">
        <f>日前电价!Y136-实时电价!Y136</f>
        <v>-6.5108999999999897</v>
      </c>
      <c r="Z136" s="9">
        <f t="shared" si="6"/>
        <v>316.06209999999999</v>
      </c>
      <c r="AA136" s="9">
        <f t="shared" si="7"/>
        <v>-101.2222</v>
      </c>
      <c r="AB136" s="9">
        <f t="shared" si="8"/>
        <v>65.528604166666696</v>
      </c>
    </row>
    <row r="137" spans="1:28">
      <c r="A137" s="8">
        <v>45427</v>
      </c>
      <c r="B137" s="7">
        <f>日前电价!B137-实时电价!B137</f>
        <v>-6.3215999999999903</v>
      </c>
      <c r="C137" s="7">
        <f>日前电价!C137-实时电价!C137</f>
        <v>-6.1924999999999999</v>
      </c>
      <c r="D137" s="7">
        <f>日前电价!D137-实时电价!D137</f>
        <v>-3.0751000000000199</v>
      </c>
      <c r="E137" s="7">
        <f>日前电价!E137-实时电价!E137</f>
        <v>2.8774999999999999</v>
      </c>
      <c r="F137" s="7">
        <f>日前电价!F137-实时电价!F137</f>
        <v>-13.715</v>
      </c>
      <c r="G137" s="7">
        <f>日前电价!G137-实时电价!G137</f>
        <v>-20.105</v>
      </c>
      <c r="H137" s="7">
        <f>日前电价!H137-实时电价!H137</f>
        <v>-11.444000000000001</v>
      </c>
      <c r="I137" s="7">
        <f>日前电价!I137-实时电价!I137</f>
        <v>-10.9651</v>
      </c>
      <c r="J137" s="7">
        <f>日前电价!J137-实时电价!J137</f>
        <v>1.3997000000000499</v>
      </c>
      <c r="K137" s="7">
        <f>日前电价!K137-实时电价!K137</f>
        <v>14.557600000000001</v>
      </c>
      <c r="L137" s="7">
        <f>日前电价!L137-实时电价!L137</f>
        <v>207.67310000000001</v>
      </c>
      <c r="M137" s="7">
        <f>日前电价!M137-实时电价!M137</f>
        <v>186.68209999999999</v>
      </c>
      <c r="N137" s="7">
        <f>日前电价!N137-实时电价!N137</f>
        <v>115.3711</v>
      </c>
      <c r="O137" s="7">
        <f>日前电价!O137-实时电价!O137</f>
        <v>82.301100000000005</v>
      </c>
      <c r="P137" s="7">
        <f>日前电价!P137-实时电价!P137</f>
        <v>30.382300000000001</v>
      </c>
      <c r="Q137" s="7">
        <f>日前电价!Q137-实时电价!Q137</f>
        <v>-3.7246000000000099</v>
      </c>
      <c r="R137" s="7">
        <f>日前电价!R137-实时电价!R137</f>
        <v>-11.014799999999999</v>
      </c>
      <c r="S137" s="7">
        <f>日前电价!S137-实时电价!S137</f>
        <v>-13.831200000000001</v>
      </c>
      <c r="T137" s="7">
        <f>日前电价!T137-实时电价!T137</f>
        <v>-4.2348000000000097</v>
      </c>
      <c r="U137" s="7">
        <f>日前电价!U137-实时电价!U137</f>
        <v>5.8167999999999997</v>
      </c>
      <c r="V137" s="7">
        <f>日前电价!V137-实时电价!V137</f>
        <v>0.14859999999998799</v>
      </c>
      <c r="W137" s="7">
        <f>日前电价!W137-实时电价!W137</f>
        <v>0.32770000000005001</v>
      </c>
      <c r="X137" s="7">
        <f>日前电价!X137-实时电价!X137</f>
        <v>-1.47999999999996</v>
      </c>
      <c r="Y137" s="7">
        <f>日前电价!Y137-实时电价!Y137</f>
        <v>-8.4758000000000493</v>
      </c>
      <c r="Z137" s="9">
        <f t="shared" si="6"/>
        <v>207.67310000000001</v>
      </c>
      <c r="AA137" s="9">
        <f t="shared" si="7"/>
        <v>-20.105</v>
      </c>
      <c r="AB137" s="9">
        <f t="shared" si="8"/>
        <v>22.206587500000001</v>
      </c>
    </row>
    <row r="138" spans="1:28">
      <c r="A138" s="8">
        <v>45428</v>
      </c>
      <c r="B138" s="7">
        <f>日前电价!B138-实时电价!B138</f>
        <v>-5.0554999999999897</v>
      </c>
      <c r="C138" s="7">
        <f>日前电价!C138-实时电价!C138</f>
        <v>-5.2309000000000196</v>
      </c>
      <c r="D138" s="7">
        <f>日前电价!D138-实时电价!D138</f>
        <v>-4.2081</v>
      </c>
      <c r="E138" s="7">
        <f>日前电价!E138-实时电价!E138</f>
        <v>0.56969999999995502</v>
      </c>
      <c r="F138" s="7">
        <f>日前电价!F138-实时电价!F138</f>
        <v>25.8034</v>
      </c>
      <c r="G138" s="7">
        <f>日前电价!G138-实时电价!G138</f>
        <v>175.9342</v>
      </c>
      <c r="H138" s="7">
        <f>日前电价!H138-实时电价!H138</f>
        <v>72.375</v>
      </c>
      <c r="I138" s="7">
        <f>日前电价!I138-实时电价!I138</f>
        <v>92.362200000000001</v>
      </c>
      <c r="J138" s="7">
        <f>日前电价!J138-实时电价!J138</f>
        <v>78.883899999999997</v>
      </c>
      <c r="K138" s="7">
        <f>日前电价!K138-实时电价!K138</f>
        <v>123.5457</v>
      </c>
      <c r="L138" s="7">
        <f>日前电价!L138-实时电价!L138</f>
        <v>261.2758</v>
      </c>
      <c r="M138" s="7">
        <f>日前电价!M138-实时电价!M138</f>
        <v>115.2948</v>
      </c>
      <c r="N138" s="7">
        <f>日前电价!N138-实时电价!N138</f>
        <v>-20.547499999999999</v>
      </c>
      <c r="O138" s="7">
        <f>日前电价!O138-实时电价!O138</f>
        <v>-43.131700000000002</v>
      </c>
      <c r="P138" s="7">
        <f>日前电价!P138-实时电价!P138</f>
        <v>79.673199999999994</v>
      </c>
      <c r="Q138" s="7">
        <f>日前电价!Q138-实时电价!Q138</f>
        <v>45.869399999999999</v>
      </c>
      <c r="R138" s="7">
        <f>日前电价!R138-实时电价!R138</f>
        <v>114.4276</v>
      </c>
      <c r="S138" s="7">
        <f>日前电价!S138-实时电价!S138</f>
        <v>121.4973</v>
      </c>
      <c r="T138" s="7">
        <f>日前电价!T138-实时电价!T138</f>
        <v>198.51509999999999</v>
      </c>
      <c r="U138" s="7">
        <f>日前电价!U138-实时电价!U138</f>
        <v>15.178599999999999</v>
      </c>
      <c r="V138" s="7">
        <f>日前电价!V138-实时电价!V138</f>
        <v>15.4338</v>
      </c>
      <c r="W138" s="7">
        <f>日前电价!W138-实时电价!W138</f>
        <v>11.4512</v>
      </c>
      <c r="X138" s="7">
        <f>日前电价!X138-实时电价!X138</f>
        <v>5.6328000000000298</v>
      </c>
      <c r="Y138" s="7">
        <f>日前电价!Y138-实时电价!Y138</f>
        <v>-2.6232000000000002</v>
      </c>
      <c r="Z138" s="9">
        <f t="shared" si="6"/>
        <v>261.2758</v>
      </c>
      <c r="AA138" s="9">
        <f t="shared" si="7"/>
        <v>-43.131700000000002</v>
      </c>
      <c r="AB138" s="9">
        <f t="shared" si="8"/>
        <v>61.371949999999998</v>
      </c>
    </row>
    <row r="139" spans="1:28">
      <c r="A139" s="8">
        <v>45429</v>
      </c>
      <c r="B139" s="7">
        <f>日前电价!B139-实时电价!B139</f>
        <v>-1.48609999999996</v>
      </c>
      <c r="C139" s="7">
        <f>日前电价!C139-实时电价!C139</f>
        <v>2.899</v>
      </c>
      <c r="D139" s="7">
        <f>日前电价!D139-实时电价!D139</f>
        <v>7.8835000000000299</v>
      </c>
      <c r="E139" s="7">
        <f>日前电价!E139-实时电价!E139</f>
        <v>4.8810000000000304</v>
      </c>
      <c r="F139" s="7">
        <f>日前电价!F139-实时电价!F139</f>
        <v>112.9884</v>
      </c>
      <c r="G139" s="7">
        <f>日前电价!G139-实时电价!G139</f>
        <v>47.75</v>
      </c>
      <c r="H139" s="7">
        <f>日前电价!H139-实时电价!H139</f>
        <v>1.0299999999972401E-2</v>
      </c>
      <c r="I139" s="7">
        <f>日前电价!I139-实时电价!I139</f>
        <v>11.612500000000001</v>
      </c>
      <c r="J139" s="7">
        <f>日前电价!J139-实时电价!J139</f>
        <v>1.09289999999999</v>
      </c>
      <c r="K139" s="7">
        <f>日前电价!K139-实时电价!K139</f>
        <v>6.7995999999999999</v>
      </c>
      <c r="L139" s="7">
        <f>日前电价!L139-实时电价!L139</f>
        <v>30.990300000000001</v>
      </c>
      <c r="M139" s="7">
        <f>日前电价!M139-实时电价!M139</f>
        <v>8.3582999999999892</v>
      </c>
      <c r="N139" s="7">
        <f>日前电价!N139-实时电价!N139</f>
        <v>69.643199999999993</v>
      </c>
      <c r="O139" s="7">
        <f>日前电价!O139-实时电价!O139</f>
        <v>-42.2881</v>
      </c>
      <c r="P139" s="7">
        <f>日前电价!P139-实时电价!P139</f>
        <v>-23.5181</v>
      </c>
      <c r="Q139" s="7">
        <f>日前电价!Q139-实时电价!Q139</f>
        <v>-7.35660000000001</v>
      </c>
      <c r="R139" s="7">
        <f>日前电价!R139-实时电价!R139</f>
        <v>1.41890000000001</v>
      </c>
      <c r="S139" s="7">
        <f>日前电价!S139-实时电价!S139</f>
        <v>7.7064000000000297</v>
      </c>
      <c r="T139" s="7">
        <f>日前电价!T139-实时电价!T139</f>
        <v>1.78620000000001</v>
      </c>
      <c r="U139" s="7">
        <f>日前电价!U139-实时电价!U139</f>
        <v>2.5461999999999998</v>
      </c>
      <c r="V139" s="7">
        <f>日前电价!V139-实时电价!V139</f>
        <v>-2.61689999999999</v>
      </c>
      <c r="W139" s="7">
        <f>日前电价!W139-实时电价!W139</f>
        <v>0.632800000000032</v>
      </c>
      <c r="X139" s="7">
        <f>日前电价!X139-实时电价!X139</f>
        <v>-0.25909999999998901</v>
      </c>
      <c r="Y139" s="7">
        <f>日前电价!Y139-实时电价!Y139</f>
        <v>-8.8539999999999797</v>
      </c>
      <c r="Z139" s="9">
        <f t="shared" si="6"/>
        <v>112.9884</v>
      </c>
      <c r="AA139" s="9">
        <f t="shared" si="7"/>
        <v>-42.2881</v>
      </c>
      <c r="AB139" s="9">
        <f t="shared" si="8"/>
        <v>9.6925250000000105</v>
      </c>
    </row>
    <row r="140" spans="1:28">
      <c r="A140" s="8">
        <v>45430</v>
      </c>
      <c r="B140" s="7">
        <f>日前电价!B140-实时电价!B140</f>
        <v>-15.25</v>
      </c>
      <c r="C140" s="7">
        <f>日前电价!C140-实时电价!C140</f>
        <v>-1.70740000000001</v>
      </c>
      <c r="D140" s="7">
        <f>日前电价!D140-实时电价!D140</f>
        <v>-1.89359999999999</v>
      </c>
      <c r="E140" s="7">
        <f>日前电价!E140-实时电价!E140</f>
        <v>-0.93230000000005497</v>
      </c>
      <c r="F140" s="7">
        <f>日前电价!F140-实时电价!F140</f>
        <v>-1.2825000000000299</v>
      </c>
      <c r="G140" s="7">
        <f>日前电价!G140-实时电价!G140</f>
        <v>-7.9075000000000299</v>
      </c>
      <c r="H140" s="7">
        <f>日前电价!H140-实时电价!H140</f>
        <v>-2.9730999999999899</v>
      </c>
      <c r="I140" s="7">
        <f>日前电价!I140-实时电价!I140</f>
        <v>-10.900399999999999</v>
      </c>
      <c r="J140" s="7">
        <f>日前电价!J140-实时电价!J140</f>
        <v>-4.9859000000000204</v>
      </c>
      <c r="K140" s="7">
        <f>日前电价!K140-实时电价!K140</f>
        <v>1.2651000000000201</v>
      </c>
      <c r="L140" s="7">
        <f>日前电价!L140-实时电价!L140</f>
        <v>-1.0699000000000201</v>
      </c>
      <c r="M140" s="7">
        <f>日前电价!M140-实时电价!M140</f>
        <v>0.88599999999996704</v>
      </c>
      <c r="N140" s="7">
        <f>日前电价!N140-实时电价!N140</f>
        <v>79.935100000000006</v>
      </c>
      <c r="O140" s="7">
        <f>日前电价!O140-实时电价!O140</f>
        <v>-15.5663</v>
      </c>
      <c r="P140" s="7">
        <f>日前电价!P140-实时电价!P140</f>
        <v>-90.747100000000003</v>
      </c>
      <c r="Q140" s="7">
        <f>日前电价!Q140-实时电价!Q140</f>
        <v>-4.4900000000040997E-2</v>
      </c>
      <c r="R140" s="7">
        <f>日前电价!R140-实时电价!R140</f>
        <v>-12.527100000000001</v>
      </c>
      <c r="S140" s="7">
        <f>日前电价!S140-实时电价!S140</f>
        <v>127.42659999999999</v>
      </c>
      <c r="T140" s="7">
        <f>日前电价!T140-实时电价!T140</f>
        <v>158.74860000000001</v>
      </c>
      <c r="U140" s="7">
        <f>日前电价!U140-实时电价!U140</f>
        <v>66.545400000000001</v>
      </c>
      <c r="V140" s="7">
        <f>日前电价!V140-实时电价!V140</f>
        <v>7.5675999999999704</v>
      </c>
      <c r="W140" s="7">
        <f>日前电价!W140-实时电价!W140</f>
        <v>25.8202</v>
      </c>
      <c r="X140" s="7">
        <f>日前电价!X140-实时电价!X140</f>
        <v>54.9238</v>
      </c>
      <c r="Y140" s="7">
        <f>日前电价!Y140-实时电价!Y140</f>
        <v>30.988</v>
      </c>
      <c r="Z140" s="9">
        <f t="shared" si="6"/>
        <v>158.74860000000001</v>
      </c>
      <c r="AA140" s="9">
        <f t="shared" si="7"/>
        <v>-90.747100000000003</v>
      </c>
      <c r="AB140" s="9">
        <f t="shared" si="8"/>
        <v>16.096599999999999</v>
      </c>
    </row>
    <row r="141" spans="1:28">
      <c r="A141" s="8">
        <v>45431</v>
      </c>
      <c r="B141" s="7">
        <f>日前电价!B141-实时电价!B141</f>
        <v>2.93539999999996</v>
      </c>
      <c r="C141" s="7">
        <f>日前电价!C141-实时电价!C141</f>
        <v>22.238399999999999</v>
      </c>
      <c r="D141" s="7">
        <f>日前电价!D141-实时电价!D141</f>
        <v>34.595300000000002</v>
      </c>
      <c r="E141" s="7">
        <f>日前电价!E141-实时电价!E141</f>
        <v>101.8788</v>
      </c>
      <c r="F141" s="7">
        <f>日前电价!F141-实时电价!F141</f>
        <v>170.30250000000001</v>
      </c>
      <c r="G141" s="7">
        <f>日前电价!G141-实时电价!G141</f>
        <v>236.13249999999999</v>
      </c>
      <c r="H141" s="7">
        <f>日前电价!H141-实时电价!H141</f>
        <v>94.775000000000006</v>
      </c>
      <c r="I141" s="7">
        <f>日前电价!I141-实时电价!I141</f>
        <v>166.38249999999999</v>
      </c>
      <c r="J141" s="7">
        <f>日前电价!J141-实时电价!J141</f>
        <v>225.4571</v>
      </c>
      <c r="K141" s="7">
        <f>日前电价!K141-实时电价!K141</f>
        <v>298.53440000000001</v>
      </c>
      <c r="L141" s="7">
        <f>日前电价!L141-实时电价!L141</f>
        <v>298.21379999999999</v>
      </c>
      <c r="M141" s="7">
        <f>日前电价!M141-实时电价!M141</f>
        <v>229.9674</v>
      </c>
      <c r="N141" s="7">
        <f>日前电价!N141-实时电价!N141</f>
        <v>82.968699999999998</v>
      </c>
      <c r="O141" s="7">
        <f>日前电价!O141-实时电价!O141</f>
        <v>14.82</v>
      </c>
      <c r="P141" s="7">
        <f>日前电价!P141-实时电价!P141</f>
        <v>22.720300000000002</v>
      </c>
      <c r="Q141" s="7">
        <f>日前电价!Q141-实时电价!Q141</f>
        <v>154.89940000000001</v>
      </c>
      <c r="R141" s="7">
        <f>日前电价!R141-实时电价!R141</f>
        <v>297.9427</v>
      </c>
      <c r="S141" s="7">
        <f>日前电价!S141-实时电价!S141</f>
        <v>303.69499999999999</v>
      </c>
      <c r="T141" s="7">
        <f>日前电价!T141-实时电价!T141</f>
        <v>302.69499999999999</v>
      </c>
      <c r="U141" s="7">
        <f>日前电价!U141-实时电价!U141</f>
        <v>246.47120000000001</v>
      </c>
      <c r="V141" s="7">
        <f>日前电价!V141-实时电价!V141</f>
        <v>244.44820000000001</v>
      </c>
      <c r="W141" s="7">
        <f>日前电价!W141-实时电价!W141</f>
        <v>115.5599</v>
      </c>
      <c r="X141" s="7">
        <f>日前电价!X141-实时电价!X141</f>
        <v>77.744600000000005</v>
      </c>
      <c r="Y141" s="7">
        <f>日前电价!Y141-实时电价!Y141</f>
        <v>28.601600000000001</v>
      </c>
      <c r="Z141" s="9">
        <f t="shared" si="6"/>
        <v>303.69499999999999</v>
      </c>
      <c r="AA141" s="9">
        <f t="shared" si="7"/>
        <v>2.93539999999996</v>
      </c>
      <c r="AB141" s="9">
        <f t="shared" si="8"/>
        <v>157.24915416666701</v>
      </c>
    </row>
    <row r="142" spans="1:28">
      <c r="A142" s="8">
        <v>45432</v>
      </c>
      <c r="B142" s="7">
        <f>日前电价!B142-实时电价!B142</f>
        <v>-79.005799999999994</v>
      </c>
      <c r="C142" s="7">
        <f>日前电价!C142-实时电价!C142</f>
        <v>3.5110000000000201</v>
      </c>
      <c r="D142" s="7">
        <f>日前电价!D142-实时电价!D142</f>
        <v>223.9443</v>
      </c>
      <c r="E142" s="7">
        <f>日前电价!E142-实时电价!E142</f>
        <v>68.208100000000002</v>
      </c>
      <c r="F142" s="7">
        <f>日前电价!F142-实时电价!F142</f>
        <v>0</v>
      </c>
      <c r="G142" s="7">
        <f>日前电价!G142-实时电价!G142</f>
        <v>0</v>
      </c>
      <c r="H142" s="7">
        <f>日前电价!H142-实时电价!H142</f>
        <v>-9.8599999999999905</v>
      </c>
      <c r="I142" s="7">
        <f>日前电价!I142-实时电价!I142</f>
        <v>-8.9823999999999806</v>
      </c>
      <c r="J142" s="7">
        <f>日前电价!J142-实时电价!J142</f>
        <v>1.0330999999999899</v>
      </c>
      <c r="K142" s="7">
        <f>日前电价!K142-实时电价!K142</f>
        <v>-0.85800000000000398</v>
      </c>
      <c r="L142" s="7">
        <f>日前电价!L142-实时电价!L142</f>
        <v>2.1581000000000499</v>
      </c>
      <c r="M142" s="7">
        <f>日前电价!M142-实时电价!M142</f>
        <v>7.6587000000000103</v>
      </c>
      <c r="N142" s="7">
        <f>日前电价!N142-实时电价!N142</f>
        <v>82.615799999999993</v>
      </c>
      <c r="O142" s="7">
        <f>日前电价!O142-实时电价!O142</f>
        <v>-9.5722000000000094</v>
      </c>
      <c r="P142" s="7">
        <f>日前电价!P142-实时电价!P142</f>
        <v>-5.3652999999999897</v>
      </c>
      <c r="Q142" s="7">
        <f>日前电价!Q142-实时电价!Q142</f>
        <v>1.08299999999997</v>
      </c>
      <c r="R142" s="7">
        <f>日前电价!R142-实时电价!R142</f>
        <v>4.5742000000000198</v>
      </c>
      <c r="S142" s="7">
        <f>日前电价!S142-实时电价!S142</f>
        <v>17.071300000000001</v>
      </c>
      <c r="T142" s="7">
        <f>日前电价!T142-实时电价!T142</f>
        <v>26.055599999999998</v>
      </c>
      <c r="U142" s="7">
        <f>日前电价!U142-实时电价!U142</f>
        <v>23.1525</v>
      </c>
      <c r="V142" s="7">
        <f>日前电价!V142-实时电价!V142</f>
        <v>25.3687</v>
      </c>
      <c r="W142" s="7">
        <f>日前电价!W142-实时电价!W142</f>
        <v>26.3215</v>
      </c>
      <c r="X142" s="7">
        <f>日前电价!X142-实时电价!X142</f>
        <v>164.88040000000001</v>
      </c>
      <c r="Y142" s="7">
        <f>日前电价!Y142-实时电价!Y142</f>
        <v>224.4956</v>
      </c>
      <c r="Z142" s="9">
        <f t="shared" si="6"/>
        <v>224.4956</v>
      </c>
      <c r="AA142" s="9">
        <f t="shared" si="7"/>
        <v>-79.005799999999994</v>
      </c>
      <c r="AB142" s="9">
        <f t="shared" si="8"/>
        <v>32.853675000000003</v>
      </c>
    </row>
    <row r="143" spans="1:28">
      <c r="A143" s="8">
        <v>45433</v>
      </c>
      <c r="B143" s="7">
        <f>日前电价!B143-实时电价!B143</f>
        <v>78.751800000000003</v>
      </c>
      <c r="C143" s="7">
        <f>日前电价!C143-实时电价!C143</f>
        <v>15.044</v>
      </c>
      <c r="D143" s="7">
        <f>日前电价!D143-实时电价!D143</f>
        <v>15.1281</v>
      </c>
      <c r="E143" s="7">
        <f>日前电价!E143-实时电价!E143</f>
        <v>77.311099999999996</v>
      </c>
      <c r="F143" s="7">
        <f>日前电价!F143-实时电价!F143</f>
        <v>-23.8765</v>
      </c>
      <c r="G143" s="7">
        <f>日前电价!G143-实时电价!G143</f>
        <v>-158.07400000000001</v>
      </c>
      <c r="H143" s="7">
        <f>日前电价!H143-实时电价!H143</f>
        <v>-16.1767</v>
      </c>
      <c r="I143" s="7">
        <f>日前电价!I143-实时电价!I143</f>
        <v>-12.4696</v>
      </c>
      <c r="J143" s="7">
        <f>日前电价!J143-实时电价!J143</f>
        <v>-0.51639999999997599</v>
      </c>
      <c r="K143" s="7">
        <f>日前电价!K143-实时电价!K143</f>
        <v>15.961499999999999</v>
      </c>
      <c r="L143" s="7">
        <f>日前电价!L143-实时电价!L143</f>
        <v>16.657399999999999</v>
      </c>
      <c r="M143" s="7">
        <f>日前电价!M143-实时电价!M143</f>
        <v>16.387899999999998</v>
      </c>
      <c r="N143" s="7">
        <f>日前电价!N143-实时电价!N143</f>
        <v>79.507400000000004</v>
      </c>
      <c r="O143" s="7">
        <f>日前电价!O143-实时电价!O143</f>
        <v>-0.17469999999997299</v>
      </c>
      <c r="P143" s="7">
        <f>日前电价!P143-实时电价!P143</f>
        <v>-1.2935999999999701</v>
      </c>
      <c r="Q143" s="7">
        <f>日前电价!Q143-实时电价!Q143</f>
        <v>3.8617000000000399</v>
      </c>
      <c r="R143" s="7">
        <f>日前电价!R143-实时电价!R143</f>
        <v>-1.2892000000000501</v>
      </c>
      <c r="S143" s="7">
        <f>日前电价!S143-实时电价!S143</f>
        <v>25.791499999999999</v>
      </c>
      <c r="T143" s="7">
        <f>日前电价!T143-实时电价!T143</f>
        <v>17.947700000000001</v>
      </c>
      <c r="U143" s="7">
        <f>日前电价!U143-实时电价!U143</f>
        <v>9.4608000000000096</v>
      </c>
      <c r="V143" s="7">
        <f>日前电价!V143-实时电价!V143</f>
        <v>12.024800000000001</v>
      </c>
      <c r="W143" s="7">
        <f>日前电价!W143-实时电价!W143</f>
        <v>6.8983000000000096</v>
      </c>
      <c r="X143" s="7">
        <f>日前电价!X143-实时电价!X143</f>
        <v>9.8824000000000201</v>
      </c>
      <c r="Y143" s="7">
        <f>日前电价!Y143-实时电价!Y143</f>
        <v>-35.372900000000001</v>
      </c>
      <c r="Z143" s="9">
        <f t="shared" si="6"/>
        <v>79.507400000000004</v>
      </c>
      <c r="AA143" s="9">
        <f t="shared" si="7"/>
        <v>-158.07400000000001</v>
      </c>
      <c r="AB143" s="9">
        <f t="shared" si="8"/>
        <v>6.3071999999999999</v>
      </c>
    </row>
    <row r="144" spans="1:28">
      <c r="A144" s="8">
        <v>45434</v>
      </c>
      <c r="B144" s="7">
        <f>日前电价!B144-实时电价!B144</f>
        <v>-41.951099999999997</v>
      </c>
      <c r="C144" s="7">
        <f>日前电价!C144-实时电价!C144</f>
        <v>-12.5</v>
      </c>
      <c r="D144" s="7">
        <f>日前电价!D144-实时电价!D144</f>
        <v>5.0700000000006198E-2</v>
      </c>
      <c r="E144" s="7">
        <f>日前电价!E144-实时电价!E144</f>
        <v>79.317800000000005</v>
      </c>
      <c r="F144" s="7">
        <f>日前电价!F144-实时电价!F144</f>
        <v>213.8124</v>
      </c>
      <c r="G144" s="7">
        <f>日前电价!G144-实时电价!G144</f>
        <v>205.28030000000001</v>
      </c>
      <c r="H144" s="7">
        <f>日前电价!H144-实时电价!H144</f>
        <v>1.46839999999997</v>
      </c>
      <c r="I144" s="7">
        <f>日前电价!I144-实时电价!I144</f>
        <v>-2.2349000000000401</v>
      </c>
      <c r="J144" s="7">
        <f>日前电价!J144-实时电价!J144</f>
        <v>2.0192999999999901</v>
      </c>
      <c r="K144" s="7">
        <f>日前电价!K144-实时电价!K144</f>
        <v>4.1597999999999598</v>
      </c>
      <c r="L144" s="7">
        <f>日前电价!L144-实时电价!L144</f>
        <v>24.714600000000001</v>
      </c>
      <c r="M144" s="7">
        <f>日前电价!M144-实时电价!M144</f>
        <v>20.472000000000001</v>
      </c>
      <c r="N144" s="7">
        <f>日前电价!N144-实时电价!N144</f>
        <v>87.370900000000006</v>
      </c>
      <c r="O144" s="7">
        <f>日前电价!O144-实时电价!O144</f>
        <v>16.6007</v>
      </c>
      <c r="P144" s="7">
        <f>日前电价!P144-实时电价!P144</f>
        <v>6.6456</v>
      </c>
      <c r="Q144" s="7">
        <f>日前电价!Q144-实时电价!Q144</f>
        <v>-11.918900000000001</v>
      </c>
      <c r="R144" s="7">
        <f>日前电价!R144-实时电价!R144</f>
        <v>-3.95940000000002</v>
      </c>
      <c r="S144" s="7">
        <f>日前电价!S144-实时电价!S144</f>
        <v>3.9171</v>
      </c>
      <c r="T144" s="7">
        <f>日前电价!T144-实时电价!T144</f>
        <v>2.3077000000000099</v>
      </c>
      <c r="U144" s="7">
        <f>日前电价!U144-实时电价!U144</f>
        <v>-14.617699999999999</v>
      </c>
      <c r="V144" s="7">
        <f>日前电价!V144-实时电价!V144</f>
        <v>-5.2714999999999996</v>
      </c>
      <c r="W144" s="7">
        <f>日前电价!W144-实时电价!W144</f>
        <v>0.31389999999999002</v>
      </c>
      <c r="X144" s="7">
        <f>日前电价!X144-实时电价!X144</f>
        <v>-2.9064000000000201</v>
      </c>
      <c r="Y144" s="7">
        <f>日前电价!Y144-实时电价!Y144</f>
        <v>-6.9657999999999998</v>
      </c>
      <c r="Z144" s="9">
        <f t="shared" si="6"/>
        <v>213.8124</v>
      </c>
      <c r="AA144" s="9">
        <f t="shared" si="7"/>
        <v>-41.951099999999997</v>
      </c>
      <c r="AB144" s="9">
        <f t="shared" si="8"/>
        <v>23.588562499999998</v>
      </c>
    </row>
    <row r="145" spans="1:28">
      <c r="A145" s="8">
        <v>45435</v>
      </c>
      <c r="B145" s="7">
        <f>日前电价!B145-实时电价!B145</f>
        <v>-18.485099999999999</v>
      </c>
      <c r="C145" s="7">
        <f>日前电价!C145-实时电价!C145</f>
        <v>-13.739800000000001</v>
      </c>
      <c r="D145" s="7">
        <f>日前电价!D145-实时电价!D145</f>
        <v>-10.747400000000001</v>
      </c>
      <c r="E145" s="7">
        <f>日前电价!E145-实时电价!E145</f>
        <v>-15.0229</v>
      </c>
      <c r="F145" s="7">
        <f>日前电价!F145-实时电价!F145</f>
        <v>-96.323400000000007</v>
      </c>
      <c r="G145" s="7">
        <f>日前电价!G145-实时电价!G145</f>
        <v>-149.7747</v>
      </c>
      <c r="H145" s="7">
        <f>日前电价!H145-实时电价!H145</f>
        <v>-17.0915</v>
      </c>
      <c r="I145" s="7">
        <f>日前电价!I145-实时电价!I145</f>
        <v>-11.6823</v>
      </c>
      <c r="J145" s="7">
        <f>日前电价!J145-实时电价!J145</f>
        <v>-14.2241</v>
      </c>
      <c r="K145" s="7">
        <f>日前电价!K145-实时电价!K145</f>
        <v>-16.197900000000001</v>
      </c>
      <c r="L145" s="7">
        <f>日前电价!L145-实时电价!L145</f>
        <v>1.2192999999999801</v>
      </c>
      <c r="M145" s="7">
        <f>日前电价!M145-实时电价!M145</f>
        <v>15.092499999999999</v>
      </c>
      <c r="N145" s="7">
        <f>日前电价!N145-实时电价!N145</f>
        <v>79.044200000000004</v>
      </c>
      <c r="O145" s="7">
        <f>日前电价!O145-实时电价!O145</f>
        <v>0.94420000000002302</v>
      </c>
      <c r="P145" s="7">
        <f>日前电价!P145-实时电价!P145</f>
        <v>8.4836000000000205</v>
      </c>
      <c r="Q145" s="7">
        <f>日前电价!Q145-实时电价!Q145</f>
        <v>-1.7087000000000201</v>
      </c>
      <c r="R145" s="7">
        <f>日前电价!R145-实时电价!R145</f>
        <v>2.1497000000000002</v>
      </c>
      <c r="S145" s="7">
        <f>日前电价!S145-实时电价!S145</f>
        <v>0.638199999999983</v>
      </c>
      <c r="T145" s="7">
        <f>日前电价!T145-实时电价!T145</f>
        <v>5.7717000000000098</v>
      </c>
      <c r="U145" s="7">
        <f>日前电价!U145-实时电价!U145</f>
        <v>3.82460000000003</v>
      </c>
      <c r="V145" s="7">
        <f>日前电价!V145-实时电价!V145</f>
        <v>-1.9037000000000099</v>
      </c>
      <c r="W145" s="7">
        <f>日前电价!W145-实时电价!W145</f>
        <v>5.4500000000018603E-2</v>
      </c>
      <c r="X145" s="7">
        <f>日前电价!X145-实时电价!X145</f>
        <v>4.8308000000000098</v>
      </c>
      <c r="Y145" s="7">
        <f>日前电价!Y145-实时电价!Y145</f>
        <v>-8.1107000000000102</v>
      </c>
      <c r="Z145" s="9">
        <f t="shared" si="6"/>
        <v>79.044200000000004</v>
      </c>
      <c r="AA145" s="9">
        <f t="shared" si="7"/>
        <v>-149.7747</v>
      </c>
      <c r="AB145" s="9">
        <f t="shared" si="8"/>
        <v>-10.5399541666667</v>
      </c>
    </row>
    <row r="146" spans="1:28">
      <c r="A146" s="8">
        <v>45436</v>
      </c>
      <c r="B146" s="7">
        <f>日前电价!B146-实时电价!B146</f>
        <v>15.556100000000001</v>
      </c>
      <c r="C146" s="7">
        <f>日前电价!C146-实时电价!C146</f>
        <v>21.587</v>
      </c>
      <c r="D146" s="7">
        <f>日前电价!D146-实时电价!D146</f>
        <v>46.448599999999999</v>
      </c>
      <c r="E146" s="7">
        <f>日前电价!E146-实时电价!E146</f>
        <v>58.522799999999997</v>
      </c>
      <c r="F146" s="7">
        <f>日前电价!F146-实时电价!F146</f>
        <v>169.87700000000001</v>
      </c>
      <c r="G146" s="7">
        <f>日前电价!G146-实时电价!G146</f>
        <v>91.140900000000002</v>
      </c>
      <c r="H146" s="7">
        <f>日前电价!H146-实时电价!H146</f>
        <v>14.839</v>
      </c>
      <c r="I146" s="7">
        <f>日前电价!I146-实时电价!I146</f>
        <v>9.8657000000000004</v>
      </c>
      <c r="J146" s="7">
        <f>日前电价!J146-实时电价!J146</f>
        <v>6.8692000000000304</v>
      </c>
      <c r="K146" s="7">
        <f>日前电价!K146-实时电价!K146</f>
        <v>11.707000000000001</v>
      </c>
      <c r="L146" s="7">
        <f>日前电价!L146-实时电价!L146</f>
        <v>26.853999999999999</v>
      </c>
      <c r="M146" s="7">
        <f>日前电价!M146-实时电价!M146</f>
        <v>29.2728</v>
      </c>
      <c r="N146" s="7">
        <f>日前电价!N146-实时电价!N146</f>
        <v>88.253799999999998</v>
      </c>
      <c r="O146" s="7">
        <f>日前电价!O146-实时电价!O146</f>
        <v>21.7166</v>
      </c>
      <c r="P146" s="7">
        <f>日前电价!P146-实时电价!P146</f>
        <v>37.244900000000001</v>
      </c>
      <c r="Q146" s="7">
        <f>日前电价!Q146-实时电价!Q146</f>
        <v>8.9569999999999901</v>
      </c>
      <c r="R146" s="7">
        <f>日前电价!R146-实时电价!R146</f>
        <v>14.4824</v>
      </c>
      <c r="S146" s="7">
        <f>日前电价!S146-实时电价!S146</f>
        <v>34.3949</v>
      </c>
      <c r="T146" s="7">
        <f>日前电价!T146-实时电价!T146</f>
        <v>41.414099999999998</v>
      </c>
      <c r="U146" s="7">
        <f>日前电价!U146-实时电价!U146</f>
        <v>30.534600000000001</v>
      </c>
      <c r="V146" s="7">
        <f>日前电价!V146-实时电价!V146</f>
        <v>29.747199999999999</v>
      </c>
      <c r="W146" s="7">
        <f>日前电价!W146-实时电价!W146</f>
        <v>36.004899999999999</v>
      </c>
      <c r="X146" s="7">
        <f>日前电价!X146-实时电价!X146</f>
        <v>44.805999999999997</v>
      </c>
      <c r="Y146" s="7">
        <f>日前电价!Y146-实时电价!Y146</f>
        <v>62.945599999999999</v>
      </c>
      <c r="Z146" s="9">
        <f t="shared" si="6"/>
        <v>169.87700000000001</v>
      </c>
      <c r="AA146" s="9">
        <f t="shared" si="7"/>
        <v>6.8692000000000304</v>
      </c>
      <c r="AB146" s="9">
        <f t="shared" si="8"/>
        <v>39.7100875</v>
      </c>
    </row>
    <row r="147" spans="1:28">
      <c r="A147" s="8">
        <v>45437</v>
      </c>
      <c r="B147" s="7">
        <f>日前电价!B147-实时电价!B147</f>
        <v>-4.3186999999999802</v>
      </c>
      <c r="C147" s="7">
        <f>日前电价!C147-实时电价!C147</f>
        <v>14.2567</v>
      </c>
      <c r="D147" s="7">
        <f>日前电价!D147-实时电价!D147</f>
        <v>33.791600000000003</v>
      </c>
      <c r="E147" s="7">
        <f>日前电价!E147-实时电价!E147</f>
        <v>16.977799999999998</v>
      </c>
      <c r="F147" s="7">
        <f>日前电价!F147-实时电价!F147</f>
        <v>29.7393</v>
      </c>
      <c r="G147" s="7">
        <f>日前电价!G147-实时电价!G147</f>
        <v>89.007800000000003</v>
      </c>
      <c r="H147" s="7">
        <f>日前电价!H147-实时电价!H147</f>
        <v>-0.71730000000002303</v>
      </c>
      <c r="I147" s="7">
        <f>日前电价!I147-实时电价!I147</f>
        <v>68.413700000000006</v>
      </c>
      <c r="J147" s="7">
        <f>日前电价!J147-实时电价!J147</f>
        <v>11.7879</v>
      </c>
      <c r="K147" s="7">
        <f>日前电价!K147-实时电价!K147</f>
        <v>10.3224</v>
      </c>
      <c r="L147" s="7">
        <f>日前电价!L147-实时电价!L147</f>
        <v>11.674099999999999</v>
      </c>
      <c r="M147" s="7">
        <f>日前电价!M147-实时电价!M147</f>
        <v>21.997299999999999</v>
      </c>
      <c r="N147" s="7">
        <f>日前电价!N147-实时电价!N147</f>
        <v>98.012200000000007</v>
      </c>
      <c r="O147" s="7">
        <f>日前电价!O147-实时电价!O147</f>
        <v>21.384699999999999</v>
      </c>
      <c r="P147" s="7">
        <f>日前电价!P147-实时电价!P147</f>
        <v>13.1877</v>
      </c>
      <c r="Q147" s="7">
        <f>日前电价!Q147-实时电价!Q147</f>
        <v>5.0337999999999896</v>
      </c>
      <c r="R147" s="7">
        <f>日前电价!R147-实时电价!R147</f>
        <v>2.8466999999999998</v>
      </c>
      <c r="S147" s="7">
        <f>日前电价!S147-实时电价!S147</f>
        <v>13.621499999999999</v>
      </c>
      <c r="T147" s="7">
        <f>日前电价!T147-实时电价!T147</f>
        <v>13.6128</v>
      </c>
      <c r="U147" s="7">
        <f>日前电价!U147-实时电价!U147</f>
        <v>8.2109000000000396</v>
      </c>
      <c r="V147" s="7">
        <f>日前电价!V147-实时电价!V147</f>
        <v>9.3247000000000106</v>
      </c>
      <c r="W147" s="7">
        <f>日前电价!W147-实时电价!W147</f>
        <v>12.804600000000001</v>
      </c>
      <c r="X147" s="7">
        <f>日前电价!X147-实时电价!X147</f>
        <v>16.428799999999999</v>
      </c>
      <c r="Y147" s="7">
        <f>日前电价!Y147-实时电价!Y147</f>
        <v>2.9470999999999798</v>
      </c>
      <c r="Z147" s="9">
        <f t="shared" si="6"/>
        <v>98.012200000000007</v>
      </c>
      <c r="AA147" s="9">
        <f t="shared" si="7"/>
        <v>-4.3186999999999802</v>
      </c>
      <c r="AB147" s="9">
        <f t="shared" si="8"/>
        <v>21.681170833333301</v>
      </c>
    </row>
    <row r="148" spans="1:28">
      <c r="A148" s="8">
        <v>45438</v>
      </c>
      <c r="B148" s="7">
        <f>日前电价!B148-实时电价!B148</f>
        <v>-7.8365</v>
      </c>
      <c r="C148" s="7">
        <f>日前电价!C148-实时电价!C148</f>
        <v>9.7067999999999905</v>
      </c>
      <c r="D148" s="7">
        <f>日前电价!D148-实时电价!D148</f>
        <v>44.426200000000001</v>
      </c>
      <c r="E148" s="7">
        <f>日前电价!E148-实时电价!E148</f>
        <v>290.34249999999997</v>
      </c>
      <c r="F148" s="7">
        <f>日前电价!F148-实时电价!F148</f>
        <v>269.6071</v>
      </c>
      <c r="G148" s="7">
        <f>日前电价!G148-实时电价!G148</f>
        <v>262.73289999999997</v>
      </c>
      <c r="H148" s="7">
        <f>日前电价!H148-实时电价!H148</f>
        <v>207.1103</v>
      </c>
      <c r="I148" s="7">
        <f>日前电价!I148-实时电价!I148</f>
        <v>269.77449999999999</v>
      </c>
      <c r="J148" s="7">
        <f>日前电价!J148-实时电价!J148</f>
        <v>274.42189999999999</v>
      </c>
      <c r="K148" s="7">
        <f>日前电价!K148-实时电价!K148</f>
        <v>259.09989999999999</v>
      </c>
      <c r="L148" s="7">
        <f>日前电价!L148-实时电价!L148</f>
        <v>281.3476</v>
      </c>
      <c r="M148" s="7">
        <f>日前电价!M148-实时电价!M148</f>
        <v>245.5934</v>
      </c>
      <c r="N148" s="7">
        <f>日前电价!N148-实时电价!N148</f>
        <v>292.80369999999999</v>
      </c>
      <c r="O148" s="7">
        <f>日前电价!O148-实时电价!O148</f>
        <v>172.93549999999999</v>
      </c>
      <c r="P148" s="7">
        <f>日前电价!P148-实时电价!P148</f>
        <v>121.8622</v>
      </c>
      <c r="Q148" s="7">
        <f>日前电价!Q148-实时电价!Q148</f>
        <v>245.45949999999999</v>
      </c>
      <c r="R148" s="7">
        <f>日前电价!R148-实时电价!R148</f>
        <v>32.190600000000003</v>
      </c>
      <c r="S148" s="7">
        <f>日前电价!S148-实时电价!S148</f>
        <v>16.075199999999999</v>
      </c>
      <c r="T148" s="7">
        <f>日前电价!T148-实时电价!T148</f>
        <v>36.545000000000002</v>
      </c>
      <c r="U148" s="7">
        <f>日前电价!U148-实时电价!U148</f>
        <v>22.849599999999999</v>
      </c>
      <c r="V148" s="7">
        <f>日前电价!V148-实时电价!V148</f>
        <v>30.710699999999999</v>
      </c>
      <c r="W148" s="7">
        <f>日前电价!W148-实时电价!W148</f>
        <v>22.3325</v>
      </c>
      <c r="X148" s="7">
        <f>日前电价!X148-实时电价!X148</f>
        <v>39.786299999999997</v>
      </c>
      <c r="Y148" s="7">
        <f>日前电价!Y148-实时电价!Y148</f>
        <v>25.023099999999999</v>
      </c>
      <c r="Z148" s="9">
        <f t="shared" si="6"/>
        <v>292.80369999999999</v>
      </c>
      <c r="AA148" s="9">
        <f t="shared" si="7"/>
        <v>-7.8365</v>
      </c>
      <c r="AB148" s="9">
        <f t="shared" si="8"/>
        <v>144.37085416666699</v>
      </c>
    </row>
    <row r="149" spans="1:28">
      <c r="A149" s="8">
        <v>45439</v>
      </c>
      <c r="B149" s="7">
        <f>日前电价!B149-实时电价!B149</f>
        <v>-109.3599</v>
      </c>
      <c r="C149" s="7">
        <f>日前电价!C149-实时电价!C149</f>
        <v>-28.532</v>
      </c>
      <c r="D149" s="7">
        <f>日前电价!D149-实时电价!D149</f>
        <v>-20.301500000000001</v>
      </c>
      <c r="E149" s="7">
        <f>日前电价!E149-实时电价!E149</f>
        <v>-138.58330000000001</v>
      </c>
      <c r="F149" s="7">
        <f>日前电价!F149-实时电价!F149</f>
        <v>-69.9375</v>
      </c>
      <c r="G149" s="7">
        <f>日前电价!G149-实时电价!G149</f>
        <v>-8.6300000000000002E-2</v>
      </c>
      <c r="H149" s="7">
        <f>日前电价!H149-实时电价!H149</f>
        <v>-69.252700000000004</v>
      </c>
      <c r="I149" s="7">
        <f>日前电价!I149-实时电价!I149</f>
        <v>59.269599999999997</v>
      </c>
      <c r="J149" s="7">
        <f>日前电价!J149-实时电价!J149</f>
        <v>-1.7711000000000501</v>
      </c>
      <c r="K149" s="7">
        <f>日前电价!K149-实时电价!K149</f>
        <v>-7.3525000000000196</v>
      </c>
      <c r="L149" s="7">
        <f>日前电价!L149-实时电价!L149</f>
        <v>-45.630800000000001</v>
      </c>
      <c r="M149" s="7">
        <f>日前电价!M149-实时电价!M149</f>
        <v>-13.710100000000001</v>
      </c>
      <c r="N149" s="7">
        <f>日前电价!N149-实时电价!N149</f>
        <v>24.556899999999999</v>
      </c>
      <c r="O149" s="7">
        <f>日前电价!O149-实时电价!O149</f>
        <v>1.09649999999999</v>
      </c>
      <c r="P149" s="7">
        <f>日前电价!P149-实时电价!P149</f>
        <v>-3.73740000000004</v>
      </c>
      <c r="Q149" s="7">
        <f>日前电价!Q149-实时电价!Q149</f>
        <v>-20.130400000000002</v>
      </c>
      <c r="R149" s="7">
        <f>日前电价!R149-实时电价!R149</f>
        <v>-19.962</v>
      </c>
      <c r="S149" s="7">
        <f>日前电价!S149-实时电价!S149</f>
        <v>-4.5941999999999998</v>
      </c>
      <c r="T149" s="7">
        <f>日前电价!T149-实时电价!T149</f>
        <v>3.0768000000000502</v>
      </c>
      <c r="U149" s="7">
        <f>日前电价!U149-实时电价!U149</f>
        <v>15.815300000000001</v>
      </c>
      <c r="V149" s="7">
        <f>日前电价!V149-实时电价!V149</f>
        <v>-4.4884000000000102</v>
      </c>
      <c r="W149" s="7">
        <f>日前电价!W149-实时电价!W149</f>
        <v>-5.7468999999999797</v>
      </c>
      <c r="X149" s="7">
        <f>日前电价!X149-实时电价!X149</f>
        <v>-0.44549999999998102</v>
      </c>
      <c r="Y149" s="7">
        <f>日前电价!Y149-实时电价!Y149</f>
        <v>-7.1707000000000098</v>
      </c>
      <c r="Z149" s="9">
        <f t="shared" si="6"/>
        <v>59.269599999999997</v>
      </c>
      <c r="AA149" s="9">
        <f t="shared" si="7"/>
        <v>-138.58330000000001</v>
      </c>
      <c r="AB149" s="9">
        <f t="shared" si="8"/>
        <v>-19.457420833333298</v>
      </c>
    </row>
    <row r="150" spans="1:28">
      <c r="A150" s="8">
        <v>45440</v>
      </c>
      <c r="B150" s="7">
        <f>日前电价!B150-实时电价!B150</f>
        <v>-8.5000000000263806E-3</v>
      </c>
      <c r="C150" s="7">
        <f>日前电价!C150-实时电价!C150</f>
        <v>3.96409999999997</v>
      </c>
      <c r="D150" s="7">
        <f>日前电价!D150-实时电价!D150</f>
        <v>20.592400000000001</v>
      </c>
      <c r="E150" s="7">
        <f>日前电价!E150-实时电价!E150</f>
        <v>92.55</v>
      </c>
      <c r="F150" s="7">
        <f>日前电价!F150-实时电价!F150</f>
        <v>234.03030000000001</v>
      </c>
      <c r="G150" s="7">
        <f>日前电价!G150-实时电价!G150</f>
        <v>214.69550000000001</v>
      </c>
      <c r="H150" s="7">
        <f>日前电价!H150-实时电价!H150</f>
        <v>-16.3062</v>
      </c>
      <c r="I150" s="7">
        <f>日前电价!I150-实时电价!I150</f>
        <v>1.9521999999999999</v>
      </c>
      <c r="J150" s="7">
        <f>日前电价!J150-实时电价!J150</f>
        <v>2.20749999999998</v>
      </c>
      <c r="K150" s="7">
        <f>日前电价!K150-实时电价!K150</f>
        <v>18.619499999999999</v>
      </c>
      <c r="L150" s="7">
        <f>日前电价!L150-实时电价!L150</f>
        <v>20.779599999999999</v>
      </c>
      <c r="M150" s="7">
        <f>日前电价!M150-实时电价!M150</f>
        <v>20.729500000000002</v>
      </c>
      <c r="N150" s="7">
        <f>日前电价!N150-实时电价!N150</f>
        <v>24.377199999999998</v>
      </c>
      <c r="O150" s="7">
        <f>日前电价!O150-实时电价!O150</f>
        <v>-5.8293999999999597</v>
      </c>
      <c r="P150" s="7">
        <f>日前电价!P150-实时电价!P150</f>
        <v>21.437100000000001</v>
      </c>
      <c r="Q150" s="7">
        <f>日前电价!Q150-实时电价!Q150</f>
        <v>18.870100000000001</v>
      </c>
      <c r="R150" s="7">
        <f>日前电价!R150-实时电价!R150</f>
        <v>19.544899999999998</v>
      </c>
      <c r="S150" s="7">
        <f>日前电价!S150-实时电价!S150</f>
        <v>18.663699999999999</v>
      </c>
      <c r="T150" s="7">
        <f>日前电价!T150-实时电价!T150</f>
        <v>25.6189</v>
      </c>
      <c r="U150" s="7">
        <f>日前电价!U150-实时电价!U150</f>
        <v>20.9876</v>
      </c>
      <c r="V150" s="7">
        <f>日前电价!V150-实时电价!V150</f>
        <v>19.997199999999999</v>
      </c>
      <c r="W150" s="7">
        <f>日前电价!W150-实时电价!W150</f>
        <v>25.825500000000002</v>
      </c>
      <c r="X150" s="7">
        <f>日前电价!X150-实时电价!X150</f>
        <v>112.2214</v>
      </c>
      <c r="Y150" s="7">
        <f>日前电价!Y150-实时电价!Y150</f>
        <v>178.45930000000001</v>
      </c>
      <c r="Z150" s="9">
        <f t="shared" si="6"/>
        <v>234.03030000000001</v>
      </c>
      <c r="AA150" s="9">
        <f t="shared" si="7"/>
        <v>-16.3062</v>
      </c>
      <c r="AB150" s="9">
        <f t="shared" si="8"/>
        <v>45.582475000000002</v>
      </c>
    </row>
    <row r="151" spans="1:28">
      <c r="A151" s="8">
        <v>45441</v>
      </c>
      <c r="B151" s="7">
        <f>日前电价!B151-实时电价!B151</f>
        <v>90.587199999999996</v>
      </c>
      <c r="C151" s="7">
        <f>日前电价!C151-实时电价!C151</f>
        <v>160.20419999999999</v>
      </c>
      <c r="D151" s="7">
        <f>日前电价!D151-实时电价!D151</f>
        <v>285.2756</v>
      </c>
      <c r="E151" s="7">
        <f>日前电价!E151-实时电价!E151</f>
        <v>248.3965</v>
      </c>
      <c r="F151" s="7">
        <f>日前电价!F151-实时电价!F151</f>
        <v>2.5895999999999999</v>
      </c>
      <c r="G151" s="7">
        <f>日前电价!G151-实时电价!G151</f>
        <v>2.6617999999999999</v>
      </c>
      <c r="H151" s="7">
        <f>日前电价!H151-实时电价!H151</f>
        <v>190.5009</v>
      </c>
      <c r="I151" s="7">
        <f>日前电价!I151-实时电价!I151</f>
        <v>220.48679999999999</v>
      </c>
      <c r="J151" s="7">
        <f>日前电价!J151-实时电价!J151</f>
        <v>192.07239999999999</v>
      </c>
      <c r="K151" s="7">
        <f>日前电价!K151-实时电价!K151</f>
        <v>302.67020000000002</v>
      </c>
      <c r="L151" s="7">
        <f>日前电价!L151-实时电价!L151</f>
        <v>345.5917</v>
      </c>
      <c r="M151" s="7">
        <f>日前电价!M151-实时电价!M151</f>
        <v>336.8424</v>
      </c>
      <c r="N151" s="7">
        <f>日前电价!N151-实时电价!N151</f>
        <v>313.99209999999999</v>
      </c>
      <c r="O151" s="7">
        <f>日前电价!O151-实时电价!O151</f>
        <v>321.21769999999998</v>
      </c>
      <c r="P151" s="7">
        <f>日前电价!P151-实时电价!P151</f>
        <v>338.57429999999999</v>
      </c>
      <c r="Q151" s="7">
        <f>日前电价!Q151-实时电价!Q151</f>
        <v>236.52889999999999</v>
      </c>
      <c r="R151" s="7">
        <f>日前电价!R151-实时电价!R151</f>
        <v>297.41500000000002</v>
      </c>
      <c r="S151" s="7">
        <f>日前电价!S151-实时电价!S151</f>
        <v>306.55549999999999</v>
      </c>
      <c r="T151" s="7">
        <f>日前电价!T151-实时电价!T151</f>
        <v>325.625</v>
      </c>
      <c r="U151" s="7">
        <f>日前电价!U151-实时电价!U151</f>
        <v>227.12899999999999</v>
      </c>
      <c r="V151" s="7">
        <f>日前电价!V151-实时电价!V151</f>
        <v>308.5394</v>
      </c>
      <c r="W151" s="7">
        <f>日前电价!W151-实时电价!W151</f>
        <v>157.3442</v>
      </c>
      <c r="X151" s="7">
        <f>日前电价!X151-实时电价!X151</f>
        <v>132.29920000000001</v>
      </c>
      <c r="Y151" s="7">
        <f>日前电价!Y151-实时电价!Y151</f>
        <v>122.83159999999999</v>
      </c>
      <c r="Z151" s="9">
        <f t="shared" si="6"/>
        <v>345.5917</v>
      </c>
      <c r="AA151" s="9">
        <f t="shared" si="7"/>
        <v>2.5895999999999999</v>
      </c>
      <c r="AB151" s="9">
        <f t="shared" si="8"/>
        <v>227.74713333333301</v>
      </c>
    </row>
    <row r="152" spans="1:28">
      <c r="A152" s="8">
        <v>45442</v>
      </c>
      <c r="B152" s="7">
        <f>日前电价!B152-实时电价!B152</f>
        <v>-13.958500000000001</v>
      </c>
      <c r="C152" s="7">
        <f>日前电价!C152-实时电价!C152</f>
        <v>-1.4387000000000401</v>
      </c>
      <c r="D152" s="7">
        <f>日前电价!D152-实时电价!D152</f>
        <v>24.565899999999999</v>
      </c>
      <c r="E152" s="7">
        <f>日前电价!E152-实时电价!E152</f>
        <v>-63.626300000000001</v>
      </c>
      <c r="F152" s="7">
        <f>日前电价!F152-实时电价!F152</f>
        <v>-65.215999999999994</v>
      </c>
      <c r="G152" s="7">
        <f>日前电价!G152-实时电价!G152</f>
        <v>2.3757999999999999</v>
      </c>
      <c r="H152" s="7">
        <f>日前电价!H152-实时电价!H152</f>
        <v>-117.7174</v>
      </c>
      <c r="I152" s="7">
        <f>日前电价!I152-实时电价!I152</f>
        <v>36.934899999999999</v>
      </c>
      <c r="J152" s="7">
        <f>日前电价!J152-实时电价!J152</f>
        <v>20.8673</v>
      </c>
      <c r="K152" s="7">
        <f>日前电价!K152-实时电价!K152</f>
        <v>206.91659999999999</v>
      </c>
      <c r="L152" s="7">
        <f>日前电价!L152-实时电价!L152</f>
        <v>271.41210000000001</v>
      </c>
      <c r="M152" s="7">
        <f>日前电价!M152-实时电价!M152</f>
        <v>115.3005</v>
      </c>
      <c r="N152" s="7">
        <f>日前电价!N152-实时电价!N152</f>
        <v>100.7328</v>
      </c>
      <c r="O152" s="7">
        <f>日前电价!O152-实时电价!O152</f>
        <v>33.229300000000002</v>
      </c>
      <c r="P152" s="7">
        <f>日前电价!P152-实时电价!P152</f>
        <v>12.0661</v>
      </c>
      <c r="Q152" s="7">
        <f>日前电价!Q152-实时电价!Q152</f>
        <v>12.6983</v>
      </c>
      <c r="R152" s="7">
        <f>日前电价!R152-实时电价!R152</f>
        <v>5.7384999999999904</v>
      </c>
      <c r="S152" s="7">
        <f>日前电价!S152-实时电价!S152</f>
        <v>19.830300000000001</v>
      </c>
      <c r="T152" s="7">
        <f>日前电价!T152-实时电价!T152</f>
        <v>21.977599999999999</v>
      </c>
      <c r="U152" s="7">
        <f>日前电价!U152-实时电价!U152</f>
        <v>1.91769999999997</v>
      </c>
      <c r="V152" s="7">
        <f>日前电价!V152-实时电价!V152</f>
        <v>14.328200000000001</v>
      </c>
      <c r="W152" s="7">
        <f>日前电价!W152-实时电价!W152</f>
        <v>18.318899999999999</v>
      </c>
      <c r="X152" s="7">
        <f>日前电价!X152-实时电价!X152</f>
        <v>12.722</v>
      </c>
      <c r="Y152" s="7">
        <f>日前电价!Y152-实时电价!Y152</f>
        <v>0.35450000000000198</v>
      </c>
      <c r="Z152" s="9">
        <f t="shared" si="6"/>
        <v>271.41210000000001</v>
      </c>
      <c r="AA152" s="9">
        <f t="shared" si="7"/>
        <v>-117.7174</v>
      </c>
      <c r="AB152" s="9">
        <f t="shared" si="8"/>
        <v>27.930433333333301</v>
      </c>
    </row>
    <row r="153" spans="1:28">
      <c r="A153" s="8">
        <v>45443</v>
      </c>
      <c r="B153" s="7">
        <f>日前电价!B153-实时电价!B153</f>
        <v>17.509899999999998</v>
      </c>
      <c r="C153" s="7">
        <f>日前电价!C153-实时电价!C153</f>
        <v>10.287000000000001</v>
      </c>
      <c r="D153" s="7">
        <f>日前电价!D153-实时电价!D153</f>
        <v>18.460799999999999</v>
      </c>
      <c r="E153" s="7">
        <f>日前电价!E153-实时电价!E153</f>
        <v>35.716200000000001</v>
      </c>
      <c r="F153" s="7">
        <f>日前电价!F153-实时电价!F153</f>
        <v>140.5138</v>
      </c>
      <c r="G153" s="7">
        <f>日前电价!G153-实时电价!G153</f>
        <v>161.86109999999999</v>
      </c>
      <c r="H153" s="7">
        <f>日前电价!H153-实时电价!H153</f>
        <v>93.349500000000006</v>
      </c>
      <c r="I153" s="7">
        <f>日前电价!I153-实时电价!I153</f>
        <v>125.9609</v>
      </c>
      <c r="J153" s="7">
        <f>日前电价!J153-实时电价!J153</f>
        <v>22.004999999999999</v>
      </c>
      <c r="K153" s="7">
        <f>日前电价!K153-实时电价!K153</f>
        <v>20.8294</v>
      </c>
      <c r="L153" s="7">
        <f>日前电价!L153-实时电价!L153</f>
        <v>0.68029999999998803</v>
      </c>
      <c r="M153" s="7">
        <f>日前电价!M153-实时电价!M153</f>
        <v>30.575099999999999</v>
      </c>
      <c r="N153" s="7">
        <f>日前电价!N153-实时电价!N153</f>
        <v>121.75579999999999</v>
      </c>
      <c r="O153" s="7">
        <f>日前电价!O153-实时电价!O153</f>
        <v>30.827200000000001</v>
      </c>
      <c r="P153" s="7">
        <f>日前电价!P153-实时电价!P153</f>
        <v>34.0304</v>
      </c>
      <c r="Q153" s="7">
        <f>日前电价!Q153-实时电价!Q153</f>
        <v>27.3187</v>
      </c>
      <c r="R153" s="7">
        <f>日前电价!R153-实时电价!R153</f>
        <v>28.5654</v>
      </c>
      <c r="S153" s="7">
        <f>日前电价!S153-实时电价!S153</f>
        <v>46.717300000000002</v>
      </c>
      <c r="T153" s="7">
        <f>日前电价!T153-实时电价!T153</f>
        <v>47.627899999999997</v>
      </c>
      <c r="U153" s="7">
        <f>日前电价!U153-实时电价!U153</f>
        <v>35.9071</v>
      </c>
      <c r="V153" s="7">
        <f>日前电价!V153-实时电价!V153</f>
        <v>33.6663</v>
      </c>
      <c r="W153" s="7">
        <f>日前电价!W153-实时电价!W153</f>
        <v>40.211399999999998</v>
      </c>
      <c r="X153" s="7">
        <f>日前电价!X153-实时电价!X153</f>
        <v>59.926600000000001</v>
      </c>
      <c r="Y153" s="7">
        <f>日前电价!Y153-实时电价!Y153</f>
        <v>25.681999999999999</v>
      </c>
      <c r="Z153" s="9">
        <f t="shared" si="6"/>
        <v>161.86109999999999</v>
      </c>
      <c r="AA153" s="9">
        <f t="shared" si="7"/>
        <v>0.68029999999998803</v>
      </c>
      <c r="AB153" s="9">
        <f t="shared" si="8"/>
        <v>50.4160458333333</v>
      </c>
    </row>
    <row r="154" spans="1:28">
      <c r="A154" s="8">
        <v>45444</v>
      </c>
      <c r="B154" s="7">
        <f>日前电价!B154-实时电价!B154</f>
        <v>-23.700800000000001</v>
      </c>
      <c r="C154" s="7">
        <f>日前电价!C154-实时电价!C154</f>
        <v>7.5117999999999903</v>
      </c>
      <c r="D154" s="7">
        <f>日前电价!D154-实时电价!D154</f>
        <v>31.726500000000001</v>
      </c>
      <c r="E154" s="7">
        <f>日前电价!E154-实时电价!E154</f>
        <v>109.624</v>
      </c>
      <c r="F154" s="7">
        <f>日前电价!F154-实时电价!F154</f>
        <v>265.70749999999998</v>
      </c>
      <c r="G154" s="7">
        <f>日前电价!G154-实时电价!G154</f>
        <v>263.01</v>
      </c>
      <c r="H154" s="7">
        <f>日前电价!H154-实时电价!H154</f>
        <v>39.311500000000002</v>
      </c>
      <c r="I154" s="7">
        <f>日前电价!I154-实时电价!I154</f>
        <v>218.33840000000001</v>
      </c>
      <c r="J154" s="7">
        <f>日前电价!J154-实时电价!J154</f>
        <v>87.840999999999994</v>
      </c>
      <c r="K154" s="7">
        <f>日前电价!K154-实时电价!K154</f>
        <v>83.918199999999999</v>
      </c>
      <c r="L154" s="7">
        <f>日前电价!L154-实时电价!L154</f>
        <v>72.249799999999993</v>
      </c>
      <c r="M154" s="7">
        <f>日前电价!M154-实时电价!M154</f>
        <v>21.064</v>
      </c>
      <c r="N154" s="7">
        <f>日前电价!N154-实时电价!N154</f>
        <v>117.3175</v>
      </c>
      <c r="O154" s="7">
        <f>日前电价!O154-实时电价!O154</f>
        <v>69.319699999999997</v>
      </c>
      <c r="P154" s="7">
        <f>日前电价!P154-实时电价!P154</f>
        <v>124.8158</v>
      </c>
      <c r="Q154" s="7">
        <f>日前电价!Q154-实时电价!Q154</f>
        <v>42.906100000000002</v>
      </c>
      <c r="R154" s="7">
        <f>日前电价!R154-实时电价!R154</f>
        <v>49.082099999999997</v>
      </c>
      <c r="S154" s="7">
        <f>日前电价!S154-实时电价!S154</f>
        <v>43.256799999999998</v>
      </c>
      <c r="T154" s="7">
        <f>日前电价!T154-实时电价!T154</f>
        <v>24.6876</v>
      </c>
      <c r="U154" s="7">
        <f>日前电价!U154-实时电价!U154</f>
        <v>44.534199999999998</v>
      </c>
      <c r="V154" s="7">
        <f>日前电价!V154-实时电价!V154</f>
        <v>41.2453</v>
      </c>
      <c r="W154" s="7">
        <f>日前电价!W154-实时电价!W154</f>
        <v>26.004000000000001</v>
      </c>
      <c r="X154" s="7">
        <f>日前电价!X154-实时电价!X154</f>
        <v>20.836600000000001</v>
      </c>
      <c r="Y154" s="7">
        <f>日前电价!Y154-实时电价!Y154</f>
        <v>2.9144999999999799</v>
      </c>
      <c r="Z154" s="9">
        <f t="shared" si="6"/>
        <v>265.70749999999998</v>
      </c>
      <c r="AA154" s="9">
        <f t="shared" si="7"/>
        <v>-23.700800000000001</v>
      </c>
      <c r="AB154" s="9">
        <f t="shared" si="8"/>
        <v>74.313420833333296</v>
      </c>
    </row>
    <row r="155" spans="1:28">
      <c r="A155" s="8">
        <v>45445</v>
      </c>
      <c r="B155" s="7">
        <f>日前电价!B155-实时电价!B155</f>
        <v>-6.26439999999997</v>
      </c>
      <c r="C155" s="7">
        <f>日前电价!C155-实时电价!C155</f>
        <v>14.008800000000001</v>
      </c>
      <c r="D155" s="7">
        <f>日前电价!D155-实时电价!D155</f>
        <v>22.985800000000001</v>
      </c>
      <c r="E155" s="7">
        <f>日前电价!E155-实时电价!E155</f>
        <v>33.450699999999998</v>
      </c>
      <c r="F155" s="7">
        <f>日前电价!F155-实时电价!F155</f>
        <v>88.5</v>
      </c>
      <c r="G155" s="7">
        <f>日前电价!G155-实时电价!G155</f>
        <v>93.5</v>
      </c>
      <c r="H155" s="7">
        <f>日前电价!H155-实时电价!H155</f>
        <v>15.64</v>
      </c>
      <c r="I155" s="7">
        <f>日前电价!I155-实时电价!I155</f>
        <v>181.31450000000001</v>
      </c>
      <c r="J155" s="7">
        <f>日前电价!J155-实时电价!J155</f>
        <v>71.022300000000001</v>
      </c>
      <c r="K155" s="7">
        <f>日前电价!K155-实时电价!K155</f>
        <v>172.3852</v>
      </c>
      <c r="L155" s="7">
        <f>日前电价!L155-实时电价!L155</f>
        <v>240.75649999999999</v>
      </c>
      <c r="M155" s="7">
        <f>日前电价!M155-实时电价!M155</f>
        <v>25.443200000000001</v>
      </c>
      <c r="N155" s="7">
        <f>日前电价!N155-实时电价!N155</f>
        <v>114.7272</v>
      </c>
      <c r="O155" s="7">
        <f>日前电价!O155-实时电价!O155</f>
        <v>-9.77659999999997</v>
      </c>
      <c r="P155" s="7">
        <f>日前电价!P155-实时电价!P155</f>
        <v>1.9105000000000101</v>
      </c>
      <c r="Q155" s="7">
        <f>日前电价!Q155-实时电价!Q155</f>
        <v>-15.3469</v>
      </c>
      <c r="R155" s="7">
        <f>日前电价!R155-实时电价!R155</f>
        <v>1.1399000000000099</v>
      </c>
      <c r="S155" s="7">
        <f>日前电价!S155-实时电价!S155</f>
        <v>-41.9163</v>
      </c>
      <c r="T155" s="7">
        <f>日前电价!T155-实时电价!T155</f>
        <v>-29.528400000000001</v>
      </c>
      <c r="U155" s="7">
        <f>日前电价!U155-实时电价!U155</f>
        <v>-30.647400000000001</v>
      </c>
      <c r="V155" s="7">
        <f>日前电价!V155-实时电价!V155</f>
        <v>-38.743000000000002</v>
      </c>
      <c r="W155" s="7">
        <f>日前电价!W155-实时电价!W155</f>
        <v>-184.4033</v>
      </c>
      <c r="X155" s="7">
        <f>日前电价!X155-实时电价!X155</f>
        <v>-42.0535</v>
      </c>
      <c r="Y155" s="7">
        <f>日前电价!Y155-实时电价!Y155</f>
        <v>-15.4213</v>
      </c>
      <c r="Z155" s="9">
        <f t="shared" si="6"/>
        <v>240.75649999999999</v>
      </c>
      <c r="AA155" s="9">
        <f t="shared" si="7"/>
        <v>-184.4033</v>
      </c>
      <c r="AB155" s="9">
        <f t="shared" si="8"/>
        <v>27.611812499999999</v>
      </c>
    </row>
    <row r="156" spans="1:28">
      <c r="A156" s="8">
        <v>45446</v>
      </c>
      <c r="B156" s="7">
        <f>日前电价!B156-实时电价!B156</f>
        <v>-8.1120999999999999</v>
      </c>
      <c r="C156" s="7">
        <f>日前电价!C156-实时电价!C156</f>
        <v>-40.439399999999999</v>
      </c>
      <c r="D156" s="7">
        <f>日前电价!D156-实时电价!D156</f>
        <v>-17.225200000000001</v>
      </c>
      <c r="E156" s="7">
        <f>日前电价!E156-实时电价!E156</f>
        <v>-15.16</v>
      </c>
      <c r="F156" s="7">
        <f>日前电价!F156-实时电价!F156</f>
        <v>-10.5525</v>
      </c>
      <c r="G156" s="7">
        <f>日前电价!G156-实时电价!G156</f>
        <v>-23.38</v>
      </c>
      <c r="H156" s="7">
        <f>日前电价!H156-实时电价!H156</f>
        <v>-3.7799999999999701</v>
      </c>
      <c r="I156" s="7">
        <f>日前电价!I156-实时电价!I156</f>
        <v>-2.2774999999999701</v>
      </c>
      <c r="J156" s="7">
        <f>日前电价!J156-实时电价!J156</f>
        <v>-27.015499999999999</v>
      </c>
      <c r="K156" s="7">
        <f>日前电价!K156-实时电价!K156</f>
        <v>-24.089500000000001</v>
      </c>
      <c r="L156" s="7">
        <f>日前电价!L156-实时电价!L156</f>
        <v>42.8782</v>
      </c>
      <c r="M156" s="7">
        <f>日前电价!M156-实时电价!M156</f>
        <v>59.2727</v>
      </c>
      <c r="N156" s="7">
        <f>日前电价!N156-实时电价!N156</f>
        <v>94.266800000000003</v>
      </c>
      <c r="O156" s="7">
        <f>日前电价!O156-实时电价!O156</f>
        <v>28.3186</v>
      </c>
      <c r="P156" s="7">
        <f>日前电价!P156-实时电价!P156</f>
        <v>43.031500000000001</v>
      </c>
      <c r="Q156" s="7">
        <f>日前电价!Q156-实时电价!Q156</f>
        <v>43.858800000000002</v>
      </c>
      <c r="R156" s="7">
        <f>日前电价!R156-实时电价!R156</f>
        <v>28.2575000000001</v>
      </c>
      <c r="S156" s="7">
        <f>日前电价!S156-实时电价!S156</f>
        <v>39.007300000000001</v>
      </c>
      <c r="T156" s="7">
        <f>日前电价!T156-实时电价!T156</f>
        <v>32.543700000000001</v>
      </c>
      <c r="U156" s="7">
        <f>日前电价!U156-实时电价!U156</f>
        <v>41.2714</v>
      </c>
      <c r="V156" s="7">
        <f>日前电价!V156-实时电价!V156</f>
        <v>44.516100000000101</v>
      </c>
      <c r="W156" s="7">
        <f>日前电价!W156-实时电价!W156</f>
        <v>147.7808</v>
      </c>
      <c r="X156" s="7">
        <f>日前电价!X156-实时电价!X156</f>
        <v>92.847999999999999</v>
      </c>
      <c r="Y156" s="7">
        <f>日前电价!Y156-实时电价!Y156</f>
        <v>29.042899999999999</v>
      </c>
      <c r="Z156" s="9">
        <f t="shared" si="6"/>
        <v>147.7808</v>
      </c>
      <c r="AA156" s="9">
        <f t="shared" si="7"/>
        <v>-40.439399999999999</v>
      </c>
      <c r="AB156" s="9">
        <f t="shared" si="8"/>
        <v>24.785941666666702</v>
      </c>
    </row>
    <row r="157" spans="1:28">
      <c r="A157" s="8">
        <v>45447</v>
      </c>
      <c r="B157" s="7">
        <f>日前电价!B157-实时电价!B157</f>
        <v>8.0337999999999905</v>
      </c>
      <c r="C157" s="7">
        <f>日前电价!C157-实时电价!C157</f>
        <v>19.9315</v>
      </c>
      <c r="D157" s="7">
        <f>日前电价!D157-实时电价!D157</f>
        <v>177.72749999999999</v>
      </c>
      <c r="E157" s="7">
        <f>日前电价!E157-实时电价!E157</f>
        <v>280.15170000000001</v>
      </c>
      <c r="F157" s="7">
        <f>日前电价!F157-实时电价!F157</f>
        <v>119.19499999999999</v>
      </c>
      <c r="G157" s="7">
        <f>日前电价!G157-实时电价!G157</f>
        <v>112.93210000000001</v>
      </c>
      <c r="H157" s="7">
        <f>日前电价!H157-实时电价!H157</f>
        <v>-11.531000000000001</v>
      </c>
      <c r="I157" s="7">
        <f>日前电价!I157-实时电价!I157</f>
        <v>-4.0708000000000197</v>
      </c>
      <c r="J157" s="7">
        <f>日前电价!J157-实时电价!J157</f>
        <v>-7.06</v>
      </c>
      <c r="K157" s="7">
        <f>日前电价!K157-实时电价!K157</f>
        <v>3.71849999999995</v>
      </c>
      <c r="L157" s="7">
        <f>日前电价!L157-实时电价!L157</f>
        <v>13.8764</v>
      </c>
      <c r="M157" s="7">
        <f>日前电价!M157-实时电价!M157</f>
        <v>14.3346</v>
      </c>
      <c r="N157" s="7">
        <f>日前电价!N157-实时电价!N157</f>
        <v>84.438599999999994</v>
      </c>
      <c r="O157" s="7">
        <f>日前电价!O157-实时电价!O157</f>
        <v>26.227</v>
      </c>
      <c r="P157" s="7">
        <f>日前电价!P157-实时电价!P157</f>
        <v>19.143899999999999</v>
      </c>
      <c r="Q157" s="7">
        <f>日前电价!Q157-实时电价!Q157</f>
        <v>11.706200000000001</v>
      </c>
      <c r="R157" s="7">
        <f>日前电价!R157-实时电价!R157</f>
        <v>31.536899999999999</v>
      </c>
      <c r="S157" s="7">
        <f>日前电价!S157-实时电价!S157</f>
        <v>82.453800000000001</v>
      </c>
      <c r="T157" s="7">
        <f>日前电价!T157-实时电价!T157</f>
        <v>115.16670000000001</v>
      </c>
      <c r="U157" s="7">
        <f>日前电价!U157-实时电价!U157</f>
        <v>24.317299999999999</v>
      </c>
      <c r="V157" s="7">
        <f>日前电价!V157-实时电价!V157</f>
        <v>40.627499999999998</v>
      </c>
      <c r="W157" s="7">
        <f>日前电价!W157-实时电价!W157</f>
        <v>169.95590000000001</v>
      </c>
      <c r="X157" s="7">
        <f>日前电价!X157-实时电价!X157</f>
        <v>250.76730000000001</v>
      </c>
      <c r="Y157" s="7">
        <f>日前电价!Y157-实时电价!Y157</f>
        <v>184.85659999999999</v>
      </c>
      <c r="Z157" s="9">
        <f t="shared" si="6"/>
        <v>280.15170000000001</v>
      </c>
      <c r="AA157" s="9">
        <f t="shared" si="7"/>
        <v>-11.531000000000001</v>
      </c>
      <c r="AB157" s="9">
        <f t="shared" si="8"/>
        <v>73.684875000000005</v>
      </c>
    </row>
    <row r="158" spans="1:28">
      <c r="A158" s="8">
        <v>45448</v>
      </c>
      <c r="B158" s="7">
        <f>日前电价!B158-实时电价!B158</f>
        <v>71.828299999999999</v>
      </c>
      <c r="C158" s="7">
        <f>日前电价!C158-实时电价!C158</f>
        <v>303.03250000000003</v>
      </c>
      <c r="D158" s="7">
        <f>日前电价!D158-实时电价!D158</f>
        <v>238.59</v>
      </c>
      <c r="E158" s="7">
        <f>日前电价!E158-实时电价!E158</f>
        <v>270.45749999999998</v>
      </c>
      <c r="F158" s="7">
        <f>日前电价!F158-实时电价!F158</f>
        <v>47.5</v>
      </c>
      <c r="G158" s="7">
        <f>日前电价!G158-实时电价!G158</f>
        <v>112.5</v>
      </c>
      <c r="H158" s="7">
        <f>日前电价!H158-实时电价!H158</f>
        <v>67.742500000000007</v>
      </c>
      <c r="I158" s="7">
        <f>日前电价!I158-实时电价!I158</f>
        <v>87.003699999999995</v>
      </c>
      <c r="J158" s="7">
        <f>日前电价!J158-实时电价!J158</f>
        <v>14.755599999999999</v>
      </c>
      <c r="K158" s="7">
        <f>日前电价!K158-实时电价!K158</f>
        <v>43.724400000000003</v>
      </c>
      <c r="L158" s="7">
        <f>日前电价!L158-实时电价!L158</f>
        <v>87.581299999999999</v>
      </c>
      <c r="M158" s="7">
        <f>日前电价!M158-实时电价!M158</f>
        <v>74.623500000000007</v>
      </c>
      <c r="N158" s="7">
        <f>日前电价!N158-实时电价!N158</f>
        <v>116.33150000000001</v>
      </c>
      <c r="O158" s="7">
        <f>日前电价!O158-实时电价!O158</f>
        <v>36.8324</v>
      </c>
      <c r="P158" s="7">
        <f>日前电价!P158-实时电价!P158</f>
        <v>37.312600000000003</v>
      </c>
      <c r="Q158" s="7">
        <f>日前电价!Q158-实时电价!Q158</f>
        <v>25.962800000000001</v>
      </c>
      <c r="R158" s="7">
        <f>日前电价!R158-实时电价!R158</f>
        <v>73.910600000000002</v>
      </c>
      <c r="S158" s="7">
        <f>日前电价!S158-实时电价!S158</f>
        <v>45.051499999999997</v>
      </c>
      <c r="T158" s="7">
        <f>日前电价!T158-实时电价!T158</f>
        <v>23.391400000000001</v>
      </c>
      <c r="U158" s="7">
        <f>日前电价!U158-实时电价!U158</f>
        <v>19.443100000000001</v>
      </c>
      <c r="V158" s="7">
        <f>日前电价!V158-实时电价!V158</f>
        <v>11.941700000000001</v>
      </c>
      <c r="W158" s="7">
        <f>日前电价!W158-实时电价!W158</f>
        <v>9.4225999999999903</v>
      </c>
      <c r="X158" s="7">
        <f>日前电价!X158-实时电价!X158</f>
        <v>69.612899999999996</v>
      </c>
      <c r="Y158" s="7">
        <f>日前电价!Y158-实时电价!Y158</f>
        <v>76.492699999999999</v>
      </c>
      <c r="Z158" s="9">
        <f t="shared" si="6"/>
        <v>303.03250000000003</v>
      </c>
      <c r="AA158" s="9">
        <f t="shared" si="7"/>
        <v>9.4225999999999903</v>
      </c>
      <c r="AB158" s="9">
        <f t="shared" si="8"/>
        <v>81.876879166666697</v>
      </c>
    </row>
    <row r="159" spans="1:28">
      <c r="A159" s="8">
        <v>45449</v>
      </c>
      <c r="B159" s="7">
        <f>日前电价!B159-实时电价!B159</f>
        <v>-26.532599999999999</v>
      </c>
      <c r="C159" s="7">
        <f>日前电价!C159-实时电价!C159</f>
        <v>36.372599999999998</v>
      </c>
      <c r="D159" s="7">
        <f>日前电价!D159-实时电价!D159</f>
        <v>74.023200000000003</v>
      </c>
      <c r="E159" s="7">
        <f>日前电价!E159-实时电价!E159</f>
        <v>156.50970000000001</v>
      </c>
      <c r="F159" s="7">
        <f>日前电价!F159-实时电价!F159</f>
        <v>204.25700000000001</v>
      </c>
      <c r="G159" s="7">
        <f>日前电价!G159-实时电价!G159</f>
        <v>140.71</v>
      </c>
      <c r="H159" s="7">
        <f>日前电价!H159-实时电价!H159</f>
        <v>-7.9302999999999901</v>
      </c>
      <c r="I159" s="7">
        <f>日前电价!I159-实时电价!I159</f>
        <v>104.3672</v>
      </c>
      <c r="J159" s="7">
        <f>日前电价!J159-实时电价!J159</f>
        <v>18.625699999999998</v>
      </c>
      <c r="K159" s="7">
        <f>日前电价!K159-实时电价!K159</f>
        <v>65.518900000000002</v>
      </c>
      <c r="L159" s="7">
        <f>日前电价!L159-实时电价!L159</f>
        <v>-86.861199999999997</v>
      </c>
      <c r="M159" s="7">
        <f>日前电价!M159-实时电价!M159</f>
        <v>64.763099999999994</v>
      </c>
      <c r="N159" s="7">
        <f>日前电价!N159-实时电价!N159</f>
        <v>229.04320000000001</v>
      </c>
      <c r="O159" s="7">
        <f>日前电价!O159-实时电价!O159</f>
        <v>25.628599999999999</v>
      </c>
      <c r="P159" s="7">
        <f>日前电价!P159-实时电价!P159</f>
        <v>-16.749700000000001</v>
      </c>
      <c r="Q159" s="7">
        <f>日前电价!Q159-实时电价!Q159</f>
        <v>-56.573799999999999</v>
      </c>
      <c r="R159" s="7">
        <f>日前电价!R159-实时电价!R159</f>
        <v>-127.8545</v>
      </c>
      <c r="S159" s="7">
        <f>日前电价!S159-实时电价!S159</f>
        <v>-33.584099999999999</v>
      </c>
      <c r="T159" s="7">
        <f>日前电价!T159-实时电价!T159</f>
        <v>-99.346199999999996</v>
      </c>
      <c r="U159" s="7">
        <f>日前电价!U159-实时电价!U159</f>
        <v>-63.328200000000002</v>
      </c>
      <c r="V159" s="7">
        <f>日前电价!V159-实时电价!V159</f>
        <v>-92.375799999999998</v>
      </c>
      <c r="W159" s="7">
        <f>日前电价!W159-实时电价!W159</f>
        <v>-5.1953999999999496</v>
      </c>
      <c r="X159" s="7">
        <f>日前电价!X159-实时电价!X159</f>
        <v>7.7234999999999996</v>
      </c>
      <c r="Y159" s="7">
        <f>日前电价!Y159-实时电价!Y159</f>
        <v>6.1835999999999798</v>
      </c>
      <c r="Z159" s="9">
        <f t="shared" si="6"/>
        <v>229.04320000000001</v>
      </c>
      <c r="AA159" s="9">
        <f t="shared" si="7"/>
        <v>-127.8545</v>
      </c>
      <c r="AB159" s="9">
        <f t="shared" si="8"/>
        <v>21.558104166666698</v>
      </c>
    </row>
    <row r="160" spans="1:28">
      <c r="A160" s="8">
        <v>45450</v>
      </c>
      <c r="B160" s="7">
        <f>日前电价!B160-实时电价!B160</f>
        <v>-17.654</v>
      </c>
      <c r="C160" s="7">
        <f>日前电价!C160-实时电价!C160</f>
        <v>89.409300000000002</v>
      </c>
      <c r="D160" s="7">
        <f>日前电价!D160-实时电价!D160</f>
        <v>218.35159999999999</v>
      </c>
      <c r="E160" s="7">
        <f>日前电价!E160-实时电价!E160</f>
        <v>258.39870000000002</v>
      </c>
      <c r="F160" s="7">
        <f>日前电价!F160-实时电价!F160</f>
        <v>261.2072</v>
      </c>
      <c r="G160" s="7">
        <f>日前电价!G160-实时电价!G160</f>
        <v>259.60890000000001</v>
      </c>
      <c r="H160" s="7">
        <f>日前电价!H160-实时电价!H160</f>
        <v>114.884</v>
      </c>
      <c r="I160" s="7">
        <f>日前电价!I160-实时电价!I160</f>
        <v>66.329599999999999</v>
      </c>
      <c r="J160" s="7">
        <f>日前电价!J160-实时电价!J160</f>
        <v>28.4343</v>
      </c>
      <c r="K160" s="7">
        <f>日前电价!K160-实时电价!K160</f>
        <v>-1.9220999999999999</v>
      </c>
      <c r="L160" s="7">
        <f>日前电价!L160-实时电价!L160</f>
        <v>-7.1126999999999603</v>
      </c>
      <c r="M160" s="7">
        <f>日前电价!M160-实时电价!M160</f>
        <v>23.461099999999998</v>
      </c>
      <c r="N160" s="7">
        <f>日前电价!N160-实时电价!N160</f>
        <v>250.89789999999999</v>
      </c>
      <c r="O160" s="7">
        <f>日前电价!O160-实时电价!O160</f>
        <v>8.9666000000000299</v>
      </c>
      <c r="P160" s="7">
        <f>日前电价!P160-实时电价!P160</f>
        <v>13.353400000000001</v>
      </c>
      <c r="Q160" s="7">
        <f>日前电价!Q160-实时电价!Q160</f>
        <v>5.6679999999999504</v>
      </c>
      <c r="R160" s="7">
        <f>日前电价!R160-实时电价!R160</f>
        <v>4.9496000000000304</v>
      </c>
      <c r="S160" s="7">
        <f>日前电价!S160-实时电价!S160</f>
        <v>24.455100000000002</v>
      </c>
      <c r="T160" s="7">
        <f>日前电价!T160-实时电价!T160</f>
        <v>33.3474</v>
      </c>
      <c r="U160" s="7">
        <f>日前电价!U160-实时电价!U160</f>
        <v>38.578200000000002</v>
      </c>
      <c r="V160" s="7">
        <f>日前电价!V160-实时电价!V160</f>
        <v>28.978899999999999</v>
      </c>
      <c r="W160" s="7">
        <f>日前电价!W160-实时电价!W160</f>
        <v>18.755199999999999</v>
      </c>
      <c r="X160" s="7">
        <f>日前电价!X160-实时电价!X160</f>
        <v>24.6251</v>
      </c>
      <c r="Y160" s="7">
        <f>日前电价!Y160-实时电价!Y160</f>
        <v>-16.362100000000002</v>
      </c>
      <c r="Z160" s="9">
        <f t="shared" si="6"/>
        <v>261.2072</v>
      </c>
      <c r="AA160" s="9">
        <f t="shared" si="7"/>
        <v>-17.654</v>
      </c>
      <c r="AB160" s="9">
        <f t="shared" si="8"/>
        <v>72.067049999999995</v>
      </c>
    </row>
    <row r="161" spans="1:28">
      <c r="A161" s="8">
        <v>45451</v>
      </c>
      <c r="B161" s="7">
        <f>日前电价!B161-实时电价!B161</f>
        <v>-97.176100000000005</v>
      </c>
      <c r="C161" s="7">
        <f>日前电价!C161-实时电价!C161</f>
        <v>-8.6585999999999803</v>
      </c>
      <c r="D161" s="7">
        <f>日前电价!D161-实时电价!D161</f>
        <v>-8.6179000000000201</v>
      </c>
      <c r="E161" s="7">
        <f>日前电价!E161-实时电价!E161</f>
        <v>-9.3042999999999605</v>
      </c>
      <c r="F161" s="7">
        <f>日前电价!F161-实时电价!F161</f>
        <v>-14.23</v>
      </c>
      <c r="G161" s="7">
        <f>日前电价!G161-实时电价!G161</f>
        <v>-12.0525</v>
      </c>
      <c r="H161" s="7">
        <f>日前电价!H161-实时电价!H161</f>
        <v>-21.819800000000001</v>
      </c>
      <c r="I161" s="7">
        <f>日前电价!I161-实时电价!I161</f>
        <v>-18.75</v>
      </c>
      <c r="J161" s="7">
        <f>日前电价!J161-实时电价!J161</f>
        <v>-1.40929999999997</v>
      </c>
      <c r="K161" s="7">
        <f>日前电价!K161-实时电价!K161</f>
        <v>-17.639099999999999</v>
      </c>
      <c r="L161" s="7">
        <f>日前电价!L161-实时电价!L161</f>
        <v>-20.3475</v>
      </c>
      <c r="M161" s="7">
        <f>日前电价!M161-实时电价!M161</f>
        <v>9.1639999999999908</v>
      </c>
      <c r="N161" s="7">
        <f>日前电价!N161-实时电价!N161</f>
        <v>77.259200000000007</v>
      </c>
      <c r="O161" s="7">
        <f>日前电价!O161-实时电价!O161</f>
        <v>13.081899999999999</v>
      </c>
      <c r="P161" s="7">
        <f>日前电价!P161-实时电价!P161</f>
        <v>12.975899999999999</v>
      </c>
      <c r="Q161" s="7">
        <f>日前电价!Q161-实时电价!Q161</f>
        <v>-13.1455</v>
      </c>
      <c r="R161" s="7">
        <f>日前电价!R161-实时电价!R161</f>
        <v>-5.3414000000000197</v>
      </c>
      <c r="S161" s="7">
        <f>日前电价!S161-实时电价!S161</f>
        <v>-7.7407999999999797</v>
      </c>
      <c r="T161" s="7">
        <f>日前电价!T161-实时电价!T161</f>
        <v>-4.6672999999999503</v>
      </c>
      <c r="U161" s="7">
        <f>日前电价!U161-实时电价!U161</f>
        <v>-40.718800000000002</v>
      </c>
      <c r="V161" s="7">
        <f>日前电价!V161-实时电价!V161</f>
        <v>-64.010800000000003</v>
      </c>
      <c r="W161" s="7">
        <f>日前电价!W161-实时电价!W161</f>
        <v>-197.6189</v>
      </c>
      <c r="X161" s="7">
        <f>日前电价!X161-实时电价!X161</f>
        <v>-35.112699999999997</v>
      </c>
      <c r="Y161" s="7">
        <f>日前电价!Y161-实时电价!Y161</f>
        <v>-17.322399999999998</v>
      </c>
      <c r="Z161" s="9">
        <f t="shared" si="6"/>
        <v>77.259200000000007</v>
      </c>
      <c r="AA161" s="9">
        <f t="shared" si="7"/>
        <v>-197.6189</v>
      </c>
      <c r="AB161" s="9">
        <f t="shared" si="8"/>
        <v>-20.966779166666701</v>
      </c>
    </row>
    <row r="162" spans="1:28">
      <c r="A162" s="8">
        <v>45452</v>
      </c>
      <c r="B162" s="7">
        <f>日前电价!B162-实时电价!B162</f>
        <v>-75.277900000000002</v>
      </c>
      <c r="C162" s="7">
        <f>日前电价!C162-实时电价!C162</f>
        <v>-49.073900000000002</v>
      </c>
      <c r="D162" s="7">
        <f>日前电价!D162-实时电价!D162</f>
        <v>-22.108899999999998</v>
      </c>
      <c r="E162" s="7">
        <f>日前电价!E162-实时电价!E162</f>
        <v>-20.3905999999999</v>
      </c>
      <c r="F162" s="7">
        <f>日前电价!F162-实时电价!F162</f>
        <v>-21.369399999999999</v>
      </c>
      <c r="G162" s="7">
        <f>日前电价!G162-实时电价!G162</f>
        <v>77.449100000000001</v>
      </c>
      <c r="H162" s="7">
        <f>日前电价!H162-实时电价!H162</f>
        <v>-34.544699999999999</v>
      </c>
      <c r="I162" s="7">
        <f>日前电价!I162-实时电价!I162</f>
        <v>-30.692299999999999</v>
      </c>
      <c r="J162" s="7">
        <f>日前电价!J162-实时电价!J162</f>
        <v>89.469200000000001</v>
      </c>
      <c r="K162" s="7">
        <f>日前电价!K162-实时电价!K162</f>
        <v>28.6553</v>
      </c>
      <c r="L162" s="7">
        <f>日前电价!L162-实时电价!L162</f>
        <v>46.132399999999997</v>
      </c>
      <c r="M162" s="7">
        <f>日前电价!M162-实时电价!M162</f>
        <v>200.02019999999999</v>
      </c>
      <c r="N162" s="7">
        <f>日前电价!N162-实时电价!N162</f>
        <v>249.553</v>
      </c>
      <c r="O162" s="7">
        <f>日前电价!O162-实时电价!O162</f>
        <v>54.993400000000001</v>
      </c>
      <c r="P162" s="7">
        <f>日前电价!P162-实时电价!P162</f>
        <v>214.8639</v>
      </c>
      <c r="Q162" s="7">
        <f>日前电价!Q162-实时电价!Q162</f>
        <v>200.7097</v>
      </c>
      <c r="R162" s="7">
        <f>日前电价!R162-实时电价!R162</f>
        <v>199.8287</v>
      </c>
      <c r="S162" s="7">
        <f>日前电价!S162-实时电价!S162</f>
        <v>255.73769999999999</v>
      </c>
      <c r="T162" s="7">
        <f>日前电价!T162-实时电价!T162</f>
        <v>196.81280000000001</v>
      </c>
      <c r="U162" s="7">
        <f>日前电价!U162-实时电价!U162</f>
        <v>55.6432</v>
      </c>
      <c r="V162" s="7">
        <f>日前电价!V162-实时电价!V162</f>
        <v>14.1974</v>
      </c>
      <c r="W162" s="7">
        <f>日前电价!W162-实时电价!W162</f>
        <v>12.0763</v>
      </c>
      <c r="X162" s="7">
        <f>日前电价!X162-实时电价!X162</f>
        <v>10.240500000000001</v>
      </c>
      <c r="Y162" s="7">
        <f>日前电价!Y162-实时电价!Y162</f>
        <v>182.05969999999999</v>
      </c>
      <c r="Z162" s="9">
        <f t="shared" si="6"/>
        <v>255.73769999999999</v>
      </c>
      <c r="AA162" s="9">
        <f t="shared" si="7"/>
        <v>-75.277900000000002</v>
      </c>
      <c r="AB162" s="9">
        <f t="shared" si="8"/>
        <v>76.457700000000003</v>
      </c>
    </row>
    <row r="163" spans="1:28">
      <c r="A163" s="8">
        <v>45453</v>
      </c>
      <c r="B163" s="7">
        <f>日前电价!B163-实时电价!B163</f>
        <v>-93.647900000000007</v>
      </c>
      <c r="C163" s="7">
        <f>日前电价!C163-实时电价!C163</f>
        <v>-43.386600000000001</v>
      </c>
      <c r="D163" s="7">
        <f>日前电价!D163-实时电价!D163</f>
        <v>-42.407499999999999</v>
      </c>
      <c r="E163" s="7">
        <f>日前电价!E163-实时电价!E163</f>
        <v>0</v>
      </c>
      <c r="F163" s="7">
        <f>日前电价!F163-实时电价!F163</f>
        <v>0</v>
      </c>
      <c r="G163" s="7">
        <f>日前电价!G163-实时电价!G163</f>
        <v>0</v>
      </c>
      <c r="H163" s="7">
        <f>日前电价!H163-实时电价!H163</f>
        <v>0</v>
      </c>
      <c r="I163" s="7">
        <f>日前电价!I163-实时电价!I163</f>
        <v>0</v>
      </c>
      <c r="J163" s="7">
        <f>日前电价!J163-实时电价!J163</f>
        <v>-65.367500000000007</v>
      </c>
      <c r="K163" s="7">
        <f>日前电价!K163-实时电价!K163</f>
        <v>0</v>
      </c>
      <c r="L163" s="7">
        <f>日前电价!L163-实时电价!L163</f>
        <v>-134.39709999999999</v>
      </c>
      <c r="M163" s="7">
        <f>日前电价!M163-实时电价!M163</f>
        <v>-64.994799999999998</v>
      </c>
      <c r="N163" s="7">
        <f>日前电价!N163-实时电价!N163</f>
        <v>-197.8776</v>
      </c>
      <c r="O163" s="7">
        <f>日前电价!O163-实时电价!O163</f>
        <v>-6.8599999999999994E-2</v>
      </c>
      <c r="P163" s="7">
        <f>日前电价!P163-实时电价!P163</f>
        <v>-49.760300000000001</v>
      </c>
      <c r="Q163" s="7">
        <f>日前电价!Q163-实时电价!Q163</f>
        <v>-150.13669999999999</v>
      </c>
      <c r="R163" s="7">
        <f>日前电价!R163-实时电价!R163</f>
        <v>-6.3146000000000004</v>
      </c>
      <c r="S163" s="7">
        <f>日前电价!S163-实时电价!S163</f>
        <v>-27.058599999999998</v>
      </c>
      <c r="T163" s="7">
        <f>日前电价!T163-实时电价!T163</f>
        <v>-31.999199999999998</v>
      </c>
      <c r="U163" s="7">
        <f>日前电价!U163-实时电价!U163</f>
        <v>-250.83590000000001</v>
      </c>
      <c r="V163" s="7">
        <f>日前电价!V163-实时电价!V163</f>
        <v>-444.70240000000001</v>
      </c>
      <c r="W163" s="7">
        <f>日前电价!W163-实时电价!W163</f>
        <v>-436.6626</v>
      </c>
      <c r="X163" s="7">
        <f>日前电价!X163-实时电价!X163</f>
        <v>-87.945999999999998</v>
      </c>
      <c r="Y163" s="7">
        <f>日前电价!Y163-实时电价!Y163</f>
        <v>-109.7123</v>
      </c>
      <c r="Z163" s="9">
        <f t="shared" si="6"/>
        <v>0</v>
      </c>
      <c r="AA163" s="9">
        <f t="shared" si="7"/>
        <v>-444.70240000000001</v>
      </c>
      <c r="AB163" s="9">
        <f t="shared" si="8"/>
        <v>-93.219841666666696</v>
      </c>
    </row>
    <row r="164" spans="1:28">
      <c r="A164" s="8">
        <v>45454</v>
      </c>
      <c r="B164" s="7">
        <f>日前电价!B164-实时电价!B164</f>
        <v>-190.94550000000001</v>
      </c>
      <c r="C164" s="7">
        <f>日前电价!C164-实时电价!C164</f>
        <v>-75.615899999999996</v>
      </c>
      <c r="D164" s="7">
        <f>日前电价!D164-实时电价!D164</f>
        <v>-29</v>
      </c>
      <c r="E164" s="7">
        <f>日前电价!E164-实时电价!E164</f>
        <v>-13.83</v>
      </c>
      <c r="F164" s="7">
        <f>日前电价!F164-实时电价!F164</f>
        <v>-18.164999999999999</v>
      </c>
      <c r="G164" s="7">
        <f>日前电价!G164-实时电价!G164</f>
        <v>-32.86</v>
      </c>
      <c r="H164" s="7">
        <f>日前电价!H164-实时电价!H164</f>
        <v>-26.5275</v>
      </c>
      <c r="I164" s="7">
        <f>日前电价!I164-实时电价!I164</f>
        <v>2.40289999999999</v>
      </c>
      <c r="J164" s="7">
        <f>日前电价!J164-实时电价!J164</f>
        <v>-372.32709999999997</v>
      </c>
      <c r="K164" s="7">
        <f>日前电价!K164-实时电价!K164</f>
        <v>-600.31179999999995</v>
      </c>
      <c r="L164" s="7">
        <f>日前电价!L164-实时电价!L164</f>
        <v>-250.31909999999999</v>
      </c>
      <c r="M164" s="7">
        <f>日前电价!M164-实时电价!M164</f>
        <v>-431.18669999999997</v>
      </c>
      <c r="N164" s="7">
        <f>日前电价!N164-实时电价!N164</f>
        <v>-67.764899999999997</v>
      </c>
      <c r="O164" s="7">
        <f>日前电价!O164-实时电价!O164</f>
        <v>-342.2013</v>
      </c>
      <c r="P164" s="7">
        <f>日前电价!P164-实时电价!P164</f>
        <v>-314.8356</v>
      </c>
      <c r="Q164" s="7">
        <f>日前电价!Q164-实时电价!Q164</f>
        <v>-486.39659999999998</v>
      </c>
      <c r="R164" s="7">
        <f>日前电价!R164-实时电价!R164</f>
        <v>-306.98009999999999</v>
      </c>
      <c r="S164" s="7">
        <f>日前电价!S164-实时电价!S164</f>
        <v>-69.969399999999993</v>
      </c>
      <c r="T164" s="7">
        <f>日前电价!T164-实时电价!T164</f>
        <v>-20.378399999999999</v>
      </c>
      <c r="U164" s="7">
        <f>日前电价!U164-实时电价!U164</f>
        <v>-93.890600000000006</v>
      </c>
      <c r="V164" s="7">
        <f>日前电价!V164-实时电价!V164</f>
        <v>-183.1353</v>
      </c>
      <c r="W164" s="7">
        <f>日前电价!W164-实时电价!W164</f>
        <v>-506.51229999999998</v>
      </c>
      <c r="X164" s="7">
        <f>日前电价!X164-实时电价!X164</f>
        <v>-80.967399999999998</v>
      </c>
      <c r="Y164" s="7">
        <f>日前电价!Y164-实时电价!Y164</f>
        <v>-44.403700000000001</v>
      </c>
      <c r="Z164" s="9">
        <f t="shared" si="6"/>
        <v>2.40289999999999</v>
      </c>
      <c r="AA164" s="9">
        <f t="shared" si="7"/>
        <v>-600.31179999999995</v>
      </c>
      <c r="AB164" s="9">
        <f t="shared" si="8"/>
        <v>-189.83838750000001</v>
      </c>
    </row>
    <row r="165" spans="1:28">
      <c r="A165" s="8">
        <v>45455</v>
      </c>
      <c r="B165" s="7">
        <f>日前电价!B165-实时电价!B165</f>
        <v>-185.0224</v>
      </c>
      <c r="C165" s="7">
        <f>日前电价!C165-实时电价!C165</f>
        <v>-34.344700000000003</v>
      </c>
      <c r="D165" s="7">
        <f>日前电价!D165-实时电价!D165</f>
        <v>-6.8670000000000204</v>
      </c>
      <c r="E165" s="7">
        <f>日前电价!E165-实时电价!E165</f>
        <v>-13.5587</v>
      </c>
      <c r="F165" s="7">
        <f>日前电价!F165-实时电价!F165</f>
        <v>-19.4895</v>
      </c>
      <c r="G165" s="7">
        <f>日前电价!G165-实时电价!G165</f>
        <v>-23.298200000000001</v>
      </c>
      <c r="H165" s="7">
        <f>日前电价!H165-实时电价!H165</f>
        <v>-25.9803</v>
      </c>
      <c r="I165" s="7">
        <f>日前电价!I165-实时电价!I165</f>
        <v>-23.319499999999898</v>
      </c>
      <c r="J165" s="7">
        <f>日前电价!J165-实时电价!J165</f>
        <v>-15.703099999999999</v>
      </c>
      <c r="K165" s="7">
        <f>日前电价!K165-实时电价!K165</f>
        <v>3.4676</v>
      </c>
      <c r="L165" s="7">
        <f>日前电价!L165-实时电价!L165</f>
        <v>6.21409999999997</v>
      </c>
      <c r="M165" s="7">
        <f>日前电价!M165-实时电价!M165</f>
        <v>0.45249999999998602</v>
      </c>
      <c r="N165" s="7">
        <f>日前电价!N165-实时电价!N165</f>
        <v>-6.7782000000000302</v>
      </c>
      <c r="O165" s="7">
        <f>日前电价!O165-实时电价!O165</f>
        <v>-66.986199999999997</v>
      </c>
      <c r="P165" s="7">
        <f>日前电价!P165-实时电价!P165</f>
        <v>-22.046299999999999</v>
      </c>
      <c r="Q165" s="7">
        <f>日前电价!Q165-实时电价!Q165</f>
        <v>-1.17750000000001</v>
      </c>
      <c r="R165" s="7">
        <f>日前电价!R165-实时电价!R165</f>
        <v>-16.2653</v>
      </c>
      <c r="S165" s="7">
        <f>日前电价!S165-实时电价!S165</f>
        <v>-9.4984000000000002</v>
      </c>
      <c r="T165" s="7">
        <f>日前电价!T165-实时电价!T165</f>
        <v>-15.512</v>
      </c>
      <c r="U165" s="7">
        <f>日前电价!U165-实时电价!U165</f>
        <v>-54.468299999999999</v>
      </c>
      <c r="V165" s="7">
        <f>日前电价!V165-实时电价!V165</f>
        <v>-63.658999999999999</v>
      </c>
      <c r="W165" s="7">
        <f>日前电价!W165-实时电价!W165</f>
        <v>-69.850200000000001</v>
      </c>
      <c r="X165" s="7">
        <f>日前电价!X165-实时电价!X165</f>
        <v>-43.667099999999998</v>
      </c>
      <c r="Y165" s="7">
        <f>日前电价!Y165-实时电价!Y165</f>
        <v>-37.799599999999998</v>
      </c>
      <c r="Z165" s="9">
        <f t="shared" si="6"/>
        <v>6.21409999999997</v>
      </c>
      <c r="AA165" s="9">
        <f t="shared" si="7"/>
        <v>-185.0224</v>
      </c>
      <c r="AB165" s="9">
        <f t="shared" si="8"/>
        <v>-31.0482208333333</v>
      </c>
    </row>
    <row r="166" spans="1:28">
      <c r="A166" s="8">
        <v>45456</v>
      </c>
      <c r="B166" s="7">
        <f>日前电价!B166-实时电价!B166</f>
        <v>-55.779600000000002</v>
      </c>
      <c r="C166" s="7">
        <f>日前电价!C166-实时电价!C166</f>
        <v>-28.6496</v>
      </c>
      <c r="D166" s="7">
        <f>日前电价!D166-实时电价!D166</f>
        <v>-7.3582000000000098</v>
      </c>
      <c r="E166" s="7">
        <f>日前电价!E166-实时电价!E166</f>
        <v>-7.8838000000000097</v>
      </c>
      <c r="F166" s="7">
        <f>日前电价!F166-实时电价!F166</f>
        <v>-7.71539999999999</v>
      </c>
      <c r="G166" s="7">
        <f>日前电价!G166-实时电价!G166</f>
        <v>-9.0749999999999904</v>
      </c>
      <c r="H166" s="7">
        <f>日前电价!H166-实时电价!H166</f>
        <v>-13</v>
      </c>
      <c r="I166" s="7">
        <f>日前电价!I166-实时电价!I166</f>
        <v>-10.4772</v>
      </c>
      <c r="J166" s="7">
        <f>日前电价!J166-实时电价!J166</f>
        <v>-20.494399999999999</v>
      </c>
      <c r="K166" s="7">
        <f>日前电价!K166-实时电价!K166</f>
        <v>-6.7527999999999802</v>
      </c>
      <c r="L166" s="7">
        <f>日前电价!L166-实时电价!L166</f>
        <v>71.1203</v>
      </c>
      <c r="M166" s="7">
        <f>日前电价!M166-实时电价!M166</f>
        <v>40.113199999999999</v>
      </c>
      <c r="N166" s="7">
        <f>日前电价!N166-实时电价!N166</f>
        <v>82.774100000000004</v>
      </c>
      <c r="O166" s="7">
        <f>日前电价!O166-实时电价!O166</f>
        <v>18.3201</v>
      </c>
      <c r="P166" s="7">
        <f>日前电价!P166-实时电价!P166</f>
        <v>34.225200000000001</v>
      </c>
      <c r="Q166" s="7">
        <f>日前电价!Q166-实时电价!Q166</f>
        <v>22.330500000000001</v>
      </c>
      <c r="R166" s="7">
        <f>日前电价!R166-实时电价!R166</f>
        <v>9.5832000000000299</v>
      </c>
      <c r="S166" s="7">
        <f>日前电价!S166-实时电价!S166</f>
        <v>-65.2761</v>
      </c>
      <c r="T166" s="7">
        <f>日前电价!T166-实时电价!T166</f>
        <v>-46.037599999999998</v>
      </c>
      <c r="U166" s="7">
        <f>日前电价!U166-实时电价!U166</f>
        <v>-97.130399999999995</v>
      </c>
      <c r="V166" s="7">
        <f>日前电价!V166-实时电价!V166</f>
        <v>-88.779399999999995</v>
      </c>
      <c r="W166" s="7">
        <f>日前电价!W166-实时电价!W166</f>
        <v>-57.683500000000002</v>
      </c>
      <c r="X166" s="7">
        <f>日前电价!X166-实时电价!X166</f>
        <v>-28.193100000000001</v>
      </c>
      <c r="Y166" s="7">
        <f>日前电价!Y166-实时电价!Y166</f>
        <v>-45.315600000000003</v>
      </c>
      <c r="Z166" s="9">
        <f t="shared" si="6"/>
        <v>82.774100000000004</v>
      </c>
      <c r="AA166" s="9">
        <f t="shared" si="7"/>
        <v>-97.130399999999995</v>
      </c>
      <c r="AB166" s="9">
        <f t="shared" si="8"/>
        <v>-13.213962499999999</v>
      </c>
    </row>
    <row r="167" spans="1:28">
      <c r="A167" s="8">
        <v>45457</v>
      </c>
      <c r="B167" s="7">
        <f>日前电价!B167-实时电价!B167</f>
        <v>-49.744300000000003</v>
      </c>
      <c r="C167" s="7">
        <f>日前电价!C167-实时电价!C167</f>
        <v>-14.024800000000001</v>
      </c>
      <c r="D167" s="7">
        <f>日前电价!D167-实时电价!D167</f>
        <v>-3.0795999999999699</v>
      </c>
      <c r="E167" s="7">
        <f>日前电价!E167-实时电价!E167</f>
        <v>1.6478999999999899</v>
      </c>
      <c r="F167" s="7">
        <f>日前电价!F167-实时电价!F167</f>
        <v>-6.8332000000000299</v>
      </c>
      <c r="G167" s="7">
        <f>日前电价!G167-实时电价!G167</f>
        <v>-5.3759999999999799</v>
      </c>
      <c r="H167" s="7">
        <f>日前电价!H167-实时电价!H167</f>
        <v>-12.9565</v>
      </c>
      <c r="I167" s="7">
        <f>日前电价!I167-实时电价!I167</f>
        <v>-8.1466999999999494</v>
      </c>
      <c r="J167" s="7">
        <f>日前电价!J167-实时电价!J167</f>
        <v>-11.1831</v>
      </c>
      <c r="K167" s="7">
        <f>日前电价!K167-实时电价!K167</f>
        <v>14.0268</v>
      </c>
      <c r="L167" s="7">
        <f>日前电价!L167-实时电价!L167</f>
        <v>111.1384</v>
      </c>
      <c r="M167" s="7">
        <f>日前电价!M167-实时电价!M167</f>
        <v>163.13720000000001</v>
      </c>
      <c r="N167" s="7">
        <f>日前电价!N167-实时电价!N167</f>
        <v>175.06970000000001</v>
      </c>
      <c r="O167" s="7">
        <f>日前电价!O167-实时电价!O167</f>
        <v>29.292400000000001</v>
      </c>
      <c r="P167" s="7">
        <f>日前电价!P167-实时电价!P167</f>
        <v>81.360500000000002</v>
      </c>
      <c r="Q167" s="7">
        <f>日前电价!Q167-实时电价!Q167</f>
        <v>100.887</v>
      </c>
      <c r="R167" s="7">
        <f>日前电价!R167-实时电价!R167</f>
        <v>77.763400000000004</v>
      </c>
      <c r="S167" s="7">
        <f>日前电价!S167-实时电价!S167</f>
        <v>74.184200000000004</v>
      </c>
      <c r="T167" s="7">
        <f>日前电价!T167-实时电价!T167</f>
        <v>50.265700000000002</v>
      </c>
      <c r="U167" s="7">
        <f>日前电价!U167-实时电价!U167</f>
        <v>44.535200000000003</v>
      </c>
      <c r="V167" s="7">
        <f>日前电价!V167-实时电价!V167</f>
        <v>38.0032</v>
      </c>
      <c r="W167" s="7">
        <f>日前电价!W167-实时电价!W167</f>
        <v>40.384599999999999</v>
      </c>
      <c r="X167" s="7">
        <f>日前电价!X167-实时电价!X167</f>
        <v>27.275300000000001</v>
      </c>
      <c r="Y167" s="7">
        <f>日前电价!Y167-实时电价!Y167</f>
        <v>3.1979000000000002</v>
      </c>
      <c r="Z167" s="9">
        <f t="shared" si="6"/>
        <v>175.06970000000001</v>
      </c>
      <c r="AA167" s="9">
        <f t="shared" si="7"/>
        <v>-49.744300000000003</v>
      </c>
      <c r="AB167" s="9">
        <f t="shared" si="8"/>
        <v>38.367716666666702</v>
      </c>
    </row>
    <row r="168" spans="1:28">
      <c r="A168" s="8">
        <v>45458</v>
      </c>
      <c r="B168" s="7">
        <f>日前电价!B168-实时电价!B168</f>
        <v>6.9381999999999904</v>
      </c>
      <c r="C168" s="7">
        <f>日前电价!C168-实时电价!C168</f>
        <v>16.4129</v>
      </c>
      <c r="D168" s="7">
        <f>日前电价!D168-实时电价!D168</f>
        <v>30.448899999999998</v>
      </c>
      <c r="E168" s="7">
        <f>日前电价!E168-实时电价!E168</f>
        <v>21.819099999999999</v>
      </c>
      <c r="F168" s="7">
        <f>日前电价!F168-实时电价!F168</f>
        <v>15.5541</v>
      </c>
      <c r="G168" s="7">
        <f>日前电价!G168-实时电价!G168</f>
        <v>11.2173</v>
      </c>
      <c r="H168" s="7">
        <f>日前电价!H168-实时电价!H168</f>
        <v>10.276199999999999</v>
      </c>
      <c r="I168" s="7">
        <f>日前电价!I168-实时电价!I168</f>
        <v>11.8317</v>
      </c>
      <c r="J168" s="7">
        <f>日前电价!J168-实时电价!J168</f>
        <v>26.473400000000002</v>
      </c>
      <c r="K168" s="7">
        <f>日前电价!K168-实时电价!K168</f>
        <v>68.731099999999998</v>
      </c>
      <c r="L168" s="7">
        <f>日前电价!L168-实时电价!L168</f>
        <v>160.9324</v>
      </c>
      <c r="M168" s="7">
        <f>日前电价!M168-实时电价!M168</f>
        <v>116.9636</v>
      </c>
      <c r="N168" s="7">
        <f>日前电价!N168-实时电价!N168</f>
        <v>150.3631</v>
      </c>
      <c r="O168" s="7">
        <f>日前电价!O168-实时电价!O168</f>
        <v>50.871899999999997</v>
      </c>
      <c r="P168" s="7">
        <f>日前电价!P168-实时电价!P168</f>
        <v>56.855200000000004</v>
      </c>
      <c r="Q168" s="7">
        <f>日前电价!Q168-实时电价!Q168</f>
        <v>72.759900000000002</v>
      </c>
      <c r="R168" s="7">
        <f>日前电价!R168-实时电价!R168</f>
        <v>69.263400000000004</v>
      </c>
      <c r="S168" s="7">
        <f>日前电价!S168-实时电价!S168</f>
        <v>63.283499999999997</v>
      </c>
      <c r="T168" s="7">
        <f>日前电价!T168-实时电价!T168</f>
        <v>49.1295</v>
      </c>
      <c r="U168" s="7">
        <f>日前电价!U168-实时电价!U168</f>
        <v>58.399799999999999</v>
      </c>
      <c r="V168" s="7">
        <f>日前电价!V168-实时电价!V168</f>
        <v>50.202100000000002</v>
      </c>
      <c r="W168" s="7">
        <f>日前电价!W168-实时电价!W168</f>
        <v>55.317599999999999</v>
      </c>
      <c r="X168" s="7">
        <f>日前电价!X168-实时电价!X168</f>
        <v>63.3247</v>
      </c>
      <c r="Y168" s="7">
        <f>日前电价!Y168-实时电价!Y168</f>
        <v>54.092199999999998</v>
      </c>
      <c r="Z168" s="9">
        <f t="shared" si="6"/>
        <v>160.9324</v>
      </c>
      <c r="AA168" s="9">
        <f t="shared" si="7"/>
        <v>6.9381999999999904</v>
      </c>
      <c r="AB168" s="9">
        <f t="shared" si="8"/>
        <v>53.810908333333302</v>
      </c>
    </row>
    <row r="169" spans="1:28">
      <c r="A169" s="8">
        <v>45459</v>
      </c>
      <c r="B169" s="7">
        <f>日前电价!B169-实时电价!B169</f>
        <v>-1.8317000000000101</v>
      </c>
      <c r="C169" s="7">
        <f>日前电价!C169-实时电价!C169</f>
        <v>26.360499999999998</v>
      </c>
      <c r="D169" s="7">
        <f>日前电价!D169-实时电价!D169</f>
        <v>18.4282</v>
      </c>
      <c r="E169" s="7">
        <f>日前电价!E169-实时电价!E169</f>
        <v>13.811299999999999</v>
      </c>
      <c r="F169" s="7">
        <f>日前电价!F169-实时电价!F169</f>
        <v>35.428000000000097</v>
      </c>
      <c r="G169" s="7">
        <f>日前电价!G169-实时电价!G169</f>
        <v>224.9006</v>
      </c>
      <c r="H169" s="7">
        <f>日前电价!H169-实时电价!H169</f>
        <v>277.73160000000001</v>
      </c>
      <c r="I169" s="7">
        <f>日前电价!I169-实时电价!I169</f>
        <v>233.727</v>
      </c>
      <c r="J169" s="7">
        <f>日前电价!J169-实时电价!J169</f>
        <v>9.6527999999999992</v>
      </c>
      <c r="K169" s="7">
        <f>日前电价!K169-实时电价!K169</f>
        <v>63.546300000000002</v>
      </c>
      <c r="L169" s="7">
        <f>日前电价!L169-实时电价!L169</f>
        <v>54.4923</v>
      </c>
      <c r="M169" s="7">
        <f>日前电价!M169-实时电价!M169</f>
        <v>-27.873200000000001</v>
      </c>
      <c r="N169" s="7">
        <f>日前电价!N169-实时电价!N169</f>
        <v>218.9502</v>
      </c>
      <c r="O169" s="7">
        <f>日前电价!O169-实时电价!O169</f>
        <v>37.267400000000002</v>
      </c>
      <c r="P169" s="7">
        <f>日前电价!P169-实时电价!P169</f>
        <v>167.3347</v>
      </c>
      <c r="Q169" s="7">
        <f>日前电价!Q169-实时电价!Q169</f>
        <v>233.67339999999999</v>
      </c>
      <c r="R169" s="7">
        <f>日前电价!R169-实时电价!R169</f>
        <v>245.8954</v>
      </c>
      <c r="S169" s="7">
        <f>日前电价!S169-实时电价!S169</f>
        <v>268.714</v>
      </c>
      <c r="T169" s="7">
        <f>日前电价!T169-实时电价!T169</f>
        <v>247.4248</v>
      </c>
      <c r="U169" s="7">
        <f>日前电价!U169-实时电价!U169</f>
        <v>211.9693</v>
      </c>
      <c r="V169" s="7">
        <f>日前电价!V169-实时电价!V169</f>
        <v>50.084499999999998</v>
      </c>
      <c r="W169" s="7">
        <f>日前电价!W169-实时电价!W169</f>
        <v>23.1433</v>
      </c>
      <c r="X169" s="7">
        <f>日前电价!X169-实时电价!X169</f>
        <v>105.2688</v>
      </c>
      <c r="Y169" s="7">
        <f>日前电价!Y169-实时电价!Y169</f>
        <v>43.425400000000003</v>
      </c>
      <c r="Z169" s="9">
        <f t="shared" si="6"/>
        <v>277.73160000000001</v>
      </c>
      <c r="AA169" s="9">
        <f t="shared" si="7"/>
        <v>-27.873200000000001</v>
      </c>
      <c r="AB169" s="9">
        <f t="shared" si="8"/>
        <v>115.896870833333</v>
      </c>
    </row>
    <row r="170" spans="1:28">
      <c r="A170" s="8">
        <v>45460</v>
      </c>
      <c r="B170" s="7">
        <f>日前电价!B170-实时电价!B170</f>
        <v>7.63</v>
      </c>
      <c r="C170" s="7">
        <f>日前电价!C170-实时电价!C170</f>
        <v>52.264099999999999</v>
      </c>
      <c r="D170" s="7">
        <f>日前电价!D170-实时电价!D170</f>
        <v>234.22980000000001</v>
      </c>
      <c r="E170" s="7">
        <f>日前电价!E170-实时电价!E170</f>
        <v>191.22919999999999</v>
      </c>
      <c r="F170" s="7">
        <f>日前电价!F170-实时电价!F170</f>
        <v>1.5075000000000001</v>
      </c>
      <c r="G170" s="7">
        <f>日前电价!G170-实时电价!G170</f>
        <v>-2.0000000000000001E-4</v>
      </c>
      <c r="H170" s="7">
        <f>日前电价!H170-实时电价!H170</f>
        <v>81.071799999999996</v>
      </c>
      <c r="I170" s="7">
        <f>日前电价!I170-实时电价!I170</f>
        <v>178.74289999999999</v>
      </c>
      <c r="J170" s="7">
        <f>日前电价!J170-实时电价!J170</f>
        <v>0.56150000000002398</v>
      </c>
      <c r="K170" s="7">
        <f>日前电价!K170-实时电价!K170</f>
        <v>17.857199999999999</v>
      </c>
      <c r="L170" s="7">
        <f>日前电价!L170-实时电价!L170</f>
        <v>14.0968</v>
      </c>
      <c r="M170" s="7">
        <f>日前电价!M170-实时电价!M170</f>
        <v>49.226999999999997</v>
      </c>
      <c r="N170" s="7">
        <f>日前电价!N170-实时电价!N170</f>
        <v>142.48580000000001</v>
      </c>
      <c r="O170" s="7">
        <f>日前电价!O170-实时电价!O170</f>
        <v>23.348600000000001</v>
      </c>
      <c r="P170" s="7">
        <f>日前电价!P170-实时电价!P170</f>
        <v>58.704599999999999</v>
      </c>
      <c r="Q170" s="7">
        <f>日前电价!Q170-实时电价!Q170</f>
        <v>61.491100000000003</v>
      </c>
      <c r="R170" s="7">
        <f>日前电价!R170-实时电价!R170</f>
        <v>29.983000000000001</v>
      </c>
      <c r="S170" s="7">
        <f>日前电价!S170-实时电价!S170</f>
        <v>-5.4465999999999903</v>
      </c>
      <c r="T170" s="7">
        <f>日前电价!T170-实时电价!T170</f>
        <v>14.9702</v>
      </c>
      <c r="U170" s="7">
        <f>日前电价!U170-实时电价!U170</f>
        <v>5.9703000000000097</v>
      </c>
      <c r="V170" s="7">
        <f>日前电价!V170-实时电价!V170</f>
        <v>11.578200000000001</v>
      </c>
      <c r="W170" s="7">
        <f>日前电价!W170-实时电价!W170</f>
        <v>8.7411000000000207</v>
      </c>
      <c r="X170" s="7">
        <f>日前电价!X170-实时电价!X170</f>
        <v>10.428699999999999</v>
      </c>
      <c r="Y170" s="7">
        <f>日前电价!Y170-实时电价!Y170</f>
        <v>5.6595999999999496</v>
      </c>
      <c r="Z170" s="9">
        <f t="shared" si="6"/>
        <v>234.22980000000001</v>
      </c>
      <c r="AA170" s="9">
        <f t="shared" si="7"/>
        <v>-5.4465999999999903</v>
      </c>
      <c r="AB170" s="9">
        <f t="shared" si="8"/>
        <v>49.847175</v>
      </c>
    </row>
    <row r="171" spans="1:28">
      <c r="A171" s="8">
        <v>45461</v>
      </c>
      <c r="B171" s="7">
        <f>日前电价!B171-实时电价!B171</f>
        <v>-7.6683999999999601</v>
      </c>
      <c r="C171" s="7">
        <f>日前电价!C171-实时电价!C171</f>
        <v>8.5234000000000396</v>
      </c>
      <c r="D171" s="7">
        <f>日前电价!D171-实时电价!D171</f>
        <v>14.172599999999999</v>
      </c>
      <c r="E171" s="7">
        <f>日前电价!E171-实时电价!E171</f>
        <v>48.370100000000001</v>
      </c>
      <c r="F171" s="7">
        <f>日前电价!F171-实时电价!F171</f>
        <v>63.330399999999997</v>
      </c>
      <c r="G171" s="7">
        <f>日前电价!G171-实时电价!G171</f>
        <v>42.541899999999998</v>
      </c>
      <c r="H171" s="7">
        <f>日前电价!H171-实时电价!H171</f>
        <v>11.106299999999999</v>
      </c>
      <c r="I171" s="7">
        <f>日前电价!I171-实时电价!I171</f>
        <v>10.82</v>
      </c>
      <c r="J171" s="7">
        <f>日前电价!J171-实时电价!J171</f>
        <v>-3.3229000000000002</v>
      </c>
      <c r="K171" s="7">
        <f>日前电价!K171-实时电价!K171</f>
        <v>15.788500000000001</v>
      </c>
      <c r="L171" s="7">
        <f>日前电价!L171-实时电价!L171</f>
        <v>21.382999999999999</v>
      </c>
      <c r="M171" s="7">
        <f>日前电价!M171-实时电价!M171</f>
        <v>37.0959</v>
      </c>
      <c r="N171" s="7">
        <f>日前电价!N171-实时电价!N171</f>
        <v>-10.825100000000001</v>
      </c>
      <c r="O171" s="7">
        <f>日前电价!O171-实时电价!O171</f>
        <v>9.7127999999999606</v>
      </c>
      <c r="P171" s="7">
        <f>日前电价!P171-实时电价!P171</f>
        <v>34.9163</v>
      </c>
      <c r="Q171" s="7">
        <f>日前电价!Q171-实时电价!Q171</f>
        <v>35.493499999999997</v>
      </c>
      <c r="R171" s="7">
        <f>日前电价!R171-实时电价!R171</f>
        <v>39.415999999999997</v>
      </c>
      <c r="S171" s="7">
        <f>日前电价!S171-实时电价!S171</f>
        <v>46.891500000000001</v>
      </c>
      <c r="T171" s="7">
        <f>日前电价!T171-实时电价!T171</f>
        <v>26.7088</v>
      </c>
      <c r="U171" s="7">
        <f>日前电价!U171-实时电价!U171</f>
        <v>40.441899999999997</v>
      </c>
      <c r="V171" s="7">
        <f>日前电价!V171-实时电价!V171</f>
        <v>26.637899999999998</v>
      </c>
      <c r="W171" s="7">
        <f>日前电价!W171-实时电价!W171</f>
        <v>16.322500000000002</v>
      </c>
      <c r="X171" s="7">
        <f>日前电价!X171-实时电价!X171</f>
        <v>25.919799999999999</v>
      </c>
      <c r="Y171" s="7">
        <f>日前电价!Y171-实时电价!Y171</f>
        <v>1.84039999999999</v>
      </c>
      <c r="Z171" s="9">
        <f t="shared" si="6"/>
        <v>63.330399999999997</v>
      </c>
      <c r="AA171" s="9">
        <f t="shared" si="7"/>
        <v>-10.825100000000001</v>
      </c>
      <c r="AB171" s="9">
        <f t="shared" si="8"/>
        <v>23.150712500000001</v>
      </c>
    </row>
    <row r="172" spans="1:28">
      <c r="A172" s="8">
        <v>45462</v>
      </c>
      <c r="B172" s="7">
        <f>日前电价!B172-实时电价!B172</f>
        <v>-2.4651999999999799</v>
      </c>
      <c r="C172" s="7">
        <f>日前电价!C172-实时电价!C172</f>
        <v>5.0422000000000402</v>
      </c>
      <c r="D172" s="7">
        <f>日前电价!D172-实时电价!D172</f>
        <v>13.6205</v>
      </c>
      <c r="E172" s="7">
        <f>日前电价!E172-实时电价!E172</f>
        <v>29.883099999999999</v>
      </c>
      <c r="F172" s="7">
        <f>日前电价!F172-实时电价!F172</f>
        <v>151.61770000000001</v>
      </c>
      <c r="G172" s="7">
        <f>日前电价!G172-实时电价!G172</f>
        <v>265.53089999999997</v>
      </c>
      <c r="H172" s="7">
        <f>日前电价!H172-实时电价!H172</f>
        <v>52.870800000000003</v>
      </c>
      <c r="I172" s="7">
        <f>日前电价!I172-实时电价!I172</f>
        <v>71.072299999999998</v>
      </c>
      <c r="J172" s="7">
        <f>日前电价!J172-实时电价!J172</f>
        <v>4.5115999999999898</v>
      </c>
      <c r="K172" s="7">
        <f>日前电价!K172-实时电价!K172</f>
        <v>24.824100000000001</v>
      </c>
      <c r="L172" s="7">
        <f>日前电价!L172-实时电价!L172</f>
        <v>40.936300000000003</v>
      </c>
      <c r="M172" s="7">
        <f>日前电价!M172-实时电价!M172</f>
        <v>15.957800000000001</v>
      </c>
      <c r="N172" s="7">
        <f>日前电价!N172-实时电价!N172</f>
        <v>102.80549999999999</v>
      </c>
      <c r="O172" s="7">
        <f>日前电价!O172-实时电价!O172</f>
        <v>36.120399999999997</v>
      </c>
      <c r="P172" s="7">
        <f>日前电价!P172-实时电价!P172</f>
        <v>121.2351</v>
      </c>
      <c r="Q172" s="7">
        <f>日前电价!Q172-实时电价!Q172</f>
        <v>18.481000000000101</v>
      </c>
      <c r="R172" s="7">
        <f>日前电价!R172-实时电价!R172</f>
        <v>-8.7675999999999608</v>
      </c>
      <c r="S172" s="7">
        <f>日前电价!S172-实时电价!S172</f>
        <v>11.8705</v>
      </c>
      <c r="T172" s="7">
        <f>日前电价!T172-实时电价!T172</f>
        <v>19.025500000000001</v>
      </c>
      <c r="U172" s="7">
        <f>日前电价!U172-实时电价!U172</f>
        <v>20.670200000000001</v>
      </c>
      <c r="V172" s="7">
        <f>日前电价!V172-实时电价!V172</f>
        <v>14.403600000000001</v>
      </c>
      <c r="W172" s="7">
        <f>日前电价!W172-实时电价!W172</f>
        <v>17.5412</v>
      </c>
      <c r="X172" s="7">
        <f>日前电价!X172-实时电价!X172</f>
        <v>13.3895</v>
      </c>
      <c r="Y172" s="7">
        <f>日前电价!Y172-实时电价!Y172</f>
        <v>11.189500000000001</v>
      </c>
      <c r="Z172" s="9">
        <f t="shared" si="6"/>
        <v>265.53089999999997</v>
      </c>
      <c r="AA172" s="9">
        <f t="shared" si="7"/>
        <v>-8.7675999999999608</v>
      </c>
      <c r="AB172" s="9">
        <f t="shared" si="8"/>
        <v>43.806937499999997</v>
      </c>
    </row>
    <row r="173" spans="1:28">
      <c r="A173" s="8">
        <v>45463</v>
      </c>
      <c r="B173" s="7">
        <f>日前电价!B173-实时电价!B173</f>
        <v>-7.5641999999999703</v>
      </c>
      <c r="C173" s="7">
        <f>日前电价!C173-实时电价!C173</f>
        <v>-0.74479999999999802</v>
      </c>
      <c r="D173" s="7">
        <f>日前电价!D173-实时电价!D173</f>
        <v>4.7929000000000297</v>
      </c>
      <c r="E173" s="7">
        <f>日前电价!E173-实时电价!E173</f>
        <v>2.8273999999999502</v>
      </c>
      <c r="F173" s="7">
        <f>日前电价!F173-实时电价!F173</f>
        <v>6.2280000000000104</v>
      </c>
      <c r="G173" s="7">
        <f>日前电价!G173-实时电价!G173</f>
        <v>-124.38760000000001</v>
      </c>
      <c r="H173" s="7">
        <f>日前电价!H173-实时电价!H173</f>
        <v>-155.75</v>
      </c>
      <c r="I173" s="7">
        <f>日前电价!I173-实时电价!I173</f>
        <v>-10.7477</v>
      </c>
      <c r="J173" s="7">
        <f>日前电价!J173-实时电价!J173</f>
        <v>20.621700000000001</v>
      </c>
      <c r="K173" s="7">
        <f>日前电价!K173-实时电价!K173</f>
        <v>70.633899999999997</v>
      </c>
      <c r="L173" s="7">
        <f>日前电价!L173-实时电价!L173</f>
        <v>115.73950000000001</v>
      </c>
      <c r="M173" s="7">
        <f>日前电价!M173-实时电价!M173</f>
        <v>186.9212</v>
      </c>
      <c r="N173" s="7">
        <f>日前电价!N173-实时电价!N173</f>
        <v>139.81559999999999</v>
      </c>
      <c r="O173" s="7">
        <f>日前电价!O173-实时电价!O173</f>
        <v>97.815700000000007</v>
      </c>
      <c r="P173" s="7">
        <f>日前电价!P173-实时电价!P173</f>
        <v>74.303399999999996</v>
      </c>
      <c r="Q173" s="7">
        <f>日前电价!Q173-实时电价!Q173</f>
        <v>62.607100000000003</v>
      </c>
      <c r="R173" s="7">
        <f>日前电价!R173-实时电价!R173</f>
        <v>15.005599999999999</v>
      </c>
      <c r="S173" s="7">
        <f>日前电价!S173-实时电价!S173</f>
        <v>5.62060000000002</v>
      </c>
      <c r="T173" s="7">
        <f>日前电价!T173-实时电价!T173</f>
        <v>27.171500000000002</v>
      </c>
      <c r="U173" s="7">
        <f>日前电价!U173-实时电价!U173</f>
        <v>37.1233</v>
      </c>
      <c r="V173" s="7">
        <f>日前电价!V173-实时电价!V173</f>
        <v>40.3232</v>
      </c>
      <c r="W173" s="7">
        <f>日前电价!W173-实时电价!W173</f>
        <v>17.902100000000001</v>
      </c>
      <c r="X173" s="7">
        <f>日前电价!X173-实时电价!X173</f>
        <v>10.4978</v>
      </c>
      <c r="Y173" s="7">
        <f>日前电价!Y173-实时电价!Y173</f>
        <v>3.6919000000000302</v>
      </c>
      <c r="Z173" s="9">
        <f t="shared" si="6"/>
        <v>186.9212</v>
      </c>
      <c r="AA173" s="9">
        <f t="shared" si="7"/>
        <v>-155.75</v>
      </c>
      <c r="AB173" s="9">
        <f t="shared" si="8"/>
        <v>26.685337499999999</v>
      </c>
    </row>
    <row r="174" spans="1:28">
      <c r="A174" s="8">
        <v>45464</v>
      </c>
      <c r="B174" s="7">
        <f>日前电价!B174-实时电价!B174</f>
        <v>-31.875399999999999</v>
      </c>
      <c r="C174" s="7">
        <f>日前电价!C174-实时电价!C174</f>
        <v>-18.616599999999998</v>
      </c>
      <c r="D174" s="7">
        <f>日前电价!D174-实时电价!D174</f>
        <v>-11.728899999999999</v>
      </c>
      <c r="E174" s="7">
        <f>日前电价!E174-实时电价!E174</f>
        <v>-17.9621</v>
      </c>
      <c r="F174" s="7">
        <f>日前电价!F174-实时电价!F174</f>
        <v>-37.826000000000001</v>
      </c>
      <c r="G174" s="7">
        <f>日前电价!G174-实时电价!G174</f>
        <v>-142.16</v>
      </c>
      <c r="H174" s="7">
        <f>日前电价!H174-实时电价!H174</f>
        <v>-177.92070000000001</v>
      </c>
      <c r="I174" s="7">
        <f>日前电价!I174-实时电价!I174</f>
        <v>-185.9211</v>
      </c>
      <c r="J174" s="7">
        <f>日前电价!J174-实时电价!J174</f>
        <v>-1.02160000000003</v>
      </c>
      <c r="K174" s="7">
        <f>日前电价!K174-实时电价!K174</f>
        <v>111.8674</v>
      </c>
      <c r="L174" s="7">
        <f>日前电价!L174-实时电价!L174</f>
        <v>167.1491</v>
      </c>
      <c r="M174" s="7">
        <f>日前电价!M174-实时电价!M174</f>
        <v>305.23219999999998</v>
      </c>
      <c r="N174" s="7">
        <f>日前电价!N174-实时电价!N174</f>
        <v>245.99350000000001</v>
      </c>
      <c r="O174" s="7">
        <f>日前电价!O174-实时电价!O174</f>
        <v>198.02719999999999</v>
      </c>
      <c r="P174" s="7">
        <f>日前电价!P174-实时电价!P174</f>
        <v>179.2491</v>
      </c>
      <c r="Q174" s="7">
        <f>日前电价!Q174-实时电价!Q174</f>
        <v>35.677500000000002</v>
      </c>
      <c r="R174" s="7">
        <f>日前电价!R174-实时电价!R174</f>
        <v>27.689399999999999</v>
      </c>
      <c r="S174" s="7">
        <f>日前电价!S174-实时电价!S174</f>
        <v>20.8886</v>
      </c>
      <c r="T174" s="7">
        <f>日前电价!T174-实时电价!T174</f>
        <v>13.499599999999999</v>
      </c>
      <c r="U174" s="7">
        <f>日前电价!U174-实时电价!U174</f>
        <v>-3.6026999999999698</v>
      </c>
      <c r="V174" s="7">
        <f>日前电价!V174-实时电价!V174</f>
        <v>-3.5124000000000102</v>
      </c>
      <c r="W174" s="7">
        <f>日前电价!W174-实时电价!W174</f>
        <v>-11.6728000000001</v>
      </c>
      <c r="X174" s="7">
        <f>日前电价!X174-实时电价!X174</f>
        <v>-6.7030000000000296</v>
      </c>
      <c r="Y174" s="7">
        <f>日前电价!Y174-实时电价!Y174</f>
        <v>-15.819100000000001</v>
      </c>
      <c r="Z174" s="9">
        <f t="shared" si="6"/>
        <v>305.23219999999998</v>
      </c>
      <c r="AA174" s="9">
        <f t="shared" si="7"/>
        <v>-185.9211</v>
      </c>
      <c r="AB174" s="9">
        <f t="shared" si="8"/>
        <v>26.622133333333299</v>
      </c>
    </row>
    <row r="175" spans="1:28">
      <c r="A175" s="8">
        <v>45465</v>
      </c>
      <c r="B175" s="7">
        <f>日前电价!B175-实时电价!B175</f>
        <v>-42.194099999999999</v>
      </c>
      <c r="C175" s="7">
        <f>日前电价!C175-实时电价!C175</f>
        <v>-30.963999999999999</v>
      </c>
      <c r="D175" s="7">
        <f>日前电价!D175-实时电价!D175</f>
        <v>-13.3726</v>
      </c>
      <c r="E175" s="7">
        <f>日前电价!E175-实时电价!E175</f>
        <v>-4.9522000000000004</v>
      </c>
      <c r="F175" s="7">
        <f>日前电价!F175-实时电价!F175</f>
        <v>-3.9311999999999898</v>
      </c>
      <c r="G175" s="7">
        <f>日前电价!G175-实时电价!G175</f>
        <v>-13.1942</v>
      </c>
      <c r="H175" s="7">
        <f>日前电价!H175-实时电价!H175</f>
        <v>-11.081300000000001</v>
      </c>
      <c r="I175" s="7">
        <f>日前电价!I175-实时电价!I175</f>
        <v>-24.766999999999999</v>
      </c>
      <c r="J175" s="7">
        <f>日前电价!J175-实时电价!J175</f>
        <v>-16.211099999999998</v>
      </c>
      <c r="K175" s="7">
        <f>日前电价!K175-实时电价!K175</f>
        <v>8.3533999999999704</v>
      </c>
      <c r="L175" s="7">
        <f>日前电价!L175-实时电价!L175</f>
        <v>55.524000000000001</v>
      </c>
      <c r="M175" s="7">
        <f>日前电价!M175-实时电价!M175</f>
        <v>31.727900000000002</v>
      </c>
      <c r="N175" s="7">
        <f>日前电价!N175-实时电价!N175</f>
        <v>125.9294</v>
      </c>
      <c r="O175" s="7">
        <f>日前电价!O175-实时电价!O175</f>
        <v>25.164899999999999</v>
      </c>
      <c r="P175" s="7">
        <f>日前电价!P175-实时电价!P175</f>
        <v>-12.844200000000001</v>
      </c>
      <c r="Q175" s="7">
        <f>日前电价!Q175-实时电价!Q175</f>
        <v>3.1920000000000099</v>
      </c>
      <c r="R175" s="7">
        <f>日前电价!R175-实时电价!R175</f>
        <v>-54.383600000000001</v>
      </c>
      <c r="S175" s="7">
        <f>日前电价!S175-实时电价!S175</f>
        <v>-6.8582000000000098</v>
      </c>
      <c r="T175" s="7">
        <f>日前电价!T175-实时电价!T175</f>
        <v>11.686500000000001</v>
      </c>
      <c r="U175" s="7">
        <f>日前电价!U175-实时电价!U175</f>
        <v>19.971800000000002</v>
      </c>
      <c r="V175" s="7">
        <f>日前电价!V175-实时电价!V175</f>
        <v>24.733899999999899</v>
      </c>
      <c r="W175" s="7">
        <f>日前电价!W175-实时电价!W175</f>
        <v>11.6867</v>
      </c>
      <c r="X175" s="7">
        <f>日前电价!X175-实时电价!X175</f>
        <v>-12.794</v>
      </c>
      <c r="Y175" s="7">
        <f>日前电价!Y175-实时电价!Y175</f>
        <v>-16.259699999999999</v>
      </c>
      <c r="Z175" s="9">
        <f t="shared" si="6"/>
        <v>125.9294</v>
      </c>
      <c r="AA175" s="9">
        <f t="shared" si="7"/>
        <v>-54.383600000000001</v>
      </c>
      <c r="AB175" s="9">
        <f t="shared" si="8"/>
        <v>2.2567958333333298</v>
      </c>
    </row>
    <row r="176" spans="1:28">
      <c r="A176" s="8">
        <v>45466</v>
      </c>
      <c r="B176" s="7">
        <f>日前电价!B176-实时电价!B176</f>
        <v>-499.48469999999998</v>
      </c>
      <c r="C176" s="7">
        <f>日前电价!C176-实时电价!C176</f>
        <v>-178.7559</v>
      </c>
      <c r="D176" s="7">
        <f>日前电价!D176-实时电价!D176</f>
        <v>2.56699999999995</v>
      </c>
      <c r="E176" s="7">
        <f>日前电价!E176-实时电价!E176</f>
        <v>1.7327999999999999</v>
      </c>
      <c r="F176" s="7">
        <f>日前电价!F176-实时电价!F176</f>
        <v>12.275499999999999</v>
      </c>
      <c r="G176" s="7">
        <f>日前电价!G176-实时电价!G176</f>
        <v>10.789899999999999</v>
      </c>
      <c r="H176" s="7">
        <f>日前电价!H176-实时电价!H176</f>
        <v>7.8038999999999996</v>
      </c>
      <c r="I176" s="7">
        <f>日前电价!I176-实时电价!I176</f>
        <v>10.287699999999999</v>
      </c>
      <c r="J176" s="7">
        <f>日前电价!J176-实时电价!J176</f>
        <v>143.5934</v>
      </c>
      <c r="K176" s="7">
        <f>日前电价!K176-实时电价!K176</f>
        <v>223.3374</v>
      </c>
      <c r="L176" s="7">
        <f>日前电价!L176-实时电价!L176</f>
        <v>164.57900000000001</v>
      </c>
      <c r="M176" s="7">
        <f>日前电价!M176-实时电价!M176</f>
        <v>45.241900000000001</v>
      </c>
      <c r="N176" s="7">
        <f>日前电价!N176-实时电价!N176</f>
        <v>0.81000000000000205</v>
      </c>
      <c r="O176" s="7">
        <f>日前电价!O176-实时电价!O176</f>
        <v>-37.3964</v>
      </c>
      <c r="P176" s="7">
        <f>日前电价!P176-实时电价!P176</f>
        <v>9.4438999999999904</v>
      </c>
      <c r="Q176" s="7">
        <f>日前电价!Q176-实时电价!Q176</f>
        <v>6.1398999999999502</v>
      </c>
      <c r="R176" s="7">
        <f>日前电价!R176-实时电价!R176</f>
        <v>-10.533899999999999</v>
      </c>
      <c r="S176" s="7">
        <f>日前电价!S176-实时电价!S176</f>
        <v>5.1387999999999998</v>
      </c>
      <c r="T176" s="7">
        <f>日前电价!T176-实时电价!T176</f>
        <v>11.69</v>
      </c>
      <c r="U176" s="7">
        <f>日前电价!U176-实时电价!U176</f>
        <v>14.555099999999999</v>
      </c>
      <c r="V176" s="7">
        <f>日前电价!V176-实时电价!V176</f>
        <v>-0.41659999999996</v>
      </c>
      <c r="W176" s="7">
        <f>日前电价!W176-实时电价!W176</f>
        <v>-8.0230999999999995</v>
      </c>
      <c r="X176" s="7">
        <f>日前电价!X176-实时电价!X176</f>
        <v>8.1044</v>
      </c>
      <c r="Y176" s="7">
        <f>日前电价!Y176-实时电价!Y176</f>
        <v>25.822700000000001</v>
      </c>
      <c r="Z176" s="9">
        <f t="shared" si="6"/>
        <v>223.3374</v>
      </c>
      <c r="AA176" s="9">
        <f t="shared" si="7"/>
        <v>-499.48469999999998</v>
      </c>
      <c r="AB176" s="9">
        <f t="shared" si="8"/>
        <v>-1.2790541666666699</v>
      </c>
    </row>
    <row r="177" spans="1:28">
      <c r="A177" s="8">
        <v>45467</v>
      </c>
      <c r="B177" s="7">
        <f>日前电价!B177-实时电价!B177</f>
        <v>94.6858</v>
      </c>
      <c r="C177" s="7">
        <f>日前电价!C177-实时电价!C177</f>
        <v>2.9750000000000201</v>
      </c>
      <c r="D177" s="7">
        <f>日前电价!D177-实时电价!D177</f>
        <v>0.70220000000000504</v>
      </c>
      <c r="E177" s="7">
        <f>日前电价!E177-实时电价!E177</f>
        <v>70.374799999999993</v>
      </c>
      <c r="F177" s="7">
        <f>日前电价!F177-实时电价!F177</f>
        <v>44.826599999999999</v>
      </c>
      <c r="G177" s="7">
        <f>日前电价!G177-实时电价!G177</f>
        <v>7.5754999999999804</v>
      </c>
      <c r="H177" s="7">
        <f>日前电价!H177-实时电价!H177</f>
        <v>3.5070000000000001</v>
      </c>
      <c r="I177" s="7">
        <f>日前电价!I177-实时电价!I177</f>
        <v>12.777799999999999</v>
      </c>
      <c r="J177" s="7">
        <f>日前电价!J177-实时电价!J177</f>
        <v>-23.164999999999999</v>
      </c>
      <c r="K177" s="7">
        <f>日前电价!K177-实时电价!K177</f>
        <v>-4.4578000000000202</v>
      </c>
      <c r="L177" s="7">
        <f>日前电价!L177-实时电价!L177</f>
        <v>17.773199999999999</v>
      </c>
      <c r="M177" s="7">
        <f>日前电价!M177-实时电价!M177</f>
        <v>15.3535</v>
      </c>
      <c r="N177" s="7">
        <f>日前电价!N177-实时电价!N177</f>
        <v>4.2836999999999499</v>
      </c>
      <c r="O177" s="7">
        <f>日前电价!O177-实时电价!O177</f>
        <v>-16.7346</v>
      </c>
      <c r="P177" s="7">
        <f>日前电价!P177-实时电价!P177</f>
        <v>14.4915</v>
      </c>
      <c r="Q177" s="7">
        <f>日前电价!Q177-实时电价!Q177</f>
        <v>35.046100000000003</v>
      </c>
      <c r="R177" s="7">
        <f>日前电价!R177-实时电价!R177</f>
        <v>24.110300000000102</v>
      </c>
      <c r="S177" s="7">
        <f>日前电价!S177-实时电价!S177</f>
        <v>-21.2879</v>
      </c>
      <c r="T177" s="7">
        <f>日前电价!T177-实时电价!T177</f>
        <v>-25.213200000000001</v>
      </c>
      <c r="U177" s="7">
        <f>日前电价!U177-实时电价!U177</f>
        <v>-37.7014</v>
      </c>
      <c r="V177" s="7">
        <f>日前电价!V177-实时电价!V177</f>
        <v>-33.134799999999998</v>
      </c>
      <c r="W177" s="7">
        <f>日前电价!W177-实时电价!W177</f>
        <v>-39.084899999999998</v>
      </c>
      <c r="X177" s="7">
        <f>日前电价!X177-实时电价!X177</f>
        <v>-23.172999999999998</v>
      </c>
      <c r="Y177" s="7">
        <f>日前电价!Y177-实时电价!Y177</f>
        <v>1.4825000000000199</v>
      </c>
      <c r="Z177" s="9">
        <f t="shared" si="6"/>
        <v>94.6858</v>
      </c>
      <c r="AA177" s="9">
        <f t="shared" si="7"/>
        <v>-39.084899999999998</v>
      </c>
      <c r="AB177" s="9">
        <f t="shared" si="8"/>
        <v>5.2505375000000001</v>
      </c>
    </row>
    <row r="178" spans="1:28">
      <c r="A178" s="8">
        <v>45468</v>
      </c>
      <c r="B178" s="7">
        <f>日前电价!B178-实时电价!B178</f>
        <v>-14.295299999999999</v>
      </c>
      <c r="C178" s="7">
        <f>日前电价!C178-实时电价!C178</f>
        <v>-22.276199999999999</v>
      </c>
      <c r="D178" s="7">
        <f>日前电价!D178-实时电价!D178</f>
        <v>8.5962000000000103</v>
      </c>
      <c r="E178" s="7">
        <f>日前电价!E178-实时电价!E178</f>
        <v>117.6361</v>
      </c>
      <c r="F178" s="7">
        <f>日前电价!F178-实时电价!F178</f>
        <v>177.9374</v>
      </c>
      <c r="G178" s="7">
        <f>日前电价!G178-实时电价!G178</f>
        <v>193.52289999999999</v>
      </c>
      <c r="H178" s="7">
        <f>日前电价!H178-实时电价!H178</f>
        <v>204.5848</v>
      </c>
      <c r="I178" s="7">
        <f>日前电价!I178-实时电价!I178</f>
        <v>228.50450000000001</v>
      </c>
      <c r="J178" s="7">
        <f>日前电价!J178-实时电价!J178</f>
        <v>48.9377</v>
      </c>
      <c r="K178" s="7">
        <f>日前电价!K178-实时电价!K178</f>
        <v>61.199399999999997</v>
      </c>
      <c r="L178" s="7">
        <f>日前电价!L178-实时电价!L178</f>
        <v>70.3018</v>
      </c>
      <c r="M178" s="7">
        <f>日前电价!M178-实时电价!M178</f>
        <v>65.956800000000001</v>
      </c>
      <c r="N178" s="7">
        <f>日前电价!N178-实时电价!N178</f>
        <v>44.604500000000002</v>
      </c>
      <c r="O178" s="7">
        <f>日前电价!O178-实时电价!O178</f>
        <v>83.207400000000007</v>
      </c>
      <c r="P178" s="7">
        <f>日前电价!P178-实时电价!P178</f>
        <v>77.334999999999994</v>
      </c>
      <c r="Q178" s="7">
        <f>日前电价!Q178-实时电价!Q178</f>
        <v>78.216499999999996</v>
      </c>
      <c r="R178" s="7">
        <f>日前电价!R178-实时电价!R178</f>
        <v>94.533900000000003</v>
      </c>
      <c r="S178" s="7">
        <f>日前电价!S178-实时电价!S178</f>
        <v>68.215199999999996</v>
      </c>
      <c r="T178" s="7">
        <f>日前电价!T178-实时电价!T178</f>
        <v>39.670200000000001</v>
      </c>
      <c r="U178" s="7">
        <f>日前电价!U178-实时电价!U178</f>
        <v>48.8399</v>
      </c>
      <c r="V178" s="7">
        <f>日前电价!V178-实时电价!V178</f>
        <v>32.4315</v>
      </c>
      <c r="W178" s="7">
        <f>日前电价!W178-实时电价!W178</f>
        <v>20.8156</v>
      </c>
      <c r="X178" s="7">
        <f>日前电价!X178-实时电价!X178</f>
        <v>41.245800000000003</v>
      </c>
      <c r="Y178" s="7">
        <f>日前电价!Y178-实时电价!Y178</f>
        <v>23.453700000000001</v>
      </c>
      <c r="Z178" s="9">
        <f t="shared" si="6"/>
        <v>228.50450000000001</v>
      </c>
      <c r="AA178" s="9">
        <f t="shared" si="7"/>
        <v>-22.276199999999999</v>
      </c>
      <c r="AB178" s="9">
        <f t="shared" si="8"/>
        <v>74.7156375</v>
      </c>
    </row>
    <row r="179" spans="1:28">
      <c r="A179" s="8">
        <v>45469</v>
      </c>
      <c r="B179" s="7">
        <f>日前电价!B179-实时电价!B179</f>
        <v>44.273099999999999</v>
      </c>
      <c r="C179" s="7">
        <f>日前电价!C179-实时电价!C179</f>
        <v>31.967600000000001</v>
      </c>
      <c r="D179" s="7">
        <f>日前电价!D179-实时电价!D179</f>
        <v>30.284300000000002</v>
      </c>
      <c r="E179" s="7">
        <f>日前电价!E179-实时电价!E179</f>
        <v>32.907400000000003</v>
      </c>
      <c r="F179" s="7">
        <f>日前电价!F179-实时电价!F179</f>
        <v>24.301300000000001</v>
      </c>
      <c r="G179" s="7">
        <f>日前电价!G179-实时电价!G179</f>
        <v>4.4029999999999596</v>
      </c>
      <c r="H179" s="7">
        <f>日前电价!H179-实时电价!H179</f>
        <v>-20.291399999999999</v>
      </c>
      <c r="I179" s="7">
        <f>日前电价!I179-实时电价!I179</f>
        <v>-19.079799999999999</v>
      </c>
      <c r="J179" s="7">
        <f>日前电价!J179-实时电价!J179</f>
        <v>-5.3123000000000502</v>
      </c>
      <c r="K179" s="7">
        <f>日前电价!K179-实时电价!K179</f>
        <v>14.576499999999999</v>
      </c>
      <c r="L179" s="7">
        <f>日前电价!L179-实时电价!L179</f>
        <v>14.632300000000001</v>
      </c>
      <c r="M179" s="7">
        <f>日前电价!M179-实时电价!M179</f>
        <v>18.197900000000001</v>
      </c>
      <c r="N179" s="7">
        <f>日前电价!N179-实时电价!N179</f>
        <v>74.8339</v>
      </c>
      <c r="O179" s="7">
        <f>日前电价!O179-实时电价!O179</f>
        <v>10.308999999999999</v>
      </c>
      <c r="P179" s="7">
        <f>日前电价!P179-实时电价!P179</f>
        <v>24.855399999999999</v>
      </c>
      <c r="Q179" s="7">
        <f>日前电价!Q179-实时电价!Q179</f>
        <v>-31.271599999999999</v>
      </c>
      <c r="R179" s="7">
        <f>日前电价!R179-实时电价!R179</f>
        <v>-66.176900000000003</v>
      </c>
      <c r="S179" s="7">
        <f>日前电价!S179-实时电价!S179</f>
        <v>-22.052800000000001</v>
      </c>
      <c r="T179" s="7">
        <f>日前电价!T179-实时电价!T179</f>
        <v>-2.5271000000000199</v>
      </c>
      <c r="U179" s="7">
        <f>日前电价!U179-实时电价!U179</f>
        <v>16.857199999999999</v>
      </c>
      <c r="V179" s="7">
        <f>日前电价!V179-实时电价!V179</f>
        <v>24.0061</v>
      </c>
      <c r="W179" s="7">
        <f>日前电价!W179-实时电价!W179</f>
        <v>-19.765899999999998</v>
      </c>
      <c r="X179" s="7">
        <f>日前电价!X179-实时电价!X179</f>
        <v>-12.5739</v>
      </c>
      <c r="Y179" s="7">
        <f>日前电价!Y179-实时电价!Y179</f>
        <v>-3.7674999999999801</v>
      </c>
      <c r="Z179" s="9">
        <f t="shared" si="6"/>
        <v>74.8339</v>
      </c>
      <c r="AA179" s="9">
        <f t="shared" si="7"/>
        <v>-66.176900000000003</v>
      </c>
      <c r="AB179" s="9">
        <f t="shared" si="8"/>
        <v>6.8160749999999899</v>
      </c>
    </row>
    <row r="180" spans="1:28">
      <c r="A180" s="8">
        <v>45470</v>
      </c>
      <c r="B180" s="7">
        <f>日前电价!B180-实时电价!B180</f>
        <v>-2.2199999999997999E-2</v>
      </c>
      <c r="C180" s="7">
        <f>日前电价!C180-实时电价!C180</f>
        <v>2.3338999999999701</v>
      </c>
      <c r="D180" s="7">
        <f>日前电价!D180-实时电价!D180</f>
        <v>6.7942999999999598</v>
      </c>
      <c r="E180" s="7">
        <f>日前电价!E180-实时电价!E180</f>
        <v>5.7948000000000102</v>
      </c>
      <c r="F180" s="7">
        <f>日前电价!F180-实时电价!F180</f>
        <v>9.2617000000000207</v>
      </c>
      <c r="G180" s="7">
        <f>日前电价!G180-实时电价!G180</f>
        <v>24.608000000000001</v>
      </c>
      <c r="H180" s="7">
        <f>日前电价!H180-实时电价!H180</f>
        <v>9.0239000000000296</v>
      </c>
      <c r="I180" s="7">
        <f>日前电价!I180-实时电价!I180</f>
        <v>5.7987999999999698</v>
      </c>
      <c r="J180" s="7">
        <f>日前电价!J180-实时电价!J180</f>
        <v>12.9749</v>
      </c>
      <c r="K180" s="7">
        <f>日前电价!K180-实时电价!K180</f>
        <v>27.6967</v>
      </c>
      <c r="L180" s="7">
        <f>日前电价!L180-实时电价!L180</f>
        <v>29.013200000000001</v>
      </c>
      <c r="M180" s="7">
        <f>日前电价!M180-实时电价!M180</f>
        <v>7.4137000000000102</v>
      </c>
      <c r="N180" s="7">
        <f>日前电价!N180-实时电价!N180</f>
        <v>18.327100000000002</v>
      </c>
      <c r="O180" s="7">
        <f>日前电价!O180-实时电价!O180</f>
        <v>7.5539999999999701</v>
      </c>
      <c r="P180" s="7">
        <f>日前电价!P180-实时电价!P180</f>
        <v>13.707800000000001</v>
      </c>
      <c r="Q180" s="7">
        <f>日前电价!Q180-实时电价!Q180</f>
        <v>15.261699999999999</v>
      </c>
      <c r="R180" s="7">
        <f>日前电价!R180-实时电价!R180</f>
        <v>19.185700000000001</v>
      </c>
      <c r="S180" s="7">
        <f>日前电价!S180-实时电价!S180</f>
        <v>59.304200000000002</v>
      </c>
      <c r="T180" s="7">
        <f>日前电价!T180-实时电价!T180</f>
        <v>9.6787999999999705</v>
      </c>
      <c r="U180" s="7">
        <f>日前电价!U180-实时电价!U180</f>
        <v>80.997500000000102</v>
      </c>
      <c r="V180" s="7">
        <f>日前电价!V180-实时电价!V180</f>
        <v>74.653099999999995</v>
      </c>
      <c r="W180" s="7">
        <f>日前电价!W180-实时电价!W180</f>
        <v>-44.328299999999999</v>
      </c>
      <c r="X180" s="7">
        <f>日前电价!X180-实时电价!X180</f>
        <v>9.0047000000000104</v>
      </c>
      <c r="Y180" s="7">
        <f>日前电价!Y180-实时电价!Y180</f>
        <v>2.95799999999997</v>
      </c>
      <c r="Z180" s="9">
        <f t="shared" si="6"/>
        <v>80.997500000000102</v>
      </c>
      <c r="AA180" s="9">
        <f t="shared" si="7"/>
        <v>-44.328299999999999</v>
      </c>
      <c r="AB180" s="9">
        <f t="shared" si="8"/>
        <v>16.958166666666699</v>
      </c>
    </row>
    <row r="181" spans="1:28">
      <c r="A181" s="8">
        <v>45471</v>
      </c>
      <c r="B181" s="7">
        <f>日前电价!B181-实时电价!B181</f>
        <v>-23.5441</v>
      </c>
      <c r="C181" s="7">
        <f>日前电价!C181-实时电价!C181</f>
        <v>-14.6426</v>
      </c>
      <c r="D181" s="7">
        <f>日前电价!D181-实时电价!D181</f>
        <v>-16.559100000000001</v>
      </c>
      <c r="E181" s="7">
        <f>日前电价!E181-实时电价!E181</f>
        <v>-18.437200000000001</v>
      </c>
      <c r="F181" s="7">
        <f>日前电价!F181-实时电价!F181</f>
        <v>-23.24</v>
      </c>
      <c r="G181" s="7">
        <f>日前电价!G181-实时电价!G181</f>
        <v>-9.2255999999999894</v>
      </c>
      <c r="H181" s="7">
        <f>日前电价!H181-实时电价!H181</f>
        <v>-23.057099999999998</v>
      </c>
      <c r="I181" s="7">
        <f>日前电价!I181-实时电价!I181</f>
        <v>-12.1563</v>
      </c>
      <c r="J181" s="7">
        <f>日前电价!J181-实时电价!J181</f>
        <v>-0.32219999999995302</v>
      </c>
      <c r="K181" s="7">
        <f>日前电价!K181-实时电价!K181</f>
        <v>20.828900000000001</v>
      </c>
      <c r="L181" s="7">
        <f>日前电价!L181-实时电价!L181</f>
        <v>13.9687</v>
      </c>
      <c r="M181" s="7">
        <f>日前电价!M181-实时电价!M181</f>
        <v>29.557300000000101</v>
      </c>
      <c r="N181" s="7">
        <f>日前电价!N181-实时电价!N181</f>
        <v>25.828399999999998</v>
      </c>
      <c r="O181" s="7">
        <f>日前电价!O181-实时电价!O181</f>
        <v>-5.2031000000000098</v>
      </c>
      <c r="P181" s="7">
        <f>日前电价!P181-实时电价!P181</f>
        <v>-5.9023000000000296</v>
      </c>
      <c r="Q181" s="7">
        <f>日前电价!Q181-实时电价!Q181</f>
        <v>-15.8812</v>
      </c>
      <c r="R181" s="7">
        <f>日前电价!R181-实时电价!R181</f>
        <v>-50.228700000000003</v>
      </c>
      <c r="S181" s="7">
        <f>日前电价!S181-实时电价!S181</f>
        <v>-15.641400000000001</v>
      </c>
      <c r="T181" s="7">
        <f>日前电价!T181-实时电价!T181</f>
        <v>-7.8545999999999996</v>
      </c>
      <c r="U181" s="7">
        <f>日前电价!U181-实时电价!U181</f>
        <v>-10.458500000000001</v>
      </c>
      <c r="V181" s="7">
        <f>日前电价!V181-实时电价!V181</f>
        <v>-6.6445999999999703</v>
      </c>
      <c r="W181" s="7">
        <f>日前电价!W181-实时电价!W181</f>
        <v>-18.0565</v>
      </c>
      <c r="X181" s="7">
        <f>日前电价!X181-实时电价!X181</f>
        <v>-29.7728</v>
      </c>
      <c r="Y181" s="7">
        <f>日前电价!Y181-实时电价!Y181</f>
        <v>-41.706699999999998</v>
      </c>
      <c r="Z181" s="9">
        <f t="shared" si="6"/>
        <v>29.557300000000101</v>
      </c>
      <c r="AA181" s="9">
        <f t="shared" si="7"/>
        <v>-50.228700000000003</v>
      </c>
      <c r="AB181" s="9">
        <f t="shared" si="8"/>
        <v>-10.764637499999999</v>
      </c>
    </row>
    <row r="182" spans="1:28">
      <c r="A182" s="8">
        <v>45472</v>
      </c>
      <c r="B182" s="7">
        <f>日前电价!B182-实时电价!B182</f>
        <v>-37.663200000000003</v>
      </c>
      <c r="C182" s="7">
        <f>日前电价!C182-实时电价!C182</f>
        <v>-3.2187999999999901</v>
      </c>
      <c r="D182" s="7">
        <f>日前电价!D182-实时电价!D182</f>
        <v>3.7808000000000002</v>
      </c>
      <c r="E182" s="7">
        <f>日前电价!E182-实时电价!E182</f>
        <v>4.8519999999999799</v>
      </c>
      <c r="F182" s="7">
        <f>日前电价!F182-实时电价!F182</f>
        <v>17.2254</v>
      </c>
      <c r="G182" s="7">
        <f>日前电价!G182-实时电价!G182</f>
        <v>14.0242</v>
      </c>
      <c r="H182" s="7">
        <f>日前电价!H182-实时电价!H182</f>
        <v>9.1582999999999704</v>
      </c>
      <c r="I182" s="7">
        <f>日前电价!I182-实时电价!I182</f>
        <v>96.220600000000005</v>
      </c>
      <c r="J182" s="7">
        <f>日前电价!J182-实时电价!J182</f>
        <v>65.182699999999997</v>
      </c>
      <c r="K182" s="7">
        <f>日前电价!K182-实时电价!K182</f>
        <v>64.782300000000006</v>
      </c>
      <c r="L182" s="7">
        <f>日前电价!L182-实时电价!L182</f>
        <v>101.0478</v>
      </c>
      <c r="M182" s="7">
        <f>日前电价!M182-实时电价!M182</f>
        <v>62.183100000000003</v>
      </c>
      <c r="N182" s="7">
        <f>日前电价!N182-实时电价!N182</f>
        <v>77.085700000000003</v>
      </c>
      <c r="O182" s="7">
        <f>日前电价!O182-实时电价!O182</f>
        <v>71.613100000000003</v>
      </c>
      <c r="P182" s="7">
        <f>日前电价!P182-实时电价!P182</f>
        <v>60.470100000000002</v>
      </c>
      <c r="Q182" s="7">
        <f>日前电价!Q182-实时电价!Q182</f>
        <v>63.115099999999998</v>
      </c>
      <c r="R182" s="7">
        <f>日前电价!R182-实时电价!R182</f>
        <v>54.271299999999997</v>
      </c>
      <c r="S182" s="7">
        <f>日前电价!S182-实时电价!S182</f>
        <v>72.089399999999998</v>
      </c>
      <c r="T182" s="7">
        <f>日前电价!T182-实时电价!T182</f>
        <v>53.423699999999997</v>
      </c>
      <c r="U182" s="7">
        <f>日前电价!U182-实时电价!U182</f>
        <v>16.586300000000001</v>
      </c>
      <c r="V182" s="7">
        <f>日前电价!V182-实时电价!V182</f>
        <v>37.877600000000001</v>
      </c>
      <c r="W182" s="7">
        <f>日前电价!W182-实时电价!W182</f>
        <v>45.090499999999999</v>
      </c>
      <c r="X182" s="7">
        <f>日前电价!X182-实时电价!X182</f>
        <v>44.004600000000003</v>
      </c>
      <c r="Y182" s="7">
        <f>日前电价!Y182-实时电价!Y182</f>
        <v>46.585900000000002</v>
      </c>
      <c r="Z182" s="9">
        <f t="shared" si="6"/>
        <v>101.0478</v>
      </c>
      <c r="AA182" s="9">
        <f t="shared" si="7"/>
        <v>-37.663200000000003</v>
      </c>
      <c r="AB182" s="9">
        <f t="shared" si="8"/>
        <v>43.324520833333303</v>
      </c>
    </row>
    <row r="183" spans="1:28">
      <c r="A183" s="8">
        <v>45473</v>
      </c>
      <c r="B183" s="7">
        <f>日前电价!B183-实时电价!B183</f>
        <v>21.7834</v>
      </c>
      <c r="C183" s="7">
        <f>日前电价!C183-实时电价!C183</f>
        <v>41.506300000000003</v>
      </c>
      <c r="D183" s="7">
        <f>日前电价!D183-实时电价!D183</f>
        <v>269.7593</v>
      </c>
      <c r="E183" s="7">
        <f>日前电价!E183-实时电价!E183</f>
        <v>187.44589999999999</v>
      </c>
      <c r="F183" s="7">
        <f>日前电价!F183-实时电价!F183</f>
        <v>148.96129999999999</v>
      </c>
      <c r="G183" s="7">
        <f>日前电价!G183-实时电价!G183</f>
        <v>258.48649999999998</v>
      </c>
      <c r="H183" s="7">
        <f>日前电价!H183-实时电价!H183</f>
        <v>255.14529999999999</v>
      </c>
      <c r="I183" s="7">
        <f>日前电价!I183-实时电价!I183</f>
        <v>246.31909999999999</v>
      </c>
      <c r="J183" s="7">
        <f>日前电价!J183-实时电价!J183</f>
        <v>230.2724</v>
      </c>
      <c r="K183" s="7">
        <f>日前电价!K183-实时电价!K183</f>
        <v>223.96879999999999</v>
      </c>
      <c r="L183" s="7">
        <f>日前电价!L183-实时电价!L183</f>
        <v>150.57839999999999</v>
      </c>
      <c r="M183" s="7">
        <f>日前电价!M183-实时电价!M183</f>
        <v>35.496899999999997</v>
      </c>
      <c r="N183" s="7">
        <f>日前电价!N183-实时电价!N183</f>
        <v>241.97460000000001</v>
      </c>
      <c r="O183" s="7">
        <f>日前电价!O183-实时电价!O183</f>
        <v>99.491100000000003</v>
      </c>
      <c r="P183" s="7">
        <f>日前电价!P183-实时电价!P183</f>
        <v>98.177499999999995</v>
      </c>
      <c r="Q183" s="7">
        <f>日前电价!Q183-实时电价!Q183</f>
        <v>170.01609999999999</v>
      </c>
      <c r="R183" s="7">
        <f>日前电价!R183-实时电价!R183</f>
        <v>89.005499999999998</v>
      </c>
      <c r="S183" s="7">
        <f>日前电价!S183-实时电价!S183</f>
        <v>131.5847</v>
      </c>
      <c r="T183" s="7">
        <f>日前电价!T183-实时电价!T183</f>
        <v>126.3004</v>
      </c>
      <c r="U183" s="7">
        <f>日前电价!U183-实时电价!U183</f>
        <v>46.423200000000001</v>
      </c>
      <c r="V183" s="7">
        <f>日前电价!V183-实时电价!V183</f>
        <v>-1.2121000000000199</v>
      </c>
      <c r="W183" s="7">
        <f>日前电价!W183-实时电价!W183</f>
        <v>4.1563999999999597</v>
      </c>
      <c r="X183" s="7">
        <f>日前电价!X183-实时电价!X183</f>
        <v>26.8658</v>
      </c>
      <c r="Y183" s="7">
        <f>日前电价!Y183-实时电价!Y183</f>
        <v>89.003500000000003</v>
      </c>
      <c r="Z183" s="9">
        <f t="shared" si="6"/>
        <v>269.7593</v>
      </c>
      <c r="AA183" s="9">
        <f t="shared" si="7"/>
        <v>-1.2121000000000199</v>
      </c>
      <c r="AB183" s="9">
        <f t="shared" si="8"/>
        <v>132.97959583333301</v>
      </c>
    </row>
    <row r="184" spans="1:28">
      <c r="A184" s="8">
        <v>45474</v>
      </c>
      <c r="B184" s="7">
        <f>日前电价!B184-实时电价!B184</f>
        <v>14.0632</v>
      </c>
      <c r="C184" s="7">
        <f>日前电价!C184-实时电价!C184</f>
        <v>4.9802999999999997</v>
      </c>
      <c r="D184" s="7">
        <f>日前电价!D184-实时电价!D184</f>
        <v>21.600300000000001</v>
      </c>
      <c r="E184" s="7">
        <f>日前电价!E184-实时电价!E184</f>
        <v>54.176200000000001</v>
      </c>
      <c r="F184" s="7">
        <f>日前电价!F184-实时电价!F184</f>
        <v>204.9091</v>
      </c>
      <c r="G184" s="7">
        <f>日前电价!G184-实时电价!G184</f>
        <v>238.6319</v>
      </c>
      <c r="H184" s="7">
        <f>日前电价!H184-实时电价!H184</f>
        <v>248.38910000000001</v>
      </c>
      <c r="I184" s="7">
        <f>日前电价!I184-实时电价!I184</f>
        <v>154.1482</v>
      </c>
      <c r="J184" s="7">
        <f>日前电价!J184-实时电价!J184</f>
        <v>52.102400000000003</v>
      </c>
      <c r="K184" s="7">
        <f>日前电价!K184-实时电价!K184</f>
        <v>88.041899999999998</v>
      </c>
      <c r="L184" s="7">
        <f>日前电价!L184-实时电价!L184</f>
        <v>134.53800000000001</v>
      </c>
      <c r="M184" s="7">
        <f>日前电价!M184-实时电价!M184</f>
        <v>206.55690000000001</v>
      </c>
      <c r="N184" s="7">
        <f>日前电价!N184-实时电价!N184</f>
        <v>131.18260000000001</v>
      </c>
      <c r="O184" s="7">
        <f>日前电价!O184-实时电价!O184</f>
        <v>99.365099999999998</v>
      </c>
      <c r="P184" s="7">
        <f>日前电价!P184-实时电价!P184</f>
        <v>176.32990000000001</v>
      </c>
      <c r="Q184" s="7">
        <f>日前电价!Q184-实时电价!Q184</f>
        <v>221.72290000000001</v>
      </c>
      <c r="R184" s="7">
        <f>日前电价!R184-实时电价!R184</f>
        <v>121.48309999999999</v>
      </c>
      <c r="S184" s="7">
        <f>日前电价!S184-实时电价!S184</f>
        <v>57.514800000000001</v>
      </c>
      <c r="T184" s="7">
        <f>日前电价!T184-实时电价!T184</f>
        <v>21.552199999999999</v>
      </c>
      <c r="U184" s="7">
        <f>日前电价!U184-实时电价!U184</f>
        <v>23.355699999999999</v>
      </c>
      <c r="V184" s="7">
        <f>日前电价!V184-实时电价!V184</f>
        <v>18.685099999999998</v>
      </c>
      <c r="W184" s="7">
        <f>日前电价!W184-实时电价!W184</f>
        <v>2.05790000000002</v>
      </c>
      <c r="X184" s="7">
        <f>日前电价!X184-实时电价!X184</f>
        <v>8.0987000000000098</v>
      </c>
      <c r="Y184" s="7">
        <f>日前电价!Y184-实时电价!Y184</f>
        <v>1.21120000000002</v>
      </c>
      <c r="Z184" s="9">
        <f t="shared" si="6"/>
        <v>248.38910000000001</v>
      </c>
      <c r="AA184" s="9">
        <f t="shared" si="7"/>
        <v>1.21120000000002</v>
      </c>
      <c r="AB184" s="9">
        <f t="shared" si="8"/>
        <v>96.029029166666703</v>
      </c>
    </row>
    <row r="185" spans="1:28">
      <c r="A185" s="8">
        <v>45475</v>
      </c>
      <c r="B185" s="7">
        <f>日前电价!B185-实时电价!B185</f>
        <v>-20.2348</v>
      </c>
      <c r="C185" s="7">
        <f>日前电价!C185-实时电价!C185</f>
        <v>-4.0899000000000001</v>
      </c>
      <c r="D185" s="7">
        <f>日前电价!D185-实时电价!D185</f>
        <v>-3.1132999999999802</v>
      </c>
      <c r="E185" s="7">
        <f>日前电价!E185-实时电价!E185</f>
        <v>1.19330000000002</v>
      </c>
      <c r="F185" s="7">
        <f>日前电价!F185-实时电价!F185</f>
        <v>4.0811999999999697</v>
      </c>
      <c r="G185" s="7">
        <f>日前电价!G185-实时电价!G185</f>
        <v>-1.4665999999999699</v>
      </c>
      <c r="H185" s="7">
        <f>日前电价!H185-实时电价!H185</f>
        <v>2.68399999999997</v>
      </c>
      <c r="I185" s="7">
        <f>日前电价!I185-实时电价!I185</f>
        <v>8.5015000000000196</v>
      </c>
      <c r="J185" s="7">
        <f>日前电价!J185-实时电价!J185</f>
        <v>-1.99020000000002</v>
      </c>
      <c r="K185" s="7">
        <f>日前电价!K185-实时电价!K185</f>
        <v>-16.838200000000001</v>
      </c>
      <c r="L185" s="7">
        <f>日前电价!L185-实时电价!L185</f>
        <v>27.835699999999999</v>
      </c>
      <c r="M185" s="7">
        <f>日前电价!M185-实时电价!M185</f>
        <v>40.487400000000001</v>
      </c>
      <c r="N185" s="7">
        <f>日前电价!N185-实时电价!N185</f>
        <v>63.347000000000001</v>
      </c>
      <c r="O185" s="7">
        <f>日前电价!O185-实时电价!O185</f>
        <v>65.390600000000006</v>
      </c>
      <c r="P185" s="7">
        <f>日前电价!P185-实时电价!P185</f>
        <v>40.880400000000002</v>
      </c>
      <c r="Q185" s="7">
        <f>日前电价!Q185-实时电价!Q185</f>
        <v>26.725000000000001</v>
      </c>
      <c r="R185" s="7">
        <f>日前电价!R185-实时电价!R185</f>
        <v>33.708300000000001</v>
      </c>
      <c r="S185" s="7">
        <f>日前电价!S185-实时电价!S185</f>
        <v>18.2819</v>
      </c>
      <c r="T185" s="7">
        <f>日前电价!T185-实时电价!T185</f>
        <v>11.091900000000001</v>
      </c>
      <c r="U185" s="7">
        <f>日前电价!U185-实时电价!U185</f>
        <v>-3.2697999999999698</v>
      </c>
      <c r="V185" s="7">
        <f>日前电价!V185-实时电价!V185</f>
        <v>9.7288999999999497</v>
      </c>
      <c r="W185" s="7">
        <f>日前电价!W185-实时电价!W185</f>
        <v>-46.056699999999999</v>
      </c>
      <c r="X185" s="7">
        <f>日前电价!X185-实时电价!X185</f>
        <v>-39.093800000000002</v>
      </c>
      <c r="Y185" s="7">
        <f>日前电价!Y185-实时电价!Y185</f>
        <v>-6.8738999999999901</v>
      </c>
      <c r="Z185" s="9">
        <f t="shared" si="6"/>
        <v>65.390600000000006</v>
      </c>
      <c r="AA185" s="9">
        <f t="shared" si="7"/>
        <v>-46.056699999999999</v>
      </c>
      <c r="AB185" s="9">
        <f t="shared" si="8"/>
        <v>8.7879124999999991</v>
      </c>
    </row>
    <row r="186" spans="1:28">
      <c r="A186" s="8">
        <v>45476</v>
      </c>
      <c r="B186" s="7">
        <f>日前电价!B186-实时电价!B186</f>
        <v>31.151599999999998</v>
      </c>
      <c r="C186" s="7">
        <f>日前电价!C186-实时电价!C186</f>
        <v>18.029800000000002</v>
      </c>
      <c r="D186" s="7">
        <f>日前电价!D186-实时电价!D186</f>
        <v>22.560300000000002</v>
      </c>
      <c r="E186" s="7">
        <f>日前电价!E186-实时电价!E186</f>
        <v>20.549700000000001</v>
      </c>
      <c r="F186" s="7">
        <f>日前电价!F186-实时电价!F186</f>
        <v>10.5222</v>
      </c>
      <c r="G186" s="7">
        <f>日前电价!G186-实时电价!G186</f>
        <v>10.3911</v>
      </c>
      <c r="H186" s="7">
        <f>日前电价!H186-实时电价!H186</f>
        <v>8.2261000000000308</v>
      </c>
      <c r="I186" s="7">
        <f>日前电价!I186-实时电价!I186</f>
        <v>7.0500000000000096</v>
      </c>
      <c r="J186" s="7">
        <f>日前电价!J186-实时电价!J186</f>
        <v>26.447399999999998</v>
      </c>
      <c r="K186" s="7">
        <f>日前电价!K186-实时电价!K186</f>
        <v>54.3718</v>
      </c>
      <c r="L186" s="7">
        <f>日前电价!L186-实时电价!L186</f>
        <v>209.21039999999999</v>
      </c>
      <c r="M186" s="7">
        <f>日前电价!M186-实时电价!M186</f>
        <v>207.7732</v>
      </c>
      <c r="N186" s="7">
        <f>日前电价!N186-实时电价!N186</f>
        <v>96.83</v>
      </c>
      <c r="O186" s="7">
        <f>日前电价!O186-实时电价!O186</f>
        <v>77.812100000000001</v>
      </c>
      <c r="P186" s="7">
        <f>日前电价!P186-实时电价!P186</f>
        <v>85.368799999999993</v>
      </c>
      <c r="Q186" s="7">
        <f>日前电价!Q186-实时电价!Q186</f>
        <v>87.683499999999995</v>
      </c>
      <c r="R186" s="7">
        <f>日前电价!R186-实时电价!R186</f>
        <v>90.565700000000007</v>
      </c>
      <c r="S186" s="7">
        <f>日前电价!S186-实时电价!S186</f>
        <v>49.557699999999997</v>
      </c>
      <c r="T186" s="7">
        <f>日前电价!T186-实时电价!T186</f>
        <v>23.941800000000001</v>
      </c>
      <c r="U186" s="7">
        <f>日前电价!U186-实时电价!U186</f>
        <v>34.141599999999997</v>
      </c>
      <c r="V186" s="7">
        <f>日前电价!V186-实时电价!V186</f>
        <v>30.281500000000001</v>
      </c>
      <c r="W186" s="7">
        <f>日前电价!W186-实时电价!W186</f>
        <v>18.207000000000001</v>
      </c>
      <c r="X186" s="7">
        <f>日前电价!X186-实时电价!X186</f>
        <v>25.4193</v>
      </c>
      <c r="Y186" s="7">
        <f>日前电价!Y186-实时电价!Y186</f>
        <v>20.586300000000001</v>
      </c>
      <c r="Z186" s="9">
        <f t="shared" si="6"/>
        <v>209.21039999999999</v>
      </c>
      <c r="AA186" s="9">
        <f t="shared" si="7"/>
        <v>7.0500000000000096</v>
      </c>
      <c r="AB186" s="9">
        <f t="shared" si="8"/>
        <v>52.778287499999998</v>
      </c>
    </row>
    <row r="187" spans="1:28">
      <c r="A187" s="8">
        <v>45477</v>
      </c>
      <c r="B187" s="7">
        <f>日前电价!B187-实时电价!B187</f>
        <v>-52.688099999999999</v>
      </c>
      <c r="C187" s="7">
        <f>日前电价!C187-实时电价!C187</f>
        <v>-42.252899999999997</v>
      </c>
      <c r="D187" s="7">
        <f>日前电价!D187-实时电价!D187</f>
        <v>-23.565899999999999</v>
      </c>
      <c r="E187" s="7">
        <f>日前电价!E187-实时电价!E187</f>
        <v>-17.887</v>
      </c>
      <c r="F187" s="7">
        <f>日前电价!F187-实时电价!F187</f>
        <v>-13.668200000000001</v>
      </c>
      <c r="G187" s="7">
        <f>日前电价!G187-实时电价!G187</f>
        <v>-18.237500000000001</v>
      </c>
      <c r="H187" s="7">
        <f>日前电价!H187-实时电价!H187</f>
        <v>-11.229900000000001</v>
      </c>
      <c r="I187" s="7">
        <f>日前电价!I187-实时电价!I187</f>
        <v>-7.1245999999999903</v>
      </c>
      <c r="J187" s="7">
        <f>日前电价!J187-实时电价!J187</f>
        <v>-7.5095000000000001</v>
      </c>
      <c r="K187" s="7">
        <f>日前电价!K187-实时电价!K187</f>
        <v>34.172699999999999</v>
      </c>
      <c r="L187" s="7">
        <f>日前电价!L187-实时电价!L187</f>
        <v>40.663200000000003</v>
      </c>
      <c r="M187" s="7">
        <f>日前电价!M187-实时电价!M187</f>
        <v>56.464799999999997</v>
      </c>
      <c r="N187" s="7">
        <f>日前电价!N187-实时电价!N187</f>
        <v>17.458600000000001</v>
      </c>
      <c r="O187" s="7">
        <f>日前电价!O187-实时电价!O187</f>
        <v>14.930899999999999</v>
      </c>
      <c r="P187" s="7">
        <f>日前电价!P187-实时电价!P187</f>
        <v>27.748999999999999</v>
      </c>
      <c r="Q187" s="7">
        <f>日前电价!Q187-实时电价!Q187</f>
        <v>65.714299999999994</v>
      </c>
      <c r="R187" s="7">
        <f>日前电价!R187-实时电价!R187</f>
        <v>54.29</v>
      </c>
      <c r="S187" s="7">
        <f>日前电价!S187-实时电价!S187</f>
        <v>36.0488</v>
      </c>
      <c r="T187" s="7">
        <f>日前电价!T187-实时电价!T187</f>
        <v>9.2470999999999908</v>
      </c>
      <c r="U187" s="7">
        <f>日前电价!U187-实时电价!U187</f>
        <v>8.7534999999999705</v>
      </c>
      <c r="V187" s="7">
        <f>日前电价!V187-实时电价!V187</f>
        <v>4.0405000000000104</v>
      </c>
      <c r="W187" s="7">
        <f>日前电价!W187-实时电价!W187</f>
        <v>-19.979299999999999</v>
      </c>
      <c r="X187" s="7">
        <f>日前电价!X187-实时电价!X187</f>
        <v>-7.3544</v>
      </c>
      <c r="Y187" s="7">
        <f>日前电价!Y187-实时电价!Y187</f>
        <v>-11.9659</v>
      </c>
      <c r="Z187" s="9">
        <f t="shared" si="6"/>
        <v>65.714299999999994</v>
      </c>
      <c r="AA187" s="9">
        <f t="shared" si="7"/>
        <v>-52.688099999999999</v>
      </c>
      <c r="AB187" s="9">
        <f t="shared" si="8"/>
        <v>5.6695916666666601</v>
      </c>
    </row>
    <row r="188" spans="1:28">
      <c r="A188" s="8">
        <v>45478</v>
      </c>
      <c r="B188" s="7">
        <f>日前电价!B188-实时电价!B188</f>
        <v>-20.7394</v>
      </c>
      <c r="C188" s="7">
        <f>日前电价!C188-实时电价!C188</f>
        <v>2.6612000000000098</v>
      </c>
      <c r="D188" s="7">
        <f>日前电价!D188-实时电价!D188</f>
        <v>12.8438</v>
      </c>
      <c r="E188" s="7">
        <f>日前电价!E188-实时电价!E188</f>
        <v>15.220599999999999</v>
      </c>
      <c r="F188" s="7">
        <f>日前电价!F188-实时电价!F188</f>
        <v>20.863199999999999</v>
      </c>
      <c r="G188" s="7">
        <f>日前电价!G188-实时电价!G188</f>
        <v>16.901900000000001</v>
      </c>
      <c r="H188" s="7">
        <f>日前电价!H188-实时电价!H188</f>
        <v>12.884399999999999</v>
      </c>
      <c r="I188" s="7">
        <f>日前电价!I188-实时电价!I188</f>
        <v>8.8116000000000003</v>
      </c>
      <c r="J188" s="7">
        <f>日前电价!J188-实时电价!J188</f>
        <v>23.823799999999999</v>
      </c>
      <c r="K188" s="7">
        <f>日前电价!K188-实时电价!K188</f>
        <v>73.046099999999996</v>
      </c>
      <c r="L188" s="7">
        <f>日前电价!L188-实时电价!L188</f>
        <v>136.47</v>
      </c>
      <c r="M188" s="7">
        <f>日前电价!M188-实时电价!M188</f>
        <v>112.8159</v>
      </c>
      <c r="N188" s="7">
        <f>日前电价!N188-实时电价!N188</f>
        <v>26.1052</v>
      </c>
      <c r="O188" s="7">
        <f>日前电价!O188-实时电价!O188</f>
        <v>34.418300000000002</v>
      </c>
      <c r="P188" s="7">
        <f>日前电价!P188-实时电价!P188</f>
        <v>56.306800000000003</v>
      </c>
      <c r="Q188" s="7">
        <f>日前电价!Q188-实时电价!Q188</f>
        <v>86.846699999999998</v>
      </c>
      <c r="R188" s="7">
        <f>日前电价!R188-实时电价!R188</f>
        <v>84.945300000000003</v>
      </c>
      <c r="S188" s="7">
        <f>日前电价!S188-实时电价!S188</f>
        <v>41.621200000000002</v>
      </c>
      <c r="T188" s="7">
        <f>日前电价!T188-实时电价!T188</f>
        <v>27.4756</v>
      </c>
      <c r="U188" s="7">
        <f>日前电价!U188-实时电价!U188</f>
        <v>33.984999999999999</v>
      </c>
      <c r="V188" s="7">
        <f>日前电价!V188-实时电价!V188</f>
        <v>23.794</v>
      </c>
      <c r="W188" s="7">
        <f>日前电价!W188-实时电价!W188</f>
        <v>-21.0596</v>
      </c>
      <c r="X188" s="7">
        <f>日前电价!X188-实时电价!X188</f>
        <v>-10.969200000000001</v>
      </c>
      <c r="Y188" s="7">
        <f>日前电价!Y188-实时电价!Y188</f>
        <v>3.0129000000000001</v>
      </c>
      <c r="Z188" s="9">
        <f t="shared" si="6"/>
        <v>136.47</v>
      </c>
      <c r="AA188" s="9">
        <f t="shared" si="7"/>
        <v>-21.0596</v>
      </c>
      <c r="AB188" s="9">
        <f t="shared" si="8"/>
        <v>33.420220833333303</v>
      </c>
    </row>
    <row r="189" spans="1:28">
      <c r="A189" s="8">
        <v>45479</v>
      </c>
      <c r="B189" s="7">
        <f>日前电价!B189-实时电价!B189</f>
        <v>-199.04079999999999</v>
      </c>
      <c r="C189" s="7">
        <f>日前电价!C189-实时电价!C189</f>
        <v>-76.205500000000001</v>
      </c>
      <c r="D189" s="7">
        <f>日前电价!D189-实时电价!D189</f>
        <v>-20.262499999999999</v>
      </c>
      <c r="E189" s="7">
        <f>日前电价!E189-实时电价!E189</f>
        <v>-8.9056999999999693</v>
      </c>
      <c r="F189" s="7">
        <f>日前电价!F189-实时电价!F189</f>
        <v>-2.3142999999999998</v>
      </c>
      <c r="G189" s="7">
        <f>日前电价!G189-实时电价!G189</f>
        <v>-1.0378000000000001</v>
      </c>
      <c r="H189" s="7">
        <f>日前电价!H189-实时电价!H189</f>
        <v>-4.4472000000000103</v>
      </c>
      <c r="I189" s="7">
        <f>日前电价!I189-实时电价!I189</f>
        <v>-8.1404999999999692</v>
      </c>
      <c r="J189" s="7">
        <f>日前电价!J189-实时电价!J189</f>
        <v>4.8412000000000104</v>
      </c>
      <c r="K189" s="7">
        <f>日前电价!K189-实时电价!K189</f>
        <v>18.2379</v>
      </c>
      <c r="L189" s="7">
        <f>日前电价!L189-实时电价!L189</f>
        <v>47.219299999999997</v>
      </c>
      <c r="M189" s="7">
        <f>日前电价!M189-实时电价!M189</f>
        <v>38.0852</v>
      </c>
      <c r="N189" s="7">
        <f>日前电价!N189-实时电价!N189</f>
        <v>39.345999999999997</v>
      </c>
      <c r="O189" s="7">
        <f>日前电价!O189-实时电价!O189</f>
        <v>-6.7760999999999898</v>
      </c>
      <c r="P189" s="7">
        <f>日前电价!P189-实时电价!P189</f>
        <v>14.578799999999999</v>
      </c>
      <c r="Q189" s="7">
        <f>日前电价!Q189-实时电价!Q189</f>
        <v>11.101000000000001</v>
      </c>
      <c r="R189" s="7">
        <f>日前电价!R189-实时电价!R189</f>
        <v>-58.170699999999997</v>
      </c>
      <c r="S189" s="7">
        <f>日前电价!S189-实时电价!S189</f>
        <v>-20.590299999999999</v>
      </c>
      <c r="T189" s="7">
        <f>日前电价!T189-实时电价!T189</f>
        <v>5.5614000000000496</v>
      </c>
      <c r="U189" s="7">
        <f>日前电价!U189-实时电价!U189</f>
        <v>-7.6807999999999801</v>
      </c>
      <c r="V189" s="7">
        <f>日前电价!V189-实时电价!V189</f>
        <v>-1.8623000000000001</v>
      </c>
      <c r="W189" s="7">
        <f>日前电价!W189-实时电价!W189</f>
        <v>-156.63030000000001</v>
      </c>
      <c r="X189" s="7">
        <f>日前电价!X189-实时电价!X189</f>
        <v>-97.354900000000001</v>
      </c>
      <c r="Y189" s="7">
        <f>日前电价!Y189-实时电价!Y189</f>
        <v>-128.01840000000001</v>
      </c>
      <c r="Z189" s="9">
        <f t="shared" si="6"/>
        <v>47.219299999999997</v>
      </c>
      <c r="AA189" s="9">
        <f t="shared" si="7"/>
        <v>-199.04079999999999</v>
      </c>
      <c r="AB189" s="9">
        <f t="shared" si="8"/>
        <v>-25.769470833333301</v>
      </c>
    </row>
    <row r="190" spans="1:28">
      <c r="A190" s="8">
        <v>45480</v>
      </c>
      <c r="B190" s="7">
        <f>日前电价!B190-实时电价!B190</f>
        <v>-328.94060000000002</v>
      </c>
      <c r="C190" s="7">
        <f>日前电价!C190-实时电价!C190</f>
        <v>-14.924300000000001</v>
      </c>
      <c r="D190" s="7">
        <f>日前电价!D190-实时电价!D190</f>
        <v>-10.863099999999999</v>
      </c>
      <c r="E190" s="7">
        <f>日前电价!E190-实时电价!E190</f>
        <v>-7.1840999999999999</v>
      </c>
      <c r="F190" s="7">
        <f>日前电价!F190-实时电价!F190</f>
        <v>-4.6324999999999896</v>
      </c>
      <c r="G190" s="7">
        <f>日前电价!G190-实时电价!G190</f>
        <v>-5.7653000000000203</v>
      </c>
      <c r="H190" s="7">
        <f>日前电价!H190-实时电价!H190</f>
        <v>-6.3450999999999498</v>
      </c>
      <c r="I190" s="7">
        <f>日前电价!I190-实时电价!I190</f>
        <v>-6.4918000000000102</v>
      </c>
      <c r="J190" s="7">
        <f>日前电价!J190-实时电价!J190</f>
        <v>5.0445000000000304</v>
      </c>
      <c r="K190" s="7">
        <f>日前电价!K190-实时电价!K190</f>
        <v>19.2791</v>
      </c>
      <c r="L190" s="7">
        <f>日前电价!L190-实时电价!L190</f>
        <v>81.680499999999995</v>
      </c>
      <c r="M190" s="7">
        <f>日前电价!M190-实时电价!M190</f>
        <v>93.650499999999994</v>
      </c>
      <c r="N190" s="7">
        <f>日前电价!N190-实时电价!N190</f>
        <v>21.81</v>
      </c>
      <c r="O190" s="7">
        <f>日前电价!O190-实时电价!O190</f>
        <v>8.8003999999999696</v>
      </c>
      <c r="P190" s="7">
        <f>日前电价!P190-实时电价!P190</f>
        <v>29.241299999999999</v>
      </c>
      <c r="Q190" s="7">
        <f>日前电价!Q190-实时电价!Q190</f>
        <v>48.101700000000001</v>
      </c>
      <c r="R190" s="7">
        <f>日前电价!R190-实时电价!R190</f>
        <v>32.889400000000002</v>
      </c>
      <c r="S190" s="7">
        <f>日前电价!S190-实时电价!S190</f>
        <v>26.185500000000001</v>
      </c>
      <c r="T190" s="7">
        <f>日前电价!T190-实时电价!T190</f>
        <v>14.1425</v>
      </c>
      <c r="U190" s="7">
        <f>日前电价!U190-实时电价!U190</f>
        <v>16.5425</v>
      </c>
      <c r="V190" s="7">
        <f>日前电价!V190-实时电价!V190</f>
        <v>15.41</v>
      </c>
      <c r="W190" s="7">
        <f>日前电价!W190-实时电价!W190</f>
        <v>-3.6859000000000002</v>
      </c>
      <c r="X190" s="7">
        <f>日前电价!X190-实时电价!X190</f>
        <v>-4.7051999999999898</v>
      </c>
      <c r="Y190" s="7">
        <f>日前电价!Y190-实时电价!Y190</f>
        <v>-8.5742000000000207</v>
      </c>
      <c r="Z190" s="9">
        <f t="shared" si="6"/>
        <v>93.650499999999994</v>
      </c>
      <c r="AA190" s="9">
        <f t="shared" si="7"/>
        <v>-328.94060000000002</v>
      </c>
      <c r="AB190" s="9">
        <f t="shared" si="8"/>
        <v>0.44440833333333601</v>
      </c>
    </row>
    <row r="191" spans="1:28">
      <c r="A191" s="8">
        <v>45481</v>
      </c>
      <c r="B191" s="7">
        <f>日前电价!B191-实时电价!B191</f>
        <v>-176.32060000000001</v>
      </c>
      <c r="C191" s="7">
        <f>日前电价!C191-实时电价!C191</f>
        <v>-11.6348</v>
      </c>
      <c r="D191" s="7">
        <f>日前电价!D191-实时电价!D191</f>
        <v>8.8034999999999908</v>
      </c>
      <c r="E191" s="7">
        <f>日前电价!E191-实时电价!E191</f>
        <v>6.8259999999999597</v>
      </c>
      <c r="F191" s="7">
        <f>日前电价!F191-实时电价!F191</f>
        <v>-0.186000000000035</v>
      </c>
      <c r="G191" s="7">
        <f>日前电价!G191-实时电价!G191</f>
        <v>-0.29320000000001301</v>
      </c>
      <c r="H191" s="7">
        <f>日前电价!H191-实时电价!H191</f>
        <v>-2.0356999999999599</v>
      </c>
      <c r="I191" s="7">
        <f>日前电价!I191-实时电价!I191</f>
        <v>-0.39910000000003298</v>
      </c>
      <c r="J191" s="7">
        <f>日前电价!J191-实时电价!J191</f>
        <v>8.4916999999999803</v>
      </c>
      <c r="K191" s="7">
        <f>日前电价!K191-实时电价!K191</f>
        <v>50.799399999999999</v>
      </c>
      <c r="L191" s="7">
        <f>日前电价!L191-实时电价!L191</f>
        <v>52.031500000000001</v>
      </c>
      <c r="M191" s="7">
        <f>日前电价!M191-实时电价!M191</f>
        <v>40.267899999999997</v>
      </c>
      <c r="N191" s="7">
        <f>日前电价!N191-实时电价!N191</f>
        <v>71.075000000000003</v>
      </c>
      <c r="O191" s="7">
        <f>日前电价!O191-实时电价!O191</f>
        <v>83.390699999999995</v>
      </c>
      <c r="P191" s="7">
        <f>日前电价!P191-实时电价!P191</f>
        <v>56.410800000000101</v>
      </c>
      <c r="Q191" s="7">
        <f>日前电价!Q191-实时电价!Q191</f>
        <v>50.494500000000002</v>
      </c>
      <c r="R191" s="7">
        <f>日前电价!R191-实时电价!R191</f>
        <v>5.0089000000000397</v>
      </c>
      <c r="S191" s="7">
        <f>日前电价!S191-实时电价!S191</f>
        <v>-5.8991999999999498</v>
      </c>
      <c r="T191" s="7">
        <f>日前电价!T191-实时电价!T191</f>
        <v>11.973699999999999</v>
      </c>
      <c r="U191" s="7">
        <f>日前电价!U191-实时电价!U191</f>
        <v>9.8793999999999809</v>
      </c>
      <c r="V191" s="7">
        <f>日前电价!V191-实时电价!V191</f>
        <v>12.2971</v>
      </c>
      <c r="W191" s="7">
        <f>日前电价!W191-实时电价!W191</f>
        <v>-17.723400000000002</v>
      </c>
      <c r="X191" s="7">
        <f>日前电价!X191-实时电价!X191</f>
        <v>-14.845000000000001</v>
      </c>
      <c r="Y191" s="7">
        <f>日前电价!Y191-实时电价!Y191</f>
        <v>1.4513</v>
      </c>
      <c r="Z191" s="9">
        <f t="shared" si="6"/>
        <v>83.390699999999995</v>
      </c>
      <c r="AA191" s="9">
        <f t="shared" si="7"/>
        <v>-176.32060000000001</v>
      </c>
      <c r="AB191" s="9">
        <f t="shared" si="8"/>
        <v>9.9943500000000007</v>
      </c>
    </row>
    <row r="192" spans="1:28">
      <c r="A192" s="8">
        <v>45482</v>
      </c>
      <c r="B192" s="7">
        <f>日前电价!B192-实时电价!B192</f>
        <v>-178.89670000000001</v>
      </c>
      <c r="C192" s="7">
        <f>日前电价!C192-实时电价!C192</f>
        <v>-22.759899999999998</v>
      </c>
      <c r="D192" s="7">
        <f>日前电价!D192-实时电价!D192</f>
        <v>-2.44560000000001</v>
      </c>
      <c r="E192" s="7">
        <f>日前电价!E192-实时电价!E192</f>
        <v>-3.4943000000000102</v>
      </c>
      <c r="F192" s="7">
        <f>日前电价!F192-实时电价!F192</f>
        <v>-6.1636000000000299</v>
      </c>
      <c r="G192" s="7">
        <f>日前电价!G192-实时电价!G192</f>
        <v>-3.0230000000000201</v>
      </c>
      <c r="H192" s="7">
        <f>日前电价!H192-实时电价!H192</f>
        <v>-6.1191000000000004</v>
      </c>
      <c r="I192" s="7">
        <f>日前电价!I192-实时电价!I192</f>
        <v>-4.6755000000000004</v>
      </c>
      <c r="J192" s="7">
        <f>日前电价!J192-实时电价!J192</f>
        <v>0.58600000000001295</v>
      </c>
      <c r="K192" s="7">
        <f>日前电价!K192-实时电价!K192</f>
        <v>15.119899999999999</v>
      </c>
      <c r="L192" s="7">
        <f>日前电价!L192-实时电价!L192</f>
        <v>7.9032000000000302</v>
      </c>
      <c r="M192" s="7">
        <f>日前电价!M192-实时电价!M192</f>
        <v>36.272300000000001</v>
      </c>
      <c r="N192" s="7">
        <f>日前电价!N192-实时电价!N192</f>
        <v>41.712699999999998</v>
      </c>
      <c r="O192" s="7">
        <f>日前电价!O192-实时电价!O192</f>
        <v>9.4053999999999895</v>
      </c>
      <c r="P192" s="7">
        <f>日前电价!P192-实时电价!P192</f>
        <v>17.407699999999998</v>
      </c>
      <c r="Q192" s="7">
        <f>日前电价!Q192-实时电价!Q192</f>
        <v>-20.2089</v>
      </c>
      <c r="R192" s="7">
        <f>日前电价!R192-实时电价!R192</f>
        <v>-10.266</v>
      </c>
      <c r="S192" s="7">
        <f>日前电价!S192-实时电价!S192</f>
        <v>-20.6417</v>
      </c>
      <c r="T192" s="7">
        <f>日前电价!T192-实时电价!T192</f>
        <v>1.3310000000000199</v>
      </c>
      <c r="U192" s="7">
        <f>日前电价!U192-实时电价!U192</f>
        <v>-11.5387</v>
      </c>
      <c r="V192" s="7">
        <f>日前电价!V192-实时电价!V192</f>
        <v>5.1614999999999904</v>
      </c>
      <c r="W192" s="7">
        <f>日前电价!W192-实时电价!W192</f>
        <v>-6.2262000000000102</v>
      </c>
      <c r="X192" s="7">
        <f>日前电价!X192-实时电价!X192</f>
        <v>-7.4575000000000404</v>
      </c>
      <c r="Y192" s="7">
        <f>日前电价!Y192-实时电价!Y192</f>
        <v>-14.674200000000001</v>
      </c>
      <c r="Z192" s="9">
        <f t="shared" si="6"/>
        <v>41.712699999999998</v>
      </c>
      <c r="AA192" s="9">
        <f t="shared" si="7"/>
        <v>-178.89670000000001</v>
      </c>
      <c r="AB192" s="9">
        <f t="shared" si="8"/>
        <v>-7.6538000000000004</v>
      </c>
    </row>
    <row r="193" spans="1:28">
      <c r="A193" s="8">
        <v>45483</v>
      </c>
      <c r="B193" s="7">
        <f>日前电价!B193-实时电价!B193</f>
        <v>-265.50139999999999</v>
      </c>
      <c r="C193" s="7">
        <f>日前电价!C193-实时电价!C193</f>
        <v>-186.4496</v>
      </c>
      <c r="D193" s="7">
        <f>日前电价!D193-实时电价!D193</f>
        <v>-21.3262</v>
      </c>
      <c r="E193" s="7">
        <f>日前电价!E193-实时电价!E193</f>
        <v>-4.5964000000000196</v>
      </c>
      <c r="F193" s="7">
        <f>日前电价!F193-实时电价!F193</f>
        <v>-5.4923000000000002</v>
      </c>
      <c r="G193" s="7">
        <f>日前电价!G193-实时电价!G193</f>
        <v>-10.6775</v>
      </c>
      <c r="H193" s="7">
        <f>日前电价!H193-实时电价!H193</f>
        <v>-11.9142000000001</v>
      </c>
      <c r="I193" s="7">
        <f>日前电价!I193-实时电价!I193</f>
        <v>-5.6525000000000301</v>
      </c>
      <c r="J193" s="7">
        <f>日前电价!J193-实时电价!J193</f>
        <v>-19.181699999999999</v>
      </c>
      <c r="K193" s="7">
        <f>日前电价!K193-实时电价!K193</f>
        <v>-31.529199999999999</v>
      </c>
      <c r="L193" s="7">
        <f>日前电价!L193-实时电价!L193</f>
        <v>11.348599999999999</v>
      </c>
      <c r="M193" s="7">
        <f>日前电价!M193-实时电价!M193</f>
        <v>4.1484000000000396</v>
      </c>
      <c r="N193" s="7">
        <f>日前电价!N193-实时电价!N193</f>
        <v>51.1374</v>
      </c>
      <c r="O193" s="7">
        <f>日前电价!O193-实时电价!O193</f>
        <v>-52.870800000000003</v>
      </c>
      <c r="P193" s="7">
        <f>日前电价!P193-实时电价!P193</f>
        <v>-19.698399999999999</v>
      </c>
      <c r="Q193" s="7">
        <f>日前电价!Q193-实时电价!Q193</f>
        <v>-39.629100000000001</v>
      </c>
      <c r="R193" s="7">
        <f>日前电价!R193-实时电价!R193</f>
        <v>9.5533999999999502</v>
      </c>
      <c r="S193" s="7">
        <f>日前电价!S193-实时电价!S193</f>
        <v>-13.241899999999999</v>
      </c>
      <c r="T193" s="7">
        <f>日前电价!T193-实时电价!T193</f>
        <v>20.960899999999999</v>
      </c>
      <c r="U193" s="7">
        <f>日前电价!U193-实时电价!U193</f>
        <v>10.645200000000001</v>
      </c>
      <c r="V193" s="7">
        <f>日前电价!V193-实时电价!V193</f>
        <v>11.1754</v>
      </c>
      <c r="W193" s="7">
        <f>日前电价!W193-实时电价!W193</f>
        <v>5.4882999999999802</v>
      </c>
      <c r="X193" s="7">
        <f>日前电价!X193-实时电价!X193</f>
        <v>-5.4981000000000204</v>
      </c>
      <c r="Y193" s="7">
        <f>日前电价!Y193-实时电价!Y193</f>
        <v>-1.05429999999996</v>
      </c>
      <c r="Z193" s="9">
        <f t="shared" si="6"/>
        <v>51.1374</v>
      </c>
      <c r="AA193" s="9">
        <f t="shared" si="7"/>
        <v>-265.50139999999999</v>
      </c>
      <c r="AB193" s="9">
        <f t="shared" si="8"/>
        <v>-23.744</v>
      </c>
    </row>
    <row r="194" spans="1:28">
      <c r="A194" s="8">
        <v>45484</v>
      </c>
      <c r="B194" s="7">
        <f>日前电价!B194-实时电价!B194</f>
        <v>-221.80289999999999</v>
      </c>
      <c r="C194" s="7">
        <f>日前电价!C194-实时电价!C194</f>
        <v>-111.49769999999999</v>
      </c>
      <c r="D194" s="7">
        <f>日前电价!D194-实时电价!D194</f>
        <v>0.57660000000004197</v>
      </c>
      <c r="E194" s="7">
        <f>日前电价!E194-实时电价!E194</f>
        <v>6.6969000000000296</v>
      </c>
      <c r="F194" s="7">
        <f>日前电价!F194-实时电价!F194</f>
        <v>2.79790000000003</v>
      </c>
      <c r="G194" s="7">
        <f>日前电价!G194-实时电价!G194</f>
        <v>2.36109999999996</v>
      </c>
      <c r="H194" s="7">
        <f>日前电价!H194-实时电价!H194</f>
        <v>0.66149999999998998</v>
      </c>
      <c r="I194" s="7">
        <f>日前电价!I194-实时电价!I194</f>
        <v>-0.27400000000000102</v>
      </c>
      <c r="J194" s="7">
        <f>日前电价!J194-实时电价!J194</f>
        <v>-1.63099999999997</v>
      </c>
      <c r="K194" s="7">
        <f>日前电价!K194-实时电价!K194</f>
        <v>17.351500000000001</v>
      </c>
      <c r="L194" s="7">
        <f>日前电价!L194-实时电价!L194</f>
        <v>17.318000000000001</v>
      </c>
      <c r="M194" s="7">
        <f>日前电价!M194-实时电价!M194</f>
        <v>26.0961</v>
      </c>
      <c r="N194" s="7">
        <f>日前电价!N194-实时电价!N194</f>
        <v>83.790700000000001</v>
      </c>
      <c r="O194" s="7">
        <f>日前电价!O194-实时电价!O194</f>
        <v>21.456499999999998</v>
      </c>
      <c r="P194" s="7">
        <f>日前电价!P194-实时电价!P194</f>
        <v>32.947099999999999</v>
      </c>
      <c r="Q194" s="7">
        <f>日前电价!Q194-实时电价!Q194</f>
        <v>32.011600000000001</v>
      </c>
      <c r="R194" s="7">
        <f>日前电价!R194-实时电价!R194</f>
        <v>40.552599999999998</v>
      </c>
      <c r="S194" s="7">
        <f>日前电价!S194-实时电价!S194</f>
        <v>31.2697</v>
      </c>
      <c r="T194" s="7">
        <f>日前电价!T194-实时电价!T194</f>
        <v>25.672499999999999</v>
      </c>
      <c r="U194" s="7">
        <f>日前电价!U194-实时电价!U194</f>
        <v>22.595500000000001</v>
      </c>
      <c r="V194" s="7">
        <f>日前电价!V194-实时电价!V194</f>
        <v>19.501799999999999</v>
      </c>
      <c r="W194" s="7">
        <f>日前电价!W194-实时电价!W194</f>
        <v>15.5954</v>
      </c>
      <c r="X194" s="7">
        <f>日前电价!X194-实时电价!X194</f>
        <v>9.1965999999999894</v>
      </c>
      <c r="Y194" s="7">
        <f>日前电价!Y194-实时电价!Y194</f>
        <v>3.4381999999999899</v>
      </c>
      <c r="Z194" s="9">
        <f t="shared" ref="Z194:Z257" si="9">MAX($B194:$Y194)</f>
        <v>83.790700000000001</v>
      </c>
      <c r="AA194" s="9">
        <f t="shared" ref="AA194:AA257" si="10">MIN($B194:$Y194)</f>
        <v>-221.80289999999999</v>
      </c>
      <c r="AB194" s="9">
        <f t="shared" ref="AB194:AB257" si="11">AVERAGE($B194:$Y194)</f>
        <v>3.19509166666667</v>
      </c>
    </row>
    <row r="195" spans="1:28">
      <c r="A195" s="8">
        <v>45485</v>
      </c>
      <c r="B195" s="7">
        <f>日前电价!B195-实时电价!B195</f>
        <v>-97.825900000000004</v>
      </c>
      <c r="C195" s="7">
        <f>日前电价!C195-实时电价!C195</f>
        <v>15.581799999999999</v>
      </c>
      <c r="D195" s="7">
        <f>日前电价!D195-实时电价!D195</f>
        <v>26.2136</v>
      </c>
      <c r="E195" s="7">
        <f>日前电价!E195-实时电价!E195</f>
        <v>7.8447000000000502</v>
      </c>
      <c r="F195" s="7">
        <f>日前电价!F195-实时电价!F195</f>
        <v>6.8208999999999902</v>
      </c>
      <c r="G195" s="7">
        <f>日前电价!G195-实时电价!G195</f>
        <v>5.7483999999999504</v>
      </c>
      <c r="H195" s="7">
        <f>日前电价!H195-实时电价!H195</f>
        <v>6.0681000000000198</v>
      </c>
      <c r="I195" s="7">
        <f>日前电价!I195-实时电价!I195</f>
        <v>8.54239999999999</v>
      </c>
      <c r="J195" s="7">
        <f>日前电价!J195-实时电价!J195</f>
        <v>4.2144999999999904</v>
      </c>
      <c r="K195" s="7">
        <f>日前电价!K195-实时电价!K195</f>
        <v>36.682699999999997</v>
      </c>
      <c r="L195" s="7">
        <f>日前电价!L195-实时电价!L195</f>
        <v>39.337400000000002</v>
      </c>
      <c r="M195" s="7">
        <f>日前电价!M195-实时电价!M195</f>
        <v>38.217100000000002</v>
      </c>
      <c r="N195" s="7">
        <f>日前电价!N195-实时电价!N195</f>
        <v>31.133099999999999</v>
      </c>
      <c r="O195" s="7">
        <f>日前电价!O195-实时电价!O195</f>
        <v>36.9129</v>
      </c>
      <c r="P195" s="7">
        <f>日前电价!P195-实时电价!P195</f>
        <v>40.973599999999998</v>
      </c>
      <c r="Q195" s="7">
        <f>日前电价!Q195-实时电价!Q195</f>
        <v>39.1783</v>
      </c>
      <c r="R195" s="7">
        <f>日前电价!R195-实时电价!R195</f>
        <v>38.957500000000003</v>
      </c>
      <c r="S195" s="7">
        <f>日前电价!S195-实时电价!S195</f>
        <v>23.2057</v>
      </c>
      <c r="T195" s="7">
        <f>日前电价!T195-实时电价!T195</f>
        <v>22.765899999999998</v>
      </c>
      <c r="U195" s="7">
        <f>日前电价!U195-实时电价!U195</f>
        <v>7.5108999999999897</v>
      </c>
      <c r="V195" s="7">
        <f>日前电价!V195-实时电价!V195</f>
        <v>13.312799999999999</v>
      </c>
      <c r="W195" s="7">
        <f>日前电价!W195-实时电价!W195</f>
        <v>14.1198</v>
      </c>
      <c r="X195" s="7">
        <f>日前电价!X195-实时电价!X195</f>
        <v>11.185</v>
      </c>
      <c r="Y195" s="7">
        <f>日前电价!Y195-实时电价!Y195</f>
        <v>10.930400000000001</v>
      </c>
      <c r="Z195" s="9">
        <f t="shared" si="9"/>
        <v>40.973599999999998</v>
      </c>
      <c r="AA195" s="9">
        <f t="shared" si="10"/>
        <v>-97.825900000000004</v>
      </c>
      <c r="AB195" s="9">
        <f t="shared" si="11"/>
        <v>16.151316666666698</v>
      </c>
    </row>
    <row r="196" spans="1:28">
      <c r="A196" s="8">
        <v>45486</v>
      </c>
      <c r="B196" s="7">
        <f>日前电价!B196-实时电价!B196</f>
        <v>59.244100000000003</v>
      </c>
      <c r="C196" s="7">
        <f>日前电价!C196-实时电价!C196</f>
        <v>37.3596</v>
      </c>
      <c r="D196" s="7">
        <f>日前电价!D196-实时电价!D196</f>
        <v>34.506599999999999</v>
      </c>
      <c r="E196" s="7">
        <f>日前电价!E196-实时电价!E196</f>
        <v>10.062900000000001</v>
      </c>
      <c r="F196" s="7">
        <f>日前电价!F196-实时电价!F196</f>
        <v>7.0949</v>
      </c>
      <c r="G196" s="7">
        <f>日前电价!G196-实时电价!G196</f>
        <v>9.5131000000000103</v>
      </c>
      <c r="H196" s="7">
        <f>日前电价!H196-实时电价!H196</f>
        <v>2.4588000000000001</v>
      </c>
      <c r="I196" s="7">
        <f>日前电价!I196-实时电价!I196</f>
        <v>5.5772999999999797</v>
      </c>
      <c r="J196" s="7">
        <f>日前电价!J196-实时电价!J196</f>
        <v>2.61240000000004</v>
      </c>
      <c r="K196" s="7">
        <f>日前电价!K196-实时电价!K196</f>
        <v>40.158099999999997</v>
      </c>
      <c r="L196" s="7">
        <f>日前电价!L196-实时电价!L196</f>
        <v>85.182199999999995</v>
      </c>
      <c r="M196" s="7">
        <f>日前电价!M196-实时电价!M196</f>
        <v>38.3125</v>
      </c>
      <c r="N196" s="7">
        <f>日前电价!N196-实时电价!N196</f>
        <v>52.303100000000001</v>
      </c>
      <c r="O196" s="7">
        <f>日前电价!O196-实时电价!O196</f>
        <v>-33.613799999999998</v>
      </c>
      <c r="P196" s="7">
        <f>日前电价!P196-实时电价!P196</f>
        <v>-30.203099999999999</v>
      </c>
      <c r="Q196" s="7">
        <f>日前电价!Q196-实时电价!Q196</f>
        <v>41.3718</v>
      </c>
      <c r="R196" s="7">
        <f>日前电价!R196-实时电价!R196</f>
        <v>40.861699999999999</v>
      </c>
      <c r="S196" s="7">
        <f>日前电价!S196-实时电价!S196</f>
        <v>30.311800000000002</v>
      </c>
      <c r="T196" s="7">
        <f>日前电价!T196-实时电价!T196</f>
        <v>11.878399999999999</v>
      </c>
      <c r="U196" s="7">
        <f>日前电价!U196-实时电价!U196</f>
        <v>28.7438</v>
      </c>
      <c r="V196" s="7">
        <f>日前电价!V196-实时电价!V196</f>
        <v>27.079599999999999</v>
      </c>
      <c r="W196" s="7">
        <f>日前电价!W196-实时电价!W196</f>
        <v>31.954899999999999</v>
      </c>
      <c r="X196" s="7">
        <f>日前电价!X196-实时电价!X196</f>
        <v>14.051299999999999</v>
      </c>
      <c r="Y196" s="7">
        <f>日前电价!Y196-实时电价!Y196</f>
        <v>15.0869</v>
      </c>
      <c r="Z196" s="9">
        <f t="shared" si="9"/>
        <v>85.182199999999995</v>
      </c>
      <c r="AA196" s="9">
        <f t="shared" si="10"/>
        <v>-33.613799999999998</v>
      </c>
      <c r="AB196" s="9">
        <f t="shared" si="11"/>
        <v>23.412870833333301</v>
      </c>
    </row>
    <row r="197" spans="1:28">
      <c r="A197" s="8">
        <v>45487</v>
      </c>
      <c r="B197" s="7">
        <f>日前电价!B197-实时电价!B197</f>
        <v>6.1653999999999796</v>
      </c>
      <c r="C197" s="7">
        <f>日前电价!C197-实时电价!C197</f>
        <v>4.25</v>
      </c>
      <c r="D197" s="7">
        <f>日前电价!D197-实时电价!D197</f>
        <v>12.4628</v>
      </c>
      <c r="E197" s="7">
        <f>日前电价!E197-实时电价!E197</f>
        <v>16.841799999999999</v>
      </c>
      <c r="F197" s="7">
        <f>日前电价!F197-实时电价!F197</f>
        <v>11.941000000000001</v>
      </c>
      <c r="G197" s="7">
        <f>日前电价!G197-实时电价!G197</f>
        <v>8.3703999999999592</v>
      </c>
      <c r="H197" s="7">
        <f>日前电价!H197-实时电价!H197</f>
        <v>3.7253999999999801</v>
      </c>
      <c r="I197" s="7">
        <f>日前电价!I197-实时电价!I197</f>
        <v>7.1134999999999904</v>
      </c>
      <c r="J197" s="7">
        <f>日前电价!J197-实时电价!J197</f>
        <v>82.289100000000005</v>
      </c>
      <c r="K197" s="7">
        <f>日前电价!K197-实时电价!K197</f>
        <v>94.968699999999998</v>
      </c>
      <c r="L197" s="7">
        <f>日前电价!L197-实时电价!L197</f>
        <v>145.6617</v>
      </c>
      <c r="M197" s="7">
        <f>日前电价!M197-实时电价!M197</f>
        <v>132.14449999999999</v>
      </c>
      <c r="N197" s="7">
        <f>日前电价!N197-实时电价!N197</f>
        <v>106.5027</v>
      </c>
      <c r="O197" s="7">
        <f>日前电价!O197-实时电价!O197</f>
        <v>16.493500000000001</v>
      </c>
      <c r="P197" s="7">
        <f>日前电价!P197-实时电价!P197</f>
        <v>99.003600000000006</v>
      </c>
      <c r="Q197" s="7">
        <f>日前电价!Q197-实时电价!Q197</f>
        <v>112.2253</v>
      </c>
      <c r="R197" s="7">
        <f>日前电价!R197-实时电价!R197</f>
        <v>97.079300000000003</v>
      </c>
      <c r="S197" s="7">
        <f>日前电价!S197-实时电价!S197</f>
        <v>18.753</v>
      </c>
      <c r="T197" s="7">
        <f>日前电价!T197-实时电价!T197</f>
        <v>19.510899999999999</v>
      </c>
      <c r="U197" s="7">
        <f>日前电价!U197-实时电价!U197</f>
        <v>21.378</v>
      </c>
      <c r="V197" s="7">
        <f>日前电价!V197-实时电价!V197</f>
        <v>10.929</v>
      </c>
      <c r="W197" s="7">
        <f>日前电价!W197-实时电价!W197</f>
        <v>17.334599999999998</v>
      </c>
      <c r="X197" s="7">
        <f>日前电价!X197-实时电价!X197</f>
        <v>4.2126999999999803</v>
      </c>
      <c r="Y197" s="7">
        <f>日前电价!Y197-实时电价!Y197</f>
        <v>-7.5804999999999696</v>
      </c>
      <c r="Z197" s="9">
        <f t="shared" si="9"/>
        <v>145.6617</v>
      </c>
      <c r="AA197" s="9">
        <f t="shared" si="10"/>
        <v>-7.5804999999999696</v>
      </c>
      <c r="AB197" s="9">
        <f t="shared" si="11"/>
        <v>43.407350000000001</v>
      </c>
    </row>
    <row r="198" spans="1:28">
      <c r="A198" s="8">
        <v>45488</v>
      </c>
      <c r="B198" s="7">
        <f>日前电价!B198-实时电价!B198</f>
        <v>-42.647399999999998</v>
      </c>
      <c r="C198" s="7">
        <f>日前电价!C198-实时电价!C198</f>
        <v>-14.147399999999999</v>
      </c>
      <c r="D198" s="7">
        <f>日前电价!D198-实时电价!D198</f>
        <v>-3.4037999999999902</v>
      </c>
      <c r="E198" s="7">
        <f>日前电价!E198-实时电价!E198</f>
        <v>-5.3220999999999803</v>
      </c>
      <c r="F198" s="7">
        <f>日前电价!F198-实时电价!F198</f>
        <v>-0.25130000000001501</v>
      </c>
      <c r="G198" s="7">
        <f>日前电价!G198-实时电价!G198</f>
        <v>1.1544000000000101</v>
      </c>
      <c r="H198" s="7">
        <f>日前电价!H198-实时电价!H198</f>
        <v>0.89479999999997495</v>
      </c>
      <c r="I198" s="7">
        <f>日前电价!I198-实时电价!I198</f>
        <v>2.87090000000001</v>
      </c>
      <c r="J198" s="7">
        <f>日前电价!J198-实时电价!J198</f>
        <v>6.4368000000000096</v>
      </c>
      <c r="K198" s="7">
        <f>日前电价!K198-实时电价!K198</f>
        <v>-7.3038999999999996</v>
      </c>
      <c r="L198" s="7">
        <f>日前电价!L198-实时电价!L198</f>
        <v>39.03</v>
      </c>
      <c r="M198" s="7">
        <f>日前电价!M198-实时电价!M198</f>
        <v>27.224699999999999</v>
      </c>
      <c r="N198" s="7">
        <f>日前电价!N198-实时电价!N198</f>
        <v>84.323300000000003</v>
      </c>
      <c r="O198" s="7">
        <f>日前电价!O198-实时电价!O198</f>
        <v>17.901599999999998</v>
      </c>
      <c r="P198" s="7">
        <f>日前电价!P198-实时电价!P198</f>
        <v>9.7062000000000204</v>
      </c>
      <c r="Q198" s="7">
        <f>日前电价!Q198-实时电价!Q198</f>
        <v>-31.899799999999999</v>
      </c>
      <c r="R198" s="7">
        <f>日前电价!R198-实时电价!R198</f>
        <v>-58.8566</v>
      </c>
      <c r="S198" s="7">
        <f>日前电价!S198-实时电价!S198</f>
        <v>-20.064800000000002</v>
      </c>
      <c r="T198" s="7">
        <f>日前电价!T198-实时电价!T198</f>
        <v>1.6623999999999901</v>
      </c>
      <c r="U198" s="7">
        <f>日前电价!U198-实时电价!U198</f>
        <v>-21.8855</v>
      </c>
      <c r="V198" s="7">
        <f>日前电价!V198-实时电价!V198</f>
        <v>-7.3829999999999796</v>
      </c>
      <c r="W198" s="7">
        <f>日前电价!W198-实时电价!W198</f>
        <v>-6.8867000000000198</v>
      </c>
      <c r="X198" s="7">
        <f>日前电价!X198-实时电价!X198</f>
        <v>-3.3602000000000198</v>
      </c>
      <c r="Y198" s="7">
        <f>日前电价!Y198-实时电价!Y198</f>
        <v>-5.0369000000000002</v>
      </c>
      <c r="Z198" s="9">
        <f t="shared" si="9"/>
        <v>84.323300000000003</v>
      </c>
      <c r="AA198" s="9">
        <f t="shared" si="10"/>
        <v>-58.8566</v>
      </c>
      <c r="AB198" s="9">
        <f t="shared" si="11"/>
        <v>-1.55184583333333</v>
      </c>
    </row>
    <row r="199" spans="1:28">
      <c r="A199" s="8">
        <v>45489</v>
      </c>
      <c r="B199" s="7">
        <f>日前电价!B199-实时电价!B199</f>
        <v>-4.0477000000000203</v>
      </c>
      <c r="C199" s="7">
        <f>日前电价!C199-实时电价!C199</f>
        <v>10.871499999999999</v>
      </c>
      <c r="D199" s="7">
        <f>日前电价!D199-实时电价!D199</f>
        <v>20.444300000000101</v>
      </c>
      <c r="E199" s="7">
        <f>日前电价!E199-实时电价!E199</f>
        <v>16.737400000000001</v>
      </c>
      <c r="F199" s="7">
        <f>日前电价!F199-实时电价!F199</f>
        <v>13.3888</v>
      </c>
      <c r="G199" s="7">
        <f>日前电价!G199-实时电价!G199</f>
        <v>11.837400000000001</v>
      </c>
      <c r="H199" s="7">
        <f>日前电价!H199-实时电价!H199</f>
        <v>12.740600000000001</v>
      </c>
      <c r="I199" s="7">
        <f>日前电价!I199-实时电价!I199</f>
        <v>9.2490000000000201</v>
      </c>
      <c r="J199" s="7">
        <f>日前电价!J199-实时电价!J199</f>
        <v>13.690899999999999</v>
      </c>
      <c r="K199" s="7">
        <f>日前电价!K199-实时电价!K199</f>
        <v>29.586200000000002</v>
      </c>
      <c r="L199" s="7">
        <f>日前电价!L199-实时电价!L199</f>
        <v>3.08499999999998</v>
      </c>
      <c r="M199" s="7">
        <f>日前电价!M199-实时电价!M199</f>
        <v>21.3508</v>
      </c>
      <c r="N199" s="7">
        <f>日前电价!N199-实时电价!N199</f>
        <v>10.0717</v>
      </c>
      <c r="O199" s="7">
        <f>日前电价!O199-实时电价!O199</f>
        <v>31.281300000000002</v>
      </c>
      <c r="P199" s="7">
        <f>日前电价!P199-实时电价!P199</f>
        <v>-29.7331</v>
      </c>
      <c r="Q199" s="7">
        <f>日前电价!Q199-实时电价!Q199</f>
        <v>27.480399999999999</v>
      </c>
      <c r="R199" s="7">
        <f>日前电价!R199-实时电价!R199</f>
        <v>106.06659999999999</v>
      </c>
      <c r="S199" s="7">
        <f>日前电价!S199-实时电价!S199</f>
        <v>96.345600000000005</v>
      </c>
      <c r="T199" s="7">
        <f>日前电价!T199-实时电价!T199</f>
        <v>32.438499999999998</v>
      </c>
      <c r="U199" s="7">
        <f>日前电价!U199-实时电价!U199</f>
        <v>64.612499999999997</v>
      </c>
      <c r="V199" s="7">
        <f>日前电价!V199-实时电价!V199</f>
        <v>58.982500000000002</v>
      </c>
      <c r="W199" s="7">
        <f>日前电价!W199-实时电价!W199</f>
        <v>44.5443</v>
      </c>
      <c r="X199" s="7">
        <f>日前电价!X199-实时电价!X199</f>
        <v>48.021000000000001</v>
      </c>
      <c r="Y199" s="7">
        <f>日前电价!Y199-实时电价!Y199</f>
        <v>38.496400000000001</v>
      </c>
      <c r="Z199" s="9">
        <f t="shared" si="9"/>
        <v>106.06659999999999</v>
      </c>
      <c r="AA199" s="9">
        <f t="shared" si="10"/>
        <v>-29.7331</v>
      </c>
      <c r="AB199" s="9">
        <f t="shared" si="11"/>
        <v>28.647579166666699</v>
      </c>
    </row>
    <row r="200" spans="1:28">
      <c r="A200" s="8">
        <v>45490</v>
      </c>
      <c r="B200" s="7">
        <f>日前电价!B200-实时电价!B200</f>
        <v>40.679200000000002</v>
      </c>
      <c r="C200" s="7">
        <f>日前电价!C200-实时电价!C200</f>
        <v>29.466799999999999</v>
      </c>
      <c r="D200" s="7">
        <f>日前电价!D200-实时电价!D200</f>
        <v>28.3094</v>
      </c>
      <c r="E200" s="7">
        <f>日前电价!E200-实时电价!E200</f>
        <v>23.304600000000001</v>
      </c>
      <c r="F200" s="7">
        <f>日前电价!F200-实时电价!F200</f>
        <v>20.828600000000002</v>
      </c>
      <c r="G200" s="7">
        <f>日前电价!G200-实时电价!G200</f>
        <v>41.002299999999998</v>
      </c>
      <c r="H200" s="7">
        <f>日前电价!H200-实时电价!H200</f>
        <v>15.975300000000001</v>
      </c>
      <c r="I200" s="7">
        <f>日前电价!I200-实时电价!I200</f>
        <v>25.738</v>
      </c>
      <c r="J200" s="7">
        <f>日前电价!J200-实时电价!J200</f>
        <v>19.081499999999998</v>
      </c>
      <c r="K200" s="7">
        <f>日前电价!K200-实时电价!K200</f>
        <v>49.892699999999998</v>
      </c>
      <c r="L200" s="7">
        <f>日前电价!L200-实时电价!L200</f>
        <v>53.926099999999998</v>
      </c>
      <c r="M200" s="7">
        <f>日前电价!M200-实时电价!M200</f>
        <v>42.4848</v>
      </c>
      <c r="N200" s="7">
        <f>日前电价!N200-实时电价!N200</f>
        <v>92.524199999999993</v>
      </c>
      <c r="O200" s="7">
        <f>日前电价!O200-实时电价!O200</f>
        <v>39.4101</v>
      </c>
      <c r="P200" s="7">
        <f>日前电价!P200-实时电价!P200</f>
        <v>65.290700000000001</v>
      </c>
      <c r="Q200" s="7">
        <f>日前电价!Q200-实时电价!Q200</f>
        <v>46.8354</v>
      </c>
      <c r="R200" s="7">
        <f>日前电价!R200-实时电价!R200</f>
        <v>26.052900000000001</v>
      </c>
      <c r="S200" s="7">
        <f>日前电价!S200-实时电价!S200</f>
        <v>23.0199</v>
      </c>
      <c r="T200" s="7">
        <f>日前电价!T200-实时电价!T200</f>
        <v>22.055</v>
      </c>
      <c r="U200" s="7">
        <f>日前电价!U200-实时电价!U200</f>
        <v>28.662099999999999</v>
      </c>
      <c r="V200" s="7">
        <f>日前电价!V200-实时电价!V200</f>
        <v>24.665700000000001</v>
      </c>
      <c r="W200" s="7">
        <f>日前电价!W200-实时电价!W200</f>
        <v>24.5184</v>
      </c>
      <c r="X200" s="7">
        <f>日前电价!X200-实时电价!X200</f>
        <v>34.2898</v>
      </c>
      <c r="Y200" s="7">
        <f>日前电价!Y200-实时电价!Y200</f>
        <v>24.789000000000001</v>
      </c>
      <c r="Z200" s="9">
        <f t="shared" si="9"/>
        <v>92.524199999999993</v>
      </c>
      <c r="AA200" s="9">
        <f t="shared" si="10"/>
        <v>15.975300000000001</v>
      </c>
      <c r="AB200" s="9">
        <f t="shared" si="11"/>
        <v>35.116770833333298</v>
      </c>
    </row>
    <row r="201" spans="1:28">
      <c r="A201" s="8">
        <v>45491</v>
      </c>
      <c r="B201" s="7">
        <f>日前电价!B201-实时电价!B201</f>
        <v>-11.206799999999999</v>
      </c>
      <c r="C201" s="7">
        <f>日前电价!C201-实时电价!C201</f>
        <v>21.382100000000001</v>
      </c>
      <c r="D201" s="7">
        <f>日前电价!D201-实时电价!D201</f>
        <v>14.0875</v>
      </c>
      <c r="E201" s="7">
        <f>日前电价!E201-实时电价!E201</f>
        <v>11.754799999999999</v>
      </c>
      <c r="F201" s="7">
        <f>日前电价!F201-实时电价!F201</f>
        <v>9.2831999999999706</v>
      </c>
      <c r="G201" s="7">
        <f>日前电价!G201-实时电价!G201</f>
        <v>4.7706</v>
      </c>
      <c r="H201" s="7">
        <f>日前电价!H201-实时电价!H201</f>
        <v>5.4062000000000099</v>
      </c>
      <c r="I201" s="7">
        <f>日前电价!I201-实时电价!I201</f>
        <v>4.7322000000000299</v>
      </c>
      <c r="J201" s="7">
        <f>日前电价!J201-实时电价!J201</f>
        <v>-0.80849999999998101</v>
      </c>
      <c r="K201" s="7">
        <f>日前电价!K201-实时电价!K201</f>
        <v>21.5044</v>
      </c>
      <c r="L201" s="7">
        <f>日前电价!L201-实时电价!L201</f>
        <v>15.1196</v>
      </c>
      <c r="M201" s="7">
        <f>日前电价!M201-实时电价!M201</f>
        <v>5.7011999999999698</v>
      </c>
      <c r="N201" s="7">
        <f>日前电价!N201-实时电价!N201</f>
        <v>21.712299999999999</v>
      </c>
      <c r="O201" s="7">
        <f>日前电价!O201-实时电价!O201</f>
        <v>28.0258</v>
      </c>
      <c r="P201" s="7">
        <f>日前电价!P201-实时电价!P201</f>
        <v>32.996099999999998</v>
      </c>
      <c r="Q201" s="7">
        <f>日前电价!Q201-实时电价!Q201</f>
        <v>70.0047</v>
      </c>
      <c r="R201" s="7">
        <f>日前电价!R201-实时电价!R201</f>
        <v>43.975700000000003</v>
      </c>
      <c r="S201" s="7">
        <f>日前电价!S201-实时电价!S201</f>
        <v>49.411000000000001</v>
      </c>
      <c r="T201" s="7">
        <f>日前电价!T201-实时电价!T201</f>
        <v>41.395600000000002</v>
      </c>
      <c r="U201" s="7">
        <f>日前电价!U201-实时电价!U201</f>
        <v>50.988700000000001</v>
      </c>
      <c r="V201" s="7">
        <f>日前电价!V201-实时电价!V201</f>
        <v>49.769100000000002</v>
      </c>
      <c r="W201" s="7">
        <f>日前电价!W201-实时电价!W201</f>
        <v>53.0563</v>
      </c>
      <c r="X201" s="7">
        <f>日前电价!X201-实时电价!X201</f>
        <v>31.632899999999999</v>
      </c>
      <c r="Y201" s="7">
        <f>日前电价!Y201-实时电价!Y201</f>
        <v>21.151800000000001</v>
      </c>
      <c r="Z201" s="9">
        <f t="shared" si="9"/>
        <v>70.0047</v>
      </c>
      <c r="AA201" s="9">
        <f t="shared" si="10"/>
        <v>-11.206799999999999</v>
      </c>
      <c r="AB201" s="9">
        <f t="shared" si="11"/>
        <v>24.8269375</v>
      </c>
    </row>
    <row r="202" spans="1:28">
      <c r="A202" s="8">
        <v>45492</v>
      </c>
      <c r="B202" s="7">
        <f>日前电价!B202-实时电价!B202</f>
        <v>56.356400000000001</v>
      </c>
      <c r="C202" s="7">
        <f>日前电价!C202-实时电价!C202</f>
        <v>32.002699999999997</v>
      </c>
      <c r="D202" s="7">
        <f>日前电价!D202-实时电价!D202</f>
        <v>25.918299999999999</v>
      </c>
      <c r="E202" s="7">
        <f>日前电价!E202-实时电价!E202</f>
        <v>16.821300000000001</v>
      </c>
      <c r="F202" s="7">
        <f>日前电价!F202-实时电价!F202</f>
        <v>16.265999999999998</v>
      </c>
      <c r="G202" s="7">
        <f>日前电价!G202-实时电价!G202</f>
        <v>16.741800000000001</v>
      </c>
      <c r="H202" s="7">
        <f>日前电价!H202-实时电价!H202</f>
        <v>13.3449000000001</v>
      </c>
      <c r="I202" s="7">
        <f>日前电价!I202-实时电价!I202</f>
        <v>18.833400000000001</v>
      </c>
      <c r="J202" s="7">
        <f>日前电价!J202-实时电价!J202</f>
        <v>5.9044999999999801</v>
      </c>
      <c r="K202" s="7">
        <f>日前电价!K202-实时电价!K202</f>
        <v>41.526899999999998</v>
      </c>
      <c r="L202" s="7">
        <f>日前电价!L202-实时电价!L202</f>
        <v>34.399099999999997</v>
      </c>
      <c r="M202" s="7">
        <f>日前电价!M202-实时电价!M202</f>
        <v>19.631900000000002</v>
      </c>
      <c r="N202" s="7">
        <f>日前电价!N202-实时电价!N202</f>
        <v>73.328299999999999</v>
      </c>
      <c r="O202" s="7">
        <f>日前电价!O202-实时电价!O202</f>
        <v>21.391100000000101</v>
      </c>
      <c r="P202" s="7">
        <f>日前电价!P202-实时电价!P202</f>
        <v>10.8902</v>
      </c>
      <c r="Q202" s="7">
        <f>日前电价!Q202-实时电价!Q202</f>
        <v>16.040600000000001</v>
      </c>
      <c r="R202" s="7">
        <f>日前电价!R202-实时电价!R202</f>
        <v>61.515900000000002</v>
      </c>
      <c r="S202" s="7">
        <f>日前电价!S202-实时电价!S202</f>
        <v>77.387699999999995</v>
      </c>
      <c r="T202" s="7">
        <f>日前电价!T202-实时电价!T202</f>
        <v>15.965999999999999</v>
      </c>
      <c r="U202" s="7">
        <f>日前电价!U202-实时电价!U202</f>
        <v>33.662599999999998</v>
      </c>
      <c r="V202" s="7">
        <f>日前电价!V202-实时电价!V202</f>
        <v>39.515599999999999</v>
      </c>
      <c r="W202" s="7">
        <f>日前电价!W202-实时电价!W202</f>
        <v>50.261600000000001</v>
      </c>
      <c r="X202" s="7">
        <f>日前电价!X202-实时电价!X202</f>
        <v>55.287799999999997</v>
      </c>
      <c r="Y202" s="7">
        <f>日前电价!Y202-实时电价!Y202</f>
        <v>42.267800000000001</v>
      </c>
      <c r="Z202" s="9">
        <f t="shared" si="9"/>
        <v>77.387699999999995</v>
      </c>
      <c r="AA202" s="9">
        <f t="shared" si="10"/>
        <v>5.9044999999999801</v>
      </c>
      <c r="AB202" s="9">
        <f t="shared" si="11"/>
        <v>33.135933333333298</v>
      </c>
    </row>
    <row r="203" spans="1:28">
      <c r="A203" s="8">
        <v>45493</v>
      </c>
      <c r="B203" s="7">
        <f>日前电价!B203-实时电价!B203</f>
        <v>3.3101999999999498</v>
      </c>
      <c r="C203" s="7">
        <f>日前电价!C203-实时电价!C203</f>
        <v>5.4764000000000097</v>
      </c>
      <c r="D203" s="7">
        <f>日前电价!D203-实时电价!D203</f>
        <v>3.0690000000000199</v>
      </c>
      <c r="E203" s="7">
        <f>日前电价!E203-实时电价!E203</f>
        <v>3.7373999999999801</v>
      </c>
      <c r="F203" s="7">
        <f>日前电价!F203-实时电价!F203</f>
        <v>5.9438999999999904</v>
      </c>
      <c r="G203" s="7">
        <f>日前电价!G203-实时电价!G203</f>
        <v>5.4445000000000103</v>
      </c>
      <c r="H203" s="7">
        <f>日前电价!H203-实时电价!H203</f>
        <v>5.8501000000000003</v>
      </c>
      <c r="I203" s="7">
        <f>日前电价!I203-实时电价!I203</f>
        <v>9.1245999999999903</v>
      </c>
      <c r="J203" s="7">
        <f>日前电价!J203-实时电价!J203</f>
        <v>-6.3658999999999502</v>
      </c>
      <c r="K203" s="7">
        <f>日前电价!K203-实时电价!K203</f>
        <v>-4.9377999999999798</v>
      </c>
      <c r="L203" s="7">
        <f>日前电价!L203-实时电价!L203</f>
        <v>-29.576599999999999</v>
      </c>
      <c r="M203" s="7">
        <f>日前电价!M203-实时电价!M203</f>
        <v>38.789000000000001</v>
      </c>
      <c r="N203" s="7">
        <f>日前电价!N203-实时电价!N203</f>
        <v>63.773699999999998</v>
      </c>
      <c r="O203" s="7">
        <f>日前电价!O203-实时电价!O203</f>
        <v>25.766200000000001</v>
      </c>
      <c r="P203" s="7">
        <f>日前电价!P203-实时电价!P203</f>
        <v>1.0936000000000401</v>
      </c>
      <c r="Q203" s="7">
        <f>日前电价!Q203-实时电价!Q203</f>
        <v>3.5330999999999899</v>
      </c>
      <c r="R203" s="7">
        <f>日前电价!R203-实时电价!R203</f>
        <v>6.8813999999999904</v>
      </c>
      <c r="S203" s="7">
        <f>日前电价!S203-实时电价!S203</f>
        <v>22.034400000000002</v>
      </c>
      <c r="T203" s="7">
        <f>日前电价!T203-实时电价!T203</f>
        <v>11.0123</v>
      </c>
      <c r="U203" s="7">
        <f>日前电价!U203-实时电价!U203</f>
        <v>-7.8761999999999803</v>
      </c>
      <c r="V203" s="7">
        <f>日前电价!V203-实时电价!V203</f>
        <v>-3.2661999999999698</v>
      </c>
      <c r="W203" s="7">
        <f>日前电价!W203-实时电价!W203</f>
        <v>-6.81299999999999</v>
      </c>
      <c r="X203" s="7">
        <f>日前电价!X203-实时电价!X203</f>
        <v>-3.0676999999999501</v>
      </c>
      <c r="Y203" s="7">
        <f>日前电价!Y203-实时电价!Y203</f>
        <v>-0.962600000000009</v>
      </c>
      <c r="Z203" s="9">
        <f t="shared" si="9"/>
        <v>63.773699999999998</v>
      </c>
      <c r="AA203" s="9">
        <f t="shared" si="10"/>
        <v>-29.576599999999999</v>
      </c>
      <c r="AB203" s="9">
        <f t="shared" si="11"/>
        <v>6.3322416666666701</v>
      </c>
    </row>
    <row r="204" spans="1:28">
      <c r="A204" s="8">
        <v>45494</v>
      </c>
      <c r="B204" s="7">
        <f>日前电价!B204-实时电价!B204</f>
        <v>-11.4779</v>
      </c>
      <c r="C204" s="7">
        <f>日前电价!C204-实时电价!C204</f>
        <v>-2.9689999999999901</v>
      </c>
      <c r="D204" s="7">
        <f>日前电价!D204-实时电价!D204</f>
        <v>-3.9256999999999498</v>
      </c>
      <c r="E204" s="7">
        <f>日前电价!E204-实时电价!E204</f>
        <v>6.2979000000000296</v>
      </c>
      <c r="F204" s="7">
        <f>日前电价!F204-实时电价!F204</f>
        <v>4.2739000000000296</v>
      </c>
      <c r="G204" s="7">
        <f>日前电价!G204-实时电价!G204</f>
        <v>0.77569999999997197</v>
      </c>
      <c r="H204" s="7">
        <f>日前电价!H204-实时电价!H204</f>
        <v>1.6641999999999899</v>
      </c>
      <c r="I204" s="7">
        <f>日前电价!I204-实时电价!I204</f>
        <v>3.3411999999999602</v>
      </c>
      <c r="J204" s="7">
        <f>日前电价!J204-实时电价!J204</f>
        <v>55.729300000000002</v>
      </c>
      <c r="K204" s="7">
        <f>日前电价!K204-实时电价!K204</f>
        <v>20.531400000000001</v>
      </c>
      <c r="L204" s="7">
        <f>日前电价!L204-实时电价!L204</f>
        <v>77.305499999999995</v>
      </c>
      <c r="M204" s="7">
        <f>日前电价!M204-实时电价!M204</f>
        <v>98.440899999999999</v>
      </c>
      <c r="N204" s="7">
        <f>日前电价!N204-实时电价!N204</f>
        <v>36.937199999999997</v>
      </c>
      <c r="O204" s="7">
        <f>日前电价!O204-实时电价!O204</f>
        <v>24.4697</v>
      </c>
      <c r="P204" s="7">
        <f>日前电价!P204-实时电价!P204</f>
        <v>-17.4907</v>
      </c>
      <c r="Q204" s="7">
        <f>日前电价!Q204-实时电价!Q204</f>
        <v>63.276200000000003</v>
      </c>
      <c r="R204" s="7">
        <f>日前电价!R204-实时电价!R204</f>
        <v>89.373699999999999</v>
      </c>
      <c r="S204" s="7">
        <f>日前电价!S204-实时电价!S204</f>
        <v>87.669899999999998</v>
      </c>
      <c r="T204" s="7">
        <f>日前电价!T204-实时电价!T204</f>
        <v>58.872100000000003</v>
      </c>
      <c r="U204" s="7">
        <f>日前电价!U204-实时电价!U204</f>
        <v>10.363099999999999</v>
      </c>
      <c r="V204" s="7">
        <f>日前电价!V204-实时电价!V204</f>
        <v>7.0677000000000003</v>
      </c>
      <c r="W204" s="7">
        <f>日前电价!W204-实时电价!W204</f>
        <v>9.1886000000000099</v>
      </c>
      <c r="X204" s="7">
        <f>日前电价!X204-实时电价!X204</f>
        <v>9.3992000000000093</v>
      </c>
      <c r="Y204" s="7">
        <f>日前电价!Y204-实时电价!Y204</f>
        <v>0.543599999999969</v>
      </c>
      <c r="Z204" s="9">
        <f t="shared" si="9"/>
        <v>98.440899999999999</v>
      </c>
      <c r="AA204" s="9">
        <f t="shared" si="10"/>
        <v>-17.4907</v>
      </c>
      <c r="AB204" s="9">
        <f t="shared" si="11"/>
        <v>26.235737499999999</v>
      </c>
    </row>
    <row r="205" spans="1:28">
      <c r="A205" s="8">
        <v>45495</v>
      </c>
      <c r="B205" s="7">
        <f>日前电价!B205-实时电价!B205</f>
        <v>-15.118499999999999</v>
      </c>
      <c r="C205" s="7">
        <f>日前电价!C205-实时电价!C205</f>
        <v>-1.38729999999998</v>
      </c>
      <c r="D205" s="7">
        <f>日前电价!D205-实时电价!D205</f>
        <v>-2.4386999999999799</v>
      </c>
      <c r="E205" s="7">
        <f>日前电价!E205-实时电价!E205</f>
        <v>2.26389999999998</v>
      </c>
      <c r="F205" s="7">
        <f>日前电价!F205-实时电价!F205</f>
        <v>4.4324000000000296</v>
      </c>
      <c r="G205" s="7">
        <f>日前电价!G205-实时电价!G205</f>
        <v>3.4160999999999699</v>
      </c>
      <c r="H205" s="7">
        <f>日前电价!H205-实时电价!H205</f>
        <v>2.6392999999999902</v>
      </c>
      <c r="I205" s="7">
        <f>日前电价!I205-实时电价!I205</f>
        <v>-8.3886999999999698</v>
      </c>
      <c r="J205" s="7">
        <f>日前电价!J205-实时电价!J205</f>
        <v>-84.798699999999997</v>
      </c>
      <c r="K205" s="7">
        <f>日前电价!K205-实时电价!K205</f>
        <v>-56.958399999999997</v>
      </c>
      <c r="L205" s="7">
        <f>日前电价!L205-实时电价!L205</f>
        <v>75.560500000000005</v>
      </c>
      <c r="M205" s="7">
        <f>日前电价!M205-实时电价!M205</f>
        <v>34.358600000000003</v>
      </c>
      <c r="N205" s="7">
        <f>日前电价!N205-实时电价!N205</f>
        <v>3.5185000000000199</v>
      </c>
      <c r="O205" s="7">
        <f>日前电价!O205-实时电价!O205</f>
        <v>-36.785200000000003</v>
      </c>
      <c r="P205" s="7">
        <f>日前电价!P205-实时电价!P205</f>
        <v>-212.79040000000001</v>
      </c>
      <c r="Q205" s="7">
        <f>日前电价!Q205-实时电价!Q205</f>
        <v>-179.67349999999999</v>
      </c>
      <c r="R205" s="7">
        <f>日前电价!R205-实时电价!R205</f>
        <v>-157.61109999999999</v>
      </c>
      <c r="S205" s="7">
        <f>日前电价!S205-实时电价!S205</f>
        <v>-151.69069999999999</v>
      </c>
      <c r="T205" s="7">
        <f>日前电价!T205-实时电价!T205</f>
        <v>-23.051300000000001</v>
      </c>
      <c r="U205" s="7">
        <f>日前电价!U205-实时电价!U205</f>
        <v>-162.12870000000001</v>
      </c>
      <c r="V205" s="7">
        <f>日前电价!V205-实时电价!V205</f>
        <v>-123.5318</v>
      </c>
      <c r="W205" s="7">
        <f>日前电价!W205-实时电价!W205</f>
        <v>-67.627499999999998</v>
      </c>
      <c r="X205" s="7">
        <f>日前电价!X205-实时电价!X205</f>
        <v>-28.119599999999998</v>
      </c>
      <c r="Y205" s="7">
        <f>日前电价!Y205-实时电价!Y205</f>
        <v>-16.1433</v>
      </c>
      <c r="Z205" s="9">
        <f t="shared" si="9"/>
        <v>75.560500000000005</v>
      </c>
      <c r="AA205" s="9">
        <f t="shared" si="10"/>
        <v>-212.79040000000001</v>
      </c>
      <c r="AB205" s="9">
        <f t="shared" si="11"/>
        <v>-50.085587500000003</v>
      </c>
    </row>
    <row r="206" spans="1:28">
      <c r="A206" s="8">
        <v>45496</v>
      </c>
      <c r="B206" s="7">
        <f>日前电价!B206-实时电价!B206</f>
        <v>-31.717500000000001</v>
      </c>
      <c r="C206" s="7">
        <f>日前电价!C206-实时电价!C206</f>
        <v>-16.947600000000001</v>
      </c>
      <c r="D206" s="7">
        <f>日前电价!D206-实时电价!D206</f>
        <v>-10.993600000000001</v>
      </c>
      <c r="E206" s="7">
        <f>日前电价!E206-实时电价!E206</f>
        <v>-4.0747000000000098</v>
      </c>
      <c r="F206" s="7">
        <f>日前电价!F206-实时电价!F206</f>
        <v>-5.2688999999999702</v>
      </c>
      <c r="G206" s="7">
        <f>日前电价!G206-实时电价!G206</f>
        <v>-1.1798</v>
      </c>
      <c r="H206" s="7">
        <f>日前电价!H206-实时电价!H206</f>
        <v>-2.2681</v>
      </c>
      <c r="I206" s="7">
        <f>日前电价!I206-实时电价!I206</f>
        <v>-2.1182999999999801</v>
      </c>
      <c r="J206" s="7">
        <f>日前电价!J206-实时电价!J206</f>
        <v>-1.65350000000001</v>
      </c>
      <c r="K206" s="7">
        <f>日前电价!K206-实时电价!K206</f>
        <v>28.4377</v>
      </c>
      <c r="L206" s="7">
        <f>日前电价!L206-实时电价!L206</f>
        <v>33.966000000000001</v>
      </c>
      <c r="M206" s="7">
        <f>日前电价!M206-实时电价!M206</f>
        <v>60.9251</v>
      </c>
      <c r="N206" s="7">
        <f>日前电价!N206-实时电价!N206</f>
        <v>88.8185</v>
      </c>
      <c r="O206" s="7">
        <f>日前电价!O206-实时电价!O206</f>
        <v>-1.8514999999999899</v>
      </c>
      <c r="P206" s="7">
        <f>日前电价!P206-实时电价!P206</f>
        <v>58.487699999999997</v>
      </c>
      <c r="Q206" s="7">
        <f>日前电价!Q206-实时电价!Q206</f>
        <v>62.287399999999998</v>
      </c>
      <c r="R206" s="7">
        <f>日前电价!R206-实时电价!R206</f>
        <v>35.214100000000002</v>
      </c>
      <c r="S206" s="7">
        <f>日前电价!S206-实时电价!S206</f>
        <v>3.5004000000000102</v>
      </c>
      <c r="T206" s="7">
        <f>日前电价!T206-实时电价!T206</f>
        <v>-4.1951999999999998</v>
      </c>
      <c r="U206" s="7">
        <f>日前电价!U206-实时电价!U206</f>
        <v>-83.947100000000006</v>
      </c>
      <c r="V206" s="7">
        <f>日前电价!V206-实时电价!V206</f>
        <v>-109.3574</v>
      </c>
      <c r="W206" s="7">
        <f>日前电价!W206-实时电价!W206</f>
        <v>-88.280100000000004</v>
      </c>
      <c r="X206" s="7">
        <f>日前电价!X206-实时电价!X206</f>
        <v>-36.923699999999997</v>
      </c>
      <c r="Y206" s="7">
        <f>日前电价!Y206-实时电价!Y206</f>
        <v>-24.049399999999999</v>
      </c>
      <c r="Z206" s="9">
        <f t="shared" si="9"/>
        <v>88.8185</v>
      </c>
      <c r="AA206" s="9">
        <f t="shared" si="10"/>
        <v>-109.3574</v>
      </c>
      <c r="AB206" s="9">
        <f t="shared" si="11"/>
        <v>-2.2162291666666598</v>
      </c>
    </row>
    <row r="207" spans="1:28">
      <c r="A207" s="8">
        <v>45497</v>
      </c>
      <c r="B207" s="7">
        <f>日前电价!B207-实时电价!B207</f>
        <v>-3.74350000000004</v>
      </c>
      <c r="C207" s="7">
        <f>日前电价!C207-实时电价!C207</f>
        <v>3.59059999999999</v>
      </c>
      <c r="D207" s="7">
        <f>日前电价!D207-实时电价!D207</f>
        <v>-2.0262999999999902</v>
      </c>
      <c r="E207" s="7">
        <f>日前电价!E207-实时电价!E207</f>
        <v>4.0070000000000103</v>
      </c>
      <c r="F207" s="7">
        <f>日前电价!F207-实时电价!F207</f>
        <v>1.5253999999999901</v>
      </c>
      <c r="G207" s="7">
        <f>日前电价!G207-实时电价!G207</f>
        <v>2.4499000000000102</v>
      </c>
      <c r="H207" s="7">
        <f>日前电价!H207-实时电价!H207</f>
        <v>-0.90379999999998994</v>
      </c>
      <c r="I207" s="7">
        <f>日前电价!I207-实时电价!I207</f>
        <v>0.39490000000000702</v>
      </c>
      <c r="J207" s="7">
        <f>日前电价!J207-实时电价!J207</f>
        <v>6.3165999999999896</v>
      </c>
      <c r="K207" s="7">
        <f>日前电价!K207-实时电价!K207</f>
        <v>19.437100000000001</v>
      </c>
      <c r="L207" s="7">
        <f>日前电价!L207-实时电价!L207</f>
        <v>28.765899999999998</v>
      </c>
      <c r="M207" s="7">
        <f>日前电价!M207-实时电价!M207</f>
        <v>45.249299999999998</v>
      </c>
      <c r="N207" s="7">
        <f>日前电价!N207-实时电价!N207</f>
        <v>36.260100000000001</v>
      </c>
      <c r="O207" s="7">
        <f>日前电价!O207-实时电价!O207</f>
        <v>-3.7191999999999998</v>
      </c>
      <c r="P207" s="7">
        <f>日前电价!P207-实时电价!P207</f>
        <v>54.558300000000003</v>
      </c>
      <c r="Q207" s="7">
        <f>日前电价!Q207-实时电价!Q207</f>
        <v>41.962200000000003</v>
      </c>
      <c r="R207" s="7">
        <f>日前电价!R207-实时电价!R207</f>
        <v>41.840600000000002</v>
      </c>
      <c r="S207" s="7">
        <f>日前电价!S207-实时电价!S207</f>
        <v>25.186</v>
      </c>
      <c r="T207" s="7">
        <f>日前电价!T207-实时电价!T207</f>
        <v>16.478000000000002</v>
      </c>
      <c r="U207" s="7">
        <f>日前电价!U207-实时电价!U207</f>
        <v>6.4913999999999996</v>
      </c>
      <c r="V207" s="7">
        <f>日前电价!V207-实时电价!V207</f>
        <v>4.9375</v>
      </c>
      <c r="W207" s="7">
        <f>日前电价!W207-实时电价!W207</f>
        <v>3.40700000000004</v>
      </c>
      <c r="X207" s="7">
        <f>日前电价!X207-实时电价!X207</f>
        <v>-9.4800999999999895</v>
      </c>
      <c r="Y207" s="7">
        <f>日前电价!Y207-实时电价!Y207</f>
        <v>-5.6517000000000097</v>
      </c>
      <c r="Z207" s="9">
        <f t="shared" si="9"/>
        <v>54.558300000000003</v>
      </c>
      <c r="AA207" s="9">
        <f t="shared" si="10"/>
        <v>-9.4800999999999895</v>
      </c>
      <c r="AB207" s="9">
        <f t="shared" si="11"/>
        <v>13.2222166666667</v>
      </c>
    </row>
    <row r="208" spans="1:28">
      <c r="A208" s="8">
        <v>45498</v>
      </c>
      <c r="B208" s="7">
        <f>日前电价!B208-实时电价!B208</f>
        <v>23.045000000000002</v>
      </c>
      <c r="C208" s="7">
        <f>日前电价!C208-实时电价!C208</f>
        <v>14.0299</v>
      </c>
      <c r="D208" s="7">
        <f>日前电价!D208-实时电价!D208</f>
        <v>-0.14400000000000501</v>
      </c>
      <c r="E208" s="7">
        <f>日前电价!E208-实时电价!E208</f>
        <v>9.2173999999999996</v>
      </c>
      <c r="F208" s="7">
        <f>日前电价!F208-实时电价!F208</f>
        <v>6.4965999999999999</v>
      </c>
      <c r="G208" s="7">
        <f>日前电价!G208-实时电价!G208</f>
        <v>7.1000000000000201</v>
      </c>
      <c r="H208" s="7">
        <f>日前电价!H208-实时电价!H208</f>
        <v>6.6261000000000099</v>
      </c>
      <c r="I208" s="7">
        <f>日前电价!I208-实时电价!I208</f>
        <v>6.0045000000000099</v>
      </c>
      <c r="J208" s="7">
        <f>日前电价!J208-实时电价!J208</f>
        <v>41.2836</v>
      </c>
      <c r="K208" s="7">
        <f>日前电价!K208-实时电价!K208</f>
        <v>71.328100000000006</v>
      </c>
      <c r="L208" s="7">
        <f>日前电价!L208-实时电价!L208</f>
        <v>59.498600000000003</v>
      </c>
      <c r="M208" s="7">
        <f>日前电价!M208-实时电价!M208</f>
        <v>130.21420000000001</v>
      </c>
      <c r="N208" s="7">
        <f>日前电价!N208-实时电价!N208</f>
        <v>140.83699999999999</v>
      </c>
      <c r="O208" s="7">
        <f>日前电价!O208-实时电价!O208</f>
        <v>59.972900000000003</v>
      </c>
      <c r="P208" s="7">
        <f>日前电价!P208-实时电价!P208</f>
        <v>139.36490000000001</v>
      </c>
      <c r="Q208" s="7">
        <f>日前电价!Q208-实时电价!Q208</f>
        <v>42.023499999999999</v>
      </c>
      <c r="R208" s="7">
        <f>日前电价!R208-实时电价!R208</f>
        <v>58.772100000000002</v>
      </c>
      <c r="S208" s="7">
        <f>日前电价!S208-实时电价!S208</f>
        <v>54.733199999999997</v>
      </c>
      <c r="T208" s="7">
        <f>日前电价!T208-实时电价!T208</f>
        <v>6.2270000000000296</v>
      </c>
      <c r="U208" s="7">
        <f>日前电价!U208-实时电价!U208</f>
        <v>-0.439999999999998</v>
      </c>
      <c r="V208" s="7">
        <f>日前电价!V208-实时电价!V208</f>
        <v>-47.627800000000001</v>
      </c>
      <c r="W208" s="7">
        <f>日前电价!W208-实时电价!W208</f>
        <v>-9.9340000000000295</v>
      </c>
      <c r="X208" s="7">
        <f>日前电价!X208-实时电价!X208</f>
        <v>8.4032000000000302</v>
      </c>
      <c r="Y208" s="7">
        <f>日前电价!Y208-实时电价!Y208</f>
        <v>8.0038999999999891</v>
      </c>
      <c r="Z208" s="9">
        <f t="shared" si="9"/>
        <v>140.83699999999999</v>
      </c>
      <c r="AA208" s="9">
        <f t="shared" si="10"/>
        <v>-47.627800000000001</v>
      </c>
      <c r="AB208" s="9">
        <f t="shared" si="11"/>
        <v>34.793162500000001</v>
      </c>
    </row>
    <row r="209" spans="1:28">
      <c r="A209" s="8">
        <v>45499</v>
      </c>
      <c r="B209" s="7">
        <f>日前电价!B209-实时电价!B209</f>
        <v>-134.92740000000001</v>
      </c>
      <c r="C209" s="7">
        <f>日前电价!C209-实时电价!C209</f>
        <v>-117.8488</v>
      </c>
      <c r="D209" s="7">
        <f>日前电价!D209-实时电价!D209</f>
        <v>-66.840999999999994</v>
      </c>
      <c r="E209" s="7">
        <f>日前电价!E209-实时电价!E209</f>
        <v>-9.3445000000000409</v>
      </c>
      <c r="F209" s="7">
        <f>日前电价!F209-实时电价!F209</f>
        <v>-1.93510000000003</v>
      </c>
      <c r="G209" s="7">
        <f>日前电价!G209-实时电价!G209</f>
        <v>3.71140000000003</v>
      </c>
      <c r="H209" s="7">
        <f>日前电价!H209-实时电价!H209</f>
        <v>4.3245999999999798</v>
      </c>
      <c r="I209" s="7">
        <f>日前电价!I209-实时电价!I209</f>
        <v>2.6899000000000202</v>
      </c>
      <c r="J209" s="7">
        <f>日前电价!J209-实时电价!J209</f>
        <v>26.195799999999998</v>
      </c>
      <c r="K209" s="7">
        <f>日前电价!K209-实时电价!K209</f>
        <v>56.901299999999999</v>
      </c>
      <c r="L209" s="7">
        <f>日前电价!L209-实时电价!L209</f>
        <v>89.428100000000001</v>
      </c>
      <c r="M209" s="7">
        <f>日前电价!M209-实时电价!M209</f>
        <v>121.30249999999999</v>
      </c>
      <c r="N209" s="7">
        <f>日前电价!N209-实时电价!N209</f>
        <v>81.417100000000005</v>
      </c>
      <c r="O209" s="7">
        <f>日前电价!O209-实时电价!O209</f>
        <v>124.199</v>
      </c>
      <c r="P209" s="7">
        <f>日前电价!P209-实时电价!P209</f>
        <v>192.61420000000001</v>
      </c>
      <c r="Q209" s="7">
        <f>日前电价!Q209-实时电价!Q209</f>
        <v>154.19659999999999</v>
      </c>
      <c r="R209" s="7">
        <f>日前电价!R209-实时电价!R209</f>
        <v>163.37780000000001</v>
      </c>
      <c r="S209" s="7">
        <f>日前电价!S209-实时电价!S209</f>
        <v>71.041200000000003</v>
      </c>
      <c r="T209" s="7">
        <f>日前电价!T209-实时电价!T209</f>
        <v>39.527299999999997</v>
      </c>
      <c r="U209" s="7">
        <f>日前电价!U209-实时电价!U209</f>
        <v>86.9786</v>
      </c>
      <c r="V209" s="7">
        <f>日前电价!V209-实时电价!V209</f>
        <v>93.3857</v>
      </c>
      <c r="W209" s="7">
        <f>日前电价!W209-实时电价!W209</f>
        <v>106.5106</v>
      </c>
      <c r="X209" s="7">
        <f>日前电价!X209-实时电价!X209</f>
        <v>109.5741</v>
      </c>
      <c r="Y209" s="7">
        <f>日前电价!Y209-实时电价!Y209</f>
        <v>46.162700000000001</v>
      </c>
      <c r="Z209" s="9">
        <f t="shared" si="9"/>
        <v>192.61420000000001</v>
      </c>
      <c r="AA209" s="9">
        <f t="shared" si="10"/>
        <v>-134.92740000000001</v>
      </c>
      <c r="AB209" s="9">
        <f t="shared" si="11"/>
        <v>51.776737500000003</v>
      </c>
    </row>
    <row r="210" spans="1:28">
      <c r="A210" s="8">
        <v>45500</v>
      </c>
      <c r="B210" s="7">
        <f>日前电价!B210-实时电价!B210</f>
        <v>6.6814</v>
      </c>
      <c r="C210" s="7">
        <f>日前电价!C210-实时电价!C210</f>
        <v>35.440800000000003</v>
      </c>
      <c r="D210" s="7">
        <f>日前电价!D210-实时电价!D210</f>
        <v>34.844799999999999</v>
      </c>
      <c r="E210" s="7">
        <f>日前电价!E210-实时电价!E210</f>
        <v>30.0078999999999</v>
      </c>
      <c r="F210" s="7">
        <f>日前电价!F210-实时电价!F210</f>
        <v>21.848800000000001</v>
      </c>
      <c r="G210" s="7">
        <f>日前电价!G210-实时电价!G210</f>
        <v>18.664400000000001</v>
      </c>
      <c r="H210" s="7">
        <f>日前电价!H210-实时电价!H210</f>
        <v>20.696100000000001</v>
      </c>
      <c r="I210" s="7">
        <f>日前电价!I210-实时电价!I210</f>
        <v>32.189399999999999</v>
      </c>
      <c r="J210" s="7">
        <f>日前电价!J210-实时电价!J210</f>
        <v>18.7225</v>
      </c>
      <c r="K210" s="7">
        <f>日前电价!K210-实时电价!K210</f>
        <v>43.6173</v>
      </c>
      <c r="L210" s="7">
        <f>日前电价!L210-实时电价!L210</f>
        <v>50.413400000000003</v>
      </c>
      <c r="M210" s="7">
        <f>日前电价!M210-实时电价!M210</f>
        <v>82.055999999999997</v>
      </c>
      <c r="N210" s="7">
        <f>日前电价!N210-实时电价!N210</f>
        <v>229.19380000000001</v>
      </c>
      <c r="O210" s="7">
        <f>日前电价!O210-实时电价!O210</f>
        <v>82.2423</v>
      </c>
      <c r="P210" s="7">
        <f>日前电价!P210-实时电价!P210</f>
        <v>172.57849999999999</v>
      </c>
      <c r="Q210" s="7">
        <f>日前电价!Q210-实时电价!Q210</f>
        <v>121.0254</v>
      </c>
      <c r="R210" s="7">
        <f>日前电价!R210-实时电价!R210</f>
        <v>104.2217</v>
      </c>
      <c r="S210" s="7">
        <f>日前电价!S210-实时电价!S210</f>
        <v>91.838800000000006</v>
      </c>
      <c r="T210" s="7">
        <f>日前电价!T210-实时电价!T210</f>
        <v>60.506599999999999</v>
      </c>
      <c r="U210" s="7">
        <f>日前电价!U210-实时电价!U210</f>
        <v>45.474899999999998</v>
      </c>
      <c r="V210" s="7">
        <f>日前电价!V210-实时电价!V210</f>
        <v>45.964399999999998</v>
      </c>
      <c r="W210" s="7">
        <f>日前电价!W210-实时电价!W210</f>
        <v>48.685700000000097</v>
      </c>
      <c r="X210" s="7">
        <f>日前电价!X210-实时电价!X210</f>
        <v>63.764200000000002</v>
      </c>
      <c r="Y210" s="7">
        <f>日前电价!Y210-实时电价!Y210</f>
        <v>88.125399999999999</v>
      </c>
      <c r="Z210" s="9">
        <f t="shared" si="9"/>
        <v>229.19380000000001</v>
      </c>
      <c r="AA210" s="9">
        <f t="shared" si="10"/>
        <v>6.6814</v>
      </c>
      <c r="AB210" s="9">
        <f t="shared" si="11"/>
        <v>64.533520833333299</v>
      </c>
    </row>
    <row r="211" spans="1:28">
      <c r="A211" s="8">
        <v>45501</v>
      </c>
      <c r="B211" s="7">
        <f>日前电价!B211-实时电价!B211</f>
        <v>-52.671599999999998</v>
      </c>
      <c r="C211" s="7">
        <f>日前电价!C211-实时电价!C211</f>
        <v>16.1858</v>
      </c>
      <c r="D211" s="7">
        <f>日前电价!D211-实时电价!D211</f>
        <v>12.6053</v>
      </c>
      <c r="E211" s="7">
        <f>日前电价!E211-实时电价!E211</f>
        <v>35.718000000000004</v>
      </c>
      <c r="F211" s="7">
        <f>日前电价!F211-实时电价!F211</f>
        <v>227.494</v>
      </c>
      <c r="G211" s="7">
        <f>日前电价!G211-实时电价!G211</f>
        <v>257.54199999999997</v>
      </c>
      <c r="H211" s="7">
        <f>日前电价!H211-实时电价!H211</f>
        <v>212.9332</v>
      </c>
      <c r="I211" s="7">
        <f>日前电价!I211-实时电价!I211</f>
        <v>188.25579999999999</v>
      </c>
      <c r="J211" s="7">
        <f>日前电价!J211-实时电价!J211</f>
        <v>202.00219999999999</v>
      </c>
      <c r="K211" s="7">
        <f>日前电价!K211-实时电价!K211</f>
        <v>270.70299999999997</v>
      </c>
      <c r="L211" s="7">
        <f>日前电价!L211-实时电价!L211</f>
        <v>235.0736</v>
      </c>
      <c r="M211" s="7">
        <f>日前电价!M211-实时电价!M211</f>
        <v>99.218400000000003</v>
      </c>
      <c r="N211" s="7">
        <f>日前电价!N211-实时电价!N211</f>
        <v>15.328900000000001</v>
      </c>
      <c r="O211" s="7">
        <f>日前电价!O211-实时电价!O211</f>
        <v>241.36689999999999</v>
      </c>
      <c r="P211" s="7">
        <f>日前电价!P211-实时电价!P211</f>
        <v>296.22140000000002</v>
      </c>
      <c r="Q211" s="7">
        <f>日前电价!Q211-实时电价!Q211</f>
        <v>282.42579999999998</v>
      </c>
      <c r="R211" s="7">
        <f>日前电价!R211-实时电价!R211</f>
        <v>266.26949999999999</v>
      </c>
      <c r="S211" s="7">
        <f>日前电价!S211-实时电价!S211</f>
        <v>257.2561</v>
      </c>
      <c r="T211" s="7">
        <f>日前电价!T211-实时电价!T211</f>
        <v>265.51530000000002</v>
      </c>
      <c r="U211" s="7">
        <f>日前电价!U211-实时电价!U211</f>
        <v>277.85359999999997</v>
      </c>
      <c r="V211" s="7">
        <f>日前电价!V211-实时电价!V211</f>
        <v>279.35660000000001</v>
      </c>
      <c r="W211" s="7">
        <f>日前电价!W211-实时电价!W211</f>
        <v>276.67680000000001</v>
      </c>
      <c r="X211" s="7">
        <f>日前电价!X211-实时电价!X211</f>
        <v>279.51549999999997</v>
      </c>
      <c r="Y211" s="7">
        <f>日前电价!Y211-实时电价!Y211</f>
        <v>230.72280000000001</v>
      </c>
      <c r="Z211" s="9">
        <f t="shared" si="9"/>
        <v>296.22140000000002</v>
      </c>
      <c r="AA211" s="9">
        <f t="shared" si="10"/>
        <v>-52.671599999999998</v>
      </c>
      <c r="AB211" s="9">
        <f t="shared" si="11"/>
        <v>194.73203749999999</v>
      </c>
    </row>
    <row r="212" spans="1:28">
      <c r="A212" s="8">
        <v>45502</v>
      </c>
      <c r="B212" s="7">
        <f>日前电价!B212-实时电价!B212</f>
        <v>58.709899999999998</v>
      </c>
      <c r="C212" s="7">
        <f>日前电价!C212-实时电价!C212</f>
        <v>36.525100000000002</v>
      </c>
      <c r="D212" s="7">
        <f>日前电价!D212-实时电价!D212</f>
        <v>1.5395000000000001</v>
      </c>
      <c r="E212" s="7">
        <f>日前电价!E212-实时电价!E212</f>
        <v>0</v>
      </c>
      <c r="F212" s="7">
        <f>日前电价!F212-实时电价!F212</f>
        <v>-0.25</v>
      </c>
      <c r="G212" s="7">
        <f>日前电价!G212-实时电价!G212</f>
        <v>0</v>
      </c>
      <c r="H212" s="7">
        <f>日前电价!H212-实时电价!H212</f>
        <v>-89.58</v>
      </c>
      <c r="I212" s="7">
        <f>日前电价!I212-实时电价!I212</f>
        <v>-70.721000000000004</v>
      </c>
      <c r="J212" s="7">
        <f>日前电价!J212-实时电价!J212</f>
        <v>-22.043099999999999</v>
      </c>
      <c r="K212" s="7">
        <f>日前电价!K212-实时电价!K212</f>
        <v>-66.371600000000001</v>
      </c>
      <c r="L212" s="7">
        <f>日前电价!L212-实时电价!L212</f>
        <v>-43.189799999999998</v>
      </c>
      <c r="M212" s="7">
        <f>日前电价!M212-实时电价!M212</f>
        <v>30.664000000000001</v>
      </c>
      <c r="N212" s="7">
        <f>日前电价!N212-实时电价!N212</f>
        <v>76.015799999999999</v>
      </c>
      <c r="O212" s="7">
        <f>日前电价!O212-实时电价!O212</f>
        <v>26.695399999999999</v>
      </c>
      <c r="P212" s="7">
        <f>日前电价!P212-实时电价!P212</f>
        <v>21.546700000000001</v>
      </c>
      <c r="Q212" s="7">
        <f>日前电价!Q212-实时电价!Q212</f>
        <v>23.9587</v>
      </c>
      <c r="R212" s="7">
        <f>日前电价!R212-实时电价!R212</f>
        <v>26.890999999999998</v>
      </c>
      <c r="S212" s="7">
        <f>日前电价!S212-实时电价!S212</f>
        <v>91.536799999999999</v>
      </c>
      <c r="T212" s="7">
        <f>日前电价!T212-实时电价!T212</f>
        <v>33.3262</v>
      </c>
      <c r="U212" s="7">
        <f>日前电价!U212-实时电价!U212</f>
        <v>27.4846</v>
      </c>
      <c r="V212" s="7">
        <f>日前电价!V212-实时电价!V212</f>
        <v>20.0381</v>
      </c>
      <c r="W212" s="7">
        <f>日前电价!W212-实时电价!W212</f>
        <v>32.402000000000001</v>
      </c>
      <c r="X212" s="7">
        <f>日前电价!X212-实时电价!X212</f>
        <v>34.578000000000003</v>
      </c>
      <c r="Y212" s="7">
        <f>日前电价!Y212-实时电价!Y212</f>
        <v>197.2636</v>
      </c>
      <c r="Z212" s="9">
        <f t="shared" si="9"/>
        <v>197.2636</v>
      </c>
      <c r="AA212" s="9">
        <f t="shared" si="10"/>
        <v>-89.58</v>
      </c>
      <c r="AB212" s="9">
        <f t="shared" si="11"/>
        <v>18.625829166666701</v>
      </c>
    </row>
    <row r="213" spans="1:28">
      <c r="A213" s="8">
        <v>45503</v>
      </c>
      <c r="B213" s="7">
        <f>日前电价!B213-实时电价!B213</f>
        <v>7.0987999999999802</v>
      </c>
      <c r="C213" s="7">
        <f>日前电价!C213-实时电价!C213</f>
        <v>10.5108</v>
      </c>
      <c r="D213" s="7">
        <f>日前电价!D213-实时电价!D213</f>
        <v>26.519500000000001</v>
      </c>
      <c r="E213" s="7">
        <f>日前电价!E213-实时电价!E213</f>
        <v>225.12</v>
      </c>
      <c r="F213" s="7">
        <f>日前电价!F213-实时电价!F213</f>
        <v>219.40700000000001</v>
      </c>
      <c r="G213" s="7">
        <f>日前电价!G213-实时电价!G213</f>
        <v>126.1315</v>
      </c>
      <c r="H213" s="7">
        <f>日前电价!H213-实时电价!H213</f>
        <v>61.1768</v>
      </c>
      <c r="I213" s="7">
        <f>日前电价!I213-实时电价!I213</f>
        <v>15.2926</v>
      </c>
      <c r="J213" s="7">
        <f>日前电价!J213-实时电价!J213</f>
        <v>4.8613000000000302</v>
      </c>
      <c r="K213" s="7">
        <f>日前电价!K213-实时电价!K213</f>
        <v>31.056999999999999</v>
      </c>
      <c r="L213" s="7">
        <f>日前电价!L213-实时电价!L213</f>
        <v>43.648400000000002</v>
      </c>
      <c r="M213" s="7">
        <f>日前电价!M213-实时电价!M213</f>
        <v>42.5169</v>
      </c>
      <c r="N213" s="7">
        <f>日前电价!N213-实时电价!N213</f>
        <v>115.6401</v>
      </c>
      <c r="O213" s="7">
        <f>日前电价!O213-实时电价!O213</f>
        <v>17.063800000000001</v>
      </c>
      <c r="P213" s="7">
        <f>日前电价!P213-实时电价!P213</f>
        <v>39.5747</v>
      </c>
      <c r="Q213" s="7">
        <f>日前电价!Q213-实时电价!Q213</f>
        <v>35.3125</v>
      </c>
      <c r="R213" s="7">
        <f>日前电价!R213-实时电价!R213</f>
        <v>41.9084</v>
      </c>
      <c r="S213" s="7">
        <f>日前电价!S213-实时电价!S213</f>
        <v>39.8735</v>
      </c>
      <c r="T213" s="7">
        <f>日前电价!T213-实时电价!T213</f>
        <v>27.084099999999999</v>
      </c>
      <c r="U213" s="7">
        <f>日前电价!U213-实时电价!U213</f>
        <v>36.483199999999997</v>
      </c>
      <c r="V213" s="7">
        <f>日前电价!V213-实时电价!V213</f>
        <v>36.411900000000003</v>
      </c>
      <c r="W213" s="7">
        <f>日前电价!W213-实时电价!W213</f>
        <v>40.873600000000003</v>
      </c>
      <c r="X213" s="7">
        <f>日前电价!X213-实时电价!X213</f>
        <v>30.084099999999999</v>
      </c>
      <c r="Y213" s="7">
        <f>日前电价!Y213-实时电价!Y213</f>
        <v>113.04770000000001</v>
      </c>
      <c r="Z213" s="9">
        <f t="shared" si="9"/>
        <v>225.12</v>
      </c>
      <c r="AA213" s="9">
        <f t="shared" si="10"/>
        <v>4.8613000000000302</v>
      </c>
      <c r="AB213" s="9">
        <f t="shared" si="11"/>
        <v>57.779091666666702</v>
      </c>
    </row>
    <row r="214" spans="1:28">
      <c r="A214" s="8">
        <v>45504</v>
      </c>
      <c r="B214" s="7">
        <f>日前电价!B214-实时电价!B214</f>
        <v>8.7270000000000003</v>
      </c>
      <c r="C214" s="7">
        <f>日前电价!C214-实时电价!C214</f>
        <v>14.074199999999999</v>
      </c>
      <c r="D214" s="7">
        <f>日前电价!D214-实时电价!D214</f>
        <v>53.834600000000002</v>
      </c>
      <c r="E214" s="7">
        <f>日前电价!E214-实时电价!E214</f>
        <v>156.27629999999999</v>
      </c>
      <c r="F214" s="7">
        <f>日前电价!F214-实时电价!F214</f>
        <v>170.12450000000001</v>
      </c>
      <c r="G214" s="7">
        <f>日前电价!G214-实时电价!G214</f>
        <v>0.1487</v>
      </c>
      <c r="H214" s="7">
        <f>日前电价!H214-实时电价!H214</f>
        <v>57.75</v>
      </c>
      <c r="I214" s="7">
        <f>日前电价!I214-实时电价!I214</f>
        <v>8.4999000000000002</v>
      </c>
      <c r="J214" s="7">
        <f>日前电价!J214-实时电价!J214</f>
        <v>15.383900000000001</v>
      </c>
      <c r="K214" s="7">
        <f>日前电价!K214-实时电价!K214</f>
        <v>23.338899999999999</v>
      </c>
      <c r="L214" s="7">
        <f>日前电价!L214-实时电价!L214</f>
        <v>40.550400000000003</v>
      </c>
      <c r="M214" s="7">
        <f>日前电价!M214-实时电价!M214</f>
        <v>26.363099999999999</v>
      </c>
      <c r="N214" s="7">
        <f>日前电价!N214-实时电价!N214</f>
        <v>120.9905</v>
      </c>
      <c r="O214" s="7">
        <f>日前电价!O214-实时电价!O214</f>
        <v>140.7954</v>
      </c>
      <c r="P214" s="7">
        <f>日前电价!P214-实时电价!P214</f>
        <v>174.81290000000001</v>
      </c>
      <c r="Q214" s="7">
        <f>日前电价!Q214-实时电价!Q214</f>
        <v>113.1177</v>
      </c>
      <c r="R214" s="7">
        <f>日前电价!R214-实时电价!R214</f>
        <v>88.662300000000002</v>
      </c>
      <c r="S214" s="7">
        <f>日前电价!S214-实时电价!S214</f>
        <v>136.1995</v>
      </c>
      <c r="T214" s="7">
        <f>日前电价!T214-实时电价!T214</f>
        <v>147.19390000000001</v>
      </c>
      <c r="U214" s="7">
        <f>日前电价!U214-实时电价!U214</f>
        <v>72.388599999999997</v>
      </c>
      <c r="V214" s="7">
        <f>日前电价!V214-实时电价!V214</f>
        <v>37.000599999999999</v>
      </c>
      <c r="W214" s="7">
        <f>日前电价!W214-实时电价!W214</f>
        <v>38.711399999999998</v>
      </c>
      <c r="X214" s="7">
        <f>日前电价!X214-实时电价!X214</f>
        <v>5.6848000000000001</v>
      </c>
      <c r="Y214" s="7">
        <f>日前电价!Y214-实时电价!Y214</f>
        <v>-25.971</v>
      </c>
      <c r="Z214" s="9">
        <f t="shared" si="9"/>
        <v>174.81290000000001</v>
      </c>
      <c r="AA214" s="9">
        <f t="shared" si="10"/>
        <v>-25.971</v>
      </c>
      <c r="AB214" s="9">
        <f t="shared" si="11"/>
        <v>67.694087499999995</v>
      </c>
    </row>
    <row r="215" spans="1:28">
      <c r="A215" s="8">
        <v>45505</v>
      </c>
      <c r="B215" s="7">
        <f>日前电价!B215-实时电价!B215</f>
        <v>-98.686599999999999</v>
      </c>
      <c r="C215" s="7">
        <f>日前电价!C215-实时电价!C215</f>
        <v>-44.800400000000003</v>
      </c>
      <c r="D215" s="7">
        <f>日前电价!D215-实时电价!D215</f>
        <v>123.6053</v>
      </c>
      <c r="E215" s="7">
        <f>日前电价!E215-实时电价!E215</f>
        <v>18.457999999999998</v>
      </c>
      <c r="F215" s="7">
        <f>日前电价!F215-实时电价!F215</f>
        <v>0</v>
      </c>
      <c r="G215" s="7">
        <f>日前电价!G215-实时电价!G215</f>
        <v>0</v>
      </c>
      <c r="H215" s="7">
        <f>日前电价!H215-实时电价!H215</f>
        <v>-1.0588</v>
      </c>
      <c r="I215" s="7">
        <f>日前电价!I215-实时电价!I215</f>
        <v>-2.8092000000000001</v>
      </c>
      <c r="J215" s="7">
        <f>日前电价!J215-实时电价!J215</f>
        <v>-2.4772999999999898</v>
      </c>
      <c r="K215" s="7">
        <f>日前电价!K215-实时电价!K215</f>
        <v>131.63419999999999</v>
      </c>
      <c r="L215" s="7">
        <f>日前电价!L215-实时电价!L215</f>
        <v>114.64230000000001</v>
      </c>
      <c r="M215" s="7">
        <f>日前电价!M215-实时电价!M215</f>
        <v>13.004</v>
      </c>
      <c r="N215" s="7">
        <f>日前电价!N215-实时电价!N215</f>
        <v>-78.0608</v>
      </c>
      <c r="O215" s="7">
        <f>日前电价!O215-实时电价!O215</f>
        <v>85.896100000000004</v>
      </c>
      <c r="P215" s="7">
        <f>日前电价!P215-实时电价!P215</f>
        <v>90.478999999999999</v>
      </c>
      <c r="Q215" s="7">
        <f>日前电价!Q215-实时电价!Q215</f>
        <v>24.1328</v>
      </c>
      <c r="R215" s="7">
        <f>日前电价!R215-实时电价!R215</f>
        <v>12.9255</v>
      </c>
      <c r="S215" s="7">
        <f>日前电价!S215-实时电价!S215</f>
        <v>-20.9573</v>
      </c>
      <c r="T215" s="7">
        <f>日前电价!T215-实时电价!T215</f>
        <v>-27.013500000000001</v>
      </c>
      <c r="U215" s="7">
        <f>日前电价!U215-实时电价!U215</f>
        <v>-38.785499999999999</v>
      </c>
      <c r="V215" s="7">
        <f>日前电价!V215-实时电价!V215</f>
        <v>-57.5396</v>
      </c>
      <c r="W215" s="7">
        <f>日前电价!W215-实时电价!W215</f>
        <v>-60.013399999999997</v>
      </c>
      <c r="X215" s="7">
        <f>日前电价!X215-实时电价!X215</f>
        <v>-48.474600000000002</v>
      </c>
      <c r="Y215" s="7">
        <f>日前电价!Y215-实时电价!Y215</f>
        <v>-206.0256</v>
      </c>
      <c r="Z215" s="9">
        <f t="shared" si="9"/>
        <v>131.63419999999999</v>
      </c>
      <c r="AA215" s="9">
        <f t="shared" si="10"/>
        <v>-206.0256</v>
      </c>
      <c r="AB215" s="9">
        <f t="shared" si="11"/>
        <v>-2.9968916666666701</v>
      </c>
    </row>
    <row r="216" spans="1:28">
      <c r="A216" s="8">
        <v>45506</v>
      </c>
      <c r="B216" s="7">
        <f>日前电价!B216-实时电价!B216</f>
        <v>-35.831600000000002</v>
      </c>
      <c r="C216" s="7">
        <f>日前电价!C216-实时电价!C216</f>
        <v>-16.273199999999999</v>
      </c>
      <c r="D216" s="7">
        <f>日前电价!D216-实时电价!D216</f>
        <v>-19.966899999999999</v>
      </c>
      <c r="E216" s="7">
        <f>日前电价!E216-实时电价!E216</f>
        <v>-9.5950000000000308</v>
      </c>
      <c r="F216" s="7">
        <f>日前电价!F216-实时电价!F216</f>
        <v>-11.6838</v>
      </c>
      <c r="G216" s="7">
        <f>日前电价!G216-实时电价!G216</f>
        <v>-54.721400000000003</v>
      </c>
      <c r="H216" s="7">
        <f>日前电价!H216-实时电价!H216</f>
        <v>-17.293800000000001</v>
      </c>
      <c r="I216" s="7">
        <f>日前电价!I216-实时电价!I216</f>
        <v>-8.8838999999999793</v>
      </c>
      <c r="J216" s="7">
        <f>日前电价!J216-实时电价!J216</f>
        <v>-6.0073999999999597</v>
      </c>
      <c r="K216" s="7">
        <f>日前电价!K216-实时电价!K216</f>
        <v>-16.559100000000001</v>
      </c>
      <c r="L216" s="7">
        <f>日前电价!L216-实时电价!L216</f>
        <v>-10.111800000000001</v>
      </c>
      <c r="M216" s="7">
        <f>日前电价!M216-实时电价!M216</f>
        <v>-15.677099999999999</v>
      </c>
      <c r="N216" s="7">
        <f>日前电价!N216-实时电价!N216</f>
        <v>3.1315000000000199</v>
      </c>
      <c r="O216" s="7">
        <f>日前电价!O216-实时电价!O216</f>
        <v>-21.242599999999999</v>
      </c>
      <c r="P216" s="7">
        <f>日前电价!P216-实时电价!P216</f>
        <v>-35.041200000000003</v>
      </c>
      <c r="Q216" s="7">
        <f>日前电价!Q216-实时电价!Q216</f>
        <v>30.9528</v>
      </c>
      <c r="R216" s="7">
        <f>日前电价!R216-实时电价!R216</f>
        <v>-40.051499999999997</v>
      </c>
      <c r="S216" s="7">
        <f>日前电价!S216-实时电价!S216</f>
        <v>-46.5792</v>
      </c>
      <c r="T216" s="7">
        <f>日前电价!T216-实时电价!T216</f>
        <v>-3.9302000000000099</v>
      </c>
      <c r="U216" s="7">
        <f>日前电价!U216-实时电价!U216</f>
        <v>-23.675000000000001</v>
      </c>
      <c r="V216" s="7">
        <f>日前电价!V216-实时电价!V216</f>
        <v>-23.755500000000001</v>
      </c>
      <c r="W216" s="7">
        <f>日前电价!W216-实时电价!W216</f>
        <v>-119.32980000000001</v>
      </c>
      <c r="X216" s="7">
        <f>日前电价!X216-实时电价!X216</f>
        <v>-44.110599999999998</v>
      </c>
      <c r="Y216" s="7">
        <f>日前电价!Y216-实时电价!Y216</f>
        <v>-8.6134999999999895</v>
      </c>
      <c r="Z216" s="9">
        <f t="shared" si="9"/>
        <v>30.9528</v>
      </c>
      <c r="AA216" s="9">
        <f t="shared" si="10"/>
        <v>-119.32980000000001</v>
      </c>
      <c r="AB216" s="9">
        <f t="shared" si="11"/>
        <v>-23.1187416666667</v>
      </c>
    </row>
    <row r="217" spans="1:28">
      <c r="A217" s="8">
        <v>45507</v>
      </c>
      <c r="B217" s="7">
        <f>日前电价!B217-实时电价!B217</f>
        <v>17.853100000000001</v>
      </c>
      <c r="C217" s="7">
        <f>日前电价!C217-实时电价!C217</f>
        <v>16.738800000000001</v>
      </c>
      <c r="D217" s="7">
        <f>日前电价!D217-实时电价!D217</f>
        <v>9.8484999999999996</v>
      </c>
      <c r="E217" s="7">
        <f>日前电价!E217-实时电价!E217</f>
        <v>11.464399999999999</v>
      </c>
      <c r="F217" s="7">
        <f>日前电价!F217-实时电价!F217</f>
        <v>12.4742</v>
      </c>
      <c r="G217" s="7">
        <f>日前电价!G217-实时电价!G217</f>
        <v>22.042200000000001</v>
      </c>
      <c r="H217" s="7">
        <f>日前电价!H217-实时电价!H217</f>
        <v>15.1105</v>
      </c>
      <c r="I217" s="7">
        <f>日前电价!I217-实时电价!I217</f>
        <v>26.123000000000001</v>
      </c>
      <c r="J217" s="7">
        <f>日前电价!J217-实时电价!J217</f>
        <v>43.145600000000002</v>
      </c>
      <c r="K217" s="7">
        <f>日前电价!K217-实时电价!K217</f>
        <v>58.988399999999999</v>
      </c>
      <c r="L217" s="7">
        <f>日前电价!L217-实时电价!L217</f>
        <v>74.841899999999995</v>
      </c>
      <c r="M217" s="7">
        <f>日前电价!M217-实时电价!M217</f>
        <v>-30.026399999999999</v>
      </c>
      <c r="N217" s="7">
        <f>日前电价!N217-实时电价!N217</f>
        <v>64.802499999999995</v>
      </c>
      <c r="O217" s="7">
        <f>日前电价!O217-实时电价!O217</f>
        <v>37.448799999999999</v>
      </c>
      <c r="P217" s="7">
        <f>日前电价!P217-实时电价!P217</f>
        <v>38.863500000000002</v>
      </c>
      <c r="Q217" s="7">
        <f>日前电价!Q217-实时电价!Q217</f>
        <v>27.838899999999999</v>
      </c>
      <c r="R217" s="7">
        <f>日前电价!R217-实时电价!R217</f>
        <v>12.610200000000001</v>
      </c>
      <c r="S217" s="7">
        <f>日前电价!S217-实时电价!S217</f>
        <v>8.1517999999999802</v>
      </c>
      <c r="T217" s="7">
        <f>日前电价!T217-实时电价!T217</f>
        <v>2.2307999999999901</v>
      </c>
      <c r="U217" s="7">
        <f>日前电价!U217-实时电价!U217</f>
        <v>-22.536200000000001</v>
      </c>
      <c r="V217" s="7">
        <f>日前电价!V217-实时电价!V217</f>
        <v>-26.161799999999999</v>
      </c>
      <c r="W217" s="7">
        <f>日前电价!W217-实时电价!W217</f>
        <v>-23.6647</v>
      </c>
      <c r="X217" s="7">
        <f>日前电价!X217-实时电价!X217</f>
        <v>-27.156600000000001</v>
      </c>
      <c r="Y217" s="7">
        <f>日前电价!Y217-实时电价!Y217</f>
        <v>-25.292000000000002</v>
      </c>
      <c r="Z217" s="9">
        <f t="shared" si="9"/>
        <v>74.841899999999995</v>
      </c>
      <c r="AA217" s="9">
        <f t="shared" si="10"/>
        <v>-30.026399999999999</v>
      </c>
      <c r="AB217" s="9">
        <f t="shared" si="11"/>
        <v>14.405808333333299</v>
      </c>
    </row>
    <row r="218" spans="1:28">
      <c r="A218" s="8">
        <v>45508</v>
      </c>
      <c r="B218" s="7">
        <f>日前电价!B218-实时电价!B218</f>
        <v>-262.6395</v>
      </c>
      <c r="C218" s="7">
        <f>日前电价!C218-实时电价!C218</f>
        <v>-56.884</v>
      </c>
      <c r="D218" s="7">
        <f>日前电价!D218-实时电价!D218</f>
        <v>-52.947499999999998</v>
      </c>
      <c r="E218" s="7">
        <f>日前电价!E218-实时电价!E218</f>
        <v>-21.9892</v>
      </c>
      <c r="F218" s="7">
        <f>日前电价!F218-实时电价!F218</f>
        <v>-5.2572999999999901</v>
      </c>
      <c r="G218" s="7">
        <f>日前电价!G218-实时电价!G218</f>
        <v>-1.5050999999999699</v>
      </c>
      <c r="H218" s="7">
        <f>日前电价!H218-实时电价!H218</f>
        <v>-1.38460000000003</v>
      </c>
      <c r="I218" s="7">
        <f>日前电价!I218-实时电价!I218</f>
        <v>7.8351999999999897</v>
      </c>
      <c r="J218" s="7">
        <f>日前电价!J218-实时电价!J218</f>
        <v>35.975999999999999</v>
      </c>
      <c r="K218" s="7">
        <f>日前电价!K218-实时电价!K218</f>
        <v>44.916499999999999</v>
      </c>
      <c r="L218" s="7">
        <f>日前电价!L218-实时电价!L218</f>
        <v>70.037599999999998</v>
      </c>
      <c r="M218" s="7">
        <f>日前电价!M218-实时电价!M218</f>
        <v>77.809100000000001</v>
      </c>
      <c r="N218" s="7">
        <f>日前电价!N218-实时电价!N218</f>
        <v>35.773600000000002</v>
      </c>
      <c r="O218" s="7">
        <f>日前电价!O218-实时电价!O218</f>
        <v>-5.8435000000000104</v>
      </c>
      <c r="P218" s="7">
        <f>日前电价!P218-实时电价!P218</f>
        <v>33.502299999999998</v>
      </c>
      <c r="Q218" s="7">
        <f>日前电价!Q218-实时电价!Q218</f>
        <v>27.0288</v>
      </c>
      <c r="R218" s="7">
        <f>日前电价!R218-实时电价!R218</f>
        <v>-4.9157999999999902</v>
      </c>
      <c r="S218" s="7">
        <f>日前电价!S218-实时电价!S218</f>
        <v>-4.9153000000000002</v>
      </c>
      <c r="T218" s="7">
        <f>日前电价!T218-实时电价!T218</f>
        <v>-12.9129</v>
      </c>
      <c r="U218" s="7">
        <f>日前电价!U218-实时电价!U218</f>
        <v>-347.16160000000002</v>
      </c>
      <c r="V218" s="7">
        <f>日前电价!V218-实时电价!V218</f>
        <v>-76.388099999999994</v>
      </c>
      <c r="W218" s="7">
        <f>日前电价!W218-实时电价!W218</f>
        <v>-72.956000000000003</v>
      </c>
      <c r="X218" s="7">
        <f>日前电价!X218-实时电价!X218</f>
        <v>-166.3742</v>
      </c>
      <c r="Y218" s="7">
        <f>日前电价!Y218-实时电价!Y218</f>
        <v>-50.725000000000001</v>
      </c>
      <c r="Z218" s="9">
        <f t="shared" si="9"/>
        <v>77.809100000000001</v>
      </c>
      <c r="AA218" s="9">
        <f t="shared" si="10"/>
        <v>-347.16160000000002</v>
      </c>
      <c r="AB218" s="9">
        <f t="shared" si="11"/>
        <v>-33.8300208333333</v>
      </c>
    </row>
    <row r="219" spans="1:28">
      <c r="A219" s="8">
        <v>45509</v>
      </c>
      <c r="B219" s="7">
        <f>日前电价!B219-实时电价!B219</f>
        <v>-218.34979999999999</v>
      </c>
      <c r="C219" s="7">
        <f>日前电价!C219-实时电价!C219</f>
        <v>-48.327100000000002</v>
      </c>
      <c r="D219" s="7">
        <f>日前电价!D219-实时电价!D219</f>
        <v>-148.88159999999999</v>
      </c>
      <c r="E219" s="7">
        <f>日前电价!E219-实时电价!E219</f>
        <v>-34.4039</v>
      </c>
      <c r="F219" s="7">
        <f>日前电价!F219-实时电价!F219</f>
        <v>-13.831200000000001</v>
      </c>
      <c r="G219" s="7">
        <f>日前电价!G219-实时电价!G219</f>
        <v>-16.965</v>
      </c>
      <c r="H219" s="7">
        <f>日前电价!H219-实时电价!H219</f>
        <v>-16.1341</v>
      </c>
      <c r="I219" s="7">
        <f>日前电价!I219-实时电价!I219</f>
        <v>-16.7563</v>
      </c>
      <c r="J219" s="7">
        <f>日前电价!J219-实时电价!J219</f>
        <v>-27.635100000000001</v>
      </c>
      <c r="K219" s="7">
        <f>日前电价!K219-实时电价!K219</f>
        <v>-15.6776</v>
      </c>
      <c r="L219" s="7">
        <f>日前电价!L219-实时电价!L219</f>
        <v>6.7128999999999897</v>
      </c>
      <c r="M219" s="7">
        <f>日前电价!M219-实时电价!M219</f>
        <v>16.6816</v>
      </c>
      <c r="N219" s="7">
        <f>日前电价!N219-实时电价!N219</f>
        <v>-3.68939999999998</v>
      </c>
      <c r="O219" s="7">
        <f>日前电价!O219-实时电价!O219</f>
        <v>-84.585300000000004</v>
      </c>
      <c r="P219" s="7">
        <f>日前电价!P219-实时电价!P219</f>
        <v>-68.734899999999996</v>
      </c>
      <c r="Q219" s="7">
        <f>日前电价!Q219-实时电价!Q219</f>
        <v>-56.296900000000001</v>
      </c>
      <c r="R219" s="7">
        <f>日前电价!R219-实时电价!R219</f>
        <v>-72.710599999999999</v>
      </c>
      <c r="S219" s="7">
        <f>日前电价!S219-实时电价!S219</f>
        <v>-19.741499999999998</v>
      </c>
      <c r="T219" s="7">
        <f>日前电价!T219-实时电价!T219</f>
        <v>11.663399999999999</v>
      </c>
      <c r="U219" s="7">
        <f>日前电价!U219-实时电价!U219</f>
        <v>3.1243000000000101</v>
      </c>
      <c r="V219" s="7">
        <f>日前电价!V219-实时电价!V219</f>
        <v>-1.4906000000000299</v>
      </c>
      <c r="W219" s="7">
        <f>日前电价!W219-实时电价!W219</f>
        <v>-6.5652999999999802</v>
      </c>
      <c r="X219" s="7">
        <f>日前电价!X219-实时电价!X219</f>
        <v>-10.890700000000001</v>
      </c>
      <c r="Y219" s="7">
        <f>日前电价!Y219-实时电价!Y219</f>
        <v>-22.899699999999999</v>
      </c>
      <c r="Z219" s="9">
        <f t="shared" si="9"/>
        <v>16.6816</v>
      </c>
      <c r="AA219" s="9">
        <f t="shared" si="10"/>
        <v>-218.34979999999999</v>
      </c>
      <c r="AB219" s="9">
        <f t="shared" si="11"/>
        <v>-36.099350000000001</v>
      </c>
    </row>
    <row r="220" spans="1:28">
      <c r="A220" s="8">
        <v>45510</v>
      </c>
      <c r="B220" s="7">
        <f>日前电价!B220-实时电价!B220</f>
        <v>1.7668999999999599</v>
      </c>
      <c r="C220" s="7">
        <f>日前电价!C220-实时电价!C220</f>
        <v>39.313299999999998</v>
      </c>
      <c r="D220" s="7">
        <f>日前电价!D220-实时电价!D220</f>
        <v>9.5337000000000103</v>
      </c>
      <c r="E220" s="7">
        <f>日前电价!E220-实时电价!E220</f>
        <v>3.3195000000000001</v>
      </c>
      <c r="F220" s="7">
        <f>日前电价!F220-实时电价!F220</f>
        <v>-0.367599999999982</v>
      </c>
      <c r="G220" s="7">
        <f>日前电价!G220-实时电价!G220</f>
        <v>-2.1741999999999799</v>
      </c>
      <c r="H220" s="7">
        <f>日前电价!H220-实时电价!H220</f>
        <v>-3.8840000000000101</v>
      </c>
      <c r="I220" s="7">
        <f>日前电价!I220-实时电价!I220</f>
        <v>-5.6544000000000096</v>
      </c>
      <c r="J220" s="7">
        <f>日前电价!J220-实时电价!J220</f>
        <v>19.573699999999999</v>
      </c>
      <c r="K220" s="7">
        <f>日前电价!K220-实时电价!K220</f>
        <v>78.816400000000002</v>
      </c>
      <c r="L220" s="7">
        <f>日前电价!L220-实时电价!L220</f>
        <v>78.605699999999999</v>
      </c>
      <c r="M220" s="7">
        <f>日前电价!M220-实时电价!M220</f>
        <v>109.1734</v>
      </c>
      <c r="N220" s="7">
        <f>日前电价!N220-实时电价!N220</f>
        <v>89.974500000000006</v>
      </c>
      <c r="O220" s="7">
        <f>日前电价!O220-实时电价!O220</f>
        <v>158.39779999999999</v>
      </c>
      <c r="P220" s="7">
        <f>日前电价!P220-实时电价!P220</f>
        <v>258.31139999999999</v>
      </c>
      <c r="Q220" s="7">
        <f>日前电价!Q220-实时电价!Q220</f>
        <v>223.96209999999999</v>
      </c>
      <c r="R220" s="7">
        <f>日前电价!R220-实时电价!R220</f>
        <v>231.10069999999999</v>
      </c>
      <c r="S220" s="7">
        <f>日前电价!S220-实时电价!S220</f>
        <v>152.96100000000001</v>
      </c>
      <c r="T220" s="7">
        <f>日前电价!T220-实时电价!T220</f>
        <v>73.545500000000004</v>
      </c>
      <c r="U220" s="7">
        <f>日前电价!U220-实时电价!U220</f>
        <v>85.336299999999994</v>
      </c>
      <c r="V220" s="7">
        <f>日前电价!V220-实时电价!V220</f>
        <v>90.558899999999994</v>
      </c>
      <c r="W220" s="7">
        <f>日前电价!W220-实时电价!W220</f>
        <v>104.6331</v>
      </c>
      <c r="X220" s="7">
        <f>日前电价!X220-实时电价!X220</f>
        <v>148.14320000000001</v>
      </c>
      <c r="Y220" s="7">
        <f>日前电价!Y220-实时电价!Y220</f>
        <v>62.803600000000003</v>
      </c>
      <c r="Z220" s="9">
        <f t="shared" si="9"/>
        <v>258.31139999999999</v>
      </c>
      <c r="AA220" s="9">
        <f t="shared" si="10"/>
        <v>-5.6544000000000096</v>
      </c>
      <c r="AB220" s="9">
        <f t="shared" si="11"/>
        <v>83.656270833333295</v>
      </c>
    </row>
    <row r="221" spans="1:28">
      <c r="A221" s="8">
        <v>45511</v>
      </c>
      <c r="B221" s="7">
        <f>日前电价!B221-实时电价!B221</f>
        <v>19.223600000000001</v>
      </c>
      <c r="C221" s="7">
        <f>日前电价!C221-实时电价!C221</f>
        <v>55.364699999999999</v>
      </c>
      <c r="D221" s="7">
        <f>日前电价!D221-实时电价!D221</f>
        <v>41.400300000000001</v>
      </c>
      <c r="E221" s="7">
        <f>日前电价!E221-实时电价!E221</f>
        <v>36.167700000000004</v>
      </c>
      <c r="F221" s="7">
        <f>日前电价!F221-实时电价!F221</f>
        <v>34.523099999999999</v>
      </c>
      <c r="G221" s="7">
        <f>日前电价!G221-实时电价!G221</f>
        <v>34.103700000000003</v>
      </c>
      <c r="H221" s="7">
        <f>日前电价!H221-实时电价!H221</f>
        <v>27.3657</v>
      </c>
      <c r="I221" s="7">
        <f>日前电价!I221-实时电价!I221</f>
        <v>21.533300000000001</v>
      </c>
      <c r="J221" s="7">
        <f>日前电价!J221-实时电价!J221</f>
        <v>41.355499999999999</v>
      </c>
      <c r="K221" s="7">
        <f>日前电价!K221-实时电价!K221</f>
        <v>103.39400000000001</v>
      </c>
      <c r="L221" s="7">
        <f>日前电价!L221-实时电价!L221</f>
        <v>84.922799999999995</v>
      </c>
      <c r="M221" s="7">
        <f>日前电价!M221-实时电价!M221</f>
        <v>90.606800000000007</v>
      </c>
      <c r="N221" s="7">
        <f>日前电价!N221-实时电价!N221</f>
        <v>85.648300000000006</v>
      </c>
      <c r="O221" s="7">
        <f>日前电价!O221-实时电价!O221</f>
        <v>142.88890000000001</v>
      </c>
      <c r="P221" s="7">
        <f>日前电价!P221-实时电价!P221</f>
        <v>245.84280000000001</v>
      </c>
      <c r="Q221" s="7">
        <f>日前电价!Q221-实时电价!Q221</f>
        <v>240.99549999999999</v>
      </c>
      <c r="R221" s="7">
        <f>日前电价!R221-实时电价!R221</f>
        <v>241.3672</v>
      </c>
      <c r="S221" s="7">
        <f>日前电价!S221-实时电价!S221</f>
        <v>132.0506</v>
      </c>
      <c r="T221" s="7">
        <f>日前电价!T221-实时电价!T221</f>
        <v>52.866799999999998</v>
      </c>
      <c r="U221" s="7">
        <f>日前电价!U221-实时电价!U221</f>
        <v>61.838500000000003</v>
      </c>
      <c r="V221" s="7">
        <f>日前电价!V221-实时电价!V221</f>
        <v>53.399099999999997</v>
      </c>
      <c r="W221" s="7">
        <f>日前电价!W221-实时电价!W221</f>
        <v>65.427499999999995</v>
      </c>
      <c r="X221" s="7">
        <f>日前电价!X221-实时电价!X221</f>
        <v>104.0735</v>
      </c>
      <c r="Y221" s="7">
        <f>日前电价!Y221-实时电价!Y221</f>
        <v>57.756700000000002</v>
      </c>
      <c r="Z221" s="9">
        <f t="shared" si="9"/>
        <v>245.84280000000001</v>
      </c>
      <c r="AA221" s="9">
        <f t="shared" si="10"/>
        <v>19.223600000000001</v>
      </c>
      <c r="AB221" s="9">
        <f t="shared" si="11"/>
        <v>86.421525000000003</v>
      </c>
    </row>
    <row r="222" spans="1:28">
      <c r="A222" s="8">
        <v>45512</v>
      </c>
      <c r="B222" s="7">
        <f>日前电价!B222-实时电价!B222</f>
        <v>-25.421399999999998</v>
      </c>
      <c r="C222" s="7">
        <f>日前电价!C222-实时电价!C222</f>
        <v>12.156700000000001</v>
      </c>
      <c r="D222" s="7">
        <f>日前电价!D222-实时电价!D222</f>
        <v>19.867799999999999</v>
      </c>
      <c r="E222" s="7">
        <f>日前电价!E222-实时电价!E222</f>
        <v>10.543100000000001</v>
      </c>
      <c r="F222" s="7">
        <f>日前电价!F222-实时电价!F222</f>
        <v>13.197699999999999</v>
      </c>
      <c r="G222" s="7">
        <f>日前电价!G222-实时电价!G222</f>
        <v>13.5718</v>
      </c>
      <c r="H222" s="7">
        <f>日前电价!H222-实时电价!H222</f>
        <v>13.2797</v>
      </c>
      <c r="I222" s="7">
        <f>日前电价!I222-实时电价!I222</f>
        <v>8.1340000000000092</v>
      </c>
      <c r="J222" s="7">
        <f>日前电价!J222-实时电价!J222</f>
        <v>13.2807</v>
      </c>
      <c r="K222" s="7">
        <f>日前电价!K222-实时电价!K222</f>
        <v>33.933500000000002</v>
      </c>
      <c r="L222" s="7">
        <f>日前电价!L222-实时电价!L222</f>
        <v>50.606699999999996</v>
      </c>
      <c r="M222" s="7">
        <f>日前电价!M222-实时电价!M222</f>
        <v>45.732700000000001</v>
      </c>
      <c r="N222" s="7">
        <f>日前电价!N222-实时电价!N222</f>
        <v>51.392800000000001</v>
      </c>
      <c r="O222" s="7">
        <f>日前电价!O222-实时电价!O222</f>
        <v>62.825400000000002</v>
      </c>
      <c r="P222" s="7">
        <f>日前电价!P222-实时电价!P222</f>
        <v>110.45829999999999</v>
      </c>
      <c r="Q222" s="7">
        <f>日前电价!Q222-实时电价!Q222</f>
        <v>95.217399999999998</v>
      </c>
      <c r="R222" s="7">
        <f>日前电价!R222-实时电价!R222</f>
        <v>77.300299999999993</v>
      </c>
      <c r="S222" s="7">
        <f>日前电价!S222-实时电价!S222</f>
        <v>47.624899999999997</v>
      </c>
      <c r="T222" s="7">
        <f>日前电价!T222-实时电价!T222</f>
        <v>10.380100000000001</v>
      </c>
      <c r="U222" s="7">
        <f>日前电价!U222-实时电价!U222</f>
        <v>14.468299999999999</v>
      </c>
      <c r="V222" s="7">
        <f>日前电价!V222-实时电价!V222</f>
        <v>4.3879000000000001</v>
      </c>
      <c r="W222" s="7">
        <f>日前电价!W222-实时电价!W222</f>
        <v>2.79600000000005</v>
      </c>
      <c r="X222" s="7">
        <f>日前电价!X222-实时电价!X222</f>
        <v>2.4470000000000001</v>
      </c>
      <c r="Y222" s="7">
        <f>日前电价!Y222-实时电价!Y222</f>
        <v>10.287699999999999</v>
      </c>
      <c r="Z222" s="9">
        <f t="shared" si="9"/>
        <v>110.45829999999999</v>
      </c>
      <c r="AA222" s="9">
        <f t="shared" si="10"/>
        <v>-25.421399999999998</v>
      </c>
      <c r="AB222" s="9">
        <f t="shared" si="11"/>
        <v>29.1028791666667</v>
      </c>
    </row>
    <row r="223" spans="1:28">
      <c r="A223" s="8">
        <v>45513</v>
      </c>
      <c r="B223" s="7">
        <f>日前电价!B223-实时电价!B223</f>
        <v>2.6900000000011901E-2</v>
      </c>
      <c r="C223" s="7">
        <f>日前电价!C223-实时电价!C223</f>
        <v>7.6661999999999999</v>
      </c>
      <c r="D223" s="7">
        <f>日前电价!D223-实时电价!D223</f>
        <v>2.3547000000000402</v>
      </c>
      <c r="E223" s="7">
        <f>日前电价!E223-实时电价!E223</f>
        <v>11.047700000000001</v>
      </c>
      <c r="F223" s="7">
        <f>日前电价!F223-实时电价!F223</f>
        <v>6.7180000000000204</v>
      </c>
      <c r="G223" s="7">
        <f>日前电价!G223-实时电价!G223</f>
        <v>6.5665999999999896</v>
      </c>
      <c r="H223" s="7">
        <f>日前电价!H223-实时电价!H223</f>
        <v>3.7855000000000101</v>
      </c>
      <c r="I223" s="7">
        <f>日前电价!I223-实时电价!I223</f>
        <v>-2.0190999999999799</v>
      </c>
      <c r="J223" s="7">
        <f>日前电价!J223-实时电价!J223</f>
        <v>3.9757000000000202</v>
      </c>
      <c r="K223" s="7">
        <f>日前电价!K223-实时电价!K223</f>
        <v>22.3598</v>
      </c>
      <c r="L223" s="7">
        <f>日前电价!L223-实时电价!L223</f>
        <v>44.644300000000001</v>
      </c>
      <c r="M223" s="7">
        <f>日前电价!M223-实时电价!M223</f>
        <v>56.841099999999997</v>
      </c>
      <c r="N223" s="7">
        <f>日前电价!N223-实时电价!N223</f>
        <v>76.2988</v>
      </c>
      <c r="O223" s="7">
        <f>日前电价!O223-实时电价!O223</f>
        <v>55.139499999999998</v>
      </c>
      <c r="P223" s="7">
        <f>日前电价!P223-实时电价!P223</f>
        <v>76.918499999999995</v>
      </c>
      <c r="Q223" s="7">
        <f>日前电价!Q223-实时电价!Q223</f>
        <v>47.053400000000003</v>
      </c>
      <c r="R223" s="7">
        <f>日前电价!R223-实时电价!R223</f>
        <v>43.758299999999998</v>
      </c>
      <c r="S223" s="7">
        <f>日前电价!S223-实时电价!S223</f>
        <v>38.313600000000001</v>
      </c>
      <c r="T223" s="7">
        <f>日前电价!T223-实时电价!T223</f>
        <v>29.8019</v>
      </c>
      <c r="U223" s="7">
        <f>日前电价!U223-实时电价!U223</f>
        <v>32.6066</v>
      </c>
      <c r="V223" s="7">
        <f>日前电价!V223-实时电价!V223</f>
        <v>18.935400000000001</v>
      </c>
      <c r="W223" s="7">
        <f>日前电价!W223-实时电价!W223</f>
        <v>13.091200000000001</v>
      </c>
      <c r="X223" s="7">
        <f>日前电价!X223-实时电价!X223</f>
        <v>35.642699999999998</v>
      </c>
      <c r="Y223" s="7">
        <f>日前电价!Y223-实时电价!Y223</f>
        <v>17.602799999999998</v>
      </c>
      <c r="Z223" s="9">
        <f t="shared" si="9"/>
        <v>76.918499999999995</v>
      </c>
      <c r="AA223" s="9">
        <f t="shared" si="10"/>
        <v>-2.0190999999999799</v>
      </c>
      <c r="AB223" s="9">
        <f t="shared" si="11"/>
        <v>27.0470875</v>
      </c>
    </row>
    <row r="224" spans="1:28">
      <c r="A224" s="8">
        <v>45514</v>
      </c>
      <c r="B224" s="7">
        <f>日前电价!B224-实时电价!B224</f>
        <v>-40.918999999999997</v>
      </c>
      <c r="C224" s="7">
        <f>日前电价!C224-实时电价!C224</f>
        <v>-10.0151</v>
      </c>
      <c r="D224" s="7">
        <f>日前电价!D224-实时电价!D224</f>
        <v>-15.3546</v>
      </c>
      <c r="E224" s="7">
        <f>日前电价!E224-实时电价!E224</f>
        <v>-7.0226000000000104</v>
      </c>
      <c r="F224" s="7">
        <f>日前电价!F224-实时电价!F224</f>
        <v>-8.7883999999999691</v>
      </c>
      <c r="G224" s="7">
        <f>日前电价!G224-实时电价!G224</f>
        <v>-8.8684000000000101</v>
      </c>
      <c r="H224" s="7">
        <f>日前电价!H224-实时电价!H224</f>
        <v>-3.8404999999999601</v>
      </c>
      <c r="I224" s="7">
        <f>日前电价!I224-实时电价!I224</f>
        <v>-0.556300000000022</v>
      </c>
      <c r="J224" s="7">
        <f>日前电价!J224-实时电价!J224</f>
        <v>9.6501999999999803</v>
      </c>
      <c r="K224" s="7">
        <f>日前电价!K224-实时电价!K224</f>
        <v>6.9982999999999702</v>
      </c>
      <c r="L224" s="7">
        <f>日前电价!L224-实时电价!L224</f>
        <v>7.5430000000000099</v>
      </c>
      <c r="M224" s="7">
        <f>日前电价!M224-实时电价!M224</f>
        <v>16.6752</v>
      </c>
      <c r="N224" s="7">
        <f>日前电价!N224-实时电价!N224</f>
        <v>40.4268</v>
      </c>
      <c r="O224" s="7">
        <f>日前电价!O224-实时电价!O224</f>
        <v>28.1858</v>
      </c>
      <c r="P224" s="7">
        <f>日前电价!P224-实时电价!P224</f>
        <v>77.175799999999995</v>
      </c>
      <c r="Q224" s="7">
        <f>日前电价!Q224-实时电价!Q224</f>
        <v>59.853999999999999</v>
      </c>
      <c r="R224" s="7">
        <f>日前电价!R224-实时电价!R224</f>
        <v>46.584000000000003</v>
      </c>
      <c r="S224" s="7">
        <f>日前电价!S224-实时电价!S224</f>
        <v>39.942900000000002</v>
      </c>
      <c r="T224" s="7">
        <f>日前电价!T224-实时电价!T224</f>
        <v>19.484100000000002</v>
      </c>
      <c r="U224" s="7">
        <f>日前电价!U224-实时电价!U224</f>
        <v>10.9772</v>
      </c>
      <c r="V224" s="7">
        <f>日前电价!V224-实时电价!V224</f>
        <v>12.1205</v>
      </c>
      <c r="W224" s="7">
        <f>日前电价!W224-实时电价!W224</f>
        <v>5.3826000000000196</v>
      </c>
      <c r="X224" s="7">
        <f>日前电价!X224-实时电价!X224</f>
        <v>17.089300000000001</v>
      </c>
      <c r="Y224" s="7">
        <f>日前电价!Y224-实时电价!Y224</f>
        <v>14.9291</v>
      </c>
      <c r="Z224" s="9">
        <f t="shared" si="9"/>
        <v>77.175799999999995</v>
      </c>
      <c r="AA224" s="9">
        <f t="shared" si="10"/>
        <v>-40.918999999999997</v>
      </c>
      <c r="AB224" s="9">
        <f t="shared" si="11"/>
        <v>13.2355791666667</v>
      </c>
    </row>
    <row r="225" spans="1:28">
      <c r="A225" s="8">
        <v>45515</v>
      </c>
      <c r="B225" s="7">
        <f>日前电价!B225-实时电价!B225</f>
        <v>-13.2416</v>
      </c>
      <c r="C225" s="7">
        <f>日前电价!C225-实时电价!C225</f>
        <v>23.2867</v>
      </c>
      <c r="D225" s="7">
        <f>日前电价!D225-实时电价!D225</f>
        <v>-6.8872999999999802</v>
      </c>
      <c r="E225" s="7">
        <f>日前电价!E225-实时电价!E225</f>
        <v>3.77010000000001</v>
      </c>
      <c r="F225" s="7">
        <f>日前电价!F225-实时电价!F225</f>
        <v>10.7507</v>
      </c>
      <c r="G225" s="7">
        <f>日前电价!G225-实时电价!G225</f>
        <v>9.4107000000000198</v>
      </c>
      <c r="H225" s="7">
        <f>日前电价!H225-实时电价!H225</f>
        <v>3.2754999999999699</v>
      </c>
      <c r="I225" s="7">
        <f>日前电价!I225-实时电价!I225</f>
        <v>6.6646999999999803</v>
      </c>
      <c r="J225" s="7">
        <f>日前电价!J225-实时电价!J225</f>
        <v>36.116100000000003</v>
      </c>
      <c r="K225" s="7">
        <f>日前电价!K225-实时电价!K225</f>
        <v>15.7445</v>
      </c>
      <c r="L225" s="7">
        <f>日前电价!L225-实时电价!L225</f>
        <v>49.9422</v>
      </c>
      <c r="M225" s="7">
        <f>日前电价!M225-实时电价!M225</f>
        <v>104.85599999999999</v>
      </c>
      <c r="N225" s="7">
        <f>日前电价!N225-实时电价!N225</f>
        <v>62.0229</v>
      </c>
      <c r="O225" s="7">
        <f>日前电价!O225-实时电价!O225</f>
        <v>23.0885</v>
      </c>
      <c r="P225" s="7">
        <f>日前电价!P225-实时电价!P225</f>
        <v>50.672699999999999</v>
      </c>
      <c r="Q225" s="7">
        <f>日前电价!Q225-实时电价!Q225</f>
        <v>40.3172</v>
      </c>
      <c r="R225" s="7">
        <f>日前电价!R225-实时电价!R225</f>
        <v>50.691499999999998</v>
      </c>
      <c r="S225" s="7">
        <f>日前电价!S225-实时电价!S225</f>
        <v>33.458199999999998</v>
      </c>
      <c r="T225" s="7">
        <f>日前电价!T225-实时电价!T225</f>
        <v>38.270699999999998</v>
      </c>
      <c r="U225" s="7">
        <f>日前电价!U225-实时电价!U225</f>
        <v>32.378100000000003</v>
      </c>
      <c r="V225" s="7">
        <f>日前电价!V225-实时电价!V225</f>
        <v>42.497999999999998</v>
      </c>
      <c r="W225" s="7">
        <f>日前电价!W225-实时电价!W225</f>
        <v>38.6218</v>
      </c>
      <c r="X225" s="7">
        <f>日前电价!X225-实时电价!X225</f>
        <v>42.896299999999997</v>
      </c>
      <c r="Y225" s="7">
        <f>日前电价!Y225-实时电价!Y225</f>
        <v>34.762300000000003</v>
      </c>
      <c r="Z225" s="9">
        <f t="shared" si="9"/>
        <v>104.85599999999999</v>
      </c>
      <c r="AA225" s="9">
        <f t="shared" si="10"/>
        <v>-13.2416</v>
      </c>
      <c r="AB225" s="9">
        <f t="shared" si="11"/>
        <v>30.5569375</v>
      </c>
    </row>
    <row r="226" spans="1:28">
      <c r="A226" s="8">
        <v>45516</v>
      </c>
      <c r="B226" s="7">
        <f>日前电价!B226-实时电价!B226</f>
        <v>-19.559200000000001</v>
      </c>
      <c r="C226" s="7">
        <f>日前电价!C226-实时电价!C226</f>
        <v>14.311400000000001</v>
      </c>
      <c r="D226" s="7">
        <f>日前电价!D226-实时电价!D226</f>
        <v>19.149100000000001</v>
      </c>
      <c r="E226" s="7">
        <f>日前电价!E226-实时电价!E226</f>
        <v>22.454799999999999</v>
      </c>
      <c r="F226" s="7">
        <f>日前电价!F226-实时电价!F226</f>
        <v>15.9389</v>
      </c>
      <c r="G226" s="7">
        <f>日前电价!G226-实时电价!G226</f>
        <v>10.1054999999999</v>
      </c>
      <c r="H226" s="7">
        <f>日前电价!H226-实时电价!H226</f>
        <v>11.235200000000001</v>
      </c>
      <c r="I226" s="7">
        <f>日前电价!I226-实时电价!I226</f>
        <v>4.7828000000000097</v>
      </c>
      <c r="J226" s="7">
        <f>日前电价!J226-实时电价!J226</f>
        <v>13.976699999999999</v>
      </c>
      <c r="K226" s="7">
        <f>日前电价!K226-实时电价!K226</f>
        <v>8.5686</v>
      </c>
      <c r="L226" s="7">
        <f>日前电价!L226-实时电价!L226</f>
        <v>24.9542</v>
      </c>
      <c r="M226" s="7">
        <f>日前电价!M226-实时电价!M226</f>
        <v>43.232100000000003</v>
      </c>
      <c r="N226" s="7">
        <f>日前电价!N226-实时电价!N226</f>
        <v>94.885400000000004</v>
      </c>
      <c r="O226" s="7">
        <f>日前电价!O226-实时电价!O226</f>
        <v>33.3581</v>
      </c>
      <c r="P226" s="7">
        <f>日前电价!P226-实时电价!P226</f>
        <v>48.661799999999999</v>
      </c>
      <c r="Q226" s="7">
        <f>日前电价!Q226-实时电价!Q226</f>
        <v>51.316400000000002</v>
      </c>
      <c r="R226" s="7">
        <f>日前电价!R226-实时电价!R226</f>
        <v>30.384599999999999</v>
      </c>
      <c r="S226" s="7">
        <f>日前电价!S226-实时电价!S226</f>
        <v>20.615500000000001</v>
      </c>
      <c r="T226" s="7">
        <f>日前电价!T226-实时电价!T226</f>
        <v>16.2896</v>
      </c>
      <c r="U226" s="7">
        <f>日前电价!U226-实时电价!U226</f>
        <v>-1.1245999999999901</v>
      </c>
      <c r="V226" s="7">
        <f>日前电价!V226-实时电价!V226</f>
        <v>25.144300000000001</v>
      </c>
      <c r="W226" s="7">
        <f>日前电价!W226-实时电价!W226</f>
        <v>39.136600000000001</v>
      </c>
      <c r="X226" s="7">
        <f>日前电价!X226-实时电价!X226</f>
        <v>40.399700000000003</v>
      </c>
      <c r="Y226" s="7">
        <f>日前电价!Y226-实时电价!Y226</f>
        <v>35.829799999999999</v>
      </c>
      <c r="Z226" s="9">
        <f t="shared" si="9"/>
        <v>94.885400000000004</v>
      </c>
      <c r="AA226" s="9">
        <f t="shared" si="10"/>
        <v>-19.559200000000001</v>
      </c>
      <c r="AB226" s="9">
        <f t="shared" si="11"/>
        <v>25.168637499999999</v>
      </c>
    </row>
    <row r="227" spans="1:28">
      <c r="A227" s="8">
        <v>45517</v>
      </c>
      <c r="B227" s="7">
        <f>日前电价!B227-实时电价!B227</f>
        <v>23.776599999999998</v>
      </c>
      <c r="C227" s="7">
        <f>日前电价!C227-实时电价!C227</f>
        <v>14.4079</v>
      </c>
      <c r="D227" s="7">
        <f>日前电价!D227-实时电价!D227</f>
        <v>17.097300000000001</v>
      </c>
      <c r="E227" s="7">
        <f>日前电价!E227-实时电价!E227</f>
        <v>17.73</v>
      </c>
      <c r="F227" s="7">
        <f>日前电价!F227-实时电价!F227</f>
        <v>17.0105</v>
      </c>
      <c r="G227" s="7">
        <f>日前电价!G227-实时电价!G227</f>
        <v>10.5909</v>
      </c>
      <c r="H227" s="7">
        <f>日前电价!H227-实时电价!H227</f>
        <v>6.4647999999999701</v>
      </c>
      <c r="I227" s="7">
        <f>日前电价!I227-实时电价!I227</f>
        <v>1.44759999999997</v>
      </c>
      <c r="J227" s="7">
        <f>日前电价!J227-实时电价!J227</f>
        <v>-3.6281999999999899</v>
      </c>
      <c r="K227" s="7">
        <f>日前电价!K227-实时电价!K227</f>
        <v>-8.9512999999999998</v>
      </c>
      <c r="L227" s="7">
        <f>日前电价!L227-实时电价!L227</f>
        <v>26.742999999999999</v>
      </c>
      <c r="M227" s="7">
        <f>日前电价!M227-实时电价!M227</f>
        <v>52.6205</v>
      </c>
      <c r="N227" s="7">
        <f>日前电价!N227-实时电价!N227</f>
        <v>93.5535</v>
      </c>
      <c r="O227" s="7">
        <f>日前电价!O227-实时电价!O227</f>
        <v>3.95350000000002</v>
      </c>
      <c r="P227" s="7">
        <f>日前电价!P227-实时电价!P227</f>
        <v>-48.722200000000001</v>
      </c>
      <c r="Q227" s="7">
        <f>日前电价!Q227-实时电价!Q227</f>
        <v>21.382999999999999</v>
      </c>
      <c r="R227" s="7">
        <f>日前电价!R227-实时电价!R227</f>
        <v>19.7837</v>
      </c>
      <c r="S227" s="7">
        <f>日前电价!S227-实时电价!S227</f>
        <v>17.4846</v>
      </c>
      <c r="T227" s="7">
        <f>日前电价!T227-实时电价!T227</f>
        <v>18.474799999999998</v>
      </c>
      <c r="U227" s="7">
        <f>日前电价!U227-实时电价!U227</f>
        <v>13.411899999999999</v>
      </c>
      <c r="V227" s="7">
        <f>日前电价!V227-实时电价!V227</f>
        <v>17.822500000000002</v>
      </c>
      <c r="W227" s="7">
        <f>日前电价!W227-实时电价!W227</f>
        <v>13.866400000000001</v>
      </c>
      <c r="X227" s="7">
        <f>日前电价!X227-实时电价!X227</f>
        <v>18.422999999999998</v>
      </c>
      <c r="Y227" s="7">
        <f>日前电价!Y227-实时电价!Y227</f>
        <v>14.656700000000001</v>
      </c>
      <c r="Z227" s="9">
        <f t="shared" si="9"/>
        <v>93.5535</v>
      </c>
      <c r="AA227" s="9">
        <f t="shared" si="10"/>
        <v>-48.722200000000001</v>
      </c>
      <c r="AB227" s="9">
        <f t="shared" si="11"/>
        <v>15.808375</v>
      </c>
    </row>
    <row r="228" spans="1:28">
      <c r="A228" s="8">
        <v>45518</v>
      </c>
      <c r="B228" s="7">
        <f>日前电价!B228-实时电价!B228</f>
        <v>-7.5767999999999898</v>
      </c>
      <c r="C228" s="7">
        <f>日前电价!C228-实时电价!C228</f>
        <v>7.1762000000000503</v>
      </c>
      <c r="D228" s="7">
        <f>日前电价!D228-实时电价!D228</f>
        <v>2.8005</v>
      </c>
      <c r="E228" s="7">
        <f>日前电价!E228-实时电价!E228</f>
        <v>0.91559999999998398</v>
      </c>
      <c r="F228" s="7">
        <f>日前电价!F228-实时电价!F228</f>
        <v>5.9900999999999804</v>
      </c>
      <c r="G228" s="7">
        <f>日前电价!G228-实时电价!G228</f>
        <v>6.2092000000000098</v>
      </c>
      <c r="H228" s="7">
        <f>日前电价!H228-实时电价!H228</f>
        <v>1.43480000000005</v>
      </c>
      <c r="I228" s="7">
        <f>日前电价!I228-实时电价!I228</f>
        <v>4.2103000000000197</v>
      </c>
      <c r="J228" s="7">
        <f>日前电价!J228-实时电价!J228</f>
        <v>19.703900000000001</v>
      </c>
      <c r="K228" s="7">
        <f>日前电价!K228-实时电价!K228</f>
        <v>22.641100000000002</v>
      </c>
      <c r="L228" s="7">
        <f>日前电价!L228-实时电价!L228</f>
        <v>25.445799999999998</v>
      </c>
      <c r="M228" s="7">
        <f>日前电价!M228-实时电价!M228</f>
        <v>27.290500000000002</v>
      </c>
      <c r="N228" s="7">
        <f>日前电价!N228-实时电价!N228</f>
        <v>92.186499999999995</v>
      </c>
      <c r="O228" s="7">
        <f>日前电价!O228-实时电价!O228</f>
        <v>65.456199999999995</v>
      </c>
      <c r="P228" s="7">
        <f>日前电价!P228-实时电价!P228</f>
        <v>87.003399999999999</v>
      </c>
      <c r="Q228" s="7">
        <f>日前电价!Q228-实时电价!Q228</f>
        <v>64.117199999999997</v>
      </c>
      <c r="R228" s="7">
        <f>日前电价!R228-实时电价!R228</f>
        <v>57.131100000000004</v>
      </c>
      <c r="S228" s="7">
        <f>日前电价!S228-实时电价!S228</f>
        <v>35.450299999999999</v>
      </c>
      <c r="T228" s="7">
        <f>日前电价!T228-实时电价!T228</f>
        <v>14.7433</v>
      </c>
      <c r="U228" s="7">
        <f>日前电价!U228-实时电价!U228</f>
        <v>0.895100000000014</v>
      </c>
      <c r="V228" s="7">
        <f>日前电价!V228-实时电价!V228</f>
        <v>16.935400000000001</v>
      </c>
      <c r="W228" s="7">
        <f>日前电价!W228-实时电价!W228</f>
        <v>16.640799999999999</v>
      </c>
      <c r="X228" s="7">
        <f>日前电价!X228-实时电价!X228</f>
        <v>16.754200000000001</v>
      </c>
      <c r="Y228" s="7">
        <f>日前电价!Y228-实时电价!Y228</f>
        <v>17.8125</v>
      </c>
      <c r="Z228" s="9">
        <f t="shared" si="9"/>
        <v>92.186499999999995</v>
      </c>
      <c r="AA228" s="9">
        <f t="shared" si="10"/>
        <v>-7.5767999999999898</v>
      </c>
      <c r="AB228" s="9">
        <f t="shared" si="11"/>
        <v>25.0569666666667</v>
      </c>
    </row>
    <row r="229" spans="1:28">
      <c r="A229" s="8">
        <v>45519</v>
      </c>
      <c r="B229" s="7">
        <f>日前电价!B229-实时电价!B229</f>
        <v>6.8765999999999998</v>
      </c>
      <c r="C229" s="7">
        <f>日前电价!C229-实时电价!C229</f>
        <v>3.9874999999999501</v>
      </c>
      <c r="D229" s="7">
        <f>日前电价!D229-实时电价!D229</f>
        <v>4.8475999999999999</v>
      </c>
      <c r="E229" s="7">
        <f>日前电价!E229-实时电价!E229</f>
        <v>5.5777999999999697</v>
      </c>
      <c r="F229" s="7">
        <f>日前电价!F229-实时电价!F229</f>
        <v>3.8258999999999901</v>
      </c>
      <c r="G229" s="7">
        <f>日前电价!G229-实时电价!G229</f>
        <v>4.1861999999999897</v>
      </c>
      <c r="H229" s="7">
        <f>日前电价!H229-实时电价!H229</f>
        <v>2.91139999999996</v>
      </c>
      <c r="I229" s="7">
        <f>日前电价!I229-实时电价!I229</f>
        <v>4.2271000000000098</v>
      </c>
      <c r="J229" s="7">
        <f>日前电价!J229-实时电价!J229</f>
        <v>19.819199999999999</v>
      </c>
      <c r="K229" s="7">
        <f>日前电价!K229-实时电价!K229</f>
        <v>16.562899999999999</v>
      </c>
      <c r="L229" s="7">
        <f>日前电价!L229-实时电价!L229</f>
        <v>60.762700000000102</v>
      </c>
      <c r="M229" s="7">
        <f>日前电价!M229-实时电价!M229</f>
        <v>48.757599999999996</v>
      </c>
      <c r="N229" s="7">
        <f>日前电价!N229-实时电价!N229</f>
        <v>134.73230000000001</v>
      </c>
      <c r="O229" s="7">
        <f>日前电价!O229-实时电价!O229</f>
        <v>112.71259999999999</v>
      </c>
      <c r="P229" s="7">
        <f>日前电价!P229-实时电价!P229</f>
        <v>143.89869999999999</v>
      </c>
      <c r="Q229" s="7">
        <f>日前电价!Q229-实时电价!Q229</f>
        <v>113.55840000000001</v>
      </c>
      <c r="R229" s="7">
        <f>日前电价!R229-实时电价!R229</f>
        <v>70.994699999999995</v>
      </c>
      <c r="S229" s="7">
        <f>日前电价!S229-实时电价!S229</f>
        <v>63.316000000000003</v>
      </c>
      <c r="T229" s="7">
        <f>日前电价!T229-实时电价!T229</f>
        <v>32.374200000000002</v>
      </c>
      <c r="U229" s="7">
        <f>日前电价!U229-实时电价!U229</f>
        <v>38.646599999999999</v>
      </c>
      <c r="V229" s="7">
        <f>日前电价!V229-实时电价!V229</f>
        <v>38.305100000000003</v>
      </c>
      <c r="W229" s="7">
        <f>日前电价!W229-实时电价!W229</f>
        <v>29.31</v>
      </c>
      <c r="X229" s="7">
        <f>日前电价!X229-实时电价!X229</f>
        <v>33.253500000000003</v>
      </c>
      <c r="Y229" s="7">
        <f>日前电价!Y229-实时电价!Y229</f>
        <v>45.781199999999998</v>
      </c>
      <c r="Z229" s="9">
        <f t="shared" si="9"/>
        <v>143.89869999999999</v>
      </c>
      <c r="AA229" s="9">
        <f t="shared" si="10"/>
        <v>2.91139999999996</v>
      </c>
      <c r="AB229" s="9">
        <f t="shared" si="11"/>
        <v>43.301074999999997</v>
      </c>
    </row>
    <row r="230" spans="1:28">
      <c r="A230" s="8">
        <v>45520</v>
      </c>
      <c r="B230" s="7">
        <f>日前电价!B230-实时电价!B230</f>
        <v>13.401400000000001</v>
      </c>
      <c r="C230" s="7">
        <f>日前电价!C230-实时电价!C230</f>
        <v>18.402100000000001</v>
      </c>
      <c r="D230" s="7">
        <f>日前电价!D230-实时电价!D230</f>
        <v>20.1602</v>
      </c>
      <c r="E230" s="7">
        <f>日前电价!E230-实时电价!E230</f>
        <v>48.542299999999997</v>
      </c>
      <c r="F230" s="7">
        <f>日前电价!F230-实时电价!F230</f>
        <v>136.84180000000001</v>
      </c>
      <c r="G230" s="7">
        <f>日前电价!G230-实时电价!G230</f>
        <v>212.92529999999999</v>
      </c>
      <c r="H230" s="7">
        <f>日前电价!H230-实时电价!H230</f>
        <v>86.851200000000006</v>
      </c>
      <c r="I230" s="7">
        <f>日前电价!I230-实时电价!I230</f>
        <v>3.30250000000001</v>
      </c>
      <c r="J230" s="7">
        <f>日前电价!J230-实时电价!J230</f>
        <v>11.0389</v>
      </c>
      <c r="K230" s="7">
        <f>日前电价!K230-实时电价!K230</f>
        <v>40.472299999999997</v>
      </c>
      <c r="L230" s="7">
        <f>日前电价!L230-实时电价!L230</f>
        <v>49.728200000000001</v>
      </c>
      <c r="M230" s="7">
        <f>日前电价!M230-实时电价!M230</f>
        <v>41.471800000000002</v>
      </c>
      <c r="N230" s="7">
        <f>日前电价!N230-实时电价!N230</f>
        <v>100.86750000000001</v>
      </c>
      <c r="O230" s="7">
        <f>日前电价!O230-实时电价!O230</f>
        <v>19.495999999999999</v>
      </c>
      <c r="P230" s="7">
        <f>日前电价!P230-实时电价!P230</f>
        <v>29.288799999999998</v>
      </c>
      <c r="Q230" s="7">
        <f>日前电价!Q230-实时电价!Q230</f>
        <v>24.144600000000001</v>
      </c>
      <c r="R230" s="7">
        <f>日前电价!R230-实时电价!R230</f>
        <v>19.456199999999999</v>
      </c>
      <c r="S230" s="7">
        <f>日前电价!S230-实时电价!S230</f>
        <v>20.083400000000001</v>
      </c>
      <c r="T230" s="7">
        <f>日前电价!T230-实时电价!T230</f>
        <v>24.658799999999999</v>
      </c>
      <c r="U230" s="7">
        <f>日前电价!U230-实时电价!U230</f>
        <v>10.166499999999999</v>
      </c>
      <c r="V230" s="7">
        <f>日前电价!V230-实时电价!V230</f>
        <v>9.8136999999999794</v>
      </c>
      <c r="W230" s="7">
        <f>日前电价!W230-实时电价!W230</f>
        <v>10.874499999999999</v>
      </c>
      <c r="X230" s="7">
        <f>日前电价!X230-实时电价!X230</f>
        <v>21.564900000000002</v>
      </c>
      <c r="Y230" s="7">
        <f>日前电价!Y230-实时电价!Y230</f>
        <v>19.268799999999999</v>
      </c>
      <c r="Z230" s="9">
        <f t="shared" si="9"/>
        <v>212.92529999999999</v>
      </c>
      <c r="AA230" s="9">
        <f t="shared" si="10"/>
        <v>3.30250000000001</v>
      </c>
      <c r="AB230" s="9">
        <f t="shared" si="11"/>
        <v>41.367570833333303</v>
      </c>
    </row>
    <row r="231" spans="1:28">
      <c r="A231" s="8">
        <v>45521</v>
      </c>
      <c r="B231" s="7">
        <f>日前电价!B231-实时电价!B231</f>
        <v>-33.979700000000001</v>
      </c>
      <c r="C231" s="7">
        <f>日前电价!C231-实时电价!C231</f>
        <v>2.9527999999999701</v>
      </c>
      <c r="D231" s="7">
        <f>日前电价!D231-实时电价!D231</f>
        <v>2.4100000000000201</v>
      </c>
      <c r="E231" s="7">
        <f>日前电价!E231-实时电价!E231</f>
        <v>0.128299999999967</v>
      </c>
      <c r="F231" s="7">
        <f>日前电价!F231-实时电价!F231</f>
        <v>5.3150000000000004</v>
      </c>
      <c r="G231" s="7">
        <f>日前电价!G231-实时电价!G231</f>
        <v>35.534999999999997</v>
      </c>
      <c r="H231" s="7">
        <f>日前电价!H231-实时电价!H231</f>
        <v>9.36749999999995</v>
      </c>
      <c r="I231" s="7">
        <f>日前电价!I231-实时电价!I231</f>
        <v>10.5586</v>
      </c>
      <c r="J231" s="7">
        <f>日前电价!J231-实时电价!J231</f>
        <v>7.6120000000000196</v>
      </c>
      <c r="K231" s="7">
        <f>日前电价!K231-实时电价!K231</f>
        <v>12.1333</v>
      </c>
      <c r="L231" s="7">
        <f>日前电价!L231-实时电价!L231</f>
        <v>18.411899999999999</v>
      </c>
      <c r="M231" s="7">
        <f>日前电价!M231-实时电价!M231</f>
        <v>77.9709</v>
      </c>
      <c r="N231" s="7">
        <f>日前电价!N231-实时电价!N231</f>
        <v>137.5532</v>
      </c>
      <c r="O231" s="7">
        <f>日前电价!O231-实时电价!O231</f>
        <v>89.529300000000006</v>
      </c>
      <c r="P231" s="7">
        <f>日前电价!P231-实时电价!P231</f>
        <v>36.5291</v>
      </c>
      <c r="Q231" s="7">
        <f>日前电价!Q231-实时电价!Q231</f>
        <v>22.683800000000002</v>
      </c>
      <c r="R231" s="7">
        <f>日前电价!R231-实时电价!R231</f>
        <v>84.718900000000005</v>
      </c>
      <c r="S231" s="7">
        <f>日前电价!S231-实时电价!S231</f>
        <v>48.720700000000001</v>
      </c>
      <c r="T231" s="7">
        <f>日前电价!T231-实时电价!T231</f>
        <v>65.995800000000003</v>
      </c>
      <c r="U231" s="7">
        <f>日前电价!U231-实时电价!U231</f>
        <v>13.209300000000001</v>
      </c>
      <c r="V231" s="7">
        <f>日前电价!V231-实时电价!V231</f>
        <v>8.3815999999999899</v>
      </c>
      <c r="W231" s="7">
        <f>日前电价!W231-实时电价!W231</f>
        <v>5.3974999999999804</v>
      </c>
      <c r="X231" s="7">
        <f>日前电价!X231-实时电价!X231</f>
        <v>11.0266</v>
      </c>
      <c r="Y231" s="7">
        <f>日前电价!Y231-实时电价!Y231</f>
        <v>88.334999999999994</v>
      </c>
      <c r="Z231" s="9">
        <f t="shared" si="9"/>
        <v>137.5532</v>
      </c>
      <c r="AA231" s="9">
        <f t="shared" si="10"/>
        <v>-33.979700000000001</v>
      </c>
      <c r="AB231" s="9">
        <f t="shared" si="11"/>
        <v>31.687349999999999</v>
      </c>
    </row>
    <row r="232" spans="1:28">
      <c r="A232" s="8">
        <v>45522</v>
      </c>
      <c r="B232" s="7">
        <f>日前电价!B232-实时电价!B232</f>
        <v>22.9239</v>
      </c>
      <c r="C232" s="7">
        <f>日前电价!C232-实时电价!C232</f>
        <v>12.776199999999999</v>
      </c>
      <c r="D232" s="7">
        <f>日前电价!D232-实时电价!D232</f>
        <v>35.517600000000002</v>
      </c>
      <c r="E232" s="7">
        <f>日前电价!E232-实时电价!E232</f>
        <v>49.157299999999999</v>
      </c>
      <c r="F232" s="7">
        <f>日前电价!F232-实时电价!F232</f>
        <v>209.42</v>
      </c>
      <c r="G232" s="7">
        <f>日前电价!G232-实时电价!G232</f>
        <v>251.3391</v>
      </c>
      <c r="H232" s="7">
        <f>日前电价!H232-实时电价!H232</f>
        <v>217.58500000000001</v>
      </c>
      <c r="I232" s="7">
        <f>日前电价!I232-实时电价!I232</f>
        <v>70</v>
      </c>
      <c r="J232" s="7">
        <f>日前电价!J232-实时电价!J232</f>
        <v>135.06649999999999</v>
      </c>
      <c r="K232" s="7">
        <f>日前电价!K232-实时电价!K232</f>
        <v>24.8537</v>
      </c>
      <c r="L232" s="7">
        <f>日前电价!L232-实时电价!L232</f>
        <v>-20.5246</v>
      </c>
      <c r="M232" s="7">
        <f>日前电价!M232-实时电价!M232</f>
        <v>67.852800000000002</v>
      </c>
      <c r="N232" s="7">
        <f>日前电价!N232-实时电价!N232</f>
        <v>-39.090299999999999</v>
      </c>
      <c r="O232" s="7">
        <f>日前电价!O232-实时电价!O232</f>
        <v>130.94030000000001</v>
      </c>
      <c r="P232" s="7">
        <f>日前电价!P232-实时电价!P232</f>
        <v>66.254000000000005</v>
      </c>
      <c r="Q232" s="7">
        <f>日前电价!Q232-实时电价!Q232</f>
        <v>43.598199999999999</v>
      </c>
      <c r="R232" s="7">
        <f>日前电价!R232-实时电价!R232</f>
        <v>20.994299999999999</v>
      </c>
      <c r="S232" s="7">
        <f>日前电价!S232-实时电价!S232</f>
        <v>174.8331</v>
      </c>
      <c r="T232" s="7">
        <f>日前电价!T232-实时电价!T232</f>
        <v>188.79179999999999</v>
      </c>
      <c r="U232" s="7">
        <f>日前电价!U232-实时电价!U232</f>
        <v>37.045000000000002</v>
      </c>
      <c r="V232" s="7">
        <f>日前电价!V232-实时电价!V232</f>
        <v>48.381300000000003</v>
      </c>
      <c r="W232" s="7">
        <f>日前电价!W232-实时电价!W232</f>
        <v>106.76130000000001</v>
      </c>
      <c r="X232" s="7">
        <f>日前电价!X232-实时电价!X232</f>
        <v>95.089600000000004</v>
      </c>
      <c r="Y232" s="7">
        <f>日前电价!Y232-实时电价!Y232</f>
        <v>242.54920000000001</v>
      </c>
      <c r="Z232" s="9">
        <f t="shared" si="9"/>
        <v>251.3391</v>
      </c>
      <c r="AA232" s="9">
        <f t="shared" si="10"/>
        <v>-39.090299999999999</v>
      </c>
      <c r="AB232" s="9">
        <f t="shared" si="11"/>
        <v>91.338137500000002</v>
      </c>
    </row>
    <row r="233" spans="1:28">
      <c r="A233" s="8">
        <v>45523</v>
      </c>
      <c r="B233" s="7">
        <f>日前电价!B233-实时电价!B233</f>
        <v>-49.0426</v>
      </c>
      <c r="C233" s="7">
        <f>日前电价!C233-实时电价!C233</f>
        <v>32.006399999999999</v>
      </c>
      <c r="D233" s="7">
        <f>日前电价!D233-实时电价!D233</f>
        <v>163.08410000000001</v>
      </c>
      <c r="E233" s="7">
        <f>日前电价!E233-实时电价!E233</f>
        <v>12.411</v>
      </c>
      <c r="F233" s="7">
        <f>日前电价!F233-实时电价!F233</f>
        <v>0</v>
      </c>
      <c r="G233" s="7">
        <f>日前电价!G233-实时电价!G233</f>
        <v>-1.1532</v>
      </c>
      <c r="H233" s="7">
        <f>日前电价!H233-实时电价!H233</f>
        <v>0</v>
      </c>
      <c r="I233" s="7">
        <f>日前电价!I233-实时电价!I233</f>
        <v>-99.3172</v>
      </c>
      <c r="J233" s="7">
        <f>日前电价!J233-实时电价!J233</f>
        <v>-23.1859</v>
      </c>
      <c r="K233" s="7">
        <f>日前电价!K233-实时电价!K233</f>
        <v>-229.5087</v>
      </c>
      <c r="L233" s="7">
        <f>日前电价!L233-实时电价!L233</f>
        <v>-2.0520999999999998</v>
      </c>
      <c r="M233" s="7">
        <f>日前电价!M233-实时电价!M233</f>
        <v>34.912199999999999</v>
      </c>
      <c r="N233" s="7">
        <f>日前电价!N233-实时电价!N233</f>
        <v>90.651899999999998</v>
      </c>
      <c r="O233" s="7">
        <f>日前电价!O233-实时电价!O233</f>
        <v>17.156700000000001</v>
      </c>
      <c r="P233" s="7">
        <f>日前电价!P233-实时电价!P233</f>
        <v>24.409800000000001</v>
      </c>
      <c r="Q233" s="7">
        <f>日前电价!Q233-实时电价!Q233</f>
        <v>14.1812</v>
      </c>
      <c r="R233" s="7">
        <f>日前电价!R233-实时电价!R233</f>
        <v>5.6803999999999597</v>
      </c>
      <c r="S233" s="7">
        <f>日前电价!S233-实时电价!S233</f>
        <v>2.6985000000000201</v>
      </c>
      <c r="T233" s="7">
        <f>日前电价!T233-实时电价!T233</f>
        <v>3.22210000000001</v>
      </c>
      <c r="U233" s="7">
        <f>日前电价!U233-实时电价!U233</f>
        <v>-27.052</v>
      </c>
      <c r="V233" s="7">
        <f>日前电价!V233-实时电价!V233</f>
        <v>-19.039300000000001</v>
      </c>
      <c r="W233" s="7">
        <f>日前电价!W233-实时电价!W233</f>
        <v>-3.5391000000000199</v>
      </c>
      <c r="X233" s="7">
        <f>日前电价!X233-实时电价!X233</f>
        <v>6.3576000000000503</v>
      </c>
      <c r="Y233" s="7">
        <f>日前电价!Y233-实时电价!Y233</f>
        <v>13.226000000000001</v>
      </c>
      <c r="Z233" s="9">
        <f t="shared" si="9"/>
        <v>163.08410000000001</v>
      </c>
      <c r="AA233" s="9">
        <f t="shared" si="10"/>
        <v>-229.5087</v>
      </c>
      <c r="AB233" s="9">
        <f t="shared" si="11"/>
        <v>-1.412175</v>
      </c>
    </row>
    <row r="234" spans="1:28">
      <c r="A234" s="8">
        <v>45524</v>
      </c>
      <c r="B234" s="7">
        <f>日前电价!B234-实时电价!B234</f>
        <v>-11.540699999999999</v>
      </c>
      <c r="C234" s="7">
        <f>日前电价!C234-实时电价!C234</f>
        <v>-2.5921999999999898</v>
      </c>
      <c r="D234" s="7">
        <f>日前电价!D234-实时电价!D234</f>
        <v>1.3190000000000199</v>
      </c>
      <c r="E234" s="7">
        <f>日前电价!E234-实时电价!E234</f>
        <v>9.2845000000000102</v>
      </c>
      <c r="F234" s="7">
        <f>日前电价!F234-实时电价!F234</f>
        <v>3.3257000000000101</v>
      </c>
      <c r="G234" s="7">
        <f>日前电价!G234-实时电价!G234</f>
        <v>-11.462300000000001</v>
      </c>
      <c r="H234" s="7">
        <f>日前电价!H234-实时电价!H234</f>
        <v>-21.2974</v>
      </c>
      <c r="I234" s="7">
        <f>日前电价!I234-实时电价!I234</f>
        <v>-44.072200000000002</v>
      </c>
      <c r="J234" s="7">
        <f>日前电价!J234-实时电价!J234</f>
        <v>-40.305300000000003</v>
      </c>
      <c r="K234" s="7">
        <f>日前电价!K234-实时电价!K234</f>
        <v>-169.4898</v>
      </c>
      <c r="L234" s="7">
        <f>日前电价!L234-实时电价!L234</f>
        <v>-45.958199999999998</v>
      </c>
      <c r="M234" s="7">
        <f>日前电价!M234-实时电价!M234</f>
        <v>10.9406</v>
      </c>
      <c r="N234" s="7">
        <f>日前电价!N234-实时电价!N234</f>
        <v>66.3429</v>
      </c>
      <c r="O234" s="7">
        <f>日前电价!O234-实时电价!O234</f>
        <v>10.0177</v>
      </c>
      <c r="P234" s="7">
        <f>日前电价!P234-实时电价!P234</f>
        <v>9.5713999999999793</v>
      </c>
      <c r="Q234" s="7">
        <f>日前电价!Q234-实时电价!Q234</f>
        <v>10.3827</v>
      </c>
      <c r="R234" s="7">
        <f>日前电价!R234-实时电价!R234</f>
        <v>-9.1809000000000101</v>
      </c>
      <c r="S234" s="7">
        <f>日前电价!S234-实时电价!S234</f>
        <v>-0.108800000000031</v>
      </c>
      <c r="T234" s="7">
        <f>日前电价!T234-实时电价!T234</f>
        <v>2.20300000000003</v>
      </c>
      <c r="U234" s="7">
        <f>日前电价!U234-实时电价!U234</f>
        <v>23.842600000000001</v>
      </c>
      <c r="V234" s="7">
        <f>日前电价!V234-实时电价!V234</f>
        <v>47.501600000000003</v>
      </c>
      <c r="W234" s="7">
        <f>日前电价!W234-实时电价!W234</f>
        <v>59.198399999999999</v>
      </c>
      <c r="X234" s="7">
        <f>日前电价!X234-实时电价!X234</f>
        <v>27.8277</v>
      </c>
      <c r="Y234" s="7">
        <f>日前电价!Y234-实时电价!Y234</f>
        <v>22.844799999999999</v>
      </c>
      <c r="Z234" s="9">
        <f t="shared" si="9"/>
        <v>66.3429</v>
      </c>
      <c r="AA234" s="9">
        <f t="shared" si="10"/>
        <v>-169.4898</v>
      </c>
      <c r="AB234" s="9">
        <f t="shared" si="11"/>
        <v>-2.14188333333334</v>
      </c>
    </row>
    <row r="235" spans="1:28">
      <c r="A235" s="8">
        <v>45525</v>
      </c>
      <c r="B235" s="7">
        <f>日前电价!B235-实时电价!B235</f>
        <v>15.469200000000001</v>
      </c>
      <c r="C235" s="7">
        <f>日前电价!C235-实时电价!C235</f>
        <v>11.9696</v>
      </c>
      <c r="D235" s="7">
        <f>日前电价!D235-实时电价!D235</f>
        <v>4.5677000000000003</v>
      </c>
      <c r="E235" s="7">
        <f>日前电价!E235-实时电价!E235</f>
        <v>13.8699999999999</v>
      </c>
      <c r="F235" s="7">
        <f>日前电价!F235-实时电价!F235</f>
        <v>26.53</v>
      </c>
      <c r="G235" s="7">
        <f>日前电价!G235-实时电价!G235</f>
        <v>50.384999999999998</v>
      </c>
      <c r="H235" s="7">
        <f>日前电价!H235-实时电价!H235</f>
        <v>7.6067000000000196</v>
      </c>
      <c r="I235" s="7">
        <f>日前电价!I235-实时电价!I235</f>
        <v>-20.267499999999998</v>
      </c>
      <c r="J235" s="7">
        <f>日前电价!J235-实时电价!J235</f>
        <v>-14.530900000000001</v>
      </c>
      <c r="K235" s="7">
        <f>日前电价!K235-实时电价!K235</f>
        <v>-6.6579999999999604</v>
      </c>
      <c r="L235" s="7">
        <f>日前电价!L235-实时电价!L235</f>
        <v>-3.35849999999999</v>
      </c>
      <c r="M235" s="7">
        <f>日前电价!M235-实时电价!M235</f>
        <v>55.381300000000003</v>
      </c>
      <c r="N235" s="7">
        <f>日前电价!N235-实时电价!N235</f>
        <v>95.4983</v>
      </c>
      <c r="O235" s="7">
        <f>日前电价!O235-实时电价!O235</f>
        <v>62.700299999999999</v>
      </c>
      <c r="P235" s="7">
        <f>日前电价!P235-实时电价!P235</f>
        <v>42.601399999999998</v>
      </c>
      <c r="Q235" s="7">
        <f>日前电价!Q235-实时电价!Q235</f>
        <v>55.628399999999999</v>
      </c>
      <c r="R235" s="7">
        <f>日前电价!R235-实时电价!R235</f>
        <v>36.926000000000002</v>
      </c>
      <c r="S235" s="7">
        <f>日前电价!S235-实时电价!S235</f>
        <v>32.6691</v>
      </c>
      <c r="T235" s="7">
        <f>日前电价!T235-实时电价!T235</f>
        <v>25.887499999999999</v>
      </c>
      <c r="U235" s="7">
        <f>日前电价!U235-实时电价!U235</f>
        <v>39.819699999999997</v>
      </c>
      <c r="V235" s="7">
        <f>日前电价!V235-实时电价!V235</f>
        <v>56.074399999999997</v>
      </c>
      <c r="W235" s="7">
        <f>日前电价!W235-实时电价!W235</f>
        <v>64.293800000000005</v>
      </c>
      <c r="X235" s="7">
        <f>日前电价!X235-实时电价!X235</f>
        <v>55.848599999999998</v>
      </c>
      <c r="Y235" s="7">
        <f>日前电价!Y235-实时电价!Y235</f>
        <v>64.600499999999997</v>
      </c>
      <c r="Z235" s="9">
        <f t="shared" si="9"/>
        <v>95.4983</v>
      </c>
      <c r="AA235" s="9">
        <f t="shared" si="10"/>
        <v>-20.267499999999998</v>
      </c>
      <c r="AB235" s="9">
        <f t="shared" si="11"/>
        <v>32.229691666666703</v>
      </c>
    </row>
    <row r="236" spans="1:28">
      <c r="A236" s="8">
        <v>45526</v>
      </c>
      <c r="B236" s="7">
        <f>日前电价!B236-实时电价!B236</f>
        <v>-56.952100000000002</v>
      </c>
      <c r="C236" s="7">
        <f>日前电价!C236-实时电价!C236</f>
        <v>1.3732</v>
      </c>
      <c r="D236" s="7">
        <f>日前电价!D236-实时电价!D236</f>
        <v>-25.9924</v>
      </c>
      <c r="E236" s="7">
        <f>日前电价!E236-实时电价!E236</f>
        <v>137.16419999999999</v>
      </c>
      <c r="F236" s="7">
        <f>日前电价!F236-实时电价!F236</f>
        <v>99.88</v>
      </c>
      <c r="G236" s="7">
        <f>日前电价!G236-实时电价!G236</f>
        <v>69.959999999999994</v>
      </c>
      <c r="H236" s="7">
        <f>日前电价!H236-实时电价!H236</f>
        <v>8.1158000000000108</v>
      </c>
      <c r="I236" s="7">
        <f>日前电价!I236-实时电价!I236</f>
        <v>-106.3115</v>
      </c>
      <c r="J236" s="7">
        <f>日前电价!J236-实时电价!J236</f>
        <v>8.2035000000000196</v>
      </c>
      <c r="K236" s="7">
        <f>日前电价!K236-实时电价!K236</f>
        <v>38.319800000000001</v>
      </c>
      <c r="L236" s="7">
        <f>日前电价!L236-实时电价!L236</f>
        <v>177.90270000000001</v>
      </c>
      <c r="M236" s="7">
        <f>日前电价!M236-实时电价!M236</f>
        <v>103.6053</v>
      </c>
      <c r="N236" s="7">
        <f>日前电价!N236-实时电价!N236</f>
        <v>114.8973</v>
      </c>
      <c r="O236" s="7">
        <f>日前电价!O236-实时电价!O236</f>
        <v>48.400300000000001</v>
      </c>
      <c r="P236" s="7">
        <f>日前电价!P236-实时电价!P236</f>
        <v>42.5852</v>
      </c>
      <c r="Q236" s="7">
        <f>日前电价!Q236-实时电价!Q236</f>
        <v>40.820500000000003</v>
      </c>
      <c r="R236" s="7">
        <f>日前电价!R236-实时电价!R236</f>
        <v>58.009799999999998</v>
      </c>
      <c r="S236" s="7">
        <f>日前电价!S236-实时电价!S236</f>
        <v>22.414000000000001</v>
      </c>
      <c r="T236" s="7">
        <f>日前电价!T236-实时电价!T236</f>
        <v>17.0107</v>
      </c>
      <c r="U236" s="7">
        <f>日前电价!U236-实时电价!U236</f>
        <v>30.617999999999999</v>
      </c>
      <c r="V236" s="7">
        <f>日前电价!V236-实时电价!V236</f>
        <v>56.390900000000002</v>
      </c>
      <c r="W236" s="7">
        <f>日前电价!W236-实时电价!W236</f>
        <v>27.534500000000001</v>
      </c>
      <c r="X236" s="7">
        <f>日前电价!X236-实时电价!X236</f>
        <v>-55.407899999999998</v>
      </c>
      <c r="Y236" s="7">
        <f>日前电价!Y236-实时电价!Y236</f>
        <v>40.2363</v>
      </c>
      <c r="Z236" s="9">
        <f t="shared" si="9"/>
        <v>177.90270000000001</v>
      </c>
      <c r="AA236" s="9">
        <f t="shared" si="10"/>
        <v>-106.3115</v>
      </c>
      <c r="AB236" s="9">
        <f t="shared" si="11"/>
        <v>37.449087499999997</v>
      </c>
    </row>
    <row r="237" spans="1:28">
      <c r="A237" s="8">
        <v>45527</v>
      </c>
      <c r="B237" s="7">
        <f>日前电价!B237-实时电价!B237</f>
        <v>51.774000000000001</v>
      </c>
      <c r="C237" s="7">
        <f>日前电价!C237-实时电价!C237</f>
        <v>66.4084</v>
      </c>
      <c r="D237" s="7">
        <f>日前电价!D237-实时电价!D237</f>
        <v>-163.39830000000001</v>
      </c>
      <c r="E237" s="7">
        <f>日前电价!E237-实时电价!E237</f>
        <v>194.30690000000001</v>
      </c>
      <c r="F237" s="7">
        <f>日前电价!F237-实时电价!F237</f>
        <v>171.8295</v>
      </c>
      <c r="G237" s="7">
        <f>日前电价!G237-实时电价!G237</f>
        <v>163.37389999999999</v>
      </c>
      <c r="H237" s="7">
        <f>日前电价!H237-实时电价!H237</f>
        <v>50.550800000000002</v>
      </c>
      <c r="I237" s="7">
        <f>日前电价!I237-实时电价!I237</f>
        <v>115.92319999999999</v>
      </c>
      <c r="J237" s="7">
        <f>日前电价!J237-实时电价!J237</f>
        <v>16.454899999999999</v>
      </c>
      <c r="K237" s="7">
        <f>日前电价!K237-实时电价!K237</f>
        <v>68.025899999999993</v>
      </c>
      <c r="L237" s="7">
        <f>日前电价!L237-实时电价!L237</f>
        <v>96.545199999999994</v>
      </c>
      <c r="M237" s="7">
        <f>日前电价!M237-实时电价!M237</f>
        <v>72.711200000000005</v>
      </c>
      <c r="N237" s="7">
        <f>日前电价!N237-实时电价!N237</f>
        <v>114.4105</v>
      </c>
      <c r="O237" s="7">
        <f>日前电价!O237-实时电价!O237</f>
        <v>-19.505800000000001</v>
      </c>
      <c r="P237" s="7">
        <f>日前电价!P237-实时电价!P237</f>
        <v>56.263599999999997</v>
      </c>
      <c r="Q237" s="7">
        <f>日前电价!Q237-实时电价!Q237</f>
        <v>4.1057999999999897</v>
      </c>
      <c r="R237" s="7">
        <f>日前电价!R237-实时电价!R237</f>
        <v>18.6099</v>
      </c>
      <c r="S237" s="7">
        <f>日前电价!S237-实时电价!S237</f>
        <v>-19.0884</v>
      </c>
      <c r="T237" s="7">
        <f>日前电价!T237-实时电价!T237</f>
        <v>-8.0190999999999804</v>
      </c>
      <c r="U237" s="7">
        <f>日前电价!U237-实时电价!U237</f>
        <v>131.79089999999999</v>
      </c>
      <c r="V237" s="7">
        <f>日前电价!V237-实时电价!V237</f>
        <v>14.533099999999999</v>
      </c>
      <c r="W237" s="7">
        <f>日前电价!W237-实时电价!W237</f>
        <v>105.40900000000001</v>
      </c>
      <c r="X237" s="7">
        <f>日前电价!X237-实时电价!X237</f>
        <v>86.415700000000001</v>
      </c>
      <c r="Y237" s="7">
        <f>日前电价!Y237-实时电价!Y237</f>
        <v>67.364500000000007</v>
      </c>
      <c r="Z237" s="9">
        <f t="shared" si="9"/>
        <v>194.30690000000001</v>
      </c>
      <c r="AA237" s="9">
        <f t="shared" si="10"/>
        <v>-163.39830000000001</v>
      </c>
      <c r="AB237" s="9">
        <f t="shared" si="11"/>
        <v>60.699804166666702</v>
      </c>
    </row>
    <row r="238" spans="1:28">
      <c r="A238" s="8">
        <v>45528</v>
      </c>
      <c r="B238" s="7">
        <f>日前电价!B238-实时电价!B238</f>
        <v>-88.995500000000007</v>
      </c>
      <c r="C238" s="7">
        <f>日前电价!C238-实时电价!C238</f>
        <v>16.0852</v>
      </c>
      <c r="D238" s="7">
        <f>日前电价!D238-实时电价!D238</f>
        <v>14.330500000000001</v>
      </c>
      <c r="E238" s="7">
        <f>日前电价!E238-实时电价!E238</f>
        <v>7.6482999999999501</v>
      </c>
      <c r="F238" s="7">
        <f>日前电价!F238-实时电价!F238</f>
        <v>43.056699999999999</v>
      </c>
      <c r="G238" s="7">
        <f>日前电价!G238-实时电价!G238</f>
        <v>18.121500000000001</v>
      </c>
      <c r="H238" s="7">
        <f>日前电价!H238-实时电价!H238</f>
        <v>2.1726000000000498</v>
      </c>
      <c r="I238" s="7">
        <f>日前电价!I238-实时电价!I238</f>
        <v>3.47750000000002</v>
      </c>
      <c r="J238" s="7">
        <f>日前电价!J238-实时电价!J238</f>
        <v>23.022300000000001</v>
      </c>
      <c r="K238" s="7">
        <f>日前电价!K238-实时电价!K238</f>
        <v>12.1188</v>
      </c>
      <c r="L238" s="7">
        <f>日前电价!L238-实时电价!L238</f>
        <v>-0.41070000000001999</v>
      </c>
      <c r="M238" s="7">
        <f>日前电价!M238-实时电价!M238</f>
        <v>107.98609999999999</v>
      </c>
      <c r="N238" s="7">
        <f>日前电价!N238-实时电价!N238</f>
        <v>200.0795</v>
      </c>
      <c r="O238" s="7">
        <f>日前电价!O238-实时电价!O238</f>
        <v>157.5848</v>
      </c>
      <c r="P238" s="7">
        <f>日前电价!P238-实时电价!P238</f>
        <v>62.524799999999999</v>
      </c>
      <c r="Q238" s="7">
        <f>日前电价!Q238-实时电价!Q238</f>
        <v>-148.9186</v>
      </c>
      <c r="R238" s="7">
        <f>日前电价!R238-实时电价!R238</f>
        <v>44.952599999999997</v>
      </c>
      <c r="S238" s="7">
        <f>日前电价!S238-实时电价!S238</f>
        <v>138.71289999999999</v>
      </c>
      <c r="T238" s="7">
        <f>日前电价!T238-实时电价!T238</f>
        <v>10.364100000000001</v>
      </c>
      <c r="U238" s="7">
        <f>日前电价!U238-实时电价!U238</f>
        <v>474.82510000000002</v>
      </c>
      <c r="V238" s="7">
        <f>日前电价!V238-实时电价!V238</f>
        <v>131.09710000000001</v>
      </c>
      <c r="W238" s="7">
        <f>日前电价!W238-实时电价!W238</f>
        <v>42.346499999999999</v>
      </c>
      <c r="X238" s="7">
        <f>日前电价!X238-实时电价!X238</f>
        <v>33.362699999999997</v>
      </c>
      <c r="Y238" s="7">
        <f>日前电价!Y238-实时电价!Y238</f>
        <v>-36.922999999999902</v>
      </c>
      <c r="Z238" s="9">
        <f t="shared" si="9"/>
        <v>474.82510000000002</v>
      </c>
      <c r="AA238" s="9">
        <f t="shared" si="10"/>
        <v>-148.9186</v>
      </c>
      <c r="AB238" s="9">
        <f t="shared" si="11"/>
        <v>52.859241666666698</v>
      </c>
    </row>
    <row r="239" spans="1:28">
      <c r="A239" s="8">
        <v>45529</v>
      </c>
      <c r="B239" s="7">
        <f>日前电价!B239-实时电价!B239</f>
        <v>-88.253500000000003</v>
      </c>
      <c r="C239" s="7">
        <f>日前电价!C239-实时电价!C239</f>
        <v>-10.732900000000001</v>
      </c>
      <c r="D239" s="7">
        <f>日前电价!D239-实时电价!D239</f>
        <v>47.676200000000001</v>
      </c>
      <c r="E239" s="7">
        <f>日前电价!E239-实时电价!E239</f>
        <v>41.874600000000001</v>
      </c>
      <c r="F239" s="7">
        <f>日前电价!F239-实时电价!F239</f>
        <v>-57.914000000000001</v>
      </c>
      <c r="G239" s="7">
        <f>日前电价!G239-实时电价!G239</f>
        <v>-36.996000000000002</v>
      </c>
      <c r="H239" s="7">
        <f>日前电价!H239-实时电价!H239</f>
        <v>-45.924700000000001</v>
      </c>
      <c r="I239" s="7">
        <f>日前电价!I239-实时电价!I239</f>
        <v>-50.548400000000001</v>
      </c>
      <c r="J239" s="7">
        <f>日前电价!J239-实时电价!J239</f>
        <v>42.769799999999996</v>
      </c>
      <c r="K239" s="7">
        <f>日前电价!K239-实时电价!K239</f>
        <v>162.25890000000001</v>
      </c>
      <c r="L239" s="7">
        <f>日前电价!L239-实时电价!L239</f>
        <v>178.2073</v>
      </c>
      <c r="M239" s="7">
        <f>日前电价!M239-实时电价!M239</f>
        <v>124.44880000000001</v>
      </c>
      <c r="N239" s="7">
        <f>日前电价!N239-实时电价!N239</f>
        <v>132.32089999999999</v>
      </c>
      <c r="O239" s="7">
        <f>日前电价!O239-实时电价!O239</f>
        <v>92.395099999999999</v>
      </c>
      <c r="P239" s="7">
        <f>日前电价!P239-实时电价!P239</f>
        <v>67.262500000000003</v>
      </c>
      <c r="Q239" s="7">
        <f>日前电价!Q239-实时电价!Q239</f>
        <v>-37.739600000000003</v>
      </c>
      <c r="R239" s="7">
        <f>日前电价!R239-实时电价!R239</f>
        <v>-24.5671</v>
      </c>
      <c r="S239" s="7">
        <f>日前电价!S239-实时电价!S239</f>
        <v>-16.350899999999999</v>
      </c>
      <c r="T239" s="7">
        <f>日前电价!T239-实时电价!T239</f>
        <v>31.783200000000001</v>
      </c>
      <c r="U239" s="7">
        <f>日前电价!U239-实时电价!U239</f>
        <v>20.419899999999998</v>
      </c>
      <c r="V239" s="7">
        <f>日前电价!V239-实时电价!V239</f>
        <v>-20.291499999999999</v>
      </c>
      <c r="W239" s="7">
        <f>日前电价!W239-实时电价!W239</f>
        <v>44.796199999999999</v>
      </c>
      <c r="X239" s="7">
        <f>日前电价!X239-实时电价!X239</f>
        <v>47.305500000000002</v>
      </c>
      <c r="Y239" s="7">
        <f>日前电价!Y239-实时电价!Y239</f>
        <v>36.316299999999998</v>
      </c>
      <c r="Z239" s="9">
        <f t="shared" si="9"/>
        <v>178.2073</v>
      </c>
      <c r="AA239" s="9">
        <f t="shared" si="10"/>
        <v>-88.253500000000003</v>
      </c>
      <c r="AB239" s="9">
        <f t="shared" si="11"/>
        <v>28.354858333333301</v>
      </c>
    </row>
    <row r="240" spans="1:28">
      <c r="A240" s="8">
        <v>45530</v>
      </c>
      <c r="B240" s="7">
        <f>日前电价!B240-实时电价!B240</f>
        <v>-38.9193</v>
      </c>
      <c r="C240" s="7">
        <f>日前电价!C240-实时电价!C240</f>
        <v>31.063099999999999</v>
      </c>
      <c r="D240" s="7">
        <f>日前电价!D240-实时电价!D240</f>
        <v>143.2321</v>
      </c>
      <c r="E240" s="7">
        <f>日前电价!E240-实时电价!E240</f>
        <v>209.35599999999999</v>
      </c>
      <c r="F240" s="7">
        <f>日前电价!F240-实时电价!F240</f>
        <v>200.36349999999999</v>
      </c>
      <c r="G240" s="7">
        <f>日前电价!G240-实时电价!G240</f>
        <v>196.679</v>
      </c>
      <c r="H240" s="7">
        <f>日前电价!H240-实时电价!H240</f>
        <v>200.46350000000001</v>
      </c>
      <c r="I240" s="7">
        <f>日前电价!I240-实时电价!I240</f>
        <v>111.05710000000001</v>
      </c>
      <c r="J240" s="7">
        <f>日前电价!J240-实时电价!J240</f>
        <v>-14.6029</v>
      </c>
      <c r="K240" s="7">
        <f>日前电价!K240-实时电价!K240</f>
        <v>8.2188999999999606</v>
      </c>
      <c r="L240" s="7">
        <f>日前电价!L240-实时电价!L240</f>
        <v>36.121499999999997</v>
      </c>
      <c r="M240" s="7">
        <f>日前电价!M240-实时电价!M240</f>
        <v>65.755799999999994</v>
      </c>
      <c r="N240" s="7">
        <f>日前电价!N240-实时电价!N240</f>
        <v>-51.575800000000001</v>
      </c>
      <c r="O240" s="7">
        <f>日前电价!O240-实时电价!O240</f>
        <v>42.818899999999999</v>
      </c>
      <c r="P240" s="7">
        <f>日前电价!P240-实时电价!P240</f>
        <v>-108.6887</v>
      </c>
      <c r="Q240" s="7">
        <f>日前电价!Q240-实时电价!Q240</f>
        <v>-68.010400000000004</v>
      </c>
      <c r="R240" s="7">
        <f>日前电价!R240-实时电价!R240</f>
        <v>35.688000000000002</v>
      </c>
      <c r="S240" s="7">
        <f>日前电价!S240-实时电价!S240</f>
        <v>102.985</v>
      </c>
      <c r="T240" s="7">
        <f>日前电价!T240-实时电价!T240</f>
        <v>-48.554900000000004</v>
      </c>
      <c r="U240" s="7">
        <f>日前电价!U240-实时电价!U240</f>
        <v>64.362200000000001</v>
      </c>
      <c r="V240" s="7">
        <f>日前电价!V240-实时电价!V240</f>
        <v>61.2652</v>
      </c>
      <c r="W240" s="7">
        <f>日前电价!W240-实时电价!W240</f>
        <v>-8.1118000000000201</v>
      </c>
      <c r="X240" s="7">
        <f>日前电价!X240-实时电价!X240</f>
        <v>-14.6286</v>
      </c>
      <c r="Y240" s="7">
        <f>日前电价!Y240-实时电价!Y240</f>
        <v>2.07800000000003</v>
      </c>
      <c r="Z240" s="9">
        <f t="shared" si="9"/>
        <v>209.35599999999999</v>
      </c>
      <c r="AA240" s="9">
        <f t="shared" si="10"/>
        <v>-108.6887</v>
      </c>
      <c r="AB240" s="9">
        <f t="shared" si="11"/>
        <v>48.267308333333297</v>
      </c>
    </row>
    <row r="241" spans="1:28">
      <c r="A241" s="8">
        <v>45531</v>
      </c>
      <c r="B241" s="7">
        <f>日前电价!B241-实时电价!B241</f>
        <v>-111.0868</v>
      </c>
      <c r="C241" s="7">
        <f>日前电价!C241-实时电价!C241</f>
        <v>-54.200200000000002</v>
      </c>
      <c r="D241" s="7">
        <f>日前电价!D241-实时电价!D241</f>
        <v>-22.290500000000002</v>
      </c>
      <c r="E241" s="7">
        <f>日前电价!E241-实时电价!E241</f>
        <v>-6.1580000000000199</v>
      </c>
      <c r="F241" s="7">
        <f>日前电价!F241-实时电价!F241</f>
        <v>-3.9784999999999999</v>
      </c>
      <c r="G241" s="7">
        <f>日前电价!G241-实时电价!G241</f>
        <v>-8.1847000000000207</v>
      </c>
      <c r="H241" s="7">
        <f>日前电价!H241-实时电价!H241</f>
        <v>-10.026899999999999</v>
      </c>
      <c r="I241" s="7">
        <f>日前电价!I241-实时电价!I241</f>
        <v>-13.456200000000001</v>
      </c>
      <c r="J241" s="7">
        <f>日前电价!J241-实时电价!J241</f>
        <v>-15.4084</v>
      </c>
      <c r="K241" s="7">
        <f>日前电价!K241-实时电价!K241</f>
        <v>-12.881500000000001</v>
      </c>
      <c r="L241" s="7">
        <f>日前电价!L241-实时电价!L241</f>
        <v>-2.48140000000001</v>
      </c>
      <c r="M241" s="7">
        <f>日前电价!M241-实时电价!M241</f>
        <v>78.817400000000006</v>
      </c>
      <c r="N241" s="7">
        <f>日前电价!N241-实时电价!N241</f>
        <v>35.9</v>
      </c>
      <c r="O241" s="7">
        <f>日前电价!O241-实时电价!O241</f>
        <v>13.465299999999999</v>
      </c>
      <c r="P241" s="7">
        <f>日前电价!P241-实时电价!P241</f>
        <v>-54.934399999999997</v>
      </c>
      <c r="Q241" s="7">
        <f>日前电价!Q241-实时电价!Q241</f>
        <v>-327.03870000000001</v>
      </c>
      <c r="R241" s="7">
        <f>日前电价!R241-实时电价!R241</f>
        <v>-461.13350000000003</v>
      </c>
      <c r="S241" s="7">
        <f>日前电价!S241-实时电价!S241</f>
        <v>-140.6713</v>
      </c>
      <c r="T241" s="7">
        <f>日前电价!T241-实时电价!T241</f>
        <v>-79.490700000000004</v>
      </c>
      <c r="U241" s="7">
        <f>日前电价!U241-实时电价!U241</f>
        <v>-416.21089999999998</v>
      </c>
      <c r="V241" s="7">
        <f>日前电价!V241-实时电价!V241</f>
        <v>-274.59070000000003</v>
      </c>
      <c r="W241" s="7">
        <f>日前电价!W241-实时电价!W241</f>
        <v>-337.45</v>
      </c>
      <c r="X241" s="7">
        <f>日前电价!X241-实时电价!X241</f>
        <v>-290.53890000000001</v>
      </c>
      <c r="Y241" s="7">
        <f>日前电价!Y241-实时电价!Y241</f>
        <v>-91.586200000000005</v>
      </c>
      <c r="Z241" s="9">
        <f t="shared" si="9"/>
        <v>78.817400000000006</v>
      </c>
      <c r="AA241" s="9">
        <f t="shared" si="10"/>
        <v>-461.13350000000003</v>
      </c>
      <c r="AB241" s="9">
        <f t="shared" si="11"/>
        <v>-108.567320833333</v>
      </c>
    </row>
    <row r="242" spans="1:28">
      <c r="A242" s="8">
        <v>45532</v>
      </c>
      <c r="B242" s="7">
        <f>日前电价!B242-实时电价!B242</f>
        <v>-75.741</v>
      </c>
      <c r="C242" s="7">
        <f>日前电价!C242-实时电价!C242</f>
        <v>-38.579599999999999</v>
      </c>
      <c r="D242" s="7">
        <f>日前电价!D242-实时电价!D242</f>
        <v>-40.633400000000002</v>
      </c>
      <c r="E242" s="7">
        <f>日前电价!E242-实时电价!E242</f>
        <v>-36.3568</v>
      </c>
      <c r="F242" s="7">
        <f>日前电价!F242-实时电价!F242</f>
        <v>-35.691000000000003</v>
      </c>
      <c r="G242" s="7">
        <f>日前电价!G242-实时电价!G242</f>
        <v>-34.877899999999997</v>
      </c>
      <c r="H242" s="7">
        <f>日前电价!H242-实时电价!H242</f>
        <v>-38.524900000000002</v>
      </c>
      <c r="I242" s="7">
        <f>日前电价!I242-实时电价!I242</f>
        <v>-32.274299999999997</v>
      </c>
      <c r="J242" s="7">
        <f>日前电价!J242-实时电价!J242</f>
        <v>-12.9564</v>
      </c>
      <c r="K242" s="7">
        <f>日前电价!K242-实时电价!K242</f>
        <v>-88.855199999999996</v>
      </c>
      <c r="L242" s="7">
        <f>日前电价!L242-实时电价!L242</f>
        <v>-21.456600000000002</v>
      </c>
      <c r="M242" s="7">
        <f>日前电价!M242-实时电价!M242</f>
        <v>-41.273899999999998</v>
      </c>
      <c r="N242" s="7">
        <f>日前电价!N242-实时电价!N242</f>
        <v>-48.651699999999998</v>
      </c>
      <c r="O242" s="7">
        <f>日前电价!O242-实时电价!O242</f>
        <v>-192.46539999999999</v>
      </c>
      <c r="P242" s="7">
        <f>日前电价!P242-实时电价!P242</f>
        <v>-442.0335</v>
      </c>
      <c r="Q242" s="7">
        <f>日前电价!Q242-实时电价!Q242</f>
        <v>-529.70579999999995</v>
      </c>
      <c r="R242" s="7">
        <f>日前电价!R242-实时电价!R242</f>
        <v>-326.1524</v>
      </c>
      <c r="S242" s="7">
        <f>日前电价!S242-实时电价!S242</f>
        <v>-50.059399999999997</v>
      </c>
      <c r="T242" s="7">
        <f>日前电价!T242-实时电价!T242</f>
        <v>-11.1988</v>
      </c>
      <c r="U242" s="7">
        <f>日前电价!U242-实时电价!U242</f>
        <v>52.062600000000003</v>
      </c>
      <c r="V242" s="7">
        <f>日前电价!V242-实时电价!V242</f>
        <v>16.543500000000002</v>
      </c>
      <c r="W242" s="7">
        <f>日前电价!W242-实时电价!W242</f>
        <v>66.460800000000006</v>
      </c>
      <c r="X242" s="7">
        <f>日前电价!X242-实时电价!X242</f>
        <v>-16.532399999999999</v>
      </c>
      <c r="Y242" s="7">
        <f>日前电价!Y242-实时电价!Y242</f>
        <v>22.684999999999999</v>
      </c>
      <c r="Z242" s="9">
        <f t="shared" si="9"/>
        <v>66.460800000000006</v>
      </c>
      <c r="AA242" s="9">
        <f t="shared" si="10"/>
        <v>-529.70579999999995</v>
      </c>
      <c r="AB242" s="9">
        <f t="shared" si="11"/>
        <v>-81.511187500000005</v>
      </c>
    </row>
    <row r="243" spans="1:28">
      <c r="A243" s="8">
        <v>45533</v>
      </c>
      <c r="B243" s="7">
        <f>日前电价!B243-实时电价!B243</f>
        <v>50.172699999999999</v>
      </c>
      <c r="C243" s="7">
        <f>日前电价!C243-实时电价!C243</f>
        <v>32.980600000000003</v>
      </c>
      <c r="D243" s="7">
        <f>日前电价!D243-实时电价!D243</f>
        <v>16.174199999999999</v>
      </c>
      <c r="E243" s="7">
        <f>日前电价!E243-实时电价!E243</f>
        <v>20.441400000000002</v>
      </c>
      <c r="F243" s="7">
        <f>日前电价!F243-实时电价!F243</f>
        <v>26.374600000000001</v>
      </c>
      <c r="G243" s="7">
        <f>日前电价!G243-实时电价!G243</f>
        <v>-37.430199999999999</v>
      </c>
      <c r="H243" s="7">
        <f>日前电价!H243-实时电价!H243</f>
        <v>18.925899999999999</v>
      </c>
      <c r="I243" s="7">
        <f>日前电价!I243-实时电价!I243</f>
        <v>9.7737000000000194</v>
      </c>
      <c r="J243" s="7">
        <f>日前电价!J243-实时电价!J243</f>
        <v>14.870100000000001</v>
      </c>
      <c r="K243" s="7">
        <f>日前电价!K243-实时电价!K243</f>
        <v>31.563300000000002</v>
      </c>
      <c r="L243" s="7">
        <f>日前电价!L243-实时电价!L243</f>
        <v>22.9343</v>
      </c>
      <c r="M243" s="7">
        <f>日前电价!M243-实时电价!M243</f>
        <v>29.664999999999999</v>
      </c>
      <c r="N243" s="7">
        <f>日前电价!N243-实时电价!N243</f>
        <v>27.528500000000001</v>
      </c>
      <c r="O243" s="7">
        <f>日前电价!O243-实时电价!O243</f>
        <v>32.404299999999999</v>
      </c>
      <c r="P243" s="7">
        <f>日前电价!P243-实时电价!P243</f>
        <v>27.002600000000001</v>
      </c>
      <c r="Q243" s="7">
        <f>日前电价!Q243-实时电价!Q243</f>
        <v>15.4816</v>
      </c>
      <c r="R243" s="7">
        <f>日前电价!R243-实时电价!R243</f>
        <v>23.3279</v>
      </c>
      <c r="S243" s="7">
        <f>日前电价!S243-实时电价!S243</f>
        <v>48.507100000000001</v>
      </c>
      <c r="T243" s="7">
        <f>日前电价!T243-实时电价!T243</f>
        <v>59.5047</v>
      </c>
      <c r="U243" s="7">
        <f>日前电价!U243-实时电价!U243</f>
        <v>143.50239999999999</v>
      </c>
      <c r="V243" s="7">
        <f>日前电价!V243-实时电价!V243</f>
        <v>130.25389999999999</v>
      </c>
      <c r="W243" s="7">
        <f>日前电价!W243-实时电价!W243</f>
        <v>112.7354</v>
      </c>
      <c r="X243" s="7">
        <f>日前电价!X243-实时电价!X243</f>
        <v>74.558300000000003</v>
      </c>
      <c r="Y243" s="7">
        <f>日前电价!Y243-实时电价!Y243</f>
        <v>68.240700000000004</v>
      </c>
      <c r="Z243" s="9">
        <f t="shared" si="9"/>
        <v>143.50239999999999</v>
      </c>
      <c r="AA243" s="9">
        <f t="shared" si="10"/>
        <v>-37.430199999999999</v>
      </c>
      <c r="AB243" s="9">
        <f t="shared" si="11"/>
        <v>41.645541666666702</v>
      </c>
    </row>
    <row r="244" spans="1:28">
      <c r="A244" s="8">
        <v>45534</v>
      </c>
      <c r="B244" s="7">
        <f>日前电价!B244-实时电价!B244</f>
        <v>13.250500000000001</v>
      </c>
      <c r="C244" s="7">
        <f>日前电价!C244-实时电价!C244</f>
        <v>13.778499999999999</v>
      </c>
      <c r="D244" s="7">
        <f>日前电价!D244-实时电价!D244</f>
        <v>6.8573999999999797</v>
      </c>
      <c r="E244" s="7">
        <f>日前电价!E244-实时电价!E244</f>
        <v>-4.4640000000000004</v>
      </c>
      <c r="F244" s="7">
        <f>日前电价!F244-实时电价!F244</f>
        <v>4.4874999999999501</v>
      </c>
      <c r="G244" s="7">
        <f>日前电价!G244-实时电价!G244</f>
        <v>1.8236000000000001</v>
      </c>
      <c r="H244" s="7">
        <f>日前电价!H244-实时电价!H244</f>
        <v>-0.184799999999996</v>
      </c>
      <c r="I244" s="7">
        <f>日前电价!I244-实时电价!I244</f>
        <v>-8.8566999999999894</v>
      </c>
      <c r="J244" s="7">
        <f>日前电价!J244-实时电价!J244</f>
        <v>-11.1225</v>
      </c>
      <c r="K244" s="7">
        <f>日前电价!K244-实时电价!K244</f>
        <v>-48.204700000000003</v>
      </c>
      <c r="L244" s="7">
        <f>日前电价!L244-实时电价!L244</f>
        <v>-5.5532999999999797</v>
      </c>
      <c r="M244" s="7">
        <f>日前电价!M244-实时电价!M244</f>
        <v>5.0865999999999802</v>
      </c>
      <c r="N244" s="7">
        <f>日前电价!N244-实时电价!N244</f>
        <v>8.0398999999999905</v>
      </c>
      <c r="O244" s="7">
        <f>日前电价!O244-实时电价!O244</f>
        <v>-8.2600999999999694</v>
      </c>
      <c r="P244" s="7">
        <f>日前电价!P244-实时电价!P244</f>
        <v>18.141300000000001</v>
      </c>
      <c r="Q244" s="7">
        <f>日前电价!Q244-实时电价!Q244</f>
        <v>35.852699999999999</v>
      </c>
      <c r="R244" s="7">
        <f>日前电价!R244-实时电价!R244</f>
        <v>18.976099999999999</v>
      </c>
      <c r="S244" s="7">
        <f>日前电价!S244-实时电价!S244</f>
        <v>43.767099999999999</v>
      </c>
      <c r="T244" s="7">
        <f>日前电价!T244-实时电价!T244</f>
        <v>4.6184999999999796</v>
      </c>
      <c r="U244" s="7">
        <f>日前电价!U244-实时电价!U244</f>
        <v>61.039900000000003</v>
      </c>
      <c r="V244" s="7">
        <f>日前电价!V244-实时电价!V244</f>
        <v>64.152799999999999</v>
      </c>
      <c r="W244" s="7">
        <f>日前电价!W244-实时电价!W244</f>
        <v>29.5319</v>
      </c>
      <c r="X244" s="7">
        <f>日前电价!X244-实时电价!X244</f>
        <v>-110.2252</v>
      </c>
      <c r="Y244" s="7">
        <f>日前电价!Y244-实时电价!Y244</f>
        <v>3.2591999999999599</v>
      </c>
      <c r="Z244" s="9">
        <f t="shared" si="9"/>
        <v>64.152799999999999</v>
      </c>
      <c r="AA244" s="9">
        <f t="shared" si="10"/>
        <v>-110.2252</v>
      </c>
      <c r="AB244" s="9">
        <f t="shared" si="11"/>
        <v>5.6580083333333304</v>
      </c>
    </row>
    <row r="245" spans="1:28">
      <c r="A245" s="8">
        <v>45535</v>
      </c>
      <c r="B245" s="7">
        <f>日前电价!B245-实时电价!B245</f>
        <v>30.950299999999999</v>
      </c>
      <c r="C245" s="7">
        <f>日前电价!C245-实时电价!C245</f>
        <v>-25.669799999999999</v>
      </c>
      <c r="D245" s="7">
        <f>日前电价!D245-实时电价!D245</f>
        <v>-13.806900000000001</v>
      </c>
      <c r="E245" s="7">
        <f>日前电价!E245-实时电价!E245</f>
        <v>-6.5454999999999499</v>
      </c>
      <c r="F245" s="7">
        <f>日前电价!F245-实时电价!F245</f>
        <v>-8.7488000000000206</v>
      </c>
      <c r="G245" s="7">
        <f>日前电价!G245-实时电价!G245</f>
        <v>-61.054400000000001</v>
      </c>
      <c r="H245" s="7">
        <f>日前电价!H245-实时电价!H245</f>
        <v>-11.597899999999999</v>
      </c>
      <c r="I245" s="7">
        <f>日前电价!I245-实时电价!I245</f>
        <v>-65.715500000000006</v>
      </c>
      <c r="J245" s="7">
        <f>日前电价!J245-实时电价!J245</f>
        <v>1.01760000000002</v>
      </c>
      <c r="K245" s="7">
        <f>日前电价!K245-实时电价!K245</f>
        <v>23.391500000000001</v>
      </c>
      <c r="L245" s="7">
        <f>日前电价!L245-实时电价!L245</f>
        <v>28.664000000000001</v>
      </c>
      <c r="M245" s="7">
        <f>日前电价!M245-实时电价!M245</f>
        <v>35.886800000000001</v>
      </c>
      <c r="N245" s="7">
        <f>日前电价!N245-实时电价!N245</f>
        <v>25.532499999999999</v>
      </c>
      <c r="O245" s="7">
        <f>日前电价!O245-实时电价!O245</f>
        <v>35.737099999999998</v>
      </c>
      <c r="P245" s="7">
        <f>日前电价!P245-实时电价!P245</f>
        <v>52.4786</v>
      </c>
      <c r="Q245" s="7">
        <f>日前电价!Q245-实时电价!Q245</f>
        <v>53.892699999999998</v>
      </c>
      <c r="R245" s="7">
        <f>日前电价!R245-实时电价!R245</f>
        <v>46.720999999999997</v>
      </c>
      <c r="S245" s="7">
        <f>日前电价!S245-实时电价!S245</f>
        <v>58.082099999999997</v>
      </c>
      <c r="T245" s="7">
        <f>日前电价!T245-实时电价!T245</f>
        <v>38.809399999999997</v>
      </c>
      <c r="U245" s="7">
        <f>日前电价!U245-实时电价!U245</f>
        <v>57.181199999999997</v>
      </c>
      <c r="V245" s="7">
        <f>日前电价!V245-实时电价!V245</f>
        <v>75.650300000000001</v>
      </c>
      <c r="W245" s="7">
        <f>日前电价!W245-实时电价!W245</f>
        <v>44.935499999999998</v>
      </c>
      <c r="X245" s="7">
        <f>日前电价!X245-实时电价!X245</f>
        <v>36.256999999999998</v>
      </c>
      <c r="Y245" s="7">
        <f>日前电价!Y245-实时电价!Y245</f>
        <v>38.6815</v>
      </c>
      <c r="Z245" s="9">
        <f t="shared" si="9"/>
        <v>75.650300000000001</v>
      </c>
      <c r="AA245" s="9">
        <f t="shared" si="10"/>
        <v>-65.715500000000006</v>
      </c>
      <c r="AB245" s="9">
        <f t="shared" si="11"/>
        <v>20.4470958333333</v>
      </c>
    </row>
    <row r="246" spans="1:28">
      <c r="A246" s="8">
        <v>45536</v>
      </c>
      <c r="B246" s="7">
        <f>日前电价!B246-实时电价!B246</f>
        <v>31.425699999999999</v>
      </c>
      <c r="C246" s="7">
        <f>日前电价!C246-实时电价!C246</f>
        <v>48.917299999999997</v>
      </c>
      <c r="D246" s="7">
        <f>日前电价!D246-实时电价!D246</f>
        <v>45.773299999999999</v>
      </c>
      <c r="E246" s="7">
        <f>日前电价!E246-实时电价!E246</f>
        <v>38.167200000000001</v>
      </c>
      <c r="F246" s="7">
        <f>日前电价!F246-实时电价!F246</f>
        <v>37.974399999999903</v>
      </c>
      <c r="G246" s="7">
        <f>日前电价!G246-实时电价!G246</f>
        <v>36.1753</v>
      </c>
      <c r="H246" s="7">
        <f>日前电价!H246-实时电价!H246</f>
        <v>32.463999999999999</v>
      </c>
      <c r="I246" s="7">
        <f>日前电价!I246-实时电价!I246</f>
        <v>17.609400000000001</v>
      </c>
      <c r="J246" s="7">
        <f>日前电价!J246-实时电价!J246</f>
        <v>95.969899999999996</v>
      </c>
      <c r="K246" s="7">
        <f>日前电价!K246-实时电价!K246</f>
        <v>243.54329999999999</v>
      </c>
      <c r="L246" s="7">
        <f>日前电价!L246-实时电价!L246</f>
        <v>286.39789999999999</v>
      </c>
      <c r="M246" s="7">
        <f>日前电价!M246-实时电价!M246</f>
        <v>239.65100000000001</v>
      </c>
      <c r="N246" s="7">
        <f>日前电价!N246-实时电价!N246</f>
        <v>79.373000000000005</v>
      </c>
      <c r="O246" s="7">
        <f>日前电价!O246-实时电价!O246</f>
        <v>23.8536</v>
      </c>
      <c r="P246" s="7">
        <f>日前电价!P246-实时电价!P246</f>
        <v>39.654600000000002</v>
      </c>
      <c r="Q246" s="7">
        <f>日前电价!Q246-实时电价!Q246</f>
        <v>45.3932</v>
      </c>
      <c r="R246" s="7">
        <f>日前电价!R246-实时电价!R246</f>
        <v>44.8354</v>
      </c>
      <c r="S246" s="7">
        <f>日前电价!S246-实时电价!S246</f>
        <v>23.581499999999998</v>
      </c>
      <c r="T246" s="7">
        <f>日前电价!T246-实时电价!T246</f>
        <v>13.5823</v>
      </c>
      <c r="U246" s="7">
        <f>日前电价!U246-实时电价!U246</f>
        <v>-23.799900000000001</v>
      </c>
      <c r="V246" s="7">
        <f>日前电价!V246-实时电价!V246</f>
        <v>-27.695699999999999</v>
      </c>
      <c r="W246" s="7">
        <f>日前电价!W246-实时电价!W246</f>
        <v>-94.069299999999998</v>
      </c>
      <c r="X246" s="7">
        <f>日前电价!X246-实时电价!X246</f>
        <v>-62.120800000000003</v>
      </c>
      <c r="Y246" s="7">
        <f>日前电价!Y246-实时电价!Y246</f>
        <v>4.4859000000000204</v>
      </c>
      <c r="Z246" s="9">
        <f t="shared" si="9"/>
        <v>286.39789999999999</v>
      </c>
      <c r="AA246" s="9">
        <f t="shared" si="10"/>
        <v>-94.069299999999998</v>
      </c>
      <c r="AB246" s="9">
        <f t="shared" si="11"/>
        <v>50.880937500000002</v>
      </c>
    </row>
    <row r="247" spans="1:28">
      <c r="A247" s="8">
        <v>45537</v>
      </c>
      <c r="B247" s="7">
        <f>日前电价!B247-实时电价!B247</f>
        <v>-140.41409999999999</v>
      </c>
      <c r="C247" s="7">
        <f>日前电价!C247-实时电价!C247</f>
        <v>-72.067999999999998</v>
      </c>
      <c r="D247" s="7">
        <f>日前电价!D247-实时电价!D247</f>
        <v>-47.104100000000003</v>
      </c>
      <c r="E247" s="7">
        <f>日前电价!E247-实时电价!E247</f>
        <v>-51.596899999999998</v>
      </c>
      <c r="F247" s="7">
        <f>日前电价!F247-实时电价!F247</f>
        <v>-46.088999999999999</v>
      </c>
      <c r="G247" s="7">
        <f>日前电价!G247-实时电价!G247</f>
        <v>-37.9296000000001</v>
      </c>
      <c r="H247" s="7">
        <f>日前电价!H247-实时电价!H247</f>
        <v>-48.694400000000002</v>
      </c>
      <c r="I247" s="7">
        <f>日前电价!I247-实时电价!I247</f>
        <v>-43.920299999999997</v>
      </c>
      <c r="J247" s="7">
        <f>日前电价!J247-实时电价!J247</f>
        <v>-46.631599999999999</v>
      </c>
      <c r="K247" s="7">
        <f>日前电价!K247-实时电价!K247</f>
        <v>-83.523200000000003</v>
      </c>
      <c r="L247" s="7">
        <f>日前电价!L247-实时电价!L247</f>
        <v>-73.104100000000003</v>
      </c>
      <c r="M247" s="7">
        <f>日前电价!M247-实时电价!M247</f>
        <v>-53.73</v>
      </c>
      <c r="N247" s="7">
        <f>日前电价!N247-实时电价!N247</f>
        <v>-39.276200000000003</v>
      </c>
      <c r="O247" s="7">
        <f>日前电价!O247-实时电价!O247</f>
        <v>-181.51410000000001</v>
      </c>
      <c r="P247" s="7">
        <f>日前电价!P247-实时电价!P247</f>
        <v>-129.72649999999999</v>
      </c>
      <c r="Q247" s="7">
        <f>日前电价!Q247-实时电价!Q247</f>
        <v>-21.091899999999999</v>
      </c>
      <c r="R247" s="7">
        <f>日前电价!R247-实时电价!R247</f>
        <v>10.3987</v>
      </c>
      <c r="S247" s="7">
        <f>日前电价!S247-实时电价!S247</f>
        <v>-4.6942000000000199</v>
      </c>
      <c r="T247" s="7">
        <f>日前电价!T247-实时电价!T247</f>
        <v>-64.768000000000001</v>
      </c>
      <c r="U247" s="7">
        <f>日前电价!U247-实时电价!U247</f>
        <v>-157.09440000000001</v>
      </c>
      <c r="V247" s="7">
        <f>日前电价!V247-实时电价!V247</f>
        <v>-60.627499999999998</v>
      </c>
      <c r="W247" s="7">
        <f>日前电价!W247-实时电价!W247</f>
        <v>-49.379600000000003</v>
      </c>
      <c r="X247" s="7">
        <f>日前电价!X247-实时电价!X247</f>
        <v>5.9675000000000296</v>
      </c>
      <c r="Y247" s="7">
        <f>日前电价!Y247-实时电价!Y247</f>
        <v>32.5503</v>
      </c>
      <c r="Z247" s="9">
        <f t="shared" si="9"/>
        <v>32.5503</v>
      </c>
      <c r="AA247" s="9">
        <f t="shared" si="10"/>
        <v>-181.51410000000001</v>
      </c>
      <c r="AB247" s="9">
        <f t="shared" si="11"/>
        <v>-58.502549999999999</v>
      </c>
    </row>
    <row r="248" spans="1:28">
      <c r="A248" s="8">
        <v>45538</v>
      </c>
      <c r="B248" s="7">
        <f>日前电价!B248-实时电价!B248</f>
        <v>260.46010000000001</v>
      </c>
      <c r="C248" s="7">
        <f>日前电价!C248-实时电价!C248</f>
        <v>118.3282</v>
      </c>
      <c r="D248" s="7">
        <f>日前电价!D248-实时电价!D248</f>
        <v>63.722000000000001</v>
      </c>
      <c r="E248" s="7">
        <f>日前电价!E248-实时电价!E248</f>
        <v>57.833399999999997</v>
      </c>
      <c r="F248" s="7">
        <f>日前电价!F248-实时电价!F248</f>
        <v>35.443899999999999</v>
      </c>
      <c r="G248" s="7">
        <f>日前电价!G248-实时电价!G248</f>
        <v>32.555399999999999</v>
      </c>
      <c r="H248" s="7">
        <f>日前电价!H248-实时电价!H248</f>
        <v>17.597999999999999</v>
      </c>
      <c r="I248" s="7">
        <f>日前电价!I248-实时电价!I248</f>
        <v>29.7727</v>
      </c>
      <c r="J248" s="7">
        <f>日前电价!J248-实时电价!J248</f>
        <v>45.481200000000001</v>
      </c>
      <c r="K248" s="7">
        <f>日前电价!K248-实时电价!K248</f>
        <v>58.534700000000001</v>
      </c>
      <c r="L248" s="7">
        <f>日前电价!L248-实时电价!L248</f>
        <v>62.8553</v>
      </c>
      <c r="M248" s="7">
        <f>日前电价!M248-实时电价!M248</f>
        <v>66.997799999999998</v>
      </c>
      <c r="N248" s="7">
        <f>日前电价!N248-实时电价!N248</f>
        <v>53.2866</v>
      </c>
      <c r="O248" s="7">
        <f>日前电价!O248-实时电价!O248</f>
        <v>54.554200000000002</v>
      </c>
      <c r="P248" s="7">
        <f>日前电价!P248-实时电价!P248</f>
        <v>59.712000000000003</v>
      </c>
      <c r="Q248" s="7">
        <f>日前电价!Q248-实时电价!Q248</f>
        <v>52.838200000000001</v>
      </c>
      <c r="R248" s="7">
        <f>日前电价!R248-实时电价!R248</f>
        <v>46.0364</v>
      </c>
      <c r="S248" s="7">
        <f>日前电价!S248-实时电价!S248</f>
        <v>38.002200000000002</v>
      </c>
      <c r="T248" s="7">
        <f>日前电价!T248-实时电价!T248</f>
        <v>16.712</v>
      </c>
      <c r="U248" s="7">
        <f>日前电价!U248-实时电价!U248</f>
        <v>-19.363</v>
      </c>
      <c r="V248" s="7">
        <f>日前电价!V248-实时电价!V248</f>
        <v>6.8068999999999802</v>
      </c>
      <c r="W248" s="7">
        <f>日前电价!W248-实时电价!W248</f>
        <v>6.07440000000003</v>
      </c>
      <c r="X248" s="7">
        <f>日前电价!X248-实时电价!X248</f>
        <v>5.6460999999999899</v>
      </c>
      <c r="Y248" s="7">
        <f>日前电价!Y248-实时电价!Y248</f>
        <v>62.1905</v>
      </c>
      <c r="Z248" s="9">
        <f t="shared" si="9"/>
        <v>260.46010000000001</v>
      </c>
      <c r="AA248" s="9">
        <f t="shared" si="10"/>
        <v>-19.363</v>
      </c>
      <c r="AB248" s="9">
        <f t="shared" si="11"/>
        <v>51.336633333333303</v>
      </c>
    </row>
    <row r="249" spans="1:28">
      <c r="A249" s="8">
        <v>45539</v>
      </c>
      <c r="B249" s="7">
        <f>日前电价!B249-实时电价!B249</f>
        <v>-3.0389000000000101</v>
      </c>
      <c r="C249" s="7">
        <f>日前电价!C249-实时电价!C249</f>
        <v>-4.1203000000000403</v>
      </c>
      <c r="D249" s="7">
        <f>日前电价!D249-实时电价!D249</f>
        <v>3.8859999999999699</v>
      </c>
      <c r="E249" s="7">
        <f>日前电价!E249-实时电价!E249</f>
        <v>10.7492</v>
      </c>
      <c r="F249" s="7">
        <f>日前电价!F249-实时电价!F249</f>
        <v>9.8722999999999992</v>
      </c>
      <c r="G249" s="7">
        <f>日前电价!G249-实时电价!G249</f>
        <v>4.9245000000000196</v>
      </c>
      <c r="H249" s="7">
        <f>日前电价!H249-实时电价!H249</f>
        <v>5.90899999999999</v>
      </c>
      <c r="I249" s="7">
        <f>日前电价!I249-实时电价!I249</f>
        <v>14.534000000000001</v>
      </c>
      <c r="J249" s="7">
        <f>日前电价!J249-实时电价!J249</f>
        <v>10.2872</v>
      </c>
      <c r="K249" s="7">
        <f>日前电价!K249-实时电价!K249</f>
        <v>16.149799999999999</v>
      </c>
      <c r="L249" s="7">
        <f>日前电价!L249-实时电价!L249</f>
        <v>28.8476</v>
      </c>
      <c r="M249" s="7">
        <f>日前电价!M249-实时电价!M249</f>
        <v>26.8169</v>
      </c>
      <c r="N249" s="7">
        <f>日前电价!N249-实时电价!N249</f>
        <v>26.777899999999999</v>
      </c>
      <c r="O249" s="7">
        <f>日前电价!O249-实时电价!O249</f>
        <v>19.8963</v>
      </c>
      <c r="P249" s="7">
        <f>日前电价!P249-实时电价!P249</f>
        <v>23.3263</v>
      </c>
      <c r="Q249" s="7">
        <f>日前电价!Q249-实时电价!Q249</f>
        <v>17.035900000000002</v>
      </c>
      <c r="R249" s="7">
        <f>日前电价!R249-实时电价!R249</f>
        <v>11.9155</v>
      </c>
      <c r="S249" s="7">
        <f>日前电价!S249-实时电价!S249</f>
        <v>14.7277</v>
      </c>
      <c r="T249" s="7">
        <f>日前电价!T249-实时电价!T249</f>
        <v>-11.0068000000001</v>
      </c>
      <c r="U249" s="7">
        <f>日前电价!U249-实时电价!U249</f>
        <v>-72.715999999999994</v>
      </c>
      <c r="V249" s="7">
        <f>日前电价!V249-实时电价!V249</f>
        <v>-234.71680000000001</v>
      </c>
      <c r="W249" s="7">
        <f>日前电价!W249-实时电价!W249</f>
        <v>-345.99090000000001</v>
      </c>
      <c r="X249" s="7">
        <f>日前电价!X249-实时电价!X249</f>
        <v>-239.7577</v>
      </c>
      <c r="Y249" s="7">
        <f>日前电价!Y249-实时电价!Y249</f>
        <v>-19.491099999999999</v>
      </c>
      <c r="Z249" s="9">
        <f t="shared" si="9"/>
        <v>28.8476</v>
      </c>
      <c r="AA249" s="9">
        <f t="shared" si="10"/>
        <v>-345.99090000000001</v>
      </c>
      <c r="AB249" s="9">
        <f t="shared" si="11"/>
        <v>-28.5492666666667</v>
      </c>
    </row>
    <row r="250" spans="1:28">
      <c r="A250" s="8">
        <v>45540</v>
      </c>
      <c r="B250" s="7">
        <f>日前电价!B250-实时电价!B250</f>
        <v>-85.573999999999998</v>
      </c>
      <c r="C250" s="7">
        <f>日前电价!C250-实时电价!C250</f>
        <v>-20.079500000000099</v>
      </c>
      <c r="D250" s="7">
        <f>日前电价!D250-实时电价!D250</f>
        <v>-27.9251</v>
      </c>
      <c r="E250" s="7">
        <f>日前电价!E250-实时电价!E250</f>
        <v>-21.922499999999999</v>
      </c>
      <c r="F250" s="7">
        <f>日前电价!F250-实时电价!F250</f>
        <v>-14.518999999999901</v>
      </c>
      <c r="G250" s="7">
        <f>日前电价!G250-实时电价!G250</f>
        <v>-12.8368</v>
      </c>
      <c r="H250" s="7">
        <f>日前电价!H250-实时电价!H250</f>
        <v>-14.440099999999999</v>
      </c>
      <c r="I250" s="7">
        <f>日前电价!I250-实时电价!I250</f>
        <v>-6.5913999999999602</v>
      </c>
      <c r="J250" s="7">
        <f>日前电价!J250-实时电价!J250</f>
        <v>-4.11089999999996</v>
      </c>
      <c r="K250" s="7">
        <f>日前电价!K250-实时电价!K250</f>
        <v>-17.191500000000001</v>
      </c>
      <c r="L250" s="7">
        <f>日前电价!L250-实时电价!L250</f>
        <v>14.321899999999999</v>
      </c>
      <c r="M250" s="7">
        <f>日前电价!M250-实时电价!M250</f>
        <v>25.458300000000001</v>
      </c>
      <c r="N250" s="7">
        <f>日前电价!N250-实时电价!N250</f>
        <v>22.764199999999999</v>
      </c>
      <c r="O250" s="7">
        <f>日前电价!O250-实时电价!O250</f>
        <v>33.188699999999997</v>
      </c>
      <c r="P250" s="7">
        <f>日前电价!P250-实时电价!P250</f>
        <v>53.079500000000003</v>
      </c>
      <c r="Q250" s="7">
        <f>日前电价!Q250-实时电价!Q250</f>
        <v>50.551000000000002</v>
      </c>
      <c r="R250" s="7">
        <f>日前电价!R250-实时电价!R250</f>
        <v>52.110100000000003</v>
      </c>
      <c r="S250" s="7">
        <f>日前电价!S250-实时电价!S250</f>
        <v>45.700099999999999</v>
      </c>
      <c r="T250" s="7">
        <f>日前电价!T250-实时电价!T250</f>
        <v>47.124000000000002</v>
      </c>
      <c r="U250" s="7">
        <f>日前电价!U250-实时电价!U250</f>
        <v>35.942900000000002</v>
      </c>
      <c r="V250" s="7">
        <f>日前电价!V250-实时电价!V250</f>
        <v>8.9832999999999892</v>
      </c>
      <c r="W250" s="7">
        <f>日前电价!W250-实时电价!W250</f>
        <v>31.366099999999999</v>
      </c>
      <c r="X250" s="7">
        <f>日前电价!X250-实时电价!X250</f>
        <v>16.815899999999999</v>
      </c>
      <c r="Y250" s="7">
        <f>日前电价!Y250-实时电价!Y250</f>
        <v>8.9075000000000308</v>
      </c>
      <c r="Z250" s="9">
        <f t="shared" si="9"/>
        <v>53.079500000000003</v>
      </c>
      <c r="AA250" s="9">
        <f t="shared" si="10"/>
        <v>-85.573999999999998</v>
      </c>
      <c r="AB250" s="9">
        <f t="shared" si="11"/>
        <v>9.2134458333333402</v>
      </c>
    </row>
    <row r="251" spans="1:28">
      <c r="A251" s="8">
        <v>45541</v>
      </c>
      <c r="B251" s="7">
        <f>日前电价!B251-实时电价!B251</f>
        <v>93.542599999999993</v>
      </c>
      <c r="C251" s="7">
        <f>日前电价!C251-实时电价!C251</f>
        <v>92.876499999999993</v>
      </c>
      <c r="D251" s="7">
        <f>日前电价!D251-实时电价!D251</f>
        <v>73.055300000000003</v>
      </c>
      <c r="E251" s="7">
        <f>日前电价!E251-实时电价!E251</f>
        <v>49.515900000000002</v>
      </c>
      <c r="F251" s="7">
        <f>日前电价!F251-实时电价!F251</f>
        <v>33.8309</v>
      </c>
      <c r="G251" s="7">
        <f>日前电价!G251-实时电价!G251</f>
        <v>29.817299999999999</v>
      </c>
      <c r="H251" s="7">
        <f>日前电价!H251-实时电价!H251</f>
        <v>31.723299999999998</v>
      </c>
      <c r="I251" s="7">
        <f>日前电价!I251-实时电价!I251</f>
        <v>11.0275</v>
      </c>
      <c r="J251" s="7">
        <f>日前电价!J251-实时电价!J251</f>
        <v>-23.374099999999999</v>
      </c>
      <c r="K251" s="7">
        <f>日前电价!K251-实时电价!K251</f>
        <v>-82.458300000000094</v>
      </c>
      <c r="L251" s="7">
        <f>日前电价!L251-实时电价!L251</f>
        <v>-48.675899999999999</v>
      </c>
      <c r="M251" s="7">
        <f>日前电价!M251-实时电价!M251</f>
        <v>23.3035</v>
      </c>
      <c r="N251" s="7">
        <f>日前电价!N251-实时电价!N251</f>
        <v>71.332099999999997</v>
      </c>
      <c r="O251" s="7">
        <f>日前电价!O251-实时电价!O251</f>
        <v>34.182200000000002</v>
      </c>
      <c r="P251" s="7">
        <f>日前电价!P251-实时电价!P251</f>
        <v>40.610199999999999</v>
      </c>
      <c r="Q251" s="7">
        <f>日前电价!Q251-实时电价!Q251</f>
        <v>38.5807</v>
      </c>
      <c r="R251" s="7">
        <f>日前电价!R251-实时电价!R251</f>
        <v>19.6812</v>
      </c>
      <c r="S251" s="7">
        <f>日前电价!S251-实时电价!S251</f>
        <v>39.701700000000002</v>
      </c>
      <c r="T251" s="7">
        <f>日前电价!T251-实时电价!T251</f>
        <v>30.708400000000001</v>
      </c>
      <c r="U251" s="7">
        <f>日前电价!U251-实时电价!U251</f>
        <v>38.579900000000002</v>
      </c>
      <c r="V251" s="7">
        <f>日前电价!V251-实时电价!V251</f>
        <v>55.0702</v>
      </c>
      <c r="W251" s="7">
        <f>日前电价!W251-实时电价!W251</f>
        <v>57.447000000000003</v>
      </c>
      <c r="X251" s="7">
        <f>日前电价!X251-实时电价!X251</f>
        <v>65.761099999999999</v>
      </c>
      <c r="Y251" s="7">
        <f>日前电价!Y251-实时电价!Y251</f>
        <v>68.582300000000004</v>
      </c>
      <c r="Z251" s="9">
        <f t="shared" si="9"/>
        <v>93.542599999999993</v>
      </c>
      <c r="AA251" s="9">
        <f t="shared" si="10"/>
        <v>-82.458300000000094</v>
      </c>
      <c r="AB251" s="9">
        <f t="shared" si="11"/>
        <v>35.184229166666697</v>
      </c>
    </row>
    <row r="252" spans="1:28">
      <c r="A252" s="8">
        <v>45542</v>
      </c>
      <c r="B252" s="7">
        <f>日前电价!B252-实时电价!B252</f>
        <v>19.312000000000001</v>
      </c>
      <c r="C252" s="7">
        <f>日前电价!C252-实时电价!C252</f>
        <v>28.994</v>
      </c>
      <c r="D252" s="7">
        <f>日前电价!D252-实时电价!D252</f>
        <v>28.4085</v>
      </c>
      <c r="E252" s="7">
        <f>日前电价!E252-实时电价!E252</f>
        <v>29.4313</v>
      </c>
      <c r="F252" s="7">
        <f>日前电价!F252-实时电价!F252</f>
        <v>17.947399999999998</v>
      </c>
      <c r="G252" s="7">
        <f>日前电价!G252-实时电价!G252</f>
        <v>14.839399999999999</v>
      </c>
      <c r="H252" s="7">
        <f>日前电价!H252-实时电价!H252</f>
        <v>19.893599999999999</v>
      </c>
      <c r="I252" s="7">
        <f>日前电价!I252-实时电价!I252</f>
        <v>9.8154999999999895</v>
      </c>
      <c r="J252" s="7">
        <f>日前电价!J252-实时电价!J252</f>
        <v>-1.1099999999999599</v>
      </c>
      <c r="K252" s="7">
        <f>日前电价!K252-实时电价!K252</f>
        <v>25.7774</v>
      </c>
      <c r="L252" s="7">
        <f>日前电价!L252-实时电价!L252</f>
        <v>-11.8361</v>
      </c>
      <c r="M252" s="7">
        <f>日前电价!M252-实时电价!M252</f>
        <v>4.1036999999999999</v>
      </c>
      <c r="N252" s="7">
        <f>日前电价!N252-实时电价!N252</f>
        <v>17.226800000000001</v>
      </c>
      <c r="O252" s="7">
        <f>日前电价!O252-实时电价!O252</f>
        <v>-24.540800000000001</v>
      </c>
      <c r="P252" s="7">
        <f>日前电价!P252-实时电价!P252</f>
        <v>-33.159399999999998</v>
      </c>
      <c r="Q252" s="7">
        <f>日前电价!Q252-实时电价!Q252</f>
        <v>-22.299299999999999</v>
      </c>
      <c r="R252" s="7">
        <f>日前电价!R252-实时电价!R252</f>
        <v>-27.318899999999999</v>
      </c>
      <c r="S252" s="7">
        <f>日前电价!S252-实时电价!S252</f>
        <v>-14.9755</v>
      </c>
      <c r="T252" s="7">
        <f>日前电价!T252-实时电价!T252</f>
        <v>-23.263999999999999</v>
      </c>
      <c r="U252" s="7">
        <f>日前电价!U252-实时电价!U252</f>
        <v>-8.8438000000000407</v>
      </c>
      <c r="V252" s="7">
        <f>日前电价!V252-实时电价!V252</f>
        <v>5.6924999999999999</v>
      </c>
      <c r="W252" s="7">
        <f>日前电价!W252-实时电价!W252</f>
        <v>-1.17529999999999</v>
      </c>
      <c r="X252" s="7">
        <f>日前电价!X252-实时电价!X252</f>
        <v>-4.4101999999999704</v>
      </c>
      <c r="Y252" s="7">
        <f>日前电价!Y252-实时电价!Y252</f>
        <v>13.373200000000001</v>
      </c>
      <c r="Z252" s="9">
        <f t="shared" si="9"/>
        <v>29.4313</v>
      </c>
      <c r="AA252" s="9">
        <f t="shared" si="10"/>
        <v>-33.159399999999998</v>
      </c>
      <c r="AB252" s="9">
        <f t="shared" si="11"/>
        <v>2.5784166666666599</v>
      </c>
    </row>
    <row r="253" spans="1:28">
      <c r="A253" s="8">
        <v>45543</v>
      </c>
      <c r="B253" s="7">
        <f>日前电价!B253-实时电价!B253</f>
        <v>-138.12649999999999</v>
      </c>
      <c r="C253" s="7">
        <f>日前电价!C253-实时电价!C253</f>
        <v>-142.5873</v>
      </c>
      <c r="D253" s="7">
        <f>日前电价!D253-实时电价!D253</f>
        <v>-99.937899999999999</v>
      </c>
      <c r="E253" s="7">
        <f>日前电价!E253-实时电价!E253</f>
        <v>-52.793900000000001</v>
      </c>
      <c r="F253" s="7">
        <f>日前电价!F253-实时电价!F253</f>
        <v>-29.898399999999999</v>
      </c>
      <c r="G253" s="7">
        <f>日前电价!G253-实时电价!G253</f>
        <v>-31.681100000000001</v>
      </c>
      <c r="H253" s="7">
        <f>日前电价!H253-实时电价!H253</f>
        <v>-28.6769</v>
      </c>
      <c r="I253" s="7">
        <f>日前电价!I253-实时电价!I253</f>
        <v>-35.938200000000002</v>
      </c>
      <c r="J253" s="7">
        <f>日前电价!J253-实时电价!J253</f>
        <v>-23.859500000000001</v>
      </c>
      <c r="K253" s="7">
        <f>日前电价!K253-实时电价!K253</f>
        <v>3.7488999999999901</v>
      </c>
      <c r="L253" s="7">
        <f>日前电价!L253-实时电价!L253</f>
        <v>-12.008800000000001</v>
      </c>
      <c r="M253" s="7">
        <f>日前电价!M253-实时电价!M253</f>
        <v>-17.7712</v>
      </c>
      <c r="N253" s="7">
        <f>日前电价!N253-实时电价!N253</f>
        <v>-19.416899999999998</v>
      </c>
      <c r="O253" s="7">
        <f>日前电价!O253-实时电价!O253</f>
        <v>-14.3033</v>
      </c>
      <c r="P253" s="7">
        <f>日前电价!P253-实时电价!P253</f>
        <v>-33.0413</v>
      </c>
      <c r="Q253" s="7">
        <f>日前电价!Q253-实时电价!Q253</f>
        <v>-31.626999999999999</v>
      </c>
      <c r="R253" s="7">
        <f>日前电价!R253-实时电价!R253</f>
        <v>-37.075499999999998</v>
      </c>
      <c r="S253" s="7">
        <f>日前电价!S253-实时电价!S253</f>
        <v>-10.506399999999999</v>
      </c>
      <c r="T253" s="7">
        <f>日前电价!T253-实时电价!T253</f>
        <v>4.1951999999999998</v>
      </c>
      <c r="U253" s="7">
        <f>日前电价!U253-实时电价!U253</f>
        <v>-12.7241</v>
      </c>
      <c r="V253" s="7">
        <f>日前电价!V253-实时电价!V253</f>
        <v>-10.775600000000001</v>
      </c>
      <c r="W253" s="7">
        <f>日前电价!W253-实时电价!W253</f>
        <v>-10.180400000000001</v>
      </c>
      <c r="X253" s="7">
        <f>日前电价!X253-实时电价!X253</f>
        <v>-16.473299999999998</v>
      </c>
      <c r="Y253" s="7">
        <f>日前电价!Y253-实时电价!Y253</f>
        <v>5.8578000000000001</v>
      </c>
      <c r="Z253" s="9">
        <f t="shared" si="9"/>
        <v>5.8578000000000001</v>
      </c>
      <c r="AA253" s="9">
        <f t="shared" si="10"/>
        <v>-142.5873</v>
      </c>
      <c r="AB253" s="9">
        <f t="shared" si="11"/>
        <v>-33.150066666666703</v>
      </c>
    </row>
    <row r="254" spans="1:28">
      <c r="A254" s="8">
        <v>45544</v>
      </c>
      <c r="B254" s="7">
        <f>日前电价!B254-实时电价!B254</f>
        <v>16.900500000000001</v>
      </c>
      <c r="C254" s="7">
        <f>日前电价!C254-实时电价!C254</f>
        <v>14.061400000000001</v>
      </c>
      <c r="D254" s="7">
        <f>日前电价!D254-实时电价!D254</f>
        <v>16.12</v>
      </c>
      <c r="E254" s="7">
        <f>日前电价!E254-实时电价!E254</f>
        <v>18.456399999999999</v>
      </c>
      <c r="F254" s="7">
        <f>日前电价!F254-实时电价!F254</f>
        <v>8.4621999999999993</v>
      </c>
      <c r="G254" s="7">
        <f>日前电价!G254-实时电价!G254</f>
        <v>4.7026000000000199</v>
      </c>
      <c r="H254" s="7">
        <f>日前电价!H254-实时电价!H254</f>
        <v>-6.12510000000003</v>
      </c>
      <c r="I254" s="7">
        <f>日前电价!I254-实时电价!I254</f>
        <v>-11.560499999999999</v>
      </c>
      <c r="J254" s="7">
        <f>日前电价!J254-实时电价!J254</f>
        <v>-15.2682</v>
      </c>
      <c r="K254" s="7">
        <f>日前电价!K254-实时电价!K254</f>
        <v>-22.0321</v>
      </c>
      <c r="L254" s="7">
        <f>日前电价!L254-实时电价!L254</f>
        <v>-0.867999999999995</v>
      </c>
      <c r="M254" s="7">
        <f>日前电价!M254-实时电价!M254</f>
        <v>10.5029</v>
      </c>
      <c r="N254" s="7">
        <f>日前电价!N254-实时电价!N254</f>
        <v>6.73160000000001</v>
      </c>
      <c r="O254" s="7">
        <f>日前电价!O254-实时电价!O254</f>
        <v>-1.3503000000000001</v>
      </c>
      <c r="P254" s="7">
        <f>日前电价!P254-实时电价!P254</f>
        <v>17.6037</v>
      </c>
      <c r="Q254" s="7">
        <f>日前电价!Q254-实时电价!Q254</f>
        <v>13.4536</v>
      </c>
      <c r="R254" s="7">
        <f>日前电价!R254-实时电价!R254</f>
        <v>7.0780000000000296</v>
      </c>
      <c r="S254" s="7">
        <f>日前电价!S254-实时电价!S254</f>
        <v>19.809899999999999</v>
      </c>
      <c r="T254" s="7">
        <f>日前电价!T254-实时电价!T254</f>
        <v>9.0894999999999904</v>
      </c>
      <c r="U254" s="7">
        <f>日前电价!U254-实时电价!U254</f>
        <v>5.8761999999999803</v>
      </c>
      <c r="V254" s="7">
        <f>日前电价!V254-实时电价!V254</f>
        <v>12.4092</v>
      </c>
      <c r="W254" s="7">
        <f>日前电价!W254-实时电价!W254</f>
        <v>17.825299999999999</v>
      </c>
      <c r="X254" s="7">
        <f>日前电价!X254-实时电价!X254</f>
        <v>22.8705</v>
      </c>
      <c r="Y254" s="7">
        <f>日前电价!Y254-实时电价!Y254</f>
        <v>34.0946</v>
      </c>
      <c r="Z254" s="9">
        <f t="shared" si="9"/>
        <v>34.0946</v>
      </c>
      <c r="AA254" s="9">
        <f t="shared" si="10"/>
        <v>-22.0321</v>
      </c>
      <c r="AB254" s="9">
        <f t="shared" si="11"/>
        <v>8.2851625000000002</v>
      </c>
    </row>
    <row r="255" spans="1:28">
      <c r="A255" s="8">
        <v>45545</v>
      </c>
      <c r="B255" s="7">
        <f>日前电价!B255-实时电价!B255</f>
        <v>7.7269999999999799</v>
      </c>
      <c r="C255" s="7">
        <f>日前电价!C255-实时电价!C255</f>
        <v>6.5153999999999996</v>
      </c>
      <c r="D255" s="7">
        <f>日前电价!D255-实时电价!D255</f>
        <v>9.1612000000000098</v>
      </c>
      <c r="E255" s="7">
        <f>日前电价!E255-实时电价!E255</f>
        <v>10.8285</v>
      </c>
      <c r="F255" s="7">
        <f>日前电价!F255-实时电价!F255</f>
        <v>6.0799999999972001E-2</v>
      </c>
      <c r="G255" s="7">
        <f>日前电价!G255-实时电价!G255</f>
        <v>-4.9680000000000204</v>
      </c>
      <c r="H255" s="7">
        <f>日前电价!H255-实时电价!H255</f>
        <v>-13.707800000000001</v>
      </c>
      <c r="I255" s="7">
        <f>日前电价!I255-实时电价!I255</f>
        <v>-15.319000000000001</v>
      </c>
      <c r="J255" s="7">
        <f>日前电价!J255-实时电价!J255</f>
        <v>2.73360000000002</v>
      </c>
      <c r="K255" s="7">
        <f>日前电价!K255-实时电价!K255</f>
        <v>-2.1650999999999998</v>
      </c>
      <c r="L255" s="7">
        <f>日前电价!L255-实时电价!L255</f>
        <v>7.67750000000001</v>
      </c>
      <c r="M255" s="7">
        <f>日前电价!M255-实时电价!M255</f>
        <v>24.654199999999999</v>
      </c>
      <c r="N255" s="7">
        <f>日前电价!N255-实时电价!N255</f>
        <v>61.711599999999997</v>
      </c>
      <c r="O255" s="7">
        <f>日前电价!O255-实时电价!O255</f>
        <v>19.5273</v>
      </c>
      <c r="P255" s="7">
        <f>日前电价!P255-实时电价!P255</f>
        <v>38.118299999999998</v>
      </c>
      <c r="Q255" s="7">
        <f>日前电价!Q255-实时电价!Q255</f>
        <v>33.515099999999997</v>
      </c>
      <c r="R255" s="7">
        <f>日前电价!R255-实时电价!R255</f>
        <v>14.2736</v>
      </c>
      <c r="S255" s="7">
        <f>日前电价!S255-实时电价!S255</f>
        <v>5.5878999999999897</v>
      </c>
      <c r="T255" s="7">
        <f>日前电价!T255-实时电价!T255</f>
        <v>-13.2689</v>
      </c>
      <c r="U255" s="7">
        <f>日前电价!U255-实时电价!U255</f>
        <v>-48.584400000000002</v>
      </c>
      <c r="V255" s="7">
        <f>日前电价!V255-实时电价!V255</f>
        <v>-10.357200000000001</v>
      </c>
      <c r="W255" s="7">
        <f>日前电价!W255-实时电价!W255</f>
        <v>-31.8611</v>
      </c>
      <c r="X255" s="7">
        <f>日前电价!X255-实时电价!X255</f>
        <v>-35.776000000000003</v>
      </c>
      <c r="Y255" s="7">
        <f>日前电价!Y255-实时电价!Y255</f>
        <v>8.53590000000003</v>
      </c>
      <c r="Z255" s="9">
        <f t="shared" si="9"/>
        <v>61.711599999999997</v>
      </c>
      <c r="AA255" s="9">
        <f t="shared" si="10"/>
        <v>-48.584400000000002</v>
      </c>
      <c r="AB255" s="9">
        <f t="shared" si="11"/>
        <v>3.1091833333333301</v>
      </c>
    </row>
    <row r="256" spans="1:28">
      <c r="A256" s="8">
        <v>45546</v>
      </c>
      <c r="B256" s="7">
        <f>日前电价!B256-实时电价!B256</f>
        <v>-12.474500000000001</v>
      </c>
      <c r="C256" s="7">
        <f>日前电价!C256-实时电价!C256</f>
        <v>-0.53649999999998998</v>
      </c>
      <c r="D256" s="7">
        <f>日前电价!D256-实时电价!D256</f>
        <v>-6.1440000000000099</v>
      </c>
      <c r="E256" s="7">
        <f>日前电价!E256-实时电价!E256</f>
        <v>-8.1933000000000202</v>
      </c>
      <c r="F256" s="7">
        <f>日前电价!F256-实时电价!F256</f>
        <v>-10.059200000000001</v>
      </c>
      <c r="G256" s="7">
        <f>日前电价!G256-实时电价!G256</f>
        <v>-14.226800000000001</v>
      </c>
      <c r="H256" s="7">
        <f>日前电价!H256-实时电价!H256</f>
        <v>-7.5697000000000099</v>
      </c>
      <c r="I256" s="7">
        <f>日前电价!I256-实时电价!I256</f>
        <v>-11.711</v>
      </c>
      <c r="J256" s="7">
        <f>日前电价!J256-实时电价!J256</f>
        <v>-15.6915</v>
      </c>
      <c r="K256" s="7">
        <f>日前电价!K256-实时电价!K256</f>
        <v>-7.9337999999999598</v>
      </c>
      <c r="L256" s="7">
        <f>日前电价!L256-实时电价!L256</f>
        <v>10.523</v>
      </c>
      <c r="M256" s="7">
        <f>日前电价!M256-实时电价!M256</f>
        <v>28.961200000000002</v>
      </c>
      <c r="N256" s="7">
        <f>日前电价!N256-实时电价!N256</f>
        <v>36.039700000000003</v>
      </c>
      <c r="O256" s="7">
        <f>日前电价!O256-实时电价!O256</f>
        <v>-26.215699999999998</v>
      </c>
      <c r="P256" s="7">
        <f>日前电价!P256-实时电价!P256</f>
        <v>15.442600000000001</v>
      </c>
      <c r="Q256" s="7">
        <f>日前电价!Q256-实时电价!Q256</f>
        <v>13.2378</v>
      </c>
      <c r="R256" s="7">
        <f>日前电价!R256-实时电价!R256</f>
        <v>-55.110900000000001</v>
      </c>
      <c r="S256" s="7">
        <f>日前电价!S256-实时电价!S256</f>
        <v>-31.484400000000001</v>
      </c>
      <c r="T256" s="7">
        <f>日前电价!T256-实时电价!T256</f>
        <v>-83.005899999999997</v>
      </c>
      <c r="U256" s="7">
        <f>日前电价!U256-实时电价!U256</f>
        <v>-27.945699999999999</v>
      </c>
      <c r="V256" s="7">
        <f>日前电价!V256-实时电价!V256</f>
        <v>-17.8371</v>
      </c>
      <c r="W256" s="7">
        <f>日前电价!W256-实时电价!W256</f>
        <v>-5.8346999999999998</v>
      </c>
      <c r="X256" s="7">
        <f>日前电价!X256-实时电价!X256</f>
        <v>-23.9313</v>
      </c>
      <c r="Y256" s="7">
        <f>日前电价!Y256-实时电价!Y256</f>
        <v>-24.037400000000002</v>
      </c>
      <c r="Z256" s="9">
        <f t="shared" si="9"/>
        <v>36.039700000000003</v>
      </c>
      <c r="AA256" s="9">
        <f t="shared" si="10"/>
        <v>-83.005899999999997</v>
      </c>
      <c r="AB256" s="9">
        <f t="shared" si="11"/>
        <v>-11.9057958333333</v>
      </c>
    </row>
    <row r="257" spans="1:28">
      <c r="A257" s="8">
        <v>45547</v>
      </c>
      <c r="B257" s="7">
        <f>日前电价!B257-实时电价!B257</f>
        <v>-94.662899999999993</v>
      </c>
      <c r="C257" s="7">
        <f>日前电价!C257-实时电价!C257</f>
        <v>-34.717399999999998</v>
      </c>
      <c r="D257" s="7">
        <f>日前电价!D257-实时电价!D257</f>
        <v>-38.3705</v>
      </c>
      <c r="E257" s="7">
        <f>日前电价!E257-实时电价!E257</f>
        <v>-38.713299999999997</v>
      </c>
      <c r="F257" s="7">
        <f>日前电价!F257-实时电价!F257</f>
        <v>-36.137500000000003</v>
      </c>
      <c r="G257" s="7">
        <f>日前电价!G257-实时电价!G257</f>
        <v>-29.231300000000001</v>
      </c>
      <c r="H257" s="7">
        <f>日前电价!H257-实时电价!H257</f>
        <v>-31.3001</v>
      </c>
      <c r="I257" s="7">
        <f>日前电价!I257-实时电价!I257</f>
        <v>-21.1693</v>
      </c>
      <c r="J257" s="7">
        <f>日前电价!J257-实时电价!J257</f>
        <v>-31.087599999999998</v>
      </c>
      <c r="K257" s="7">
        <f>日前电价!K257-实时电价!K257</f>
        <v>-9.7459000000000096</v>
      </c>
      <c r="L257" s="7">
        <f>日前电价!L257-实时电价!L257</f>
        <v>18.137799999999999</v>
      </c>
      <c r="M257" s="7">
        <f>日前电价!M257-实时电价!M257</f>
        <v>13.337400000000001</v>
      </c>
      <c r="N257" s="7">
        <f>日前电价!N257-实时电价!N257</f>
        <v>-3.3618999999999901</v>
      </c>
      <c r="O257" s="7">
        <f>日前电价!O257-实时电价!O257</f>
        <v>-11.3093</v>
      </c>
      <c r="P257" s="7">
        <f>日前电价!P257-实时电价!P257</f>
        <v>5.38250000000005</v>
      </c>
      <c r="Q257" s="7">
        <f>日前电价!Q257-实时电价!Q257</f>
        <v>14.016</v>
      </c>
      <c r="R257" s="7">
        <f>日前电价!R257-实时电价!R257</f>
        <v>7.2769999999999904</v>
      </c>
      <c r="S257" s="7">
        <f>日前电价!S257-实时电价!S257</f>
        <v>-5.0900000000012803E-2</v>
      </c>
      <c r="T257" s="7">
        <f>日前电价!T257-实时电价!T257</f>
        <v>-15.739100000000001</v>
      </c>
      <c r="U257" s="7">
        <f>日前电价!U257-实时电价!U257</f>
        <v>-48.475299999999997</v>
      </c>
      <c r="V257" s="7">
        <f>日前电价!V257-实时电价!V257</f>
        <v>-40.0916</v>
      </c>
      <c r="W257" s="7">
        <f>日前电价!W257-实时电价!W257</f>
        <v>-38.520299999999999</v>
      </c>
      <c r="X257" s="7">
        <f>日前电价!X257-实时电价!X257</f>
        <v>-72.155299999999997</v>
      </c>
      <c r="Y257" s="7">
        <f>日前电价!Y257-实时电价!Y257</f>
        <v>-21.9846</v>
      </c>
      <c r="Z257" s="9">
        <f t="shared" si="9"/>
        <v>18.137799999999999</v>
      </c>
      <c r="AA257" s="9">
        <f t="shared" si="10"/>
        <v>-94.662899999999993</v>
      </c>
      <c r="AB257" s="9">
        <f t="shared" si="11"/>
        <v>-23.278058333333298</v>
      </c>
    </row>
    <row r="258" spans="1:28">
      <c r="A258" s="8">
        <v>45548</v>
      </c>
      <c r="B258" s="7">
        <f>日前电价!B258-实时电价!B258</f>
        <v>-119.9842</v>
      </c>
      <c r="C258" s="7">
        <f>日前电价!C258-实时电价!C258</f>
        <v>-116.3522</v>
      </c>
      <c r="D258" s="7">
        <f>日前电价!D258-实时电价!D258</f>
        <v>-34.919499999999999</v>
      </c>
      <c r="E258" s="7">
        <f>日前电价!E258-实时电价!E258</f>
        <v>-11.1652</v>
      </c>
      <c r="F258" s="7">
        <f>日前电价!F258-实时电价!F258</f>
        <v>-17.0549</v>
      </c>
      <c r="G258" s="7">
        <f>日前电价!G258-实时电价!G258</f>
        <v>-10.5061</v>
      </c>
      <c r="H258" s="7">
        <f>日前电价!H258-实时电价!H258</f>
        <v>-7.2878999999999801</v>
      </c>
      <c r="I258" s="7">
        <f>日前电价!I258-实时电价!I258</f>
        <v>-3.0353000000000101</v>
      </c>
      <c r="J258" s="7">
        <f>日前电价!J258-实时电价!J258</f>
        <v>-9.4895999999999994</v>
      </c>
      <c r="K258" s="7">
        <f>日前电价!K258-实时电价!K258</f>
        <v>4.3223000000000402</v>
      </c>
      <c r="L258" s="7">
        <f>日前电价!L258-实时电价!L258</f>
        <v>15.6564</v>
      </c>
      <c r="M258" s="7">
        <f>日前电价!M258-实时电价!M258</f>
        <v>17.432200000000002</v>
      </c>
      <c r="N258" s="7">
        <f>日前电价!N258-实时电价!N258</f>
        <v>15.773400000000001</v>
      </c>
      <c r="O258" s="7">
        <f>日前电价!O258-实时电价!O258</f>
        <v>4.6605999999999899</v>
      </c>
      <c r="P258" s="7">
        <f>日前电价!P258-实时电价!P258</f>
        <v>21.796900000000001</v>
      </c>
      <c r="Q258" s="7">
        <f>日前电价!Q258-实时电价!Q258</f>
        <v>19.579000000000001</v>
      </c>
      <c r="R258" s="7">
        <f>日前电价!R258-实时电价!R258</f>
        <v>13.2981</v>
      </c>
      <c r="S258" s="7">
        <f>日前电价!S258-实时电价!S258</f>
        <v>5.9928999999999597</v>
      </c>
      <c r="T258" s="7">
        <f>日前电价!T258-实时电价!T258</f>
        <v>0.63369999999997595</v>
      </c>
      <c r="U258" s="7">
        <f>日前电价!U258-实时电价!U258</f>
        <v>-3.5731000000000099</v>
      </c>
      <c r="V258" s="7">
        <f>日前电价!V258-实时电价!V258</f>
        <v>1.0832000000000299</v>
      </c>
      <c r="W258" s="7">
        <f>日前电价!W258-实时电价!W258</f>
        <v>-1.1258999999999999</v>
      </c>
      <c r="X258" s="7">
        <f>日前电价!X258-实时电价!X258</f>
        <v>9.0697999999999901</v>
      </c>
      <c r="Y258" s="7">
        <f>日前电价!Y258-实时电价!Y258</f>
        <v>6.9967000000000299</v>
      </c>
      <c r="Z258" s="9">
        <f t="shared" ref="Z258:Z321" si="12">MAX($B258:$Y258)</f>
        <v>21.796900000000001</v>
      </c>
      <c r="AA258" s="9">
        <f t="shared" ref="AA258:AA321" si="13">MIN($B258:$Y258)</f>
        <v>-119.9842</v>
      </c>
      <c r="AB258" s="9">
        <f t="shared" ref="AB258:AB321" si="14">AVERAGE($B258:$Y258)</f>
        <v>-8.2582791666666697</v>
      </c>
    </row>
    <row r="259" spans="1:28">
      <c r="A259" s="8">
        <v>45549</v>
      </c>
      <c r="B259" s="7">
        <f>日前电价!B259-实时电价!B259</f>
        <v>-193.12989999999999</v>
      </c>
      <c r="C259" s="7">
        <f>日前电价!C259-实时电价!C259</f>
        <v>-83.261299999999906</v>
      </c>
      <c r="D259" s="7">
        <f>日前电价!D259-实时电价!D259</f>
        <v>-32.883800000000001</v>
      </c>
      <c r="E259" s="7">
        <f>日前电价!E259-实时电价!E259</f>
        <v>-15.302899999999999</v>
      </c>
      <c r="F259" s="7">
        <f>日前电价!F259-实时电价!F259</f>
        <v>-9.7257999999999907</v>
      </c>
      <c r="G259" s="7">
        <f>日前电价!G259-实时电价!G259</f>
        <v>-5.2751000000000099</v>
      </c>
      <c r="H259" s="7">
        <f>日前电价!H259-实时电价!H259</f>
        <v>-11.8399</v>
      </c>
      <c r="I259" s="7">
        <f>日前电价!I259-实时电价!I259</f>
        <v>-2.2645</v>
      </c>
      <c r="J259" s="7">
        <f>日前电价!J259-实时电价!J259</f>
        <v>-28.180599999999998</v>
      </c>
      <c r="K259" s="7">
        <f>日前电价!K259-实时电价!K259</f>
        <v>-21.083600000000001</v>
      </c>
      <c r="L259" s="7">
        <f>日前电价!L259-实时电价!L259</f>
        <v>-18.1616</v>
      </c>
      <c r="M259" s="7">
        <f>日前电价!M259-实时电价!M259</f>
        <v>-8.9807999999999897</v>
      </c>
      <c r="N259" s="7">
        <f>日前电价!N259-实时电价!N259</f>
        <v>4.2212999999999896</v>
      </c>
      <c r="O259" s="7">
        <f>日前电价!O259-实时电价!O259</f>
        <v>-19.324400000000001</v>
      </c>
      <c r="P259" s="7">
        <f>日前电价!P259-实时电价!P259</f>
        <v>-7.7573000000000398</v>
      </c>
      <c r="Q259" s="7">
        <f>日前电价!Q259-实时电价!Q259</f>
        <v>-2.6900000000011901E-2</v>
      </c>
      <c r="R259" s="7">
        <f>日前电价!R259-实时电价!R259</f>
        <v>5.1146000000000003</v>
      </c>
      <c r="S259" s="7">
        <f>日前电价!S259-实时电价!S259</f>
        <v>14.994899999999999</v>
      </c>
      <c r="T259" s="7">
        <f>日前电价!T259-实时电价!T259</f>
        <v>9.9715000000000504</v>
      </c>
      <c r="U259" s="7">
        <f>日前电价!U259-实时电价!U259</f>
        <v>5.3000999999999898</v>
      </c>
      <c r="V259" s="7">
        <f>日前电价!V259-实时电价!V259</f>
        <v>-25.297499999999999</v>
      </c>
      <c r="W259" s="7">
        <f>日前电价!W259-实时电价!W259</f>
        <v>-15.7904</v>
      </c>
      <c r="X259" s="7">
        <f>日前电价!X259-实时电价!X259</f>
        <v>-9.2035999999999891</v>
      </c>
      <c r="Y259" s="7">
        <f>日前电价!Y259-实时电价!Y259</f>
        <v>-6.2748000000000301</v>
      </c>
      <c r="Z259" s="9">
        <f t="shared" si="12"/>
        <v>14.994899999999999</v>
      </c>
      <c r="AA259" s="9">
        <f t="shared" si="13"/>
        <v>-193.12989999999999</v>
      </c>
      <c r="AB259" s="9">
        <f t="shared" si="14"/>
        <v>-19.756762500000001</v>
      </c>
    </row>
    <row r="260" spans="1:28">
      <c r="A260" s="8">
        <v>45550</v>
      </c>
      <c r="B260" s="7">
        <f>日前电价!B260-实时电价!B260</f>
        <v>48.3857</v>
      </c>
      <c r="C260" s="7">
        <f>日前电价!C260-实时电价!C260</f>
        <v>54.262</v>
      </c>
      <c r="D260" s="7">
        <f>日前电价!D260-实时电价!D260</f>
        <v>74.720799999999997</v>
      </c>
      <c r="E260" s="7">
        <f>日前电价!E260-实时电价!E260</f>
        <v>26.133099999999999</v>
      </c>
      <c r="F260" s="7">
        <f>日前电价!F260-实时电价!F260</f>
        <v>15.787100000000001</v>
      </c>
      <c r="G260" s="7">
        <f>日前电价!G260-实时电价!G260</f>
        <v>11.368</v>
      </c>
      <c r="H260" s="7">
        <f>日前电价!H260-实时电价!H260</f>
        <v>19.095600000000001</v>
      </c>
      <c r="I260" s="7">
        <f>日前电价!I260-实时电价!I260</f>
        <v>17.712199999999999</v>
      </c>
      <c r="J260" s="7">
        <f>日前电价!J260-实时电价!J260</f>
        <v>72.165599999999998</v>
      </c>
      <c r="K260" s="7">
        <f>日前电价!K260-实时电价!K260</f>
        <v>35.819499999999898</v>
      </c>
      <c r="L260" s="7">
        <f>日前电价!L260-实时电价!L260</f>
        <v>60.207999999999998</v>
      </c>
      <c r="M260" s="7">
        <f>日前电价!M260-实时电价!M260</f>
        <v>66.602199999999996</v>
      </c>
      <c r="N260" s="7">
        <f>日前电价!N260-实时电价!N260</f>
        <v>193.28980000000001</v>
      </c>
      <c r="O260" s="7">
        <f>日前电价!O260-实时电价!O260</f>
        <v>48.734999999999999</v>
      </c>
      <c r="P260" s="7">
        <f>日前电价!P260-实时电价!P260</f>
        <v>36.162399999999998</v>
      </c>
      <c r="Q260" s="7">
        <f>日前电价!Q260-实时电价!Q260</f>
        <v>26.825399999999998</v>
      </c>
      <c r="R260" s="7">
        <f>日前电价!R260-实时电价!R260</f>
        <v>13.805999999999999</v>
      </c>
      <c r="S260" s="7">
        <f>日前电价!S260-实时电价!S260</f>
        <v>34.430199999999999</v>
      </c>
      <c r="T260" s="7">
        <f>日前电价!T260-实时电价!T260</f>
        <v>45.421799999999998</v>
      </c>
      <c r="U260" s="7">
        <f>日前电价!U260-实时电价!U260</f>
        <v>49.278799999999997</v>
      </c>
      <c r="V260" s="7">
        <f>日前电价!V260-实时电价!V260</f>
        <v>44.958500000000001</v>
      </c>
      <c r="W260" s="7">
        <f>日前电价!W260-实时电价!W260</f>
        <v>37.342500000000001</v>
      </c>
      <c r="X260" s="7">
        <f>日前电价!X260-实时电价!X260</f>
        <v>64.313999999999993</v>
      </c>
      <c r="Y260" s="7">
        <f>日前电价!Y260-实时电价!Y260</f>
        <v>50.949199999999998</v>
      </c>
      <c r="Z260" s="9">
        <f t="shared" si="12"/>
        <v>193.28980000000001</v>
      </c>
      <c r="AA260" s="9">
        <f t="shared" si="13"/>
        <v>11.368</v>
      </c>
      <c r="AB260" s="9">
        <f t="shared" si="14"/>
        <v>47.823891666666697</v>
      </c>
    </row>
    <row r="261" spans="1:28">
      <c r="A261" s="8">
        <v>45551</v>
      </c>
      <c r="B261" s="7">
        <f>日前电价!B261-实时电价!B261</f>
        <v>27.8492</v>
      </c>
      <c r="C261" s="7">
        <f>日前电价!C261-实时电价!C261</f>
        <v>-59.483699999999999</v>
      </c>
      <c r="D261" s="7">
        <f>日前电价!D261-实时电价!D261</f>
        <v>-84.493200000000002</v>
      </c>
      <c r="E261" s="7">
        <f>日前电价!E261-实时电价!E261</f>
        <v>-92.754599999999996</v>
      </c>
      <c r="F261" s="7">
        <f>日前电价!F261-实时电价!F261</f>
        <v>-28.0932</v>
      </c>
      <c r="G261" s="7">
        <f>日前电价!G261-实时电价!G261</f>
        <v>-32.127400000000002</v>
      </c>
      <c r="H261" s="7">
        <f>日前电价!H261-实时电价!H261</f>
        <v>-29.107800000000001</v>
      </c>
      <c r="I261" s="7">
        <f>日前电价!I261-实时电价!I261</f>
        <v>-13.4594</v>
      </c>
      <c r="J261" s="7">
        <f>日前电价!J261-实时电价!J261</f>
        <v>28.371200000000002</v>
      </c>
      <c r="K261" s="7">
        <f>日前电价!K261-实时电价!K261</f>
        <v>34.973300000000002</v>
      </c>
      <c r="L261" s="7">
        <f>日前电价!L261-实时电价!L261</f>
        <v>33.875399999999999</v>
      </c>
      <c r="M261" s="7">
        <f>日前电价!M261-实时电价!M261</f>
        <v>21.0395</v>
      </c>
      <c r="N261" s="7">
        <f>日前电价!N261-实时电价!N261</f>
        <v>24.605799999999999</v>
      </c>
      <c r="O261" s="7">
        <f>日前电价!O261-实时电价!O261</f>
        <v>-17.909600000000001</v>
      </c>
      <c r="P261" s="7">
        <f>日前电价!P261-实时电价!P261</f>
        <v>13.991899999999999</v>
      </c>
      <c r="Q261" s="7">
        <f>日前电价!Q261-实时电价!Q261</f>
        <v>19.8066</v>
      </c>
      <c r="R261" s="7">
        <f>日前电价!R261-实时电价!R261</f>
        <v>16.4236</v>
      </c>
      <c r="S261" s="7">
        <f>日前电价!S261-实时电价!S261</f>
        <v>37.294499999999999</v>
      </c>
      <c r="T261" s="7">
        <f>日前电价!T261-实时电价!T261</f>
        <v>13.7791</v>
      </c>
      <c r="U261" s="7">
        <f>日前电价!U261-实时电价!U261</f>
        <v>14.2966</v>
      </c>
      <c r="V261" s="7">
        <f>日前电价!V261-实时电价!V261</f>
        <v>20.938600000000001</v>
      </c>
      <c r="W261" s="7">
        <f>日前电价!W261-实时电价!W261</f>
        <v>11.712999999999999</v>
      </c>
      <c r="X261" s="7">
        <f>日前电价!X261-实时电价!X261</f>
        <v>4.4846000000000004</v>
      </c>
      <c r="Y261" s="7">
        <f>日前电价!Y261-实时电价!Y261</f>
        <v>3.5980999999999899</v>
      </c>
      <c r="Z261" s="9">
        <f t="shared" si="12"/>
        <v>37.294499999999999</v>
      </c>
      <c r="AA261" s="9">
        <f t="shared" si="13"/>
        <v>-92.754599999999996</v>
      </c>
      <c r="AB261" s="9">
        <f t="shared" si="14"/>
        <v>-1.2661625000000001</v>
      </c>
    </row>
    <row r="262" spans="1:28">
      <c r="A262" s="8">
        <v>45552</v>
      </c>
      <c r="B262" s="7">
        <f>日前电价!B262-实时电价!B262</f>
        <v>-119.7109</v>
      </c>
      <c r="C262" s="7">
        <f>日前电价!C262-实时电价!C262</f>
        <v>0.26400000000001</v>
      </c>
      <c r="D262" s="7">
        <f>日前电价!D262-实时电价!D262</f>
        <v>27.306799999999999</v>
      </c>
      <c r="E262" s="7">
        <f>日前电价!E262-实时电价!E262</f>
        <v>12.579700000000001</v>
      </c>
      <c r="F262" s="7">
        <f>日前电价!F262-实时电价!F262</f>
        <v>10.021599999999999</v>
      </c>
      <c r="G262" s="7">
        <f>日前电价!G262-实时电价!G262</f>
        <v>14.5001999999999</v>
      </c>
      <c r="H262" s="7">
        <f>日前电价!H262-实时电价!H262</f>
        <v>12.0017</v>
      </c>
      <c r="I262" s="7">
        <f>日前电价!I262-实时电价!I262</f>
        <v>82.188900000000004</v>
      </c>
      <c r="J262" s="7">
        <f>日前电价!J262-实时电价!J262</f>
        <v>8.9864999999999995</v>
      </c>
      <c r="K262" s="7">
        <f>日前电价!K262-实时电价!K262</f>
        <v>5.48999999999999E-2</v>
      </c>
      <c r="L262" s="7">
        <f>日前电价!L262-实时电价!L262</f>
        <v>-5.7409999999999997</v>
      </c>
      <c r="M262" s="7">
        <f>日前电价!M262-实时电价!M262</f>
        <v>-2.7252999999999998</v>
      </c>
      <c r="N262" s="7">
        <f>日前电价!N262-实时电价!N262</f>
        <v>-106.60250000000001</v>
      </c>
      <c r="O262" s="7">
        <f>日前电价!O262-实时电价!O262</f>
        <v>-241.3673</v>
      </c>
      <c r="P262" s="7">
        <f>日前电价!P262-实时电价!P262</f>
        <v>-103.46769999999999</v>
      </c>
      <c r="Q262" s="7">
        <f>日前电价!Q262-实时电价!Q262</f>
        <v>-12.9703</v>
      </c>
      <c r="R262" s="7">
        <f>日前电价!R262-实时电价!R262</f>
        <v>-7.7869000000000002</v>
      </c>
      <c r="S262" s="7">
        <f>日前电价!S262-实时电价!S262</f>
        <v>-52.587899999999998</v>
      </c>
      <c r="T262" s="7">
        <f>日前电价!T262-实时电价!T262</f>
        <v>-37.951300000000003</v>
      </c>
      <c r="U262" s="7">
        <f>日前电价!U262-实时电价!U262</f>
        <v>1.3727</v>
      </c>
      <c r="V262" s="7">
        <f>日前电价!V262-实时电价!V262</f>
        <v>8.1824999999999992</v>
      </c>
      <c r="W262" s="7">
        <f>日前电价!W262-实时电价!W262</f>
        <v>-94.842399999999998</v>
      </c>
      <c r="X262" s="7">
        <f>日前电价!X262-实时电价!X262</f>
        <v>-21.088899999999999</v>
      </c>
      <c r="Y262" s="7">
        <f>日前电价!Y262-实时电价!Y262</f>
        <v>-13.9877</v>
      </c>
      <c r="Z262" s="9">
        <f t="shared" si="12"/>
        <v>82.188900000000004</v>
      </c>
      <c r="AA262" s="9">
        <f t="shared" si="13"/>
        <v>-241.3673</v>
      </c>
      <c r="AB262" s="9">
        <f t="shared" si="14"/>
        <v>-26.8071083333333</v>
      </c>
    </row>
    <row r="263" spans="1:28">
      <c r="A263" s="8">
        <v>45553</v>
      </c>
      <c r="B263" s="7">
        <f>日前电价!B263-实时电价!B263</f>
        <v>-139.1369</v>
      </c>
      <c r="C263" s="7">
        <f>日前电价!C263-实时电价!C263</f>
        <v>-120.8455</v>
      </c>
      <c r="D263" s="7">
        <f>日前电价!D263-实时电价!D263</f>
        <v>5.5650000000000004</v>
      </c>
      <c r="E263" s="7">
        <f>日前电价!E263-实时电价!E263</f>
        <v>0.197500000000048</v>
      </c>
      <c r="F263" s="7">
        <f>日前电价!F263-实时电价!F263</f>
        <v>-0.48700000000002303</v>
      </c>
      <c r="G263" s="7">
        <f>日前电价!G263-实时电价!G263</f>
        <v>-5.5060000000000304</v>
      </c>
      <c r="H263" s="7">
        <f>日前电价!H263-实时电价!H263</f>
        <v>-3.6066999999999898</v>
      </c>
      <c r="I263" s="7">
        <f>日前电价!I263-实时电价!I263</f>
        <v>-9.8076000000000398</v>
      </c>
      <c r="J263" s="7">
        <f>日前电价!J263-实时电价!J263</f>
        <v>20.571300000000001</v>
      </c>
      <c r="K263" s="7">
        <f>日前电价!K263-实时电价!K263</f>
        <v>83.544600000000003</v>
      </c>
      <c r="L263" s="7">
        <f>日前电价!L263-实时电价!L263</f>
        <v>153.30549999999999</v>
      </c>
      <c r="M263" s="7">
        <f>日前电价!M263-实时电价!M263</f>
        <v>145.24359999999999</v>
      </c>
      <c r="N263" s="7">
        <f>日前电价!N263-实时电价!N263</f>
        <v>113.39870000000001</v>
      </c>
      <c r="O263" s="7">
        <f>日前电价!O263-实时电价!O263</f>
        <v>51.043500000000002</v>
      </c>
      <c r="P263" s="7">
        <f>日前电价!P263-实时电价!P263</f>
        <v>70.917299999999997</v>
      </c>
      <c r="Q263" s="7">
        <f>日前电价!Q263-实时电价!Q263</f>
        <v>45.400500000000001</v>
      </c>
      <c r="R263" s="7">
        <f>日前电价!R263-实时电价!R263</f>
        <v>11.573399999999999</v>
      </c>
      <c r="S263" s="7">
        <f>日前电价!S263-实时电价!S263</f>
        <v>11.36</v>
      </c>
      <c r="T263" s="7">
        <f>日前电价!T263-实时电价!T263</f>
        <v>2.1639000000000101</v>
      </c>
      <c r="U263" s="7">
        <f>日前电价!U263-实时电价!U263</f>
        <v>30.301100000000002</v>
      </c>
      <c r="V263" s="7">
        <f>日前电价!V263-实时电价!V263</f>
        <v>35.733499999999999</v>
      </c>
      <c r="W263" s="7">
        <f>日前电价!W263-实时电价!W263</f>
        <v>32.317700000000002</v>
      </c>
      <c r="X263" s="7">
        <f>日前电价!X263-实时电价!X263</f>
        <v>28.071400000000001</v>
      </c>
      <c r="Y263" s="7">
        <f>日前电价!Y263-实时电价!Y263</f>
        <v>11.279</v>
      </c>
      <c r="Z263" s="9">
        <f t="shared" si="12"/>
        <v>153.30549999999999</v>
      </c>
      <c r="AA263" s="9">
        <f t="shared" si="13"/>
        <v>-139.1369</v>
      </c>
      <c r="AB263" s="9">
        <f t="shared" si="14"/>
        <v>23.8582416666667</v>
      </c>
    </row>
    <row r="264" spans="1:28">
      <c r="A264" s="8">
        <v>45554</v>
      </c>
      <c r="B264" s="7">
        <f>日前电价!B264-实时电价!B264</f>
        <v>-388.29570000000001</v>
      </c>
      <c r="C264" s="7">
        <f>日前电价!C264-实时电价!C264</f>
        <v>-448.77710000000002</v>
      </c>
      <c r="D264" s="7">
        <f>日前电价!D264-实时电价!D264</f>
        <v>-304.70999999999998</v>
      </c>
      <c r="E264" s="7">
        <f>日前电价!E264-实时电价!E264</f>
        <v>-33.759399999999999</v>
      </c>
      <c r="F264" s="7">
        <f>日前电价!F264-实时电价!F264</f>
        <v>-9.3668000000000102</v>
      </c>
      <c r="G264" s="7">
        <f>日前电价!G264-实时电价!G264</f>
        <v>-11.1113</v>
      </c>
      <c r="H264" s="7">
        <f>日前电价!H264-实时电价!H264</f>
        <v>-6.16300000000001</v>
      </c>
      <c r="I264" s="7">
        <f>日前电价!I264-实时电价!I264</f>
        <v>3.9914000000000001</v>
      </c>
      <c r="J264" s="7">
        <f>日前电价!J264-实时电价!J264</f>
        <v>7.2886000000000299</v>
      </c>
      <c r="K264" s="7">
        <f>日前电价!K264-实时电价!K264</f>
        <v>8.6853000000000407</v>
      </c>
      <c r="L264" s="7">
        <f>日前电价!L264-实时电价!L264</f>
        <v>2.1768999999999901</v>
      </c>
      <c r="M264" s="7">
        <f>日前电价!M264-实时电价!M264</f>
        <v>5.7955999999999799</v>
      </c>
      <c r="N264" s="7">
        <f>日前电价!N264-实时电价!N264</f>
        <v>19.417100000000001</v>
      </c>
      <c r="O264" s="7">
        <f>日前电价!O264-实时电价!O264</f>
        <v>10.019399999999999</v>
      </c>
      <c r="P264" s="7">
        <f>日前电价!P264-实时电价!P264</f>
        <v>33.9619</v>
      </c>
      <c r="Q264" s="7">
        <f>日前电价!Q264-实时电价!Q264</f>
        <v>19.336099999999998</v>
      </c>
      <c r="R264" s="7">
        <f>日前电价!R264-实时电价!R264</f>
        <v>-46.6736</v>
      </c>
      <c r="S264" s="7">
        <f>日前电价!S264-实时电价!S264</f>
        <v>-23.328299999999999</v>
      </c>
      <c r="T264" s="7">
        <f>日前电价!T264-实时电价!T264</f>
        <v>-13.541600000000001</v>
      </c>
      <c r="U264" s="7">
        <f>日前电价!U264-实时电价!U264</f>
        <v>-12.363099999999999</v>
      </c>
      <c r="V264" s="7">
        <f>日前电价!V264-实时电价!V264</f>
        <v>13.335699999999999</v>
      </c>
      <c r="W264" s="7">
        <f>日前电价!W264-实时电价!W264</f>
        <v>5.5681999999999903</v>
      </c>
      <c r="X264" s="7">
        <f>日前电价!X264-实时电价!X264</f>
        <v>-2.1970999999999798</v>
      </c>
      <c r="Y264" s="7">
        <f>日前电价!Y264-实时电价!Y264</f>
        <v>-7.1210000000000404</v>
      </c>
      <c r="Z264" s="9">
        <f t="shared" si="12"/>
        <v>33.9619</v>
      </c>
      <c r="AA264" s="9">
        <f t="shared" si="13"/>
        <v>-448.77710000000002</v>
      </c>
      <c r="AB264" s="9">
        <f t="shared" si="14"/>
        <v>-49.076324999999997</v>
      </c>
    </row>
    <row r="265" spans="1:28">
      <c r="A265" s="8">
        <v>45555</v>
      </c>
      <c r="B265" s="7">
        <f>日前电价!B265-实时电价!B265</f>
        <v>-13.887499999999999</v>
      </c>
      <c r="C265" s="7">
        <f>日前电价!C265-实时电价!C265</f>
        <v>31.700900000000001</v>
      </c>
      <c r="D265" s="7">
        <f>日前电价!D265-实时电价!D265</f>
        <v>176.83340000000001</v>
      </c>
      <c r="E265" s="7">
        <f>日前电价!E265-实时电价!E265</f>
        <v>22.7607</v>
      </c>
      <c r="F265" s="7">
        <f>日前电价!F265-实时电价!F265</f>
        <v>4.3971999999999998</v>
      </c>
      <c r="G265" s="7">
        <f>日前电价!G265-实时电价!G265</f>
        <v>-0.31730000000004599</v>
      </c>
      <c r="H265" s="7">
        <f>日前电价!H265-实时电价!H265</f>
        <v>-1.9223999999999799</v>
      </c>
      <c r="I265" s="7">
        <f>日前电价!I265-实时电价!I265</f>
        <v>-3.7434000000000101</v>
      </c>
      <c r="J265" s="7">
        <f>日前电价!J265-实时电价!J265</f>
        <v>8.7706</v>
      </c>
      <c r="K265" s="7">
        <f>日前电价!K265-实时电价!K265</f>
        <v>155.2499</v>
      </c>
      <c r="L265" s="7">
        <f>日前电价!L265-实时电价!L265</f>
        <v>206.39089999999999</v>
      </c>
      <c r="M265" s="7">
        <f>日前电价!M265-实时电价!M265</f>
        <v>177.52449999999999</v>
      </c>
      <c r="N265" s="7">
        <f>日前电价!N265-实时电价!N265</f>
        <v>53.592399999999998</v>
      </c>
      <c r="O265" s="7">
        <f>日前电价!O265-实时电价!O265</f>
        <v>176.17529999999999</v>
      </c>
      <c r="P265" s="7">
        <f>日前电价!P265-实时电价!P265</f>
        <v>231.46729999999999</v>
      </c>
      <c r="Q265" s="7">
        <f>日前电价!Q265-实时电价!Q265</f>
        <v>199.7261</v>
      </c>
      <c r="R265" s="7">
        <f>日前电价!R265-实时电价!R265</f>
        <v>1.09069999999997</v>
      </c>
      <c r="S265" s="7">
        <f>日前电价!S265-实时电价!S265</f>
        <v>-56.998399999999897</v>
      </c>
      <c r="T265" s="7">
        <f>日前电价!T265-实时电价!T265</f>
        <v>-59.799100000000003</v>
      </c>
      <c r="U265" s="7">
        <f>日前电价!U265-实时电价!U265</f>
        <v>25.942399999999999</v>
      </c>
      <c r="V265" s="7">
        <f>日前电价!V265-实时电价!V265</f>
        <v>94.105000000000004</v>
      </c>
      <c r="W265" s="7">
        <f>日前电价!W265-实时电价!W265</f>
        <v>75.865300000000005</v>
      </c>
      <c r="X265" s="7">
        <f>日前电价!X265-实时电价!X265</f>
        <v>118.83410000000001</v>
      </c>
      <c r="Y265" s="7">
        <f>日前电价!Y265-实时电价!Y265</f>
        <v>65.841800000000006</v>
      </c>
      <c r="Z265" s="9">
        <f t="shared" si="12"/>
        <v>231.46729999999999</v>
      </c>
      <c r="AA265" s="9">
        <f t="shared" si="13"/>
        <v>-59.799100000000003</v>
      </c>
      <c r="AB265" s="9">
        <f t="shared" si="14"/>
        <v>70.400016666666701</v>
      </c>
    </row>
    <row r="266" spans="1:28">
      <c r="A266" s="8">
        <v>45556</v>
      </c>
      <c r="B266" s="7">
        <f>日前电价!B266-实时电价!B266</f>
        <v>-18.192499999999999</v>
      </c>
      <c r="C266" s="7">
        <f>日前电价!C266-实时电价!C266</f>
        <v>13.244899999999999</v>
      </c>
      <c r="D266" s="7">
        <f>日前电价!D266-实时电价!D266</f>
        <v>9.8874000000000102</v>
      </c>
      <c r="E266" s="7">
        <f>日前电价!E266-实时电价!E266</f>
        <v>2.58840000000004</v>
      </c>
      <c r="F266" s="7">
        <f>日前电价!F266-实时电价!F266</f>
        <v>-0.38509999999996603</v>
      </c>
      <c r="G266" s="7">
        <f>日前电价!G266-实时电价!G266</f>
        <v>-4.5806999999999798</v>
      </c>
      <c r="H266" s="7">
        <f>日前电价!H266-实时电价!H266</f>
        <v>-3.2824</v>
      </c>
      <c r="I266" s="7">
        <f>日前电价!I266-实时电价!I266</f>
        <v>-8.1326999999999998</v>
      </c>
      <c r="J266" s="7">
        <f>日前电价!J266-实时电价!J266</f>
        <v>-30.7818</v>
      </c>
      <c r="K266" s="7">
        <f>日前电价!K266-实时电价!K266</f>
        <v>-160.9323</v>
      </c>
      <c r="L266" s="7">
        <f>日前电价!L266-实时电价!L266</f>
        <v>8.8163000000000107</v>
      </c>
      <c r="M266" s="7">
        <f>日前电价!M266-实时电价!M266</f>
        <v>18.584599999999998</v>
      </c>
      <c r="N266" s="7">
        <f>日前电价!N266-实时电价!N266</f>
        <v>6.8677000000000099</v>
      </c>
      <c r="O266" s="7">
        <f>日前电价!O266-实时电价!O266</f>
        <v>-8.6856000000000204</v>
      </c>
      <c r="P266" s="7">
        <f>日前电价!P266-实时电价!P266</f>
        <v>22.714600000000001</v>
      </c>
      <c r="Q266" s="7">
        <f>日前电价!Q266-实时电价!Q266</f>
        <v>57.871899999999997</v>
      </c>
      <c r="R266" s="7">
        <f>日前电价!R266-实时电价!R266</f>
        <v>25.6874</v>
      </c>
      <c r="S266" s="7">
        <f>日前电价!S266-实时电价!S266</f>
        <v>25.9817</v>
      </c>
      <c r="T266" s="7">
        <f>日前电价!T266-实时电价!T266</f>
        <v>16.240500000000001</v>
      </c>
      <c r="U266" s="7">
        <f>日前电价!U266-实时电价!U266</f>
        <v>37.773299999999999</v>
      </c>
      <c r="V266" s="7">
        <f>日前电价!V266-实时电价!V266</f>
        <v>31.8673</v>
      </c>
      <c r="W266" s="7">
        <f>日前电价!W266-实时电价!W266</f>
        <v>26.283100000000001</v>
      </c>
      <c r="X266" s="7">
        <f>日前电价!X266-实时电价!X266</f>
        <v>15.5038</v>
      </c>
      <c r="Y266" s="7">
        <f>日前电价!Y266-实时电价!Y266</f>
        <v>8.9235999999999596</v>
      </c>
      <c r="Z266" s="9">
        <f t="shared" si="12"/>
        <v>57.871899999999997</v>
      </c>
      <c r="AA266" s="9">
        <f t="shared" si="13"/>
        <v>-160.9323</v>
      </c>
      <c r="AB266" s="9">
        <f t="shared" si="14"/>
        <v>3.9109750000000099</v>
      </c>
    </row>
    <row r="267" spans="1:28">
      <c r="A267" s="8">
        <v>45557</v>
      </c>
      <c r="B267" s="7">
        <f>日前电价!B267-实时电价!B267</f>
        <v>-38.654299999999999</v>
      </c>
      <c r="C267" s="7">
        <f>日前电价!C267-实时电价!C267</f>
        <v>-15.615500000000001</v>
      </c>
      <c r="D267" s="7">
        <f>日前电价!D267-实时电价!D267</f>
        <v>-5.1389000000000404</v>
      </c>
      <c r="E267" s="7">
        <f>日前电价!E267-实时电价!E267</f>
        <v>-1.9541000000000399</v>
      </c>
      <c r="F267" s="7">
        <f>日前电价!F267-实时电价!F267</f>
        <v>-10.344900000000001</v>
      </c>
      <c r="G267" s="7">
        <f>日前电价!G267-实时电价!G267</f>
        <v>-9.1777999999999906</v>
      </c>
      <c r="H267" s="7">
        <f>日前电价!H267-实时电价!H267</f>
        <v>-10.7517</v>
      </c>
      <c r="I267" s="7">
        <f>日前电价!I267-实时电价!I267</f>
        <v>-31.287600000000001</v>
      </c>
      <c r="J267" s="7">
        <f>日前电价!J267-实时电价!J267</f>
        <v>-62.186300000000003</v>
      </c>
      <c r="K267" s="7">
        <f>日前电价!K267-实时电价!K267</f>
        <v>-62.683999999999997</v>
      </c>
      <c r="L267" s="7">
        <f>日前电价!L267-实时电价!L267</f>
        <v>-62.024700000000003</v>
      </c>
      <c r="M267" s="7">
        <f>日前电价!M267-实时电价!M267</f>
        <v>30.2575</v>
      </c>
      <c r="N267" s="7">
        <f>日前电价!N267-实时电价!N267</f>
        <v>59.877299999999998</v>
      </c>
      <c r="O267" s="7">
        <f>日前电价!O267-实时电价!O267</f>
        <v>-16.0596</v>
      </c>
      <c r="P267" s="7">
        <f>日前电价!P267-实时电价!P267</f>
        <v>-8.4275999999999804</v>
      </c>
      <c r="Q267" s="7">
        <f>日前电价!Q267-实时电价!Q267</f>
        <v>23.442900000000002</v>
      </c>
      <c r="R267" s="7">
        <f>日前电价!R267-实时电价!R267</f>
        <v>16.3293</v>
      </c>
      <c r="S267" s="7">
        <f>日前电价!S267-实时电价!S267</f>
        <v>100.52030000000001</v>
      </c>
      <c r="T267" s="7">
        <f>日前电价!T267-实时电价!T267</f>
        <v>239.4179</v>
      </c>
      <c r="U267" s="7">
        <f>日前电价!U267-实时电价!U267</f>
        <v>219.08009999999999</v>
      </c>
      <c r="V267" s="7">
        <f>日前电价!V267-实时电价!V267</f>
        <v>283.90839999999997</v>
      </c>
      <c r="W267" s="7">
        <f>日前电价!W267-实时电价!W267</f>
        <v>272.96719999999999</v>
      </c>
      <c r="X267" s="7">
        <f>日前电价!X267-实时电价!X267</f>
        <v>258.20139999999998</v>
      </c>
      <c r="Y267" s="7">
        <f>日前电价!Y267-实时电价!Y267</f>
        <v>200.48759999999999</v>
      </c>
      <c r="Z267" s="9">
        <f t="shared" si="12"/>
        <v>283.90839999999997</v>
      </c>
      <c r="AA267" s="9">
        <f t="shared" si="13"/>
        <v>-62.683999999999997</v>
      </c>
      <c r="AB267" s="9">
        <f t="shared" si="14"/>
        <v>57.090954166666698</v>
      </c>
    </row>
    <row r="268" spans="1:28">
      <c r="A268" s="8">
        <v>45558</v>
      </c>
      <c r="B268" s="7">
        <f>日前电价!B268-实时电价!B268</f>
        <v>43.026299999999999</v>
      </c>
      <c r="C268" s="7">
        <f>日前电价!C268-实时电价!C268</f>
        <v>184.98140000000001</v>
      </c>
      <c r="D268" s="7">
        <f>日前电价!D268-实时电价!D268</f>
        <v>-101.3875</v>
      </c>
      <c r="E268" s="7">
        <f>日前电价!E268-实时电价!E268</f>
        <v>-347.94409999999999</v>
      </c>
      <c r="F268" s="7">
        <f>日前电价!F268-实时电价!F268</f>
        <v>-254.53059999999999</v>
      </c>
      <c r="G268" s="7">
        <f>日前电价!G268-实时电价!G268</f>
        <v>-223.93270000000001</v>
      </c>
      <c r="H268" s="7">
        <f>日前电价!H268-实时电价!H268</f>
        <v>-310.54559999999998</v>
      </c>
      <c r="I268" s="7">
        <f>日前电价!I268-实时电价!I268</f>
        <v>-0.67730000000000001</v>
      </c>
      <c r="J268" s="7">
        <f>日前电价!J268-实时电价!J268</f>
        <v>195.77500000000001</v>
      </c>
      <c r="K268" s="7">
        <f>日前电价!K268-实时电价!K268</f>
        <v>219.81229999999999</v>
      </c>
      <c r="L268" s="7">
        <f>日前电价!L268-实时电价!L268</f>
        <v>232.5813</v>
      </c>
      <c r="M268" s="7">
        <f>日前电价!M268-实时电价!M268</f>
        <v>291.57979999999998</v>
      </c>
      <c r="N268" s="7">
        <f>日前电价!N268-实时电价!N268</f>
        <v>303.0521</v>
      </c>
      <c r="O268" s="7">
        <f>日前电价!O268-实时电价!O268</f>
        <v>210.95050000000001</v>
      </c>
      <c r="P268" s="7">
        <f>日前电价!P268-实时电价!P268</f>
        <v>163.21369999999999</v>
      </c>
      <c r="Q268" s="7">
        <f>日前电价!Q268-实时电价!Q268</f>
        <v>266.61419999999998</v>
      </c>
      <c r="R268" s="7">
        <f>日前电价!R268-实时电价!R268</f>
        <v>260.37759999999997</v>
      </c>
      <c r="S268" s="7">
        <f>日前电价!S268-实时电价!S268</f>
        <v>252.8569</v>
      </c>
      <c r="T268" s="7">
        <f>日前电价!T268-实时电价!T268</f>
        <v>301.96179999999998</v>
      </c>
      <c r="U268" s="7">
        <f>日前电价!U268-实时电价!U268</f>
        <v>161.44390000000001</v>
      </c>
      <c r="V268" s="7">
        <f>日前电价!V268-实时电价!V268</f>
        <v>326.5652</v>
      </c>
      <c r="W268" s="7">
        <f>日前电价!W268-实时电价!W268</f>
        <v>308.37349999999998</v>
      </c>
      <c r="X268" s="7">
        <f>日前电价!X268-实时电价!X268</f>
        <v>293.55180000000001</v>
      </c>
      <c r="Y268" s="7">
        <f>日前电价!Y268-实时电价!Y268</f>
        <v>182.68600000000001</v>
      </c>
      <c r="Z268" s="9">
        <f t="shared" si="12"/>
        <v>326.5652</v>
      </c>
      <c r="AA268" s="9">
        <f t="shared" si="13"/>
        <v>-347.94409999999999</v>
      </c>
      <c r="AB268" s="9">
        <f t="shared" si="14"/>
        <v>123.34939583333301</v>
      </c>
    </row>
    <row r="269" spans="1:28">
      <c r="A269" s="8">
        <v>45559</v>
      </c>
      <c r="B269" s="7">
        <f>日前电价!B269-实时电价!B269</f>
        <v>31.741900000000001</v>
      </c>
      <c r="C269" s="7">
        <f>日前电价!C269-实时电价!C269</f>
        <v>94.580500000000001</v>
      </c>
      <c r="D269" s="7">
        <f>日前电价!D269-实时电价!D269</f>
        <v>-4.242</v>
      </c>
      <c r="E269" s="7">
        <f>日前电价!E269-实时电价!E269</f>
        <v>-255.66300000000001</v>
      </c>
      <c r="F269" s="7">
        <f>日前电价!F269-实时电价!F269</f>
        <v>-262.1832</v>
      </c>
      <c r="G269" s="7">
        <f>日前电价!G269-实时电价!G269</f>
        <v>-269.12090000000001</v>
      </c>
      <c r="H269" s="7">
        <f>日前电价!H269-实时电价!H269</f>
        <v>-184.79689999999999</v>
      </c>
      <c r="I269" s="7">
        <f>日前电价!I269-实时电价!I269</f>
        <v>-13.837999999999999</v>
      </c>
      <c r="J269" s="7">
        <f>日前电价!J269-实时电价!J269</f>
        <v>-9.9507999999999601</v>
      </c>
      <c r="K269" s="7">
        <f>日前电价!K269-实时电价!K269</f>
        <v>21.590900000000001</v>
      </c>
      <c r="L269" s="7">
        <f>日前电价!L269-实时电价!L269</f>
        <v>21.502199999999998</v>
      </c>
      <c r="M269" s="7">
        <f>日前电价!M269-实时电价!M269</f>
        <v>102.2555</v>
      </c>
      <c r="N269" s="7">
        <f>日前电价!N269-实时电价!N269</f>
        <v>172.46719999999999</v>
      </c>
      <c r="O269" s="7">
        <f>日前电价!O269-实时电价!O269</f>
        <v>45.095700000000001</v>
      </c>
      <c r="P269" s="7">
        <f>日前电价!P269-实时电价!P269</f>
        <v>54.479500000000002</v>
      </c>
      <c r="Q269" s="7">
        <f>日前电价!Q269-实时电价!Q269</f>
        <v>52.960799999999999</v>
      </c>
      <c r="R269" s="7">
        <f>日前电价!R269-实时电价!R269</f>
        <v>36.021599999999999</v>
      </c>
      <c r="S269" s="7">
        <f>日前电价!S269-实时电价!S269</f>
        <v>30.674399999999999</v>
      </c>
      <c r="T269" s="7">
        <f>日前电价!T269-实时电价!T269</f>
        <v>8.3940999999999804</v>
      </c>
      <c r="U269" s="7">
        <f>日前电价!U269-实时电价!U269</f>
        <v>17.771599999999999</v>
      </c>
      <c r="V269" s="7">
        <f>日前电价!V269-实时电价!V269</f>
        <v>-14.600199999999999</v>
      </c>
      <c r="W269" s="7">
        <f>日前电价!W269-实时电价!W269</f>
        <v>7.4029999999999596</v>
      </c>
      <c r="X269" s="7">
        <f>日前电价!X269-实时电价!X269</f>
        <v>17.4102</v>
      </c>
      <c r="Y269" s="7">
        <f>日前电价!Y269-实时电价!Y269</f>
        <v>68.342799999999997</v>
      </c>
      <c r="Z269" s="9">
        <f t="shared" si="12"/>
        <v>172.46719999999999</v>
      </c>
      <c r="AA269" s="9">
        <f t="shared" si="13"/>
        <v>-269.12090000000001</v>
      </c>
      <c r="AB269" s="9">
        <f t="shared" si="14"/>
        <v>-9.6542958333333395</v>
      </c>
    </row>
    <row r="270" spans="1:28">
      <c r="A270" s="8">
        <v>45560</v>
      </c>
      <c r="B270" s="7">
        <f>日前电价!B270-实时电价!B270</f>
        <v>-0.115999999999985</v>
      </c>
      <c r="C270" s="7">
        <f>日前电价!C270-实时电价!C270</f>
        <v>-0.78010000000000401</v>
      </c>
      <c r="D270" s="7">
        <f>日前电价!D270-实时电价!D270</f>
        <v>2.07850000000002</v>
      </c>
      <c r="E270" s="7">
        <f>日前电价!E270-实时电价!E270</f>
        <v>1.9796</v>
      </c>
      <c r="F270" s="7">
        <f>日前电价!F270-实时电价!F270</f>
        <v>-1.16739999999999</v>
      </c>
      <c r="G270" s="7">
        <f>日前电价!G270-实时电价!G270</f>
        <v>-1.4402999999999799</v>
      </c>
      <c r="H270" s="7">
        <f>日前电价!H270-实时电价!H270</f>
        <v>-7.8417000000000003</v>
      </c>
      <c r="I270" s="7">
        <f>日前电价!I270-实时电价!I270</f>
        <v>-8.4118000000000297</v>
      </c>
      <c r="J270" s="7">
        <f>日前电价!J270-实时电价!J270</f>
        <v>-15.046900000000001</v>
      </c>
      <c r="K270" s="7">
        <f>日前电价!K270-实时电价!K270</f>
        <v>-19.7864</v>
      </c>
      <c r="L270" s="7">
        <f>日前电价!L270-实时电价!L270</f>
        <v>-49.378799999999998</v>
      </c>
      <c r="M270" s="7">
        <f>日前电价!M270-实时电价!M270</f>
        <v>-12.457000000000001</v>
      </c>
      <c r="N270" s="7">
        <f>日前电价!N270-实时电价!N270</f>
        <v>22.216699999999999</v>
      </c>
      <c r="O270" s="7">
        <f>日前电价!O270-实时电价!O270</f>
        <v>18.854500000000002</v>
      </c>
      <c r="P270" s="7">
        <f>日前电价!P270-实时电价!P270</f>
        <v>47.200099999999999</v>
      </c>
      <c r="Q270" s="7">
        <f>日前电价!Q270-实时电价!Q270</f>
        <v>32.054400000000001</v>
      </c>
      <c r="R270" s="7">
        <f>日前电价!R270-实时电价!R270</f>
        <v>-8.4008000000000003</v>
      </c>
      <c r="S270" s="7">
        <f>日前电价!S270-实时电价!S270</f>
        <v>-10.588900000000001</v>
      </c>
      <c r="T270" s="7">
        <f>日前电价!T270-实时电价!T270</f>
        <v>-24.565000000000001</v>
      </c>
      <c r="U270" s="7">
        <f>日前电价!U270-实时电价!U270</f>
        <v>-55.448300000000003</v>
      </c>
      <c r="V270" s="7">
        <f>日前电价!V270-实时电价!V270</f>
        <v>-34.8217</v>
      </c>
      <c r="W270" s="7">
        <f>日前电价!W270-实时电价!W270</f>
        <v>-40.009399999999999</v>
      </c>
      <c r="X270" s="7">
        <f>日前电价!X270-实时电价!X270</f>
        <v>-28.784500000000001</v>
      </c>
      <c r="Y270" s="7">
        <f>日前电价!Y270-实时电价!Y270</f>
        <v>-16.8508</v>
      </c>
      <c r="Z270" s="9">
        <f t="shared" si="12"/>
        <v>47.200099999999999</v>
      </c>
      <c r="AA270" s="9">
        <f t="shared" si="13"/>
        <v>-55.448300000000003</v>
      </c>
      <c r="AB270" s="9">
        <f t="shared" si="14"/>
        <v>-8.8130000000000006</v>
      </c>
    </row>
    <row r="271" spans="1:28">
      <c r="A271" s="8">
        <v>45561</v>
      </c>
      <c r="B271" s="7">
        <f>日前电价!B271-实时电价!B271</f>
        <v>-183.22810000000001</v>
      </c>
      <c r="C271" s="7">
        <f>日前电价!C271-实时电价!C271</f>
        <v>-47.951599999999999</v>
      </c>
      <c r="D271" s="7">
        <f>日前电价!D271-实时电价!D271</f>
        <v>-25.352699999999999</v>
      </c>
      <c r="E271" s="7">
        <f>日前电价!E271-实时电价!E271</f>
        <v>-17.589700000000001</v>
      </c>
      <c r="F271" s="7">
        <f>日前电价!F271-实时电价!F271</f>
        <v>-9.0889000000000202</v>
      </c>
      <c r="G271" s="7">
        <f>日前电价!G271-实时电价!G271</f>
        <v>-12.590299999999999</v>
      </c>
      <c r="H271" s="7">
        <f>日前电价!H271-实时电价!H271</f>
        <v>-19.926400000000001</v>
      </c>
      <c r="I271" s="7">
        <f>日前电价!I271-实时电价!I271</f>
        <v>-24.303699999999999</v>
      </c>
      <c r="J271" s="7">
        <f>日前电价!J271-实时电价!J271</f>
        <v>-66.857299999999995</v>
      </c>
      <c r="K271" s="7">
        <f>日前电价!K271-实时电价!K271</f>
        <v>-104.914</v>
      </c>
      <c r="L271" s="7">
        <f>日前电价!L271-实时电价!L271</f>
        <v>-34.585099999999997</v>
      </c>
      <c r="M271" s="7">
        <f>日前电价!M271-实时电价!M271</f>
        <v>-6.26839999999999</v>
      </c>
      <c r="N271" s="7">
        <f>日前电价!N271-实时电价!N271</f>
        <v>46.156799999999997</v>
      </c>
      <c r="O271" s="7">
        <f>日前电价!O271-实时电价!O271</f>
        <v>8.1927999999999805</v>
      </c>
      <c r="P271" s="7">
        <f>日前电价!P271-实时电价!P271</f>
        <v>32.251899999999999</v>
      </c>
      <c r="Q271" s="7">
        <f>日前电价!Q271-实时电价!Q271</f>
        <v>29.343599999999999</v>
      </c>
      <c r="R271" s="7">
        <f>日前电价!R271-实时电价!R271</f>
        <v>11.7746</v>
      </c>
      <c r="S271" s="7">
        <f>日前电价!S271-实时电价!S271</f>
        <v>2.2946</v>
      </c>
      <c r="T271" s="7">
        <f>日前电价!T271-实时电价!T271</f>
        <v>-22.510999999999999</v>
      </c>
      <c r="U271" s="7">
        <f>日前电价!U271-实时电价!U271</f>
        <v>-53.941800000000001</v>
      </c>
      <c r="V271" s="7">
        <f>日前电价!V271-实时电价!V271</f>
        <v>-31.7745</v>
      </c>
      <c r="W271" s="7">
        <f>日前电价!W271-实时电价!W271</f>
        <v>-30.375399999999999</v>
      </c>
      <c r="X271" s="7">
        <f>日前电价!X271-实时电价!X271</f>
        <v>-38.082700000000003</v>
      </c>
      <c r="Y271" s="7">
        <f>日前电价!Y271-实时电价!Y271</f>
        <v>-33.942799999999998</v>
      </c>
      <c r="Z271" s="9">
        <f t="shared" si="12"/>
        <v>46.156799999999997</v>
      </c>
      <c r="AA271" s="9">
        <f t="shared" si="13"/>
        <v>-183.22810000000001</v>
      </c>
      <c r="AB271" s="9">
        <f t="shared" si="14"/>
        <v>-26.386254166666699</v>
      </c>
    </row>
    <row r="272" spans="1:28">
      <c r="A272" s="8">
        <v>45562</v>
      </c>
      <c r="B272" s="7">
        <f>日前电价!B272-实时电价!B272</f>
        <v>-164.75890000000001</v>
      </c>
      <c r="C272" s="7">
        <f>日前电价!C272-实时电价!C272</f>
        <v>-25.7743</v>
      </c>
      <c r="D272" s="7">
        <f>日前电价!D272-实时电价!D272</f>
        <v>-11.3108</v>
      </c>
      <c r="E272" s="7">
        <f>日前电价!E272-实时电价!E272</f>
        <v>-8.7866000000000195</v>
      </c>
      <c r="F272" s="7">
        <f>日前电价!F272-实时电价!F272</f>
        <v>-6.7676999999999898</v>
      </c>
      <c r="G272" s="7">
        <f>日前电价!G272-实时电价!G272</f>
        <v>-7.8455000000000199</v>
      </c>
      <c r="H272" s="7">
        <f>日前电价!H272-实时电价!H272</f>
        <v>-6.7579999999999796</v>
      </c>
      <c r="I272" s="7">
        <f>日前电价!I272-实时电价!I272</f>
        <v>-1.98779999999999</v>
      </c>
      <c r="J272" s="7">
        <f>日前电价!J272-实时电价!J272</f>
        <v>-14.4322</v>
      </c>
      <c r="K272" s="7">
        <f>日前电价!K272-实时电价!K272</f>
        <v>-0.53010000000000401</v>
      </c>
      <c r="L272" s="7">
        <f>日前电价!L272-实时电价!L272</f>
        <v>-0.44399999999995998</v>
      </c>
      <c r="M272" s="7">
        <f>日前电价!M272-实时电价!M272</f>
        <v>8.7950999999999908</v>
      </c>
      <c r="N272" s="7">
        <f>日前电价!N272-实时电价!N272</f>
        <v>-0.99540000000001805</v>
      </c>
      <c r="O272" s="7">
        <f>日前电价!O272-实时电价!O272</f>
        <v>-61.132899999999999</v>
      </c>
      <c r="P272" s="7">
        <f>日前电价!P272-实时电价!P272</f>
        <v>-77.425700000000006</v>
      </c>
      <c r="Q272" s="7">
        <f>日前电价!Q272-实时电价!Q272</f>
        <v>-43.303400000000003</v>
      </c>
      <c r="R272" s="7">
        <f>日前电价!R272-实时电价!R272</f>
        <v>3.0514000000000001</v>
      </c>
      <c r="S272" s="7">
        <f>日前电价!S272-实时电价!S272</f>
        <v>-19.872199999999999</v>
      </c>
      <c r="T272" s="7">
        <f>日前电价!T272-实时电价!T272</f>
        <v>-38.892000000000003</v>
      </c>
      <c r="U272" s="7">
        <f>日前电价!U272-实时电价!U272</f>
        <v>-101.62390000000001</v>
      </c>
      <c r="V272" s="7">
        <f>日前电价!V272-实时电价!V272</f>
        <v>-200.93450000000001</v>
      </c>
      <c r="W272" s="7">
        <f>日前电价!W272-实时电价!W272</f>
        <v>-123.26390000000001</v>
      </c>
      <c r="X272" s="7">
        <f>日前电价!X272-实时电价!X272</f>
        <v>-196.4188</v>
      </c>
      <c r="Y272" s="7">
        <f>日前电价!Y272-实时电价!Y272</f>
        <v>-25.762499999999999</v>
      </c>
      <c r="Z272" s="9">
        <f t="shared" si="12"/>
        <v>8.7950999999999908</v>
      </c>
      <c r="AA272" s="9">
        <f t="shared" si="13"/>
        <v>-200.93450000000001</v>
      </c>
      <c r="AB272" s="9">
        <f t="shared" si="14"/>
        <v>-46.9656083333333</v>
      </c>
    </row>
    <row r="273" spans="1:28">
      <c r="A273" s="8">
        <v>45563</v>
      </c>
      <c r="B273" s="7">
        <f>日前电价!B273-实时电价!B273</f>
        <v>-148.31569999999999</v>
      </c>
      <c r="C273" s="7">
        <f>日前电价!C273-实时电价!C273</f>
        <v>-352.56220000000002</v>
      </c>
      <c r="D273" s="7">
        <f>日前电价!D273-实时电价!D273</f>
        <v>-208.7842</v>
      </c>
      <c r="E273" s="7">
        <f>日前电价!E273-实时电价!E273</f>
        <v>-31.070599999999999</v>
      </c>
      <c r="F273" s="7">
        <f>日前电价!F273-实时电价!F273</f>
        <v>-16.332100000000001</v>
      </c>
      <c r="G273" s="7">
        <f>日前电价!G273-实时电价!G273</f>
        <v>-9.2099999999999795</v>
      </c>
      <c r="H273" s="7">
        <f>日前电价!H273-实时电价!H273</f>
        <v>-33.201700000000002</v>
      </c>
      <c r="I273" s="7">
        <f>日前电价!I273-实时电价!I273</f>
        <v>-15.512700000000001</v>
      </c>
      <c r="J273" s="7">
        <f>日前电价!J273-实时电价!J273</f>
        <v>-35.1935</v>
      </c>
      <c r="K273" s="7">
        <f>日前电价!K273-实时电价!K273</f>
        <v>-22.534500000000001</v>
      </c>
      <c r="L273" s="7">
        <f>日前电价!L273-实时电价!L273</f>
        <v>-17.964400000000001</v>
      </c>
      <c r="M273" s="7">
        <f>日前电价!M273-实时电价!M273</f>
        <v>-3.8308000000000102</v>
      </c>
      <c r="N273" s="7">
        <f>日前电价!N273-实时电价!N273</f>
        <v>4.69890000000004</v>
      </c>
      <c r="O273" s="7">
        <f>日前电价!O273-实时电价!O273</f>
        <v>-147.40199999999999</v>
      </c>
      <c r="P273" s="7">
        <f>日前电价!P273-实时电价!P273</f>
        <v>-240.2208</v>
      </c>
      <c r="Q273" s="7">
        <f>日前电价!Q273-实时电价!Q273</f>
        <v>-49.692100000000003</v>
      </c>
      <c r="R273" s="7">
        <f>日前电价!R273-实时电价!R273</f>
        <v>-66.451999999999998</v>
      </c>
      <c r="S273" s="7">
        <f>日前电价!S273-实时电价!S273</f>
        <v>-35.471499999999999</v>
      </c>
      <c r="T273" s="7">
        <f>日前电价!T273-实时电价!T273</f>
        <v>-17.241099999999999</v>
      </c>
      <c r="U273" s="7">
        <f>日前电价!U273-实时电价!U273</f>
        <v>-19.812999999999999</v>
      </c>
      <c r="V273" s="7">
        <f>日前电价!V273-实时电价!V273</f>
        <v>-18.8935</v>
      </c>
      <c r="W273" s="7">
        <f>日前电价!W273-实时电价!W273</f>
        <v>-19.126300000000001</v>
      </c>
      <c r="X273" s="7">
        <f>日前电价!X273-实时电价!X273</f>
        <v>-43.677500000000002</v>
      </c>
      <c r="Y273" s="7">
        <f>日前电价!Y273-实时电价!Y273</f>
        <v>6.3695000000000199</v>
      </c>
      <c r="Z273" s="9">
        <f t="shared" si="12"/>
        <v>6.3695000000000199</v>
      </c>
      <c r="AA273" s="9">
        <f t="shared" si="13"/>
        <v>-352.56220000000002</v>
      </c>
      <c r="AB273" s="9">
        <f t="shared" si="14"/>
        <v>-64.226408333333296</v>
      </c>
    </row>
    <row r="274" spans="1:28">
      <c r="A274" s="8">
        <v>45564</v>
      </c>
      <c r="B274" s="7">
        <f>日前电价!B274-实时电价!B274</f>
        <v>-12.7276000000001</v>
      </c>
      <c r="C274" s="7">
        <f>日前电价!C274-实时电价!C274</f>
        <v>-62.977499999999999</v>
      </c>
      <c r="D274" s="7">
        <f>日前电价!D274-实时电价!D274</f>
        <v>-358.71</v>
      </c>
      <c r="E274" s="7">
        <f>日前电价!E274-实时电价!E274</f>
        <v>-135.61959999999999</v>
      </c>
      <c r="F274" s="7">
        <f>日前电价!F274-实时电价!F274</f>
        <v>-15.292400000000001</v>
      </c>
      <c r="G274" s="7">
        <f>日前电价!G274-实时电价!G274</f>
        <v>-20.0762</v>
      </c>
      <c r="H274" s="7">
        <f>日前电价!H274-实时电价!H274</f>
        <v>-179.8586</v>
      </c>
      <c r="I274" s="7">
        <f>日前电价!I274-实时电价!I274</f>
        <v>-40.688400000000001</v>
      </c>
      <c r="J274" s="7">
        <f>日前电价!J274-实时电价!J274</f>
        <v>-16.5487</v>
      </c>
      <c r="K274" s="7">
        <f>日前电价!K274-实时电价!K274</f>
        <v>11.666</v>
      </c>
      <c r="L274" s="7">
        <f>日前电价!L274-实时电价!L274</f>
        <v>3.8815999999999899</v>
      </c>
      <c r="M274" s="7">
        <f>日前电价!M274-实时电价!M274</f>
        <v>30.3645</v>
      </c>
      <c r="N274" s="7">
        <f>日前电价!N274-实时电价!N274</f>
        <v>31.322700000000001</v>
      </c>
      <c r="O274" s="7">
        <f>日前电价!O274-实时电价!O274</f>
        <v>50.902999999999999</v>
      </c>
      <c r="P274" s="7">
        <f>日前电价!P274-实时电价!P274</f>
        <v>139.53450000000001</v>
      </c>
      <c r="Q274" s="7">
        <f>日前电价!Q274-实时电价!Q274</f>
        <v>84.0608</v>
      </c>
      <c r="R274" s="7">
        <f>日前电价!R274-实时电价!R274</f>
        <v>-97.347499999999997</v>
      </c>
      <c r="S274" s="7">
        <f>日前电价!S274-实时电价!S274</f>
        <v>-165.73330000000001</v>
      </c>
      <c r="T274" s="7">
        <f>日前电价!T274-实时电价!T274</f>
        <v>-89.291300000000007</v>
      </c>
      <c r="U274" s="7">
        <f>日前电价!U274-实时电价!U274</f>
        <v>-50.672600000000003</v>
      </c>
      <c r="V274" s="7">
        <f>日前电价!V274-实时电价!V274</f>
        <v>-116.58</v>
      </c>
      <c r="W274" s="7">
        <f>日前电价!W274-实时电价!W274</f>
        <v>-281.4246</v>
      </c>
      <c r="X274" s="7">
        <f>日前电价!X274-实时电价!X274</f>
        <v>-374.75819999999999</v>
      </c>
      <c r="Y274" s="7">
        <f>日前电价!Y274-实时电价!Y274</f>
        <v>-122.23690000000001</v>
      </c>
      <c r="Z274" s="9">
        <f t="shared" si="12"/>
        <v>139.53450000000001</v>
      </c>
      <c r="AA274" s="9">
        <f t="shared" si="13"/>
        <v>-374.75819999999999</v>
      </c>
      <c r="AB274" s="9">
        <f t="shared" si="14"/>
        <v>-74.533762499999995</v>
      </c>
    </row>
    <row r="275" spans="1:28">
      <c r="A275" s="8">
        <v>45565</v>
      </c>
      <c r="B275" s="7">
        <f>日前电价!B275-实时电价!B275</f>
        <v>-149.1131</v>
      </c>
      <c r="C275" s="7">
        <f>日前电价!C275-实时电价!C275</f>
        <v>-251.65969999999999</v>
      </c>
      <c r="D275" s="7">
        <f>日前电价!D275-实时电价!D275</f>
        <v>-275.07810000000001</v>
      </c>
      <c r="E275" s="7">
        <f>日前电价!E275-实时电价!E275</f>
        <v>-170.85159999999999</v>
      </c>
      <c r="F275" s="7">
        <f>日前电价!F275-实时电价!F275</f>
        <v>-24.502099999999999</v>
      </c>
      <c r="G275" s="7">
        <f>日前电价!G275-实时电价!G275</f>
        <v>-20.550999999999998</v>
      </c>
      <c r="H275" s="7">
        <f>日前电价!H275-实时电价!H275</f>
        <v>-21.7087</v>
      </c>
      <c r="I275" s="7">
        <f>日前电价!I275-实时电价!I275</f>
        <v>-9.2056000000000004</v>
      </c>
      <c r="J275" s="7">
        <f>日前电价!J275-实时电价!J275</f>
        <v>5.4764000000000097</v>
      </c>
      <c r="K275" s="7">
        <f>日前电价!K275-实时电价!K275</f>
        <v>28.721800000000002</v>
      </c>
      <c r="L275" s="7">
        <f>日前电价!L275-实时电价!L275</f>
        <v>44.184899999999999</v>
      </c>
      <c r="M275" s="7">
        <f>日前电价!M275-实时电价!M275</f>
        <v>49.6496</v>
      </c>
      <c r="N275" s="7">
        <f>日前电价!N275-实时电价!N275</f>
        <v>87.4756</v>
      </c>
      <c r="O275" s="7">
        <f>日前电价!O275-实时电价!O275</f>
        <v>28.9375</v>
      </c>
      <c r="P275" s="7">
        <f>日前电价!P275-实时电价!P275</f>
        <v>40.923699999999997</v>
      </c>
      <c r="Q275" s="7">
        <f>日前电价!Q275-实时电价!Q275</f>
        <v>23.725200000000001</v>
      </c>
      <c r="R275" s="7">
        <f>日前电价!R275-实时电价!R275</f>
        <v>4.7302000000000204</v>
      </c>
      <c r="S275" s="7">
        <f>日前电价!S275-实时电价!S275</f>
        <v>-44.800400000000003</v>
      </c>
      <c r="T275" s="7">
        <f>日前电价!T275-实时电价!T275</f>
        <v>-40.179299999999998</v>
      </c>
      <c r="U275" s="7">
        <f>日前电价!U275-实时电价!U275</f>
        <v>-112.79179999999999</v>
      </c>
      <c r="V275" s="7">
        <f>日前电价!V275-实时电价!V275</f>
        <v>-118.37260000000001</v>
      </c>
      <c r="W275" s="7">
        <f>日前电价!W275-实时电价!W275</f>
        <v>-132.2611</v>
      </c>
      <c r="X275" s="7">
        <f>日前电价!X275-实时电价!X275</f>
        <v>-171.35470000000001</v>
      </c>
      <c r="Y275" s="7">
        <f>日前电价!Y275-实时电价!Y275</f>
        <v>-46.640900000000002</v>
      </c>
      <c r="Z275" s="9">
        <f t="shared" si="12"/>
        <v>87.4756</v>
      </c>
      <c r="AA275" s="9">
        <f t="shared" si="13"/>
        <v>-275.07810000000001</v>
      </c>
      <c r="AB275" s="9">
        <f t="shared" si="14"/>
        <v>-53.135241666666701</v>
      </c>
    </row>
    <row r="276" spans="1:28">
      <c r="A276" s="8">
        <v>45566</v>
      </c>
      <c r="B276" s="7">
        <f>日前电价!B276-实时电价!B276</f>
        <v>73.616199999999907</v>
      </c>
      <c r="C276" s="7">
        <f>日前电价!C276-实时电价!C276</f>
        <v>268.70859999999999</v>
      </c>
      <c r="D276" s="7">
        <f>日前电价!D276-实时电价!D276</f>
        <v>163.07249999999999</v>
      </c>
      <c r="E276" s="7">
        <f>日前电价!E276-实时电价!E276</f>
        <v>22.729199999999999</v>
      </c>
      <c r="F276" s="7">
        <f>日前电价!F276-实时电价!F276</f>
        <v>4.1682999999999897</v>
      </c>
      <c r="G276" s="7">
        <f>日前电价!G276-实时电价!G276</f>
        <v>-16.424399999999999</v>
      </c>
      <c r="H276" s="7">
        <f>日前电价!H276-实时电价!H276</f>
        <v>-28.35</v>
      </c>
      <c r="I276" s="7">
        <f>日前电价!I276-实时电价!I276</f>
        <v>-7.4252999999999902</v>
      </c>
      <c r="J276" s="7">
        <f>日前电价!J276-实时电价!J276</f>
        <v>239.565</v>
      </c>
      <c r="K276" s="7">
        <f>日前电价!K276-实时电价!K276</f>
        <v>287.1463</v>
      </c>
      <c r="L276" s="7">
        <f>日前电价!L276-实时电价!L276</f>
        <v>269.67529999999999</v>
      </c>
      <c r="M276" s="7">
        <f>日前电价!M276-实时电价!M276</f>
        <v>263.84359999999998</v>
      </c>
      <c r="N276" s="7">
        <f>日前电价!N276-实时电价!N276</f>
        <v>81.272300000000001</v>
      </c>
      <c r="O276" s="7">
        <f>日前电价!O276-实时电价!O276</f>
        <v>-150.35390000000001</v>
      </c>
      <c r="P276" s="7">
        <f>日前电价!P276-实时电价!P276</f>
        <v>-116.4774</v>
      </c>
      <c r="Q276" s="7">
        <f>日前电价!Q276-实时电价!Q276</f>
        <v>-15.583299999999999</v>
      </c>
      <c r="R276" s="7">
        <f>日前电价!R276-实时电价!R276</f>
        <v>34.954900000000002</v>
      </c>
      <c r="S276" s="7">
        <f>日前电价!S276-实时电价!S276</f>
        <v>80.590900000000005</v>
      </c>
      <c r="T276" s="7">
        <f>日前电价!T276-实时电价!T276</f>
        <v>198.3443</v>
      </c>
      <c r="U276" s="7">
        <f>日前电价!U276-实时电价!U276</f>
        <v>207.45830000000001</v>
      </c>
      <c r="V276" s="7">
        <f>日前电价!V276-实时电价!V276</f>
        <v>303.68509999999998</v>
      </c>
      <c r="W276" s="7">
        <f>日前电价!W276-实时电价!W276</f>
        <v>313.98039999999997</v>
      </c>
      <c r="X276" s="7">
        <f>日前电价!X276-实时电价!X276</f>
        <v>309.55799999999999</v>
      </c>
      <c r="Y276" s="7">
        <f>日前电价!Y276-实时电价!Y276</f>
        <v>290.84289999999999</v>
      </c>
      <c r="Z276" s="9">
        <f t="shared" si="12"/>
        <v>313.98039999999997</v>
      </c>
      <c r="AA276" s="9">
        <f t="shared" si="13"/>
        <v>-150.35390000000001</v>
      </c>
      <c r="AB276" s="9">
        <f t="shared" si="14"/>
        <v>128.274908333333</v>
      </c>
    </row>
    <row r="277" spans="1:28">
      <c r="A277" s="8">
        <v>45567</v>
      </c>
      <c r="B277" s="7">
        <f>日前电价!B277-实时电价!B277</f>
        <v>-85.114000000000004</v>
      </c>
      <c r="C277" s="7">
        <f>日前电价!C277-实时电价!C277</f>
        <v>124.4648</v>
      </c>
      <c r="D277" s="7">
        <f>日前电价!D277-实时电价!D277</f>
        <v>31.3642</v>
      </c>
      <c r="E277" s="7">
        <f>日前电价!E277-实时电价!E277</f>
        <v>-5.2568000000000001</v>
      </c>
      <c r="F277" s="7">
        <f>日前电价!F277-实时电价!F277</f>
        <v>-230.94669999999999</v>
      </c>
      <c r="G277" s="7">
        <f>日前电价!G277-实时电价!G277</f>
        <v>-192.06280000000001</v>
      </c>
      <c r="H277" s="7">
        <f>日前电价!H277-实时电价!H277</f>
        <v>-135.67949999999999</v>
      </c>
      <c r="I277" s="7">
        <f>日前电价!I277-实时电价!I277</f>
        <v>-5.2035</v>
      </c>
      <c r="J277" s="7">
        <f>日前电价!J277-实时电价!J277</f>
        <v>0</v>
      </c>
      <c r="K277" s="7">
        <f>日前电价!K277-实时电价!K277</f>
        <v>0</v>
      </c>
      <c r="L277" s="7">
        <f>日前电价!L277-实时电价!L277</f>
        <v>0.1537</v>
      </c>
      <c r="M277" s="7">
        <f>日前电价!M277-实时电价!M277</f>
        <v>-192.19589999999999</v>
      </c>
      <c r="N277" s="7">
        <f>日前电价!N277-实时电价!N277</f>
        <v>-91.855599999999995</v>
      </c>
      <c r="O277" s="7">
        <f>日前电价!O277-实时电价!O277</f>
        <v>-296.9314</v>
      </c>
      <c r="P277" s="7">
        <f>日前电价!P277-实时电价!P277</f>
        <v>-186.96209999999999</v>
      </c>
      <c r="Q277" s="7">
        <f>日前电价!Q277-实时电价!Q277</f>
        <v>-3.9746999999999999</v>
      </c>
      <c r="R277" s="7">
        <f>日前电价!R277-实时电价!R277</f>
        <v>-56.311399999999999</v>
      </c>
      <c r="S277" s="7">
        <f>日前电价!S277-实时电价!S277</f>
        <v>277.11160000000001</v>
      </c>
      <c r="T277" s="7">
        <f>日前电价!T277-实时电价!T277</f>
        <v>208.64609999999999</v>
      </c>
      <c r="U277" s="7">
        <f>日前电价!U277-实时电价!U277</f>
        <v>243.2568</v>
      </c>
      <c r="V277" s="7">
        <f>日前电价!V277-实时电价!V277</f>
        <v>272.15309999999999</v>
      </c>
      <c r="W277" s="7">
        <f>日前电价!W277-实时电价!W277</f>
        <v>288.97190000000001</v>
      </c>
      <c r="X277" s="7">
        <f>日前电价!X277-实时电价!X277</f>
        <v>276.67509999999999</v>
      </c>
      <c r="Y277" s="7">
        <f>日前电价!Y277-实时电价!Y277</f>
        <v>194.48589999999999</v>
      </c>
      <c r="Z277" s="9">
        <f t="shared" si="12"/>
        <v>288.97190000000001</v>
      </c>
      <c r="AA277" s="9">
        <f t="shared" si="13"/>
        <v>-296.9314</v>
      </c>
      <c r="AB277" s="9">
        <f t="shared" si="14"/>
        <v>18.116199999999999</v>
      </c>
    </row>
    <row r="278" spans="1:28">
      <c r="A278" s="8">
        <v>45568</v>
      </c>
      <c r="B278" s="7">
        <f>日前电价!B278-实时电价!B278</f>
        <v>17.433800000000002</v>
      </c>
      <c r="C278" s="7">
        <f>日前电价!C278-实时电价!C278</f>
        <v>0</v>
      </c>
      <c r="D278" s="7">
        <f>日前电价!D278-实时电价!D278</f>
        <v>7.4321999999999999</v>
      </c>
      <c r="E278" s="7">
        <f>日前电价!E278-实时电价!E278</f>
        <v>0</v>
      </c>
      <c r="F278" s="7">
        <f>日前电价!F278-实时电价!F278</f>
        <v>12.1981</v>
      </c>
      <c r="G278" s="7">
        <f>日前电价!G278-实时电价!G278</f>
        <v>17.9697</v>
      </c>
      <c r="H278" s="7">
        <f>日前电价!H278-实时电价!H278</f>
        <v>102.13760000000001</v>
      </c>
      <c r="I278" s="7">
        <f>日前电价!I278-实时电价!I278</f>
        <v>153.7534</v>
      </c>
      <c r="J278" s="7">
        <f>日前电价!J278-实时电价!J278</f>
        <v>35.31</v>
      </c>
      <c r="K278" s="7">
        <f>日前电价!K278-实时电价!K278</f>
        <v>26.629899999999999</v>
      </c>
      <c r="L278" s="7">
        <f>日前电价!L278-实时电价!L278</f>
        <v>-7.9657999999999998</v>
      </c>
      <c r="M278" s="7">
        <f>日前电价!M278-实时电价!M278</f>
        <v>-6.8139000000000003</v>
      </c>
      <c r="N278" s="7">
        <f>日前电价!N278-实时电价!N278</f>
        <v>12.9361</v>
      </c>
      <c r="O278" s="7">
        <f>日前电价!O278-实时电价!O278</f>
        <v>-189.77879999999999</v>
      </c>
      <c r="P278" s="7">
        <f>日前电价!P278-实时电价!P278</f>
        <v>37.054900000000004</v>
      </c>
      <c r="Q278" s="7">
        <f>日前电价!Q278-实时电价!Q278</f>
        <v>50.321199999999997</v>
      </c>
      <c r="R278" s="7">
        <f>日前电价!R278-实时电价!R278</f>
        <v>-13.619899999999999</v>
      </c>
      <c r="S278" s="7">
        <f>日前电价!S278-实时电价!S278</f>
        <v>-531.94190000000003</v>
      </c>
      <c r="T278" s="7">
        <f>日前电价!T278-实时电价!T278</f>
        <v>-224.60749999999999</v>
      </c>
      <c r="U278" s="7">
        <f>日前电价!U278-实时电价!U278</f>
        <v>-130.96600000000001</v>
      </c>
      <c r="V278" s="7">
        <f>日前电价!V278-实时电价!V278</f>
        <v>-104.94199999999999</v>
      </c>
      <c r="W278" s="7">
        <f>日前电价!W278-实时电价!W278</f>
        <v>-109.76779999999999</v>
      </c>
      <c r="X278" s="7">
        <f>日前电价!X278-实时电价!X278</f>
        <v>-247.99709999999999</v>
      </c>
      <c r="Y278" s="7">
        <f>日前电价!Y278-实时电价!Y278</f>
        <v>-167.53</v>
      </c>
      <c r="Z278" s="9">
        <f t="shared" si="12"/>
        <v>153.7534</v>
      </c>
      <c r="AA278" s="9">
        <f t="shared" si="13"/>
        <v>-531.94190000000003</v>
      </c>
      <c r="AB278" s="9">
        <f t="shared" si="14"/>
        <v>-52.614741666666703</v>
      </c>
    </row>
    <row r="279" spans="1:28">
      <c r="A279" s="8">
        <v>45569</v>
      </c>
      <c r="B279" s="7">
        <f>日前电价!B279-实时电价!B279</f>
        <v>-36.18</v>
      </c>
      <c r="C279" s="7">
        <f>日前电价!C279-实时电价!C279</f>
        <v>-24.25</v>
      </c>
      <c r="D279" s="7">
        <f>日前电价!D279-实时电价!D279</f>
        <v>-24.440899999999999</v>
      </c>
      <c r="E279" s="7">
        <f>日前电价!E279-实时电价!E279</f>
        <v>94.28</v>
      </c>
      <c r="F279" s="7">
        <f>日前电价!F279-实时电价!F279</f>
        <v>158.40289999999999</v>
      </c>
      <c r="G279" s="7">
        <f>日前电价!G279-实时电价!G279</f>
        <v>121.94240000000001</v>
      </c>
      <c r="H279" s="7">
        <f>日前电价!H279-实时电价!H279</f>
        <v>141.00819999999999</v>
      </c>
      <c r="I279" s="7">
        <f>日前电价!I279-实时电价!I279</f>
        <v>-37.339700000000001</v>
      </c>
      <c r="J279" s="7">
        <f>日前电价!J279-实时电价!J279</f>
        <v>-317.31240000000003</v>
      </c>
      <c r="K279" s="7">
        <f>日前电价!K279-实时电价!K279</f>
        <v>-281.57049999999998</v>
      </c>
      <c r="L279" s="7">
        <f>日前电价!L279-实时电价!L279</f>
        <v>-171.0111</v>
      </c>
      <c r="M279" s="7">
        <f>日前电价!M279-实时电价!M279</f>
        <v>-90.440600000000003</v>
      </c>
      <c r="N279" s="7">
        <f>日前电价!N279-实时电价!N279</f>
        <v>-136.9444</v>
      </c>
      <c r="O279" s="7">
        <f>日前电价!O279-实时电价!O279</f>
        <v>-54.6083</v>
      </c>
      <c r="P279" s="7">
        <f>日前电价!P279-实时电价!P279</f>
        <v>-13.555199999999999</v>
      </c>
      <c r="Q279" s="7">
        <f>日前电价!Q279-实时电价!Q279</f>
        <v>-73.682400000000001</v>
      </c>
      <c r="R279" s="7">
        <f>日前电价!R279-实时电价!R279</f>
        <v>-399.23469999999998</v>
      </c>
      <c r="S279" s="7">
        <f>日前电价!S279-实时电价!S279</f>
        <v>-205.7731</v>
      </c>
      <c r="T279" s="7">
        <f>日前电价!T279-实时电价!T279</f>
        <v>-91.248500000000007</v>
      </c>
      <c r="U279" s="7">
        <f>日前电价!U279-实时电价!U279</f>
        <v>-75.3767</v>
      </c>
      <c r="V279" s="7">
        <f>日前电价!V279-实时电价!V279</f>
        <v>-41.9499</v>
      </c>
      <c r="W279" s="7">
        <f>日前电价!W279-实时电价!W279</f>
        <v>-53.250300000000003</v>
      </c>
      <c r="X279" s="7">
        <f>日前电价!X279-实时电价!X279</f>
        <v>-57.3857</v>
      </c>
      <c r="Y279" s="7">
        <f>日前电价!Y279-实时电价!Y279</f>
        <v>-11.38</v>
      </c>
      <c r="Z279" s="9">
        <f t="shared" si="12"/>
        <v>158.40289999999999</v>
      </c>
      <c r="AA279" s="9">
        <f t="shared" si="13"/>
        <v>-399.23469999999998</v>
      </c>
      <c r="AB279" s="9">
        <f t="shared" si="14"/>
        <v>-70.054204166666693</v>
      </c>
    </row>
    <row r="280" spans="1:28">
      <c r="A280" s="8">
        <v>45570</v>
      </c>
      <c r="B280" s="7">
        <f>日前电价!B280-实时电价!B280</f>
        <v>-58.198</v>
      </c>
      <c r="C280" s="7">
        <f>日前电价!C280-实时电价!C280</f>
        <v>-26.853300000000001</v>
      </c>
      <c r="D280" s="7">
        <f>日前电价!D280-实时电价!D280</f>
        <v>-22.1798</v>
      </c>
      <c r="E280" s="7">
        <f>日前电价!E280-实时电价!E280</f>
        <v>-15.353199999999999</v>
      </c>
      <c r="F280" s="7">
        <f>日前电价!F280-实时电价!F280</f>
        <v>-4.9764000000000097</v>
      </c>
      <c r="G280" s="7">
        <f>日前电价!G280-实时电价!G280</f>
        <v>-4.8487999999999802</v>
      </c>
      <c r="H280" s="7">
        <f>日前电价!H280-实时电价!H280</f>
        <v>-20.1068</v>
      </c>
      <c r="I280" s="7">
        <f>日前电价!I280-实时电价!I280</f>
        <v>-22.277699999999999</v>
      </c>
      <c r="J280" s="7">
        <f>日前电价!J280-实时电价!J280</f>
        <v>-29.7117</v>
      </c>
      <c r="K280" s="7">
        <f>日前电价!K280-实时电价!K280</f>
        <v>16.116499999999998</v>
      </c>
      <c r="L280" s="7">
        <f>日前电价!L280-实时电价!L280</f>
        <v>84.983500000000006</v>
      </c>
      <c r="M280" s="7">
        <f>日前电价!M280-实时电价!M280</f>
        <v>209.59800000000001</v>
      </c>
      <c r="N280" s="7">
        <f>日前电价!N280-实时电价!N280</f>
        <v>125.3218</v>
      </c>
      <c r="O280" s="7">
        <f>日前电价!O280-实时电价!O280</f>
        <v>156.71199999999999</v>
      </c>
      <c r="P280" s="7">
        <f>日前电价!P280-实时电价!P280</f>
        <v>115.2792</v>
      </c>
      <c r="Q280" s="7">
        <f>日前电价!Q280-实时电价!Q280</f>
        <v>-38.316200000000002</v>
      </c>
      <c r="R280" s="7">
        <f>日前电价!R280-实时电价!R280</f>
        <v>-36.332900000000102</v>
      </c>
      <c r="S280" s="7">
        <f>日前电价!S280-实时电价!S280</f>
        <v>-49.865299999999998</v>
      </c>
      <c r="T280" s="7">
        <f>日前电价!T280-实时电价!T280</f>
        <v>-66.862399999999994</v>
      </c>
      <c r="U280" s="7">
        <f>日前电价!U280-实时电价!U280</f>
        <v>-80.022599999999997</v>
      </c>
      <c r="V280" s="7">
        <f>日前电价!V280-实时电价!V280</f>
        <v>-29.921500000000002</v>
      </c>
      <c r="W280" s="7">
        <f>日前电价!W280-实时电价!W280</f>
        <v>-38.296199999999999</v>
      </c>
      <c r="X280" s="7">
        <f>日前电价!X280-实时电价!X280</f>
        <v>-49.860199999999999</v>
      </c>
      <c r="Y280" s="7">
        <f>日前电价!Y280-实时电价!Y280</f>
        <v>-9.7470999999999908</v>
      </c>
      <c r="Z280" s="9">
        <f t="shared" si="12"/>
        <v>209.59800000000001</v>
      </c>
      <c r="AA280" s="9">
        <f t="shared" si="13"/>
        <v>-80.022599999999997</v>
      </c>
      <c r="AB280" s="9">
        <f t="shared" si="14"/>
        <v>4.3450374999999903</v>
      </c>
    </row>
    <row r="281" spans="1:28">
      <c r="A281" s="8">
        <v>45571</v>
      </c>
      <c r="B281" s="7">
        <f>日前电价!B281-实时电价!B281</f>
        <v>-29.240600000000001</v>
      </c>
      <c r="C281" s="7">
        <f>日前电价!C281-实时电价!C281</f>
        <v>-52.698</v>
      </c>
      <c r="D281" s="7">
        <f>日前电价!D281-实时电价!D281</f>
        <v>-34.161299999999997</v>
      </c>
      <c r="E281" s="7">
        <f>日前电价!E281-实时电价!E281</f>
        <v>-17.730699999999999</v>
      </c>
      <c r="F281" s="7">
        <f>日前电价!F281-实时电价!F281</f>
        <v>-11.686199999999999</v>
      </c>
      <c r="G281" s="7">
        <f>日前电价!G281-实时电价!G281</f>
        <v>-13</v>
      </c>
      <c r="H281" s="7">
        <f>日前电价!H281-实时电价!H281</f>
        <v>-31.8553</v>
      </c>
      <c r="I281" s="7">
        <f>日前电价!I281-实时电价!I281</f>
        <v>-28.770900000000001</v>
      </c>
      <c r="J281" s="7">
        <f>日前电价!J281-实时电价!J281</f>
        <v>-22.8216</v>
      </c>
      <c r="K281" s="7">
        <f>日前电价!K281-实时电价!K281</f>
        <v>-9.1822999999999997</v>
      </c>
      <c r="L281" s="7">
        <f>日前电价!L281-实时电价!L281</f>
        <v>3.1747000000000298</v>
      </c>
      <c r="M281" s="7">
        <f>日前电价!M281-实时电价!M281</f>
        <v>23.7911</v>
      </c>
      <c r="N281" s="7">
        <f>日前电价!N281-实时电价!N281</f>
        <v>42.820799999999998</v>
      </c>
      <c r="O281" s="7">
        <f>日前电价!O281-实时电价!O281</f>
        <v>5.2316999999999902</v>
      </c>
      <c r="P281" s="7">
        <f>日前电价!P281-实时电价!P281</f>
        <v>3.1792999999999498</v>
      </c>
      <c r="Q281" s="7">
        <f>日前电价!Q281-实时电价!Q281</f>
        <v>-2.1014999999999899</v>
      </c>
      <c r="R281" s="7">
        <f>日前电价!R281-实时电价!R281</f>
        <v>-184.6386</v>
      </c>
      <c r="S281" s="7">
        <f>日前电价!S281-实时电价!S281</f>
        <v>-31.419799999999999</v>
      </c>
      <c r="T281" s="7">
        <f>日前电价!T281-实时电价!T281</f>
        <v>-3.0337000000000098</v>
      </c>
      <c r="U281" s="7">
        <f>日前电价!U281-实时电价!U281</f>
        <v>6.80239999999998</v>
      </c>
      <c r="V281" s="7">
        <f>日前电价!V281-实时电价!V281</f>
        <v>7.0900000000000301</v>
      </c>
      <c r="W281" s="7">
        <f>日前电价!W281-实时电价!W281</f>
        <v>-29.5777</v>
      </c>
      <c r="X281" s="7">
        <f>日前电价!X281-实时电价!X281</f>
        <v>-53.8504</v>
      </c>
      <c r="Y281" s="7">
        <f>日前电价!Y281-实时电价!Y281</f>
        <v>-35.775399999999998</v>
      </c>
      <c r="Z281" s="9">
        <f t="shared" si="12"/>
        <v>42.820799999999998</v>
      </c>
      <c r="AA281" s="9">
        <f t="shared" si="13"/>
        <v>-184.6386</v>
      </c>
      <c r="AB281" s="9">
        <f t="shared" si="14"/>
        <v>-20.810583333333302</v>
      </c>
    </row>
    <row r="282" spans="1:28">
      <c r="A282" s="8">
        <v>45572</v>
      </c>
      <c r="B282" s="7">
        <f>日前电价!B282-实时电价!B282</f>
        <v>-337.94049999999999</v>
      </c>
      <c r="C282" s="7">
        <f>日前电价!C282-实时电价!C282</f>
        <v>-181.48849999999999</v>
      </c>
      <c r="D282" s="7">
        <f>日前电价!D282-实时电价!D282</f>
        <v>-35.458500000000001</v>
      </c>
      <c r="E282" s="7">
        <f>日前电价!E282-实时电价!E282</f>
        <v>-7.1526000000000103</v>
      </c>
      <c r="F282" s="7">
        <f>日前电价!F282-实时电价!F282</f>
        <v>0.92000000000001603</v>
      </c>
      <c r="G282" s="7">
        <f>日前电价!G282-实时电价!G282</f>
        <v>1.2774999999999701</v>
      </c>
      <c r="H282" s="7">
        <f>日前电价!H282-实时电价!H282</f>
        <v>5.75</v>
      </c>
      <c r="I282" s="7">
        <f>日前电价!I282-实时电价!I282</f>
        <v>1.351</v>
      </c>
      <c r="J282" s="7">
        <f>日前电价!J282-实时电价!J282</f>
        <v>-6.3192000000000199</v>
      </c>
      <c r="K282" s="7">
        <f>日前电价!K282-实时电价!K282</f>
        <v>10.6273</v>
      </c>
      <c r="L282" s="7">
        <f>日前电价!L282-实时电价!L282</f>
        <v>30.645499999999998</v>
      </c>
      <c r="M282" s="7">
        <f>日前电价!M282-实时电价!M282</f>
        <v>42.573300000000003</v>
      </c>
      <c r="N282" s="7">
        <f>日前电价!N282-实时电价!N282</f>
        <v>50.716000000000001</v>
      </c>
      <c r="O282" s="7">
        <f>日前电价!O282-实时电价!O282</f>
        <v>29.0137</v>
      </c>
      <c r="P282" s="7">
        <f>日前电价!P282-实时电价!P282</f>
        <v>22.451000000000001</v>
      </c>
      <c r="Q282" s="7">
        <f>日前电价!Q282-实时电价!Q282</f>
        <v>3.51609999999999</v>
      </c>
      <c r="R282" s="7">
        <f>日前电价!R282-实时电价!R282</f>
        <v>-69.003200000000007</v>
      </c>
      <c r="S282" s="7">
        <f>日前电价!S282-实时电价!S282</f>
        <v>-85.367900000000006</v>
      </c>
      <c r="T282" s="7">
        <f>日前电价!T282-实时电价!T282</f>
        <v>-26.957000000000001</v>
      </c>
      <c r="U282" s="7">
        <f>日前电价!U282-实时电价!U282</f>
        <v>-29.116099999999999</v>
      </c>
      <c r="V282" s="7">
        <f>日前电价!V282-实时电价!V282</f>
        <v>-34.017800000000001</v>
      </c>
      <c r="W282" s="7">
        <f>日前电价!W282-实时电价!W282</f>
        <v>-21.505099999999999</v>
      </c>
      <c r="X282" s="7">
        <f>日前电价!X282-实时电价!X282</f>
        <v>-12.489100000000001</v>
      </c>
      <c r="Y282" s="7">
        <f>日前电价!Y282-实时电价!Y282</f>
        <v>-1.52980000000002</v>
      </c>
      <c r="Z282" s="9">
        <f t="shared" si="12"/>
        <v>50.716000000000001</v>
      </c>
      <c r="AA282" s="9">
        <f t="shared" si="13"/>
        <v>-337.94049999999999</v>
      </c>
      <c r="AB282" s="9">
        <f t="shared" si="14"/>
        <v>-27.062662499999998</v>
      </c>
    </row>
    <row r="283" spans="1:28">
      <c r="A283" s="8">
        <v>45573</v>
      </c>
      <c r="B283" s="7">
        <f>日前电价!B283-实时电价!B283</f>
        <v>-17.627199999999998</v>
      </c>
      <c r="C283" s="7">
        <f>日前电价!C283-实时电价!C283</f>
        <v>-4.4490999999999898</v>
      </c>
      <c r="D283" s="7">
        <f>日前电价!D283-实时电价!D283</f>
        <v>7.7823000000000198</v>
      </c>
      <c r="E283" s="7">
        <f>日前电价!E283-实时电价!E283</f>
        <v>7.93739999999997</v>
      </c>
      <c r="F283" s="7">
        <f>日前电价!F283-实时电价!F283</f>
        <v>11.419600000000001</v>
      </c>
      <c r="G283" s="7">
        <f>日前电价!G283-实时电价!G283</f>
        <v>4.8423000000000203</v>
      </c>
      <c r="H283" s="7">
        <f>日前电价!H283-实时电价!H283</f>
        <v>7.2370999999999999</v>
      </c>
      <c r="I283" s="7">
        <f>日前电价!I283-实时电价!I283</f>
        <v>-11.986499999999999</v>
      </c>
      <c r="J283" s="7">
        <f>日前电价!J283-实时电价!J283</f>
        <v>33.726300000000002</v>
      </c>
      <c r="K283" s="7">
        <f>日前电价!K283-实时电价!K283</f>
        <v>48.171900000000001</v>
      </c>
      <c r="L283" s="7">
        <f>日前电价!L283-实时电价!L283</f>
        <v>63.164999999999999</v>
      </c>
      <c r="M283" s="7">
        <f>日前电价!M283-实时电价!M283</f>
        <v>88.1875</v>
      </c>
      <c r="N283" s="7">
        <f>日前电价!N283-实时电价!N283</f>
        <v>116.25069999999999</v>
      </c>
      <c r="O283" s="7">
        <f>日前电价!O283-实时电价!O283</f>
        <v>46.828499999999998</v>
      </c>
      <c r="P283" s="7">
        <f>日前电价!P283-实时电价!P283</f>
        <v>70.933800000000005</v>
      </c>
      <c r="Q283" s="7">
        <f>日前电价!Q283-实时电价!Q283</f>
        <v>68.238900000000001</v>
      </c>
      <c r="R283" s="7">
        <f>日前电价!R283-实时电价!R283</f>
        <v>35.115200000000002</v>
      </c>
      <c r="S283" s="7">
        <f>日前电价!S283-实时电价!S283</f>
        <v>45.493099999999998</v>
      </c>
      <c r="T283" s="7">
        <f>日前电价!T283-实时电价!T283</f>
        <v>40.523899999999998</v>
      </c>
      <c r="U283" s="7">
        <f>日前电价!U283-实时电价!U283</f>
        <v>43.045099999999998</v>
      </c>
      <c r="V283" s="7">
        <f>日前电价!V283-实时电价!V283</f>
        <v>46.899299999999997</v>
      </c>
      <c r="W283" s="7">
        <f>日前电价!W283-实时电价!W283</f>
        <v>46.706200000000003</v>
      </c>
      <c r="X283" s="7">
        <f>日前电价!X283-实时电价!X283</f>
        <v>33.395800000000001</v>
      </c>
      <c r="Y283" s="7">
        <f>日前电价!Y283-实时电价!Y283</f>
        <v>2.52809999999999</v>
      </c>
      <c r="Z283" s="9">
        <f t="shared" si="12"/>
        <v>116.25069999999999</v>
      </c>
      <c r="AA283" s="9">
        <f t="shared" si="13"/>
        <v>-17.627199999999998</v>
      </c>
      <c r="AB283" s="9">
        <f t="shared" si="14"/>
        <v>34.765216666666703</v>
      </c>
    </row>
    <row r="284" spans="1:28">
      <c r="A284" s="8">
        <v>45574</v>
      </c>
      <c r="B284" s="7">
        <f>日前电价!B284-实时电价!B284</f>
        <v>-40.6282</v>
      </c>
      <c r="C284" s="7">
        <f>日前电价!C284-实时电价!C284</f>
        <v>15.4878</v>
      </c>
      <c r="D284" s="7">
        <f>日前电价!D284-实时电价!D284</f>
        <v>18.343699999999998</v>
      </c>
      <c r="E284" s="7">
        <f>日前电价!E284-实时电价!E284</f>
        <v>33.241300000000003</v>
      </c>
      <c r="F284" s="7">
        <f>日前电价!F284-实时电价!F284</f>
        <v>47.034199999999998</v>
      </c>
      <c r="G284" s="7">
        <f>日前电价!G284-实时电价!G284</f>
        <v>41.095700000000001</v>
      </c>
      <c r="H284" s="7">
        <f>日前电价!H284-实时电价!H284</f>
        <v>26.569800000000001</v>
      </c>
      <c r="I284" s="7">
        <f>日前电价!I284-实时电价!I284</f>
        <v>11.2623</v>
      </c>
      <c r="J284" s="7">
        <f>日前电价!J284-实时电价!J284</f>
        <v>30.0852</v>
      </c>
      <c r="K284" s="7">
        <f>日前电价!K284-实时电价!K284</f>
        <v>70.842600000000004</v>
      </c>
      <c r="L284" s="7">
        <f>日前电价!L284-实时电价!L284</f>
        <v>39.311900000000001</v>
      </c>
      <c r="M284" s="7">
        <f>日前电价!M284-实时电价!M284</f>
        <v>78.873900000000006</v>
      </c>
      <c r="N284" s="7">
        <f>日前电价!N284-实时电价!N284</f>
        <v>96.8767</v>
      </c>
      <c r="O284" s="7">
        <f>日前电价!O284-实时电价!O284</f>
        <v>33.112000000000002</v>
      </c>
      <c r="P284" s="7">
        <f>日前电价!P284-实时电价!P284</f>
        <v>53.295699999999997</v>
      </c>
      <c r="Q284" s="7">
        <f>日前电价!Q284-实时电价!Q284</f>
        <v>37.537999999999997</v>
      </c>
      <c r="R284" s="7">
        <f>日前电价!R284-实时电价!R284</f>
        <v>27.1921</v>
      </c>
      <c r="S284" s="7">
        <f>日前电价!S284-实时电价!S284</f>
        <v>24.12</v>
      </c>
      <c r="T284" s="7">
        <f>日前电价!T284-实时电价!T284</f>
        <v>21.660499999999999</v>
      </c>
      <c r="U284" s="7">
        <f>日前电价!U284-实时电价!U284</f>
        <v>23.825299999999999</v>
      </c>
      <c r="V284" s="7">
        <f>日前电价!V284-实时电价!V284</f>
        <v>28.639700000000001</v>
      </c>
      <c r="W284" s="7">
        <f>日前电价!W284-实时电价!W284</f>
        <v>25.409199999999998</v>
      </c>
      <c r="X284" s="7">
        <f>日前电价!X284-实时电价!X284</f>
        <v>37.373699999999999</v>
      </c>
      <c r="Y284" s="7">
        <f>日前电价!Y284-实时电价!Y284</f>
        <v>18.8993</v>
      </c>
      <c r="Z284" s="9">
        <f t="shared" si="12"/>
        <v>96.8767</v>
      </c>
      <c r="AA284" s="9">
        <f t="shared" si="13"/>
        <v>-40.6282</v>
      </c>
      <c r="AB284" s="9">
        <f t="shared" si="14"/>
        <v>33.310933333333303</v>
      </c>
    </row>
    <row r="285" spans="1:28">
      <c r="A285" s="8">
        <v>45575</v>
      </c>
      <c r="B285" s="7">
        <f>日前电价!B285-实时电价!B285</f>
        <v>-146.97499999999999</v>
      </c>
      <c r="C285" s="7">
        <f>日前电价!C285-实时电价!C285</f>
        <v>-46.718699999999998</v>
      </c>
      <c r="D285" s="7">
        <f>日前电价!D285-实时电价!D285</f>
        <v>0.492599999999982</v>
      </c>
      <c r="E285" s="7">
        <f>日前电价!E285-实时电价!E285</f>
        <v>5.2517999999999496</v>
      </c>
      <c r="F285" s="7">
        <f>日前电价!F285-实时电价!F285</f>
        <v>4.8400000000015098E-2</v>
      </c>
      <c r="G285" s="7">
        <f>日前电价!G285-实时电价!G285</f>
        <v>5.2836000000000398</v>
      </c>
      <c r="H285" s="7">
        <f>日前电价!H285-实时电价!H285</f>
        <v>-2.2531000000000199</v>
      </c>
      <c r="I285" s="7">
        <f>日前电价!I285-实时电价!I285</f>
        <v>17.162500000000001</v>
      </c>
      <c r="J285" s="7">
        <f>日前电价!J285-实时电价!J285</f>
        <v>4.6167000000000398</v>
      </c>
      <c r="K285" s="7">
        <f>日前电价!K285-实时电价!K285</f>
        <v>15.454000000000001</v>
      </c>
      <c r="L285" s="7">
        <f>日前电价!L285-实时电价!L285</f>
        <v>26.624500000000001</v>
      </c>
      <c r="M285" s="7">
        <f>日前电价!M285-实时电价!M285</f>
        <v>25.228200000000001</v>
      </c>
      <c r="N285" s="7">
        <f>日前电价!N285-实时电价!N285</f>
        <v>76.4375</v>
      </c>
      <c r="O285" s="7">
        <f>日前电价!O285-实时电价!O285</f>
        <v>1.8331</v>
      </c>
      <c r="P285" s="7">
        <f>日前电价!P285-实时电价!P285</f>
        <v>7.83440000000002</v>
      </c>
      <c r="Q285" s="7">
        <f>日前电价!Q285-实时电价!Q285</f>
        <v>24.878499999999999</v>
      </c>
      <c r="R285" s="7">
        <f>日前电价!R285-实时电价!R285</f>
        <v>21.604800000000001</v>
      </c>
      <c r="S285" s="7">
        <f>日前电价!S285-实时电价!S285</f>
        <v>23.171099999999999</v>
      </c>
      <c r="T285" s="7">
        <f>日前电价!T285-实时电价!T285</f>
        <v>24.610600000000002</v>
      </c>
      <c r="U285" s="7">
        <f>日前电价!U285-实时电价!U285</f>
        <v>24.3643</v>
      </c>
      <c r="V285" s="7">
        <f>日前电价!V285-实时电价!V285</f>
        <v>25.0351</v>
      </c>
      <c r="W285" s="7">
        <f>日前电价!W285-实时电价!W285</f>
        <v>27.4621</v>
      </c>
      <c r="X285" s="7">
        <f>日前电价!X285-实时电价!X285</f>
        <v>21.171500000000002</v>
      </c>
      <c r="Y285" s="7">
        <f>日前电价!Y285-实时电价!Y285</f>
        <v>14.378299999999999</v>
      </c>
      <c r="Z285" s="9">
        <f t="shared" si="12"/>
        <v>76.4375</v>
      </c>
      <c r="AA285" s="9">
        <f t="shared" si="13"/>
        <v>-146.97499999999999</v>
      </c>
      <c r="AB285" s="9">
        <f t="shared" si="14"/>
        <v>8.2081999999999997</v>
      </c>
    </row>
    <row r="286" spans="1:28">
      <c r="A286" s="8">
        <v>45576</v>
      </c>
      <c r="B286" s="7">
        <f>日前电价!B286-实时电价!B286</f>
        <v>-21.2819</v>
      </c>
      <c r="C286" s="7">
        <f>日前电价!C286-实时电价!C286</f>
        <v>-0.114399999999989</v>
      </c>
      <c r="D286" s="7">
        <f>日前电价!D286-实时电价!D286</f>
        <v>3.6238999999999901</v>
      </c>
      <c r="E286" s="7">
        <f>日前电价!E286-实时电价!E286</f>
        <v>5.9265000000000301</v>
      </c>
      <c r="F286" s="7">
        <f>日前电价!F286-实时电价!F286</f>
        <v>5.5772999999999797</v>
      </c>
      <c r="G286" s="7">
        <f>日前电价!G286-实时电价!G286</f>
        <v>1.8577999999999999</v>
      </c>
      <c r="H286" s="7">
        <f>日前电价!H286-实时电价!H286</f>
        <v>7.6938999999999904</v>
      </c>
      <c r="I286" s="7">
        <f>日前电价!I286-实时电价!I286</f>
        <v>7.5904999999999596</v>
      </c>
      <c r="J286" s="7">
        <f>日前电价!J286-实时电价!J286</f>
        <v>14.6153</v>
      </c>
      <c r="K286" s="7">
        <f>日前电价!K286-实时电价!K286</f>
        <v>8.1482000000000294</v>
      </c>
      <c r="L286" s="7">
        <f>日前电价!L286-实时电价!L286</f>
        <v>1.66989999999998</v>
      </c>
      <c r="M286" s="7">
        <f>日前电价!M286-实时电价!M286</f>
        <v>179.8134</v>
      </c>
      <c r="N286" s="7">
        <f>日前电价!N286-实时电价!N286</f>
        <v>170.81370000000001</v>
      </c>
      <c r="O286" s="7">
        <f>日前电价!O286-实时电价!O286</f>
        <v>-10.763199999999999</v>
      </c>
      <c r="P286" s="7">
        <f>日前电价!P286-实时电价!P286</f>
        <v>-4.1100000000000101</v>
      </c>
      <c r="Q286" s="7">
        <f>日前电价!Q286-实时电价!Q286</f>
        <v>6.9318000000000097</v>
      </c>
      <c r="R286" s="7">
        <f>日前电价!R286-实时电价!R286</f>
        <v>-10.9541</v>
      </c>
      <c r="S286" s="7">
        <f>日前电价!S286-实时电价!S286</f>
        <v>-2.6888999999999901</v>
      </c>
      <c r="T286" s="7">
        <f>日前电价!T286-实时电价!T286</f>
        <v>-127.6674</v>
      </c>
      <c r="U286" s="7">
        <f>日前电价!U286-实时电价!U286</f>
        <v>-0.48389999999994898</v>
      </c>
      <c r="V286" s="7">
        <f>日前电价!V286-实时电价!V286</f>
        <v>-15.066700000000001</v>
      </c>
      <c r="W286" s="7">
        <f>日前电价!W286-实时电价!W286</f>
        <v>-2.9744000000000002</v>
      </c>
      <c r="X286" s="7">
        <f>日前电价!X286-实时电价!X286</f>
        <v>-1.8037999999999701</v>
      </c>
      <c r="Y286" s="7">
        <f>日前电价!Y286-实时电价!Y286</f>
        <v>-3.8967000000000098</v>
      </c>
      <c r="Z286" s="9">
        <f t="shared" si="12"/>
        <v>179.8134</v>
      </c>
      <c r="AA286" s="9">
        <f t="shared" si="13"/>
        <v>-127.6674</v>
      </c>
      <c r="AB286" s="9">
        <f t="shared" si="14"/>
        <v>8.8523666666666703</v>
      </c>
    </row>
    <row r="287" spans="1:28">
      <c r="A287" s="8">
        <v>45577</v>
      </c>
      <c r="B287" s="7">
        <f>日前电价!B287-实时电价!B287</f>
        <v>-17.087299999999999</v>
      </c>
      <c r="C287" s="7">
        <f>日前电价!C287-实时电价!C287</f>
        <v>-5.9498999999999604</v>
      </c>
      <c r="D287" s="7">
        <f>日前电价!D287-实时电价!D287</f>
        <v>3.5771000000000299</v>
      </c>
      <c r="E287" s="7">
        <f>日前电价!E287-实时电价!E287</f>
        <v>-6.8333000000000101</v>
      </c>
      <c r="F287" s="7">
        <f>日前电价!F287-实时电价!F287</f>
        <v>3.9549000000000101</v>
      </c>
      <c r="G287" s="7">
        <f>日前电价!G287-实时电价!G287</f>
        <v>7.3183999999999996</v>
      </c>
      <c r="H287" s="7">
        <f>日前电价!H287-实时电价!H287</f>
        <v>-0.61660000000000503</v>
      </c>
      <c r="I287" s="7">
        <f>日前电价!I287-实时电价!I287</f>
        <v>-4.5033000000000198</v>
      </c>
      <c r="J287" s="7">
        <f>日前电价!J287-实时电价!J287</f>
        <v>-12.055899999999999</v>
      </c>
      <c r="K287" s="7">
        <f>日前电价!K287-实时电价!K287</f>
        <v>-13.0543</v>
      </c>
      <c r="L287" s="7">
        <f>日前电价!L287-实时电价!L287</f>
        <v>-34.518099999999997</v>
      </c>
      <c r="M287" s="7">
        <f>日前电价!M287-实时电价!M287</f>
        <v>-17.062100000000001</v>
      </c>
      <c r="N287" s="7">
        <f>日前电价!N287-实时电价!N287</f>
        <v>-56.708599999999997</v>
      </c>
      <c r="O287" s="7">
        <f>日前电价!O287-实时电价!O287</f>
        <v>13.164300000000001</v>
      </c>
      <c r="P287" s="7">
        <f>日前电价!P287-实时电价!P287</f>
        <v>13.309200000000001</v>
      </c>
      <c r="Q287" s="7">
        <f>日前电价!Q287-实时电价!Q287</f>
        <v>7.6503999999999897</v>
      </c>
      <c r="R287" s="7">
        <f>日前电价!R287-实时电价!R287</f>
        <v>-3.70740000000001</v>
      </c>
      <c r="S287" s="7">
        <f>日前电价!S287-实时电价!S287</f>
        <v>9.5616000000000003</v>
      </c>
      <c r="T287" s="7">
        <f>日前电价!T287-实时电价!T287</f>
        <v>-1.41900000000004</v>
      </c>
      <c r="U287" s="7">
        <f>日前电价!U287-实时电价!U287</f>
        <v>3.8881999999999799</v>
      </c>
      <c r="V287" s="7">
        <f>日前电价!V287-实时电价!V287</f>
        <v>-4.4109999999999996</v>
      </c>
      <c r="W287" s="7">
        <f>日前电价!W287-实时电价!W287</f>
        <v>4.6612999999999802</v>
      </c>
      <c r="X287" s="7">
        <f>日前电价!X287-实时电价!X287</f>
        <v>7.3291000000000404</v>
      </c>
      <c r="Y287" s="7">
        <f>日前电价!Y287-实时电价!Y287</f>
        <v>-7.3566999999999902</v>
      </c>
      <c r="Z287" s="9">
        <f t="shared" si="12"/>
        <v>13.309200000000001</v>
      </c>
      <c r="AA287" s="9">
        <f t="shared" si="13"/>
        <v>-56.708599999999997</v>
      </c>
      <c r="AB287" s="9">
        <f t="shared" si="14"/>
        <v>-4.6195416666666702</v>
      </c>
    </row>
    <row r="288" spans="1:28">
      <c r="A288" s="8">
        <v>45578</v>
      </c>
      <c r="B288" s="7">
        <f>日前电价!B288-实时电价!B288</f>
        <v>-93.503200000000007</v>
      </c>
      <c r="C288" s="7">
        <f>日前电价!C288-实时电价!C288</f>
        <v>-44.305599999999998</v>
      </c>
      <c r="D288" s="7">
        <f>日前电价!D288-实时电价!D288</f>
        <v>-31.4541</v>
      </c>
      <c r="E288" s="7">
        <f>日前电价!E288-实时电价!E288</f>
        <v>-32.596800000000002</v>
      </c>
      <c r="F288" s="7">
        <f>日前电价!F288-实时电价!F288</f>
        <v>-10.8955</v>
      </c>
      <c r="G288" s="7">
        <f>日前电价!G288-实时电价!G288</f>
        <v>-13.1746</v>
      </c>
      <c r="H288" s="7">
        <f>日前电价!H288-实时电价!H288</f>
        <v>-1.05840000000001</v>
      </c>
      <c r="I288" s="7">
        <f>日前电价!I288-实时电价!I288</f>
        <v>9.7563000000000102</v>
      </c>
      <c r="J288" s="7">
        <f>日前电价!J288-实时电价!J288</f>
        <v>77.913300000000007</v>
      </c>
      <c r="K288" s="7">
        <f>日前电价!K288-实时电价!K288</f>
        <v>219.20070000000001</v>
      </c>
      <c r="L288" s="7">
        <f>日前电价!L288-实时电价!L288</f>
        <v>118.06100000000001</v>
      </c>
      <c r="M288" s="7">
        <f>日前电价!M288-实时电价!M288</f>
        <v>191.52520000000001</v>
      </c>
      <c r="N288" s="7">
        <f>日前电价!N288-实时电价!N288</f>
        <v>91.639099999999999</v>
      </c>
      <c r="O288" s="7">
        <f>日前电价!O288-实时电价!O288</f>
        <v>95.804500000000004</v>
      </c>
      <c r="P288" s="7">
        <f>日前电价!P288-实时电价!P288</f>
        <v>-1.23999999999569E-2</v>
      </c>
      <c r="Q288" s="7">
        <f>日前电价!Q288-实时电价!Q288</f>
        <v>-0.689599999999984</v>
      </c>
      <c r="R288" s="7">
        <f>日前电价!R288-实时电价!R288</f>
        <v>-4.7599000000000196</v>
      </c>
      <c r="S288" s="7">
        <f>日前电价!S288-实时电价!S288</f>
        <v>-1.94319999999999</v>
      </c>
      <c r="T288" s="7">
        <f>日前电价!T288-实时电价!T288</f>
        <v>-26.662800000000001</v>
      </c>
      <c r="U288" s="7">
        <f>日前电价!U288-实时电价!U288</f>
        <v>18.122</v>
      </c>
      <c r="V288" s="7">
        <f>日前电价!V288-实时电价!V288</f>
        <v>-19.567499999999999</v>
      </c>
      <c r="W288" s="7">
        <f>日前电价!W288-实时电价!W288</f>
        <v>-48.501199999999997</v>
      </c>
      <c r="X288" s="7">
        <f>日前电价!X288-实时电价!X288</f>
        <v>-20.384599999999999</v>
      </c>
      <c r="Y288" s="7">
        <f>日前电价!Y288-实时电价!Y288</f>
        <v>-25.392700000000001</v>
      </c>
      <c r="Z288" s="9">
        <f t="shared" si="12"/>
        <v>219.20070000000001</v>
      </c>
      <c r="AA288" s="9">
        <f t="shared" si="13"/>
        <v>-93.503200000000007</v>
      </c>
      <c r="AB288" s="9">
        <f t="shared" si="14"/>
        <v>18.63</v>
      </c>
    </row>
    <row r="289" spans="1:28">
      <c r="A289" s="8">
        <v>45579</v>
      </c>
      <c r="B289" s="7">
        <f>日前电价!B289-实时电价!B289</f>
        <v>-26.8947</v>
      </c>
      <c r="C289" s="7">
        <f>日前电价!C289-实时电价!C289</f>
        <v>-12.133599999999999</v>
      </c>
      <c r="D289" s="7">
        <f>日前电价!D289-实时电价!D289</f>
        <v>-12.238</v>
      </c>
      <c r="E289" s="7">
        <f>日前电价!E289-实时电价!E289</f>
        <v>-8.8910999999999891</v>
      </c>
      <c r="F289" s="7">
        <f>日前电价!F289-实时电价!F289</f>
        <v>-11.6089</v>
      </c>
      <c r="G289" s="7">
        <f>日前电价!G289-实时电价!G289</f>
        <v>-17.5289</v>
      </c>
      <c r="H289" s="7">
        <f>日前电价!H289-实时电价!H289</f>
        <v>-17.024699999999999</v>
      </c>
      <c r="I289" s="7">
        <f>日前电价!I289-实时电价!I289</f>
        <v>-13.988200000000001</v>
      </c>
      <c r="J289" s="7">
        <f>日前电价!J289-实时电价!J289</f>
        <v>-62.657800000000002</v>
      </c>
      <c r="K289" s="7">
        <f>日前电价!K289-实时电价!K289</f>
        <v>-171.09200000000001</v>
      </c>
      <c r="L289" s="7">
        <f>日前电价!L289-实时电价!L289</f>
        <v>-47.942399999999999</v>
      </c>
      <c r="M289" s="7">
        <f>日前电价!M289-实时电价!M289</f>
        <v>7.0407000000000197</v>
      </c>
      <c r="N289" s="7">
        <f>日前电价!N289-实时电价!N289</f>
        <v>-22.4678</v>
      </c>
      <c r="O289" s="7">
        <f>日前电价!O289-实时电价!O289</f>
        <v>-168.47460000000001</v>
      </c>
      <c r="P289" s="7">
        <f>日前电价!P289-实时电价!P289</f>
        <v>-266.21850000000001</v>
      </c>
      <c r="Q289" s="7">
        <f>日前电价!Q289-实时电价!Q289</f>
        <v>-272.08659999999998</v>
      </c>
      <c r="R289" s="7">
        <f>日前电价!R289-实时电价!R289</f>
        <v>-76.571100000000001</v>
      </c>
      <c r="S289" s="7">
        <f>日前电价!S289-实时电价!S289</f>
        <v>-18.6981</v>
      </c>
      <c r="T289" s="7">
        <f>日前电价!T289-实时电价!T289</f>
        <v>-25.7058</v>
      </c>
      <c r="U289" s="7">
        <f>日前电价!U289-实时电价!U289</f>
        <v>-51.427500000000002</v>
      </c>
      <c r="V289" s="7">
        <f>日前电价!V289-实时电价!V289</f>
        <v>-7.1540999999999704</v>
      </c>
      <c r="W289" s="7">
        <f>日前电价!W289-实时电价!W289</f>
        <v>14.4993</v>
      </c>
      <c r="X289" s="7">
        <f>日前电价!X289-实时电价!X289</f>
        <v>1.8416999999999999</v>
      </c>
      <c r="Y289" s="7">
        <f>日前电价!Y289-实时电价!Y289</f>
        <v>0.33169999999995498</v>
      </c>
      <c r="Z289" s="9">
        <f t="shared" si="12"/>
        <v>14.4993</v>
      </c>
      <c r="AA289" s="9">
        <f t="shared" si="13"/>
        <v>-272.08659999999998</v>
      </c>
      <c r="AB289" s="9">
        <f t="shared" si="14"/>
        <v>-53.6287916666667</v>
      </c>
    </row>
    <row r="290" spans="1:28">
      <c r="A290" s="8">
        <v>45580</v>
      </c>
      <c r="B290" s="7">
        <f>日前电价!B290-实时电价!B290</f>
        <v>16.2575</v>
      </c>
      <c r="C290" s="7">
        <f>日前电价!C290-实时电价!C290</f>
        <v>14.5898</v>
      </c>
      <c r="D290" s="7">
        <f>日前电价!D290-实时电价!D290</f>
        <v>44.7014</v>
      </c>
      <c r="E290" s="7">
        <f>日前电价!E290-实时电价!E290</f>
        <v>8.2794999999999792</v>
      </c>
      <c r="F290" s="7">
        <f>日前电价!F290-实时电价!F290</f>
        <v>3.20209999999997</v>
      </c>
      <c r="G290" s="7">
        <f>日前电价!G290-实时电价!G290</f>
        <v>-6.1256000000000199</v>
      </c>
      <c r="H290" s="7">
        <f>日前电价!H290-实时电价!H290</f>
        <v>5.4602000000000404</v>
      </c>
      <c r="I290" s="7">
        <f>日前电价!I290-实时电价!I290</f>
        <v>-0.56430000000000302</v>
      </c>
      <c r="J290" s="7">
        <f>日前电价!J290-实时电价!J290</f>
        <v>9.5061999999999802</v>
      </c>
      <c r="K290" s="7">
        <f>日前电价!K290-实时电价!K290</f>
        <v>-96.659899999999993</v>
      </c>
      <c r="L290" s="7">
        <f>日前电价!L290-实时电价!L290</f>
        <v>-6.8978999999999902</v>
      </c>
      <c r="M290" s="7">
        <f>日前电价!M290-实时电价!M290</f>
        <v>2.4797999999999498</v>
      </c>
      <c r="N290" s="7">
        <f>日前电价!N290-实时电价!N290</f>
        <v>11.3977</v>
      </c>
      <c r="O290" s="7">
        <f>日前电价!O290-实时电价!O290</f>
        <v>-75.167599999999993</v>
      </c>
      <c r="P290" s="7">
        <f>日前电价!P290-实时电价!P290</f>
        <v>-3.4216999999999902</v>
      </c>
      <c r="Q290" s="7">
        <f>日前电价!Q290-实时电价!Q290</f>
        <v>-7.9173000000000098</v>
      </c>
      <c r="R290" s="7">
        <f>日前电价!R290-实时电价!R290</f>
        <v>-8.43760000000003</v>
      </c>
      <c r="S290" s="7">
        <f>日前电价!S290-实时电价!S290</f>
        <v>11.7719</v>
      </c>
      <c r="T290" s="7">
        <f>日前电价!T290-实时电价!T290</f>
        <v>5.2702999999999598</v>
      </c>
      <c r="U290" s="7">
        <f>日前电价!U290-实时电价!U290</f>
        <v>-4.5348999999999897</v>
      </c>
      <c r="V290" s="7">
        <f>日前电价!V290-实时电价!V290</f>
        <v>-2.3502999999999998</v>
      </c>
      <c r="W290" s="7">
        <f>日前电价!W290-实时电价!W290</f>
        <v>3.7774999999999701</v>
      </c>
      <c r="X290" s="7">
        <f>日前电价!X290-实时电价!X290</f>
        <v>-0.46309999999999701</v>
      </c>
      <c r="Y290" s="7">
        <f>日前电价!Y290-实时电价!Y290</f>
        <v>-4.3046999999999702</v>
      </c>
      <c r="Z290" s="9">
        <f t="shared" si="12"/>
        <v>44.7014</v>
      </c>
      <c r="AA290" s="9">
        <f t="shared" si="13"/>
        <v>-96.659899999999993</v>
      </c>
      <c r="AB290" s="9">
        <f t="shared" si="14"/>
        <v>-3.3396249999999998</v>
      </c>
    </row>
    <row r="291" spans="1:28">
      <c r="A291" s="8">
        <v>45581</v>
      </c>
      <c r="B291" s="7">
        <f>日前电价!B291-实时电价!B291</f>
        <v>68.555700000000002</v>
      </c>
      <c r="C291" s="7">
        <f>日前电价!C291-实时电价!C291</f>
        <v>24.411899999999999</v>
      </c>
      <c r="D291" s="7">
        <f>日前电价!D291-实时电价!D291</f>
        <v>-1.0509000000000099</v>
      </c>
      <c r="E291" s="7">
        <f>日前电价!E291-实时电价!E291</f>
        <v>-4.6747999999999497</v>
      </c>
      <c r="F291" s="7">
        <f>日前电价!F291-实时电价!F291</f>
        <v>-10.641400000000001</v>
      </c>
      <c r="G291" s="7">
        <f>日前电价!G291-实时电价!G291</f>
        <v>-12.1427</v>
      </c>
      <c r="H291" s="7">
        <f>日前电价!H291-实时电价!H291</f>
        <v>-6.0548000000000002</v>
      </c>
      <c r="I291" s="7">
        <f>日前电价!I291-实时电价!I291</f>
        <v>-5.3014000000000001</v>
      </c>
      <c r="J291" s="7">
        <f>日前电价!J291-实时电价!J291</f>
        <v>-28.2926</v>
      </c>
      <c r="K291" s="7">
        <f>日前电价!K291-实时电价!K291</f>
        <v>-57.921399999999998</v>
      </c>
      <c r="L291" s="7">
        <f>日前电价!L291-实时电价!L291</f>
        <v>0.50839999999999497</v>
      </c>
      <c r="M291" s="7">
        <f>日前电价!M291-实时电价!M291</f>
        <v>1.8190999999999899</v>
      </c>
      <c r="N291" s="7">
        <f>日前电价!N291-实时电价!N291</f>
        <v>-2.31299999999999</v>
      </c>
      <c r="O291" s="7">
        <f>日前电价!O291-实时电价!O291</f>
        <v>-14.894</v>
      </c>
      <c r="P291" s="7">
        <f>日前电价!P291-实时电价!P291</f>
        <v>-1.3439999999999901</v>
      </c>
      <c r="Q291" s="7">
        <f>日前电价!Q291-实时电价!Q291</f>
        <v>-15.818300000000001</v>
      </c>
      <c r="R291" s="7">
        <f>日前电价!R291-实时电价!R291</f>
        <v>-23.1584</v>
      </c>
      <c r="S291" s="7">
        <f>日前电价!S291-实时电价!S291</f>
        <v>4.6852999999999803</v>
      </c>
      <c r="T291" s="7">
        <f>日前电价!T291-实时电价!T291</f>
        <v>-3.0796999999999999</v>
      </c>
      <c r="U291" s="7">
        <f>日前电价!U291-实时电价!U291</f>
        <v>-7.19540000000001</v>
      </c>
      <c r="V291" s="7">
        <f>日前电价!V291-实时电价!V291</f>
        <v>-2.6870999999999898</v>
      </c>
      <c r="W291" s="7">
        <f>日前电价!W291-实时电价!W291</f>
        <v>2.2257999999999898</v>
      </c>
      <c r="X291" s="7">
        <f>日前电价!X291-实时电价!X291</f>
        <v>2.69940000000003</v>
      </c>
      <c r="Y291" s="7">
        <f>日前电价!Y291-实时电价!Y291</f>
        <v>-13.737399999999999</v>
      </c>
      <c r="Z291" s="9">
        <f t="shared" si="12"/>
        <v>68.555700000000002</v>
      </c>
      <c r="AA291" s="9">
        <f t="shared" si="13"/>
        <v>-57.921399999999998</v>
      </c>
      <c r="AB291" s="9">
        <f t="shared" si="14"/>
        <v>-4.3917374999999996</v>
      </c>
    </row>
    <row r="292" spans="1:28">
      <c r="A292" s="8">
        <v>45582</v>
      </c>
      <c r="B292" s="7">
        <f>日前电价!B292-实时电价!B292</f>
        <v>-177.32929999999999</v>
      </c>
      <c r="C292" s="7">
        <f>日前电价!C292-实时电价!C292</f>
        <v>4.0940999999999699</v>
      </c>
      <c r="D292" s="7">
        <f>日前电价!D292-实时电价!D292</f>
        <v>-4.1078999999999697</v>
      </c>
      <c r="E292" s="7">
        <f>日前电价!E292-实时电价!E292</f>
        <v>5.3098000000000001</v>
      </c>
      <c r="F292" s="7">
        <f>日前电价!F292-实时电价!F292</f>
        <v>10.218500000000001</v>
      </c>
      <c r="G292" s="7">
        <f>日前电价!G292-实时电价!G292</f>
        <v>19.3293</v>
      </c>
      <c r="H292" s="7">
        <f>日前电价!H292-实时电价!H292</f>
        <v>17.132200000000001</v>
      </c>
      <c r="I292" s="7">
        <f>日前电价!I292-实时电价!I292</f>
        <v>14.0044</v>
      </c>
      <c r="J292" s="7">
        <f>日前电价!J292-实时电价!J292</f>
        <v>-27.953099999999999</v>
      </c>
      <c r="K292" s="7">
        <f>日前电价!K292-实时电价!K292</f>
        <v>-23.334499999999998</v>
      </c>
      <c r="L292" s="7">
        <f>日前电价!L292-实时电价!L292</f>
        <v>16.198899999999998</v>
      </c>
      <c r="M292" s="7">
        <f>日前电价!M292-实时电价!M292</f>
        <v>42.961799999999997</v>
      </c>
      <c r="N292" s="7">
        <f>日前电价!N292-实时电价!N292</f>
        <v>99.096800000000002</v>
      </c>
      <c r="O292" s="7">
        <f>日前电价!O292-实时电价!O292</f>
        <v>38.5824</v>
      </c>
      <c r="P292" s="7">
        <f>日前电价!P292-实时电价!P292</f>
        <v>16.037700000000001</v>
      </c>
      <c r="Q292" s="7">
        <f>日前电价!Q292-实时电价!Q292</f>
        <v>-18.371400000000001</v>
      </c>
      <c r="R292" s="7">
        <f>日前电价!R292-实时电价!R292</f>
        <v>-16.0017</v>
      </c>
      <c r="S292" s="7">
        <f>日前电价!S292-实时电价!S292</f>
        <v>-19.827200000000001</v>
      </c>
      <c r="T292" s="7">
        <f>日前电价!T292-实时电价!T292</f>
        <v>-4.2032999999999596</v>
      </c>
      <c r="U292" s="7">
        <f>日前电价!U292-实时电价!U292</f>
        <v>-0.19529999999997499</v>
      </c>
      <c r="V292" s="7">
        <f>日前电价!V292-实时电价!V292</f>
        <v>-3.21589999999998</v>
      </c>
      <c r="W292" s="7">
        <f>日前电价!W292-实时电价!W292</f>
        <v>1.0091000000000501</v>
      </c>
      <c r="X292" s="7">
        <f>日前电价!X292-实时电价!X292</f>
        <v>12.1394</v>
      </c>
      <c r="Y292" s="7">
        <f>日前电价!Y292-实时电价!Y292</f>
        <v>13.9177</v>
      </c>
      <c r="Z292" s="9">
        <f t="shared" si="12"/>
        <v>99.096800000000002</v>
      </c>
      <c r="AA292" s="9">
        <f t="shared" si="13"/>
        <v>-177.32929999999999</v>
      </c>
      <c r="AB292" s="9">
        <f t="shared" si="14"/>
        <v>0.64552083333333499</v>
      </c>
    </row>
    <row r="293" spans="1:28">
      <c r="A293" s="8">
        <v>45583</v>
      </c>
      <c r="B293" s="7">
        <f>日前电价!B293-实时电价!B293</f>
        <v>-31.443100000000001</v>
      </c>
      <c r="C293" s="7">
        <f>日前电价!C293-实时电价!C293</f>
        <v>-3.1855999999999698</v>
      </c>
      <c r="D293" s="7">
        <f>日前电价!D293-实时电价!D293</f>
        <v>7.3332000000000299</v>
      </c>
      <c r="E293" s="7">
        <f>日前电价!E293-实时电价!E293</f>
        <v>-4.9034000000000297</v>
      </c>
      <c r="F293" s="7">
        <f>日前电价!F293-实时电价!F293</f>
        <v>0.22480000000001599</v>
      </c>
      <c r="G293" s="7">
        <f>日前电价!G293-实时电价!G293</f>
        <v>5.8598999999999801</v>
      </c>
      <c r="H293" s="7">
        <f>日前电价!H293-实时电价!H293</f>
        <v>7.0431999999999597</v>
      </c>
      <c r="I293" s="7">
        <f>日前电价!I293-实时电价!I293</f>
        <v>4.7200000000000299</v>
      </c>
      <c r="J293" s="7">
        <f>日前电价!J293-实时电价!J293</f>
        <v>12.481400000000001</v>
      </c>
      <c r="K293" s="7">
        <f>日前电价!K293-实时电价!K293</f>
        <v>3.2589000000000401</v>
      </c>
      <c r="L293" s="7">
        <f>日前电价!L293-实时电价!L293</f>
        <v>-39.529699999999998</v>
      </c>
      <c r="M293" s="7">
        <f>日前电价!M293-实时电价!M293</f>
        <v>4.3807999999999696</v>
      </c>
      <c r="N293" s="7">
        <f>日前电价!N293-实时电价!N293</f>
        <v>-4.5208000000000101</v>
      </c>
      <c r="O293" s="7">
        <f>日前电价!O293-实时电价!O293</f>
        <v>-19.7088000000001</v>
      </c>
      <c r="P293" s="7">
        <f>日前电价!P293-实时电价!P293</f>
        <v>-30.428999999999998</v>
      </c>
      <c r="Q293" s="7">
        <f>日前电价!Q293-实时电价!Q293</f>
        <v>-29.762</v>
      </c>
      <c r="R293" s="7">
        <f>日前电价!R293-实时电价!R293</f>
        <v>-17.484400000000001</v>
      </c>
      <c r="S293" s="7">
        <f>日前电价!S293-实时电价!S293</f>
        <v>-0.28960000000000702</v>
      </c>
      <c r="T293" s="7">
        <f>日前电价!T293-实时电价!T293</f>
        <v>-20.423300000000001</v>
      </c>
      <c r="U293" s="7">
        <f>日前电价!U293-实时电价!U293</f>
        <v>-3.7091999999999499</v>
      </c>
      <c r="V293" s="7">
        <f>日前电价!V293-实时电价!V293</f>
        <v>2.2083000000000101</v>
      </c>
      <c r="W293" s="7">
        <f>日前电价!W293-实时电价!W293</f>
        <v>4.6442999999999897</v>
      </c>
      <c r="X293" s="7">
        <f>日前电价!X293-实时电价!X293</f>
        <v>21.174199999999999</v>
      </c>
      <c r="Y293" s="7">
        <f>日前电价!Y293-实时电价!Y293</f>
        <v>-0.67450000000002297</v>
      </c>
      <c r="Z293" s="9">
        <f t="shared" si="12"/>
        <v>21.174199999999999</v>
      </c>
      <c r="AA293" s="9">
        <f t="shared" si="13"/>
        <v>-39.529699999999998</v>
      </c>
      <c r="AB293" s="9">
        <f t="shared" si="14"/>
        <v>-5.5305999999999997</v>
      </c>
    </row>
    <row r="294" spans="1:28">
      <c r="A294" s="8">
        <v>45584</v>
      </c>
      <c r="B294" s="7">
        <f>日前电价!B294-实时电价!B294</f>
        <v>-145.92400000000001</v>
      </c>
      <c r="C294" s="7">
        <f>日前电价!C294-实时电价!C294</f>
        <v>-5.0978000000000101</v>
      </c>
      <c r="D294" s="7">
        <f>日前电价!D294-实时电价!D294</f>
        <v>7.1639000000000097</v>
      </c>
      <c r="E294" s="7">
        <f>日前电价!E294-实时电价!E294</f>
        <v>8.2465000000000295</v>
      </c>
      <c r="F294" s="7">
        <f>日前电价!F294-实时电价!F294</f>
        <v>2.8554000000000301</v>
      </c>
      <c r="G294" s="7">
        <f>日前电价!G294-实时电价!G294</f>
        <v>3.1906999999999899</v>
      </c>
      <c r="H294" s="7">
        <f>日前电价!H294-实时电价!H294</f>
        <v>4.9482000000000399</v>
      </c>
      <c r="I294" s="7">
        <f>日前电价!I294-实时电价!I294</f>
        <v>6.4565000000000099</v>
      </c>
      <c r="J294" s="7">
        <f>日前电价!J294-实时电价!J294</f>
        <v>11.480600000000001</v>
      </c>
      <c r="K294" s="7">
        <f>日前电价!K294-实时电价!K294</f>
        <v>39.639800000000001</v>
      </c>
      <c r="L294" s="7">
        <f>日前电价!L294-实时电价!L294</f>
        <v>41.127800000000001</v>
      </c>
      <c r="M294" s="7">
        <f>日前电价!M294-实时电价!M294</f>
        <v>36.532499999999999</v>
      </c>
      <c r="N294" s="7">
        <f>日前电价!N294-实时电价!N294</f>
        <v>36.574199999999998</v>
      </c>
      <c r="O294" s="7">
        <f>日前电价!O294-实时电价!O294</f>
        <v>24.549499999999998</v>
      </c>
      <c r="P294" s="7">
        <f>日前电价!P294-实时电价!P294</f>
        <v>5.8181000000000198</v>
      </c>
      <c r="Q294" s="7">
        <f>日前电价!Q294-实时电价!Q294</f>
        <v>1.10290000000003</v>
      </c>
      <c r="R294" s="7">
        <f>日前电价!R294-实时电价!R294</f>
        <v>-19.967300000000002</v>
      </c>
      <c r="S294" s="7">
        <f>日前电价!S294-实时电价!S294</f>
        <v>12.2027</v>
      </c>
      <c r="T294" s="7">
        <f>日前电价!T294-实时电价!T294</f>
        <v>4.1497000000000002</v>
      </c>
      <c r="U294" s="7">
        <f>日前电价!U294-实时电价!U294</f>
        <v>-7.5417999999999701</v>
      </c>
      <c r="V294" s="7">
        <f>日前电价!V294-实时电价!V294</f>
        <v>5.5744999999999996</v>
      </c>
      <c r="W294" s="7">
        <f>日前电价!W294-实时电价!W294</f>
        <v>6.6999999999999904</v>
      </c>
      <c r="X294" s="7">
        <f>日前电价!X294-实时电价!X294</f>
        <v>-1.48400000000004</v>
      </c>
      <c r="Y294" s="7">
        <f>日前电价!Y294-实时电价!Y294</f>
        <v>-51.499600000000001</v>
      </c>
      <c r="Z294" s="9">
        <f t="shared" si="12"/>
        <v>41.127800000000001</v>
      </c>
      <c r="AA294" s="9">
        <f t="shared" si="13"/>
        <v>-145.92400000000001</v>
      </c>
      <c r="AB294" s="9">
        <f t="shared" si="14"/>
        <v>1.116625</v>
      </c>
    </row>
    <row r="295" spans="1:28">
      <c r="A295" s="8">
        <v>45585</v>
      </c>
      <c r="B295" s="7">
        <f>日前电价!B295-实时电价!B295</f>
        <v>-430.98809999999997</v>
      </c>
      <c r="C295" s="7">
        <f>日前电价!C295-实时电价!C295</f>
        <v>-175.78129999999999</v>
      </c>
      <c r="D295" s="7">
        <f>日前电价!D295-实时电价!D295</f>
        <v>-128.1062</v>
      </c>
      <c r="E295" s="7">
        <f>日前电价!E295-实时电价!E295</f>
        <v>-81.112899999999996</v>
      </c>
      <c r="F295" s="7">
        <f>日前电价!F295-实时电价!F295</f>
        <v>-8.34089999999998</v>
      </c>
      <c r="G295" s="7">
        <f>日前电价!G295-实时电价!G295</f>
        <v>12.3073</v>
      </c>
      <c r="H295" s="7">
        <f>日前电价!H295-实时电价!H295</f>
        <v>17.456399999999999</v>
      </c>
      <c r="I295" s="7">
        <f>日前电价!I295-实时电价!I295</f>
        <v>21.125900000000001</v>
      </c>
      <c r="J295" s="7">
        <f>日前电价!J295-实时电价!J295</f>
        <v>120.4907</v>
      </c>
      <c r="K295" s="7">
        <f>日前电价!K295-实时电价!K295</f>
        <v>237.1814</v>
      </c>
      <c r="L295" s="7">
        <f>日前电价!L295-实时电价!L295</f>
        <v>280.71679999999998</v>
      </c>
      <c r="M295" s="7">
        <f>日前电价!M295-实时电价!M295</f>
        <v>278.72590000000002</v>
      </c>
      <c r="N295" s="7">
        <f>日前电价!N295-实时电价!N295</f>
        <v>260.81209999999999</v>
      </c>
      <c r="O295" s="7">
        <f>日前电价!O295-实时电价!O295</f>
        <v>207.15539999999999</v>
      </c>
      <c r="P295" s="7">
        <f>日前电价!P295-实时电价!P295</f>
        <v>93.049199999999999</v>
      </c>
      <c r="Q295" s="7">
        <f>日前电价!Q295-实时电价!Q295</f>
        <v>119.5322</v>
      </c>
      <c r="R295" s="7">
        <f>日前电价!R295-实时电价!R295</f>
        <v>78.747900000000001</v>
      </c>
      <c r="S295" s="7">
        <f>日前电价!S295-实时电价!S295</f>
        <v>84.148300000000006</v>
      </c>
      <c r="T295" s="7">
        <f>日前电价!T295-实时电价!T295</f>
        <v>47.427799999999998</v>
      </c>
      <c r="U295" s="7">
        <f>日前电价!U295-实时电价!U295</f>
        <v>47.216700000000003</v>
      </c>
      <c r="V295" s="7">
        <f>日前电价!V295-实时电价!V295</f>
        <v>36.490499999999997</v>
      </c>
      <c r="W295" s="7">
        <f>日前电价!W295-实时电价!W295</f>
        <v>44.537500000000001</v>
      </c>
      <c r="X295" s="7">
        <f>日前电价!X295-实时电价!X295</f>
        <v>44.119100000000003</v>
      </c>
      <c r="Y295" s="7">
        <f>日前电价!Y295-实时电价!Y295</f>
        <v>74.889700000000005</v>
      </c>
      <c r="Z295" s="9">
        <f t="shared" si="12"/>
        <v>280.71679999999998</v>
      </c>
      <c r="AA295" s="9">
        <f t="shared" si="13"/>
        <v>-430.98809999999997</v>
      </c>
      <c r="AB295" s="9">
        <f t="shared" si="14"/>
        <v>53.408391666666702</v>
      </c>
    </row>
    <row r="296" spans="1:28">
      <c r="A296" s="8">
        <v>45586</v>
      </c>
      <c r="B296" s="7">
        <f>日前电价!B296-实时电价!B296</f>
        <v>26.0382</v>
      </c>
      <c r="C296" s="7">
        <f>日前电价!C296-实时电价!C296</f>
        <v>30.9711</v>
      </c>
      <c r="D296" s="7">
        <f>日前电价!D296-实时电价!D296</f>
        <v>38.971400000000003</v>
      </c>
      <c r="E296" s="7">
        <f>日前电价!E296-实时电价!E296</f>
        <v>143.5</v>
      </c>
      <c r="F296" s="7">
        <f>日前电价!F296-实时电价!F296</f>
        <v>5.4438000000000102</v>
      </c>
      <c r="G296" s="7">
        <f>日前电价!G296-实时电价!G296</f>
        <v>-10.388</v>
      </c>
      <c r="H296" s="7">
        <f>日前电价!H296-实时电价!H296</f>
        <v>-19.289200000000001</v>
      </c>
      <c r="I296" s="7">
        <f>日前电价!I296-实时电价!I296</f>
        <v>59.972700000000003</v>
      </c>
      <c r="J296" s="7">
        <f>日前电价!J296-实时电价!J296</f>
        <v>29.318899999999999</v>
      </c>
      <c r="K296" s="7">
        <f>日前电价!K296-实时电价!K296</f>
        <v>89.556299999999993</v>
      </c>
      <c r="L296" s="7">
        <f>日前电价!L296-实时电价!L296</f>
        <v>134.6934</v>
      </c>
      <c r="M296" s="7">
        <f>日前电价!M296-实时电价!M296</f>
        <v>134.50790000000001</v>
      </c>
      <c r="N296" s="7">
        <f>日前电价!N296-实时电价!N296</f>
        <v>243.40799999999999</v>
      </c>
      <c r="O296" s="7">
        <f>日前电价!O296-实时电价!O296</f>
        <v>114.3373</v>
      </c>
      <c r="P296" s="7">
        <f>日前电价!P296-实时电价!P296</f>
        <v>91.476799999999997</v>
      </c>
      <c r="Q296" s="7">
        <f>日前电价!Q296-实时电价!Q296</f>
        <v>54.1813</v>
      </c>
      <c r="R296" s="7">
        <f>日前电价!R296-实时电价!R296</f>
        <v>40.944400000000002</v>
      </c>
      <c r="S296" s="7">
        <f>日前电价!S296-实时电价!S296</f>
        <v>30.358499999999999</v>
      </c>
      <c r="T296" s="7">
        <f>日前电价!T296-实时电价!T296</f>
        <v>24.402699999999999</v>
      </c>
      <c r="U296" s="7">
        <f>日前电价!U296-实时电价!U296</f>
        <v>24.3139</v>
      </c>
      <c r="V296" s="7">
        <f>日前电价!V296-实时电价!V296</f>
        <v>49.076999999999998</v>
      </c>
      <c r="W296" s="7">
        <f>日前电价!W296-实时电价!W296</f>
        <v>39.926200000000001</v>
      </c>
      <c r="X296" s="7">
        <f>日前电价!X296-实时电价!X296</f>
        <v>20.929600000000001</v>
      </c>
      <c r="Y296" s="7">
        <f>日前电价!Y296-实时电价!Y296</f>
        <v>9.2787000000000095</v>
      </c>
      <c r="Z296" s="9">
        <f t="shared" si="12"/>
        <v>243.40799999999999</v>
      </c>
      <c r="AA296" s="9">
        <f t="shared" si="13"/>
        <v>-19.289200000000001</v>
      </c>
      <c r="AB296" s="9">
        <f t="shared" si="14"/>
        <v>58.580454166666698</v>
      </c>
    </row>
    <row r="297" spans="1:28">
      <c r="A297" s="8">
        <v>45587</v>
      </c>
      <c r="B297" s="7">
        <f>日前电价!B297-实时电价!B297</f>
        <v>14.1218</v>
      </c>
      <c r="C297" s="7">
        <f>日前电价!C297-实时电价!C297</f>
        <v>-7.8356000000000003</v>
      </c>
      <c r="D297" s="7">
        <f>日前电价!D297-实时电价!D297</f>
        <v>-1.30619999999999</v>
      </c>
      <c r="E297" s="7">
        <f>日前电价!E297-实时电价!E297</f>
        <v>-6.9372999999999898</v>
      </c>
      <c r="F297" s="7">
        <f>日前电价!F297-实时电价!F297</f>
        <v>-7.0862999999999898</v>
      </c>
      <c r="G297" s="7">
        <f>日前电价!G297-实时电价!G297</f>
        <v>-6.5011000000000099</v>
      </c>
      <c r="H297" s="7">
        <f>日前电价!H297-实时电价!H297</f>
        <v>-5.3398000000000296</v>
      </c>
      <c r="I297" s="7">
        <f>日前电价!I297-实时电价!I297</f>
        <v>-14.5604</v>
      </c>
      <c r="J297" s="7">
        <f>日前电价!J297-实时电价!J297</f>
        <v>-6.1050999999999904</v>
      </c>
      <c r="K297" s="7">
        <f>日前电价!K297-实时电价!K297</f>
        <v>37.908900000000003</v>
      </c>
      <c r="L297" s="7">
        <f>日前电价!L297-实时电价!L297</f>
        <v>61.796700000000001</v>
      </c>
      <c r="M297" s="7">
        <f>日前电价!M297-实时电价!M297</f>
        <v>49.662300000000002</v>
      </c>
      <c r="N297" s="7">
        <f>日前电价!N297-实时电价!N297</f>
        <v>64.663499999999999</v>
      </c>
      <c r="O297" s="7">
        <f>日前电价!O297-实时电价!O297</f>
        <v>3.0210000000000101</v>
      </c>
      <c r="P297" s="7">
        <f>日前电价!P297-实时电价!P297</f>
        <v>14.419</v>
      </c>
      <c r="Q297" s="7">
        <f>日前电价!Q297-实时电价!Q297</f>
        <v>-20.511600000000001</v>
      </c>
      <c r="R297" s="7">
        <f>日前电价!R297-实时电价!R297</f>
        <v>-104.82599999999999</v>
      </c>
      <c r="S297" s="7">
        <f>日前电价!S297-实时电价!S297</f>
        <v>-119.4071</v>
      </c>
      <c r="T297" s="7">
        <f>日前电价!T297-实时电价!T297</f>
        <v>-15.1816</v>
      </c>
      <c r="U297" s="7">
        <f>日前电价!U297-实时电价!U297</f>
        <v>0.70359999999999401</v>
      </c>
      <c r="V297" s="7">
        <f>日前电价!V297-实时电价!V297</f>
        <v>18.910399999999999</v>
      </c>
      <c r="W297" s="7">
        <f>日前电价!W297-实时电价!W297</f>
        <v>29.3278</v>
      </c>
      <c r="X297" s="7">
        <f>日前电价!X297-实时电价!X297</f>
        <v>37.248699999999999</v>
      </c>
      <c r="Y297" s="7">
        <f>日前电价!Y297-实时电价!Y297</f>
        <v>73.959800000000001</v>
      </c>
      <c r="Z297" s="9">
        <f t="shared" si="12"/>
        <v>73.959800000000001</v>
      </c>
      <c r="AA297" s="9">
        <f t="shared" si="13"/>
        <v>-119.4071</v>
      </c>
      <c r="AB297" s="9">
        <f t="shared" si="14"/>
        <v>3.7560583333333302</v>
      </c>
    </row>
    <row r="298" spans="1:28">
      <c r="A298" s="8">
        <v>45588</v>
      </c>
      <c r="B298" s="7">
        <f>日前电价!B298-实时电价!B298</f>
        <v>90.807199999999995</v>
      </c>
      <c r="C298" s="7">
        <f>日前电价!C298-实时电价!C298</f>
        <v>161.25700000000001</v>
      </c>
      <c r="D298" s="7">
        <f>日前电价!D298-实时电价!D298</f>
        <v>150.8057</v>
      </c>
      <c r="E298" s="7">
        <f>日前电价!E298-实时电价!E298</f>
        <v>261.7056</v>
      </c>
      <c r="F298" s="7">
        <f>日前电价!F298-实时电价!F298</f>
        <v>233.50370000000001</v>
      </c>
      <c r="G298" s="7">
        <f>日前电价!G298-实时电价!G298</f>
        <v>217.82650000000001</v>
      </c>
      <c r="H298" s="7">
        <f>日前电价!H298-实时电价!H298</f>
        <v>200.97540000000001</v>
      </c>
      <c r="I298" s="7">
        <f>日前电价!I298-实时电价!I298</f>
        <v>91.585300000000004</v>
      </c>
      <c r="J298" s="7">
        <f>日前电价!J298-实时电价!J298</f>
        <v>159.1225</v>
      </c>
      <c r="K298" s="7">
        <f>日前电价!K298-实时电价!K298</f>
        <v>273.44639999999998</v>
      </c>
      <c r="L298" s="7">
        <f>日前电价!L298-实时电价!L298</f>
        <v>209.12260000000001</v>
      </c>
      <c r="M298" s="7">
        <f>日前电价!M298-实时电价!M298</f>
        <v>235.94560000000001</v>
      </c>
      <c r="N298" s="7">
        <f>日前电价!N298-实时电价!N298</f>
        <v>177.55779999999999</v>
      </c>
      <c r="O298" s="7">
        <f>日前电价!O298-实时电价!O298</f>
        <v>106.90219999999999</v>
      </c>
      <c r="P298" s="7">
        <f>日前电价!P298-实时电价!P298</f>
        <v>243.9768</v>
      </c>
      <c r="Q298" s="7">
        <f>日前电价!Q298-实时电价!Q298</f>
        <v>281.75439999999998</v>
      </c>
      <c r="R298" s="7">
        <f>日前电价!R298-实时电价!R298</f>
        <v>193.75839999999999</v>
      </c>
      <c r="S298" s="7">
        <f>日前电价!S298-实时电价!S298</f>
        <v>78.967299999999994</v>
      </c>
      <c r="T298" s="7">
        <f>日前电价!T298-实时电价!T298</f>
        <v>58.7395</v>
      </c>
      <c r="U298" s="7">
        <f>日前电价!U298-实时电价!U298</f>
        <v>58.382800000000003</v>
      </c>
      <c r="V298" s="7">
        <f>日前电价!V298-实时电价!V298</f>
        <v>59.799399999999999</v>
      </c>
      <c r="W298" s="7">
        <f>日前电价!W298-实时电价!W298</f>
        <v>142.59030000000001</v>
      </c>
      <c r="X298" s="7">
        <f>日前电价!X298-实时电价!X298</f>
        <v>187.75530000000001</v>
      </c>
      <c r="Y298" s="7">
        <f>日前电价!Y298-实时电价!Y298</f>
        <v>156.6113</v>
      </c>
      <c r="Z298" s="9">
        <f t="shared" si="12"/>
        <v>281.75439999999998</v>
      </c>
      <c r="AA298" s="9">
        <f t="shared" si="13"/>
        <v>58.382800000000003</v>
      </c>
      <c r="AB298" s="9">
        <f t="shared" si="14"/>
        <v>168.03745833333301</v>
      </c>
    </row>
    <row r="299" spans="1:28">
      <c r="A299" s="8">
        <v>45589</v>
      </c>
      <c r="B299" s="7">
        <f>日前电价!B299-实时电价!B299</f>
        <v>33.745100000000001</v>
      </c>
      <c r="C299" s="7">
        <f>日前电价!C299-实时电价!C299</f>
        <v>9.4221000000000004</v>
      </c>
      <c r="D299" s="7">
        <f>日前电价!D299-实时电价!D299</f>
        <v>118.3404</v>
      </c>
      <c r="E299" s="7">
        <f>日前电价!E299-实时电价!E299</f>
        <v>71.764200000000002</v>
      </c>
      <c r="F299" s="7">
        <f>日前电价!F299-实时电价!F299</f>
        <v>0</v>
      </c>
      <c r="G299" s="7">
        <f>日前电价!G299-实时电价!G299</f>
        <v>0</v>
      </c>
      <c r="H299" s="7">
        <f>日前电价!H299-实时电价!H299</f>
        <v>70.464200000000005</v>
      </c>
      <c r="I299" s="7">
        <f>日前电价!I299-实时电价!I299</f>
        <v>14.8103</v>
      </c>
      <c r="J299" s="7">
        <f>日前电价!J299-实时电价!J299</f>
        <v>-0.77870000000001505</v>
      </c>
      <c r="K299" s="7">
        <f>日前电价!K299-实时电价!K299</f>
        <v>105.98739999999999</v>
      </c>
      <c r="L299" s="7">
        <f>日前电价!L299-实时电价!L299</f>
        <v>120.6369</v>
      </c>
      <c r="M299" s="7">
        <f>日前电价!M299-实时电价!M299</f>
        <v>98.387699999999995</v>
      </c>
      <c r="N299" s="7">
        <f>日前电价!N299-实时电价!N299</f>
        <v>20.665900000000001</v>
      </c>
      <c r="O299" s="7">
        <f>日前电价!O299-实时电价!O299</f>
        <v>37.388599999999997</v>
      </c>
      <c r="P299" s="7">
        <f>日前电价!P299-实时电价!P299</f>
        <v>147.43709999999999</v>
      </c>
      <c r="Q299" s="7">
        <f>日前电价!Q299-实时电价!Q299</f>
        <v>63.712800000000001</v>
      </c>
      <c r="R299" s="7">
        <f>日前电价!R299-实时电价!R299</f>
        <v>20.028600000000001</v>
      </c>
      <c r="S299" s="7">
        <f>日前电价!S299-实时电价!S299</f>
        <v>13.2288</v>
      </c>
      <c r="T299" s="7">
        <f>日前电价!T299-实时电价!T299</f>
        <v>18.319700000000001</v>
      </c>
      <c r="U299" s="7">
        <f>日前电价!U299-实时电价!U299</f>
        <v>18.125399999999999</v>
      </c>
      <c r="V299" s="7">
        <f>日前电价!V299-实时电价!V299</f>
        <v>8.8580999999999808</v>
      </c>
      <c r="W299" s="7">
        <f>日前电价!W299-实时电价!W299</f>
        <v>29.626100000000001</v>
      </c>
      <c r="X299" s="7">
        <f>日前电价!X299-实时电价!X299</f>
        <v>82.644900000000007</v>
      </c>
      <c r="Y299" s="7">
        <f>日前电价!Y299-实时电价!Y299</f>
        <v>105.7684</v>
      </c>
      <c r="Z299" s="9">
        <f t="shared" si="12"/>
        <v>147.43709999999999</v>
      </c>
      <c r="AA299" s="9">
        <f t="shared" si="13"/>
        <v>-0.77870000000001505</v>
      </c>
      <c r="AB299" s="9">
        <f t="shared" si="14"/>
        <v>50.357666666666702</v>
      </c>
    </row>
    <row r="300" spans="1:28">
      <c r="A300" s="8">
        <v>45590</v>
      </c>
      <c r="B300" s="7">
        <f>日前电价!B300-实时电价!B300</f>
        <v>-227.28960000000001</v>
      </c>
      <c r="C300" s="7">
        <f>日前电价!C300-实时电价!C300</f>
        <v>-144.84350000000001</v>
      </c>
      <c r="D300" s="7">
        <f>日前电价!D300-实时电价!D300</f>
        <v>70.628799999999998</v>
      </c>
      <c r="E300" s="7">
        <f>日前电价!E300-实时电价!E300</f>
        <v>-5.6180000000000003</v>
      </c>
      <c r="F300" s="7">
        <f>日前电价!F300-实时电价!F300</f>
        <v>-0.20660000000000001</v>
      </c>
      <c r="G300" s="7">
        <f>日前电价!G300-实时电价!G300</f>
        <v>-0.24390000000000001</v>
      </c>
      <c r="H300" s="7">
        <f>日前电价!H300-实时电价!H300</f>
        <v>-125.6969</v>
      </c>
      <c r="I300" s="7">
        <f>日前电价!I300-实时电价!I300</f>
        <v>-47.928199999999997</v>
      </c>
      <c r="J300" s="7">
        <f>日前电价!J300-实时电价!J300</f>
        <v>-29.640899999999998</v>
      </c>
      <c r="K300" s="7">
        <f>日前电价!K300-实时电价!K300</f>
        <v>5.5893999999999799</v>
      </c>
      <c r="L300" s="7">
        <f>日前电价!L300-实时电价!L300</f>
        <v>68.346000000000004</v>
      </c>
      <c r="M300" s="7">
        <f>日前电价!M300-实时电价!M300</f>
        <v>60.412700000000001</v>
      </c>
      <c r="N300" s="7">
        <f>日前电价!N300-实时电价!N300</f>
        <v>-10.6196</v>
      </c>
      <c r="O300" s="7">
        <f>日前电价!O300-实时电价!O300</f>
        <v>110.43429999999999</v>
      </c>
      <c r="P300" s="7">
        <f>日前电价!P300-实时电价!P300</f>
        <v>158.6559</v>
      </c>
      <c r="Q300" s="7">
        <f>日前电价!Q300-实时电价!Q300</f>
        <v>111.6627</v>
      </c>
      <c r="R300" s="7">
        <f>日前电价!R300-实时电价!R300</f>
        <v>71.369299999999996</v>
      </c>
      <c r="S300" s="7">
        <f>日前电价!S300-实时电价!S300</f>
        <v>55.5779</v>
      </c>
      <c r="T300" s="7">
        <f>日前电价!T300-实时电价!T300</f>
        <v>4.5434999999999901</v>
      </c>
      <c r="U300" s="7">
        <f>日前电价!U300-实时电价!U300</f>
        <v>-13.504300000000001</v>
      </c>
      <c r="V300" s="7">
        <f>日前电价!V300-实时电价!V300</f>
        <v>-14.1479</v>
      </c>
      <c r="W300" s="7">
        <f>日前电价!W300-实时电价!W300</f>
        <v>10.8337</v>
      </c>
      <c r="X300" s="7">
        <f>日前电价!X300-实时电价!X300</f>
        <v>89.968100000000007</v>
      </c>
      <c r="Y300" s="7">
        <f>日前电价!Y300-实时电价!Y300</f>
        <v>-2.9125000000000001</v>
      </c>
      <c r="Z300" s="9">
        <f t="shared" si="12"/>
        <v>158.6559</v>
      </c>
      <c r="AA300" s="9">
        <f t="shared" si="13"/>
        <v>-227.28960000000001</v>
      </c>
      <c r="AB300" s="9">
        <f t="shared" si="14"/>
        <v>8.1404333333333394</v>
      </c>
    </row>
    <row r="301" spans="1:28">
      <c r="A301" s="8">
        <v>45591</v>
      </c>
      <c r="B301" s="7">
        <f>日前电价!B301-实时电价!B301</f>
        <v>-115.8403</v>
      </c>
      <c r="C301" s="7">
        <f>日前电价!C301-实时电价!C301</f>
        <v>-12.93</v>
      </c>
      <c r="D301" s="7">
        <f>日前电价!D301-实时电价!D301</f>
        <v>9.5530999999999704</v>
      </c>
      <c r="E301" s="7">
        <f>日前电价!E301-实时电价!E301</f>
        <v>84.727199999999996</v>
      </c>
      <c r="F301" s="7">
        <f>日前电价!F301-实时电价!F301</f>
        <v>249.7809</v>
      </c>
      <c r="G301" s="7">
        <f>日前电价!G301-实时电价!G301</f>
        <v>207.7706</v>
      </c>
      <c r="H301" s="7">
        <f>日前电价!H301-实时电价!H301</f>
        <v>152.35230000000001</v>
      </c>
      <c r="I301" s="7">
        <f>日前电价!I301-实时电价!I301</f>
        <v>-18.767099999999999</v>
      </c>
      <c r="J301" s="7">
        <f>日前电价!J301-实时电价!J301</f>
        <v>-230.42080000000001</v>
      </c>
      <c r="K301" s="7">
        <f>日前电价!K301-实时电价!K301</f>
        <v>-277.53030000000001</v>
      </c>
      <c r="L301" s="7">
        <f>日前电价!L301-实时电价!L301</f>
        <v>-122.92400000000001</v>
      </c>
      <c r="M301" s="7">
        <f>日前电价!M301-实时电价!M301</f>
        <v>62.640799999999999</v>
      </c>
      <c r="N301" s="7">
        <f>日前电价!N301-实时电价!N301</f>
        <v>-11.2043</v>
      </c>
      <c r="O301" s="7">
        <f>日前电价!O301-实时电价!O301</f>
        <v>-107.62430000000001</v>
      </c>
      <c r="P301" s="7">
        <f>日前电价!P301-实时电价!P301</f>
        <v>-183.39169999999999</v>
      </c>
      <c r="Q301" s="7">
        <f>日前电价!Q301-实时电价!Q301</f>
        <v>-15.7056</v>
      </c>
      <c r="R301" s="7">
        <f>日前电价!R301-实时电价!R301</f>
        <v>-87.043999999999997</v>
      </c>
      <c r="S301" s="7">
        <f>日前电价!S301-实时电价!S301</f>
        <v>-132.7115</v>
      </c>
      <c r="T301" s="7">
        <f>日前电价!T301-实时电价!T301</f>
        <v>-141.48500000000001</v>
      </c>
      <c r="U301" s="7">
        <f>日前电价!U301-实时电价!U301</f>
        <v>-31.867599999999999</v>
      </c>
      <c r="V301" s="7">
        <f>日前电价!V301-实时电价!V301</f>
        <v>-14.3146</v>
      </c>
      <c r="W301" s="7">
        <f>日前电价!W301-实时电价!W301</f>
        <v>-23.166899999999998</v>
      </c>
      <c r="X301" s="7">
        <f>日前电价!X301-实时电价!X301</f>
        <v>-11.2325</v>
      </c>
      <c r="Y301" s="7">
        <f>日前电价!Y301-实时电价!Y301</f>
        <v>9.9549999999999805</v>
      </c>
      <c r="Z301" s="9">
        <f t="shared" si="12"/>
        <v>249.7809</v>
      </c>
      <c r="AA301" s="9">
        <f t="shared" si="13"/>
        <v>-277.53030000000001</v>
      </c>
      <c r="AB301" s="9">
        <f t="shared" si="14"/>
        <v>-31.724191666666702</v>
      </c>
    </row>
    <row r="302" spans="1:28">
      <c r="A302" s="8">
        <v>45592</v>
      </c>
      <c r="B302" s="7">
        <f>日前电价!B302-实时电价!B302</f>
        <v>-170.39179999999999</v>
      </c>
      <c r="C302" s="7">
        <f>日前电价!C302-实时电价!C302</f>
        <v>-6.0227999999999602</v>
      </c>
      <c r="D302" s="7">
        <f>日前电价!D302-实时电价!D302</f>
        <v>24.207899999999999</v>
      </c>
      <c r="E302" s="7">
        <f>日前电价!E302-实时电价!E302</f>
        <v>23.3642</v>
      </c>
      <c r="F302" s="7">
        <f>日前电价!F302-实时电价!F302</f>
        <v>27.1144</v>
      </c>
      <c r="G302" s="7">
        <f>日前电价!G302-实时电价!G302</f>
        <v>23.5242</v>
      </c>
      <c r="H302" s="7">
        <f>日前电价!H302-实时电价!H302</f>
        <v>20.1539</v>
      </c>
      <c r="I302" s="7">
        <f>日前电价!I302-实时电价!I302</f>
        <v>3.6191</v>
      </c>
      <c r="J302" s="7">
        <f>日前电价!J302-实时电价!J302</f>
        <v>33.927100000000003</v>
      </c>
      <c r="K302" s="7">
        <f>日前电价!K302-实时电价!K302</f>
        <v>28.033999999999999</v>
      </c>
      <c r="L302" s="7">
        <f>日前电价!L302-实时电价!L302</f>
        <v>81.2714</v>
      </c>
      <c r="M302" s="7">
        <f>日前电价!M302-实时电价!M302</f>
        <v>28.478100000000001</v>
      </c>
      <c r="N302" s="7">
        <f>日前电价!N302-实时电价!N302</f>
        <v>72.6023</v>
      </c>
      <c r="O302" s="7">
        <f>日前电价!O302-实时电价!O302</f>
        <v>-5.81509999999997</v>
      </c>
      <c r="P302" s="7">
        <f>日前电价!P302-实时电价!P302</f>
        <v>-4.4191999999999902</v>
      </c>
      <c r="Q302" s="7">
        <f>日前电价!Q302-实时电价!Q302</f>
        <v>-5.4429000000000096</v>
      </c>
      <c r="R302" s="7">
        <f>日前电价!R302-实时电价!R302</f>
        <v>-5.4003999999999897</v>
      </c>
      <c r="S302" s="7">
        <f>日前电价!S302-实时电价!S302</f>
        <v>10.8477</v>
      </c>
      <c r="T302" s="7">
        <f>日前电价!T302-实时电价!T302</f>
        <v>16.012799999999999</v>
      </c>
      <c r="U302" s="7">
        <f>日前电价!U302-实时电价!U302</f>
        <v>12.9399</v>
      </c>
      <c r="V302" s="7">
        <f>日前电价!V302-实时电价!V302</f>
        <v>11.917199999999999</v>
      </c>
      <c r="W302" s="7">
        <f>日前电价!W302-实时电价!W302</f>
        <v>16.867899999999999</v>
      </c>
      <c r="X302" s="7">
        <f>日前电价!X302-实时电价!X302</f>
        <v>26.088100000000001</v>
      </c>
      <c r="Y302" s="7">
        <f>日前电价!Y302-实时电价!Y302</f>
        <v>8.9572000000000003</v>
      </c>
      <c r="Z302" s="9">
        <f t="shared" si="12"/>
        <v>81.2714</v>
      </c>
      <c r="AA302" s="9">
        <f t="shared" si="13"/>
        <v>-170.39179999999999</v>
      </c>
      <c r="AB302" s="9">
        <f t="shared" si="14"/>
        <v>11.351466666666701</v>
      </c>
    </row>
    <row r="303" spans="1:28">
      <c r="A303" s="8">
        <v>45593</v>
      </c>
      <c r="B303" s="7">
        <f>日前电价!B303-实时电价!B303</f>
        <v>-29.052399999999999</v>
      </c>
      <c r="C303" s="7">
        <f>日前电价!C303-实时电价!C303</f>
        <v>18.512499999999999</v>
      </c>
      <c r="D303" s="7">
        <f>日前电价!D303-实时电价!D303</f>
        <v>27.646999999999998</v>
      </c>
      <c r="E303" s="7">
        <f>日前电价!E303-实时电价!E303</f>
        <v>57.332000000000001</v>
      </c>
      <c r="F303" s="7">
        <f>日前电价!F303-实时电价!F303</f>
        <v>64.400700000000001</v>
      </c>
      <c r="G303" s="7">
        <f>日前电价!G303-实时电价!G303</f>
        <v>81.27</v>
      </c>
      <c r="H303" s="7">
        <f>日前电价!H303-实时电价!H303</f>
        <v>17.879000000000001</v>
      </c>
      <c r="I303" s="7">
        <f>日前电价!I303-实时电价!I303</f>
        <v>7.8227000000000002</v>
      </c>
      <c r="J303" s="7">
        <f>日前电价!J303-实时电价!J303</f>
        <v>9.5210999999999899</v>
      </c>
      <c r="K303" s="7">
        <f>日前电价!K303-实时电价!K303</f>
        <v>37.582799999999999</v>
      </c>
      <c r="L303" s="7">
        <f>日前电价!L303-实时电价!L303</f>
        <v>290.00869999999998</v>
      </c>
      <c r="M303" s="7">
        <f>日前电价!M303-实时电价!M303</f>
        <v>224.4487</v>
      </c>
      <c r="N303" s="7">
        <f>日前电价!N303-实时电价!N303</f>
        <v>256.60989999999998</v>
      </c>
      <c r="O303" s="7">
        <f>日前电价!O303-实时电价!O303</f>
        <v>145.512</v>
      </c>
      <c r="P303" s="7">
        <f>日前电价!P303-实时电价!P303</f>
        <v>25.651499999999999</v>
      </c>
      <c r="Q303" s="7">
        <f>日前电价!Q303-实时电价!Q303</f>
        <v>25.8736</v>
      </c>
      <c r="R303" s="7">
        <f>日前电价!R303-实时电价!R303</f>
        <v>22.984200000000001</v>
      </c>
      <c r="S303" s="7">
        <f>日前电价!S303-实时电价!S303</f>
        <v>19.587299999999999</v>
      </c>
      <c r="T303" s="7">
        <f>日前电价!T303-实时电价!T303</f>
        <v>13.8254</v>
      </c>
      <c r="U303" s="7">
        <f>日前电价!U303-实时电价!U303</f>
        <v>9.2175999999999991</v>
      </c>
      <c r="V303" s="7">
        <f>日前电价!V303-实时电价!V303</f>
        <v>1.411</v>
      </c>
      <c r="W303" s="7">
        <f>日前电价!W303-实时电价!W303</f>
        <v>0.201099999999997</v>
      </c>
      <c r="X303" s="7">
        <f>日前电价!X303-实时电价!X303</f>
        <v>17.276900000000001</v>
      </c>
      <c r="Y303" s="7">
        <f>日前电价!Y303-实时电价!Y303</f>
        <v>224.02010000000001</v>
      </c>
      <c r="Z303" s="9">
        <f t="shared" si="12"/>
        <v>290.00869999999998</v>
      </c>
      <c r="AA303" s="9">
        <f t="shared" si="13"/>
        <v>-29.052399999999999</v>
      </c>
      <c r="AB303" s="9">
        <f t="shared" si="14"/>
        <v>65.397641666666701</v>
      </c>
    </row>
    <row r="304" spans="1:28">
      <c r="A304" s="8">
        <v>45594</v>
      </c>
      <c r="B304" s="7">
        <f>日前电价!B304-实时电价!B304</f>
        <v>42.5002</v>
      </c>
      <c r="C304" s="7">
        <f>日前电价!C304-实时电价!C304</f>
        <v>48.5242</v>
      </c>
      <c r="D304" s="7">
        <f>日前电价!D304-实时电价!D304</f>
        <v>3.17959999999999</v>
      </c>
      <c r="E304" s="7">
        <f>日前电价!E304-实时电价!E304</f>
        <v>16.300599999999999</v>
      </c>
      <c r="F304" s="7">
        <f>日前电价!F304-实时电价!F304</f>
        <v>176.6746</v>
      </c>
      <c r="G304" s="7">
        <f>日前电价!G304-实时电价!G304</f>
        <v>52.253500000000003</v>
      </c>
      <c r="H304" s="7">
        <f>日前电价!H304-实时电价!H304</f>
        <v>-2.13</v>
      </c>
      <c r="I304" s="7">
        <f>日前电价!I304-实时电价!I304</f>
        <v>63.276200000000003</v>
      </c>
      <c r="J304" s="7">
        <f>日前电价!J304-实时电价!J304</f>
        <v>-3.0106000000000099</v>
      </c>
      <c r="K304" s="7">
        <f>日前电价!K304-实时电价!K304</f>
        <v>-0.78050000000001796</v>
      </c>
      <c r="L304" s="7">
        <f>日前电价!L304-实时电价!L304</f>
        <v>84.2834</v>
      </c>
      <c r="M304" s="7">
        <f>日前电价!M304-实时电价!M304</f>
        <v>184.55250000000001</v>
      </c>
      <c r="N304" s="7">
        <f>日前电价!N304-实时电价!N304</f>
        <v>35.682699999999997</v>
      </c>
      <c r="O304" s="7">
        <f>日前电价!O304-实时电价!O304</f>
        <v>53.144799999999996</v>
      </c>
      <c r="P304" s="7">
        <f>日前电价!P304-实时电价!P304</f>
        <v>4.3675999999999799</v>
      </c>
      <c r="Q304" s="7">
        <f>日前电价!Q304-实时电价!Q304</f>
        <v>0.39080000000001303</v>
      </c>
      <c r="R304" s="7">
        <f>日前电价!R304-实时电价!R304</f>
        <v>-16.4772</v>
      </c>
      <c r="S304" s="7">
        <f>日前电价!S304-实时电价!S304</f>
        <v>-6.4797000000000402</v>
      </c>
      <c r="T304" s="7">
        <f>日前电价!T304-实时电价!T304</f>
        <v>-8.6666999999999899</v>
      </c>
      <c r="U304" s="7">
        <f>日前电价!U304-实时电价!U304</f>
        <v>-12.742599999999999</v>
      </c>
      <c r="V304" s="7">
        <f>日前电价!V304-实时电价!V304</f>
        <v>1.68690000000004</v>
      </c>
      <c r="W304" s="7">
        <f>日前电价!W304-实时电价!W304</f>
        <v>-5.9290000000000296</v>
      </c>
      <c r="X304" s="7">
        <f>日前电价!X304-实时电价!X304</f>
        <v>6.7488999999999901</v>
      </c>
      <c r="Y304" s="7">
        <f>日前电价!Y304-实时电价!Y304</f>
        <v>21.306699999999999</v>
      </c>
      <c r="Z304" s="9">
        <f t="shared" si="12"/>
        <v>184.55250000000001</v>
      </c>
      <c r="AA304" s="9">
        <f t="shared" si="13"/>
        <v>-16.4772</v>
      </c>
      <c r="AB304" s="9">
        <f t="shared" si="14"/>
        <v>30.7773708333333</v>
      </c>
    </row>
    <row r="305" spans="1:28">
      <c r="A305" s="8">
        <v>45595</v>
      </c>
      <c r="B305" s="7">
        <f>日前电价!B305-实时电价!B305</f>
        <v>27.1098</v>
      </c>
      <c r="C305" s="7">
        <f>日前电价!C305-实时电价!C305</f>
        <v>15.8697</v>
      </c>
      <c r="D305" s="7">
        <f>日前电价!D305-实时电价!D305</f>
        <v>46.739600000000003</v>
      </c>
      <c r="E305" s="7">
        <f>日前电价!E305-实时电价!E305</f>
        <v>20.065200000000001</v>
      </c>
      <c r="F305" s="7">
        <f>日前电价!F305-实时电价!F305</f>
        <v>10.9787</v>
      </c>
      <c r="G305" s="7">
        <f>日前电价!G305-实时电价!G305</f>
        <v>9.7767000000000106</v>
      </c>
      <c r="H305" s="7">
        <f>日前电价!H305-实时电价!H305</f>
        <v>8.5647999999999893</v>
      </c>
      <c r="I305" s="7">
        <f>日前电价!I305-实时电价!I305</f>
        <v>15.466799999999999</v>
      </c>
      <c r="J305" s="7">
        <f>日前电价!J305-实时电价!J305</f>
        <v>17.4315</v>
      </c>
      <c r="K305" s="7">
        <f>日前电价!K305-实时电价!K305</f>
        <v>94.161600000000007</v>
      </c>
      <c r="L305" s="7">
        <f>日前电价!L305-实时电价!L305</f>
        <v>301.34059999999999</v>
      </c>
      <c r="M305" s="7">
        <f>日前电价!M305-实时电价!M305</f>
        <v>118.77930000000001</v>
      </c>
      <c r="N305" s="7">
        <f>日前电价!N305-实时电价!N305</f>
        <v>44.642800000000001</v>
      </c>
      <c r="O305" s="7">
        <f>日前电价!O305-实时电价!O305</f>
        <v>40.1282</v>
      </c>
      <c r="P305" s="7">
        <f>日前电价!P305-实时电价!P305</f>
        <v>29.9512</v>
      </c>
      <c r="Q305" s="7">
        <f>日前电价!Q305-实时电价!Q305</f>
        <v>11.677</v>
      </c>
      <c r="R305" s="7">
        <f>日前电价!R305-实时电价!R305</f>
        <v>17.916</v>
      </c>
      <c r="S305" s="7">
        <f>日前电价!S305-实时电价!S305</f>
        <v>16.479700000000001</v>
      </c>
      <c r="T305" s="7">
        <f>日前电价!T305-实时电价!T305</f>
        <v>4.4991999999999699</v>
      </c>
      <c r="U305" s="7">
        <f>日前电价!U305-实时电价!U305</f>
        <v>-4.2065000000000099</v>
      </c>
      <c r="V305" s="7">
        <f>日前电价!V305-实时电价!V305</f>
        <v>5.0832000000000299</v>
      </c>
      <c r="W305" s="7">
        <f>日前电价!W305-实时电价!W305</f>
        <v>7.9001999999999803</v>
      </c>
      <c r="X305" s="7">
        <f>日前电价!X305-实时电价!X305</f>
        <v>9.8043999999999905</v>
      </c>
      <c r="Y305" s="7">
        <f>日前电价!Y305-实时电价!Y305</f>
        <v>2.7230999999999899</v>
      </c>
      <c r="Z305" s="9">
        <f t="shared" si="12"/>
        <v>301.34059999999999</v>
      </c>
      <c r="AA305" s="9">
        <f t="shared" si="13"/>
        <v>-4.2065000000000099</v>
      </c>
      <c r="AB305" s="9">
        <f t="shared" si="14"/>
        <v>36.370116666666704</v>
      </c>
    </row>
    <row r="306" spans="1:28">
      <c r="A306" s="8">
        <v>45596</v>
      </c>
      <c r="B306" s="7">
        <f>日前电价!B306-实时电价!B306</f>
        <v>-7.8036999999999903</v>
      </c>
      <c r="C306" s="7">
        <f>日前电价!C306-实时电价!C306</f>
        <v>2.6884000000000001</v>
      </c>
      <c r="D306" s="7">
        <f>日前电价!D306-实时电价!D306</f>
        <v>10.7616</v>
      </c>
      <c r="E306" s="7">
        <f>日前电价!E306-实时电价!E306</f>
        <v>10.2013</v>
      </c>
      <c r="F306" s="7">
        <f>日前电价!F306-实时电价!F306</f>
        <v>9.8591000000000104</v>
      </c>
      <c r="G306" s="7">
        <f>日前电价!G306-实时电价!G306</f>
        <v>10.9817</v>
      </c>
      <c r="H306" s="7">
        <f>日前电价!H306-实时电价!H306</f>
        <v>1.82669999999996</v>
      </c>
      <c r="I306" s="7">
        <f>日前电价!I306-实时电价!I306</f>
        <v>-10.529400000000001</v>
      </c>
      <c r="J306" s="7">
        <f>日前电价!J306-实时电价!J306</f>
        <v>-3.6963000000000101</v>
      </c>
      <c r="K306" s="7">
        <f>日前电价!K306-实时电价!K306</f>
        <v>91.585400000000007</v>
      </c>
      <c r="L306" s="7">
        <f>日前电价!L306-实时电价!L306</f>
        <v>265.21980000000002</v>
      </c>
      <c r="M306" s="7">
        <f>日前电价!M306-实时电价!M306</f>
        <v>103.7441</v>
      </c>
      <c r="N306" s="7">
        <f>日前电价!N306-实时电价!N306</f>
        <v>45.914999999999999</v>
      </c>
      <c r="O306" s="7">
        <f>日前电价!O306-实时电价!O306</f>
        <v>145.72020000000001</v>
      </c>
      <c r="P306" s="7">
        <f>日前电价!P306-实时电价!P306</f>
        <v>149.89179999999999</v>
      </c>
      <c r="Q306" s="7">
        <f>日前电价!Q306-实时电价!Q306</f>
        <v>18.172000000000001</v>
      </c>
      <c r="R306" s="7">
        <f>日前电价!R306-实时电价!R306</f>
        <v>-10.5967</v>
      </c>
      <c r="S306" s="7">
        <f>日前电价!S306-实时电价!S306</f>
        <v>-2.6676999999999702</v>
      </c>
      <c r="T306" s="7">
        <f>日前电价!T306-实时电价!T306</f>
        <v>-5.8483999999999696</v>
      </c>
      <c r="U306" s="7">
        <f>日前电价!U306-实时电价!U306</f>
        <v>-33.028700000000001</v>
      </c>
      <c r="V306" s="7">
        <f>日前电价!V306-实时电价!V306</f>
        <v>-2.4729000000000401</v>
      </c>
      <c r="W306" s="7">
        <f>日前电价!W306-实时电价!W306</f>
        <v>-16.0139</v>
      </c>
      <c r="X306" s="7">
        <f>日前电价!X306-实时电价!X306</f>
        <v>-1.6636000000000299</v>
      </c>
      <c r="Y306" s="7">
        <f>日前电价!Y306-实时电价!Y306</f>
        <v>-16.710100000000001</v>
      </c>
      <c r="Z306" s="9">
        <f t="shared" si="12"/>
        <v>265.21980000000002</v>
      </c>
      <c r="AA306" s="9">
        <f t="shared" si="13"/>
        <v>-33.028700000000001</v>
      </c>
      <c r="AB306" s="9">
        <f t="shared" si="14"/>
        <v>31.480654166666699</v>
      </c>
    </row>
    <row r="307" spans="1:28">
      <c r="A307" s="8">
        <v>45597</v>
      </c>
      <c r="B307" s="7">
        <f>日前电价!B307-实时电价!B307</f>
        <v>-16.552800000000001</v>
      </c>
      <c r="C307" s="7">
        <f>日前电价!C307-实时电价!C307</f>
        <v>-1.2756000000000001</v>
      </c>
      <c r="D307" s="7">
        <f>日前电价!D307-实时电价!D307</f>
        <v>3.0228999999999902</v>
      </c>
      <c r="E307" s="7">
        <f>日前电价!E307-实时电价!E307</f>
        <v>4.25</v>
      </c>
      <c r="F307" s="7">
        <f>日前电价!F307-实时电价!F307</f>
        <v>8.4300000000000104</v>
      </c>
      <c r="G307" s="7">
        <f>日前电价!G307-实时电价!G307</f>
        <v>0.5</v>
      </c>
      <c r="H307" s="7">
        <f>日前电价!H307-实时电价!H307</f>
        <v>0.399699999999996</v>
      </c>
      <c r="I307" s="7">
        <f>日前电价!I307-实时电价!I307</f>
        <v>-1.43789999999996</v>
      </c>
      <c r="J307" s="7">
        <f>日前电价!J307-实时电价!J307</f>
        <v>-3.20359999999999</v>
      </c>
      <c r="K307" s="7">
        <f>日前电价!K307-实时电价!K307</f>
        <v>23.645299999999999</v>
      </c>
      <c r="L307" s="7">
        <f>日前电价!L307-实时电价!L307</f>
        <v>2.85849999999999</v>
      </c>
      <c r="M307" s="7">
        <f>日前电价!M307-实时电价!M307</f>
        <v>27.1892</v>
      </c>
      <c r="N307" s="7">
        <f>日前电价!N307-实时电价!N307</f>
        <v>72.457300000000004</v>
      </c>
      <c r="O307" s="7">
        <f>日前电价!O307-实时电价!O307</f>
        <v>4.8290000000000104</v>
      </c>
      <c r="P307" s="7">
        <f>日前电价!P307-实时电价!P307</f>
        <v>-5.0500000000000096</v>
      </c>
      <c r="Q307" s="7">
        <f>日前电价!Q307-实时电价!Q307</f>
        <v>-28.000299999999999</v>
      </c>
      <c r="R307" s="7">
        <f>日前电价!R307-实时电价!R307</f>
        <v>-34.389000000000003</v>
      </c>
      <c r="S307" s="7">
        <f>日前电价!S307-实时电价!S307</f>
        <v>106.6002</v>
      </c>
      <c r="T307" s="7">
        <f>日前电价!T307-实时电价!T307</f>
        <v>50.734499999999997</v>
      </c>
      <c r="U307" s="7">
        <f>日前电价!U307-实时电价!U307</f>
        <v>94.995500000000007</v>
      </c>
      <c r="V307" s="7">
        <f>日前电价!V307-实时电价!V307</f>
        <v>52.938499999999998</v>
      </c>
      <c r="W307" s="7">
        <f>日前电价!W307-实时电价!W307</f>
        <v>27.334800000000001</v>
      </c>
      <c r="X307" s="7">
        <f>日前电价!X307-实时电价!X307</f>
        <v>5.3813999999999904</v>
      </c>
      <c r="Y307" s="7">
        <f>日前电价!Y307-实时电价!Y307</f>
        <v>-1.3274999999999899</v>
      </c>
      <c r="Z307" s="9">
        <f t="shared" si="12"/>
        <v>106.6002</v>
      </c>
      <c r="AA307" s="9">
        <f t="shared" si="13"/>
        <v>-34.389000000000003</v>
      </c>
      <c r="AB307" s="9">
        <f t="shared" si="14"/>
        <v>16.430420833333301</v>
      </c>
    </row>
    <row r="308" spans="1:28">
      <c r="A308" s="8">
        <v>45598</v>
      </c>
      <c r="B308" s="7">
        <f>日前电价!B308-实时电价!B308</f>
        <v>-32.6282</v>
      </c>
      <c r="C308" s="7">
        <f>日前电价!C308-实时电价!C308</f>
        <v>4.0395000000000296</v>
      </c>
      <c r="D308" s="7">
        <f>日前电价!D308-实时电价!D308</f>
        <v>8.1561999999999593</v>
      </c>
      <c r="E308" s="7">
        <f>日前电价!E308-实时电价!E308</f>
        <v>11.9603</v>
      </c>
      <c r="F308" s="7">
        <f>日前电价!F308-实时电价!F308</f>
        <v>16.039000000000001</v>
      </c>
      <c r="G308" s="7">
        <f>日前电价!G308-实时电价!G308</f>
        <v>19.8796</v>
      </c>
      <c r="H308" s="7">
        <f>日前电价!H308-实时电价!H308</f>
        <v>21.397600000000001</v>
      </c>
      <c r="I308" s="7">
        <f>日前电价!I308-实时电价!I308</f>
        <v>3.0547000000000302</v>
      </c>
      <c r="J308" s="7">
        <f>日前电价!J308-实时电价!J308</f>
        <v>-3.8155999999999599</v>
      </c>
      <c r="K308" s="7">
        <f>日前电价!K308-实时电价!K308</f>
        <v>-4.56639999999999</v>
      </c>
      <c r="L308" s="7">
        <f>日前电价!L308-实时电价!L308</f>
        <v>-2.7051999999999898</v>
      </c>
      <c r="M308" s="7">
        <f>日前电价!M308-实时电价!M308</f>
        <v>15.4481</v>
      </c>
      <c r="N308" s="7">
        <f>日前电价!N308-实时电价!N308</f>
        <v>129.7064</v>
      </c>
      <c r="O308" s="7">
        <f>日前电价!O308-实时电价!O308</f>
        <v>2.6617000000000002</v>
      </c>
      <c r="P308" s="7">
        <f>日前电价!P308-实时电价!P308</f>
        <v>-5.8136999999999803</v>
      </c>
      <c r="Q308" s="7">
        <f>日前电价!Q308-实时电价!Q308</f>
        <v>-7.3754000000000097</v>
      </c>
      <c r="R308" s="7">
        <f>日前电价!R308-实时电价!R308</f>
        <v>12.301299999999999</v>
      </c>
      <c r="S308" s="7">
        <f>日前电价!S308-实时电价!S308</f>
        <v>190.70519999999999</v>
      </c>
      <c r="T308" s="7">
        <f>日前电价!T308-实时电价!T308</f>
        <v>120.9118</v>
      </c>
      <c r="U308" s="7">
        <f>日前电价!U308-实时电价!U308</f>
        <v>132.5891</v>
      </c>
      <c r="V308" s="7">
        <f>日前电价!V308-实时电价!V308</f>
        <v>106.79430000000001</v>
      </c>
      <c r="W308" s="7">
        <f>日前电价!W308-实时电价!W308</f>
        <v>52.1629</v>
      </c>
      <c r="X308" s="7">
        <f>日前电价!X308-实时电价!X308</f>
        <v>41.364699999999999</v>
      </c>
      <c r="Y308" s="7">
        <f>日前电价!Y308-实时电价!Y308</f>
        <v>21.8293</v>
      </c>
      <c r="Z308" s="9">
        <f t="shared" si="12"/>
        <v>190.70519999999999</v>
      </c>
      <c r="AA308" s="9">
        <f t="shared" si="13"/>
        <v>-32.6282</v>
      </c>
      <c r="AB308" s="9">
        <f t="shared" si="14"/>
        <v>35.5873833333333</v>
      </c>
    </row>
    <row r="309" spans="1:28">
      <c r="A309" s="8">
        <v>45599</v>
      </c>
      <c r="B309" s="7">
        <f>日前电价!B309-实时电价!B309</f>
        <v>-25.417300000000001</v>
      </c>
      <c r="C309" s="7">
        <f>日前电价!C309-实时电价!C309</f>
        <v>-10.1219</v>
      </c>
      <c r="D309" s="7">
        <f>日前电价!D309-实时电价!D309</f>
        <v>4.87759999999997</v>
      </c>
      <c r="E309" s="7">
        <f>日前电价!E309-实时电价!E309</f>
        <v>7.2624999999999904</v>
      </c>
      <c r="F309" s="7">
        <f>日前电价!F309-实时电价!F309</f>
        <v>0.51370000000002802</v>
      </c>
      <c r="G309" s="7">
        <f>日前电价!G309-实时电价!G309</f>
        <v>6.1519999999999904</v>
      </c>
      <c r="H309" s="7">
        <f>日前电价!H309-实时电价!H309</f>
        <v>5.0457999999999901</v>
      </c>
      <c r="I309" s="7">
        <f>日前电价!I309-实时电价!I309</f>
        <v>7.4657999999999998</v>
      </c>
      <c r="J309" s="7">
        <f>日前电价!J309-实时电价!J309</f>
        <v>12.845000000000001</v>
      </c>
      <c r="K309" s="7">
        <f>日前电价!K309-实时电价!K309</f>
        <v>28.009799999999998</v>
      </c>
      <c r="L309" s="7">
        <f>日前电价!L309-实时电价!L309</f>
        <v>175.2835</v>
      </c>
      <c r="M309" s="7">
        <f>日前电价!M309-实时电价!M309</f>
        <v>283.42840000000001</v>
      </c>
      <c r="N309" s="7">
        <f>日前电价!N309-实时电价!N309</f>
        <v>197.7765</v>
      </c>
      <c r="O309" s="7">
        <f>日前电价!O309-实时电价!O309</f>
        <v>197.8296</v>
      </c>
      <c r="P309" s="7">
        <f>日前电价!P309-实时电价!P309</f>
        <v>119.07729999999999</v>
      </c>
      <c r="Q309" s="7">
        <f>日前电价!Q309-实时电价!Q309</f>
        <v>24.348600000000001</v>
      </c>
      <c r="R309" s="7">
        <f>日前电价!R309-实时电价!R309</f>
        <v>17.4801</v>
      </c>
      <c r="S309" s="7">
        <f>日前电价!S309-实时电价!S309</f>
        <v>25.5307</v>
      </c>
      <c r="T309" s="7">
        <f>日前电价!T309-实时电价!T309</f>
        <v>46.781700000000001</v>
      </c>
      <c r="U309" s="7">
        <f>日前电价!U309-实时电价!U309</f>
        <v>55.151800000000001</v>
      </c>
      <c r="V309" s="7">
        <f>日前电价!V309-实时电价!V309</f>
        <v>-3.6560000000000099</v>
      </c>
      <c r="W309" s="7">
        <f>日前电价!W309-实时电价!W309</f>
        <v>2.4465999999999899</v>
      </c>
      <c r="X309" s="7">
        <f>日前电价!X309-实时电价!X309</f>
        <v>3.57689999999997</v>
      </c>
      <c r="Y309" s="7">
        <f>日前电价!Y309-实时电价!Y309</f>
        <v>13.6409</v>
      </c>
      <c r="Z309" s="9">
        <f t="shared" si="12"/>
        <v>283.42840000000001</v>
      </c>
      <c r="AA309" s="9">
        <f t="shared" si="13"/>
        <v>-25.417300000000001</v>
      </c>
      <c r="AB309" s="9">
        <f t="shared" si="14"/>
        <v>49.805399999999999</v>
      </c>
    </row>
    <row r="310" spans="1:28">
      <c r="A310" s="8">
        <v>45600</v>
      </c>
      <c r="B310" s="7">
        <f>日前电价!B310-实时电价!B310</f>
        <v>12.619</v>
      </c>
      <c r="C310" s="7">
        <f>日前电价!C310-实时电价!C310</f>
        <v>10.2037</v>
      </c>
      <c r="D310" s="7">
        <f>日前电价!D310-实时电价!D310</f>
        <v>12.0976</v>
      </c>
      <c r="E310" s="7">
        <f>日前电价!E310-实时电价!E310</f>
        <v>19.445900000000002</v>
      </c>
      <c r="F310" s="7">
        <f>日前电价!F310-实时电价!F310</f>
        <v>17.755500000000001</v>
      </c>
      <c r="G310" s="7">
        <f>日前电价!G310-实时电价!G310</f>
        <v>14.6815</v>
      </c>
      <c r="H310" s="7">
        <f>日前电价!H310-实时电价!H310</f>
        <v>10.8384</v>
      </c>
      <c r="I310" s="7">
        <f>日前电价!I310-实时电价!I310</f>
        <v>35.8446</v>
      </c>
      <c r="J310" s="7">
        <f>日前电价!J310-实时电价!J310</f>
        <v>31.3992</v>
      </c>
      <c r="K310" s="7">
        <f>日前电价!K310-实时电价!K310</f>
        <v>5.3530000000000104</v>
      </c>
      <c r="L310" s="7">
        <f>日前电价!L310-实时电价!L310</f>
        <v>66.092400000000097</v>
      </c>
      <c r="M310" s="7">
        <f>日前电价!M310-实时电价!M310</f>
        <v>31.407699999999998</v>
      </c>
      <c r="N310" s="7">
        <f>日前电价!N310-实时电价!N310</f>
        <v>-5.2137000000000198</v>
      </c>
      <c r="O310" s="7">
        <f>日前电价!O310-实时电价!O310</f>
        <v>-21.426200000000001</v>
      </c>
      <c r="P310" s="7">
        <f>日前电价!P310-实时电价!P310</f>
        <v>-20.118500000000001</v>
      </c>
      <c r="Q310" s="7">
        <f>日前电价!Q310-实时电价!Q310</f>
        <v>-33.095199999999998</v>
      </c>
      <c r="R310" s="7">
        <f>日前电价!R310-实时电价!R310</f>
        <v>57.683399999999999</v>
      </c>
      <c r="S310" s="7">
        <f>日前电价!S310-实时电价!S310</f>
        <v>4.6634000000000198</v>
      </c>
      <c r="T310" s="7">
        <f>日前电价!T310-实时电价!T310</f>
        <v>112.6769</v>
      </c>
      <c r="U310" s="7">
        <f>日前电价!U310-实时电价!U310</f>
        <v>96.797499999999999</v>
      </c>
      <c r="V310" s="7">
        <f>日前电价!V310-实时电价!V310</f>
        <v>100.0072</v>
      </c>
      <c r="W310" s="7">
        <f>日前电价!W310-实时电价!W310</f>
        <v>10.0205</v>
      </c>
      <c r="X310" s="7">
        <f>日前电价!X310-实时电价!X310</f>
        <v>-7.4875000000000096</v>
      </c>
      <c r="Y310" s="7">
        <f>日前电价!Y310-实时电价!Y310</f>
        <v>-17.897600000000001</v>
      </c>
      <c r="Z310" s="9">
        <f t="shared" si="12"/>
        <v>112.6769</v>
      </c>
      <c r="AA310" s="9">
        <f t="shared" si="13"/>
        <v>-33.095199999999998</v>
      </c>
      <c r="AB310" s="9">
        <f t="shared" si="14"/>
        <v>22.681195833333302</v>
      </c>
    </row>
    <row r="311" spans="1:28">
      <c r="A311" s="8">
        <v>45601</v>
      </c>
      <c r="B311" s="7">
        <f>日前电价!B311-实时电价!B311</f>
        <v>-19.099499999999999</v>
      </c>
      <c r="C311" s="7">
        <f>日前电价!C311-实时电价!C311</f>
        <v>2.9361000000000099</v>
      </c>
      <c r="D311" s="7">
        <f>日前电价!D311-实时电价!D311</f>
        <v>5.9714000000000196</v>
      </c>
      <c r="E311" s="7">
        <f>日前电价!E311-实时电价!E311</f>
        <v>11.5397</v>
      </c>
      <c r="F311" s="7">
        <f>日前电价!F311-实时电价!F311</f>
        <v>6.6522999999999701</v>
      </c>
      <c r="G311" s="7">
        <f>日前电价!G311-实时电价!G311</f>
        <v>6.4266000000000103</v>
      </c>
      <c r="H311" s="7">
        <f>日前电价!H311-实时电价!H311</f>
        <v>8.5035999999999508</v>
      </c>
      <c r="I311" s="7">
        <f>日前电价!I311-实时电价!I311</f>
        <v>2.0375999999999999</v>
      </c>
      <c r="J311" s="7">
        <f>日前电价!J311-实时电价!J311</f>
        <v>-25.268799999999999</v>
      </c>
      <c r="K311" s="7">
        <f>日前电价!K311-实时电价!K311</f>
        <v>-13.0998</v>
      </c>
      <c r="L311" s="7">
        <f>日前电价!L311-实时电价!L311</f>
        <v>7.5923999999999996</v>
      </c>
      <c r="M311" s="7">
        <f>日前电价!M311-实时电价!M311</f>
        <v>8.0001999999999498</v>
      </c>
      <c r="N311" s="7">
        <f>日前电价!N311-实时电价!N311</f>
        <v>2.6578999999999802</v>
      </c>
      <c r="O311" s="7">
        <f>日前电价!O311-实时电价!O311</f>
        <v>-19.632899999999999</v>
      </c>
      <c r="P311" s="7">
        <f>日前电价!P311-实时电价!P311</f>
        <v>-11.4381</v>
      </c>
      <c r="Q311" s="7">
        <f>日前电价!Q311-实时电价!Q311</f>
        <v>-9.9092000000000002</v>
      </c>
      <c r="R311" s="7">
        <f>日前电价!R311-实时电价!R311</f>
        <v>-23.228000000000002</v>
      </c>
      <c r="S311" s="7">
        <f>日前电价!S311-实时电价!S311</f>
        <v>-3.7110000000000101</v>
      </c>
      <c r="T311" s="7">
        <f>日前电价!T311-实时电价!T311</f>
        <v>17.304600000000001</v>
      </c>
      <c r="U311" s="7">
        <f>日前电价!U311-实时电价!U311</f>
        <v>26.306400000000099</v>
      </c>
      <c r="V311" s="7">
        <f>日前电价!V311-实时电价!V311</f>
        <v>-12.523400000000001</v>
      </c>
      <c r="W311" s="7">
        <f>日前电价!W311-实时电价!W311</f>
        <v>15.8134</v>
      </c>
      <c r="X311" s="7">
        <f>日前电价!X311-实时电价!X311</f>
        <v>8.2536999999999807</v>
      </c>
      <c r="Y311" s="7">
        <f>日前电价!Y311-实时电价!Y311</f>
        <v>-0.59300000000001796</v>
      </c>
      <c r="Z311" s="9">
        <f t="shared" si="12"/>
        <v>26.306400000000099</v>
      </c>
      <c r="AA311" s="9">
        <f t="shared" si="13"/>
        <v>-25.268799999999999</v>
      </c>
      <c r="AB311" s="9">
        <f t="shared" si="14"/>
        <v>-0.35449166666666798</v>
      </c>
    </row>
    <row r="312" spans="1:28">
      <c r="A312" s="8">
        <v>45602</v>
      </c>
      <c r="B312" s="7">
        <f>日前电价!B312-实时电价!B312</f>
        <v>8.8155000000000392</v>
      </c>
      <c r="C312" s="7">
        <f>日前电价!C312-实时电价!C312</f>
        <v>5.8525999999999998</v>
      </c>
      <c r="D312" s="7">
        <f>日前电价!D312-实时电价!D312</f>
        <v>6.8517999999999697</v>
      </c>
      <c r="E312" s="7">
        <f>日前电价!E312-实时电价!E312</f>
        <v>4.7952000000000199</v>
      </c>
      <c r="F312" s="7">
        <f>日前电价!F312-实时电价!F312</f>
        <v>6.74209999999999</v>
      </c>
      <c r="G312" s="7">
        <f>日前电价!G312-实时电价!G312</f>
        <v>3.6982999999999602</v>
      </c>
      <c r="H312" s="7">
        <f>日前电价!H312-实时电价!H312</f>
        <v>8.2393999999999892</v>
      </c>
      <c r="I312" s="7">
        <f>日前电价!I312-实时电价!I312</f>
        <v>8.9134000000000206</v>
      </c>
      <c r="J312" s="7">
        <f>日前电价!J312-实时电价!J312</f>
        <v>2.9941</v>
      </c>
      <c r="K312" s="7">
        <f>日前电价!K312-实时电价!K312</f>
        <v>34.142699999999998</v>
      </c>
      <c r="L312" s="7">
        <f>日前电价!L312-实时电价!L312</f>
        <v>57.702500000000001</v>
      </c>
      <c r="M312" s="7">
        <f>日前电价!M312-实时电价!M312</f>
        <v>48.325499999999998</v>
      </c>
      <c r="N312" s="7">
        <f>日前电价!N312-实时电价!N312</f>
        <v>193.43440000000001</v>
      </c>
      <c r="O312" s="7">
        <f>日前电价!O312-实时电价!O312</f>
        <v>73.213099999999997</v>
      </c>
      <c r="P312" s="7">
        <f>日前电价!P312-实时电价!P312</f>
        <v>21.527999999999999</v>
      </c>
      <c r="Q312" s="7">
        <f>日前电价!Q312-实时电价!Q312</f>
        <v>7.7429999999999897</v>
      </c>
      <c r="R312" s="7">
        <f>日前电价!R312-实时电价!R312</f>
        <v>-5.2693000000000403</v>
      </c>
      <c r="S312" s="7">
        <f>日前电价!S312-实时电价!S312</f>
        <v>7.0717999999999996</v>
      </c>
      <c r="T312" s="7">
        <f>日前电价!T312-实时电价!T312</f>
        <v>11.8895</v>
      </c>
      <c r="U312" s="7">
        <f>日前电价!U312-实时电价!U312</f>
        <v>39.067</v>
      </c>
      <c r="V312" s="7">
        <f>日前电价!V312-实时电价!V312</f>
        <v>18.246700000000001</v>
      </c>
      <c r="W312" s="7">
        <f>日前电价!W312-实时电价!W312</f>
        <v>15.6531</v>
      </c>
      <c r="X312" s="7">
        <f>日前电价!X312-实时电价!X312</f>
        <v>9.3988000000000493</v>
      </c>
      <c r="Y312" s="7">
        <f>日前电价!Y312-实时电价!Y312</f>
        <v>1.13579999999996</v>
      </c>
      <c r="Z312" s="9">
        <f t="shared" si="12"/>
        <v>193.43440000000001</v>
      </c>
      <c r="AA312" s="9">
        <f t="shared" si="13"/>
        <v>-5.2693000000000403</v>
      </c>
      <c r="AB312" s="9">
        <f t="shared" si="14"/>
        <v>24.591041666666701</v>
      </c>
    </row>
    <row r="313" spans="1:28">
      <c r="A313" s="8">
        <v>45603</v>
      </c>
      <c r="B313" s="7">
        <f>日前电价!B313-实时电价!B313</f>
        <v>9.6492000000000093</v>
      </c>
      <c r="C313" s="7">
        <f>日前电价!C313-实时电价!C313</f>
        <v>7.5765999999999796</v>
      </c>
      <c r="D313" s="7">
        <f>日前电价!D313-实时电价!D313</f>
        <v>11.3032</v>
      </c>
      <c r="E313" s="7">
        <f>日前电价!E313-实时电价!E313</f>
        <v>9.2850000000000197</v>
      </c>
      <c r="F313" s="7">
        <f>日前电价!F313-实时电价!F313</f>
        <v>11.340999999999999</v>
      </c>
      <c r="G313" s="7">
        <f>日前电价!G313-实时电价!G313</f>
        <v>17.689599999999999</v>
      </c>
      <c r="H313" s="7">
        <f>日前电价!H313-实时电价!H313</f>
        <v>9.0329999999999604</v>
      </c>
      <c r="I313" s="7">
        <f>日前电价!I313-实时电价!I313</f>
        <v>3.8184</v>
      </c>
      <c r="J313" s="7">
        <f>日前电价!J313-实时电价!J313</f>
        <v>4.5863999999999701</v>
      </c>
      <c r="K313" s="7">
        <f>日前电价!K313-实时电价!K313</f>
        <v>17.262599999999999</v>
      </c>
      <c r="L313" s="7">
        <f>日前电价!L313-实时电价!L313</f>
        <v>18.384499999999999</v>
      </c>
      <c r="M313" s="7">
        <f>日前电价!M313-实时电价!M313</f>
        <v>26.837299999999999</v>
      </c>
      <c r="N313" s="7">
        <f>日前电价!N313-实时电价!N313</f>
        <v>191.31180000000001</v>
      </c>
      <c r="O313" s="7">
        <f>日前电价!O313-实时电价!O313</f>
        <v>130.69730000000001</v>
      </c>
      <c r="P313" s="7">
        <f>日前电价!P313-实时电价!P313</f>
        <v>17.023</v>
      </c>
      <c r="Q313" s="7">
        <f>日前电价!Q313-实时电价!Q313</f>
        <v>18.318300000000001</v>
      </c>
      <c r="R313" s="7">
        <f>日前电价!R313-实时电价!R313</f>
        <v>25.7193</v>
      </c>
      <c r="S313" s="7">
        <f>日前电价!S313-实时电价!S313</f>
        <v>35.604199999999999</v>
      </c>
      <c r="T313" s="7">
        <f>日前电价!T313-实时电价!T313</f>
        <v>110.5607</v>
      </c>
      <c r="U313" s="7">
        <f>日前电价!U313-实时电价!U313</f>
        <v>90.491600000000005</v>
      </c>
      <c r="V313" s="7">
        <f>日前电价!V313-实时电价!V313</f>
        <v>14.607799999999999</v>
      </c>
      <c r="W313" s="7">
        <f>日前电价!W313-实时电价!W313</f>
        <v>-4.4638999999999696</v>
      </c>
      <c r="X313" s="7">
        <f>日前电价!X313-实时电价!X313</f>
        <v>7.4883999999999604</v>
      </c>
      <c r="Y313" s="7">
        <f>日前电价!Y313-实时电价!Y313</f>
        <v>-8.3145999999999791</v>
      </c>
      <c r="Z313" s="9">
        <f t="shared" si="12"/>
        <v>191.31180000000001</v>
      </c>
      <c r="AA313" s="9">
        <f t="shared" si="13"/>
        <v>-8.3145999999999791</v>
      </c>
      <c r="AB313" s="9">
        <f t="shared" si="14"/>
        <v>32.325445833333298</v>
      </c>
    </row>
    <row r="314" spans="1:28">
      <c r="A314" s="8">
        <v>45604</v>
      </c>
      <c r="B314" s="7">
        <f>日前电价!B314-实时电价!B314</f>
        <v>-33.267200000000003</v>
      </c>
      <c r="C314" s="7">
        <f>日前电价!C314-实时电价!C314</f>
        <v>-1.3542999999999701</v>
      </c>
      <c r="D314" s="7">
        <f>日前电价!D314-实时电价!D314</f>
        <v>4.96199999999999</v>
      </c>
      <c r="E314" s="7">
        <f>日前电价!E314-实时电价!E314</f>
        <v>5.3136000000000099</v>
      </c>
      <c r="F314" s="7">
        <f>日前电价!F314-实时电价!F314</f>
        <v>2.68900000000002</v>
      </c>
      <c r="G314" s="7">
        <f>日前电价!G314-实时电价!G314</f>
        <v>7.1338000000000097</v>
      </c>
      <c r="H314" s="7">
        <f>日前电价!H314-实时电价!H314</f>
        <v>6.4204999999999997</v>
      </c>
      <c r="I314" s="7">
        <f>日前电价!I314-实时电价!I314</f>
        <v>2.68540000000002</v>
      </c>
      <c r="J314" s="7">
        <f>日前电价!J314-实时电价!J314</f>
        <v>10.802300000000001</v>
      </c>
      <c r="K314" s="7">
        <f>日前电价!K314-实时电价!K314</f>
        <v>22.408300000000001</v>
      </c>
      <c r="L314" s="7">
        <f>日前电价!L314-实时电价!L314</f>
        <v>21.2545</v>
      </c>
      <c r="M314" s="7">
        <f>日前电价!M314-实时电价!M314</f>
        <v>34.288899999999998</v>
      </c>
      <c r="N314" s="7">
        <f>日前电价!N314-实时电价!N314</f>
        <v>89.590500000000006</v>
      </c>
      <c r="O314" s="7">
        <f>日前电价!O314-实时电价!O314</f>
        <v>83.1982</v>
      </c>
      <c r="P314" s="7">
        <f>日前电价!P314-实时电价!P314</f>
        <v>11.1442</v>
      </c>
      <c r="Q314" s="7">
        <f>日前电价!Q314-实时电价!Q314</f>
        <v>1.05669999999998</v>
      </c>
      <c r="R314" s="7">
        <f>日前电价!R314-实时电价!R314</f>
        <v>-6.2762000000000198</v>
      </c>
      <c r="S314" s="7">
        <f>日前电价!S314-实时电价!S314</f>
        <v>11.1647</v>
      </c>
      <c r="T314" s="7">
        <f>日前电价!T314-实时电价!T314</f>
        <v>83.486699999999999</v>
      </c>
      <c r="U314" s="7">
        <f>日前电价!U314-实时电价!U314</f>
        <v>284.8476</v>
      </c>
      <c r="V314" s="7">
        <f>日前电价!V314-实时电价!V314</f>
        <v>20.847300000000001</v>
      </c>
      <c r="W314" s="7">
        <f>日前电价!W314-实时电价!W314</f>
        <v>24.487200000000001</v>
      </c>
      <c r="X314" s="7">
        <f>日前电价!X314-实时电价!X314</f>
        <v>11.8066</v>
      </c>
      <c r="Y314" s="7">
        <f>日前电价!Y314-实时电价!Y314</f>
        <v>-15.995200000000001</v>
      </c>
      <c r="Z314" s="9">
        <f t="shared" si="12"/>
        <v>284.8476</v>
      </c>
      <c r="AA314" s="9">
        <f t="shared" si="13"/>
        <v>-33.267200000000003</v>
      </c>
      <c r="AB314" s="9">
        <f t="shared" si="14"/>
        <v>28.445629166666698</v>
      </c>
    </row>
    <row r="315" spans="1:28">
      <c r="A315" s="8">
        <v>45605</v>
      </c>
      <c r="B315" s="7">
        <f>日前电价!B315-实时电价!B315</f>
        <v>-31.955300000000001</v>
      </c>
      <c r="C315" s="7">
        <f>日前电价!C315-实时电价!C315</f>
        <v>-16.668500000000101</v>
      </c>
      <c r="D315" s="7">
        <f>日前电价!D315-实时电价!D315</f>
        <v>-7.3132000000000499</v>
      </c>
      <c r="E315" s="7">
        <f>日前电价!E315-实时电价!E315</f>
        <v>-2.2894000000000001</v>
      </c>
      <c r="F315" s="7">
        <f>日前电价!F315-实时电价!F315</f>
        <v>-7.9127000000000303</v>
      </c>
      <c r="G315" s="7">
        <f>日前电价!G315-实时电价!G315</f>
        <v>-3.8347999999999698</v>
      </c>
      <c r="H315" s="7">
        <f>日前电价!H315-实时电价!H315</f>
        <v>5.2000000000020901E-3</v>
      </c>
      <c r="I315" s="7">
        <f>日前电价!I315-实时电价!I315</f>
        <v>-4.1013000000000401</v>
      </c>
      <c r="J315" s="7">
        <f>日前电价!J315-实时电价!J315</f>
        <v>-33.930199999999999</v>
      </c>
      <c r="K315" s="7">
        <f>日前电价!K315-实时电价!K315</f>
        <v>3.3986999999999599</v>
      </c>
      <c r="L315" s="7">
        <f>日前电价!L315-实时电价!L315</f>
        <v>21.188199999999998</v>
      </c>
      <c r="M315" s="7">
        <f>日前电价!M315-实时电价!M315</f>
        <v>52.074800000000003</v>
      </c>
      <c r="N315" s="7">
        <f>日前电价!N315-实时电价!N315</f>
        <v>101.2201</v>
      </c>
      <c r="O315" s="7">
        <f>日前电价!O315-实时电价!O315</f>
        <v>88.426000000000002</v>
      </c>
      <c r="P315" s="7">
        <f>日前电价!P315-实时电价!P315</f>
        <v>-4.1440000000000099</v>
      </c>
      <c r="Q315" s="7">
        <f>日前电价!Q315-实时电价!Q315</f>
        <v>-17.607399999999998</v>
      </c>
      <c r="R315" s="7">
        <f>日前电价!R315-实时电价!R315</f>
        <v>-15.2372</v>
      </c>
      <c r="S315" s="7">
        <f>日前电价!S315-实时电价!S315</f>
        <v>55.2624</v>
      </c>
      <c r="T315" s="7">
        <f>日前电价!T315-实时电价!T315</f>
        <v>239.68109999999999</v>
      </c>
      <c r="U315" s="7">
        <f>日前电价!U315-实时电价!U315</f>
        <v>102.41240000000001</v>
      </c>
      <c r="V315" s="7">
        <f>日前电价!V315-实时电价!V315</f>
        <v>33.840200000000003</v>
      </c>
      <c r="W315" s="7">
        <f>日前电价!W315-实时电价!W315</f>
        <v>-6.9157000000000197</v>
      </c>
      <c r="X315" s="7">
        <f>日前电价!X315-实时电价!X315</f>
        <v>-9.7483000000000306</v>
      </c>
      <c r="Y315" s="7">
        <f>日前电价!Y315-实时电价!Y315</f>
        <v>-39.372599999999998</v>
      </c>
      <c r="Z315" s="9">
        <f t="shared" si="12"/>
        <v>239.68109999999999</v>
      </c>
      <c r="AA315" s="9">
        <f t="shared" si="13"/>
        <v>-39.372599999999998</v>
      </c>
      <c r="AB315" s="9">
        <f t="shared" si="14"/>
        <v>20.686604166666701</v>
      </c>
    </row>
    <row r="316" spans="1:28">
      <c r="A316" s="8">
        <v>45606</v>
      </c>
      <c r="B316" s="7">
        <f>日前电价!B316-实时电价!B316</f>
        <v>-22.6251</v>
      </c>
      <c r="C316" s="7">
        <f>日前电价!C316-实时电价!C316</f>
        <v>-10.165900000000001</v>
      </c>
      <c r="D316" s="7">
        <f>日前电价!D316-实时电价!D316</f>
        <v>-8.1882999999999697</v>
      </c>
      <c r="E316" s="7">
        <f>日前电价!E316-实时电价!E316</f>
        <v>-9.2987000000000002</v>
      </c>
      <c r="F316" s="7">
        <f>日前电价!F316-实时电价!F316</f>
        <v>-6.5020000000000104</v>
      </c>
      <c r="G316" s="7">
        <f>日前电价!G316-实时电价!G316</f>
        <v>-2.9299000000000301</v>
      </c>
      <c r="H316" s="7">
        <f>日前电价!H316-实时电价!H316</f>
        <v>-1.35289999999998</v>
      </c>
      <c r="I316" s="7">
        <f>日前电价!I316-实时电价!I316</f>
        <v>-6.7237000000000098</v>
      </c>
      <c r="J316" s="7">
        <f>日前电价!J316-实时电价!J316</f>
        <v>-15.1853</v>
      </c>
      <c r="K316" s="7">
        <f>日前电价!K316-实时电价!K316</f>
        <v>-15.750400000000001</v>
      </c>
      <c r="L316" s="7">
        <f>日前电价!L316-实时电价!L316</f>
        <v>-12.8325</v>
      </c>
      <c r="M316" s="7">
        <f>日前电价!M316-实时电价!M316</f>
        <v>12.1462</v>
      </c>
      <c r="N316" s="7">
        <f>日前电价!N316-实时电价!N316</f>
        <v>-5.8772000000000002</v>
      </c>
      <c r="O316" s="7">
        <f>日前电价!O316-实时电价!O316</f>
        <v>47.8613</v>
      </c>
      <c r="P316" s="7">
        <f>日前电价!P316-实时电价!P316</f>
        <v>135.09700000000001</v>
      </c>
      <c r="Q316" s="7">
        <f>日前电价!Q316-实时电价!Q316</f>
        <v>137.6645</v>
      </c>
      <c r="R316" s="7">
        <f>日前电价!R316-实时电价!R316</f>
        <v>4.6324999999999896</v>
      </c>
      <c r="S316" s="7">
        <f>日前电价!S316-实时电价!S316</f>
        <v>-3.5448999999999802</v>
      </c>
      <c r="T316" s="7">
        <f>日前电价!T316-实时电价!T316</f>
        <v>-12.189</v>
      </c>
      <c r="U316" s="7">
        <f>日前电价!U316-实时电价!U316</f>
        <v>-7.3865000000000096</v>
      </c>
      <c r="V316" s="7">
        <f>日前电价!V316-实时电价!V316</f>
        <v>-12.539400000000001</v>
      </c>
      <c r="W316" s="7">
        <f>日前电价!W316-实时电价!W316</f>
        <v>-7.8215000000000101</v>
      </c>
      <c r="X316" s="7">
        <f>日前电价!X316-实时电价!X316</f>
        <v>-5.8736999999999897</v>
      </c>
      <c r="Y316" s="7">
        <f>日前电价!Y316-实时电价!Y316</f>
        <v>-2.0647999999999902</v>
      </c>
      <c r="Z316" s="9">
        <f t="shared" si="12"/>
        <v>137.6645</v>
      </c>
      <c r="AA316" s="9">
        <f t="shared" si="13"/>
        <v>-22.6251</v>
      </c>
      <c r="AB316" s="9">
        <f t="shared" si="14"/>
        <v>7.0229083333333397</v>
      </c>
    </row>
    <row r="317" spans="1:28">
      <c r="A317" s="8">
        <v>45607</v>
      </c>
      <c r="B317" s="7">
        <f>日前电价!B317-实时电价!B317</f>
        <v>-16.744700000000002</v>
      </c>
      <c r="C317" s="7">
        <f>日前电价!C317-实时电价!C317</f>
        <v>-0.61059999999997705</v>
      </c>
      <c r="D317" s="7">
        <f>日前电价!D317-实时电价!D317</f>
        <v>1.4198000000000099</v>
      </c>
      <c r="E317" s="7">
        <f>日前电价!E317-实时电价!E317</f>
        <v>10.548299999999999</v>
      </c>
      <c r="F317" s="7">
        <f>日前电价!F317-实时电价!F317</f>
        <v>6.3714000000000501</v>
      </c>
      <c r="G317" s="7">
        <f>日前电价!G317-实时电价!G317</f>
        <v>-1.61420000000004</v>
      </c>
      <c r="H317" s="7">
        <f>日前电价!H317-实时电价!H317</f>
        <v>5.9583000000000101</v>
      </c>
      <c r="I317" s="7">
        <f>日前电价!I317-实时电价!I317</f>
        <v>-4.1242000000000303</v>
      </c>
      <c r="J317" s="7">
        <f>日前电价!J317-实时电价!J317</f>
        <v>28.417300000000001</v>
      </c>
      <c r="K317" s="7">
        <f>日前电价!K317-实时电价!K317</f>
        <v>41.621400000000001</v>
      </c>
      <c r="L317" s="7">
        <f>日前电价!L317-实时电价!L317</f>
        <v>57.337000000000003</v>
      </c>
      <c r="M317" s="7">
        <f>日前电价!M317-实时电价!M317</f>
        <v>57.197800000000001</v>
      </c>
      <c r="N317" s="7">
        <f>日前电价!N317-实时电价!N317</f>
        <v>162.49039999999999</v>
      </c>
      <c r="O317" s="7">
        <f>日前电价!O317-实时电价!O317</f>
        <v>38.956299999999999</v>
      </c>
      <c r="P317" s="7">
        <f>日前电价!P317-实时电价!P317</f>
        <v>22.450800000000001</v>
      </c>
      <c r="Q317" s="7">
        <f>日前电价!Q317-实时电价!Q317</f>
        <v>35.248199999999997</v>
      </c>
      <c r="R317" s="7">
        <f>日前电价!R317-实时电价!R317</f>
        <v>91.086200000000005</v>
      </c>
      <c r="S317" s="7">
        <f>日前电价!S317-实时电价!S317</f>
        <v>78.434899999999999</v>
      </c>
      <c r="T317" s="7">
        <f>日前电价!T317-实时电价!T317</f>
        <v>248.23820000000001</v>
      </c>
      <c r="U317" s="7">
        <f>日前电价!U317-实时电价!U317</f>
        <v>367.35570000000001</v>
      </c>
      <c r="V317" s="7">
        <f>日前电价!V317-实时电价!V317</f>
        <v>41.072400000000002</v>
      </c>
      <c r="W317" s="7">
        <f>日前电价!W317-实时电价!W317</f>
        <v>21.445499999999999</v>
      </c>
      <c r="X317" s="7">
        <f>日前电价!X317-实时电价!X317</f>
        <v>16.736699999999999</v>
      </c>
      <c r="Y317" s="7">
        <f>日前电价!Y317-实时电价!Y317</f>
        <v>-1.27809999999999</v>
      </c>
      <c r="Z317" s="9">
        <f t="shared" si="12"/>
        <v>367.35570000000001</v>
      </c>
      <c r="AA317" s="9">
        <f t="shared" si="13"/>
        <v>-16.744700000000002</v>
      </c>
      <c r="AB317" s="9">
        <f t="shared" si="14"/>
        <v>54.500616666666701</v>
      </c>
    </row>
    <row r="318" spans="1:28">
      <c r="A318" s="8">
        <v>45608</v>
      </c>
      <c r="B318" s="7">
        <f>日前电价!B318-实时电价!B318</f>
        <v>-13.6593</v>
      </c>
      <c r="C318" s="7">
        <f>日前电价!C318-实时电价!C318</f>
        <v>-21.0609</v>
      </c>
      <c r="D318" s="7">
        <f>日前电价!D318-实时电价!D318</f>
        <v>-22.0857999999999</v>
      </c>
      <c r="E318" s="7">
        <f>日前电价!E318-实时电价!E318</f>
        <v>-13.943199999999999</v>
      </c>
      <c r="F318" s="7">
        <f>日前电价!F318-实时电价!F318</f>
        <v>-1.17160000000001</v>
      </c>
      <c r="G318" s="7">
        <f>日前电价!G318-实时电价!G318</f>
        <v>-3.2524000000000202</v>
      </c>
      <c r="H318" s="7">
        <f>日前电价!H318-实时电价!H318</f>
        <v>-16.995200000000001</v>
      </c>
      <c r="I318" s="7">
        <f>日前电价!I318-实时电价!I318</f>
        <v>-8.4975000000000005</v>
      </c>
      <c r="J318" s="7">
        <f>日前电价!J318-实时电价!J318</f>
        <v>-23.299600000000002</v>
      </c>
      <c r="K318" s="7">
        <f>日前电价!K318-实时电价!K318</f>
        <v>13.959</v>
      </c>
      <c r="L318" s="7">
        <f>日前电价!L318-实时电价!L318</f>
        <v>35.289200000000001</v>
      </c>
      <c r="M318" s="7">
        <f>日前电价!M318-实时电价!M318</f>
        <v>88.744100000000003</v>
      </c>
      <c r="N318" s="7">
        <f>日前电价!N318-实时电价!N318</f>
        <v>126.7154</v>
      </c>
      <c r="O318" s="7">
        <f>日前电价!O318-实时电价!O318</f>
        <v>46.320399999999999</v>
      </c>
      <c r="P318" s="7">
        <f>日前电价!P318-实时电价!P318</f>
        <v>5.4141000000000199</v>
      </c>
      <c r="Q318" s="7">
        <f>日前电价!Q318-实时电价!Q318</f>
        <v>-17.598500000000001</v>
      </c>
      <c r="R318" s="7">
        <f>日前电价!R318-实时电价!R318</f>
        <v>-42.256500000000003</v>
      </c>
      <c r="S318" s="7">
        <f>日前电价!S318-实时电价!S318</f>
        <v>44.996499999999997</v>
      </c>
      <c r="T318" s="7">
        <f>日前电价!T318-实时电价!T318</f>
        <v>75.563400000000001</v>
      </c>
      <c r="U318" s="7">
        <f>日前电价!U318-实时电价!U318</f>
        <v>77.327600000000004</v>
      </c>
      <c r="V318" s="7">
        <f>日前电价!V318-实时电价!V318</f>
        <v>8.2604999999999809</v>
      </c>
      <c r="W318" s="7">
        <f>日前电价!W318-实时电价!W318</f>
        <v>-24.308199999999999</v>
      </c>
      <c r="X318" s="7">
        <f>日前电价!X318-实时电价!X318</f>
        <v>-6.6292000000000302</v>
      </c>
      <c r="Y318" s="7">
        <f>日前电价!Y318-实时电价!Y318</f>
        <v>-33.786999999999999</v>
      </c>
      <c r="Z318" s="9">
        <f t="shared" si="12"/>
        <v>126.7154</v>
      </c>
      <c r="AA318" s="9">
        <f t="shared" si="13"/>
        <v>-42.256500000000003</v>
      </c>
      <c r="AB318" s="9">
        <f t="shared" si="14"/>
        <v>11.4185541666667</v>
      </c>
    </row>
    <row r="319" spans="1:28">
      <c r="A319" s="8">
        <v>45609</v>
      </c>
      <c r="B319" s="7">
        <f>日前电价!B319-实时电价!B319</f>
        <v>-49.330300000000001</v>
      </c>
      <c r="C319" s="7">
        <f>日前电价!C319-实时电价!C319</f>
        <v>-28.713100000000001</v>
      </c>
      <c r="D319" s="7">
        <f>日前电价!D319-实时电价!D319</f>
        <v>-26.5867</v>
      </c>
      <c r="E319" s="7">
        <f>日前电价!E319-实时电价!E319</f>
        <v>-30.362400000000001</v>
      </c>
      <c r="F319" s="7">
        <f>日前电价!F319-实时电价!F319</f>
        <v>-15.3674</v>
      </c>
      <c r="G319" s="7">
        <f>日前电价!G319-实时电价!G319</f>
        <v>-22.802700000000002</v>
      </c>
      <c r="H319" s="7">
        <f>日前电价!H319-实时电价!H319</f>
        <v>-35.642000000000003</v>
      </c>
      <c r="I319" s="7">
        <f>日前电价!I319-实时电价!I319</f>
        <v>-41.282400000000003</v>
      </c>
      <c r="J319" s="7">
        <f>日前电价!J319-实时电价!J319</f>
        <v>-69.632400000000004</v>
      </c>
      <c r="K319" s="7">
        <f>日前电价!K319-实时电价!K319</f>
        <v>-27.404399999999999</v>
      </c>
      <c r="L319" s="7">
        <f>日前电价!L319-实时电价!L319</f>
        <v>4.2602000000000002</v>
      </c>
      <c r="M319" s="7">
        <f>日前电价!M319-实时电价!M319</f>
        <v>-9.8285999999999891</v>
      </c>
      <c r="N319" s="7">
        <f>日前电价!N319-实时电价!N319</f>
        <v>43.060499999999998</v>
      </c>
      <c r="O319" s="7">
        <f>日前电价!O319-实时电价!O319</f>
        <v>-22.167300000000001</v>
      </c>
      <c r="P319" s="7">
        <f>日前电价!P319-实时电价!P319</f>
        <v>-16.1433</v>
      </c>
      <c r="Q319" s="7">
        <f>日前电价!Q319-实时电价!Q319</f>
        <v>-15.209099999999999</v>
      </c>
      <c r="R319" s="7">
        <f>日前电价!R319-实时电价!R319</f>
        <v>48.221899999999998</v>
      </c>
      <c r="S319" s="7">
        <f>日前电价!S319-实时电价!S319</f>
        <v>153.9119</v>
      </c>
      <c r="T319" s="7">
        <f>日前电价!T319-实时电价!T319</f>
        <v>396.26440000000002</v>
      </c>
      <c r="U319" s="7">
        <f>日前电价!U319-实时电价!U319</f>
        <v>568.00279999999998</v>
      </c>
      <c r="V319" s="7">
        <f>日前电价!V319-实时电价!V319</f>
        <v>125.2089</v>
      </c>
      <c r="W319" s="7">
        <f>日前电价!W319-实时电价!W319</f>
        <v>66.121300000000005</v>
      </c>
      <c r="X319" s="7">
        <f>日前电价!X319-实时电价!X319</f>
        <v>22.9817</v>
      </c>
      <c r="Y319" s="7">
        <f>日前电价!Y319-实时电价!Y319</f>
        <v>17.8995</v>
      </c>
      <c r="Z319" s="9">
        <f t="shared" si="12"/>
        <v>568.00279999999998</v>
      </c>
      <c r="AA319" s="9">
        <f t="shared" si="13"/>
        <v>-69.632400000000004</v>
      </c>
      <c r="AB319" s="9">
        <f t="shared" si="14"/>
        <v>43.144208333333303</v>
      </c>
    </row>
    <row r="320" spans="1:28">
      <c r="A320" s="8">
        <v>45610</v>
      </c>
      <c r="B320" s="7">
        <f>日前电价!B320-实时电价!B320</f>
        <v>10.448700000000001</v>
      </c>
      <c r="C320" s="7">
        <f>日前电价!C320-实时电价!C320</f>
        <v>9.3335000000000097</v>
      </c>
      <c r="D320" s="7">
        <f>日前电价!D320-实时电价!D320</f>
        <v>10.958299999999999</v>
      </c>
      <c r="E320" s="7">
        <f>日前电价!E320-实时电价!E320</f>
        <v>7.7110000000000101</v>
      </c>
      <c r="F320" s="7">
        <f>日前电价!F320-实时电价!F320</f>
        <v>1.8577999999999999</v>
      </c>
      <c r="G320" s="7">
        <f>日前电价!G320-实时电价!G320</f>
        <v>-2.6343000000000001</v>
      </c>
      <c r="H320" s="7">
        <f>日前电价!H320-实时电价!H320</f>
        <v>-9.8589999999999804</v>
      </c>
      <c r="I320" s="7">
        <f>日前电价!I320-实时电价!I320</f>
        <v>-7.1721000000000004</v>
      </c>
      <c r="J320" s="7">
        <f>日前电价!J320-实时电价!J320</f>
        <v>-11.100300000000001</v>
      </c>
      <c r="K320" s="7">
        <f>日前电价!K320-实时电价!K320</f>
        <v>-60.031100000000002</v>
      </c>
      <c r="L320" s="7">
        <f>日前电价!L320-实时电价!L320</f>
        <v>18.003699999999998</v>
      </c>
      <c r="M320" s="7">
        <f>日前电价!M320-实时电价!M320</f>
        <v>30.728300000000001</v>
      </c>
      <c r="N320" s="7">
        <f>日前电价!N320-实时电价!N320</f>
        <v>35.501600000000003</v>
      </c>
      <c r="O320" s="7">
        <f>日前电价!O320-实时电价!O320</f>
        <v>-12.169499999999999</v>
      </c>
      <c r="P320" s="7">
        <f>日前电价!P320-实时电价!P320</f>
        <v>2.0847000000000002</v>
      </c>
      <c r="Q320" s="7">
        <f>日前电价!Q320-实时电价!Q320</f>
        <v>-9.4684000000000292</v>
      </c>
      <c r="R320" s="7">
        <f>日前电价!R320-实时电价!R320</f>
        <v>58.919199999999996</v>
      </c>
      <c r="S320" s="7">
        <f>日前电价!S320-实时电价!S320</f>
        <v>87.845799999999997</v>
      </c>
      <c r="T320" s="7">
        <f>日前电价!T320-实时电价!T320</f>
        <v>76.649100000000004</v>
      </c>
      <c r="U320" s="7">
        <f>日前电价!U320-实时电价!U320</f>
        <v>381.47660000000002</v>
      </c>
      <c r="V320" s="7">
        <f>日前电价!V320-实时电价!V320</f>
        <v>13.7224</v>
      </c>
      <c r="W320" s="7">
        <f>日前电价!W320-实时电价!W320</f>
        <v>5.9712000000000103</v>
      </c>
      <c r="X320" s="7">
        <f>日前电价!X320-实时电价!X320</f>
        <v>6.4753999999999801</v>
      </c>
      <c r="Y320" s="7">
        <f>日前电价!Y320-实时电价!Y320</f>
        <v>3.7463000000000202</v>
      </c>
      <c r="Z320" s="9">
        <f t="shared" si="12"/>
        <v>381.47660000000002</v>
      </c>
      <c r="AA320" s="9">
        <f t="shared" si="13"/>
        <v>-60.031100000000002</v>
      </c>
      <c r="AB320" s="9">
        <f t="shared" si="14"/>
        <v>27.041620833333301</v>
      </c>
    </row>
    <row r="321" spans="1:28">
      <c r="A321" s="8">
        <v>45611</v>
      </c>
      <c r="B321" s="7">
        <f>日前电价!B321-实时电价!B321</f>
        <v>-11.847300000000001</v>
      </c>
      <c r="C321" s="7">
        <f>日前电价!C321-实时电价!C321</f>
        <v>-2.26650000000001</v>
      </c>
      <c r="D321" s="7">
        <f>日前电价!D321-实时电价!D321</f>
        <v>0.81829999999996506</v>
      </c>
      <c r="E321" s="7">
        <f>日前电价!E321-实时电价!E321</f>
        <v>-0.41989999999998401</v>
      </c>
      <c r="F321" s="7">
        <f>日前电价!F321-实时电价!F321</f>
        <v>0.293100000000038</v>
      </c>
      <c r="G321" s="7">
        <f>日前电价!G321-实时电价!G321</f>
        <v>-1.3988999999999701</v>
      </c>
      <c r="H321" s="7">
        <f>日前电价!H321-实时电价!H321</f>
        <v>2.75189999999998</v>
      </c>
      <c r="I321" s="7">
        <f>日前电价!I321-实时电价!I321</f>
        <v>-4.3305999999999996</v>
      </c>
      <c r="J321" s="7">
        <f>日前电价!J321-实时电价!J321</f>
        <v>3.23160000000001</v>
      </c>
      <c r="K321" s="7">
        <f>日前电价!K321-实时电价!K321</f>
        <v>16.783799999999999</v>
      </c>
      <c r="L321" s="7">
        <f>日前电价!L321-实时电价!L321</f>
        <v>29.685700000000001</v>
      </c>
      <c r="M321" s="7">
        <f>日前电价!M321-实时电价!M321</f>
        <v>54.315600000000003</v>
      </c>
      <c r="N321" s="7">
        <f>日前电价!N321-实时电价!N321</f>
        <v>23.1798</v>
      </c>
      <c r="O321" s="7">
        <f>日前电价!O321-实时电价!O321</f>
        <v>16.6081</v>
      </c>
      <c r="P321" s="7">
        <f>日前电价!P321-实时电价!P321</f>
        <v>29.616199999999999</v>
      </c>
      <c r="Q321" s="7">
        <f>日前电价!Q321-实时电价!Q321</f>
        <v>38.521999999999998</v>
      </c>
      <c r="R321" s="7">
        <f>日前电价!R321-实时电价!R321</f>
        <v>127.8224</v>
      </c>
      <c r="S321" s="7">
        <f>日前电价!S321-实时电价!S321</f>
        <v>155.33179999999999</v>
      </c>
      <c r="T321" s="7">
        <f>日前电价!T321-实时电价!T321</f>
        <v>123.70950000000001</v>
      </c>
      <c r="U321" s="7">
        <f>日前电价!U321-实时电价!U321</f>
        <v>161.9348</v>
      </c>
      <c r="V321" s="7">
        <f>日前电价!V321-实时电价!V321</f>
        <v>34.011000000000003</v>
      </c>
      <c r="W321" s="7">
        <f>日前电价!W321-实时电价!W321</f>
        <v>8.5959000000000305</v>
      </c>
      <c r="X321" s="7">
        <f>日前电价!X321-实时电价!X321</f>
        <v>11.4611</v>
      </c>
      <c r="Y321" s="7">
        <f>日前电价!Y321-实时电价!Y321</f>
        <v>3.6652999999999998</v>
      </c>
      <c r="Z321" s="9">
        <f t="shared" si="12"/>
        <v>161.9348</v>
      </c>
      <c r="AA321" s="9">
        <f t="shared" si="13"/>
        <v>-11.847300000000001</v>
      </c>
      <c r="AB321" s="9">
        <f t="shared" si="14"/>
        <v>34.2531125</v>
      </c>
    </row>
    <row r="322" spans="1:28">
      <c r="A322" s="8">
        <v>45612</v>
      </c>
      <c r="B322" s="7">
        <f>日前电价!B322-实时电价!B322</f>
        <v>-3.8186</v>
      </c>
      <c r="C322" s="7">
        <f>日前电价!C322-实时电价!C322</f>
        <v>-2.56259999999997</v>
      </c>
      <c r="D322" s="7">
        <f>日前电价!D322-实时电价!D322</f>
        <v>1.0699000000000201</v>
      </c>
      <c r="E322" s="7">
        <f>日前电价!E322-实时电价!E322</f>
        <v>0.59510000000000196</v>
      </c>
      <c r="F322" s="7">
        <f>日前电价!F322-实时电价!F322</f>
        <v>-6.3392999999999802</v>
      </c>
      <c r="G322" s="7">
        <f>日前电价!G322-实时电价!G322</f>
        <v>-2.1789000000000001</v>
      </c>
      <c r="H322" s="7">
        <f>日前电价!H322-实时电价!H322</f>
        <v>0.74180000000001201</v>
      </c>
      <c r="I322" s="7">
        <f>日前电价!I322-实时电价!I322</f>
        <v>-16.572700000000001</v>
      </c>
      <c r="J322" s="7">
        <f>日前电价!J322-实时电价!J322</f>
        <v>36.633400000000002</v>
      </c>
      <c r="K322" s="7">
        <f>日前电价!K322-实时电价!K322</f>
        <v>92.515500000000003</v>
      </c>
      <c r="L322" s="7">
        <f>日前电价!L322-实时电价!L322</f>
        <v>71.084699999999998</v>
      </c>
      <c r="M322" s="7">
        <f>日前电价!M322-实时电价!M322</f>
        <v>77.537300000000002</v>
      </c>
      <c r="N322" s="7">
        <f>日前电价!N322-实时电价!N322</f>
        <v>34.184399999999997</v>
      </c>
      <c r="O322" s="7">
        <f>日前电价!O322-实时电价!O322</f>
        <v>19.893899999999999</v>
      </c>
      <c r="P322" s="7">
        <f>日前电价!P322-实时电价!P322</f>
        <v>47.646999999999998</v>
      </c>
      <c r="Q322" s="7">
        <f>日前电价!Q322-实时电价!Q322</f>
        <v>54.807299999999998</v>
      </c>
      <c r="R322" s="7">
        <f>日前电价!R322-实时电价!R322</f>
        <v>104.63379999999999</v>
      </c>
      <c r="S322" s="7">
        <f>日前电价!S322-实时电价!S322</f>
        <v>204.4803</v>
      </c>
      <c r="T322" s="7">
        <f>日前电价!T322-实时电价!T322</f>
        <v>214.12639999999999</v>
      </c>
      <c r="U322" s="7">
        <f>日前电价!U322-实时电价!U322</f>
        <v>242.47540000000001</v>
      </c>
      <c r="V322" s="7">
        <f>日前电价!V322-实时电价!V322</f>
        <v>127.6476</v>
      </c>
      <c r="W322" s="7">
        <f>日前电价!W322-实时电价!W322</f>
        <v>81.170100000000005</v>
      </c>
      <c r="X322" s="7">
        <f>日前电价!X322-实时电价!X322</f>
        <v>68.027699999999996</v>
      </c>
      <c r="Y322" s="7">
        <f>日前电价!Y322-实时电价!Y322</f>
        <v>55.037199999999999</v>
      </c>
      <c r="Z322" s="9">
        <f t="shared" ref="Z322:Z368" si="15">MAX($B322:$Y322)</f>
        <v>242.47540000000001</v>
      </c>
      <c r="AA322" s="9">
        <f t="shared" ref="AA322:AA368" si="16">MIN($B322:$Y322)</f>
        <v>-16.572700000000001</v>
      </c>
      <c r="AB322" s="9">
        <f t="shared" ref="AB322:AB368" si="17">AVERAGE($B322:$Y322)</f>
        <v>62.618195833333303</v>
      </c>
    </row>
    <row r="323" spans="1:28">
      <c r="A323" s="8">
        <v>45613</v>
      </c>
      <c r="B323" s="7">
        <f>日前电价!B323-实时电价!B323</f>
        <v>9.1562999999999892</v>
      </c>
      <c r="C323" s="7">
        <f>日前电价!C323-实时电价!C323</f>
        <v>11.0258</v>
      </c>
      <c r="D323" s="7">
        <f>日前电价!D323-实时电价!D323</f>
        <v>8.7321000000000009</v>
      </c>
      <c r="E323" s="7">
        <f>日前电价!E323-实时电价!E323</f>
        <v>13.1914</v>
      </c>
      <c r="F323" s="7">
        <f>日前电价!F323-实时电价!F323</f>
        <v>11.4024</v>
      </c>
      <c r="G323" s="7">
        <f>日前电价!G323-实时电价!G323</f>
        <v>7.2547999999999897</v>
      </c>
      <c r="H323" s="7">
        <f>日前电价!H323-实时电价!H323</f>
        <v>12.2911</v>
      </c>
      <c r="I323" s="7">
        <f>日前电价!I323-实时电价!I323</f>
        <v>6.4187000000000003</v>
      </c>
      <c r="J323" s="7">
        <f>日前电价!J323-实时电价!J323</f>
        <v>2.8203000000000298</v>
      </c>
      <c r="K323" s="7">
        <f>日前电价!K323-实时电价!K323</f>
        <v>23.897500000000001</v>
      </c>
      <c r="L323" s="7">
        <f>日前电价!L323-实时电价!L323</f>
        <v>88.156000000000006</v>
      </c>
      <c r="M323" s="7">
        <f>日前电价!M323-实时电价!M323</f>
        <v>72.8934</v>
      </c>
      <c r="N323" s="7">
        <f>日前电价!N323-实时电价!N323</f>
        <v>218.57980000000001</v>
      </c>
      <c r="O323" s="7">
        <f>日前电价!O323-实时电价!O323</f>
        <v>137.4171</v>
      </c>
      <c r="P323" s="7">
        <f>日前电价!P323-实时电价!P323</f>
        <v>70.870999999999995</v>
      </c>
      <c r="Q323" s="7">
        <f>日前电价!Q323-实时电价!Q323</f>
        <v>37.464300000000001</v>
      </c>
      <c r="R323" s="7">
        <f>日前电价!R323-实时电价!R323</f>
        <v>33.92</v>
      </c>
      <c r="S323" s="7">
        <f>日前电价!S323-实时电价!S323</f>
        <v>66.382499999999993</v>
      </c>
      <c r="T323" s="7">
        <f>日前电价!T323-实时电价!T323</f>
        <v>69.824200000000005</v>
      </c>
      <c r="U323" s="7">
        <f>日前电价!U323-实时电价!U323</f>
        <v>69.3142</v>
      </c>
      <c r="V323" s="7">
        <f>日前电价!V323-实时电价!V323</f>
        <v>55.2166</v>
      </c>
      <c r="W323" s="7">
        <f>日前电价!W323-实时电价!W323</f>
        <v>39.345300000000002</v>
      </c>
      <c r="X323" s="7">
        <f>日前电价!X323-实时电价!X323</f>
        <v>27.621200000000002</v>
      </c>
      <c r="Y323" s="7">
        <f>日前电价!Y323-实时电价!Y323</f>
        <v>22.257000000000001</v>
      </c>
      <c r="Z323" s="9">
        <f t="shared" si="15"/>
        <v>218.57980000000001</v>
      </c>
      <c r="AA323" s="9">
        <f t="shared" si="16"/>
        <v>2.8203000000000298</v>
      </c>
      <c r="AB323" s="9">
        <f t="shared" si="17"/>
        <v>46.477208333333301</v>
      </c>
    </row>
    <row r="324" spans="1:28">
      <c r="A324" s="8">
        <v>45614</v>
      </c>
      <c r="B324" s="7">
        <f>日前电价!B324-实时电价!B324</f>
        <v>7.7681999999999798</v>
      </c>
      <c r="C324" s="7">
        <f>日前电价!C324-实时电价!C324</f>
        <v>5.8820999999999799</v>
      </c>
      <c r="D324" s="7">
        <f>日前电价!D324-实时电价!D324</f>
        <v>31.105899999999998</v>
      </c>
      <c r="E324" s="7">
        <f>日前电价!E324-实时电价!E324</f>
        <v>40.374200000000002</v>
      </c>
      <c r="F324" s="7">
        <f>日前电价!F324-实时电价!F324</f>
        <v>22.828499999999998</v>
      </c>
      <c r="G324" s="7">
        <f>日前电价!G324-实时电价!G324</f>
        <v>96.750200000000007</v>
      </c>
      <c r="H324" s="7">
        <f>日前电价!H324-实时电价!H324</f>
        <v>30.1997</v>
      </c>
      <c r="I324" s="7">
        <f>日前电价!I324-实时电价!I324</f>
        <v>3.6362000000000299</v>
      </c>
      <c r="J324" s="7">
        <f>日前电价!J324-实时电价!J324</f>
        <v>-2.5656999999999899</v>
      </c>
      <c r="K324" s="7">
        <f>日前电价!K324-实时电价!K324</f>
        <v>12.7707</v>
      </c>
      <c r="L324" s="7">
        <f>日前电价!L324-实时电价!L324</f>
        <v>21.968800000000002</v>
      </c>
      <c r="M324" s="7">
        <f>日前电价!M324-实时电价!M324</f>
        <v>24.042899999999999</v>
      </c>
      <c r="N324" s="7">
        <f>日前电价!N324-实时电价!N324</f>
        <v>52.390799999999999</v>
      </c>
      <c r="O324" s="7">
        <f>日前电价!O324-实时电价!O324</f>
        <v>21.875699999999998</v>
      </c>
      <c r="P324" s="7">
        <f>日前电价!P324-实时电价!P324</f>
        <v>48.451300000000003</v>
      </c>
      <c r="Q324" s="7">
        <f>日前电价!Q324-实时电价!Q324</f>
        <v>12.0487000000001</v>
      </c>
      <c r="R324" s="7">
        <f>日前电价!R324-实时电价!R324</f>
        <v>22.8568</v>
      </c>
      <c r="S324" s="7">
        <f>日前电价!S324-实时电价!S324</f>
        <v>48.484299999999998</v>
      </c>
      <c r="T324" s="7">
        <f>日前电价!T324-实时电价!T324</f>
        <v>56.576300000000003</v>
      </c>
      <c r="U324" s="7">
        <f>日前电价!U324-实时电价!U324</f>
        <v>88.736599999999996</v>
      </c>
      <c r="V324" s="7">
        <f>日前电价!V324-实时电价!V324</f>
        <v>27.601700000000001</v>
      </c>
      <c r="W324" s="7">
        <f>日前电价!W324-实时电价!W324</f>
        <v>22.7773</v>
      </c>
      <c r="X324" s="7">
        <f>日前电价!X324-实时电价!X324</f>
        <v>22.907800000000002</v>
      </c>
      <c r="Y324" s="7">
        <f>日前电价!Y324-实时电价!Y324</f>
        <v>17.255299999999998</v>
      </c>
      <c r="Z324" s="9">
        <f t="shared" si="15"/>
        <v>96.750200000000007</v>
      </c>
      <c r="AA324" s="9">
        <f t="shared" si="16"/>
        <v>-2.5656999999999899</v>
      </c>
      <c r="AB324" s="9">
        <f t="shared" si="17"/>
        <v>30.696845833333299</v>
      </c>
    </row>
    <row r="325" spans="1:28">
      <c r="A325" s="8">
        <v>45615</v>
      </c>
      <c r="B325" s="7">
        <f>日前电价!B325-实时电价!B325</f>
        <v>5.4053999999999904</v>
      </c>
      <c r="C325" s="7">
        <f>日前电价!C325-实时电价!C325</f>
        <v>2.3799000000000201</v>
      </c>
      <c r="D325" s="7">
        <f>日前电价!D325-实时电价!D325</f>
        <v>20.4375</v>
      </c>
      <c r="E325" s="7">
        <f>日前电价!E325-实时电价!E325</f>
        <v>180.869</v>
      </c>
      <c r="F325" s="7">
        <f>日前电价!F325-实时电价!F325</f>
        <v>225.27529999999999</v>
      </c>
      <c r="G325" s="7">
        <f>日前电价!G325-实时电价!G325</f>
        <v>251.52760000000001</v>
      </c>
      <c r="H325" s="7">
        <f>日前电价!H325-实时电价!H325</f>
        <v>20.2134</v>
      </c>
      <c r="I325" s="7">
        <f>日前电价!I325-实时电价!I325</f>
        <v>-2.5548000000000002</v>
      </c>
      <c r="J325" s="7">
        <f>日前电价!J325-实时电价!J325</f>
        <v>-8.2425999999999799</v>
      </c>
      <c r="K325" s="7">
        <f>日前电价!K325-实时电价!K325</f>
        <v>-6.8254000000000001</v>
      </c>
      <c r="L325" s="7">
        <f>日前电价!L325-实时电价!L325</f>
        <v>-4.7854000000000401</v>
      </c>
      <c r="M325" s="7">
        <f>日前电价!M325-实时电价!M325</f>
        <v>1.85500000000002</v>
      </c>
      <c r="N325" s="7">
        <f>日前电价!N325-实时电价!N325</f>
        <v>-150.0307</v>
      </c>
      <c r="O325" s="7">
        <f>日前电价!O325-实时电价!O325</f>
        <v>-103.7392</v>
      </c>
      <c r="P325" s="7">
        <f>日前电价!P325-实时电价!P325</f>
        <v>4.1698000000000102</v>
      </c>
      <c r="Q325" s="7">
        <f>日前电价!Q325-实时电价!Q325</f>
        <v>15.1105</v>
      </c>
      <c r="R325" s="7">
        <f>日前电价!R325-实时电价!R325</f>
        <v>11.192</v>
      </c>
      <c r="S325" s="7">
        <f>日前电价!S325-实时电价!S325</f>
        <v>16.615600000000001</v>
      </c>
      <c r="T325" s="7">
        <f>日前电价!T325-实时电价!T325</f>
        <v>13.942500000000001</v>
      </c>
      <c r="U325" s="7">
        <f>日前电价!U325-实时电价!U325</f>
        <v>27.8721</v>
      </c>
      <c r="V325" s="7">
        <f>日前电价!V325-实时电价!V325</f>
        <v>12.0671</v>
      </c>
      <c r="W325" s="7">
        <f>日前电价!W325-实时电价!W325</f>
        <v>17.6464</v>
      </c>
      <c r="X325" s="7">
        <f>日前电价!X325-实时电价!X325</f>
        <v>14.6097</v>
      </c>
      <c r="Y325" s="7">
        <f>日前电价!Y325-实时电价!Y325</f>
        <v>19.930599999999998</v>
      </c>
      <c r="Z325" s="9">
        <f t="shared" si="15"/>
        <v>251.52760000000001</v>
      </c>
      <c r="AA325" s="9">
        <f t="shared" si="16"/>
        <v>-150.0307</v>
      </c>
      <c r="AB325" s="9">
        <f t="shared" si="17"/>
        <v>24.372554166666699</v>
      </c>
    </row>
    <row r="326" spans="1:28">
      <c r="A326" s="8">
        <v>45616</v>
      </c>
      <c r="B326" s="7">
        <f>日前电价!B326-实时电价!B326</f>
        <v>62.137700000000002</v>
      </c>
      <c r="C326" s="7">
        <f>日前电价!C326-实时电价!C326</f>
        <v>2.0642999999999998</v>
      </c>
      <c r="D326" s="7">
        <f>日前电价!D326-实时电价!D326</f>
        <v>-2.3176999999999999</v>
      </c>
      <c r="E326" s="7">
        <f>日前电价!E326-实时电价!E326</f>
        <v>7.3771000000000102</v>
      </c>
      <c r="F326" s="7">
        <f>日前电价!F326-实时电价!F326</f>
        <v>8.7326999999999906</v>
      </c>
      <c r="G326" s="7">
        <f>日前电价!G326-实时电价!G326</f>
        <v>20.136199999999999</v>
      </c>
      <c r="H326" s="7">
        <f>日前电价!H326-实时电价!H326</f>
        <v>10.5923</v>
      </c>
      <c r="I326" s="7">
        <f>日前电价!I326-实时电价!I326</f>
        <v>-3.96350000000001</v>
      </c>
      <c r="J326" s="7">
        <f>日前电价!J326-实时电价!J326</f>
        <v>-19.5441</v>
      </c>
      <c r="K326" s="7">
        <f>日前电价!K326-实时电价!K326</f>
        <v>10.6358</v>
      </c>
      <c r="L326" s="7">
        <f>日前电价!L326-实时电价!L326</f>
        <v>26.4221</v>
      </c>
      <c r="M326" s="7">
        <f>日前电价!M326-实时电价!M326</f>
        <v>28.692499999999999</v>
      </c>
      <c r="N326" s="7">
        <f>日前电价!N326-实时电价!N326</f>
        <v>28.751799999999999</v>
      </c>
      <c r="O326" s="7">
        <f>日前电价!O326-实时电价!O326</f>
        <v>3.0960000000000001</v>
      </c>
      <c r="P326" s="7">
        <f>日前电价!P326-实时电价!P326</f>
        <v>37.3521</v>
      </c>
      <c r="Q326" s="7">
        <f>日前电价!Q326-实时电价!Q326</f>
        <v>24.323899999999998</v>
      </c>
      <c r="R326" s="7">
        <f>日前电价!R326-实时电价!R326</f>
        <v>14.829000000000001</v>
      </c>
      <c r="S326" s="7">
        <f>日前电价!S326-实时电价!S326</f>
        <v>14.9269</v>
      </c>
      <c r="T326" s="7">
        <f>日前电价!T326-实时电价!T326</f>
        <v>29.493500000000001</v>
      </c>
      <c r="U326" s="7">
        <f>日前电价!U326-实时电价!U326</f>
        <v>23.5715</v>
      </c>
      <c r="V326" s="7">
        <f>日前电价!V326-实时电价!V326</f>
        <v>11.406000000000001</v>
      </c>
      <c r="W326" s="7">
        <f>日前电价!W326-实时电价!W326</f>
        <v>12.4154</v>
      </c>
      <c r="X326" s="7">
        <f>日前电价!X326-实时电价!X326</f>
        <v>8.0729999999999809</v>
      </c>
      <c r="Y326" s="7">
        <f>日前电价!Y326-实时电价!Y326</f>
        <v>11.0631</v>
      </c>
      <c r="Z326" s="9">
        <f t="shared" si="15"/>
        <v>62.137700000000002</v>
      </c>
      <c r="AA326" s="9">
        <f t="shared" si="16"/>
        <v>-19.5441</v>
      </c>
      <c r="AB326" s="9">
        <f t="shared" si="17"/>
        <v>15.4278166666667</v>
      </c>
    </row>
    <row r="327" spans="1:28">
      <c r="A327" s="8">
        <v>45617</v>
      </c>
      <c r="B327" s="7">
        <f>日前电价!B327-实时电价!B327</f>
        <v>4.0034000000000001</v>
      </c>
      <c r="C327" s="7">
        <f>日前电价!C327-实时电价!C327</f>
        <v>33.740400000000001</v>
      </c>
      <c r="D327" s="7">
        <f>日前电价!D327-实时电价!D327</f>
        <v>24.098700000000001</v>
      </c>
      <c r="E327" s="7">
        <f>日前电价!E327-实时电价!E327</f>
        <v>28.387599999999999</v>
      </c>
      <c r="F327" s="7">
        <f>日前电价!F327-实时电价!F327</f>
        <v>106.72790000000001</v>
      </c>
      <c r="G327" s="7">
        <f>日前电价!G327-实时电价!G327</f>
        <v>108.25579999999999</v>
      </c>
      <c r="H327" s="7">
        <f>日前电价!H327-实时电价!H327</f>
        <v>40.1845</v>
      </c>
      <c r="I327" s="7">
        <f>日前电价!I327-实时电价!I327</f>
        <v>-24.111000000000001</v>
      </c>
      <c r="J327" s="7">
        <f>日前电价!J327-实时电价!J327</f>
        <v>4.0982000000000198</v>
      </c>
      <c r="K327" s="7">
        <f>日前电价!K327-实时电价!K327</f>
        <v>33.422600000000003</v>
      </c>
      <c r="L327" s="7">
        <f>日前电价!L327-实时电价!L327</f>
        <v>53.881799999999998</v>
      </c>
      <c r="M327" s="7">
        <f>日前电价!M327-实时电价!M327</f>
        <v>75.366799999999998</v>
      </c>
      <c r="N327" s="7">
        <f>日前电价!N327-实时电价!N327</f>
        <v>188.43960000000001</v>
      </c>
      <c r="O327" s="7">
        <f>日前电价!O327-实时电价!O327</f>
        <v>74.345600000000005</v>
      </c>
      <c r="P327" s="7">
        <f>日前电价!P327-实时电价!P327</f>
        <v>17.759699999999999</v>
      </c>
      <c r="Q327" s="7">
        <f>日前电价!Q327-实时电价!Q327</f>
        <v>-0.49169999999997999</v>
      </c>
      <c r="R327" s="7">
        <f>日前电价!R327-实时电价!R327</f>
        <v>16.746400000000001</v>
      </c>
      <c r="S327" s="7">
        <f>日前电价!S327-实时电价!S327</f>
        <v>20.658200000000001</v>
      </c>
      <c r="T327" s="7">
        <f>日前电价!T327-实时电价!T327</f>
        <v>36.472099999999998</v>
      </c>
      <c r="U327" s="7">
        <f>日前电价!U327-实时电价!U327</f>
        <v>39.173900000000003</v>
      </c>
      <c r="V327" s="7">
        <f>日前电价!V327-实时电价!V327</f>
        <v>26.016400000000001</v>
      </c>
      <c r="W327" s="7">
        <f>日前电价!W327-实时电价!W327</f>
        <v>1.1971999999999501</v>
      </c>
      <c r="X327" s="7">
        <f>日前电价!X327-实时电价!X327</f>
        <v>13.178699999999999</v>
      </c>
      <c r="Y327" s="7">
        <f>日前电价!Y327-实时电价!Y327</f>
        <v>19.2255</v>
      </c>
      <c r="Z327" s="9">
        <f t="shared" si="15"/>
        <v>188.43960000000001</v>
      </c>
      <c r="AA327" s="9">
        <f t="shared" si="16"/>
        <v>-24.111000000000001</v>
      </c>
      <c r="AB327" s="9">
        <f t="shared" si="17"/>
        <v>39.199095833333303</v>
      </c>
    </row>
    <row r="328" spans="1:28">
      <c r="A328" s="8">
        <v>45618</v>
      </c>
      <c r="B328" s="7">
        <f>日前电价!B328-实时电价!B328</f>
        <v>-14.3308</v>
      </c>
      <c r="C328" s="7">
        <f>日前电价!C328-实时电价!C328</f>
        <v>-9.1483000000000096</v>
      </c>
      <c r="D328" s="7">
        <f>日前电价!D328-实时电价!D328</f>
        <v>-8.4699000000000009</v>
      </c>
      <c r="E328" s="7">
        <f>日前电价!E328-实时电价!E328</f>
        <v>25.236799999999999</v>
      </c>
      <c r="F328" s="7">
        <f>日前电价!F328-实时电价!F328</f>
        <v>5.7235000000000298</v>
      </c>
      <c r="G328" s="7">
        <f>日前电价!G328-实时电价!G328</f>
        <v>19.042999999999999</v>
      </c>
      <c r="H328" s="7">
        <f>日前电价!H328-实时电价!H328</f>
        <v>0.41879999999997602</v>
      </c>
      <c r="I328" s="7">
        <f>日前电价!I328-实时电价!I328</f>
        <v>-12.7425</v>
      </c>
      <c r="J328" s="7">
        <f>日前电价!J328-实时电价!J328</f>
        <v>-10.1661</v>
      </c>
      <c r="K328" s="7">
        <f>日前电价!K328-实时电价!K328</f>
        <v>-14.938700000000001</v>
      </c>
      <c r="L328" s="7">
        <f>日前电价!L328-实时电价!L328</f>
        <v>-91.841499999999996</v>
      </c>
      <c r="M328" s="7">
        <f>日前电价!M328-实时电价!M328</f>
        <v>-28.075700000000001</v>
      </c>
      <c r="N328" s="7">
        <f>日前电价!N328-实时电价!N328</f>
        <v>24.191099999999999</v>
      </c>
      <c r="O328" s="7">
        <f>日前电价!O328-实时电价!O328</f>
        <v>-20.871700000000001</v>
      </c>
      <c r="P328" s="7">
        <f>日前电价!P328-实时电价!P328</f>
        <v>-10.991</v>
      </c>
      <c r="Q328" s="7">
        <f>日前电价!Q328-实时电价!Q328</f>
        <v>-21.983699999999999</v>
      </c>
      <c r="R328" s="7">
        <f>日前电价!R328-实时电价!R328</f>
        <v>-1.53809999999999</v>
      </c>
      <c r="S328" s="7">
        <f>日前电价!S328-实时电价!S328</f>
        <v>10.3009</v>
      </c>
      <c r="T328" s="7">
        <f>日前电价!T328-实时电价!T328</f>
        <v>19.599499999999999</v>
      </c>
      <c r="U328" s="7">
        <f>日前电价!U328-实时电价!U328</f>
        <v>16.354800000000001</v>
      </c>
      <c r="V328" s="7">
        <f>日前电价!V328-实时电价!V328</f>
        <v>-2.7516999999999698</v>
      </c>
      <c r="W328" s="7">
        <f>日前电价!W328-实时电价!W328</f>
        <v>12.1005</v>
      </c>
      <c r="X328" s="7">
        <f>日前电价!X328-实时电价!X328</f>
        <v>5.0176000000000203</v>
      </c>
      <c r="Y328" s="7">
        <f>日前电价!Y328-实时电价!Y328</f>
        <v>-3.0470999999999999</v>
      </c>
      <c r="Z328" s="9">
        <f t="shared" si="15"/>
        <v>25.236799999999999</v>
      </c>
      <c r="AA328" s="9">
        <f t="shared" si="16"/>
        <v>-91.841499999999996</v>
      </c>
      <c r="AB328" s="9">
        <f t="shared" si="17"/>
        <v>-4.7045958333333404</v>
      </c>
    </row>
    <row r="329" spans="1:28">
      <c r="A329" s="8">
        <v>45619</v>
      </c>
      <c r="B329" s="7">
        <f>日前电价!B329-实时电价!B329</f>
        <v>-21.105399999999999</v>
      </c>
      <c r="C329" s="7">
        <f>日前电价!C329-实时电价!C329</f>
        <v>4.1725000000000101</v>
      </c>
      <c r="D329" s="7">
        <f>日前电价!D329-实时电价!D329</f>
        <v>-5.7481999999999998</v>
      </c>
      <c r="E329" s="7">
        <f>日前电价!E329-实时电价!E329</f>
        <v>46.941699999999997</v>
      </c>
      <c r="F329" s="7">
        <f>日前电价!F329-实时电价!F329</f>
        <v>16.6831</v>
      </c>
      <c r="G329" s="7">
        <f>日前电价!G329-实时电价!G329</f>
        <v>38.8553</v>
      </c>
      <c r="H329" s="7">
        <f>日前电价!H329-实时电价!H329</f>
        <v>37.423499999999997</v>
      </c>
      <c r="I329" s="7">
        <f>日前电价!I329-实时电价!I329</f>
        <v>-19.248100000000001</v>
      </c>
      <c r="J329" s="7">
        <f>日前电价!J329-实时电价!J329</f>
        <v>-13.478</v>
      </c>
      <c r="K329" s="7">
        <f>日前电价!K329-实时电价!K329</f>
        <v>1.43989999999997</v>
      </c>
      <c r="L329" s="7">
        <f>日前电价!L329-实时电价!L329</f>
        <v>4.4153999999999796</v>
      </c>
      <c r="M329" s="7">
        <f>日前电价!M329-实时电价!M329</f>
        <v>56.057600000000001</v>
      </c>
      <c r="N329" s="7">
        <f>日前电价!N329-实时电价!N329</f>
        <v>27.357500000000002</v>
      </c>
      <c r="O329" s="7">
        <f>日前电价!O329-实时电价!O329</f>
        <v>-27.321200000000001</v>
      </c>
      <c r="P329" s="7">
        <f>日前电价!P329-实时电价!P329</f>
        <v>-37.7502</v>
      </c>
      <c r="Q329" s="7">
        <f>日前电价!Q329-实时电价!Q329</f>
        <v>-18.525099999999998</v>
      </c>
      <c r="R329" s="7">
        <f>日前电价!R329-实时电价!R329</f>
        <v>-30.153500000000001</v>
      </c>
      <c r="S329" s="7">
        <f>日前电价!S329-实时电价!S329</f>
        <v>-5.8520000000000296</v>
      </c>
      <c r="T329" s="7">
        <f>日前电价!T329-实时电价!T329</f>
        <v>11.414999999999999</v>
      </c>
      <c r="U329" s="7">
        <f>日前电价!U329-实时电价!U329</f>
        <v>106.2788</v>
      </c>
      <c r="V329" s="7">
        <f>日前电价!V329-实时电价!V329</f>
        <v>-38.451100000000103</v>
      </c>
      <c r="W329" s="7">
        <f>日前电价!W329-实时电价!W329</f>
        <v>-19.3689</v>
      </c>
      <c r="X329" s="7">
        <f>日前电价!X329-实时电价!X329</f>
        <v>-13.708</v>
      </c>
      <c r="Y329" s="7">
        <f>日前电价!Y329-实时电价!Y329</f>
        <v>-26.694700000000001</v>
      </c>
      <c r="Z329" s="9">
        <f t="shared" si="15"/>
        <v>106.2788</v>
      </c>
      <c r="AA329" s="9">
        <f t="shared" si="16"/>
        <v>-38.451100000000103</v>
      </c>
      <c r="AB329" s="9">
        <f t="shared" si="17"/>
        <v>3.0681625000000001</v>
      </c>
    </row>
    <row r="330" spans="1:28">
      <c r="A330" s="8">
        <v>45620</v>
      </c>
      <c r="B330" s="7">
        <f>日前电价!B330-实时电价!B330</f>
        <v>-20.697500000000002</v>
      </c>
      <c r="C330" s="7">
        <f>日前电价!C330-实时电价!C330</f>
        <v>-20.610199999999999</v>
      </c>
      <c r="D330" s="7">
        <f>日前电价!D330-实时电价!D330</f>
        <v>-5.8494999999999804</v>
      </c>
      <c r="E330" s="7">
        <f>日前电价!E330-实时电价!E330</f>
        <v>5.8402999999999796</v>
      </c>
      <c r="F330" s="7">
        <f>日前电价!F330-实时电价!F330</f>
        <v>38.03</v>
      </c>
      <c r="G330" s="7">
        <f>日前电价!G330-实时电价!G330</f>
        <v>-19.110099999999999</v>
      </c>
      <c r="H330" s="7">
        <f>日前电价!H330-实时电价!H330</f>
        <v>-4.1919000000000004</v>
      </c>
      <c r="I330" s="7">
        <f>日前电价!I330-实时电价!I330</f>
        <v>-21.2254</v>
      </c>
      <c r="J330" s="7">
        <f>日前电价!J330-实时电价!J330</f>
        <v>1.5534000000000101</v>
      </c>
      <c r="K330" s="7">
        <f>日前电价!K330-实时电价!K330</f>
        <v>96.39</v>
      </c>
      <c r="L330" s="7">
        <f>日前电价!L330-实时电价!L330</f>
        <v>163.078</v>
      </c>
      <c r="M330" s="7">
        <f>日前电价!M330-实时电价!M330</f>
        <v>-124.8236</v>
      </c>
      <c r="N330" s="7">
        <f>日前电价!N330-实时电价!N330</f>
        <v>-4.3785999999999996</v>
      </c>
      <c r="O330" s="7">
        <f>日前电价!O330-实时电价!O330</f>
        <v>-44.916400000000003</v>
      </c>
      <c r="P330" s="7">
        <f>日前电价!P330-实时电价!P330</f>
        <v>-163.57849999999999</v>
      </c>
      <c r="Q330" s="7">
        <f>日前电价!Q330-实时电价!Q330</f>
        <v>-55.222299999999997</v>
      </c>
      <c r="R330" s="7">
        <f>日前电价!R330-实时电价!R330</f>
        <v>-20.836600000000001</v>
      </c>
      <c r="S330" s="7">
        <f>日前电价!S330-实时电价!S330</f>
        <v>-24.757000000000001</v>
      </c>
      <c r="T330" s="7">
        <f>日前电价!T330-实时电价!T330</f>
        <v>-26.165700000000001</v>
      </c>
      <c r="U330" s="7">
        <f>日前电价!U330-实时电价!U330</f>
        <v>-20.9268</v>
      </c>
      <c r="V330" s="7">
        <f>日前电价!V330-实时电价!V330</f>
        <v>-12.6838</v>
      </c>
      <c r="W330" s="7">
        <f>日前电价!W330-实时电价!W330</f>
        <v>-18.254200000000001</v>
      </c>
      <c r="X330" s="7">
        <f>日前电价!X330-实时电价!X330</f>
        <v>-12.9552</v>
      </c>
      <c r="Y330" s="7">
        <f>日前电价!Y330-实时电价!Y330</f>
        <v>-39.008400000000002</v>
      </c>
      <c r="Z330" s="9">
        <f t="shared" si="15"/>
        <v>163.078</v>
      </c>
      <c r="AA330" s="9">
        <f t="shared" si="16"/>
        <v>-163.57849999999999</v>
      </c>
      <c r="AB330" s="9">
        <f t="shared" si="17"/>
        <v>-14.804166666666699</v>
      </c>
    </row>
    <row r="331" spans="1:28">
      <c r="A331" s="8">
        <v>45621</v>
      </c>
      <c r="B331" s="7">
        <f>日前电价!B331-实时电价!B331</f>
        <v>-16.9039</v>
      </c>
      <c r="C331" s="7">
        <f>日前电价!C331-实时电价!C331</f>
        <v>-6.5514999999999999</v>
      </c>
      <c r="D331" s="7">
        <f>日前电价!D331-实时电价!D331</f>
        <v>11.178800000000001</v>
      </c>
      <c r="E331" s="7">
        <f>日前电价!E331-实时电价!E331</f>
        <v>4.37260000000001</v>
      </c>
      <c r="F331" s="7">
        <f>日前电价!F331-实时电价!F331</f>
        <v>58.277900000000002</v>
      </c>
      <c r="G331" s="7">
        <f>日前电价!G331-实时电价!G331</f>
        <v>-4.4525999999999897</v>
      </c>
      <c r="H331" s="7">
        <f>日前电价!H331-实时电价!H331</f>
        <v>-17.455200000000001</v>
      </c>
      <c r="I331" s="7">
        <f>日前电价!I331-实时电价!I331</f>
        <v>-8.9001999999999803</v>
      </c>
      <c r="J331" s="7">
        <f>日前电价!J331-实时电价!J331</f>
        <v>-13.805400000000001</v>
      </c>
      <c r="K331" s="7">
        <f>日前电价!K331-实时电价!K331</f>
        <v>-46.2851</v>
      </c>
      <c r="L331" s="7">
        <f>日前电价!L331-实时电价!L331</f>
        <v>-72.585999999999999</v>
      </c>
      <c r="M331" s="7">
        <f>日前电价!M331-实时电价!M331</f>
        <v>-40.187100000000001</v>
      </c>
      <c r="N331" s="7">
        <f>日前电价!N331-实时电价!N331</f>
        <v>-50.778199999999998</v>
      </c>
      <c r="O331" s="7">
        <f>日前电价!O331-实时电价!O331</f>
        <v>-61.027500000000003</v>
      </c>
      <c r="P331" s="7">
        <f>日前电价!P331-实时电价!P331</f>
        <v>-26.660900000000002</v>
      </c>
      <c r="Q331" s="7">
        <f>日前电价!Q331-实时电价!Q331</f>
        <v>-23.8977</v>
      </c>
      <c r="R331" s="7">
        <f>日前电价!R331-实时电价!R331</f>
        <v>-39.526400000000002</v>
      </c>
      <c r="S331" s="7">
        <f>日前电价!S331-实时电价!S331</f>
        <v>-88.971400000000003</v>
      </c>
      <c r="T331" s="7">
        <f>日前电价!T331-实时电价!T331</f>
        <v>-51.942799999999998</v>
      </c>
      <c r="U331" s="7">
        <f>日前电价!U331-实时电价!U331</f>
        <v>-57.342500000000001</v>
      </c>
      <c r="V331" s="7">
        <f>日前电价!V331-实时电价!V331</f>
        <v>-50.406999999999996</v>
      </c>
      <c r="W331" s="7">
        <f>日前电价!W331-实时电价!W331</f>
        <v>-10.4147</v>
      </c>
      <c r="X331" s="7">
        <f>日前电价!X331-实时电价!X331</f>
        <v>2.91000000000281E-2</v>
      </c>
      <c r="Y331" s="7">
        <f>日前电价!Y331-实时电价!Y331</f>
        <v>-15.916700000000001</v>
      </c>
      <c r="Z331" s="9">
        <f t="shared" si="15"/>
        <v>58.277900000000002</v>
      </c>
      <c r="AA331" s="9">
        <f t="shared" si="16"/>
        <v>-88.971400000000003</v>
      </c>
      <c r="AB331" s="9">
        <f t="shared" si="17"/>
        <v>-26.256433333333302</v>
      </c>
    </row>
    <row r="332" spans="1:28">
      <c r="A332" s="8">
        <v>45622</v>
      </c>
      <c r="B332" s="7">
        <f>日前电价!B332-实时电价!B332</f>
        <v>-10.185</v>
      </c>
      <c r="C332" s="7">
        <f>日前电价!C332-实时电价!C332</f>
        <v>4.2125000000000297</v>
      </c>
      <c r="D332" s="7">
        <f>日前电价!D332-实时电价!D332</f>
        <v>20.107700000000001</v>
      </c>
      <c r="E332" s="7">
        <f>日前电价!E332-实时电价!E332</f>
        <v>92.132099999999994</v>
      </c>
      <c r="F332" s="7">
        <f>日前电价!F332-实时电价!F332</f>
        <v>102.02370000000001</v>
      </c>
      <c r="G332" s="7">
        <f>日前电价!G332-实时电价!G332</f>
        <v>220.19040000000001</v>
      </c>
      <c r="H332" s="7">
        <f>日前电价!H332-实时电价!H332</f>
        <v>95.668899999999994</v>
      </c>
      <c r="I332" s="7">
        <f>日前电价!I332-实时电价!I332</f>
        <v>-1.3784000000000001</v>
      </c>
      <c r="J332" s="7">
        <f>日前电价!J332-实时电价!J332</f>
        <v>21.895299999999999</v>
      </c>
      <c r="K332" s="7">
        <f>日前电价!K332-实时电价!K332</f>
        <v>148.40459999999999</v>
      </c>
      <c r="L332" s="7">
        <f>日前电价!L332-实时电价!L332</f>
        <v>81.468400000000003</v>
      </c>
      <c r="M332" s="7">
        <f>日前电价!M332-实时电价!M332</f>
        <v>15.5472</v>
      </c>
      <c r="N332" s="7">
        <f>日前电价!N332-实时电价!N332</f>
        <v>101.71559999999999</v>
      </c>
      <c r="O332" s="7">
        <f>日前电价!O332-实时电价!O332</f>
        <v>89.815700000000007</v>
      </c>
      <c r="P332" s="7">
        <f>日前电价!P332-实时电价!P332</f>
        <v>253.1155</v>
      </c>
      <c r="Q332" s="7">
        <f>日前电价!Q332-实时电价!Q332</f>
        <v>108.8402</v>
      </c>
      <c r="R332" s="7">
        <f>日前电价!R332-实时电价!R332</f>
        <v>35.0105</v>
      </c>
      <c r="S332" s="7">
        <f>日前电价!S332-实时电价!S332</f>
        <v>64.593599999999995</v>
      </c>
      <c r="T332" s="7">
        <f>日前电价!T332-实时电价!T332</f>
        <v>35.827800000000003</v>
      </c>
      <c r="U332" s="7">
        <f>日前电价!U332-实时电价!U332</f>
        <v>49.569099999999999</v>
      </c>
      <c r="V332" s="7">
        <f>日前电价!V332-实时电价!V332</f>
        <v>29.306799999999999</v>
      </c>
      <c r="W332" s="7">
        <f>日前电价!W332-实时电价!W332</f>
        <v>12.210900000000001</v>
      </c>
      <c r="X332" s="7">
        <f>日前电价!X332-实时电价!X332</f>
        <v>1.4692999999999801</v>
      </c>
      <c r="Y332" s="7">
        <f>日前电价!Y332-实时电价!Y332</f>
        <v>-8.8695999999999895</v>
      </c>
      <c r="Z332" s="9">
        <f t="shared" si="15"/>
        <v>253.1155</v>
      </c>
      <c r="AA332" s="9">
        <f t="shared" si="16"/>
        <v>-10.185</v>
      </c>
      <c r="AB332" s="9">
        <f t="shared" si="17"/>
        <v>65.112200000000001</v>
      </c>
    </row>
    <row r="333" spans="1:28">
      <c r="A333" s="8">
        <v>45623</v>
      </c>
      <c r="B333" s="7">
        <f>日前电价!B333-实时电价!B333</f>
        <v>-26.62</v>
      </c>
      <c r="C333" s="7">
        <f>日前电价!C333-实时电价!C333</f>
        <v>-26.1859</v>
      </c>
      <c r="D333" s="7">
        <f>日前电价!D333-实时电价!D333</f>
        <v>79.803700000000006</v>
      </c>
      <c r="E333" s="7">
        <f>日前电价!E333-实时电价!E333</f>
        <v>134.6387</v>
      </c>
      <c r="F333" s="7">
        <f>日前电价!F333-实时电价!F333</f>
        <v>38.575800000000001</v>
      </c>
      <c r="G333" s="7">
        <f>日前电价!G333-实时电价!G333</f>
        <v>-95.433899999999994</v>
      </c>
      <c r="H333" s="7">
        <f>日前电价!H333-实时电价!H333</f>
        <v>-10.5786</v>
      </c>
      <c r="I333" s="7">
        <f>日前电价!I333-实时电价!I333</f>
        <v>-12.5374</v>
      </c>
      <c r="J333" s="7">
        <f>日前电价!J333-实时电价!J333</f>
        <v>-29.821999999999999</v>
      </c>
      <c r="K333" s="7">
        <f>日前电价!K333-实时电价!K333</f>
        <v>-23.4955</v>
      </c>
      <c r="L333" s="7">
        <f>日前电价!L333-实时电价!L333</f>
        <v>-23.368200000000002</v>
      </c>
      <c r="M333" s="7">
        <f>日前电价!M333-实时电价!M333</f>
        <v>-103.8203</v>
      </c>
      <c r="N333" s="7">
        <f>日前电价!N333-实时电价!N333</f>
        <v>-90.395099999999999</v>
      </c>
      <c r="O333" s="7">
        <f>日前电价!O333-实时电价!O333</f>
        <v>-199.94239999999999</v>
      </c>
      <c r="P333" s="7">
        <f>日前电价!P333-实时电价!P333</f>
        <v>-66.251199999999997</v>
      </c>
      <c r="Q333" s="7">
        <f>日前电价!Q333-实时电价!Q333</f>
        <v>-51.177</v>
      </c>
      <c r="R333" s="7">
        <f>日前电价!R333-实时电价!R333</f>
        <v>-36.6008</v>
      </c>
      <c r="S333" s="7">
        <f>日前电价!S333-实时电价!S333</f>
        <v>-21.624400000000001</v>
      </c>
      <c r="T333" s="7">
        <f>日前电价!T333-实时电价!T333</f>
        <v>-86.690700000000007</v>
      </c>
      <c r="U333" s="7">
        <f>日前电价!U333-实时电价!U333</f>
        <v>-84.125900000000001</v>
      </c>
      <c r="V333" s="7">
        <f>日前电价!V333-实时电价!V333</f>
        <v>-55.304600000000001</v>
      </c>
      <c r="W333" s="7">
        <f>日前电价!W333-实时电价!W333</f>
        <v>-37.814500000000002</v>
      </c>
      <c r="X333" s="7">
        <f>日前电价!X333-实时电价!X333</f>
        <v>-42.055399999999999</v>
      </c>
      <c r="Y333" s="7">
        <f>日前电价!Y333-实时电价!Y333</f>
        <v>-58.303199999999997</v>
      </c>
      <c r="Z333" s="9">
        <f t="shared" si="15"/>
        <v>134.6387</v>
      </c>
      <c r="AA333" s="9">
        <f t="shared" si="16"/>
        <v>-199.94239999999999</v>
      </c>
      <c r="AB333" s="9">
        <f t="shared" si="17"/>
        <v>-38.713700000000003</v>
      </c>
    </row>
    <row r="334" spans="1:28">
      <c r="A334" s="8">
        <v>45624</v>
      </c>
      <c r="B334" s="7">
        <f>日前电价!B334-实时电价!B334</f>
        <v>-32.074399999999997</v>
      </c>
      <c r="C334" s="7">
        <f>日前电价!C334-实时电价!C334</f>
        <v>-13.52</v>
      </c>
      <c r="D334" s="7">
        <f>日前电价!D334-实时电价!D334</f>
        <v>-9.5470999999999702</v>
      </c>
      <c r="E334" s="7">
        <f>日前电价!E334-实时电价!E334</f>
        <v>-7.7159000000000004</v>
      </c>
      <c r="F334" s="7">
        <f>日前电价!F334-实时电价!F334</f>
        <v>-7.1510999999999898</v>
      </c>
      <c r="G334" s="7">
        <f>日前电价!G334-实时电价!G334</f>
        <v>-1.92340000000002</v>
      </c>
      <c r="H334" s="7">
        <f>日前电价!H334-实时电价!H334</f>
        <v>-0.268500000000017</v>
      </c>
      <c r="I334" s="7">
        <f>日前电价!I334-实时电价!I334</f>
        <v>-15.2469</v>
      </c>
      <c r="J334" s="7">
        <f>日前电价!J334-实时电价!J334</f>
        <v>-1.63900000000001</v>
      </c>
      <c r="K334" s="7">
        <f>日前电价!K334-实时电价!K334</f>
        <v>-1.3100000000008501E-2</v>
      </c>
      <c r="L334" s="7">
        <f>日前电价!L334-实时电价!L334</f>
        <v>-63.075899999999997</v>
      </c>
      <c r="M334" s="7">
        <f>日前电价!M334-实时电价!M334</f>
        <v>-182.3227</v>
      </c>
      <c r="N334" s="7">
        <f>日前电价!N334-实时电价!N334</f>
        <v>-204.54179999999999</v>
      </c>
      <c r="O334" s="7">
        <f>日前电价!O334-实时电价!O334</f>
        <v>-172.5506</v>
      </c>
      <c r="P334" s="7">
        <f>日前电价!P334-实时电价!P334</f>
        <v>-9.7490000000000006</v>
      </c>
      <c r="Q334" s="7">
        <f>日前电价!Q334-实时电价!Q334</f>
        <v>-4.0335000000000001</v>
      </c>
      <c r="R334" s="7">
        <f>日前电价!R334-实时电价!R334</f>
        <v>-8.6574000000000506</v>
      </c>
      <c r="S334" s="7">
        <f>日前电价!S334-实时电价!S334</f>
        <v>-12.4498</v>
      </c>
      <c r="T334" s="7">
        <f>日前电价!T334-实时电价!T334</f>
        <v>23.542899999999999</v>
      </c>
      <c r="U334" s="7">
        <f>日前电价!U334-实时电价!U334</f>
        <v>50.015300000000003</v>
      </c>
      <c r="V334" s="7">
        <f>日前电价!V334-实时电价!V334</f>
        <v>53.198399999999999</v>
      </c>
      <c r="W334" s="7">
        <f>日前电价!W334-实时电价!W334</f>
        <v>-5.7549999999999999</v>
      </c>
      <c r="X334" s="7">
        <f>日前电价!X334-实时电价!X334</f>
        <v>-3.82260000000002</v>
      </c>
      <c r="Y334" s="7">
        <f>日前电价!Y334-实时电价!Y334</f>
        <v>-32.888199999999998</v>
      </c>
      <c r="Z334" s="9">
        <f t="shared" si="15"/>
        <v>53.198399999999999</v>
      </c>
      <c r="AA334" s="9">
        <f t="shared" si="16"/>
        <v>-204.54179999999999</v>
      </c>
      <c r="AB334" s="9">
        <f t="shared" si="17"/>
        <v>-27.591220833333299</v>
      </c>
    </row>
    <row r="335" spans="1:28">
      <c r="A335" s="8">
        <v>45625</v>
      </c>
      <c r="B335" s="7">
        <f>日前电价!B335-实时电价!B335</f>
        <v>-31.087900000000001</v>
      </c>
      <c r="C335" s="7">
        <f>日前电价!C335-实时电价!C335</f>
        <v>-88.124300000000005</v>
      </c>
      <c r="D335" s="7">
        <f>日前电价!D335-实时电价!D335</f>
        <v>0.56779999999997699</v>
      </c>
      <c r="E335" s="7">
        <f>日前电价!E335-实时电价!E335</f>
        <v>22.350300000000001</v>
      </c>
      <c r="F335" s="7">
        <f>日前电价!F335-实时电价!F335</f>
        <v>18.899999999999999</v>
      </c>
      <c r="G335" s="7">
        <f>日前电价!G335-实时电价!G335</f>
        <v>12.313499999999999</v>
      </c>
      <c r="H335" s="7">
        <f>日前电价!H335-实时电价!H335</f>
        <v>7.3373000000000301</v>
      </c>
      <c r="I335" s="7">
        <f>日前电价!I335-实时电价!I335</f>
        <v>-6.3428999999999904</v>
      </c>
      <c r="J335" s="7">
        <f>日前电价!J335-实时电价!J335</f>
        <v>-69.183999999999997</v>
      </c>
      <c r="K335" s="7">
        <f>日前电价!K335-实时电价!K335</f>
        <v>6.6576999999999797</v>
      </c>
      <c r="L335" s="7">
        <f>日前电价!L335-实时电价!L335</f>
        <v>-299.52159999999998</v>
      </c>
      <c r="M335" s="7">
        <f>日前电价!M335-实时电价!M335</f>
        <v>-37.310099999999998</v>
      </c>
      <c r="N335" s="7">
        <f>日前电价!N335-实时电价!N335</f>
        <v>-3.3576000000000001</v>
      </c>
      <c r="O335" s="7">
        <f>日前电价!O335-实时电价!O335</f>
        <v>-39.250100000000003</v>
      </c>
      <c r="P335" s="7">
        <f>日前电价!P335-实时电价!P335</f>
        <v>152.2818</v>
      </c>
      <c r="Q335" s="7">
        <f>日前电价!Q335-实时电价!Q335</f>
        <v>29.871700000000001</v>
      </c>
      <c r="R335" s="7">
        <f>日前电价!R335-实时电价!R335</f>
        <v>28.1647</v>
      </c>
      <c r="S335" s="7">
        <f>日前电价!S335-实时电价!S335</f>
        <v>67.903599999999997</v>
      </c>
      <c r="T335" s="7">
        <f>日前电价!T335-实时电价!T335</f>
        <v>113.09869999999999</v>
      </c>
      <c r="U335" s="7">
        <f>日前电价!U335-实时电价!U335</f>
        <v>84.381600000000006</v>
      </c>
      <c r="V335" s="7">
        <f>日前电价!V335-实时电价!V335</f>
        <v>48.415700000000001</v>
      </c>
      <c r="W335" s="7">
        <f>日前电价!W335-实时电价!W335</f>
        <v>-5.77789999999999</v>
      </c>
      <c r="X335" s="7">
        <f>日前电价!X335-实时电价!X335</f>
        <v>-27.265599999999999</v>
      </c>
      <c r="Y335" s="7">
        <f>日前电价!Y335-实时电价!Y335</f>
        <v>-43.3309</v>
      </c>
      <c r="Z335" s="9">
        <f t="shared" si="15"/>
        <v>152.2818</v>
      </c>
      <c r="AA335" s="9">
        <f t="shared" si="16"/>
        <v>-299.52159999999998</v>
      </c>
      <c r="AB335" s="9">
        <f t="shared" si="17"/>
        <v>-2.42952083333333</v>
      </c>
    </row>
    <row r="336" spans="1:28">
      <c r="A336" s="8">
        <v>45626</v>
      </c>
      <c r="B336" s="7">
        <f>日前电价!B336-实时电价!B336</f>
        <v>-95.31</v>
      </c>
      <c r="C336" s="7">
        <f>日前电价!C336-实时电价!C336</f>
        <v>-73.194400000000002</v>
      </c>
      <c r="D336" s="7">
        <f>日前电价!D336-实时电价!D336</f>
        <v>-67.936300000000003</v>
      </c>
      <c r="E336" s="7">
        <f>日前电价!E336-实时电价!E336</f>
        <v>-64.492800000000003</v>
      </c>
      <c r="F336" s="7">
        <f>日前电价!F336-实时电价!F336</f>
        <v>-47.216299999999997</v>
      </c>
      <c r="G336" s="7">
        <f>日前电价!G336-实时电价!G336</f>
        <v>-57.775199999999998</v>
      </c>
      <c r="H336" s="7">
        <f>日前电价!H336-实时电价!H336</f>
        <v>-33.6952</v>
      </c>
      <c r="I336" s="7">
        <f>日前电价!I336-实时电价!I336</f>
        <v>-84.997699999999995</v>
      </c>
      <c r="J336" s="7">
        <f>日前电价!J336-实时电价!J336</f>
        <v>-70.205399999999997</v>
      </c>
      <c r="K336" s="7">
        <f>日前电价!K336-实时电价!K336</f>
        <v>-16.945900000000002</v>
      </c>
      <c r="L336" s="7">
        <f>日前电价!L336-实时电价!L336</f>
        <v>18.611999999999998</v>
      </c>
      <c r="M336" s="7">
        <f>日前电价!M336-实时电价!M336</f>
        <v>-25.884599999999999</v>
      </c>
      <c r="N336" s="7">
        <f>日前电价!N336-实时电价!N336</f>
        <v>33.192799999999998</v>
      </c>
      <c r="O336" s="7">
        <f>日前电价!O336-实时电价!O336</f>
        <v>5.024</v>
      </c>
      <c r="P336" s="7">
        <f>日前电价!P336-实时电价!P336</f>
        <v>161.72370000000001</v>
      </c>
      <c r="Q336" s="7">
        <f>日前电价!Q336-实时电价!Q336</f>
        <v>123.40479999999999</v>
      </c>
      <c r="R336" s="7">
        <f>日前电价!R336-实时电价!R336</f>
        <v>37.2789</v>
      </c>
      <c r="S336" s="7">
        <f>日前电价!S336-实时电价!S336</f>
        <v>110.2799</v>
      </c>
      <c r="T336" s="7">
        <f>日前电价!T336-实时电价!T336</f>
        <v>163.68100000000001</v>
      </c>
      <c r="U336" s="7">
        <f>日前电价!U336-实时电价!U336</f>
        <v>343.01010000000002</v>
      </c>
      <c r="V336" s="7">
        <f>日前电价!V336-实时电价!V336</f>
        <v>142.40520000000001</v>
      </c>
      <c r="W336" s="7">
        <f>日前电价!W336-实时电价!W336</f>
        <v>98.370199999999997</v>
      </c>
      <c r="X336" s="7">
        <f>日前电价!X336-实时电价!X336</f>
        <v>29.168399999999998</v>
      </c>
      <c r="Y336" s="7">
        <f>日前电价!Y336-实时电价!Y336</f>
        <v>-37.395899999999997</v>
      </c>
      <c r="Z336" s="9">
        <f t="shared" si="15"/>
        <v>343.01010000000002</v>
      </c>
      <c r="AA336" s="9">
        <f t="shared" si="16"/>
        <v>-95.31</v>
      </c>
      <c r="AB336" s="9">
        <f t="shared" si="17"/>
        <v>24.629220833333299</v>
      </c>
    </row>
    <row r="337" spans="1:28">
      <c r="A337" s="8">
        <v>45627</v>
      </c>
      <c r="B337" s="7">
        <f>日前电价!B337-实时电价!B337</f>
        <v>-191.3134</v>
      </c>
      <c r="C337" s="7">
        <f>日前电价!C337-实时电价!C337</f>
        <v>61.712899999999998</v>
      </c>
      <c r="D337" s="7">
        <f>日前电价!D337-实时电价!D337</f>
        <v>103.93219999999999</v>
      </c>
      <c r="E337" s="7">
        <f>日前电价!E337-实时电价!E337</f>
        <v>43.659100000000002</v>
      </c>
      <c r="F337" s="7">
        <f>日前电价!F337-实时电价!F337</f>
        <v>39.261400000000002</v>
      </c>
      <c r="G337" s="7">
        <f>日前电价!G337-实时电价!G337</f>
        <v>45.768599999999999</v>
      </c>
      <c r="H337" s="7">
        <f>日前电价!H337-实时电价!H337</f>
        <v>52.793700000000001</v>
      </c>
      <c r="I337" s="7">
        <f>日前电价!I337-实时电价!I337</f>
        <v>35.6937</v>
      </c>
      <c r="J337" s="7">
        <f>日前电价!J337-实时电价!J337</f>
        <v>230.0043</v>
      </c>
      <c r="K337" s="7">
        <f>日前电价!K337-实时电价!K337</f>
        <v>285.57</v>
      </c>
      <c r="L337" s="7">
        <f>日前电价!L337-实时电价!L337</f>
        <v>3.1749999999999998</v>
      </c>
      <c r="M337" s="7">
        <f>日前电价!M337-实时电价!M337</f>
        <v>-116.0189</v>
      </c>
      <c r="N337" s="7">
        <f>日前电价!N337-实时电价!N337</f>
        <v>-4.8209999999999997</v>
      </c>
      <c r="O337" s="7">
        <f>日前电价!O337-实时电价!O337</f>
        <v>0.89159999999999995</v>
      </c>
      <c r="P337" s="7">
        <f>日前电价!P337-实时电价!P337</f>
        <v>0</v>
      </c>
      <c r="Q337" s="7">
        <f>日前电价!Q337-实时电价!Q337</f>
        <v>136.03</v>
      </c>
      <c r="R337" s="7">
        <f>日前电价!R337-实时电价!R337</f>
        <v>50.501199999999997</v>
      </c>
      <c r="S337" s="7">
        <f>日前电价!S337-实时电价!S337</f>
        <v>34.779899999999998</v>
      </c>
      <c r="T337" s="7">
        <f>日前电价!T337-实时电价!T337</f>
        <v>71.874200000000002</v>
      </c>
      <c r="U337" s="7">
        <f>日前电价!U337-实时电价!U337</f>
        <v>54.904000000000003</v>
      </c>
      <c r="V337" s="7">
        <f>日前电价!V337-实时电价!V337</f>
        <v>10.005599999999999</v>
      </c>
      <c r="W337" s="7">
        <f>日前电价!W337-实时电价!W337</f>
        <v>4.1229999999999896</v>
      </c>
      <c r="X337" s="7">
        <f>日前电价!X337-实时电价!X337</f>
        <v>31.2486</v>
      </c>
      <c r="Y337" s="7">
        <f>日前电价!Y337-实时电价!Y337</f>
        <v>14.321199999999999</v>
      </c>
      <c r="Z337" s="9">
        <f t="shared" si="15"/>
        <v>285.57</v>
      </c>
      <c r="AA337" s="9">
        <f t="shared" si="16"/>
        <v>-191.3134</v>
      </c>
      <c r="AB337" s="9">
        <f t="shared" si="17"/>
        <v>41.587370833333303</v>
      </c>
    </row>
    <row r="338" spans="1:28">
      <c r="A338" s="8">
        <v>45628</v>
      </c>
      <c r="B338" s="7">
        <f>日前电价!B338-实时电价!B338</f>
        <v>-8.0149000000000097</v>
      </c>
      <c r="C338" s="7">
        <f>日前电价!C338-实时电价!C338</f>
        <v>10.214499999999999</v>
      </c>
      <c r="D338" s="7">
        <f>日前电价!D338-实时电价!D338</f>
        <v>12.3666</v>
      </c>
      <c r="E338" s="7">
        <f>日前电价!E338-实时电价!E338</f>
        <v>33.238900000000001</v>
      </c>
      <c r="F338" s="7">
        <f>日前电价!F338-实时电价!F338</f>
        <v>46.424700000000001</v>
      </c>
      <c r="G338" s="7">
        <f>日前电价!G338-实时电价!G338</f>
        <v>38.2226</v>
      </c>
      <c r="H338" s="7">
        <f>日前电价!H338-实时电价!H338</f>
        <v>38.0608</v>
      </c>
      <c r="I338" s="7">
        <f>日前电价!I338-实时电价!I338</f>
        <v>-297.8374</v>
      </c>
      <c r="J338" s="7">
        <f>日前电价!J338-实时电价!J338</f>
        <v>-207.88300000000001</v>
      </c>
      <c r="K338" s="7">
        <f>日前电价!K338-实时电价!K338</f>
        <v>-55.685899999999897</v>
      </c>
      <c r="L338" s="7">
        <f>日前电价!L338-实时电价!L338</f>
        <v>-23.189399999999999</v>
      </c>
      <c r="M338" s="7">
        <f>日前电价!M338-实时电价!M338</f>
        <v>28.2362</v>
      </c>
      <c r="N338" s="7">
        <f>日前电价!N338-实时电价!N338</f>
        <v>-41.767699999999998</v>
      </c>
      <c r="O338" s="7">
        <f>日前电价!O338-实时电价!O338</f>
        <v>-122.9594</v>
      </c>
      <c r="P338" s="7">
        <f>日前电价!P338-实时电价!P338</f>
        <v>-17.824100000000001</v>
      </c>
      <c r="Q338" s="7">
        <f>日前电价!Q338-实时电价!Q338</f>
        <v>-79.811700000000002</v>
      </c>
      <c r="R338" s="7">
        <f>日前电价!R338-实时电价!R338</f>
        <v>-308.74619999999999</v>
      </c>
      <c r="S338" s="7">
        <f>日前电价!S338-实时电价!S338</f>
        <v>-242.48929999999999</v>
      </c>
      <c r="T338" s="7">
        <f>日前电价!T338-实时电价!T338</f>
        <v>-122.71510000000001</v>
      </c>
      <c r="U338" s="7">
        <f>日前电价!U338-实时电价!U338</f>
        <v>-176.8074</v>
      </c>
      <c r="V338" s="7">
        <f>日前电价!V338-实时电价!V338</f>
        <v>-217.2988</v>
      </c>
      <c r="W338" s="7">
        <f>日前电价!W338-实时电价!W338</f>
        <v>-258.54079999999999</v>
      </c>
      <c r="X338" s="7">
        <f>日前电价!X338-实时电价!X338</f>
        <v>-124.2882</v>
      </c>
      <c r="Y338" s="7">
        <f>日前电价!Y338-实时电价!Y338</f>
        <v>-20.1556</v>
      </c>
      <c r="Z338" s="9">
        <f t="shared" si="15"/>
        <v>46.424700000000001</v>
      </c>
      <c r="AA338" s="9">
        <f t="shared" si="16"/>
        <v>-308.74619999999999</v>
      </c>
      <c r="AB338" s="9">
        <f t="shared" si="17"/>
        <v>-88.302108333333393</v>
      </c>
    </row>
    <row r="339" spans="1:28">
      <c r="A339" s="8">
        <v>45629</v>
      </c>
      <c r="B339" s="7">
        <f>日前电价!B339-实时电价!B339</f>
        <v>-156.63650000000001</v>
      </c>
      <c r="C339" s="7">
        <f>日前电价!C339-实时电价!C339</f>
        <v>-182.58840000000001</v>
      </c>
      <c r="D339" s="7">
        <f>日前电价!D339-实时电价!D339</f>
        <v>-44.005000000000003</v>
      </c>
      <c r="E339" s="7">
        <f>日前电价!E339-实时电价!E339</f>
        <v>-18.7195</v>
      </c>
      <c r="F339" s="7">
        <f>日前电价!F339-实时电价!F339</f>
        <v>-18.2121</v>
      </c>
      <c r="G339" s="7">
        <f>日前电价!G339-实时电价!G339</f>
        <v>-39.5745</v>
      </c>
      <c r="H339" s="7">
        <f>日前电价!H339-实时电价!H339</f>
        <v>-441.42689999999999</v>
      </c>
      <c r="I339" s="7">
        <f>日前电价!I339-实时电价!I339</f>
        <v>-352.78870000000001</v>
      </c>
      <c r="J339" s="7">
        <f>日前电价!J339-实时电价!J339</f>
        <v>-440.34949999999998</v>
      </c>
      <c r="K339" s="7">
        <f>日前电价!K339-实时电价!K339</f>
        <v>-130.99010000000001</v>
      </c>
      <c r="L339" s="7">
        <f>日前电价!L339-实时电价!L339</f>
        <v>-23.285599999999999</v>
      </c>
      <c r="M339" s="7">
        <f>日前电价!M339-实时电价!M339</f>
        <v>-52.9206</v>
      </c>
      <c r="N339" s="7">
        <f>日前电价!N339-实时电价!N339</f>
        <v>0</v>
      </c>
      <c r="O339" s="7">
        <f>日前电价!O339-实时电价!O339</f>
        <v>-66.453299999999999</v>
      </c>
      <c r="P339" s="7">
        <f>日前电价!P339-实时电价!P339</f>
        <v>-30.761299999999999</v>
      </c>
      <c r="Q339" s="7">
        <f>日前电价!Q339-实时电价!Q339</f>
        <v>-34.211300000000101</v>
      </c>
      <c r="R339" s="7">
        <f>日前电价!R339-实时电价!R339</f>
        <v>-156.2791</v>
      </c>
      <c r="S339" s="7">
        <f>日前电价!S339-实时电价!S339</f>
        <v>-187.72890000000001</v>
      </c>
      <c r="T339" s="7">
        <f>日前电价!T339-实时电价!T339</f>
        <v>-299.92230000000001</v>
      </c>
      <c r="U339" s="7">
        <f>日前电价!U339-实时电价!U339</f>
        <v>-156.2808</v>
      </c>
      <c r="V339" s="7">
        <f>日前电价!V339-实时电价!V339</f>
        <v>-235.52860000000001</v>
      </c>
      <c r="W339" s="7">
        <f>日前电价!W339-实时电价!W339</f>
        <v>-58.938000000000002</v>
      </c>
      <c r="X339" s="7">
        <f>日前电价!X339-实时电价!X339</f>
        <v>-170.10810000000001</v>
      </c>
      <c r="Y339" s="7">
        <f>日前电价!Y339-实时电价!Y339</f>
        <v>-5.9717999999999698</v>
      </c>
      <c r="Z339" s="9">
        <f t="shared" si="15"/>
        <v>0</v>
      </c>
      <c r="AA339" s="9">
        <f t="shared" si="16"/>
        <v>-441.42689999999999</v>
      </c>
      <c r="AB339" s="9">
        <f t="shared" si="17"/>
        <v>-137.65337083333301</v>
      </c>
    </row>
    <row r="340" spans="1:28">
      <c r="A340" s="8">
        <v>45630</v>
      </c>
      <c r="B340" s="7">
        <f>日前电价!B340-实时电价!B340</f>
        <v>-124.2196</v>
      </c>
      <c r="C340" s="7">
        <f>日前电价!C340-实时电价!C340</f>
        <v>-124.6078</v>
      </c>
      <c r="D340" s="7">
        <f>日前电价!D340-实时电价!D340</f>
        <v>-193.4068</v>
      </c>
      <c r="E340" s="7">
        <f>日前电价!E340-实时电价!E340</f>
        <v>-44.507599999999996</v>
      </c>
      <c r="F340" s="7">
        <f>日前电价!F340-实时电价!F340</f>
        <v>-56.896099999999997</v>
      </c>
      <c r="G340" s="7">
        <f>日前电价!G340-实时电价!G340</f>
        <v>-10.644399999999999</v>
      </c>
      <c r="H340" s="7">
        <f>日前电价!H340-实时电价!H340</f>
        <v>-104.0116</v>
      </c>
      <c r="I340" s="7">
        <f>日前电价!I340-实时电价!I340</f>
        <v>-190.8306</v>
      </c>
      <c r="J340" s="7">
        <f>日前电价!J340-实时电价!J340</f>
        <v>-297.57479999999998</v>
      </c>
      <c r="K340" s="7">
        <f>日前电价!K340-实时电价!K340</f>
        <v>-181.1848</v>
      </c>
      <c r="L340" s="7">
        <f>日前电价!L340-实时电价!L340</f>
        <v>-48.338099999999997</v>
      </c>
      <c r="M340" s="7">
        <f>日前电价!M340-实时电价!M340</f>
        <v>-9.3355000000000192</v>
      </c>
      <c r="N340" s="7">
        <f>日前电价!N340-实时电价!N340</f>
        <v>-22.079000000000001</v>
      </c>
      <c r="O340" s="7">
        <f>日前电价!O340-实时电价!O340</f>
        <v>-41.712400000000002</v>
      </c>
      <c r="P340" s="7">
        <f>日前电价!P340-实时电价!P340</f>
        <v>-48.164499999999997</v>
      </c>
      <c r="Q340" s="7">
        <f>日前电价!Q340-实时电价!Q340</f>
        <v>-230.14670000000001</v>
      </c>
      <c r="R340" s="7">
        <f>日前电价!R340-实时电价!R340</f>
        <v>-303.09230000000002</v>
      </c>
      <c r="S340" s="7">
        <f>日前电价!S340-实时电价!S340</f>
        <v>-280.87259999999998</v>
      </c>
      <c r="T340" s="7">
        <f>日前电价!T340-实时电价!T340</f>
        <v>-559.5163</v>
      </c>
      <c r="U340" s="7">
        <f>日前电价!U340-实时电价!U340</f>
        <v>-273.41840000000002</v>
      </c>
      <c r="V340" s="7">
        <f>日前电价!V340-实时电价!V340</f>
        <v>-238.83320000000001</v>
      </c>
      <c r="W340" s="7">
        <f>日前电价!W340-实时电价!W340</f>
        <v>-270.72399999999999</v>
      </c>
      <c r="X340" s="7">
        <f>日前电价!X340-实时电价!X340</f>
        <v>-68.846400000000003</v>
      </c>
      <c r="Y340" s="7">
        <f>日前电价!Y340-实时电价!Y340</f>
        <v>-23.8522</v>
      </c>
      <c r="Z340" s="9">
        <f t="shared" si="15"/>
        <v>-9.3355000000000192</v>
      </c>
      <c r="AA340" s="9">
        <f t="shared" si="16"/>
        <v>-559.5163</v>
      </c>
      <c r="AB340" s="9">
        <f t="shared" si="17"/>
        <v>-156.117320833333</v>
      </c>
    </row>
    <row r="341" spans="1:28">
      <c r="A341" s="8">
        <v>45631</v>
      </c>
      <c r="B341" s="7">
        <f>日前电价!B341-实时电价!B341</f>
        <v>-36.648000000000003</v>
      </c>
      <c r="C341" s="7">
        <f>日前电价!C341-实时电价!C341</f>
        <v>-12.9108</v>
      </c>
      <c r="D341" s="7">
        <f>日前电价!D341-实时电价!D341</f>
        <v>-15.649699999999999</v>
      </c>
      <c r="E341" s="7">
        <f>日前电价!E341-实时电价!E341</f>
        <v>-4.8700999999999803</v>
      </c>
      <c r="F341" s="7">
        <f>日前电价!F341-实时电价!F341</f>
        <v>0.62130000000001895</v>
      </c>
      <c r="G341" s="7">
        <f>日前电价!G341-实时电价!G341</f>
        <v>-41.599600000000002</v>
      </c>
      <c r="H341" s="7">
        <f>日前电价!H341-实时电价!H341</f>
        <v>23.6813</v>
      </c>
      <c r="I341" s="7">
        <f>日前电价!I341-实时电价!I341</f>
        <v>10.5007</v>
      </c>
      <c r="J341" s="7">
        <f>日前电价!J341-实时电价!J341</f>
        <v>-44.265500000000003</v>
      </c>
      <c r="K341" s="7">
        <f>日前电价!K341-实时电价!K341</f>
        <v>-53.124299999999998</v>
      </c>
      <c r="L341" s="7">
        <f>日前电价!L341-实时电价!L341</f>
        <v>-30.718499999999999</v>
      </c>
      <c r="M341" s="7">
        <f>日前电价!M341-实时电价!M341</f>
        <v>-5.9140999999999897</v>
      </c>
      <c r="N341" s="7">
        <f>日前电价!N341-实时电价!N341</f>
        <v>-9.0970999999999993</v>
      </c>
      <c r="O341" s="7">
        <f>日前电价!O341-实时电价!O341</f>
        <v>-54.614800000000002</v>
      </c>
      <c r="P341" s="7">
        <f>日前电价!P341-实时电价!P341</f>
        <v>-28.366</v>
      </c>
      <c r="Q341" s="7">
        <f>日前电价!Q341-实时电价!Q341</f>
        <v>-36.773800000000001</v>
      </c>
      <c r="R341" s="7">
        <f>日前电价!R341-实时电价!R341</f>
        <v>-79.994900000000001</v>
      </c>
      <c r="S341" s="7">
        <f>日前电价!S341-实时电价!S341</f>
        <v>-27.6678</v>
      </c>
      <c r="T341" s="7">
        <f>日前电价!T341-实时电价!T341</f>
        <v>-27.907699999999998</v>
      </c>
      <c r="U341" s="7">
        <f>日前电价!U341-实时电价!U341</f>
        <v>-30.473500000000001</v>
      </c>
      <c r="V341" s="7">
        <f>日前电价!V341-实时电价!V341</f>
        <v>-26.637499999999999</v>
      </c>
      <c r="W341" s="7">
        <f>日前电价!W341-实时电价!W341</f>
        <v>-25.0596</v>
      </c>
      <c r="X341" s="7">
        <f>日前电价!X341-实时电价!X341</f>
        <v>-12.766400000000001</v>
      </c>
      <c r="Y341" s="7">
        <f>日前电价!Y341-实时电价!Y341</f>
        <v>-11.6584</v>
      </c>
      <c r="Z341" s="9">
        <f t="shared" si="15"/>
        <v>23.6813</v>
      </c>
      <c r="AA341" s="9">
        <f t="shared" si="16"/>
        <v>-79.994900000000001</v>
      </c>
      <c r="AB341" s="9">
        <f t="shared" si="17"/>
        <v>-24.246449999999999</v>
      </c>
    </row>
    <row r="342" spans="1:28">
      <c r="A342" s="8">
        <v>45632</v>
      </c>
      <c r="B342" s="7">
        <f>日前电价!B342-实时电价!B342</f>
        <v>-38.0426</v>
      </c>
      <c r="C342" s="7">
        <f>日前电价!C342-实时电价!C342</f>
        <v>-26.561199999999999</v>
      </c>
      <c r="D342" s="7">
        <f>日前电价!D342-实时电价!D342</f>
        <v>-10.883599999999999</v>
      </c>
      <c r="E342" s="7">
        <f>日前电价!E342-实时电价!E342</f>
        <v>-22.248899999999999</v>
      </c>
      <c r="F342" s="7">
        <f>日前电价!F342-实时电价!F342</f>
        <v>-22.276599999999998</v>
      </c>
      <c r="G342" s="7">
        <f>日前电价!G342-实时电价!G342</f>
        <v>-4.8397999999999701</v>
      </c>
      <c r="H342" s="7">
        <f>日前电价!H342-实时电价!H342</f>
        <v>-5.8507000000000202</v>
      </c>
      <c r="I342" s="7">
        <f>日前电价!I342-实时电价!I342</f>
        <v>-24.555700000000002</v>
      </c>
      <c r="J342" s="7">
        <f>日前电价!J342-实时电价!J342</f>
        <v>-315.1728</v>
      </c>
      <c r="K342" s="7">
        <f>日前电价!K342-实时电价!K342</f>
        <v>-230.19909999999999</v>
      </c>
      <c r="L342" s="7">
        <f>日前电价!L342-实时电价!L342</f>
        <v>-83.457599999999999</v>
      </c>
      <c r="M342" s="7">
        <f>日前电价!M342-实时电价!M342</f>
        <v>-63.766300000000001</v>
      </c>
      <c r="N342" s="7">
        <f>日前电价!N342-实时电价!N342</f>
        <v>-10.700100000000001</v>
      </c>
      <c r="O342" s="7">
        <f>日前电价!O342-实时电价!O342</f>
        <v>-42.9392</v>
      </c>
      <c r="P342" s="7">
        <f>日前电价!P342-实时电价!P342</f>
        <v>-36.700499999999998</v>
      </c>
      <c r="Q342" s="7">
        <f>日前电价!Q342-实时电价!Q342</f>
        <v>-37.651299999999999</v>
      </c>
      <c r="R342" s="7">
        <f>日前电价!R342-实时电价!R342</f>
        <v>-215.2852</v>
      </c>
      <c r="S342" s="7">
        <f>日前电价!S342-实时电价!S342</f>
        <v>-123.15689999999999</v>
      </c>
      <c r="T342" s="7">
        <f>日前电价!T342-实时电价!T342</f>
        <v>-247.15219999999999</v>
      </c>
      <c r="U342" s="7">
        <f>日前电价!U342-实时电价!U342</f>
        <v>-219.62139999999999</v>
      </c>
      <c r="V342" s="7">
        <f>日前电价!V342-实时电价!V342</f>
        <v>-172.35659999999999</v>
      </c>
      <c r="W342" s="7">
        <f>日前电价!W342-实时电价!W342</f>
        <v>-120.5849</v>
      </c>
      <c r="X342" s="7">
        <f>日前电价!X342-实时电价!X342</f>
        <v>-99.827799999999996</v>
      </c>
      <c r="Y342" s="7">
        <f>日前电价!Y342-实时电价!Y342</f>
        <v>-42.599400000000003</v>
      </c>
      <c r="Z342" s="9">
        <f t="shared" si="15"/>
        <v>-4.8397999999999701</v>
      </c>
      <c r="AA342" s="9">
        <f t="shared" si="16"/>
        <v>-315.1728</v>
      </c>
      <c r="AB342" s="9">
        <f t="shared" si="17"/>
        <v>-92.351266666666703</v>
      </c>
    </row>
    <row r="343" spans="1:28">
      <c r="A343" s="8">
        <v>45633</v>
      </c>
      <c r="B343" s="7">
        <f>日前电价!B343-实时电价!B343</f>
        <v>-154.251</v>
      </c>
      <c r="C343" s="7">
        <f>日前电价!C343-实时电价!C343</f>
        <v>-75.542900000000003</v>
      </c>
      <c r="D343" s="7">
        <f>日前电价!D343-实时电价!D343</f>
        <v>-38.626199999999997</v>
      </c>
      <c r="E343" s="7">
        <f>日前电价!E343-实时电价!E343</f>
        <v>-10.8301</v>
      </c>
      <c r="F343" s="7">
        <f>日前电价!F343-实时电价!F343</f>
        <v>20.7881</v>
      </c>
      <c r="G343" s="7">
        <f>日前电价!G343-实时电价!G343</f>
        <v>56.012</v>
      </c>
      <c r="H343" s="7">
        <f>日前电价!H343-实时电价!H343</f>
        <v>1.1947999999999901</v>
      </c>
      <c r="I343" s="7">
        <f>日前电价!I343-实时电价!I343</f>
        <v>-42.905299999999997</v>
      </c>
      <c r="J343" s="7">
        <f>日前电价!J343-实时电价!J343</f>
        <v>-148.28129999999999</v>
      </c>
      <c r="K343" s="7">
        <f>日前电价!K343-实时电价!K343</f>
        <v>42.432099999999998</v>
      </c>
      <c r="L343" s="7">
        <f>日前电价!L343-实时电价!L343</f>
        <v>26.123899999999999</v>
      </c>
      <c r="M343" s="7">
        <f>日前电价!M343-实时电价!M343</f>
        <v>64.956800000000001</v>
      </c>
      <c r="N343" s="7">
        <f>日前电价!N343-实时电价!N343</f>
        <v>97.857699999999994</v>
      </c>
      <c r="O343" s="7">
        <f>日前电价!O343-实时电价!O343</f>
        <v>-13.8842</v>
      </c>
      <c r="P343" s="7">
        <f>日前电价!P343-实时电价!P343</f>
        <v>-43.249200000000002</v>
      </c>
      <c r="Q343" s="7">
        <f>日前电价!Q343-实时电价!Q343</f>
        <v>-41.171399999999998</v>
      </c>
      <c r="R343" s="7">
        <f>日前电价!R343-实时电价!R343</f>
        <v>-156.55279999999999</v>
      </c>
      <c r="S343" s="7">
        <f>日前电价!S343-实时电价!S343</f>
        <v>-86.863600000000005</v>
      </c>
      <c r="T343" s="7">
        <f>日前电价!T343-实时电价!T343</f>
        <v>-48.820999999999998</v>
      </c>
      <c r="U343" s="7">
        <f>日前电价!U343-实时电价!U343</f>
        <v>-43.297899999999998</v>
      </c>
      <c r="V343" s="7">
        <f>日前电价!V343-实时电价!V343</f>
        <v>-39.212800000000001</v>
      </c>
      <c r="W343" s="7">
        <f>日前电价!W343-实时电价!W343</f>
        <v>1.7572999999999901</v>
      </c>
      <c r="X343" s="7">
        <f>日前电价!X343-实时电价!X343</f>
        <v>16.396699999999999</v>
      </c>
      <c r="Y343" s="7">
        <f>日前电价!Y343-实时电价!Y343</f>
        <v>20.275600000000001</v>
      </c>
      <c r="Z343" s="9">
        <f t="shared" si="15"/>
        <v>97.857699999999994</v>
      </c>
      <c r="AA343" s="9">
        <f t="shared" si="16"/>
        <v>-156.55279999999999</v>
      </c>
      <c r="AB343" s="9">
        <f t="shared" si="17"/>
        <v>-24.820612499999999</v>
      </c>
    </row>
    <row r="344" spans="1:28">
      <c r="A344" s="8">
        <v>45634</v>
      </c>
      <c r="B344" s="7">
        <f>日前电价!B344-实时电价!B344</f>
        <v>-304.97269999999997</v>
      </c>
      <c r="C344" s="7">
        <f>日前电价!C344-实时电价!C344</f>
        <v>-228.71260000000001</v>
      </c>
      <c r="D344" s="7">
        <f>日前电价!D344-实时电价!D344</f>
        <v>-106.8944</v>
      </c>
      <c r="E344" s="7">
        <f>日前电价!E344-实时电价!E344</f>
        <v>-21.058700000000002</v>
      </c>
      <c r="F344" s="7">
        <f>日前电价!F344-实时电价!F344</f>
        <v>-135.70699999999999</v>
      </c>
      <c r="G344" s="7">
        <f>日前电价!G344-实时电价!G344</f>
        <v>-104.4649</v>
      </c>
      <c r="H344" s="7">
        <f>日前电价!H344-实时电价!H344</f>
        <v>-77.505300000000005</v>
      </c>
      <c r="I344" s="7">
        <f>日前电价!I344-实时电价!I344</f>
        <v>-127.7235</v>
      </c>
      <c r="J344" s="7">
        <f>日前电价!J344-实时电价!J344</f>
        <v>-160.4623</v>
      </c>
      <c r="K344" s="7">
        <f>日前电价!K344-实时电价!K344</f>
        <v>-101.6892</v>
      </c>
      <c r="L344" s="7">
        <f>日前电价!L344-实时电价!L344</f>
        <v>-89.433700000000002</v>
      </c>
      <c r="M344" s="7">
        <f>日前电价!M344-实时电价!M344</f>
        <v>-101.36279999999999</v>
      </c>
      <c r="N344" s="7">
        <f>日前电价!N344-实时电价!N344</f>
        <v>-45.928699999999999</v>
      </c>
      <c r="O344" s="7">
        <f>日前电价!O344-实时电价!O344</f>
        <v>-97.418999999999997</v>
      </c>
      <c r="P344" s="7">
        <f>日前电价!P344-实时电价!P344</f>
        <v>-167.6748</v>
      </c>
      <c r="Q344" s="7">
        <f>日前电价!Q344-实时电价!Q344</f>
        <v>-34.772199999999998</v>
      </c>
      <c r="R344" s="7">
        <f>日前电价!R344-实时电价!R344</f>
        <v>-65.573300000000003</v>
      </c>
      <c r="S344" s="7">
        <f>日前电价!S344-实时电价!S344</f>
        <v>-61.7288</v>
      </c>
      <c r="T344" s="7">
        <f>日前电价!T344-实时电价!T344</f>
        <v>-41.110700000000001</v>
      </c>
      <c r="U344" s="7">
        <f>日前电价!U344-实时电价!U344</f>
        <v>-41.337000000000003</v>
      </c>
      <c r="V344" s="7">
        <f>日前电价!V344-实时电价!V344</f>
        <v>-47.029400000000003</v>
      </c>
      <c r="W344" s="7">
        <f>日前电价!W344-实时电价!W344</f>
        <v>-31.018599999999999</v>
      </c>
      <c r="X344" s="7">
        <f>日前电价!X344-实时电价!X344</f>
        <v>-28.098299999999998</v>
      </c>
      <c r="Y344" s="7">
        <f>日前电价!Y344-实时电价!Y344</f>
        <v>-48.992400000000004</v>
      </c>
      <c r="Z344" s="9">
        <f t="shared" si="15"/>
        <v>-21.058700000000002</v>
      </c>
      <c r="AA344" s="9">
        <f t="shared" si="16"/>
        <v>-304.97269999999997</v>
      </c>
      <c r="AB344" s="9">
        <f t="shared" si="17"/>
        <v>-94.611262499999995</v>
      </c>
    </row>
    <row r="345" spans="1:28">
      <c r="A345" s="8">
        <v>45635</v>
      </c>
      <c r="B345" s="7">
        <f>日前电价!B345-实时电价!B345</f>
        <v>-137.9007</v>
      </c>
      <c r="C345" s="7">
        <f>日前电价!C345-实时电价!C345</f>
        <v>-9.0189000000000306</v>
      </c>
      <c r="D345" s="7">
        <f>日前电价!D345-实时电价!D345</f>
        <v>1.20549999999997</v>
      </c>
      <c r="E345" s="7">
        <f>日前电价!E345-实时电价!E345</f>
        <v>-0.73419999999998697</v>
      </c>
      <c r="F345" s="7">
        <f>日前电价!F345-实时电价!F345</f>
        <v>-27.523199999999999</v>
      </c>
      <c r="G345" s="7">
        <f>日前电价!G345-实时电价!G345</f>
        <v>-31.045999999999999</v>
      </c>
      <c r="H345" s="7">
        <f>日前电价!H345-实时电价!H345</f>
        <v>-39.618200000000002</v>
      </c>
      <c r="I345" s="7">
        <f>日前电价!I345-实时电价!I345</f>
        <v>-68.714699999999993</v>
      </c>
      <c r="J345" s="7">
        <f>日前电价!J345-实时电价!J345</f>
        <v>-478.21039999999999</v>
      </c>
      <c r="K345" s="7">
        <f>日前电价!K345-实时电价!K345</f>
        <v>-345.76600000000002</v>
      </c>
      <c r="L345" s="7">
        <f>日前电价!L345-实时电价!L345</f>
        <v>-349.84690000000001</v>
      </c>
      <c r="M345" s="7">
        <f>日前电价!M345-实时电价!M345</f>
        <v>-27.19</v>
      </c>
      <c r="N345" s="7">
        <f>日前电价!N345-实时电价!N345</f>
        <v>-42.219499999999996</v>
      </c>
      <c r="O345" s="7">
        <f>日前电价!O345-实时电价!O345</f>
        <v>-68.654499999999999</v>
      </c>
      <c r="P345" s="7">
        <f>日前电价!P345-实时电价!P345</f>
        <v>-38.1081</v>
      </c>
      <c r="Q345" s="7">
        <f>日前电价!Q345-实时电价!Q345</f>
        <v>-46.716900000000003</v>
      </c>
      <c r="R345" s="7">
        <f>日前电价!R345-实时电价!R345</f>
        <v>-59.766199999999998</v>
      </c>
      <c r="S345" s="7">
        <f>日前电价!S345-实时电价!S345</f>
        <v>-144.2653</v>
      </c>
      <c r="T345" s="7">
        <f>日前电价!T345-实时电价!T345</f>
        <v>-181.53809999999999</v>
      </c>
      <c r="U345" s="7">
        <f>日前电价!U345-实时电价!U345</f>
        <v>-127.0091</v>
      </c>
      <c r="V345" s="7">
        <f>日前电价!V345-实时电价!V345</f>
        <v>-206.2764</v>
      </c>
      <c r="W345" s="7">
        <f>日前电价!W345-实时电价!W345</f>
        <v>-110.29770000000001</v>
      </c>
      <c r="X345" s="7">
        <f>日前电价!X345-实时电价!X345</f>
        <v>-33.587899999999998</v>
      </c>
      <c r="Y345" s="7">
        <f>日前电价!Y345-实时电价!Y345</f>
        <v>-13.6853</v>
      </c>
      <c r="Z345" s="9">
        <f t="shared" si="15"/>
        <v>1.20549999999997</v>
      </c>
      <c r="AA345" s="9">
        <f t="shared" si="16"/>
        <v>-478.21039999999999</v>
      </c>
      <c r="AB345" s="9">
        <f t="shared" si="17"/>
        <v>-107.7703625</v>
      </c>
    </row>
    <row r="346" spans="1:28">
      <c r="A346" s="8">
        <v>45636</v>
      </c>
      <c r="B346" s="7">
        <f>日前电价!B346-实时电价!B346</f>
        <v>93.690600000000003</v>
      </c>
      <c r="C346" s="7">
        <f>日前电价!C346-实时电价!C346</f>
        <v>38.206400000000002</v>
      </c>
      <c r="D346" s="7">
        <f>日前电价!D346-实时电价!D346</f>
        <v>79.344099999999997</v>
      </c>
      <c r="E346" s="7">
        <f>日前电价!E346-实时电价!E346</f>
        <v>63.3611</v>
      </c>
      <c r="F346" s="7">
        <f>日前电价!F346-实时电价!F346</f>
        <v>27.509499999999999</v>
      </c>
      <c r="G346" s="7">
        <f>日前电价!G346-实时电价!G346</f>
        <v>5.8502999999999998</v>
      </c>
      <c r="H346" s="7">
        <f>日前电价!H346-实时电价!H346</f>
        <v>-111.68040000000001</v>
      </c>
      <c r="I346" s="7">
        <f>日前电价!I346-实时电价!I346</f>
        <v>-9.5640000000000196</v>
      </c>
      <c r="J346" s="7">
        <f>日前电价!J346-实时电价!J346</f>
        <v>-95.9666</v>
      </c>
      <c r="K346" s="7">
        <f>日前电价!K346-实时电价!K346</f>
        <v>16.216200000000001</v>
      </c>
      <c r="L346" s="7">
        <f>日前电价!L346-实时电价!L346</f>
        <v>46.347299999999997</v>
      </c>
      <c r="M346" s="7">
        <f>日前电价!M346-实时电价!M346</f>
        <v>47.383099999999999</v>
      </c>
      <c r="N346" s="7">
        <f>日前电价!N346-实时电价!N346</f>
        <v>209.23240000000001</v>
      </c>
      <c r="O346" s="7">
        <f>日前电价!O346-实时电价!O346</f>
        <v>82.274199999999993</v>
      </c>
      <c r="P346" s="7">
        <f>日前电价!P346-实时电价!P346</f>
        <v>8.83260000000001</v>
      </c>
      <c r="Q346" s="7">
        <f>日前电价!Q346-实时电价!Q346</f>
        <v>28.482900000000001</v>
      </c>
      <c r="R346" s="7">
        <f>日前电价!R346-实时电价!R346</f>
        <v>33.7791</v>
      </c>
      <c r="S346" s="7">
        <f>日前电价!S346-实时电价!S346</f>
        <v>44.453000000000003</v>
      </c>
      <c r="T346" s="7">
        <f>日前电价!T346-实时电价!T346</f>
        <v>30.519300000000001</v>
      </c>
      <c r="U346" s="7">
        <f>日前电价!U346-实时电价!U346</f>
        <v>48.633899999999997</v>
      </c>
      <c r="V346" s="7">
        <f>日前电价!V346-实时电价!V346</f>
        <v>-5.4977999999999803</v>
      </c>
      <c r="W346" s="7">
        <f>日前电价!W346-实时电价!W346</f>
        <v>-19.635100000000001</v>
      </c>
      <c r="X346" s="7">
        <f>日前电价!X346-实时电价!X346</f>
        <v>10.701599999999999</v>
      </c>
      <c r="Y346" s="7">
        <f>日前电价!Y346-实时电价!Y346</f>
        <v>8.5353000000000101</v>
      </c>
      <c r="Z346" s="9">
        <f t="shared" si="15"/>
        <v>209.23240000000001</v>
      </c>
      <c r="AA346" s="9">
        <f t="shared" si="16"/>
        <v>-111.68040000000001</v>
      </c>
      <c r="AB346" s="9">
        <f t="shared" si="17"/>
        <v>28.375374999999998</v>
      </c>
    </row>
    <row r="347" spans="1:28">
      <c r="A347" s="8">
        <v>45637</v>
      </c>
      <c r="B347" s="7">
        <f>日前电价!B347-实时电价!B347</f>
        <v>-20.533000000000001</v>
      </c>
      <c r="C347" s="7">
        <f>日前电价!C347-实时电价!C347</f>
        <v>10.661799999999999</v>
      </c>
      <c r="D347" s="7">
        <f>日前电价!D347-实时电价!D347</f>
        <v>34.101900000000001</v>
      </c>
      <c r="E347" s="7">
        <f>日前电价!E347-实时电价!E347</f>
        <v>2.7411000000000199</v>
      </c>
      <c r="F347" s="7">
        <f>日前电价!F347-实时电价!F347</f>
        <v>0.412000000000035</v>
      </c>
      <c r="G347" s="7">
        <f>日前电价!G347-实时电价!G347</f>
        <v>-5.4646000000000203</v>
      </c>
      <c r="H347" s="7">
        <f>日前电价!H347-实时电价!H347</f>
        <v>-104.8952</v>
      </c>
      <c r="I347" s="7">
        <f>日前电价!I347-实时电价!I347</f>
        <v>-107.0552</v>
      </c>
      <c r="J347" s="7">
        <f>日前电价!J347-实时电价!J347</f>
        <v>-111.6474</v>
      </c>
      <c r="K347" s="7">
        <f>日前电价!K347-实时电价!K347</f>
        <v>-239.8835</v>
      </c>
      <c r="L347" s="7">
        <f>日前电价!L347-实时电价!L347</f>
        <v>-201.37909999999999</v>
      </c>
      <c r="M347" s="7">
        <f>日前电价!M347-实时电价!M347</f>
        <v>-124.69199999999999</v>
      </c>
      <c r="N347" s="7">
        <f>日前电价!N347-实时电价!N347</f>
        <v>32.746200000000002</v>
      </c>
      <c r="O347" s="7">
        <f>日前电价!O347-实时电价!O347</f>
        <v>-88.993399999999994</v>
      </c>
      <c r="P347" s="7">
        <f>日前电价!P347-实时电价!P347</f>
        <v>-100.62860000000001</v>
      </c>
      <c r="Q347" s="7">
        <f>日前电价!Q347-实时电价!Q347</f>
        <v>-98.236800000000002</v>
      </c>
      <c r="R347" s="7">
        <f>日前电价!R347-实时电价!R347</f>
        <v>-104.9451</v>
      </c>
      <c r="S347" s="7">
        <f>日前电价!S347-实时电价!S347</f>
        <v>0.23329999999998599</v>
      </c>
      <c r="T347" s="7">
        <f>日前电价!T347-实时电价!T347</f>
        <v>-12.8492</v>
      </c>
      <c r="U347" s="7">
        <f>日前电价!U347-实时电价!U347</f>
        <v>-11.118600000000001</v>
      </c>
      <c r="V347" s="7">
        <f>日前电价!V347-实时电价!V347</f>
        <v>1.90289999999999</v>
      </c>
      <c r="W347" s="7">
        <f>日前电价!W347-实时电价!W347</f>
        <v>-16.648599999999998</v>
      </c>
      <c r="X347" s="7">
        <f>日前电价!X347-实时电价!X347</f>
        <v>56.5608</v>
      </c>
      <c r="Y347" s="7">
        <f>日前电价!Y347-实时电价!Y347</f>
        <v>13.33</v>
      </c>
      <c r="Z347" s="9">
        <f t="shared" si="15"/>
        <v>56.5608</v>
      </c>
      <c r="AA347" s="9">
        <f t="shared" si="16"/>
        <v>-239.8835</v>
      </c>
      <c r="AB347" s="9">
        <f t="shared" si="17"/>
        <v>-49.845012500000003</v>
      </c>
    </row>
    <row r="348" spans="1:28">
      <c r="A348" s="8">
        <v>45638</v>
      </c>
      <c r="B348" s="7">
        <f>日前电价!B348-实时电价!B348</f>
        <v>-149.00649999999999</v>
      </c>
      <c r="C348" s="7">
        <f>日前电价!C348-实时电价!C348</f>
        <v>11.247299999999999</v>
      </c>
      <c r="D348" s="7">
        <f>日前电价!D348-实时电价!D348</f>
        <v>18.270099999999999</v>
      </c>
      <c r="E348" s="7">
        <f>日前电价!E348-实时电价!E348</f>
        <v>21.1587</v>
      </c>
      <c r="F348" s="7">
        <f>日前电价!F348-实时电价!F348</f>
        <v>32.138500000000001</v>
      </c>
      <c r="G348" s="7">
        <f>日前电价!G348-实时电价!G348</f>
        <v>27.3795</v>
      </c>
      <c r="H348" s="7">
        <f>日前电价!H348-实时电价!H348</f>
        <v>36.104799999999997</v>
      </c>
      <c r="I348" s="7">
        <f>日前电价!I348-实时电价!I348</f>
        <v>2.6608999999999701</v>
      </c>
      <c r="J348" s="7">
        <f>日前电价!J348-实时电价!J348</f>
        <v>-53.127499999999998</v>
      </c>
      <c r="K348" s="7">
        <f>日前电价!K348-实时电价!K348</f>
        <v>-40.934399999999997</v>
      </c>
      <c r="L348" s="7">
        <f>日前电价!L348-实时电价!L348</f>
        <v>-38.4071</v>
      </c>
      <c r="M348" s="7">
        <f>日前电价!M348-实时电价!M348</f>
        <v>1.72229999999996</v>
      </c>
      <c r="N348" s="7">
        <f>日前电价!N348-实时电价!N348</f>
        <v>-24.409099999999999</v>
      </c>
      <c r="O348" s="7">
        <f>日前电价!O348-实时电价!O348</f>
        <v>-103.236</v>
      </c>
      <c r="P348" s="7">
        <f>日前电价!P348-实时电价!P348</f>
        <v>-65.534300000000002</v>
      </c>
      <c r="Q348" s="7">
        <f>日前电价!Q348-实时电价!Q348</f>
        <v>-74.666899999999998</v>
      </c>
      <c r="R348" s="7">
        <f>日前电价!R348-实时电价!R348</f>
        <v>-96.958200000000005</v>
      </c>
      <c r="S348" s="7">
        <f>日前电价!S348-实时电价!S348</f>
        <v>-33.5062</v>
      </c>
      <c r="T348" s="7">
        <f>日前电价!T348-实时电价!T348</f>
        <v>0.53919999999999402</v>
      </c>
      <c r="U348" s="7">
        <f>日前电价!U348-实时电价!U348</f>
        <v>19.616900000000001</v>
      </c>
      <c r="V348" s="7">
        <f>日前电价!V348-实时电价!V348</f>
        <v>-17.576499999999999</v>
      </c>
      <c r="W348" s="7">
        <f>日前电价!W348-实时电价!W348</f>
        <v>-56.948300000000003</v>
      </c>
      <c r="X348" s="7">
        <f>日前电价!X348-实时电价!X348</f>
        <v>-8.7445999999999895</v>
      </c>
      <c r="Y348" s="7">
        <f>日前电价!Y348-实时电价!Y348</f>
        <v>-6.1838000000000202</v>
      </c>
      <c r="Z348" s="9">
        <f t="shared" si="15"/>
        <v>36.104799999999997</v>
      </c>
      <c r="AA348" s="9">
        <f t="shared" si="16"/>
        <v>-149.00649999999999</v>
      </c>
      <c r="AB348" s="9">
        <f t="shared" si="17"/>
        <v>-24.9333833333333</v>
      </c>
    </row>
    <row r="349" spans="1:28">
      <c r="A349" s="8">
        <v>45639</v>
      </c>
      <c r="B349" s="7">
        <f>日前电价!B349-实时电价!B349</f>
        <v>-150.22470000000001</v>
      </c>
      <c r="C349" s="7">
        <f>日前电价!C349-实时电价!C349</f>
        <v>-16.629200000000001</v>
      </c>
      <c r="D349" s="7">
        <f>日前电价!D349-实时电价!D349</f>
        <v>-6.2046000000000303</v>
      </c>
      <c r="E349" s="7">
        <f>日前电价!E349-实时电价!E349</f>
        <v>-6.8853000000000302</v>
      </c>
      <c r="F349" s="7">
        <f>日前电价!F349-实时电价!F349</f>
        <v>-7.3001000000000396</v>
      </c>
      <c r="G349" s="7">
        <f>日前电价!G349-实时电价!G349</f>
        <v>-16.8993</v>
      </c>
      <c r="H349" s="7">
        <f>日前电价!H349-实时电价!H349</f>
        <v>-29.824999999999999</v>
      </c>
      <c r="I349" s="7">
        <f>日前电价!I349-实时电价!I349</f>
        <v>-27.031700000000001</v>
      </c>
      <c r="J349" s="7">
        <f>日前电价!J349-实时电价!J349</f>
        <v>-190.1147</v>
      </c>
      <c r="K349" s="7">
        <f>日前电价!K349-实时电价!K349</f>
        <v>20.0198</v>
      </c>
      <c r="L349" s="7">
        <f>日前电价!L349-实时电价!L349</f>
        <v>56.299100000000003</v>
      </c>
      <c r="M349" s="7">
        <f>日前电价!M349-实时电价!M349</f>
        <v>83.226399999999998</v>
      </c>
      <c r="N349" s="7">
        <f>日前电价!N349-实时电价!N349</f>
        <v>96.611699999999999</v>
      </c>
      <c r="O349" s="7">
        <f>日前电价!O349-实时电价!O349</f>
        <v>89.951899999999995</v>
      </c>
      <c r="P349" s="7">
        <f>日前电价!P349-实时电价!P349</f>
        <v>25.8003</v>
      </c>
      <c r="Q349" s="7">
        <f>日前电价!Q349-实时电价!Q349</f>
        <v>-6.7944000000000004</v>
      </c>
      <c r="R349" s="7">
        <f>日前电价!R349-实时电价!R349</f>
        <v>-9.2937999999999796</v>
      </c>
      <c r="S349" s="7">
        <f>日前电价!S349-实时电价!S349</f>
        <v>-5.2328999999999697</v>
      </c>
      <c r="T349" s="7">
        <f>日前电价!T349-实时电价!T349</f>
        <v>-17.747</v>
      </c>
      <c r="U349" s="7">
        <f>日前电价!U349-实时电价!U349</f>
        <v>-7.2402000000000202</v>
      </c>
      <c r="V349" s="7">
        <f>日前电价!V349-实时电价!V349</f>
        <v>-25.400099999999998</v>
      </c>
      <c r="W349" s="7">
        <f>日前电价!W349-实时电价!W349</f>
        <v>-52.034799999999997</v>
      </c>
      <c r="X349" s="7">
        <f>日前电价!X349-实时电价!X349</f>
        <v>-85.859499999999997</v>
      </c>
      <c r="Y349" s="7">
        <f>日前电价!Y349-实时电价!Y349</f>
        <v>-23.609300000000001</v>
      </c>
      <c r="Z349" s="9">
        <f t="shared" si="15"/>
        <v>96.611699999999999</v>
      </c>
      <c r="AA349" s="9">
        <f t="shared" si="16"/>
        <v>-190.1147</v>
      </c>
      <c r="AB349" s="9">
        <f t="shared" si="17"/>
        <v>-13.0173916666667</v>
      </c>
    </row>
    <row r="350" spans="1:28">
      <c r="A350" s="8">
        <v>45640</v>
      </c>
      <c r="B350" s="7">
        <f>日前电价!B350-实时电价!B350</f>
        <v>-13.607100000000001</v>
      </c>
      <c r="C350" s="7">
        <f>日前电价!C350-实时电价!C350</f>
        <v>-0.67759999999998399</v>
      </c>
      <c r="D350" s="7">
        <f>日前电价!D350-实时电价!D350</f>
        <v>-21.379799999999999</v>
      </c>
      <c r="E350" s="7">
        <f>日前电价!E350-实时电价!E350</f>
        <v>-10.1089</v>
      </c>
      <c r="F350" s="7">
        <f>日前电价!F350-实时电价!F350</f>
        <v>7.2000999999999902</v>
      </c>
      <c r="G350" s="7">
        <f>日前电价!G350-实时电价!G350</f>
        <v>29.686399999999999</v>
      </c>
      <c r="H350" s="7">
        <f>日前电价!H350-实时电价!H350</f>
        <v>-19.490100000000002</v>
      </c>
      <c r="I350" s="7">
        <f>日前电价!I350-实时电价!I350</f>
        <v>-37.948999999999998</v>
      </c>
      <c r="J350" s="7">
        <f>日前电价!J350-实时电价!J350</f>
        <v>-41.382399999999997</v>
      </c>
      <c r="K350" s="7">
        <f>日前电价!K350-实时电价!K350</f>
        <v>-10.8858</v>
      </c>
      <c r="L350" s="7">
        <f>日前电价!L350-实时电价!L350</f>
        <v>-21.6646</v>
      </c>
      <c r="M350" s="7">
        <f>日前电价!M350-实时电价!M350</f>
        <v>1.7654000000000001</v>
      </c>
      <c r="N350" s="7">
        <f>日前电价!N350-实时电价!N350</f>
        <v>65.509900000000002</v>
      </c>
      <c r="O350" s="7">
        <f>日前电价!O350-实时电价!O350</f>
        <v>-58.558900000000001</v>
      </c>
      <c r="P350" s="7">
        <f>日前电价!P350-实时电价!P350</f>
        <v>-38.810600000000001</v>
      </c>
      <c r="Q350" s="7">
        <f>日前电价!Q350-实时电价!Q350</f>
        <v>-32.966000000000001</v>
      </c>
      <c r="R350" s="7">
        <f>日前电价!R350-实时电价!R350</f>
        <v>-33.2883</v>
      </c>
      <c r="S350" s="7">
        <f>日前电价!S350-实时电价!S350</f>
        <v>-20.6281</v>
      </c>
      <c r="T350" s="7">
        <f>日前电价!T350-实时电价!T350</f>
        <v>-15.8111</v>
      </c>
      <c r="U350" s="7">
        <f>日前电价!U350-实时电价!U350</f>
        <v>-17.025200000000002</v>
      </c>
      <c r="V350" s="7">
        <f>日前电价!V350-实时电价!V350</f>
        <v>-11.3812</v>
      </c>
      <c r="W350" s="7">
        <f>日前电价!W350-实时电价!W350</f>
        <v>-25.490100000000002</v>
      </c>
      <c r="X350" s="7">
        <f>日前电价!X350-实时电价!X350</f>
        <v>-30.6267</v>
      </c>
      <c r="Y350" s="7">
        <f>日前电价!Y350-实时电价!Y350</f>
        <v>-19.303899999999999</v>
      </c>
      <c r="Z350" s="9">
        <f t="shared" si="15"/>
        <v>65.509900000000002</v>
      </c>
      <c r="AA350" s="9">
        <f t="shared" si="16"/>
        <v>-58.558900000000001</v>
      </c>
      <c r="AB350" s="9">
        <f t="shared" si="17"/>
        <v>-15.7030666666667</v>
      </c>
    </row>
    <row r="351" spans="1:28">
      <c r="A351" s="8">
        <v>45641</v>
      </c>
      <c r="B351" s="7">
        <f>日前电价!B351-实时电价!B351</f>
        <v>-15.6707</v>
      </c>
      <c r="C351" s="7">
        <f>日前电价!C351-实时电价!C351</f>
        <v>7.9949999999999504</v>
      </c>
      <c r="D351" s="7">
        <f>日前电价!D351-实时电价!D351</f>
        <v>-7.4868999999999897</v>
      </c>
      <c r="E351" s="7">
        <f>日前电价!E351-实时电价!E351</f>
        <v>-15.882</v>
      </c>
      <c r="F351" s="7">
        <f>日前电价!F351-实时电价!F351</f>
        <v>3.9481999999999902</v>
      </c>
      <c r="G351" s="7">
        <f>日前电价!G351-实时电价!G351</f>
        <v>6.4807000000000103</v>
      </c>
      <c r="H351" s="7">
        <f>日前电价!H351-实时电价!H351</f>
        <v>11.0556</v>
      </c>
      <c r="I351" s="7">
        <f>日前电价!I351-实时电价!I351</f>
        <v>2.3756999999999899</v>
      </c>
      <c r="J351" s="7">
        <f>日前电价!J351-实时电价!J351</f>
        <v>7.5962000000000103</v>
      </c>
      <c r="K351" s="7">
        <f>日前电价!K351-实时电价!K351</f>
        <v>-10.5205</v>
      </c>
      <c r="L351" s="7">
        <f>日前电价!L351-实时电价!L351</f>
        <v>-30.440899999999999</v>
      </c>
      <c r="M351" s="7">
        <f>日前电价!M351-实时电价!M351</f>
        <v>-46.640700000000002</v>
      </c>
      <c r="N351" s="7">
        <f>日前电价!N351-实时电价!N351</f>
        <v>-226.3432</v>
      </c>
      <c r="O351" s="7">
        <f>日前电价!O351-实时电价!O351</f>
        <v>-155.49760000000001</v>
      </c>
      <c r="P351" s="7">
        <f>日前电价!P351-实时电价!P351</f>
        <v>-43.4876</v>
      </c>
      <c r="Q351" s="7">
        <f>日前电价!Q351-实时电价!Q351</f>
        <v>-31.811599999999999</v>
      </c>
      <c r="R351" s="7">
        <f>日前电价!R351-实时电价!R351</f>
        <v>10.6157</v>
      </c>
      <c r="S351" s="7">
        <f>日前电价!S351-实时电价!S351</f>
        <v>-4.2289000000000101</v>
      </c>
      <c r="T351" s="7">
        <f>日前电价!T351-实时电价!T351</f>
        <v>-24.9971</v>
      </c>
      <c r="U351" s="7">
        <f>日前电价!U351-实时电价!U351</f>
        <v>-14.3444</v>
      </c>
      <c r="V351" s="7">
        <f>日前电价!V351-实时电价!V351</f>
        <v>-26.936699999999998</v>
      </c>
      <c r="W351" s="7">
        <f>日前电价!W351-实时电价!W351</f>
        <v>3.6592999999999698</v>
      </c>
      <c r="X351" s="7">
        <f>日前电价!X351-实时电价!X351</f>
        <v>47.253799999999998</v>
      </c>
      <c r="Y351" s="7">
        <f>日前电价!Y351-实时电价!Y351</f>
        <v>97.513599999999997</v>
      </c>
      <c r="Z351" s="9">
        <f t="shared" si="15"/>
        <v>97.513599999999997</v>
      </c>
      <c r="AA351" s="9">
        <f t="shared" si="16"/>
        <v>-226.3432</v>
      </c>
      <c r="AB351" s="9">
        <f t="shared" si="17"/>
        <v>-18.991458333333298</v>
      </c>
    </row>
    <row r="352" spans="1:28">
      <c r="A352" s="8">
        <v>45642</v>
      </c>
      <c r="B352" s="7">
        <f>日前电价!B352-实时电价!B352</f>
        <v>73.992500000000007</v>
      </c>
      <c r="C352" s="7">
        <f>日前电价!C352-实时电价!C352</f>
        <v>36.6021</v>
      </c>
      <c r="D352" s="7">
        <f>日前电价!D352-实时电价!D352</f>
        <v>111.483</v>
      </c>
      <c r="E352" s="7">
        <f>日前电价!E352-实时电价!E352</f>
        <v>113.67270000000001</v>
      </c>
      <c r="F352" s="7">
        <f>日前电价!F352-实时电价!F352</f>
        <v>203.28970000000001</v>
      </c>
      <c r="G352" s="7">
        <f>日前电价!G352-实时电价!G352</f>
        <v>39.4467</v>
      </c>
      <c r="H352" s="7">
        <f>日前电价!H352-实时电价!H352</f>
        <v>3.0146000000000299</v>
      </c>
      <c r="I352" s="7">
        <f>日前电价!I352-实时电价!I352</f>
        <v>17.5044</v>
      </c>
      <c r="J352" s="7">
        <f>日前电价!J352-实时电价!J352</f>
        <v>108.7195</v>
      </c>
      <c r="K352" s="7">
        <f>日前电价!K352-实时电价!K352</f>
        <v>131.04089999999999</v>
      </c>
      <c r="L352" s="7">
        <f>日前电价!L352-实时电价!L352</f>
        <v>76.767899999999997</v>
      </c>
      <c r="M352" s="7">
        <f>日前电价!M352-实时电价!M352</f>
        <v>117.79340000000001</v>
      </c>
      <c r="N352" s="7">
        <f>日前电价!N352-实时电价!N352</f>
        <v>80.357100000000003</v>
      </c>
      <c r="O352" s="7">
        <f>日前电价!O352-实时电价!O352</f>
        <v>104.7223</v>
      </c>
      <c r="P352" s="7">
        <f>日前电价!P352-实时电价!P352</f>
        <v>104.5147</v>
      </c>
      <c r="Q352" s="7">
        <f>日前电价!Q352-实时电价!Q352</f>
        <v>48.316800000000001</v>
      </c>
      <c r="R352" s="7">
        <f>日前电价!R352-实时电价!R352</f>
        <v>64.522800000000004</v>
      </c>
      <c r="S352" s="7">
        <f>日前电价!S352-实时电价!S352</f>
        <v>84.756200000000007</v>
      </c>
      <c r="T352" s="7">
        <f>日前电价!T352-实时电价!T352</f>
        <v>45.371299999999998</v>
      </c>
      <c r="U352" s="7">
        <f>日前电价!U352-实时电价!U352</f>
        <v>54.903799999999997</v>
      </c>
      <c r="V352" s="7">
        <f>日前电价!V352-实时电价!V352</f>
        <v>47.876199999999997</v>
      </c>
      <c r="W352" s="7">
        <f>日前电价!W352-实时电价!W352</f>
        <v>-2.9098000000000201</v>
      </c>
      <c r="X352" s="7">
        <f>日前电价!X352-实时电价!X352</f>
        <v>-10.796799999999999</v>
      </c>
      <c r="Y352" s="7">
        <f>日前电价!Y352-实时电价!Y352</f>
        <v>10.277200000000001</v>
      </c>
      <c r="Z352" s="9">
        <f t="shared" si="15"/>
        <v>203.28970000000001</v>
      </c>
      <c r="AA352" s="9">
        <f t="shared" si="16"/>
        <v>-10.796799999999999</v>
      </c>
      <c r="AB352" s="9">
        <f t="shared" si="17"/>
        <v>69.384966666666699</v>
      </c>
    </row>
    <row r="353" spans="1:28">
      <c r="A353" s="8">
        <v>45643</v>
      </c>
      <c r="B353" s="7">
        <f>日前电价!B353-实时电价!B353</f>
        <v>-10.308400000000001</v>
      </c>
      <c r="C353" s="7">
        <f>日前电价!C353-实时电价!C353</f>
        <v>23.078099999999999</v>
      </c>
      <c r="D353" s="7">
        <f>日前电价!D353-实时电价!D353</f>
        <v>14.2903</v>
      </c>
      <c r="E353" s="7">
        <f>日前电价!E353-实时电价!E353</f>
        <v>12.760400000000001</v>
      </c>
      <c r="F353" s="7">
        <f>日前电价!F353-实时电价!F353</f>
        <v>29.389299999999999</v>
      </c>
      <c r="G353" s="7">
        <f>日前电价!G353-实时电价!G353</f>
        <v>26.5486</v>
      </c>
      <c r="H353" s="7">
        <f>日前电价!H353-实时电价!H353</f>
        <v>16.947399999999998</v>
      </c>
      <c r="I353" s="7">
        <f>日前电价!I353-实时电价!I353</f>
        <v>-7.5417999999999701</v>
      </c>
      <c r="J353" s="7">
        <f>日前电价!J353-实时电价!J353</f>
        <v>-3.0968000000000302</v>
      </c>
      <c r="K353" s="7">
        <f>日前电价!K353-实时电价!K353</f>
        <v>37.7712</v>
      </c>
      <c r="L353" s="7">
        <f>日前电价!L353-实时电价!L353</f>
        <v>3.6018000000000301</v>
      </c>
      <c r="M353" s="7">
        <f>日前电价!M353-实时电价!M353</f>
        <v>0.54120000000000301</v>
      </c>
      <c r="N353" s="7">
        <f>日前电价!N353-实时电价!N353</f>
        <v>3.4845000000000002</v>
      </c>
      <c r="O353" s="7">
        <f>日前电价!O353-实时电价!O353</f>
        <v>-79.454599999999999</v>
      </c>
      <c r="P353" s="7">
        <f>日前电价!P353-实时电价!P353</f>
        <v>-33.386200000000002</v>
      </c>
      <c r="Q353" s="7">
        <f>日前电价!Q353-实时电价!Q353</f>
        <v>-31.790700000000001</v>
      </c>
      <c r="R353" s="7">
        <f>日前电价!R353-实时电价!R353</f>
        <v>-7.8878000000000297</v>
      </c>
      <c r="S353" s="7">
        <f>日前电价!S353-实时电价!S353</f>
        <v>-35.381100000000004</v>
      </c>
      <c r="T353" s="7">
        <f>日前电价!T353-实时电价!T353</f>
        <v>-41.533099999999997</v>
      </c>
      <c r="U353" s="7">
        <f>日前电价!U353-实时电价!U353</f>
        <v>-42.558399999999999</v>
      </c>
      <c r="V353" s="7">
        <f>日前电价!V353-实时电价!V353</f>
        <v>-89.328599999999994</v>
      </c>
      <c r="W353" s="7">
        <f>日前电价!W353-实时电价!W353</f>
        <v>-73.877799999999993</v>
      </c>
      <c r="X353" s="7">
        <f>日前电价!X353-实时电价!X353</f>
        <v>-52.794400000000003</v>
      </c>
      <c r="Y353" s="7">
        <f>日前电价!Y353-实时电价!Y353</f>
        <v>-6.88499999999999</v>
      </c>
      <c r="Z353" s="9">
        <f t="shared" si="15"/>
        <v>37.7712</v>
      </c>
      <c r="AA353" s="9">
        <f t="shared" si="16"/>
        <v>-89.328599999999994</v>
      </c>
      <c r="AB353" s="9">
        <f t="shared" si="17"/>
        <v>-14.4754958333333</v>
      </c>
    </row>
    <row r="354" spans="1:28">
      <c r="A354" s="8">
        <v>45644</v>
      </c>
      <c r="B354" s="7">
        <f>日前电价!B354-实时电价!B354</f>
        <v>-15.2267000000001</v>
      </c>
      <c r="C354" s="7">
        <f>日前电价!C354-实时电价!C354</f>
        <v>-5.65899999999999</v>
      </c>
      <c r="D354" s="7">
        <f>日前电价!D354-实时电价!D354</f>
        <v>-1.08449999999999</v>
      </c>
      <c r="E354" s="7">
        <f>日前电价!E354-实时电价!E354</f>
        <v>12.2498</v>
      </c>
      <c r="F354" s="7">
        <f>日前电价!F354-实时电价!F354</f>
        <v>37.302900000000001</v>
      </c>
      <c r="G354" s="7">
        <f>日前电价!G354-实时电价!G354</f>
        <v>117.3479</v>
      </c>
      <c r="H354" s="7">
        <f>日前电价!H354-实时电价!H354</f>
        <v>23.932400000000001</v>
      </c>
      <c r="I354" s="7">
        <f>日前电价!I354-实时电价!I354</f>
        <v>13.424200000000001</v>
      </c>
      <c r="J354" s="7">
        <f>日前电价!J354-实时电价!J354</f>
        <v>43.4848</v>
      </c>
      <c r="K354" s="7">
        <f>日前电价!K354-实时电价!K354</f>
        <v>47.644799999999996</v>
      </c>
      <c r="L354" s="7">
        <f>日前电价!L354-实时电价!L354</f>
        <v>2.762</v>
      </c>
      <c r="M354" s="7">
        <f>日前电价!M354-实时电价!M354</f>
        <v>41.009300000000003</v>
      </c>
      <c r="N354" s="7">
        <f>日前电价!N354-实时电价!N354</f>
        <v>42.131799999999998</v>
      </c>
      <c r="O354" s="7">
        <f>日前电价!O354-实时电价!O354</f>
        <v>22.924700000000001</v>
      </c>
      <c r="P354" s="7">
        <f>日前电价!P354-实时电价!P354</f>
        <v>51.795900000000003</v>
      </c>
      <c r="Q354" s="7">
        <f>日前电价!Q354-实时电价!Q354</f>
        <v>14.188700000000001</v>
      </c>
      <c r="R354" s="7">
        <f>日前电价!R354-实时电价!R354</f>
        <v>5.5326000000000004</v>
      </c>
      <c r="S354" s="7">
        <f>日前电价!S354-实时电价!S354</f>
        <v>5.3036999999999903</v>
      </c>
      <c r="T354" s="7">
        <f>日前电价!T354-实时电价!T354</f>
        <v>-15.3277</v>
      </c>
      <c r="U354" s="7">
        <f>日前电价!U354-实时电价!U354</f>
        <v>-30.444299999999998</v>
      </c>
      <c r="V354" s="7">
        <f>日前电价!V354-实时电价!V354</f>
        <v>1.4141000000000199</v>
      </c>
      <c r="W354" s="7">
        <f>日前电价!W354-实时电价!W354</f>
        <v>-19.7714</v>
      </c>
      <c r="X354" s="7">
        <f>日前电价!X354-实时电价!X354</f>
        <v>10.2956</v>
      </c>
      <c r="Y354" s="7">
        <f>日前电价!Y354-实时电价!Y354</f>
        <v>112.845</v>
      </c>
      <c r="Z354" s="9">
        <f t="shared" si="15"/>
        <v>117.3479</v>
      </c>
      <c r="AA354" s="9">
        <f t="shared" si="16"/>
        <v>-30.444299999999998</v>
      </c>
      <c r="AB354" s="9">
        <f t="shared" si="17"/>
        <v>21.586525000000002</v>
      </c>
    </row>
    <row r="355" spans="1:28">
      <c r="A355" s="8">
        <v>45645</v>
      </c>
      <c r="B355" s="7">
        <f>日前电价!B355-实时电价!B355</f>
        <v>-29.8017</v>
      </c>
      <c r="C355" s="7">
        <f>日前电价!C355-实时电价!C355</f>
        <v>25.736599999999999</v>
      </c>
      <c r="D355" s="7">
        <f>日前电价!D355-实时电价!D355</f>
        <v>79.568100000000001</v>
      </c>
      <c r="E355" s="7">
        <f>日前电价!E355-实时电价!E355</f>
        <v>141.06880000000001</v>
      </c>
      <c r="F355" s="7">
        <f>日前电价!F355-实时电价!F355</f>
        <v>51.747599999999998</v>
      </c>
      <c r="G355" s="7">
        <f>日前电价!G355-实时电价!G355</f>
        <v>66.317599999999999</v>
      </c>
      <c r="H355" s="7">
        <f>日前电价!H355-实时电价!H355</f>
        <v>28.804500000000001</v>
      </c>
      <c r="I355" s="7">
        <f>日前电价!I355-实时电价!I355</f>
        <v>9.1558999999999706</v>
      </c>
      <c r="J355" s="7">
        <f>日前电价!J355-实时电价!J355</f>
        <v>-24.959700000000002</v>
      </c>
      <c r="K355" s="7">
        <f>日前电价!K355-实时电价!K355</f>
        <v>73.098799999999997</v>
      </c>
      <c r="L355" s="7">
        <f>日前电价!L355-实时电价!L355</f>
        <v>123.55419999999999</v>
      </c>
      <c r="M355" s="7">
        <f>日前电价!M355-实时电价!M355</f>
        <v>20.294799999999999</v>
      </c>
      <c r="N355" s="7">
        <f>日前电价!N355-实时电价!N355</f>
        <v>-67.971199999999996</v>
      </c>
      <c r="O355" s="7">
        <f>日前电价!O355-实时电价!O355</f>
        <v>-106.7106</v>
      </c>
      <c r="P355" s="7">
        <f>日前电价!P355-实时电价!P355</f>
        <v>-9.7687000000000204</v>
      </c>
      <c r="Q355" s="7">
        <f>日前电价!Q355-实时电价!Q355</f>
        <v>-20.0105</v>
      </c>
      <c r="R355" s="7">
        <f>日前电价!R355-实时电价!R355</f>
        <v>-57.415300000000002</v>
      </c>
      <c r="S355" s="7">
        <f>日前电价!S355-实时电价!S355</f>
        <v>-28.767700000000001</v>
      </c>
      <c r="T355" s="7">
        <f>日前电价!T355-实时电价!T355</f>
        <v>-16.4877</v>
      </c>
      <c r="U355" s="7">
        <f>日前电价!U355-实时电价!U355</f>
        <v>-43.430300000000003</v>
      </c>
      <c r="V355" s="7">
        <f>日前电价!V355-实时电价!V355</f>
        <v>-31.888000000000002</v>
      </c>
      <c r="W355" s="7">
        <f>日前电价!W355-实时电价!W355</f>
        <v>-26.7181</v>
      </c>
      <c r="X355" s="7">
        <f>日前电价!X355-实时电价!X355</f>
        <v>-25.1904</v>
      </c>
      <c r="Y355" s="7">
        <f>日前电价!Y355-实时电价!Y355</f>
        <v>-18.049299999999999</v>
      </c>
      <c r="Z355" s="9">
        <f t="shared" si="15"/>
        <v>141.06880000000001</v>
      </c>
      <c r="AA355" s="9">
        <f t="shared" si="16"/>
        <v>-106.7106</v>
      </c>
      <c r="AB355" s="9">
        <f t="shared" si="17"/>
        <v>4.6740708333333298</v>
      </c>
    </row>
    <row r="356" spans="1:28">
      <c r="A356" s="8">
        <v>45646</v>
      </c>
      <c r="B356" s="7">
        <f>日前电价!B356-实时电价!B356</f>
        <v>-35.063699999999997</v>
      </c>
      <c r="C356" s="7">
        <f>日前电价!C356-实时电价!C356</f>
        <v>20.9146</v>
      </c>
      <c r="D356" s="7">
        <f>日前电价!D356-实时电价!D356</f>
        <v>18.8675</v>
      </c>
      <c r="E356" s="7">
        <f>日前电价!E356-实时电价!E356</f>
        <v>34.866900000000001</v>
      </c>
      <c r="F356" s="7">
        <f>日前电价!F356-实时电价!F356</f>
        <v>62.423099999999998</v>
      </c>
      <c r="G356" s="7">
        <f>日前电价!G356-实时电价!G356</f>
        <v>15.747400000000001</v>
      </c>
      <c r="H356" s="7">
        <f>日前电价!H356-实时电价!H356</f>
        <v>-9.5471999999999806</v>
      </c>
      <c r="I356" s="7">
        <f>日前电价!I356-实时电价!I356</f>
        <v>-50.704599999999999</v>
      </c>
      <c r="J356" s="7">
        <f>日前电价!J356-实时电价!J356</f>
        <v>-82.558000000000007</v>
      </c>
      <c r="K356" s="7">
        <f>日前电价!K356-实时电价!K356</f>
        <v>53.506599999999999</v>
      </c>
      <c r="L356" s="7">
        <f>日前电价!L356-实时电价!L356</f>
        <v>74.763099999999994</v>
      </c>
      <c r="M356" s="7">
        <f>日前电价!M356-实时电价!M356</f>
        <v>26.001899999999999</v>
      </c>
      <c r="N356" s="7">
        <f>日前电价!N356-实时电价!N356</f>
        <v>4.7153000000000098</v>
      </c>
      <c r="O356" s="7">
        <f>日前电价!O356-实时电价!O356</f>
        <v>-85.078400000000002</v>
      </c>
      <c r="P356" s="7">
        <f>日前电价!P356-实时电价!P356</f>
        <v>-2.02049999999997</v>
      </c>
      <c r="Q356" s="7">
        <f>日前电价!Q356-实时电价!Q356</f>
        <v>-13.299899999999999</v>
      </c>
      <c r="R356" s="7">
        <f>日前电价!R356-实时电价!R356</f>
        <v>-12.4755</v>
      </c>
      <c r="S356" s="7">
        <f>日前电价!S356-实时电价!S356</f>
        <v>-11.434900000000001</v>
      </c>
      <c r="T356" s="7">
        <f>日前电价!T356-实时电价!T356</f>
        <v>-18.011600000000001</v>
      </c>
      <c r="U356" s="7">
        <f>日前电价!U356-实时电价!U356</f>
        <v>-44.017299999999999</v>
      </c>
      <c r="V356" s="7">
        <f>日前电价!V356-实时电价!V356</f>
        <v>-61.405200000000001</v>
      </c>
      <c r="W356" s="7">
        <f>日前电价!W356-实时电价!W356</f>
        <v>-69.666899999999998</v>
      </c>
      <c r="X356" s="7">
        <f>日前电价!X356-实时电价!X356</f>
        <v>-125.7069</v>
      </c>
      <c r="Y356" s="7">
        <f>日前电价!Y356-实时电价!Y356</f>
        <v>-48.430799999999998</v>
      </c>
      <c r="Z356" s="9">
        <f t="shared" si="15"/>
        <v>74.763099999999994</v>
      </c>
      <c r="AA356" s="9">
        <f t="shared" si="16"/>
        <v>-125.7069</v>
      </c>
      <c r="AB356" s="9">
        <f t="shared" si="17"/>
        <v>-14.900625</v>
      </c>
    </row>
    <row r="357" spans="1:28">
      <c r="A357" s="8">
        <v>45647</v>
      </c>
      <c r="B357" s="7">
        <f>日前电价!B357-实时电价!B357</f>
        <v>-155.86539999999999</v>
      </c>
      <c r="C357" s="7">
        <f>日前电价!C357-实时电价!C357</f>
        <v>-78.756799999999998</v>
      </c>
      <c r="D357" s="7">
        <f>日前电价!D357-实时电价!D357</f>
        <v>8.7364999999999799</v>
      </c>
      <c r="E357" s="7">
        <f>日前电价!E357-实时电价!E357</f>
        <v>15.2286</v>
      </c>
      <c r="F357" s="7">
        <f>日前电价!F357-实时电价!F357</f>
        <v>16.165400000000002</v>
      </c>
      <c r="G357" s="7">
        <f>日前电价!G357-实时电价!G357</f>
        <v>12.250500000000001</v>
      </c>
      <c r="H357" s="7">
        <f>日前电价!H357-实时电价!H357</f>
        <v>-6.1433000000000098</v>
      </c>
      <c r="I357" s="7">
        <f>日前电价!I357-实时电价!I357</f>
        <v>-28.822199999999999</v>
      </c>
      <c r="J357" s="7">
        <f>日前电价!J357-实时电价!J357</f>
        <v>-12.1654</v>
      </c>
      <c r="K357" s="7">
        <f>日前电价!K357-实时电价!K357</f>
        <v>-19.059000000000001</v>
      </c>
      <c r="L357" s="7">
        <f>日前电价!L357-实时电价!L357</f>
        <v>94.271799999999999</v>
      </c>
      <c r="M357" s="7">
        <f>日前电价!M357-实时电价!M357</f>
        <v>97.557299999999998</v>
      </c>
      <c r="N357" s="7">
        <f>日前电价!N357-实时电价!N357</f>
        <v>79.025400000000005</v>
      </c>
      <c r="O357" s="7">
        <f>日前电价!O357-实时电价!O357</f>
        <v>-53.537599999999998</v>
      </c>
      <c r="P357" s="7">
        <f>日前电价!P357-实时电价!P357</f>
        <v>78.659700000000001</v>
      </c>
      <c r="Q357" s="7">
        <f>日前电价!Q357-实时电价!Q357</f>
        <v>37.799900000000001</v>
      </c>
      <c r="R357" s="7">
        <f>日前电价!R357-实时电价!R357</f>
        <v>40.785600000000002</v>
      </c>
      <c r="S357" s="7">
        <f>日前电价!S357-实时电价!S357</f>
        <v>35.1068</v>
      </c>
      <c r="T357" s="7">
        <f>日前电价!T357-实时电价!T357</f>
        <v>56.950899999999997</v>
      </c>
      <c r="U357" s="7">
        <f>日前电价!U357-实时电价!U357</f>
        <v>73.183400000000006</v>
      </c>
      <c r="V357" s="7">
        <f>日前电价!V357-实时电价!V357</f>
        <v>66.447000000000003</v>
      </c>
      <c r="W357" s="7">
        <f>日前电价!W357-实时电价!W357</f>
        <v>43.517600000000002</v>
      </c>
      <c r="X357" s="7">
        <f>日前电价!X357-实时电价!X357</f>
        <v>23.794699999999999</v>
      </c>
      <c r="Y357" s="7">
        <f>日前电价!Y357-实时电价!Y357</f>
        <v>-10.2325</v>
      </c>
      <c r="Z357" s="9">
        <f t="shared" si="15"/>
        <v>97.557299999999998</v>
      </c>
      <c r="AA357" s="9">
        <f t="shared" si="16"/>
        <v>-155.86539999999999</v>
      </c>
      <c r="AB357" s="9">
        <f t="shared" si="17"/>
        <v>17.287454166666699</v>
      </c>
    </row>
    <row r="358" spans="1:28">
      <c r="A358" s="8">
        <v>45648</v>
      </c>
      <c r="B358" s="7">
        <f>日前电价!B358-实时电价!B358</f>
        <v>2.4100000000000201</v>
      </c>
      <c r="C358" s="7">
        <f>日前电价!C358-实时电价!C358</f>
        <v>33.235500000000002</v>
      </c>
      <c r="D358" s="7">
        <f>日前电价!D358-实时电价!D358</f>
        <v>48.895600000000002</v>
      </c>
      <c r="E358" s="7">
        <f>日前电价!E358-实时电价!E358</f>
        <v>152.1979</v>
      </c>
      <c r="F358" s="7">
        <f>日前电价!F358-实时电价!F358</f>
        <v>173.7577</v>
      </c>
      <c r="G358" s="7">
        <f>日前电价!G358-实时电价!G358</f>
        <v>160.2919</v>
      </c>
      <c r="H358" s="7">
        <f>日前电价!H358-实时电价!H358</f>
        <v>40.975200000000001</v>
      </c>
      <c r="I358" s="7">
        <f>日前电价!I358-实时电价!I358</f>
        <v>-3.9213000000000302</v>
      </c>
      <c r="J358" s="7">
        <f>日前电价!J358-实时电价!J358</f>
        <v>15.144500000000001</v>
      </c>
      <c r="K358" s="7">
        <f>日前电价!K358-实时电价!K358</f>
        <v>-9.1319999999999801</v>
      </c>
      <c r="L358" s="7">
        <f>日前电价!L358-实时电价!L358</f>
        <v>-68.718999999999994</v>
      </c>
      <c r="M358" s="7">
        <f>日前电价!M358-实时电价!M358</f>
        <v>-140.73140000000001</v>
      </c>
      <c r="N358" s="7">
        <f>日前电价!N358-实时电价!N358</f>
        <v>-39.8675</v>
      </c>
      <c r="O358" s="7">
        <f>日前电价!O358-实时电价!O358</f>
        <v>-174.8553</v>
      </c>
      <c r="P358" s="7">
        <f>日前电价!P358-实时电价!P358</f>
        <v>-100.2137</v>
      </c>
      <c r="Q358" s="7">
        <f>日前电价!Q358-实时电价!Q358</f>
        <v>-45.445900000000002</v>
      </c>
      <c r="R358" s="7">
        <f>日前电价!R358-实时电价!R358</f>
        <v>-30.794</v>
      </c>
      <c r="S358" s="7">
        <f>日前电价!S358-实时电价!S358</f>
        <v>-2.1172000000000302</v>
      </c>
      <c r="T358" s="7">
        <f>日前电价!T358-实时电价!T358</f>
        <v>-15.686500000000001</v>
      </c>
      <c r="U358" s="7">
        <f>日前电价!U358-实时电价!U358</f>
        <v>-19.82</v>
      </c>
      <c r="V358" s="7">
        <f>日前电价!V358-实时电价!V358</f>
        <v>-27.469000000000001</v>
      </c>
      <c r="W358" s="7">
        <f>日前电价!W358-实时电价!W358</f>
        <v>-70.581699999999998</v>
      </c>
      <c r="X358" s="7">
        <f>日前电价!X358-实时电价!X358</f>
        <v>-32.386299999999999</v>
      </c>
      <c r="Y358" s="7">
        <f>日前电价!Y358-实时电价!Y358</f>
        <v>11.769</v>
      </c>
      <c r="Z358" s="9">
        <f t="shared" si="15"/>
        <v>173.7577</v>
      </c>
      <c r="AA358" s="9">
        <f t="shared" si="16"/>
        <v>-174.8553</v>
      </c>
      <c r="AB358" s="9">
        <f t="shared" si="17"/>
        <v>-5.9609791666666698</v>
      </c>
    </row>
    <row r="359" spans="1:28">
      <c r="A359" s="8">
        <v>45649</v>
      </c>
      <c r="B359" s="7">
        <f>日前电价!B359-实时电价!B359</f>
        <v>13.57</v>
      </c>
      <c r="C359" s="7">
        <f>日前电价!C359-实时电价!C359</f>
        <v>14.87</v>
      </c>
      <c r="D359" s="7">
        <f>日前电价!D359-实时电价!D359</f>
        <v>41.93</v>
      </c>
      <c r="E359" s="7">
        <f>日前电价!E359-实时电价!E359</f>
        <v>135.75</v>
      </c>
      <c r="F359" s="7">
        <f>日前电价!F359-实时电价!F359</f>
        <v>164.96</v>
      </c>
      <c r="G359" s="7">
        <f>日前电价!G359-实时电价!G359</f>
        <v>152.88999999999999</v>
      </c>
      <c r="H359" s="7">
        <f>日前电价!H359-实时电价!H359</f>
        <v>-1.96000000000001</v>
      </c>
      <c r="I359" s="7">
        <f>日前电价!I359-实时电价!I359</f>
        <v>-12.69</v>
      </c>
      <c r="J359" s="7">
        <f>日前电价!J359-实时电价!J359</f>
        <v>-28.17</v>
      </c>
      <c r="K359" s="7">
        <f>日前电价!K359-实时电价!K359</f>
        <v>-9.75</v>
      </c>
      <c r="L359" s="7">
        <f>日前电价!L359-实时电价!L359</f>
        <v>22.51</v>
      </c>
      <c r="M359" s="7">
        <f>日前电价!M359-实时电价!M359</f>
        <v>54.37</v>
      </c>
      <c r="N359" s="7">
        <f>日前电价!N359-实时电价!N359</f>
        <v>83.5</v>
      </c>
      <c r="O359" s="7">
        <f>日前电价!O359-实时电价!O359</f>
        <v>28.59</v>
      </c>
      <c r="P359" s="7">
        <f>日前电价!P359-实时电价!P359</f>
        <v>26.4</v>
      </c>
      <c r="Q359" s="7">
        <f>日前电价!Q359-实时电价!Q359</f>
        <v>7.1000000000000201</v>
      </c>
      <c r="R359" s="7">
        <f>日前电价!R359-实时电价!R359</f>
        <v>-6.4599999999999804</v>
      </c>
      <c r="S359" s="7">
        <f>日前电价!S359-实时电价!S359</f>
        <v>-2</v>
      </c>
      <c r="T359" s="7">
        <f>日前电价!T359-实时电价!T359</f>
        <v>-25</v>
      </c>
      <c r="U359" s="7">
        <f>日前电价!U359-实时电价!U359</f>
        <v>-28.43</v>
      </c>
      <c r="V359" s="7">
        <f>日前电价!V359-实时电价!V359</f>
        <v>-27.51</v>
      </c>
      <c r="W359" s="7">
        <f>日前电价!W359-实时电价!W359</f>
        <v>-19.899999999999999</v>
      </c>
      <c r="X359" s="7">
        <f>日前电价!X359-实时电价!X359</f>
        <v>-14.61</v>
      </c>
      <c r="Y359" s="7">
        <f>日前电价!Y359-实时电价!Y359</f>
        <v>35.869999999999997</v>
      </c>
      <c r="Z359" s="9">
        <f t="shared" si="15"/>
        <v>164.96</v>
      </c>
      <c r="AA359" s="9">
        <f t="shared" si="16"/>
        <v>-28.43</v>
      </c>
      <c r="AB359" s="9">
        <f t="shared" si="17"/>
        <v>25.242916666666702</v>
      </c>
    </row>
    <row r="360" spans="1:28">
      <c r="A360" s="8">
        <v>45650</v>
      </c>
      <c r="B360" s="7">
        <f>日前电价!B360-实时电价!B360</f>
        <v>26.88</v>
      </c>
      <c r="C360" s="7">
        <f>日前电价!C360-实时电价!C360</f>
        <v>16.8</v>
      </c>
      <c r="D360" s="7">
        <f>日前电价!D360-实时电价!D360</f>
        <v>29.26</v>
      </c>
      <c r="E360" s="7">
        <f>日前电价!E360-实时电价!E360</f>
        <v>21.59</v>
      </c>
      <c r="F360" s="7">
        <f>日前电价!F360-实时电价!F360</f>
        <v>44.44</v>
      </c>
      <c r="G360" s="7">
        <f>日前电价!G360-实时电价!G360</f>
        <v>78.650000000000006</v>
      </c>
      <c r="H360" s="7">
        <f>日前电价!H360-实时电价!H360</f>
        <v>9.73000000000002</v>
      </c>
      <c r="I360" s="7">
        <f>日前电价!I360-实时电价!I360</f>
        <v>-4.8499999999999703</v>
      </c>
      <c r="J360" s="7">
        <f>日前电价!J360-实时电价!J360</f>
        <v>-18.309999999999999</v>
      </c>
      <c r="K360" s="7">
        <f>日前电价!K360-实时电价!K360</f>
        <v>24.18</v>
      </c>
      <c r="L360" s="7">
        <f>日前电价!L360-实时电价!L360</f>
        <v>94.89</v>
      </c>
      <c r="M360" s="7">
        <f>日前电价!M360-实时电价!M360</f>
        <v>153.11000000000001</v>
      </c>
      <c r="N360" s="7">
        <f>日前电价!N360-实时电价!N360</f>
        <v>149.84</v>
      </c>
      <c r="O360" s="7">
        <f>日前电价!O360-实时电价!O360</f>
        <v>113.02</v>
      </c>
      <c r="P360" s="7">
        <f>日前电价!P360-实时电价!P360</f>
        <v>81.849999999999994</v>
      </c>
      <c r="Q360" s="7">
        <f>日前电价!Q360-实时电价!Q360</f>
        <v>24.1</v>
      </c>
      <c r="R360" s="7">
        <f>日前电价!R360-实时电价!R360</f>
        <v>18.22</v>
      </c>
      <c r="S360" s="7">
        <f>日前电价!S360-实时电价!S360</f>
        <v>3.19</v>
      </c>
      <c r="T360" s="7">
        <f>日前电价!T360-实时电价!T360</f>
        <v>-2.56</v>
      </c>
      <c r="U360" s="7">
        <f>日前电价!U360-实时电价!U360</f>
        <v>-8.98000000000002</v>
      </c>
      <c r="V360" s="7">
        <f>日前电价!V360-实时电价!V360</f>
        <v>-15.09</v>
      </c>
      <c r="W360" s="7">
        <f>日前电价!W360-实时电价!W360</f>
        <v>-0.98000000000001797</v>
      </c>
      <c r="X360" s="7">
        <f>日前电价!X360-实时电价!X360</f>
        <v>3.9200000000000199</v>
      </c>
      <c r="Y360" s="7">
        <f>日前电价!Y360-实时电价!Y360</f>
        <v>28.56</v>
      </c>
      <c r="Z360" s="9">
        <f t="shared" si="15"/>
        <v>153.11000000000001</v>
      </c>
      <c r="AA360" s="9">
        <f t="shared" si="16"/>
        <v>-18.309999999999999</v>
      </c>
      <c r="AB360" s="9">
        <f t="shared" si="17"/>
        <v>36.310833333333299</v>
      </c>
    </row>
    <row r="361" spans="1:28">
      <c r="A361" s="8">
        <v>45651</v>
      </c>
      <c r="B361" s="7">
        <f>日前电价!B361-实时电价!B361</f>
        <v>25.58</v>
      </c>
      <c r="C361" s="7">
        <f>日前电价!C361-实时电价!C361</f>
        <v>23.2</v>
      </c>
      <c r="D361" s="7">
        <f>日前电价!D361-实时电价!D361</f>
        <v>24.06</v>
      </c>
      <c r="E361" s="7">
        <f>日前电价!E361-实时电价!E361</f>
        <v>4.03</v>
      </c>
      <c r="F361" s="7">
        <f>日前电价!F361-实时电价!F361</f>
        <v>63.38</v>
      </c>
      <c r="G361" s="7">
        <f>日前电价!G361-实时电价!G361</f>
        <v>77.819999999999993</v>
      </c>
      <c r="H361" s="7">
        <f>日前电价!H361-实时电价!H361</f>
        <v>18.97</v>
      </c>
      <c r="I361" s="7">
        <f>日前电价!I361-实时电价!I361</f>
        <v>11.3</v>
      </c>
      <c r="J361" s="7">
        <f>日前电价!J361-实时电价!J361</f>
        <v>-49.69</v>
      </c>
      <c r="K361" s="7">
        <f>日前电价!K361-实时电价!K361</f>
        <v>-59.9</v>
      </c>
      <c r="L361" s="7">
        <f>日前电价!L361-实时电价!L361</f>
        <v>-43.77</v>
      </c>
      <c r="M361" s="7">
        <f>日前电价!M361-实时电价!M361</f>
        <v>-134.61000000000001</v>
      </c>
      <c r="N361" s="7">
        <f>日前电价!N361-实时电价!N361</f>
        <v>-190.59</v>
      </c>
      <c r="O361" s="7">
        <f>日前电价!O361-实时电价!O361</f>
        <v>-268.12</v>
      </c>
      <c r="P361" s="7">
        <f>日前电价!P361-实时电价!P361</f>
        <v>-227.12</v>
      </c>
      <c r="Q361" s="7">
        <f>日前电价!Q361-实时电价!Q361</f>
        <v>-151.91999999999999</v>
      </c>
      <c r="R361" s="7">
        <f>日前电价!R361-实时电价!R361</f>
        <v>-49.09</v>
      </c>
      <c r="S361" s="7">
        <f>日前电价!S361-实时电价!S361</f>
        <v>-35.409999999999997</v>
      </c>
      <c r="T361" s="7">
        <f>日前电价!T361-实时电价!T361</f>
        <v>-26.59</v>
      </c>
      <c r="U361" s="7">
        <f>日前电价!U361-实时电价!U361</f>
        <v>-40.729999999999997</v>
      </c>
      <c r="V361" s="7">
        <f>日前电价!V361-实时电价!V361</f>
        <v>-34.32</v>
      </c>
      <c r="W361" s="7">
        <f>日前电价!W361-实时电价!W361</f>
        <v>-55.43</v>
      </c>
      <c r="X361" s="7">
        <f>日前电价!X361-实时电价!X361</f>
        <v>6.24000000000001</v>
      </c>
      <c r="Y361" s="7">
        <f>日前电价!Y361-实时电价!Y361</f>
        <v>-2.48000000000002</v>
      </c>
      <c r="Z361" s="9">
        <f t="shared" si="15"/>
        <v>77.819999999999993</v>
      </c>
      <c r="AA361" s="9">
        <f t="shared" si="16"/>
        <v>-268.12</v>
      </c>
      <c r="AB361" s="9">
        <f t="shared" si="17"/>
        <v>-46.466250000000002</v>
      </c>
    </row>
    <row r="362" spans="1:28">
      <c r="A362" s="8">
        <v>45652</v>
      </c>
      <c r="B362" s="7">
        <f>日前电价!B362-实时电价!B362</f>
        <v>1.1000000000000201</v>
      </c>
      <c r="C362" s="7">
        <f>日前电价!C362-实时电价!C362</f>
        <v>-2.3600000000000101</v>
      </c>
      <c r="D362" s="7">
        <f>日前电价!D362-实时电价!D362</f>
        <v>-2.75999999999999</v>
      </c>
      <c r="E362" s="7">
        <f>日前电价!E362-实时电价!E362</f>
        <v>2.0799999999999801</v>
      </c>
      <c r="F362" s="7">
        <f>日前电价!F362-实时电价!F362</f>
        <v>1.3399999999999701</v>
      </c>
      <c r="G362" s="7">
        <f>日前电价!G362-实时电价!G362</f>
        <v>1.52000000000004</v>
      </c>
      <c r="H362" s="7">
        <f>日前电价!H362-实时电价!H362</f>
        <v>16.170000000000002</v>
      </c>
      <c r="I362" s="7">
        <f>日前电价!I362-实时电价!I362</f>
        <v>-7.13</v>
      </c>
      <c r="J362" s="7">
        <f>日前电价!J362-实时电价!J362</f>
        <v>-40.770000000000003</v>
      </c>
      <c r="K362" s="7">
        <f>日前电价!K362-实时电价!K362</f>
        <v>-121.76</v>
      </c>
      <c r="L362" s="7">
        <f>日前电价!L362-实时电价!L362</f>
        <v>-69.88</v>
      </c>
      <c r="M362" s="7">
        <f>日前电价!M362-实时电价!M362</f>
        <v>-45.77</v>
      </c>
      <c r="N362" s="7">
        <f>日前电价!N362-实时电价!N362</f>
        <v>-20.14</v>
      </c>
      <c r="O362" s="7">
        <f>日前电价!O362-实时电价!O362</f>
        <v>-175.16</v>
      </c>
      <c r="P362" s="7">
        <f>日前电价!P362-实时电价!P362</f>
        <v>-48.63</v>
      </c>
      <c r="Q362" s="7">
        <f>日前电价!Q362-实时电价!Q362</f>
        <v>-35.92</v>
      </c>
      <c r="R362" s="7">
        <f>日前电价!R362-实时电价!R362</f>
        <v>-24.34</v>
      </c>
      <c r="S362" s="7">
        <f>日前电价!S362-实时电价!S362</f>
        <v>-27.82</v>
      </c>
      <c r="T362" s="7">
        <f>日前电价!T362-实时电价!T362</f>
        <v>-45.61</v>
      </c>
      <c r="U362" s="7">
        <f>日前电价!U362-实时电价!U362</f>
        <v>-17.5</v>
      </c>
      <c r="V362" s="7">
        <f>日前电价!V362-实时电价!V362</f>
        <v>-13.69</v>
      </c>
      <c r="W362" s="7">
        <f>日前电价!W362-实时电价!W362</f>
        <v>-42.88</v>
      </c>
      <c r="X362" s="7">
        <f>日前电价!X362-实时电价!X362</f>
        <v>-0.52999999999997305</v>
      </c>
      <c r="Y362" s="7">
        <f>日前电价!Y362-实时电价!Y362</f>
        <v>11.72</v>
      </c>
      <c r="Z362" s="9">
        <f t="shared" si="15"/>
        <v>16.170000000000002</v>
      </c>
      <c r="AA362" s="9">
        <f t="shared" si="16"/>
        <v>-175.16</v>
      </c>
      <c r="AB362" s="9">
        <f t="shared" si="17"/>
        <v>-29.53</v>
      </c>
    </row>
    <row r="363" spans="1:28">
      <c r="A363" s="8">
        <v>45653</v>
      </c>
      <c r="B363" s="7">
        <f>日前电价!B363-实时电价!B363</f>
        <v>-0.900000000000034</v>
      </c>
      <c r="C363" s="7">
        <f>日前电价!C363-实时电价!C363</f>
        <v>5.8199999999999896</v>
      </c>
      <c r="D363" s="7">
        <f>日前电价!D363-实时电价!D363</f>
        <v>-16.29</v>
      </c>
      <c r="E363" s="7">
        <f>日前电价!E363-实时电价!E363</f>
        <v>-4.5599999999999996</v>
      </c>
      <c r="F363" s="7">
        <f>日前电价!F363-实时电价!F363</f>
        <v>-20.21</v>
      </c>
      <c r="G363" s="7">
        <f>日前电价!G363-实时电价!G363</f>
        <v>-10.220000000000001</v>
      </c>
      <c r="H363" s="7">
        <f>日前电价!H363-实时电价!H363</f>
        <v>-25.37</v>
      </c>
      <c r="I363" s="7">
        <f>日前电价!I363-实时电价!I363</f>
        <v>-15.3</v>
      </c>
      <c r="J363" s="7">
        <f>日前电价!J363-实时电价!J363</f>
        <v>-10.79</v>
      </c>
      <c r="K363" s="7">
        <f>日前电价!K363-实时电价!K363</f>
        <v>64.55</v>
      </c>
      <c r="L363" s="7">
        <f>日前电价!L363-实时电价!L363</f>
        <v>36.520000000000003</v>
      </c>
      <c r="M363" s="7">
        <f>日前电价!M363-实时电价!M363</f>
        <v>14.59</v>
      </c>
      <c r="N363" s="7">
        <f>日前电价!N363-实时电价!N363</f>
        <v>231.19</v>
      </c>
      <c r="O363" s="7">
        <f>日前电价!O363-实时电价!O363</f>
        <v>186.73</v>
      </c>
      <c r="P363" s="7">
        <f>日前电价!P363-实时电价!P363</f>
        <v>3.72999999999996</v>
      </c>
      <c r="Q363" s="7">
        <f>日前电价!Q363-实时电价!Q363</f>
        <v>-4.2800000000000296</v>
      </c>
      <c r="R363" s="7">
        <f>日前电价!R363-实时电价!R363</f>
        <v>-2.48999999999995</v>
      </c>
      <c r="S363" s="7">
        <f>日前电价!S363-实时电价!S363</f>
        <v>-0.28000000000003</v>
      </c>
      <c r="T363" s="7">
        <f>日前电价!T363-实时电价!T363</f>
        <v>25.33</v>
      </c>
      <c r="U363" s="7">
        <f>日前电价!U363-实时电价!U363</f>
        <v>44.29</v>
      </c>
      <c r="V363" s="7">
        <f>日前电价!V363-实时电价!V363</f>
        <v>50.2</v>
      </c>
      <c r="W363" s="7">
        <f>日前电价!W363-实时电价!W363</f>
        <v>46.96</v>
      </c>
      <c r="X363" s="7">
        <f>日前电价!X363-实时电价!X363</f>
        <v>53.44</v>
      </c>
      <c r="Y363" s="7">
        <f>日前电价!Y363-实时电价!Y363</f>
        <v>23.15</v>
      </c>
      <c r="Z363" s="9">
        <f t="shared" si="15"/>
        <v>231.19</v>
      </c>
      <c r="AA363" s="9">
        <f t="shared" si="16"/>
        <v>-25.37</v>
      </c>
      <c r="AB363" s="9">
        <f t="shared" si="17"/>
        <v>28.158750000000001</v>
      </c>
    </row>
    <row r="364" spans="1:28">
      <c r="A364" s="8">
        <v>45654</v>
      </c>
      <c r="B364" s="7">
        <f>日前电价!B364-实时电价!B364</f>
        <v>16.600000000000001</v>
      </c>
      <c r="C364" s="7">
        <f>日前电价!C364-实时电价!C364</f>
        <v>-4.3400000000000301</v>
      </c>
      <c r="D364" s="7">
        <f>日前电价!D364-实时电价!D364</f>
        <v>27.09</v>
      </c>
      <c r="E364" s="7">
        <f>日前电价!E364-实时电价!E364</f>
        <v>128.68</v>
      </c>
      <c r="F364" s="7">
        <f>日前电价!F364-实时电价!F364</f>
        <v>201.03</v>
      </c>
      <c r="G364" s="7">
        <f>日前电价!G364-实时电价!G364</f>
        <v>134.75</v>
      </c>
      <c r="H364" s="7">
        <f>日前电价!H364-实时电价!H364</f>
        <v>7.16999999999996</v>
      </c>
      <c r="I364" s="7">
        <f>日前电价!I364-实时电价!I364</f>
        <v>-18.579999999999998</v>
      </c>
      <c r="J364" s="7">
        <f>日前电价!J364-实时电价!J364</f>
        <v>-33.5700000000001</v>
      </c>
      <c r="K364" s="7">
        <f>日前电价!K364-实时电价!K364</f>
        <v>57.08</v>
      </c>
      <c r="L364" s="7">
        <f>日前电价!L364-实时电价!L364</f>
        <v>60.48</v>
      </c>
      <c r="M364" s="7">
        <f>日前电价!M364-实时电价!M364</f>
        <v>-1.8300000000000101</v>
      </c>
      <c r="N364" s="7">
        <f>日前电价!N364-实时电价!N364</f>
        <v>16.850000000000001</v>
      </c>
      <c r="O364" s="7">
        <f>日前电价!O364-实时电价!O364</f>
        <v>-19.7</v>
      </c>
      <c r="P364" s="7">
        <f>日前电价!P364-实时电价!P364</f>
        <v>37.14</v>
      </c>
      <c r="Q364" s="7">
        <f>日前电价!Q364-实时电价!Q364</f>
        <v>7.5699999999999896</v>
      </c>
      <c r="R364" s="7">
        <f>日前电价!R364-实时电价!R364</f>
        <v>-3.46999999999997</v>
      </c>
      <c r="S364" s="7">
        <f>日前电价!S364-实时电价!S364</f>
        <v>20.27</v>
      </c>
      <c r="T364" s="7">
        <f>日前电价!T364-实时电价!T364</f>
        <v>3.5</v>
      </c>
      <c r="U364" s="7">
        <f>日前电价!U364-实时电价!U364</f>
        <v>18.22</v>
      </c>
      <c r="V364" s="7">
        <f>日前电价!V364-实时电价!V364</f>
        <v>29.76</v>
      </c>
      <c r="W364" s="7">
        <f>日前电价!W364-实时电价!W364</f>
        <v>-8.3300000000000392</v>
      </c>
      <c r="X364" s="7">
        <f>日前电价!X364-实时电价!X364</f>
        <v>10.61</v>
      </c>
      <c r="Y364" s="7">
        <f>日前电价!Y364-实时电价!Y364</f>
        <v>10.37</v>
      </c>
      <c r="Z364" s="9">
        <f t="shared" si="15"/>
        <v>201.03</v>
      </c>
      <c r="AA364" s="9">
        <f t="shared" si="16"/>
        <v>-33.5700000000001</v>
      </c>
      <c r="AB364" s="9">
        <f t="shared" si="17"/>
        <v>29.056249999999999</v>
      </c>
    </row>
    <row r="365" spans="1:28">
      <c r="A365" s="8">
        <v>45655</v>
      </c>
      <c r="B365" s="7">
        <f>日前电价!B365-实时电价!B365</f>
        <v>-23.87</v>
      </c>
      <c r="C365" s="7">
        <f>日前电价!C365-实时电价!C365</f>
        <v>-5.1800000000000104</v>
      </c>
      <c r="D365" s="7">
        <f>日前电价!D365-实时电价!D365</f>
        <v>-20.6</v>
      </c>
      <c r="E365" s="7">
        <f>日前电价!E365-实时电价!E365</f>
        <v>0.61000000000001398</v>
      </c>
      <c r="F365" s="7">
        <f>日前电价!F365-实时电价!F365</f>
        <v>-10.029999999999999</v>
      </c>
      <c r="G365" s="7">
        <f>日前电价!G365-实时电价!G365</f>
        <v>-21.57</v>
      </c>
      <c r="H365" s="7">
        <f>日前电价!H365-实时电价!H365</f>
        <v>-24.1</v>
      </c>
      <c r="I365" s="7">
        <f>日前电价!I365-实时电价!I365</f>
        <v>-25.24</v>
      </c>
      <c r="J365" s="7">
        <f>日前电价!J365-实时电价!J365</f>
        <v>38.200000000000003</v>
      </c>
      <c r="K365" s="7">
        <f>日前电价!K365-实时电价!K365</f>
        <v>27.04</v>
      </c>
      <c r="L365" s="7">
        <f>日前电价!L365-实时电价!L365</f>
        <v>1.03</v>
      </c>
      <c r="M365" s="7">
        <f>日前电价!M365-实时电价!M365</f>
        <v>-36.299999999999997</v>
      </c>
      <c r="N365" s="7">
        <f>日前电价!N365-实时电价!N365</f>
        <v>-8.4700000000000006</v>
      </c>
      <c r="O365" s="7">
        <f>日前电价!O365-实时电价!O365</f>
        <v>-1.39</v>
      </c>
      <c r="P365" s="7">
        <f>日前电价!P365-实时电价!P365</f>
        <v>-12.88</v>
      </c>
      <c r="Q365" s="7">
        <f>日前电价!Q365-实时电价!Q365</f>
        <v>-17.02</v>
      </c>
      <c r="R365" s="7">
        <f>日前电价!R365-实时电价!R365</f>
        <v>-15.94</v>
      </c>
      <c r="S365" s="7">
        <f>日前电价!S365-实时电价!S365</f>
        <v>-52.619999999999898</v>
      </c>
      <c r="T365" s="7">
        <f>日前电价!T365-实时电价!T365</f>
        <v>-28.93</v>
      </c>
      <c r="U365" s="7">
        <f>日前电价!U365-实时电价!U365</f>
        <v>-70.31</v>
      </c>
      <c r="V365" s="7">
        <f>日前电价!V365-实时电价!V365</f>
        <v>-69.91</v>
      </c>
      <c r="W365" s="7">
        <f>日前电价!W365-实时电价!W365</f>
        <v>-113.25</v>
      </c>
      <c r="X365" s="7">
        <f>日前电价!X365-实时电价!X365</f>
        <v>-35.840000000000003</v>
      </c>
      <c r="Y365" s="7">
        <f>日前电价!Y365-实时电价!Y365</f>
        <v>-25.22</v>
      </c>
      <c r="Z365" s="9">
        <f t="shared" si="15"/>
        <v>38.200000000000003</v>
      </c>
      <c r="AA365" s="9">
        <f t="shared" si="16"/>
        <v>-113.25</v>
      </c>
      <c r="AB365" s="9">
        <f t="shared" si="17"/>
        <v>-22.991250000000001</v>
      </c>
    </row>
    <row r="366" spans="1:28">
      <c r="A366" s="8">
        <v>45656</v>
      </c>
      <c r="B366" s="7">
        <f>日前电价!B366-实时电价!B366</f>
        <v>-2.44999999999999</v>
      </c>
      <c r="C366" s="7">
        <f>日前电价!C366-实时电价!C366</f>
        <v>-11.31</v>
      </c>
      <c r="D366" s="7">
        <f>日前电价!D366-实时电价!D366</f>
        <v>6.2900000000000196</v>
      </c>
      <c r="E366" s="7">
        <f>日前电价!E366-实时电价!E366</f>
        <v>5.1000000000000201</v>
      </c>
      <c r="F366" s="7">
        <f>日前电价!F366-实时电价!F366</f>
        <v>-14.16</v>
      </c>
      <c r="G366" s="7">
        <f>日前电价!G366-实时电价!G366</f>
        <v>-27.62</v>
      </c>
      <c r="H366" s="7">
        <f>日前电价!H366-实时电价!H366</f>
        <v>-58.33</v>
      </c>
      <c r="I366" s="7">
        <f>日前电价!I366-实时电价!I366</f>
        <v>-166.47</v>
      </c>
      <c r="J366" s="7">
        <f>日前电价!J366-实时电价!J366</f>
        <v>-351.31</v>
      </c>
      <c r="K366" s="7">
        <f>日前电价!K366-实时电价!K366</f>
        <v>11.92</v>
      </c>
      <c r="L366" s="7">
        <f>日前电价!L366-实时电价!L366</f>
        <v>65.09</v>
      </c>
      <c r="M366" s="7">
        <f>日前电价!M366-实时电价!M366</f>
        <v>36.07</v>
      </c>
      <c r="N366" s="7">
        <f>日前电价!N366-实时电价!N366</f>
        <v>66.48</v>
      </c>
      <c r="O366" s="7">
        <f>日前电价!O366-实时电价!O366</f>
        <v>18.760000000000002</v>
      </c>
      <c r="P366" s="7">
        <f>日前电价!P366-实时电价!P366</f>
        <v>-2.1499999999999799</v>
      </c>
      <c r="Q366" s="7">
        <f>日前电价!Q366-实时电价!Q366</f>
        <v>-13.26</v>
      </c>
      <c r="R366" s="7">
        <f>日前电价!R366-实时电价!R366</f>
        <v>41.06</v>
      </c>
      <c r="S366" s="7">
        <f>日前电价!S366-实时电价!S366</f>
        <v>54.26</v>
      </c>
      <c r="T366" s="7">
        <f>日前电价!T366-实时电价!T366</f>
        <v>5.2700000000000404</v>
      </c>
      <c r="U366" s="7">
        <f>日前电价!U366-实时电价!U366</f>
        <v>25.43</v>
      </c>
      <c r="V366" s="7">
        <f>日前电价!V366-实时电价!V366</f>
        <v>34.770000000000003</v>
      </c>
      <c r="W366" s="7">
        <f>日前电价!W366-实时电价!W366</f>
        <v>54.31</v>
      </c>
      <c r="X366" s="7">
        <f>日前电价!X366-实时电价!X366</f>
        <v>109.12</v>
      </c>
      <c r="Y366" s="7">
        <f>日前电价!Y366-实时电价!Y366</f>
        <v>71.33</v>
      </c>
      <c r="Z366" s="9">
        <f t="shared" si="15"/>
        <v>109.12</v>
      </c>
      <c r="AA366" s="9">
        <f t="shared" si="16"/>
        <v>-351.31</v>
      </c>
      <c r="AB366" s="9">
        <f t="shared" si="17"/>
        <v>-1.74166666666666</v>
      </c>
    </row>
    <row r="367" spans="1:28">
      <c r="A367" s="8">
        <v>45657</v>
      </c>
      <c r="B367" s="7">
        <f>日前电价!B367-实时电价!B367</f>
        <v>76.72</v>
      </c>
      <c r="C367" s="7">
        <f>日前电价!C367-实时电价!C367</f>
        <v>107.26</v>
      </c>
      <c r="D367" s="7">
        <f>日前电价!D367-实时电价!D367</f>
        <v>69.040000000000006</v>
      </c>
      <c r="E367" s="7">
        <f>日前电价!E367-实时电价!E367</f>
        <v>37.42</v>
      </c>
      <c r="F367" s="7">
        <f>日前电价!F367-实时电价!F367</f>
        <v>24.74</v>
      </c>
      <c r="G367" s="7">
        <f>日前电价!G367-实时电价!G367</f>
        <v>29.92</v>
      </c>
      <c r="H367" s="7">
        <f>日前电价!H367-实时电价!H367</f>
        <v>38.340000000000003</v>
      </c>
      <c r="I367" s="7">
        <f>日前电价!I367-实时电价!I367</f>
        <v>-6.0400000000000196</v>
      </c>
      <c r="J367" s="7">
        <f>日前电价!J367-实时电价!J367</f>
        <v>-21.78</v>
      </c>
      <c r="K367" s="7">
        <f>日前电价!K367-实时电价!K367</f>
        <v>37.29</v>
      </c>
      <c r="L367" s="7">
        <f>日前电价!L367-实时电价!L367</f>
        <v>31.91</v>
      </c>
      <c r="M367" s="7">
        <f>日前电价!M367-实时电价!M367</f>
        <v>45.83</v>
      </c>
      <c r="N367" s="7">
        <f>日前电价!N367-实时电价!N367</f>
        <v>128.80000000000001</v>
      </c>
      <c r="O367" s="7">
        <f>日前电价!O367-实时电价!O367</f>
        <v>70.34</v>
      </c>
      <c r="P367" s="7">
        <f>日前电价!P367-实时电价!P367</f>
        <v>181.21</v>
      </c>
      <c r="Q367" s="7">
        <f>日前电价!Q367-实时电价!Q367</f>
        <v>38.93</v>
      </c>
      <c r="R367" s="7">
        <f>日前电价!R367-实时电价!R367</f>
        <v>56.12</v>
      </c>
      <c r="S367" s="7">
        <f>日前电价!S367-实时电价!S367</f>
        <v>108.04</v>
      </c>
      <c r="T367" s="7">
        <f>日前电价!T367-实时电价!T367</f>
        <v>113.81</v>
      </c>
      <c r="U367" s="7">
        <f>日前电价!U367-实时电价!U367</f>
        <v>115.62</v>
      </c>
      <c r="V367" s="7">
        <f>日前电价!V367-实时电价!V367</f>
        <v>94.42</v>
      </c>
      <c r="W367" s="7">
        <f>日前电价!W367-实时电价!W367</f>
        <v>62.96</v>
      </c>
      <c r="X367" s="7">
        <f>日前电价!X367-实时电价!X367</f>
        <v>39.85</v>
      </c>
      <c r="Y367" s="7">
        <f>日前电价!Y367-实时电价!Y367</f>
        <v>37.950000000000003</v>
      </c>
      <c r="Z367" s="9">
        <f t="shared" si="15"/>
        <v>181.21</v>
      </c>
      <c r="AA367" s="9">
        <f t="shared" si="16"/>
        <v>-21.78</v>
      </c>
      <c r="AB367" s="9">
        <f t="shared" si="17"/>
        <v>63.279166666666697</v>
      </c>
    </row>
    <row r="368" spans="1:28">
      <c r="A368" s="10">
        <v>45658</v>
      </c>
      <c r="B368" s="7">
        <v>-105.45</v>
      </c>
      <c r="C368" s="7">
        <v>-25.4</v>
      </c>
      <c r="D368" s="7">
        <v>-19.329999999999998</v>
      </c>
      <c r="E368" s="7">
        <v>-11.58</v>
      </c>
      <c r="F368" s="7">
        <v>-57.27</v>
      </c>
      <c r="G368" s="7">
        <v>-80.47</v>
      </c>
      <c r="H368" s="7">
        <v>-24.13</v>
      </c>
      <c r="I368" s="7">
        <v>-53.58</v>
      </c>
      <c r="J368" s="7">
        <v>-96.99</v>
      </c>
      <c r="K368" s="7">
        <v>-5.75</v>
      </c>
      <c r="L368" s="7">
        <v>7.15</v>
      </c>
      <c r="M368" s="7">
        <v>-72.239999999999995</v>
      </c>
      <c r="N368" s="7">
        <v>-150.09</v>
      </c>
      <c r="O368" s="7">
        <v>-138.85</v>
      </c>
      <c r="P368" s="7">
        <v>-254.43</v>
      </c>
      <c r="Q368" s="7">
        <v>-155.62</v>
      </c>
      <c r="R368" s="7">
        <v>-116.69</v>
      </c>
      <c r="S368" s="7">
        <v>-108.08</v>
      </c>
      <c r="T368" s="7">
        <v>-26.42</v>
      </c>
      <c r="U368" s="7">
        <v>-14.54</v>
      </c>
      <c r="V368" s="7">
        <v>-40.950000000000003</v>
      </c>
      <c r="W368" s="7">
        <v>-52.73</v>
      </c>
      <c r="X368" s="7">
        <v>-34.200000000000003</v>
      </c>
      <c r="Y368" s="7">
        <v>-27.69</v>
      </c>
      <c r="Z368" s="9">
        <f t="shared" si="15"/>
        <v>7.15</v>
      </c>
      <c r="AA368" s="9">
        <f t="shared" si="16"/>
        <v>-254.43</v>
      </c>
      <c r="AB368" s="9">
        <f t="shared" si="17"/>
        <v>-69.388750000000002</v>
      </c>
    </row>
    <row r="369" spans="1:28">
      <c r="A369" s="10">
        <v>45659</v>
      </c>
      <c r="B369" s="7">
        <v>-19.170000000000002</v>
      </c>
      <c r="C369" s="7">
        <v>12.34</v>
      </c>
      <c r="D369" s="7">
        <v>9.1600000000000197</v>
      </c>
      <c r="E369" s="7">
        <v>9.0799999999999805</v>
      </c>
      <c r="F369" s="7">
        <v>1.4100000000000299</v>
      </c>
      <c r="G369" s="7">
        <v>2.75</v>
      </c>
      <c r="H369" s="7">
        <v>-2.30000000000001</v>
      </c>
      <c r="I369" s="7">
        <v>-11.14</v>
      </c>
      <c r="J369" s="7">
        <v>1.5899999999999701</v>
      </c>
      <c r="K369" s="7">
        <v>7.19</v>
      </c>
      <c r="L369" s="7">
        <v>-13.52</v>
      </c>
      <c r="M369" s="7">
        <v>28.35</v>
      </c>
      <c r="N369" s="7">
        <v>67.56</v>
      </c>
      <c r="O369" s="7">
        <v>20.13</v>
      </c>
      <c r="P369" s="7">
        <v>7.9599999999999804</v>
      </c>
      <c r="Q369" s="7">
        <v>-7.00999999999999</v>
      </c>
      <c r="R369" s="7">
        <v>-19.38</v>
      </c>
      <c r="S369" s="7">
        <v>-2.5799999999999801</v>
      </c>
      <c r="T369" s="7">
        <v>-52.71</v>
      </c>
      <c r="U369" s="7">
        <v>-143.9</v>
      </c>
      <c r="V369" s="7">
        <v>-193.09</v>
      </c>
      <c r="W369" s="7">
        <v>-78.7</v>
      </c>
      <c r="X369" s="7">
        <v>-50.61</v>
      </c>
      <c r="Y369" s="7">
        <v>-19.68</v>
      </c>
      <c r="Z369" s="9">
        <f>MAX($B$369:$Y$369)</f>
        <v>67.56</v>
      </c>
      <c r="AA369" s="9">
        <f>MIN($B$369:$Y$369)</f>
        <v>-193.09</v>
      </c>
      <c r="AB369" s="9">
        <f>AVERAGE($B$369:$Y$369)</f>
        <v>-18.594583333333301</v>
      </c>
    </row>
    <row r="370" spans="1:28">
      <c r="A370" s="10">
        <v>45660</v>
      </c>
      <c r="B370" s="7">
        <v>-55.55</v>
      </c>
      <c r="C370" s="7">
        <v>26.11</v>
      </c>
      <c r="D370" s="7">
        <v>31.91</v>
      </c>
      <c r="E370" s="7">
        <v>28.94</v>
      </c>
      <c r="F370" s="7">
        <v>34.21</v>
      </c>
      <c r="G370" s="7">
        <v>23.59</v>
      </c>
      <c r="H370" s="7">
        <v>27.42</v>
      </c>
      <c r="I370" s="7">
        <v>59.86</v>
      </c>
      <c r="J370" s="7">
        <v>24.44</v>
      </c>
      <c r="K370" s="7">
        <v>41.53</v>
      </c>
      <c r="L370" s="7">
        <v>110.55</v>
      </c>
      <c r="M370" s="7">
        <v>85.95</v>
      </c>
      <c r="N370" s="7">
        <v>44.63</v>
      </c>
      <c r="O370" s="7">
        <v>-43.6</v>
      </c>
      <c r="P370" s="7">
        <v>10.66</v>
      </c>
      <c r="Q370" s="7">
        <v>4.63</v>
      </c>
      <c r="R370" s="7">
        <v>3.6700000000000199</v>
      </c>
      <c r="S370" s="7">
        <v>16.48</v>
      </c>
      <c r="T370" s="7">
        <v>23.68</v>
      </c>
      <c r="U370" s="7">
        <v>14.45</v>
      </c>
      <c r="V370" s="7">
        <v>21.559999999999899</v>
      </c>
      <c r="W370" s="7">
        <v>29.380000000000098</v>
      </c>
      <c r="X370" s="7">
        <v>3.6100000000000101</v>
      </c>
      <c r="Y370" s="7">
        <v>18.02</v>
      </c>
      <c r="Z370" s="9">
        <f>MAX($B$370:$Y$370)</f>
        <v>110.55</v>
      </c>
      <c r="AA370" s="9">
        <f>MIN($B$370:$Y$370)</f>
        <v>-55.55</v>
      </c>
      <c r="AB370" s="9">
        <f>AVERAGE($B$370:$Y$370)</f>
        <v>24.422083333333301</v>
      </c>
    </row>
    <row r="371" spans="1:28">
      <c r="A371" s="10">
        <v>45661</v>
      </c>
      <c r="B371" s="7">
        <v>-33.64</v>
      </c>
      <c r="C371" s="7">
        <v>-9.4499999999999904</v>
      </c>
      <c r="D371" s="7">
        <v>-2.4099999999999699</v>
      </c>
      <c r="E371" s="7">
        <v>-4.9400000000000004</v>
      </c>
      <c r="F371" s="7">
        <v>-0.78000000000003</v>
      </c>
      <c r="G371" s="7">
        <v>-0.85000000000002296</v>
      </c>
      <c r="H371" s="7">
        <v>5.12</v>
      </c>
      <c r="I371" s="7">
        <v>5.7200000000000299</v>
      </c>
      <c r="J371" s="7">
        <v>-20.23</v>
      </c>
      <c r="K371" s="7">
        <v>4.9499999999999904</v>
      </c>
      <c r="L371" s="7">
        <v>17.149999999999999</v>
      </c>
      <c r="M371" s="7">
        <v>68.73</v>
      </c>
      <c r="N371" s="7">
        <v>109.71</v>
      </c>
      <c r="O371" s="7">
        <v>-5.37</v>
      </c>
      <c r="P371" s="7">
        <v>-4.16999999999996</v>
      </c>
      <c r="Q371" s="7">
        <v>-5.7799999999999701</v>
      </c>
      <c r="R371" s="7">
        <v>-3.80000000000001</v>
      </c>
      <c r="S371" s="7">
        <v>5.25999999999999</v>
      </c>
      <c r="T371" s="7">
        <v>-8.0500000000000096</v>
      </c>
      <c r="U371" s="7">
        <v>-14.76</v>
      </c>
      <c r="V371" s="7">
        <v>-20.190000000000001</v>
      </c>
      <c r="W371" s="7">
        <v>-13.03</v>
      </c>
      <c r="X371" s="7">
        <v>-14.76</v>
      </c>
      <c r="Y371" s="7">
        <v>-8.5099999999999891</v>
      </c>
      <c r="Z371" s="9">
        <f>MAX($B$371:$Y$371)</f>
        <v>109.71</v>
      </c>
      <c r="AA371" s="9">
        <f>MIN($B$371:$Y$371)</f>
        <v>-33.64</v>
      </c>
      <c r="AB371" s="9">
        <f>AVERAGE($B$371:$Y$371)</f>
        <v>1.91333333333334</v>
      </c>
    </row>
    <row r="372" spans="1:28">
      <c r="A372" s="10">
        <v>45662</v>
      </c>
      <c r="B372" s="7">
        <v>-72.569999999999993</v>
      </c>
      <c r="C372" s="7">
        <v>-8.0399999999999601</v>
      </c>
      <c r="D372" s="7">
        <v>-2.9200000000000199</v>
      </c>
      <c r="E372" s="7">
        <v>5.4300000000000104</v>
      </c>
      <c r="F372" s="7">
        <v>-5.19</v>
      </c>
      <c r="G372" s="7">
        <v>-8.2999999999999492</v>
      </c>
      <c r="H372" s="7">
        <v>-16.989999999999998</v>
      </c>
      <c r="I372" s="7">
        <v>-11.74</v>
      </c>
      <c r="J372" s="7">
        <v>-38.51</v>
      </c>
      <c r="K372" s="7">
        <v>-73.05</v>
      </c>
      <c r="L372" s="7">
        <v>-93.97</v>
      </c>
      <c r="M372" s="7">
        <v>-8.7599999999999891</v>
      </c>
      <c r="N372" s="7">
        <v>-19.82</v>
      </c>
      <c r="O372" s="7">
        <v>-137.36000000000001</v>
      </c>
      <c r="P372" s="7">
        <v>-82.32</v>
      </c>
      <c r="Q372" s="7">
        <v>-92.41</v>
      </c>
      <c r="R372" s="7">
        <v>-87.7</v>
      </c>
      <c r="S372" s="7">
        <v>-55.51</v>
      </c>
      <c r="T372" s="7">
        <v>-15.09</v>
      </c>
      <c r="U372" s="7">
        <v>-26.19</v>
      </c>
      <c r="V372" s="7">
        <v>6.6099999999999604</v>
      </c>
      <c r="W372" s="7">
        <v>16.28</v>
      </c>
      <c r="X372" s="7">
        <v>9.44</v>
      </c>
      <c r="Y372" s="7">
        <v>-0.20999999999998001</v>
      </c>
      <c r="Z372" s="9">
        <f>MAX($B$372:$Y$372)</f>
        <v>16.28</v>
      </c>
      <c r="AA372" s="9">
        <f>MIN($B$372:$Y$372)</f>
        <v>-137.36000000000001</v>
      </c>
      <c r="AB372" s="9">
        <f>AVERAGE($B$372:$Y$372)</f>
        <v>-34.120416666666699</v>
      </c>
    </row>
    <row r="373" spans="1:28">
      <c r="A373" s="10">
        <v>45663</v>
      </c>
      <c r="B373" s="7">
        <v>-166.14</v>
      </c>
      <c r="C373" s="7">
        <v>-14.65</v>
      </c>
      <c r="D373" s="7">
        <v>-17.59</v>
      </c>
      <c r="E373" s="7">
        <v>4.1700000000000204</v>
      </c>
      <c r="F373" s="7">
        <v>-7.00999999999999</v>
      </c>
      <c r="G373" s="7">
        <v>-14.44</v>
      </c>
      <c r="H373" s="7">
        <v>-32.08</v>
      </c>
      <c r="I373" s="7">
        <v>-37.94</v>
      </c>
      <c r="J373" s="7">
        <v>-10.050000000000001</v>
      </c>
      <c r="K373" s="7">
        <v>1.3499999999999699</v>
      </c>
      <c r="L373" s="7">
        <v>86.16</v>
      </c>
      <c r="M373" s="7">
        <v>-21.05</v>
      </c>
      <c r="N373" s="7">
        <v>13.65</v>
      </c>
      <c r="O373" s="7">
        <v>-12.35</v>
      </c>
      <c r="P373" s="7">
        <v>-1.74000000000001</v>
      </c>
      <c r="Q373" s="7">
        <v>-2.45999999999998</v>
      </c>
      <c r="R373" s="7">
        <v>0.65999999999996795</v>
      </c>
      <c r="S373" s="7">
        <v>-9.3000000000000096</v>
      </c>
      <c r="T373" s="7">
        <v>6.5799999999999796</v>
      </c>
      <c r="U373" s="7">
        <v>37.79</v>
      </c>
      <c r="V373" s="7">
        <v>53.35</v>
      </c>
      <c r="W373" s="7">
        <v>56.82</v>
      </c>
      <c r="X373" s="7">
        <v>56.98</v>
      </c>
      <c r="Y373" s="7">
        <v>31.15</v>
      </c>
      <c r="Z373" s="9">
        <f>MAX($B$373:$Y$373)</f>
        <v>86.16</v>
      </c>
      <c r="AA373" s="9">
        <f>MIN($B$373:$Y$373)</f>
        <v>-166.14</v>
      </c>
      <c r="AB373" s="9">
        <f>AVERAGE($B$373:$Y$373)</f>
        <v>7.7499999999997002E-2</v>
      </c>
    </row>
    <row r="374" spans="1:28">
      <c r="A374" s="10">
        <v>45664</v>
      </c>
      <c r="B374" s="7">
        <v>-2.8600000000000101</v>
      </c>
      <c r="C374" s="7">
        <v>35.31</v>
      </c>
      <c r="D374" s="7">
        <v>39.51</v>
      </c>
      <c r="E374" s="7">
        <v>42.26</v>
      </c>
      <c r="F374" s="7">
        <v>29.190000000000101</v>
      </c>
      <c r="G374" s="7">
        <v>19.7</v>
      </c>
      <c r="H374" s="7">
        <v>24.869999999999902</v>
      </c>
      <c r="I374" s="7">
        <v>3.6499999999999799</v>
      </c>
      <c r="J374" s="7">
        <v>-13.67</v>
      </c>
      <c r="K374" s="7">
        <v>41.82</v>
      </c>
      <c r="L374" s="7">
        <v>54.48</v>
      </c>
      <c r="M374" s="7">
        <v>82.64</v>
      </c>
      <c r="N374" s="7">
        <v>42.07</v>
      </c>
      <c r="O374" s="7">
        <v>-8.94</v>
      </c>
      <c r="P374" s="7">
        <v>34.19</v>
      </c>
      <c r="Q374" s="7">
        <v>32.729999999999997</v>
      </c>
      <c r="R374" s="7">
        <v>10.89</v>
      </c>
      <c r="S374" s="7">
        <v>24.88</v>
      </c>
      <c r="T374" s="7">
        <v>56.35</v>
      </c>
      <c r="U374" s="7">
        <v>59.69</v>
      </c>
      <c r="V374" s="7">
        <v>33.450000000000003</v>
      </c>
      <c r="W374" s="7">
        <v>50</v>
      </c>
      <c r="X374" s="7">
        <v>1.6500000000000301</v>
      </c>
      <c r="Y374" s="7">
        <v>-2.91999999999996</v>
      </c>
      <c r="Z374" s="9">
        <f>MAX($B$374:$Y$374)</f>
        <v>82.64</v>
      </c>
      <c r="AA374" s="9">
        <f>MIN($B$374:$Y$374)</f>
        <v>-13.67</v>
      </c>
      <c r="AB374" s="9">
        <f>AVERAGE($B$374:$Y$374)</f>
        <v>28.789166666666699</v>
      </c>
    </row>
    <row r="375" spans="1:28">
      <c r="A375" s="10">
        <v>45665</v>
      </c>
      <c r="B375" s="7">
        <v>6.73000000000002</v>
      </c>
      <c r="C375" s="7">
        <v>17.28</v>
      </c>
      <c r="D375" s="7">
        <v>16.54</v>
      </c>
      <c r="E375" s="7">
        <v>12.32</v>
      </c>
      <c r="F375" s="7">
        <v>26.33</v>
      </c>
      <c r="G375" s="7">
        <v>6.44</v>
      </c>
      <c r="H375" s="7">
        <v>21.35</v>
      </c>
      <c r="I375" s="7">
        <v>19.100000000000001</v>
      </c>
      <c r="J375" s="7">
        <v>-11.88</v>
      </c>
      <c r="K375" s="7">
        <v>46.62</v>
      </c>
      <c r="L375" s="7">
        <v>10.99</v>
      </c>
      <c r="M375" s="7">
        <v>8.8800000000000008</v>
      </c>
      <c r="N375" s="7">
        <v>-12.31</v>
      </c>
      <c r="O375" s="7">
        <v>-3.56</v>
      </c>
      <c r="P375" s="7">
        <v>21.04</v>
      </c>
      <c r="Q375" s="7">
        <v>31.3200000000001</v>
      </c>
      <c r="R375" s="7">
        <v>30.8200000000001</v>
      </c>
      <c r="S375" s="7">
        <v>14.87</v>
      </c>
      <c r="T375" s="7">
        <v>28.56</v>
      </c>
      <c r="U375" s="7">
        <v>7.6500000000000297</v>
      </c>
      <c r="V375" s="7">
        <v>30.3</v>
      </c>
      <c r="W375" s="7">
        <v>47.49</v>
      </c>
      <c r="X375" s="7">
        <v>28.42</v>
      </c>
      <c r="Y375" s="7">
        <v>11.3</v>
      </c>
      <c r="Z375" s="9">
        <f>MAX($B$375:$Y$375)</f>
        <v>47.49</v>
      </c>
      <c r="AA375" s="9">
        <f>MIN($B$375:$Y$375)</f>
        <v>-12.31</v>
      </c>
      <c r="AB375" s="9">
        <f>AVERAGE($B$375:$Y$375)</f>
        <v>17.358333333333299</v>
      </c>
    </row>
    <row r="376" spans="1:28">
      <c r="A376" s="10">
        <v>45666</v>
      </c>
      <c r="B376" s="7">
        <v>-67.849999999999994</v>
      </c>
      <c r="C376" s="7">
        <v>-13.05</v>
      </c>
      <c r="D376" s="7">
        <v>-3.3999999999999799</v>
      </c>
      <c r="E376" s="7">
        <v>-73.16</v>
      </c>
      <c r="F376" s="7">
        <v>-46.28</v>
      </c>
      <c r="G376" s="7">
        <v>-8.3199999999999896</v>
      </c>
      <c r="H376" s="7">
        <v>-29.09</v>
      </c>
      <c r="I376" s="7">
        <v>-48.57</v>
      </c>
      <c r="J376" s="7">
        <v>-234.28</v>
      </c>
      <c r="K376" s="7">
        <v>-97.85</v>
      </c>
      <c r="L376" s="7">
        <v>33.47</v>
      </c>
      <c r="M376" s="7">
        <v>69.849999999999994</v>
      </c>
      <c r="N376" s="7">
        <v>69.87</v>
      </c>
      <c r="O376" s="7">
        <v>6.3199999999999896</v>
      </c>
      <c r="P376" s="7">
        <v>32.68</v>
      </c>
      <c r="Q376" s="7">
        <v>44.41</v>
      </c>
      <c r="R376" s="7">
        <v>67.369999999999905</v>
      </c>
      <c r="S376" s="7">
        <v>47.94</v>
      </c>
      <c r="T376" s="7">
        <v>20.22</v>
      </c>
      <c r="U376" s="7">
        <v>35.6</v>
      </c>
      <c r="V376" s="7">
        <v>38</v>
      </c>
      <c r="W376" s="7">
        <v>6.9799999999999596</v>
      </c>
      <c r="X376" s="7">
        <v>-9.4599999999999795</v>
      </c>
      <c r="Y376" s="7">
        <v>-12.27</v>
      </c>
      <c r="Z376" s="9">
        <f>MAX($B$376:$Y$376)</f>
        <v>69.87</v>
      </c>
      <c r="AA376" s="9">
        <f>MIN($B$376:$Y$376)</f>
        <v>-234.28</v>
      </c>
      <c r="AB376" s="9">
        <f>AVERAGE($B$376:$Y$376)</f>
        <v>-7.11958333333334</v>
      </c>
    </row>
    <row r="377" spans="1:28">
      <c r="A377" s="10">
        <v>45667</v>
      </c>
      <c r="B377" s="7">
        <v>-94.92</v>
      </c>
      <c r="C377" s="7">
        <v>10.6799999999999</v>
      </c>
      <c r="D377" s="7">
        <v>5.69</v>
      </c>
      <c r="E377" s="7">
        <v>-37.94</v>
      </c>
      <c r="F377" s="7">
        <v>-47.14</v>
      </c>
      <c r="G377" s="7">
        <v>-28.28</v>
      </c>
      <c r="H377" s="7">
        <v>19.64</v>
      </c>
      <c r="I377" s="7">
        <v>28.87</v>
      </c>
      <c r="J377" s="7">
        <v>-72.569999999999993</v>
      </c>
      <c r="K377" s="7">
        <v>-48.48</v>
      </c>
      <c r="L377" s="7">
        <v>-73.400000000000006</v>
      </c>
      <c r="M377" s="7">
        <v>4.0699999999999896</v>
      </c>
      <c r="N377" s="7">
        <v>3.4200000000000199</v>
      </c>
      <c r="O377" s="7">
        <v>-178.28</v>
      </c>
      <c r="P377" s="7">
        <v>-1.70999999999998</v>
      </c>
      <c r="Q377" s="7">
        <v>48.26</v>
      </c>
      <c r="R377" s="7">
        <v>35.799999999999997</v>
      </c>
      <c r="S377" s="7">
        <v>29.81</v>
      </c>
      <c r="T377" s="7">
        <v>39.35</v>
      </c>
      <c r="U377" s="7">
        <v>-18.559999999999999</v>
      </c>
      <c r="V377" s="7">
        <v>-18.579999999999998</v>
      </c>
      <c r="W377" s="7">
        <v>7.2800000000000296</v>
      </c>
      <c r="X377" s="7">
        <v>51.23</v>
      </c>
      <c r="Y377" s="7">
        <v>-0.25999999999999102</v>
      </c>
      <c r="Z377" s="9">
        <f>MAX($B$377:$Y$377)</f>
        <v>51.23</v>
      </c>
      <c r="AA377" s="9">
        <f>MIN($B$377:$Y$377)</f>
        <v>-178.28</v>
      </c>
      <c r="AB377" s="9">
        <f>AVERAGE($B$377:$Y$377)</f>
        <v>-14.000833333333301</v>
      </c>
    </row>
    <row r="378" spans="1:28">
      <c r="A378" s="10">
        <v>45668</v>
      </c>
      <c r="B378" s="7">
        <v>-2.9200000000000199</v>
      </c>
      <c r="C378" s="7">
        <v>20.16</v>
      </c>
      <c r="D378" s="7">
        <v>35.01</v>
      </c>
      <c r="E378" s="7">
        <v>24.64</v>
      </c>
      <c r="F378" s="7">
        <v>26.02</v>
      </c>
      <c r="G378" s="7">
        <v>52.75</v>
      </c>
      <c r="H378" s="7">
        <v>27.02</v>
      </c>
      <c r="I378" s="7">
        <v>-44.79</v>
      </c>
      <c r="J378" s="7">
        <v>-174.64</v>
      </c>
      <c r="K378" s="7">
        <v>-85.04</v>
      </c>
      <c r="L378" s="7">
        <v>-118.1</v>
      </c>
      <c r="M378" s="7">
        <v>-119.19</v>
      </c>
      <c r="N378" s="7">
        <v>-66.63</v>
      </c>
      <c r="O378" s="7">
        <v>-55.57</v>
      </c>
      <c r="P378" s="7">
        <v>-58.59</v>
      </c>
      <c r="Q378" s="7">
        <v>-204.51</v>
      </c>
      <c r="R378" s="7">
        <v>-177.03</v>
      </c>
      <c r="S378" s="7">
        <v>-227.54</v>
      </c>
      <c r="T378" s="7">
        <v>-96.8</v>
      </c>
      <c r="U378" s="7">
        <v>-108.84</v>
      </c>
      <c r="V378" s="7">
        <v>-263.92</v>
      </c>
      <c r="W378" s="7">
        <v>-303.24</v>
      </c>
      <c r="X378" s="7">
        <v>-118.8</v>
      </c>
      <c r="Y378" s="7">
        <v>13.26</v>
      </c>
      <c r="Z378" s="9">
        <f>MAX($B$378:$Y$378)</f>
        <v>52.75</v>
      </c>
      <c r="AA378" s="9">
        <f>MIN($B$378:$Y$378)</f>
        <v>-303.24</v>
      </c>
      <c r="AB378" s="9">
        <f>AVERAGE($B$378:$Y$378)</f>
        <v>-84.470416666666694</v>
      </c>
    </row>
    <row r="379" spans="1:28">
      <c r="A379" s="10">
        <v>45669</v>
      </c>
      <c r="B379" s="7">
        <v>-143.61000000000001</v>
      </c>
      <c r="C379" s="7">
        <v>13.28</v>
      </c>
      <c r="D379" s="7">
        <v>22.66</v>
      </c>
      <c r="E379" s="7">
        <v>9.1500000000000306</v>
      </c>
      <c r="F379" s="7">
        <v>20.47</v>
      </c>
      <c r="G379" s="7">
        <v>21.76</v>
      </c>
      <c r="H379" s="7">
        <v>19.100000000000001</v>
      </c>
      <c r="I379" s="7">
        <v>20.170000000000002</v>
      </c>
      <c r="J379" s="7">
        <v>17.809999999999999</v>
      </c>
      <c r="K379" s="7">
        <v>31.54</v>
      </c>
      <c r="L379" s="7">
        <v>27.79</v>
      </c>
      <c r="M379" s="7">
        <v>58.55</v>
      </c>
      <c r="N379" s="7">
        <v>148.91</v>
      </c>
      <c r="O379" s="7">
        <v>63.76</v>
      </c>
      <c r="P379" s="7">
        <v>251.81</v>
      </c>
      <c r="Q379" s="7">
        <v>57.46</v>
      </c>
      <c r="R379" s="7">
        <v>37.909999999999997</v>
      </c>
      <c r="S379" s="7">
        <v>37.909999999999997</v>
      </c>
      <c r="T379" s="7">
        <v>1.94</v>
      </c>
      <c r="U379" s="7">
        <v>-7.91999999999996</v>
      </c>
      <c r="V379" s="7">
        <v>-143.22999999999999</v>
      </c>
      <c r="W379" s="7">
        <v>-265.25</v>
      </c>
      <c r="X379" s="7">
        <v>-80.849999999999994</v>
      </c>
      <c r="Y379" s="7">
        <v>-5.51999999999998</v>
      </c>
      <c r="Z379" s="9">
        <f>MAX($B$379:$Y$379)</f>
        <v>251.81</v>
      </c>
      <c r="AA379" s="9">
        <f>MIN($B$379:$Y$379)</f>
        <v>-265.25</v>
      </c>
      <c r="AB379" s="9">
        <f>AVERAGE($B$379:$Y$379)</f>
        <v>8.9833333333333396</v>
      </c>
    </row>
    <row r="380" spans="1:28">
      <c r="A380" s="10">
        <v>45670</v>
      </c>
      <c r="B380" s="7">
        <v>-168.31</v>
      </c>
      <c r="C380" s="7">
        <v>-32.72</v>
      </c>
      <c r="D380" s="7">
        <v>13.88</v>
      </c>
      <c r="E380" s="7">
        <v>50.08</v>
      </c>
      <c r="F380" s="7">
        <v>27.23</v>
      </c>
      <c r="G380" s="7">
        <v>13.43</v>
      </c>
      <c r="H380" s="7">
        <v>19.53</v>
      </c>
      <c r="I380" s="7">
        <v>193.84</v>
      </c>
      <c r="J380" s="7">
        <v>32.380000000000102</v>
      </c>
      <c r="K380" s="7">
        <v>168.1</v>
      </c>
      <c r="L380" s="7">
        <v>274.44</v>
      </c>
      <c r="M380" s="7">
        <v>54.51</v>
      </c>
      <c r="N380" s="7">
        <v>147.78</v>
      </c>
      <c r="O380" s="7">
        <v>12.46</v>
      </c>
      <c r="P380" s="7">
        <v>91.02</v>
      </c>
      <c r="Q380" s="7">
        <v>49.03</v>
      </c>
      <c r="R380" s="7">
        <v>58.65</v>
      </c>
      <c r="S380" s="7">
        <v>80.130000000000095</v>
      </c>
      <c r="T380" s="7">
        <v>61.130000000000102</v>
      </c>
      <c r="U380" s="7">
        <v>72.08</v>
      </c>
      <c r="V380" s="7">
        <v>-15.66</v>
      </c>
      <c r="W380" s="7">
        <v>-2.04000000000002</v>
      </c>
      <c r="X380" s="7">
        <v>-12.389999999999899</v>
      </c>
      <c r="Y380" s="7">
        <v>34.93</v>
      </c>
      <c r="Z380" s="9">
        <f>MAX($B$380:$Y$380)</f>
        <v>274.44</v>
      </c>
      <c r="AA380" s="9">
        <f>MIN($B$380:$Y$380)</f>
        <v>-168.31</v>
      </c>
      <c r="AB380" s="9">
        <f>AVERAGE($B$380:$Y$380)</f>
        <v>50.979583333333302</v>
      </c>
    </row>
    <row r="381" spans="1:28">
      <c r="A381" s="10">
        <v>45671</v>
      </c>
      <c r="B381" s="7">
        <v>-15.71</v>
      </c>
      <c r="C381" s="7">
        <v>5.2800000000000296</v>
      </c>
      <c r="D381" s="7">
        <v>20.239999999999998</v>
      </c>
      <c r="E381" s="7">
        <v>15.94</v>
      </c>
      <c r="F381" s="7">
        <v>12.85</v>
      </c>
      <c r="G381" s="7">
        <v>9.2800000000000296</v>
      </c>
      <c r="H381" s="7">
        <v>11.03</v>
      </c>
      <c r="I381" s="7">
        <v>11.12</v>
      </c>
      <c r="J381" s="7">
        <v>-159.38</v>
      </c>
      <c r="K381" s="7">
        <v>-269.37</v>
      </c>
      <c r="L381" s="7">
        <v>-64.319999999999993</v>
      </c>
      <c r="M381" s="7">
        <v>-45.94</v>
      </c>
      <c r="N381" s="7">
        <v>-20.39</v>
      </c>
      <c r="O381" s="7">
        <v>-65.66</v>
      </c>
      <c r="P381" s="7">
        <v>-46.64</v>
      </c>
      <c r="Q381" s="7">
        <v>-109.81</v>
      </c>
      <c r="R381" s="7">
        <v>-14.25</v>
      </c>
      <c r="S381" s="7">
        <v>44.34</v>
      </c>
      <c r="T381" s="7">
        <v>-161.12</v>
      </c>
      <c r="U381" s="7">
        <v>-106.27</v>
      </c>
      <c r="V381" s="7">
        <v>-59.75</v>
      </c>
      <c r="W381" s="7">
        <v>-77.98</v>
      </c>
      <c r="X381" s="7">
        <v>-20.99</v>
      </c>
      <c r="Y381" s="7">
        <v>-5.4700000000000299</v>
      </c>
      <c r="Z381" s="9">
        <f>MAX($B$381:$Y$381)</f>
        <v>44.34</v>
      </c>
      <c r="AA381" s="9">
        <f>MIN($B$381:$Y$381)</f>
        <v>-269.37</v>
      </c>
      <c r="AB381" s="9">
        <f>AVERAGE($B$381:$Y$381)</f>
        <v>-46.373750000000001</v>
      </c>
    </row>
    <row r="382" spans="1:28">
      <c r="A382" s="10">
        <v>45672</v>
      </c>
      <c r="B382" s="7">
        <v>-16.34</v>
      </c>
      <c r="C382" s="7">
        <v>1.1100000000000101</v>
      </c>
      <c r="D382" s="7">
        <v>10.15</v>
      </c>
      <c r="E382" s="7">
        <v>6.25</v>
      </c>
      <c r="F382" s="7">
        <v>20.6</v>
      </c>
      <c r="G382" s="7">
        <v>22.29</v>
      </c>
      <c r="H382" s="7">
        <v>15.34</v>
      </c>
      <c r="I382" s="7">
        <v>34.869999999999997</v>
      </c>
      <c r="J382" s="7">
        <v>10.34</v>
      </c>
      <c r="K382" s="7">
        <v>140.55000000000001</v>
      </c>
      <c r="L382" s="7">
        <v>84.75</v>
      </c>
      <c r="M382" s="7">
        <v>80.87</v>
      </c>
      <c r="N382" s="7">
        <v>97.23</v>
      </c>
      <c r="O382" s="7">
        <v>52.36</v>
      </c>
      <c r="P382" s="7">
        <v>107.23</v>
      </c>
      <c r="Q382" s="7">
        <v>18.13</v>
      </c>
      <c r="R382" s="7">
        <v>17.36</v>
      </c>
      <c r="S382" s="7">
        <v>23.58</v>
      </c>
      <c r="T382" s="7">
        <v>61.12</v>
      </c>
      <c r="U382" s="7">
        <v>88.77</v>
      </c>
      <c r="V382" s="7">
        <v>59.05</v>
      </c>
      <c r="W382" s="7">
        <v>29.08</v>
      </c>
      <c r="X382" s="7">
        <v>21.48</v>
      </c>
      <c r="Y382" s="7">
        <v>76.86</v>
      </c>
      <c r="Z382" s="9">
        <f>MAX($B$382:$Y$382)</f>
        <v>140.55000000000001</v>
      </c>
      <c r="AA382" s="9">
        <f>MIN($B$382:$Y$382)</f>
        <v>-16.34</v>
      </c>
      <c r="AB382" s="9">
        <f>AVERAGE($B$382:$Y$382)</f>
        <v>44.292916666666699</v>
      </c>
    </row>
    <row r="383" spans="1:28">
      <c r="A383" s="10">
        <v>45673</v>
      </c>
      <c r="B383" s="7">
        <v>-4.25999999999999</v>
      </c>
      <c r="C383" s="7">
        <v>1.9099999999999699</v>
      </c>
      <c r="D383" s="7">
        <v>9.6700000000000195</v>
      </c>
      <c r="E383" s="7">
        <v>147.75</v>
      </c>
      <c r="F383" s="7">
        <v>271.81</v>
      </c>
      <c r="G383" s="7">
        <v>225.72</v>
      </c>
      <c r="H383" s="7">
        <v>80.099999999999994</v>
      </c>
      <c r="I383" s="7">
        <v>9.4000000000000306</v>
      </c>
      <c r="J383" s="7">
        <v>-2.1800000000000099</v>
      </c>
      <c r="K383" s="7">
        <v>31.17</v>
      </c>
      <c r="L383" s="7">
        <v>29.34</v>
      </c>
      <c r="M383" s="7">
        <v>2.96999999999997</v>
      </c>
      <c r="N383" s="7">
        <v>-17.96</v>
      </c>
      <c r="O383" s="7">
        <v>-20.83</v>
      </c>
      <c r="P383" s="7">
        <v>-12.09</v>
      </c>
      <c r="Q383" s="7">
        <v>-28.49</v>
      </c>
      <c r="R383" s="7">
        <v>-63.32</v>
      </c>
      <c r="S383" s="7">
        <v>-99.66</v>
      </c>
      <c r="T383" s="7">
        <v>-44.19</v>
      </c>
      <c r="U383" s="7">
        <v>10.15</v>
      </c>
      <c r="V383" s="7">
        <v>8.5500000000000096</v>
      </c>
      <c r="W383" s="7">
        <v>-10.39</v>
      </c>
      <c r="X383" s="7">
        <v>-22.77</v>
      </c>
      <c r="Y383" s="7">
        <v>-16.829999999999998</v>
      </c>
      <c r="Z383" s="9">
        <f>MAX($B$383:$Y$383)</f>
        <v>271.81</v>
      </c>
      <c r="AA383" s="9">
        <f>MIN($B$383:$Y$383)</f>
        <v>-99.66</v>
      </c>
      <c r="AB383" s="9">
        <f>AVERAGE($B$383:$Y$383)</f>
        <v>20.2320833333333</v>
      </c>
    </row>
    <row r="384" spans="1:28">
      <c r="A384" s="10">
        <v>45674</v>
      </c>
      <c r="B384" s="7">
        <v>-33.04</v>
      </c>
      <c r="C384" s="7">
        <v>-5.6499999999999799</v>
      </c>
      <c r="D384" s="7">
        <v>3.26999999999998</v>
      </c>
      <c r="E384" s="7">
        <v>2.51999999999998</v>
      </c>
      <c r="F384" s="7">
        <v>2.6599999999999699</v>
      </c>
      <c r="G384" s="7">
        <v>10.16</v>
      </c>
      <c r="H384" s="7">
        <v>8.6100000000000101</v>
      </c>
      <c r="I384" s="7">
        <v>5.0500000000000096</v>
      </c>
      <c r="J384" s="7">
        <v>-1.23000000000002</v>
      </c>
      <c r="K384" s="7">
        <v>34.58</v>
      </c>
      <c r="L384" s="7">
        <v>128.51</v>
      </c>
      <c r="M384" s="7">
        <v>54.3</v>
      </c>
      <c r="N384" s="7">
        <v>22.02</v>
      </c>
      <c r="O384" s="7">
        <v>19.61</v>
      </c>
      <c r="P384" s="7">
        <v>164.27</v>
      </c>
      <c r="Q384" s="7">
        <v>133.65</v>
      </c>
      <c r="R384" s="7">
        <v>19.41</v>
      </c>
      <c r="S384" s="7">
        <v>25.67</v>
      </c>
      <c r="T384" s="7">
        <v>-23.54</v>
      </c>
      <c r="U384" s="7">
        <v>-9</v>
      </c>
      <c r="V384" s="7">
        <v>1.04000000000002</v>
      </c>
      <c r="W384" s="7">
        <v>2.1600000000000201</v>
      </c>
      <c r="X384" s="7">
        <v>4.0599999999999996</v>
      </c>
      <c r="Y384" s="7">
        <v>4.9400000000000004</v>
      </c>
      <c r="Z384" s="9">
        <f>MAX($B$384:$Y$384)</f>
        <v>164.27</v>
      </c>
      <c r="AA384" s="9">
        <f>MIN($B$384:$Y$384)</f>
        <v>-33.04</v>
      </c>
      <c r="AB384" s="9">
        <f>AVERAGE($B$384:$Y$384)</f>
        <v>23.917916666666699</v>
      </c>
    </row>
    <row r="385" spans="1:28">
      <c r="A385" s="10">
        <v>45675</v>
      </c>
      <c r="B385" s="7">
        <v>6.24000000000001</v>
      </c>
      <c r="C385" s="7">
        <v>7.5799999999999796</v>
      </c>
      <c r="D385" s="7">
        <v>10.49</v>
      </c>
      <c r="E385" s="7">
        <v>10.99</v>
      </c>
      <c r="F385" s="7">
        <v>13.58</v>
      </c>
      <c r="G385" s="7">
        <v>10.83</v>
      </c>
      <c r="H385" s="7">
        <v>11.18</v>
      </c>
      <c r="I385" s="7">
        <v>-0.37999999999999501</v>
      </c>
      <c r="J385" s="7">
        <v>-17.940000000000001</v>
      </c>
      <c r="K385" s="7">
        <v>8.42999999999995</v>
      </c>
      <c r="L385" s="7">
        <v>79.81</v>
      </c>
      <c r="M385" s="7">
        <v>54.65</v>
      </c>
      <c r="N385" s="7">
        <v>61.23</v>
      </c>
      <c r="O385" s="7">
        <v>0.599999999999966</v>
      </c>
      <c r="P385" s="7">
        <v>9.9200000000000195</v>
      </c>
      <c r="Q385" s="7">
        <v>13.14</v>
      </c>
      <c r="R385" s="7">
        <v>8.69</v>
      </c>
      <c r="S385" s="7">
        <v>6.8199999999999896</v>
      </c>
      <c r="T385" s="7">
        <v>-5.3600000000000101</v>
      </c>
      <c r="U385" s="7">
        <v>-3.13</v>
      </c>
      <c r="V385" s="7">
        <v>-8.3599999999999604</v>
      </c>
      <c r="W385" s="7">
        <v>-11.2</v>
      </c>
      <c r="X385" s="7">
        <v>-64.2</v>
      </c>
      <c r="Y385" s="7">
        <v>-4.4600000000000399</v>
      </c>
      <c r="Z385" s="9">
        <f>MAX($B$385:$Y$385)</f>
        <v>79.81</v>
      </c>
      <c r="AA385" s="9">
        <f>MIN($B$385:$Y$385)</f>
        <v>-64.2</v>
      </c>
      <c r="AB385" s="9">
        <f>AVERAGE($B$385:$Y$385)</f>
        <v>8.2979166666666604</v>
      </c>
    </row>
    <row r="386" spans="1:28">
      <c r="A386" s="10">
        <v>45676</v>
      </c>
      <c r="B386" s="7">
        <v>-103.47</v>
      </c>
      <c r="C386" s="7">
        <v>6.5499999999999501</v>
      </c>
      <c r="D386" s="7">
        <v>2.96999999999997</v>
      </c>
      <c r="E386" s="7">
        <v>10.02</v>
      </c>
      <c r="F386" s="7">
        <v>6.6100000000000101</v>
      </c>
      <c r="G386" s="7">
        <v>7.6500000000000297</v>
      </c>
      <c r="H386" s="7">
        <v>9.9700000000000308</v>
      </c>
      <c r="I386" s="7">
        <v>4.4699999999999704</v>
      </c>
      <c r="J386" s="7">
        <v>-6.2200000000000299</v>
      </c>
      <c r="K386" s="7">
        <v>5</v>
      </c>
      <c r="L386" s="7">
        <v>76.459999999999994</v>
      </c>
      <c r="M386" s="7">
        <v>-19.5</v>
      </c>
      <c r="N386" s="7">
        <v>-78.680000000000007</v>
      </c>
      <c r="O386" s="7">
        <v>-63.77</v>
      </c>
      <c r="P386" s="7">
        <v>36.03</v>
      </c>
      <c r="Q386" s="7">
        <v>118.2</v>
      </c>
      <c r="R386" s="7">
        <v>13.91</v>
      </c>
      <c r="S386" s="7">
        <v>2.5799999999999801</v>
      </c>
      <c r="T386" s="7">
        <v>-111.85</v>
      </c>
      <c r="U386" s="7">
        <v>13.7</v>
      </c>
      <c r="V386" s="7">
        <v>3.94</v>
      </c>
      <c r="W386" s="7">
        <v>-58.42</v>
      </c>
      <c r="X386" s="7">
        <v>-199.43</v>
      </c>
      <c r="Y386" s="7">
        <v>-3.9099999999999699</v>
      </c>
      <c r="Z386" s="9">
        <f>MAX($B$386:$Y$386)</f>
        <v>118.2</v>
      </c>
      <c r="AA386" s="9">
        <f>MIN($B$386:$Y$386)</f>
        <v>-199.43</v>
      </c>
      <c r="AB386" s="9">
        <f>AVERAGE($B$386:$Y$386)</f>
        <v>-13.6329166666667</v>
      </c>
    </row>
    <row r="387" spans="1:28">
      <c r="A387" s="10">
        <v>45677</v>
      </c>
      <c r="B387" s="7">
        <v>-183.41</v>
      </c>
      <c r="C387" s="7">
        <v>11.84</v>
      </c>
      <c r="D387" s="7">
        <v>12.6</v>
      </c>
      <c r="E387" s="7">
        <v>10.17</v>
      </c>
      <c r="F387" s="7">
        <v>13.52</v>
      </c>
      <c r="G387" s="7">
        <v>11.35</v>
      </c>
      <c r="H387" s="7">
        <v>8.4700000000000308</v>
      </c>
      <c r="I387" s="7">
        <v>18.329999999999998</v>
      </c>
      <c r="J387" s="7">
        <v>27.82</v>
      </c>
      <c r="K387" s="7">
        <v>58.84</v>
      </c>
      <c r="L387" s="7">
        <v>39.130000000000003</v>
      </c>
      <c r="M387" s="7">
        <v>152.51</v>
      </c>
      <c r="N387" s="7">
        <v>142.44999999999999</v>
      </c>
      <c r="O387" s="7">
        <v>236.56</v>
      </c>
      <c r="P387" s="7">
        <v>229.55</v>
      </c>
      <c r="Q387" s="7">
        <v>236.96</v>
      </c>
      <c r="R387" s="7">
        <v>33.67</v>
      </c>
      <c r="S387" s="7">
        <v>58.83</v>
      </c>
      <c r="T387" s="7">
        <v>104.24</v>
      </c>
      <c r="U387" s="7">
        <v>116.51</v>
      </c>
      <c r="V387" s="7">
        <v>94.31</v>
      </c>
      <c r="W387" s="7">
        <v>94.22</v>
      </c>
      <c r="X387" s="7">
        <v>92.43</v>
      </c>
      <c r="Y387" s="7">
        <v>28.09</v>
      </c>
      <c r="Z387" s="9">
        <f>MAX($B$387:$Y$387)</f>
        <v>236.96</v>
      </c>
      <c r="AA387" s="9">
        <f>MIN($B$387:$Y$387)</f>
        <v>-183.41</v>
      </c>
      <c r="AB387" s="9">
        <f>AVERAGE($B$387:$Y$387)</f>
        <v>68.707916666666705</v>
      </c>
    </row>
    <row r="388" spans="1:28">
      <c r="A388" s="10">
        <v>45678</v>
      </c>
      <c r="B388" s="7">
        <v>-170.65</v>
      </c>
      <c r="C388" s="7">
        <v>4.6900000000000004</v>
      </c>
      <c r="D388" s="7">
        <v>22.56</v>
      </c>
      <c r="E388" s="7">
        <v>21.33</v>
      </c>
      <c r="F388" s="7">
        <v>36.92</v>
      </c>
      <c r="G388" s="7">
        <v>17.350000000000001</v>
      </c>
      <c r="H388" s="7">
        <v>25.77</v>
      </c>
      <c r="I388" s="7">
        <v>29.13</v>
      </c>
      <c r="J388" s="7">
        <v>34.5</v>
      </c>
      <c r="K388" s="7">
        <v>208.6</v>
      </c>
      <c r="L388" s="7">
        <v>191.19</v>
      </c>
      <c r="M388" s="7">
        <v>-52.54</v>
      </c>
      <c r="N388" s="7">
        <v>-90.42</v>
      </c>
      <c r="O388" s="7">
        <v>-122.53</v>
      </c>
      <c r="P388" s="7">
        <v>0</v>
      </c>
      <c r="Q388" s="7">
        <v>-73.75</v>
      </c>
      <c r="R388" s="7">
        <v>-23.74</v>
      </c>
      <c r="S388" s="7">
        <v>83.13</v>
      </c>
      <c r="T388" s="7">
        <v>5.7399999999999496</v>
      </c>
      <c r="U388" s="7">
        <v>24.37</v>
      </c>
      <c r="V388" s="7">
        <v>27.46</v>
      </c>
      <c r="W388" s="7">
        <v>42.28</v>
      </c>
      <c r="X388" s="7">
        <v>27.48</v>
      </c>
      <c r="Y388" s="7">
        <v>8.2299999999999596</v>
      </c>
      <c r="Z388" s="9">
        <f>MAX($B$388:$Y$388)</f>
        <v>208.6</v>
      </c>
      <c r="AA388" s="9">
        <f>MIN($B$388:$Y$388)</f>
        <v>-170.65</v>
      </c>
      <c r="AB388" s="9">
        <f>AVERAGE($B$388:$Y$388)</f>
        <v>11.545833333333301</v>
      </c>
    </row>
    <row r="389" spans="1:28">
      <c r="A389" s="10">
        <v>45679</v>
      </c>
      <c r="B389" s="7">
        <v>-26.25</v>
      </c>
      <c r="C389" s="7">
        <v>3.7799999999999701</v>
      </c>
      <c r="D389" s="7">
        <v>11.76</v>
      </c>
      <c r="E389" s="7">
        <v>25.03</v>
      </c>
      <c r="F389" s="7">
        <v>29.25</v>
      </c>
      <c r="G389" s="7">
        <v>77.75</v>
      </c>
      <c r="H389" s="7">
        <v>-17.25</v>
      </c>
      <c r="I389" s="7">
        <v>-23.12</v>
      </c>
      <c r="J389" s="7">
        <v>-4.9200000000000204</v>
      </c>
      <c r="K389" s="7">
        <v>-32.770000000000003</v>
      </c>
      <c r="L389" s="7">
        <v>-157.71</v>
      </c>
      <c r="M389" s="7">
        <v>-213.45</v>
      </c>
      <c r="N389" s="7">
        <v>-241.16</v>
      </c>
      <c r="O389" s="7">
        <v>-215.64</v>
      </c>
      <c r="P389" s="7">
        <v>61.28</v>
      </c>
      <c r="Q389" s="7">
        <v>164.35</v>
      </c>
      <c r="R389" s="7">
        <v>131.07</v>
      </c>
      <c r="S389" s="7">
        <v>-12.23</v>
      </c>
      <c r="T389" s="7">
        <v>-38.1</v>
      </c>
      <c r="U389" s="7">
        <v>-46.56</v>
      </c>
      <c r="V389" s="7">
        <v>-29.75</v>
      </c>
      <c r="W389" s="7">
        <v>-22.36</v>
      </c>
      <c r="X389" s="7">
        <v>4.5</v>
      </c>
      <c r="Y389" s="7">
        <v>30.69</v>
      </c>
      <c r="Z389" s="9">
        <f>MAX($B$389:$Y$389)</f>
        <v>164.35</v>
      </c>
      <c r="AA389" s="9">
        <f>MIN($B$389:$Y$389)</f>
        <v>-241.16</v>
      </c>
      <c r="AB389" s="9">
        <f>AVERAGE($B$389:$Y$389)</f>
        <v>-22.575416666666701</v>
      </c>
    </row>
    <row r="390" spans="1:28">
      <c r="A390" s="10">
        <v>45680</v>
      </c>
      <c r="B390" s="7">
        <v>-124.83</v>
      </c>
      <c r="C390" s="7">
        <v>73.64</v>
      </c>
      <c r="D390" s="7">
        <v>73.77</v>
      </c>
      <c r="E390" s="7">
        <v>185.44</v>
      </c>
      <c r="F390" s="7">
        <v>215.5</v>
      </c>
      <c r="G390" s="7">
        <v>61.62</v>
      </c>
      <c r="H390" s="7">
        <v>-6.9599999999999804</v>
      </c>
      <c r="I390" s="7">
        <v>-10.6</v>
      </c>
      <c r="J390" s="7">
        <v>54.73</v>
      </c>
      <c r="K390" s="7">
        <v>16.03</v>
      </c>
      <c r="L390" s="7">
        <v>-153.13</v>
      </c>
      <c r="M390" s="7">
        <v>-332.84</v>
      </c>
      <c r="N390" s="7">
        <v>-313.77999999999997</v>
      </c>
      <c r="O390" s="7">
        <v>-304.23</v>
      </c>
      <c r="P390" s="7">
        <v>-275.02999999999997</v>
      </c>
      <c r="Q390" s="7">
        <v>-242.3</v>
      </c>
      <c r="R390" s="7">
        <v>-81.17</v>
      </c>
      <c r="S390" s="7">
        <v>-41.92</v>
      </c>
      <c r="T390" s="7">
        <v>-25.8</v>
      </c>
      <c r="U390" s="7">
        <v>-14.19</v>
      </c>
      <c r="V390" s="7">
        <v>-5.2900000000000196</v>
      </c>
      <c r="W390" s="7">
        <v>-9.6600000000000197</v>
      </c>
      <c r="X390" s="7">
        <v>12.69</v>
      </c>
      <c r="Y390" s="7">
        <v>92.03</v>
      </c>
      <c r="Z390" s="9">
        <f>MAX($B$390:$Y$390)</f>
        <v>215.5</v>
      </c>
      <c r="AA390" s="9">
        <f>MIN($B$390:$Y$390)</f>
        <v>-332.84</v>
      </c>
      <c r="AB390" s="9">
        <f>AVERAGE($B$390:$Y$390)</f>
        <v>-48.178333333333299</v>
      </c>
    </row>
    <row r="391" spans="1:28">
      <c r="A391" s="10">
        <v>45681</v>
      </c>
      <c r="B391" s="7">
        <v>-326.41000000000003</v>
      </c>
      <c r="C391" s="7">
        <v>78.75</v>
      </c>
      <c r="D391" s="7">
        <v>26.25</v>
      </c>
      <c r="E391" s="7">
        <v>34.5</v>
      </c>
      <c r="F391" s="7">
        <v>1.25</v>
      </c>
      <c r="G391" s="7">
        <v>31.25</v>
      </c>
      <c r="H391" s="7">
        <v>188.75</v>
      </c>
      <c r="I391" s="7">
        <v>121.23</v>
      </c>
      <c r="J391" s="7">
        <v>-1.64</v>
      </c>
      <c r="K391" s="7">
        <v>-158.34</v>
      </c>
      <c r="L391" s="7">
        <v>-73.25</v>
      </c>
      <c r="M391" s="7">
        <v>-385.49</v>
      </c>
      <c r="N391" s="7">
        <v>-251.83</v>
      </c>
      <c r="O391" s="7">
        <v>-285.97000000000003</v>
      </c>
      <c r="P391" s="7">
        <v>-456.78</v>
      </c>
      <c r="Q391" s="7">
        <v>-920.48</v>
      </c>
      <c r="R391" s="7">
        <v>-568.75</v>
      </c>
      <c r="S391" s="7">
        <v>-145.07</v>
      </c>
      <c r="T391" s="7">
        <v>244.27</v>
      </c>
      <c r="U391" s="7">
        <v>231.07</v>
      </c>
      <c r="V391" s="7">
        <v>119.04</v>
      </c>
      <c r="W391" s="7">
        <v>204.98</v>
      </c>
      <c r="X391" s="7">
        <v>150.35</v>
      </c>
      <c r="Y391" s="7">
        <v>286.25</v>
      </c>
      <c r="Z391" s="9">
        <f>MAX($B$391:$Y$391)</f>
        <v>286.25</v>
      </c>
      <c r="AA391" s="9">
        <f>MIN($B$391:$Y$391)</f>
        <v>-920.48</v>
      </c>
      <c r="AB391" s="9">
        <f>AVERAGE($B$391:$Y$391)</f>
        <v>-77.336250000000007</v>
      </c>
    </row>
    <row r="392" spans="1:28">
      <c r="A392" s="10">
        <v>45682</v>
      </c>
      <c r="B392" s="7">
        <v>128.78</v>
      </c>
      <c r="C392" s="7">
        <v>-48.72</v>
      </c>
      <c r="D392" s="7">
        <v>-233.94</v>
      </c>
      <c r="E392" s="7">
        <v>-50.33</v>
      </c>
      <c r="F392" s="7">
        <v>0</v>
      </c>
      <c r="G392" s="7">
        <v>15.23</v>
      </c>
      <c r="H392" s="7">
        <v>-18.68</v>
      </c>
      <c r="I392" s="7">
        <v>99.04</v>
      </c>
      <c r="J392" s="7">
        <v>-46.47</v>
      </c>
      <c r="K392" s="7">
        <v>-134.03</v>
      </c>
      <c r="L392" s="7">
        <v>-152.41999999999999</v>
      </c>
      <c r="M392" s="7">
        <v>-81.84</v>
      </c>
      <c r="N392" s="7">
        <v>-43.75</v>
      </c>
      <c r="O392" s="7">
        <v>0</v>
      </c>
      <c r="P392" s="7">
        <v>0</v>
      </c>
      <c r="Q392" s="7">
        <v>143.97999999999999</v>
      </c>
      <c r="R392" s="7">
        <v>0</v>
      </c>
      <c r="S392" s="7">
        <v>-177.75</v>
      </c>
      <c r="T392" s="7">
        <v>-306.77999999999997</v>
      </c>
      <c r="U392" s="7">
        <v>-94.83</v>
      </c>
      <c r="V392" s="7">
        <v>-120.75</v>
      </c>
      <c r="W392" s="7">
        <v>-47.53</v>
      </c>
      <c r="X392" s="7">
        <v>-39.74</v>
      </c>
      <c r="Y392" s="7">
        <v>38.53</v>
      </c>
      <c r="Z392" s="9">
        <f>MAX($B$392:$Y$392)</f>
        <v>143.97999999999999</v>
      </c>
      <c r="AA392" s="9">
        <f>MIN($B$392:$Y$392)</f>
        <v>-306.77999999999997</v>
      </c>
      <c r="AB392" s="9">
        <f>AVERAGE($B$392:$Y$392)</f>
        <v>-48.8333333333333</v>
      </c>
    </row>
    <row r="393" spans="1:28">
      <c r="A393" s="10">
        <v>45683</v>
      </c>
      <c r="B393" s="7">
        <v>0.68000000000000704</v>
      </c>
      <c r="C393" s="7">
        <v>35.94</v>
      </c>
      <c r="D393" s="7">
        <v>36.15</v>
      </c>
      <c r="E393" s="7">
        <v>17.3200000000001</v>
      </c>
      <c r="F393" s="7">
        <v>195.89</v>
      </c>
      <c r="G393" s="7">
        <v>265.57</v>
      </c>
      <c r="H393" s="7">
        <v>165</v>
      </c>
      <c r="I393" s="7">
        <v>138.5</v>
      </c>
      <c r="J393" s="7">
        <v>43.75</v>
      </c>
      <c r="K393" s="7">
        <v>-131.47999999999999</v>
      </c>
      <c r="L393" s="7">
        <v>-257.33</v>
      </c>
      <c r="M393" s="7">
        <v>-224.9</v>
      </c>
      <c r="N393" s="7">
        <v>-83.58</v>
      </c>
      <c r="O393" s="7">
        <v>-108.87</v>
      </c>
      <c r="P393" s="7">
        <v>33.159999999999997</v>
      </c>
      <c r="Q393" s="7">
        <v>73.489999999999995</v>
      </c>
      <c r="R393" s="7">
        <v>-69.33</v>
      </c>
      <c r="S393" s="7">
        <v>-207.04</v>
      </c>
      <c r="T393" s="7">
        <v>-2.7100000000000102</v>
      </c>
      <c r="U393" s="7">
        <v>29.56</v>
      </c>
      <c r="V393" s="7">
        <v>36.26</v>
      </c>
      <c r="W393" s="7">
        <v>44.68</v>
      </c>
      <c r="X393" s="7">
        <v>-43.61</v>
      </c>
      <c r="Y393" s="7">
        <v>14.48</v>
      </c>
      <c r="Z393" s="9">
        <f>MAX($B$393:$Y$393)</f>
        <v>265.57</v>
      </c>
      <c r="AA393" s="9">
        <f>MIN($B$393:$Y$393)</f>
        <v>-257.33</v>
      </c>
      <c r="AB393" s="9">
        <f>AVERAGE($B$393:$Y$393)</f>
        <v>6.58333333333396E-2</v>
      </c>
    </row>
    <row r="394" spans="1:28">
      <c r="A394" s="10">
        <v>45684</v>
      </c>
      <c r="B394" s="7">
        <v>-8.5099999999999891</v>
      </c>
      <c r="C394" s="7">
        <v>30.34</v>
      </c>
      <c r="D394" s="7">
        <v>226.47</v>
      </c>
      <c r="E394" s="7">
        <v>110.79</v>
      </c>
      <c r="F394" s="7">
        <v>108.79</v>
      </c>
      <c r="G394" s="7">
        <v>106.08</v>
      </c>
      <c r="H394" s="7">
        <v>213.1</v>
      </c>
      <c r="I394" s="7">
        <v>148.71</v>
      </c>
      <c r="J394" s="7">
        <v>228.94</v>
      </c>
      <c r="K394" s="7">
        <v>127.86</v>
      </c>
      <c r="L394" s="7">
        <v>269.77</v>
      </c>
      <c r="M394" s="7">
        <v>92.23</v>
      </c>
      <c r="N394" s="7">
        <v>51.91</v>
      </c>
      <c r="O394" s="7">
        <v>72.06</v>
      </c>
      <c r="P394" s="7">
        <v>-42.24</v>
      </c>
      <c r="Q394" s="7">
        <v>-110.16</v>
      </c>
      <c r="R394" s="7">
        <v>-137.13999999999999</v>
      </c>
      <c r="S394" s="7">
        <v>-180.94</v>
      </c>
      <c r="T394" s="7">
        <v>-312.77999999999997</v>
      </c>
      <c r="U394" s="7">
        <v>-162.47999999999999</v>
      </c>
      <c r="V394" s="7">
        <v>-44.98</v>
      </c>
      <c r="W394" s="7">
        <v>-0.36000000000001398</v>
      </c>
      <c r="X394" s="7">
        <v>-23.34</v>
      </c>
      <c r="Y394" s="7">
        <v>-26.22</v>
      </c>
      <c r="Z394" s="9">
        <f>MAX($B$394:$Y$394)</f>
        <v>269.77</v>
      </c>
      <c r="AA394" s="9">
        <f>MIN($B$394:$Y$394)</f>
        <v>-312.77999999999997</v>
      </c>
      <c r="AB394" s="9">
        <f>AVERAGE($B$394:$Y$394)</f>
        <v>30.745833333333302</v>
      </c>
    </row>
    <row r="395" spans="1:28">
      <c r="A395" s="10">
        <v>45685</v>
      </c>
      <c r="B395" s="7">
        <v>-68.400000000000006</v>
      </c>
      <c r="C395" s="7">
        <v>18.239999999999998</v>
      </c>
      <c r="D395" s="7">
        <v>26.19</v>
      </c>
      <c r="E395" s="7">
        <v>22.95</v>
      </c>
      <c r="F395" s="7">
        <v>193.2</v>
      </c>
      <c r="G395" s="7">
        <v>300.39999999999998</v>
      </c>
      <c r="H395" s="7">
        <v>119.83</v>
      </c>
      <c r="I395" s="7">
        <v>8</v>
      </c>
      <c r="J395" s="7">
        <v>55.77</v>
      </c>
      <c r="K395" s="7">
        <v>4.5899999999999697</v>
      </c>
      <c r="L395" s="7">
        <v>-29.03</v>
      </c>
      <c r="M395" s="7">
        <v>108.07</v>
      </c>
      <c r="N395" s="7">
        <v>-121.32</v>
      </c>
      <c r="O395" s="7">
        <v>-285.79000000000002</v>
      </c>
      <c r="P395" s="7">
        <v>-207.98</v>
      </c>
      <c r="Q395" s="7">
        <v>-232.08</v>
      </c>
      <c r="R395" s="7">
        <v>-112.5</v>
      </c>
      <c r="S395" s="7">
        <v>-56.4</v>
      </c>
      <c r="T395" s="7">
        <v>-0.64999999999997704</v>
      </c>
      <c r="U395" s="7">
        <v>11.58</v>
      </c>
      <c r="V395" s="7">
        <v>-90.64</v>
      </c>
      <c r="W395" s="7">
        <v>-89.34</v>
      </c>
      <c r="X395" s="7">
        <v>-414.4</v>
      </c>
      <c r="Y395" s="7">
        <v>-154.5</v>
      </c>
      <c r="Z395" s="9">
        <f>MAX($B$395:$Y$395)</f>
        <v>300.39999999999998</v>
      </c>
      <c r="AA395" s="9">
        <f>MIN($B$395:$Y$395)</f>
        <v>-414.4</v>
      </c>
      <c r="AB395" s="9">
        <f>AVERAGE($B$395:$Y$395)</f>
        <v>-41.425416666666699</v>
      </c>
    </row>
    <row r="396" spans="1:28">
      <c r="A396" s="10">
        <v>45686</v>
      </c>
      <c r="B396" s="7">
        <v>-20.04</v>
      </c>
      <c r="C396" s="7">
        <v>-78.59</v>
      </c>
      <c r="D396" s="7">
        <v>21</v>
      </c>
      <c r="E396" s="7">
        <v>-15.26</v>
      </c>
      <c r="F396" s="7">
        <v>-39.090000000000003</v>
      </c>
      <c r="G396" s="7">
        <v>-48.36</v>
      </c>
      <c r="H396" s="7">
        <v>-59.82</v>
      </c>
      <c r="I396" s="7">
        <v>-51.04</v>
      </c>
      <c r="J396" s="7">
        <v>-146.36000000000001</v>
      </c>
      <c r="K396" s="7">
        <v>-307.11</v>
      </c>
      <c r="L396" s="7">
        <v>-158.31</v>
      </c>
      <c r="M396" s="7">
        <v>-288.42</v>
      </c>
      <c r="N396" s="7">
        <v>-242.75</v>
      </c>
      <c r="O396" s="7">
        <v>-276.33999999999997</v>
      </c>
      <c r="P396" s="7">
        <v>-308.29000000000002</v>
      </c>
      <c r="Q396" s="7">
        <v>-62.5</v>
      </c>
      <c r="R396" s="7">
        <v>-96.24</v>
      </c>
      <c r="S396" s="7">
        <v>-110.31</v>
      </c>
      <c r="T396" s="7">
        <v>-33.31</v>
      </c>
      <c r="U396" s="7">
        <v>-19.54</v>
      </c>
      <c r="V396" s="7">
        <v>-3.6100000000000101</v>
      </c>
      <c r="W396" s="7">
        <v>1.0699999999999901</v>
      </c>
      <c r="X396" s="7">
        <v>2.98000000000002</v>
      </c>
      <c r="Y396" s="7">
        <v>4.75</v>
      </c>
      <c r="Z396" s="9">
        <f>MAX($B$396:$Y$396)</f>
        <v>21</v>
      </c>
      <c r="AA396" s="9">
        <f>MIN($B$396:$Y$396)</f>
        <v>-308.29000000000002</v>
      </c>
      <c r="AB396" s="9">
        <f>AVERAGE($B$396:$Y$396)</f>
        <v>-97.312083333333305</v>
      </c>
    </row>
    <row r="397" spans="1:28">
      <c r="A397" s="10">
        <v>45687</v>
      </c>
      <c r="B397" s="7">
        <v>37.24</v>
      </c>
      <c r="C397" s="7">
        <v>45.71</v>
      </c>
      <c r="D397" s="7">
        <v>28.79</v>
      </c>
      <c r="E397" s="7">
        <v>-33.549999999999997</v>
      </c>
      <c r="F397" s="7">
        <v>51.53</v>
      </c>
      <c r="G397" s="7">
        <v>5.41</v>
      </c>
      <c r="H397" s="7">
        <v>-33.28</v>
      </c>
      <c r="I397" s="7">
        <v>-187.8</v>
      </c>
      <c r="J397" s="7">
        <v>-251.31</v>
      </c>
      <c r="K397" s="7">
        <v>-134.93</v>
      </c>
      <c r="L397" s="7">
        <v>-190.52</v>
      </c>
      <c r="M397" s="7">
        <v>-84.61</v>
      </c>
      <c r="N397" s="7">
        <v>-0.01</v>
      </c>
      <c r="O397" s="7">
        <v>-57.75</v>
      </c>
      <c r="P397" s="7">
        <v>0</v>
      </c>
      <c r="Q397" s="7">
        <v>-152.53</v>
      </c>
      <c r="R397" s="7">
        <v>-131.32</v>
      </c>
      <c r="S397" s="7">
        <v>-22.47</v>
      </c>
      <c r="T397" s="7">
        <v>-10.8</v>
      </c>
      <c r="U397" s="7">
        <v>68.41</v>
      </c>
      <c r="V397" s="7">
        <v>-16.7</v>
      </c>
      <c r="W397" s="7">
        <v>-44.21</v>
      </c>
      <c r="X397" s="7">
        <v>-75.91</v>
      </c>
      <c r="Y397" s="7">
        <v>-130.69999999999999</v>
      </c>
      <c r="Z397" s="9">
        <f>MAX($B$397:$Y$397)</f>
        <v>68.41</v>
      </c>
      <c r="AA397" s="9">
        <f>MIN($B$397:$Y$397)</f>
        <v>-251.31</v>
      </c>
      <c r="AB397" s="9">
        <f>AVERAGE($B$397:$Y$397)</f>
        <v>-55.054583333333298</v>
      </c>
    </row>
    <row r="398" spans="1:28">
      <c r="A398" s="10">
        <v>45688</v>
      </c>
      <c r="B398" s="7">
        <v>17.91</v>
      </c>
      <c r="C398" s="7">
        <v>88.01</v>
      </c>
      <c r="D398" s="7">
        <v>259.02</v>
      </c>
      <c r="E398" s="7">
        <v>171.08</v>
      </c>
      <c r="F398" s="7">
        <v>283.07</v>
      </c>
      <c r="G398" s="7">
        <v>280.58</v>
      </c>
      <c r="H398" s="7">
        <v>107.57</v>
      </c>
      <c r="I398" s="7">
        <v>33.89</v>
      </c>
      <c r="J398" s="7">
        <v>96.71</v>
      </c>
      <c r="K398" s="7">
        <v>105.5</v>
      </c>
      <c r="L398" s="7">
        <v>188.78</v>
      </c>
      <c r="M398" s="7">
        <v>-16.190000000000001</v>
      </c>
      <c r="N398" s="7">
        <v>-26.25</v>
      </c>
      <c r="O398" s="7">
        <v>-172.89</v>
      </c>
      <c r="P398" s="7">
        <v>-228.78</v>
      </c>
      <c r="Q398" s="7">
        <v>51.22</v>
      </c>
      <c r="R398" s="7">
        <v>-15.73</v>
      </c>
      <c r="S398" s="7">
        <v>-6.3899999999999899</v>
      </c>
      <c r="T398" s="7">
        <v>7.4200000000000204</v>
      </c>
      <c r="U398" s="7">
        <v>31.5</v>
      </c>
      <c r="V398" s="7">
        <v>1</v>
      </c>
      <c r="W398" s="7">
        <v>20</v>
      </c>
      <c r="X398" s="7">
        <v>-16.25</v>
      </c>
      <c r="Y398" s="7">
        <v>5</v>
      </c>
      <c r="Z398" s="9">
        <f>MAX($B$398:$Y$398)</f>
        <v>283.07</v>
      </c>
      <c r="AA398" s="9">
        <f>MIN($B$398:$Y$398)</f>
        <v>-228.78</v>
      </c>
      <c r="AB398" s="9">
        <f>AVERAGE($B$398:$Y$398)</f>
        <v>52.740833333333299</v>
      </c>
    </row>
    <row r="399" spans="1:28">
      <c r="A399" s="10">
        <v>45689</v>
      </c>
      <c r="B399" s="7">
        <v>-165.75</v>
      </c>
      <c r="C399" s="7">
        <v>16.5</v>
      </c>
      <c r="D399" s="7">
        <v>6.25</v>
      </c>
      <c r="E399" s="7">
        <v>21.33</v>
      </c>
      <c r="F399" s="7">
        <v>11.29</v>
      </c>
      <c r="G399" s="7">
        <v>7.9100000000000303</v>
      </c>
      <c r="H399" s="7">
        <v>13.55</v>
      </c>
      <c r="I399" s="7">
        <v>-16.36</v>
      </c>
      <c r="J399" s="7">
        <v>-191.31</v>
      </c>
      <c r="K399" s="7">
        <v>-92.25</v>
      </c>
      <c r="L399" s="7">
        <v>-17.5</v>
      </c>
      <c r="M399" s="7">
        <v>-40.71</v>
      </c>
      <c r="N399" s="7">
        <v>-141</v>
      </c>
      <c r="O399" s="7">
        <v>-355.25</v>
      </c>
      <c r="P399" s="7">
        <v>-76.8</v>
      </c>
      <c r="Q399" s="7">
        <v>-41.42</v>
      </c>
      <c r="R399" s="7">
        <v>7.5699999999999896</v>
      </c>
      <c r="S399" s="7">
        <v>-40.57</v>
      </c>
      <c r="T399" s="7">
        <v>-92.04</v>
      </c>
      <c r="U399" s="7">
        <v>-4.5400000000000196</v>
      </c>
      <c r="V399" s="7">
        <v>10.06</v>
      </c>
      <c r="W399" s="7">
        <v>24.87</v>
      </c>
      <c r="X399" s="7">
        <v>26.27</v>
      </c>
      <c r="Y399" s="7">
        <v>56.39</v>
      </c>
      <c r="Z399" s="9">
        <f>MAX($B$399:$Y$399)</f>
        <v>56.39</v>
      </c>
      <c r="AA399" s="9">
        <f>MIN($B$399:$Y$399)</f>
        <v>-355.25</v>
      </c>
      <c r="AB399" s="9">
        <f>AVERAGE($B$399:$Y$399)</f>
        <v>-44.729583333333302</v>
      </c>
    </row>
    <row r="400" spans="1:28">
      <c r="A400" s="10">
        <v>45690</v>
      </c>
      <c r="B400" s="7">
        <v>-171.2</v>
      </c>
      <c r="C400" s="7">
        <v>5.8600000000000101</v>
      </c>
      <c r="D400" s="7">
        <v>20.64</v>
      </c>
      <c r="E400" s="7">
        <v>30.22</v>
      </c>
      <c r="F400" s="7">
        <v>113.18</v>
      </c>
      <c r="G400" s="7">
        <v>15.22</v>
      </c>
      <c r="H400" s="7">
        <v>25.21</v>
      </c>
      <c r="I400" s="7">
        <v>17.71</v>
      </c>
      <c r="J400" s="7">
        <v>21.39</v>
      </c>
      <c r="K400" s="7">
        <v>-33.75</v>
      </c>
      <c r="L400" s="7">
        <v>-40.14</v>
      </c>
      <c r="M400" s="7">
        <v>-95.5</v>
      </c>
      <c r="N400" s="7">
        <v>-252.83</v>
      </c>
      <c r="O400" s="7">
        <v>-59.97</v>
      </c>
      <c r="P400" s="7">
        <v>0.75</v>
      </c>
      <c r="Q400" s="7">
        <v>118.5</v>
      </c>
      <c r="R400" s="7">
        <v>59.99</v>
      </c>
      <c r="S400" s="7">
        <v>-103.5</v>
      </c>
      <c r="T400" s="7">
        <v>-26.11</v>
      </c>
      <c r="U400" s="7">
        <v>-5.6399999999999899</v>
      </c>
      <c r="V400" s="7">
        <v>-22.39</v>
      </c>
      <c r="W400" s="7">
        <v>-18</v>
      </c>
      <c r="X400" s="7">
        <v>-19.899999999999999</v>
      </c>
      <c r="Y400" s="7">
        <v>52.05</v>
      </c>
      <c r="Z400" s="9">
        <f>MAX($B$400:$Y$400)</f>
        <v>118.5</v>
      </c>
      <c r="AA400" s="9">
        <f>MIN($B$400:$Y$400)</f>
        <v>-252.83</v>
      </c>
      <c r="AB400" s="9">
        <f>AVERAGE($B$400:$Y$400)</f>
        <v>-15.342083333333299</v>
      </c>
    </row>
    <row r="401" spans="1:28">
      <c r="A401" s="10">
        <v>45691</v>
      </c>
      <c r="B401" s="7">
        <v>31.72</v>
      </c>
      <c r="C401" s="7">
        <v>2.00999999999999</v>
      </c>
      <c r="D401" s="7">
        <v>8.7199999999999704</v>
      </c>
      <c r="E401" s="7">
        <v>124.03</v>
      </c>
      <c r="F401" s="7">
        <v>155</v>
      </c>
      <c r="G401" s="7">
        <v>160.80000000000001</v>
      </c>
      <c r="H401" s="7">
        <v>10.01</v>
      </c>
      <c r="I401" s="7">
        <v>-3.50999999999999</v>
      </c>
      <c r="J401" s="7">
        <v>-0.200000000000045</v>
      </c>
      <c r="K401" s="7">
        <v>-1.1600000000000299</v>
      </c>
      <c r="L401" s="7">
        <v>-1.8500000000000201</v>
      </c>
      <c r="M401" s="7">
        <v>12.36</v>
      </c>
      <c r="N401" s="7">
        <v>13.25</v>
      </c>
      <c r="O401" s="7">
        <v>3.03000000000003</v>
      </c>
      <c r="P401" s="7">
        <v>-5.4200000000000204</v>
      </c>
      <c r="Q401" s="7">
        <v>-9.9599999999999795</v>
      </c>
      <c r="R401" s="7">
        <v>2.26000000000005</v>
      </c>
      <c r="S401" s="7">
        <v>5.13</v>
      </c>
      <c r="T401" s="7">
        <v>13.09</v>
      </c>
      <c r="U401" s="7">
        <v>7.75999999999999</v>
      </c>
      <c r="V401" s="7">
        <v>7.9600000000000399</v>
      </c>
      <c r="W401" s="7">
        <v>10.52</v>
      </c>
      <c r="X401" s="7">
        <v>16.760000000000002</v>
      </c>
      <c r="Y401" s="7">
        <v>38.17</v>
      </c>
      <c r="Z401" s="9">
        <f>MAX($B$401:$Y$401)</f>
        <v>160.80000000000001</v>
      </c>
      <c r="AA401" s="9">
        <f>MIN($B$401:$Y$401)</f>
        <v>-9.9599999999999795</v>
      </c>
      <c r="AB401" s="9">
        <f>AVERAGE($B$401:$Y$401)</f>
        <v>25.02</v>
      </c>
    </row>
    <row r="402" spans="1:28">
      <c r="A402" s="10">
        <v>45692</v>
      </c>
      <c r="B402" s="7">
        <v>-84.98</v>
      </c>
      <c r="C402" s="7">
        <v>29.34</v>
      </c>
      <c r="D402" s="7">
        <v>31.12</v>
      </c>
      <c r="E402" s="7">
        <v>25.79</v>
      </c>
      <c r="F402" s="7">
        <v>-15.38</v>
      </c>
      <c r="G402" s="7">
        <v>-41.76</v>
      </c>
      <c r="H402" s="7">
        <v>-31.2</v>
      </c>
      <c r="I402" s="7">
        <v>-39.96</v>
      </c>
      <c r="J402" s="7">
        <v>-23.36</v>
      </c>
      <c r="K402" s="7">
        <v>-14.27</v>
      </c>
      <c r="L402" s="7">
        <v>166.74</v>
      </c>
      <c r="M402" s="7">
        <v>17.07</v>
      </c>
      <c r="N402" s="7">
        <v>-140.19999999999999</v>
      </c>
      <c r="O402" s="7">
        <v>-95.38</v>
      </c>
      <c r="P402" s="7">
        <v>-251.41</v>
      </c>
      <c r="Q402" s="7">
        <v>-166.37</v>
      </c>
      <c r="R402" s="7">
        <v>1.73999999999995</v>
      </c>
      <c r="S402" s="7">
        <v>21.71</v>
      </c>
      <c r="T402" s="7">
        <v>-27.58</v>
      </c>
      <c r="U402" s="7">
        <v>-40.840000000000003</v>
      </c>
      <c r="V402" s="7">
        <v>19.12</v>
      </c>
      <c r="W402" s="7">
        <v>4.6000000000000201</v>
      </c>
      <c r="X402" s="7">
        <v>2.6499999999999799</v>
      </c>
      <c r="Y402" s="7">
        <v>-4.6100000000000101</v>
      </c>
      <c r="Z402" s="9">
        <f>MAX($B$402:$Y$402)</f>
        <v>166.74</v>
      </c>
      <c r="AA402" s="9">
        <f>MIN($B$402:$Y$402)</f>
        <v>-251.41</v>
      </c>
      <c r="AB402" s="9">
        <f>AVERAGE($B$402:$Y$402)</f>
        <v>-27.392499999999998</v>
      </c>
    </row>
    <row r="403" spans="1:28">
      <c r="A403" s="10">
        <v>45693</v>
      </c>
      <c r="B403" s="7">
        <v>-94.28</v>
      </c>
      <c r="C403" s="7">
        <v>11.08</v>
      </c>
      <c r="D403" s="7">
        <v>7.38</v>
      </c>
      <c r="E403" s="7">
        <v>6.7900000000000196</v>
      </c>
      <c r="F403" s="7">
        <v>64.260000000000005</v>
      </c>
      <c r="G403" s="7">
        <v>148.75</v>
      </c>
      <c r="H403" s="7">
        <v>59.5</v>
      </c>
      <c r="I403" s="7">
        <v>-3.5299999999999701</v>
      </c>
      <c r="J403" s="7">
        <v>70.400000000000006</v>
      </c>
      <c r="K403" s="7">
        <v>6.5799999999999796</v>
      </c>
      <c r="L403" s="7">
        <v>76.67</v>
      </c>
      <c r="M403" s="7">
        <v>4.23000000000002</v>
      </c>
      <c r="N403" s="7">
        <v>1.5299999999999701</v>
      </c>
      <c r="O403" s="7">
        <v>221.46</v>
      </c>
      <c r="P403" s="7">
        <v>-5.56</v>
      </c>
      <c r="Q403" s="7">
        <v>-15.03</v>
      </c>
      <c r="R403" s="7">
        <v>-23.22</v>
      </c>
      <c r="S403" s="7">
        <v>-19.39</v>
      </c>
      <c r="T403" s="7">
        <v>-14.02</v>
      </c>
      <c r="U403" s="7">
        <v>7.50999999999999</v>
      </c>
      <c r="V403" s="7">
        <v>20.79</v>
      </c>
      <c r="W403" s="7">
        <v>2.7200000000000299</v>
      </c>
      <c r="X403" s="7">
        <v>13.57</v>
      </c>
      <c r="Y403" s="7">
        <v>25.43</v>
      </c>
      <c r="Z403" s="9">
        <f>MAX($B$403:$Y$403)</f>
        <v>221.46</v>
      </c>
      <c r="AA403" s="9">
        <f>MIN($B$403:$Y$403)</f>
        <v>-94.28</v>
      </c>
      <c r="AB403" s="9">
        <f>AVERAGE($B$403:$Y$403)</f>
        <v>23.900833333333299</v>
      </c>
    </row>
    <row r="404" spans="1:28">
      <c r="A404" s="10">
        <v>45694</v>
      </c>
      <c r="B404" s="7">
        <v>0.18000000000000699</v>
      </c>
      <c r="C404" s="7">
        <v>2.07000000000005</v>
      </c>
      <c r="D404" s="7">
        <v>1.1000000000000201</v>
      </c>
      <c r="E404" s="7">
        <v>-4.1499999999999799</v>
      </c>
      <c r="F404" s="7">
        <v>4.25</v>
      </c>
      <c r="G404" s="7">
        <v>12.67</v>
      </c>
      <c r="H404" s="7">
        <v>6.69</v>
      </c>
      <c r="I404" s="7">
        <v>50.56</v>
      </c>
      <c r="J404" s="7">
        <v>-109.6</v>
      </c>
      <c r="K404" s="7">
        <v>-117.96</v>
      </c>
      <c r="L404" s="7">
        <v>-36.61</v>
      </c>
      <c r="M404" s="7">
        <v>-14.78</v>
      </c>
      <c r="N404" s="7">
        <v>159.63999999999999</v>
      </c>
      <c r="O404" s="7">
        <v>59.57</v>
      </c>
      <c r="P404" s="7">
        <v>-11.4</v>
      </c>
      <c r="Q404" s="7">
        <v>-12.42</v>
      </c>
      <c r="R404" s="7">
        <v>-22.65</v>
      </c>
      <c r="S404" s="7">
        <v>-9.26999999999998</v>
      </c>
      <c r="T404" s="7">
        <v>6.6800000000000104</v>
      </c>
      <c r="U404" s="7">
        <v>26.16</v>
      </c>
      <c r="V404" s="7">
        <v>23.05</v>
      </c>
      <c r="W404" s="7">
        <v>19.309999999999999</v>
      </c>
      <c r="X404" s="7">
        <v>7.4200000000000204</v>
      </c>
      <c r="Y404" s="7">
        <v>123.56</v>
      </c>
      <c r="Z404" s="9">
        <f>MAX($B$404:$Y$404)</f>
        <v>159.63999999999999</v>
      </c>
      <c r="AA404" s="9">
        <f>MIN($B$404:$Y$404)</f>
        <v>-117.96</v>
      </c>
      <c r="AB404" s="9">
        <f>AVERAGE($B$404:$Y$404)</f>
        <v>6.8362500000000104</v>
      </c>
    </row>
    <row r="405" spans="1:28">
      <c r="A405" s="10">
        <v>45695</v>
      </c>
      <c r="B405" s="7">
        <v>-3.00000000000296E-2</v>
      </c>
      <c r="C405" s="7">
        <v>9.8199999999999896</v>
      </c>
      <c r="D405" s="7">
        <v>1.3899999999999899</v>
      </c>
      <c r="E405" s="7">
        <v>47.69</v>
      </c>
      <c r="F405" s="7">
        <v>-10.44</v>
      </c>
      <c r="G405" s="7">
        <v>-14.41</v>
      </c>
      <c r="H405" s="7">
        <v>-22.31</v>
      </c>
      <c r="I405" s="7">
        <v>-23.65</v>
      </c>
      <c r="J405" s="7">
        <v>-43.81</v>
      </c>
      <c r="K405" s="7">
        <v>-48.09</v>
      </c>
      <c r="L405" s="7">
        <v>-58.05</v>
      </c>
      <c r="M405" s="7">
        <v>-70.34</v>
      </c>
      <c r="N405" s="7">
        <v>-67.680000000000007</v>
      </c>
      <c r="O405" s="7">
        <v>-391.39</v>
      </c>
      <c r="P405" s="7">
        <v>-266.01</v>
      </c>
      <c r="Q405" s="7">
        <v>-28.98</v>
      </c>
      <c r="R405" s="7">
        <v>-28.48</v>
      </c>
      <c r="S405" s="7">
        <v>5.08000000000004</v>
      </c>
      <c r="T405" s="7">
        <v>13.58</v>
      </c>
      <c r="U405" s="7">
        <v>11.52</v>
      </c>
      <c r="V405" s="7">
        <v>-0.37999999999999501</v>
      </c>
      <c r="W405" s="7">
        <v>-4.1599999999999699</v>
      </c>
      <c r="X405" s="7">
        <v>-2.26999999999998</v>
      </c>
      <c r="Y405" s="7">
        <v>5.2099999999999804</v>
      </c>
      <c r="Z405" s="9">
        <f>MAX($B$405:$Y$405)</f>
        <v>47.69</v>
      </c>
      <c r="AA405" s="9">
        <f>MIN($B$405:$Y$405)</f>
        <v>-391.39</v>
      </c>
      <c r="AB405" s="9">
        <f>AVERAGE($B$405:$Y$405)</f>
        <v>-41.091250000000002</v>
      </c>
    </row>
    <row r="406" spans="1:28">
      <c r="A406" s="10">
        <v>45696</v>
      </c>
      <c r="B406" s="7">
        <v>1.9600000000000399</v>
      </c>
      <c r="C406" s="7">
        <v>23.02</v>
      </c>
      <c r="D406" s="7">
        <v>8.75</v>
      </c>
      <c r="E406" s="7">
        <v>90.54</v>
      </c>
      <c r="F406" s="7">
        <v>12.28</v>
      </c>
      <c r="G406" s="7">
        <v>-18.579999999999998</v>
      </c>
      <c r="H406" s="7">
        <v>-6.4200000000000204</v>
      </c>
      <c r="I406" s="7">
        <v>-8.1700000000000195</v>
      </c>
      <c r="J406" s="7">
        <v>-7.75999999999999</v>
      </c>
      <c r="K406" s="7">
        <v>70.959999999999994</v>
      </c>
      <c r="L406" s="7">
        <v>92.22</v>
      </c>
      <c r="M406" s="7">
        <v>140.84</v>
      </c>
      <c r="N406" s="7">
        <v>149.28</v>
      </c>
      <c r="O406" s="7">
        <v>31.15</v>
      </c>
      <c r="P406" s="7">
        <v>56.07</v>
      </c>
      <c r="Q406" s="7">
        <v>0.37999999999999501</v>
      </c>
      <c r="R406" s="7">
        <v>-13.1799999999999</v>
      </c>
      <c r="S406" s="7">
        <v>21.41</v>
      </c>
      <c r="T406" s="7">
        <v>50.01</v>
      </c>
      <c r="U406" s="7">
        <v>32.97</v>
      </c>
      <c r="V406" s="7">
        <v>27.75</v>
      </c>
      <c r="W406" s="7">
        <v>29.48</v>
      </c>
      <c r="X406" s="7">
        <v>20.75</v>
      </c>
      <c r="Y406" s="7">
        <v>13.01</v>
      </c>
      <c r="Z406" s="9">
        <f>MAX($B$406:$Y$406)</f>
        <v>149.28</v>
      </c>
      <c r="AA406" s="9">
        <f>MIN($B$406:$Y$406)</f>
        <v>-18.579999999999998</v>
      </c>
      <c r="AB406" s="9">
        <f>AVERAGE($B$406:$Y$406)</f>
        <v>34.113333333333301</v>
      </c>
    </row>
    <row r="407" spans="1:28">
      <c r="A407" s="10">
        <v>45697</v>
      </c>
      <c r="B407" s="7">
        <v>1.0899999999999701</v>
      </c>
      <c r="C407" s="7">
        <v>-4.9099999999999699</v>
      </c>
      <c r="D407" s="7">
        <v>5.3599999999999604</v>
      </c>
      <c r="E407" s="7">
        <v>15.67</v>
      </c>
      <c r="F407" s="7">
        <v>112.36</v>
      </c>
      <c r="G407" s="7">
        <v>77.22</v>
      </c>
      <c r="H407" s="7">
        <v>5.48000000000002</v>
      </c>
      <c r="I407" s="7">
        <v>-2.02000000000004</v>
      </c>
      <c r="J407" s="7">
        <v>104.37</v>
      </c>
      <c r="K407" s="7">
        <v>90.48</v>
      </c>
      <c r="L407" s="7">
        <v>234.17</v>
      </c>
      <c r="M407" s="7">
        <v>179.05</v>
      </c>
      <c r="N407" s="7">
        <v>149.86000000000001</v>
      </c>
      <c r="O407" s="7">
        <v>151.52000000000001</v>
      </c>
      <c r="P407" s="7">
        <v>296.97000000000003</v>
      </c>
      <c r="Q407" s="7">
        <v>229.28</v>
      </c>
      <c r="R407" s="7">
        <v>97.64</v>
      </c>
      <c r="S407" s="7">
        <v>46.96</v>
      </c>
      <c r="T407" s="7">
        <v>13.94</v>
      </c>
      <c r="U407" s="7">
        <v>47.85</v>
      </c>
      <c r="V407" s="7">
        <v>41.15</v>
      </c>
      <c r="W407" s="7">
        <v>41.61</v>
      </c>
      <c r="X407" s="7">
        <v>-30.82</v>
      </c>
      <c r="Y407" s="7">
        <v>-1.0699999999999901</v>
      </c>
      <c r="Z407" s="9">
        <f>MAX($B$407:$Y$407)</f>
        <v>296.97000000000003</v>
      </c>
      <c r="AA407" s="9">
        <f>MIN($B$407:$Y$407)</f>
        <v>-30.82</v>
      </c>
      <c r="AB407" s="9">
        <f>AVERAGE($B$407:$Y$407)</f>
        <v>79.300416666666706</v>
      </c>
    </row>
    <row r="408" spans="1:28">
      <c r="A408" s="10">
        <v>45698</v>
      </c>
      <c r="B408" s="7">
        <v>-1.1800000000000099</v>
      </c>
      <c r="C408" s="7">
        <v>4.4700000000000299</v>
      </c>
      <c r="D408" s="7">
        <v>12.42</v>
      </c>
      <c r="E408" s="7">
        <v>6.62</v>
      </c>
      <c r="F408" s="7">
        <v>4.7900000000000196</v>
      </c>
      <c r="G408" s="7">
        <v>-2.1600000000000201</v>
      </c>
      <c r="H408" s="7">
        <v>0.45999999999997998</v>
      </c>
      <c r="I408" s="7">
        <v>8.73000000000002</v>
      </c>
      <c r="J408" s="7">
        <v>-197.85</v>
      </c>
      <c r="K408" s="7">
        <v>-7.5799999999999796</v>
      </c>
      <c r="L408" s="7">
        <v>-17.02</v>
      </c>
      <c r="M408" s="7">
        <v>-10.97</v>
      </c>
      <c r="N408" s="7">
        <v>54.93</v>
      </c>
      <c r="O408" s="7">
        <v>71.83</v>
      </c>
      <c r="P408" s="7">
        <v>98.3</v>
      </c>
      <c r="Q408" s="7">
        <v>-21.05</v>
      </c>
      <c r="R408" s="7">
        <v>-20.309999999999999</v>
      </c>
      <c r="S408" s="7">
        <v>-2.29000000000002</v>
      </c>
      <c r="T408" s="7">
        <v>-64.75</v>
      </c>
      <c r="U408" s="7">
        <v>-249.45</v>
      </c>
      <c r="V408" s="7">
        <v>-316.07</v>
      </c>
      <c r="W408" s="7">
        <v>-457.92</v>
      </c>
      <c r="X408" s="7">
        <v>-269.61</v>
      </c>
      <c r="Y408" s="7">
        <v>-29.99</v>
      </c>
      <c r="Z408" s="9">
        <f>MAX($B$408:$Y$408)</f>
        <v>98.3</v>
      </c>
      <c r="AA408" s="9">
        <f>MIN($B$408:$Y$408)</f>
        <v>-457.92</v>
      </c>
      <c r="AB408" s="9">
        <f>AVERAGE($B$408:$Y$408)</f>
        <v>-58.568750000000001</v>
      </c>
    </row>
    <row r="409" spans="1:28">
      <c r="A409" s="10">
        <v>45699</v>
      </c>
      <c r="B409" s="7">
        <v>-0.82999999999998397</v>
      </c>
      <c r="C409" s="7">
        <v>-9.9000000000000306</v>
      </c>
      <c r="D409" s="7">
        <v>-10.33</v>
      </c>
      <c r="E409" s="7">
        <v>-2.24000000000001</v>
      </c>
      <c r="F409" s="7">
        <v>-5.01999999999998</v>
      </c>
      <c r="G409" s="7">
        <v>-10.25</v>
      </c>
      <c r="H409" s="7">
        <v>-5.4200000000000204</v>
      </c>
      <c r="I409" s="7">
        <v>3.37</v>
      </c>
      <c r="J409" s="7">
        <v>-12.54</v>
      </c>
      <c r="K409" s="7">
        <v>-18.07</v>
      </c>
      <c r="L409" s="7">
        <v>16.350000000000001</v>
      </c>
      <c r="M409" s="7">
        <v>5.38</v>
      </c>
      <c r="N409" s="7">
        <v>6.9100000000000303</v>
      </c>
      <c r="O409" s="7">
        <v>-4.13</v>
      </c>
      <c r="P409" s="7">
        <v>-4.1100000000000101</v>
      </c>
      <c r="Q409" s="7">
        <v>-8.25</v>
      </c>
      <c r="R409" s="7">
        <v>3.7200000000000299</v>
      </c>
      <c r="S409" s="7">
        <v>9.9100000000000197</v>
      </c>
      <c r="T409" s="7">
        <v>3.54000000000002</v>
      </c>
      <c r="U409" s="7">
        <v>18.100000000000001</v>
      </c>
      <c r="V409" s="7">
        <v>25.37</v>
      </c>
      <c r="W409" s="7">
        <v>38.67</v>
      </c>
      <c r="X409" s="7">
        <v>29.9</v>
      </c>
      <c r="Y409" s="7">
        <v>18.45</v>
      </c>
      <c r="Z409" s="9">
        <f>MAX($B$409:$Y$409)</f>
        <v>38.67</v>
      </c>
      <c r="AA409" s="9">
        <f>MIN($B$409:$Y$409)</f>
        <v>-18.07</v>
      </c>
      <c r="AB409" s="9">
        <f>AVERAGE($B$409:$Y$409)</f>
        <v>3.6908333333333401</v>
      </c>
    </row>
    <row r="410" spans="1:28">
      <c r="A410" s="10">
        <v>45700</v>
      </c>
      <c r="B410" s="7">
        <v>-19.21</v>
      </c>
      <c r="C410" s="7">
        <v>-5.6100000000000101</v>
      </c>
      <c r="D410" s="7">
        <v>-2.75</v>
      </c>
      <c r="E410" s="7">
        <v>-0.27000000000003899</v>
      </c>
      <c r="F410" s="7">
        <v>-2.9000000000000301</v>
      </c>
      <c r="G410" s="7">
        <v>0.49000000000000898</v>
      </c>
      <c r="H410" s="7">
        <v>-7.1999999999999904</v>
      </c>
      <c r="I410" s="7">
        <v>-9.8299999999999805</v>
      </c>
      <c r="J410" s="7">
        <v>-33.92</v>
      </c>
      <c r="K410" s="7">
        <v>3.99000000000001</v>
      </c>
      <c r="L410" s="7">
        <v>9.7900000000000205</v>
      </c>
      <c r="M410" s="7">
        <v>-2.04000000000002</v>
      </c>
      <c r="N410" s="7">
        <v>3.6800000000000099</v>
      </c>
      <c r="O410" s="7">
        <v>5.9100000000000303</v>
      </c>
      <c r="P410" s="7">
        <v>12.43</v>
      </c>
      <c r="Q410" s="7">
        <v>5.0699999999999896</v>
      </c>
      <c r="R410" s="7">
        <v>1.73000000000002</v>
      </c>
      <c r="S410" s="7">
        <v>6.0000000000002301E-2</v>
      </c>
      <c r="T410" s="7">
        <v>-0.94999999999998896</v>
      </c>
      <c r="U410" s="7">
        <v>6.9300000000000104</v>
      </c>
      <c r="V410" s="7">
        <v>15.74</v>
      </c>
      <c r="W410" s="7">
        <v>-11.28</v>
      </c>
      <c r="X410" s="7">
        <v>19.59</v>
      </c>
      <c r="Y410" s="7">
        <v>9.4799999999999596</v>
      </c>
      <c r="Z410" s="9">
        <f>MAX($B$410:$Y$410)</f>
        <v>19.59</v>
      </c>
      <c r="AA410" s="9">
        <f>MIN($B$410:$Y$410)</f>
        <v>-33.92</v>
      </c>
      <c r="AB410" s="9">
        <f>AVERAGE($B$410:$Y$410)</f>
        <v>-4.45833333333336E-2</v>
      </c>
    </row>
    <row r="411" spans="1:28">
      <c r="A411" s="10">
        <v>45701</v>
      </c>
      <c r="B411" s="7">
        <v>1.1299999999999999</v>
      </c>
      <c r="C411" s="7">
        <v>7.7000000000000499</v>
      </c>
      <c r="D411" s="7">
        <v>5.3600000000000101</v>
      </c>
      <c r="E411" s="7">
        <v>2.26999999999998</v>
      </c>
      <c r="F411" s="7">
        <v>1.6300000000000501</v>
      </c>
      <c r="G411" s="7">
        <v>-0.19999999999998899</v>
      </c>
      <c r="H411" s="7">
        <v>5.75</v>
      </c>
      <c r="I411" s="7">
        <v>4.2100000000000399</v>
      </c>
      <c r="J411" s="7">
        <v>29.02</v>
      </c>
      <c r="K411" s="7">
        <v>32.72</v>
      </c>
      <c r="L411" s="7">
        <v>45.85</v>
      </c>
      <c r="M411" s="7">
        <v>40.36</v>
      </c>
      <c r="N411" s="7">
        <v>110.31</v>
      </c>
      <c r="O411" s="7">
        <v>88.45</v>
      </c>
      <c r="P411" s="7">
        <v>23.22</v>
      </c>
      <c r="Q411" s="7">
        <v>14.77</v>
      </c>
      <c r="R411" s="7">
        <v>23.84</v>
      </c>
      <c r="S411" s="7">
        <v>22.93</v>
      </c>
      <c r="T411" s="7">
        <v>18.5</v>
      </c>
      <c r="U411" s="7">
        <v>18.3</v>
      </c>
      <c r="V411" s="7">
        <v>2.8299999999999801</v>
      </c>
      <c r="W411" s="7">
        <v>22.35</v>
      </c>
      <c r="X411" s="7">
        <v>33.71</v>
      </c>
      <c r="Y411" s="7">
        <v>25.9</v>
      </c>
      <c r="Z411" s="9">
        <f>MAX($B$411:$Y$411)</f>
        <v>110.31</v>
      </c>
      <c r="AA411" s="9">
        <f>MIN($B$411:$Y$411)</f>
        <v>-0.19999999999998899</v>
      </c>
      <c r="AB411" s="9">
        <f>AVERAGE($B$411:$Y$411)</f>
        <v>24.2045833333333</v>
      </c>
    </row>
    <row r="412" spans="1:28">
      <c r="A412" s="10">
        <v>45702</v>
      </c>
      <c r="B412" s="7">
        <v>-14.72</v>
      </c>
      <c r="C412" s="7">
        <v>3.94</v>
      </c>
      <c r="D412" s="7">
        <v>5.3000000000000096</v>
      </c>
      <c r="E412" s="7">
        <v>1.9300000000000099</v>
      </c>
      <c r="F412" s="7">
        <v>-1.25999999999999</v>
      </c>
      <c r="G412" s="7">
        <v>-1.8199999999999901</v>
      </c>
      <c r="H412" s="7">
        <v>-6.49000000000001</v>
      </c>
      <c r="I412" s="7">
        <v>-19.43</v>
      </c>
      <c r="J412" s="7">
        <v>-229.33</v>
      </c>
      <c r="K412" s="7">
        <v>4.38</v>
      </c>
      <c r="L412" s="7">
        <v>22.55</v>
      </c>
      <c r="M412" s="7">
        <v>27.75</v>
      </c>
      <c r="N412" s="7">
        <v>17.36</v>
      </c>
      <c r="O412" s="7">
        <v>16.39</v>
      </c>
      <c r="P412" s="7">
        <v>19.38</v>
      </c>
      <c r="Q412" s="7">
        <v>18.61</v>
      </c>
      <c r="R412" s="7">
        <v>36.9</v>
      </c>
      <c r="S412" s="7">
        <v>43.05</v>
      </c>
      <c r="T412" s="7">
        <v>21.85</v>
      </c>
      <c r="U412" s="7">
        <v>-29.95</v>
      </c>
      <c r="V412" s="7">
        <v>3.94999999999999</v>
      </c>
      <c r="W412" s="7">
        <v>3.29000000000002</v>
      </c>
      <c r="X412" s="7">
        <v>22.62</v>
      </c>
      <c r="Y412" s="7">
        <v>9.6700000000000195</v>
      </c>
      <c r="Z412" s="9">
        <f>MAX($B$412:$Y$412)</f>
        <v>43.05</v>
      </c>
      <c r="AA412" s="9">
        <f>MIN($B$412:$Y$412)</f>
        <v>-229.33</v>
      </c>
      <c r="AB412" s="9">
        <f>AVERAGE($B$412:$Y$412)</f>
        <v>-1.0033333333333301</v>
      </c>
    </row>
    <row r="413" spans="1:28">
      <c r="A413" s="10">
        <v>45703</v>
      </c>
      <c r="B413" s="7">
        <v>-19.34</v>
      </c>
      <c r="C413" s="7">
        <v>-16.07</v>
      </c>
      <c r="D413" s="7">
        <v>-10.6300000000001</v>
      </c>
      <c r="E413" s="7">
        <v>-10.9</v>
      </c>
      <c r="F413" s="7">
        <v>-12.89</v>
      </c>
      <c r="G413" s="7">
        <v>-5.1000000000000201</v>
      </c>
      <c r="H413" s="7">
        <v>-0.81000000000000205</v>
      </c>
      <c r="I413" s="7">
        <v>-0.71000000000003605</v>
      </c>
      <c r="J413" s="7">
        <v>-16.29</v>
      </c>
      <c r="K413" s="7">
        <v>-321.02</v>
      </c>
      <c r="L413" s="7">
        <v>-45.98</v>
      </c>
      <c r="M413" s="7">
        <v>-71.459999999999994</v>
      </c>
      <c r="N413" s="7">
        <v>-14.34</v>
      </c>
      <c r="O413" s="7">
        <v>-20.059999999999999</v>
      </c>
      <c r="P413" s="7">
        <v>-9.2299999999999596</v>
      </c>
      <c r="Q413" s="7">
        <v>-6.1599999999999699</v>
      </c>
      <c r="R413" s="7">
        <v>-20.36</v>
      </c>
      <c r="S413" s="7">
        <v>-36.75</v>
      </c>
      <c r="T413" s="7">
        <v>-125.47</v>
      </c>
      <c r="U413" s="7">
        <v>-288.83</v>
      </c>
      <c r="V413" s="7">
        <v>-210.16</v>
      </c>
      <c r="W413" s="7">
        <v>-126.2</v>
      </c>
      <c r="X413" s="7">
        <v>-25.39</v>
      </c>
      <c r="Y413" s="7">
        <v>-11.17</v>
      </c>
      <c r="Z413" s="9">
        <f>MAX($B$413:$Y$413)</f>
        <v>-0.71000000000003605</v>
      </c>
      <c r="AA413" s="9">
        <f>MIN($B$413:$Y$413)</f>
        <v>-321.02</v>
      </c>
      <c r="AB413" s="9">
        <f>AVERAGE($B$413:$Y$413)</f>
        <v>-59.3883333333333</v>
      </c>
    </row>
    <row r="414" spans="1:28">
      <c r="A414" s="10">
        <v>45704</v>
      </c>
      <c r="B414" s="7">
        <v>2.98999999999995</v>
      </c>
      <c r="C414" s="7">
        <v>-1.6499999999999799</v>
      </c>
      <c r="D414" s="7">
        <v>-4.6600000000000303</v>
      </c>
      <c r="E414" s="7">
        <v>0.87000000000000499</v>
      </c>
      <c r="F414" s="7">
        <v>8.73000000000002</v>
      </c>
      <c r="G414" s="7">
        <v>11.65</v>
      </c>
      <c r="H414" s="7">
        <v>9.3499999999999694</v>
      </c>
      <c r="I414" s="7">
        <v>6.7800000000000296</v>
      </c>
      <c r="J414" s="7">
        <v>14.67</v>
      </c>
      <c r="K414" s="7">
        <v>3.8199999999999901</v>
      </c>
      <c r="L414" s="7">
        <v>-10.71</v>
      </c>
      <c r="M414" s="7">
        <v>-10.67</v>
      </c>
      <c r="N414" s="7">
        <v>-11.35</v>
      </c>
      <c r="O414" s="7">
        <v>-7.3899999999999899</v>
      </c>
      <c r="P414" s="7">
        <v>-13.01</v>
      </c>
      <c r="Q414" s="7">
        <v>3.2799999999999701</v>
      </c>
      <c r="R414" s="7">
        <v>2.8199999999999901</v>
      </c>
      <c r="S414" s="7">
        <v>-0.25</v>
      </c>
      <c r="T414" s="7">
        <v>-16.6799999999999</v>
      </c>
      <c r="U414" s="7">
        <v>-16.38</v>
      </c>
      <c r="V414" s="7">
        <v>-22.2</v>
      </c>
      <c r="W414" s="7">
        <v>-29.81</v>
      </c>
      <c r="X414" s="7">
        <v>-9.3300000000000392</v>
      </c>
      <c r="Y414" s="7">
        <v>7.38</v>
      </c>
      <c r="Z414" s="9">
        <f>MAX($B$414:$Y$414)</f>
        <v>14.67</v>
      </c>
      <c r="AA414" s="9">
        <f>MIN($B$414:$Y$414)</f>
        <v>-29.81</v>
      </c>
      <c r="AB414" s="9">
        <f>AVERAGE($B$414:$Y$414)</f>
        <v>-3.40625</v>
      </c>
    </row>
    <row r="415" spans="1:28">
      <c r="A415" s="10">
        <v>45705</v>
      </c>
      <c r="B415" s="7">
        <v>3.87</v>
      </c>
      <c r="C415" s="7">
        <v>-7.0100000000000504</v>
      </c>
      <c r="D415" s="7">
        <v>-3.1500000000000301</v>
      </c>
      <c r="E415" s="7">
        <v>2.12</v>
      </c>
      <c r="F415" s="7">
        <v>1.0899999999999701</v>
      </c>
      <c r="G415" s="7">
        <v>-1.1800000000000099</v>
      </c>
      <c r="H415" s="7">
        <v>-4.1800000000000104</v>
      </c>
      <c r="I415" s="7">
        <v>-5.2899999999999601</v>
      </c>
      <c r="J415" s="7">
        <v>-92.96</v>
      </c>
      <c r="K415" s="7">
        <v>-153.22</v>
      </c>
      <c r="L415" s="7">
        <v>12.65</v>
      </c>
      <c r="M415" s="7">
        <v>-9.9100000000000197</v>
      </c>
      <c r="N415" s="7">
        <v>10.48</v>
      </c>
      <c r="O415" s="7">
        <v>-15.07</v>
      </c>
      <c r="P415" s="7">
        <v>-1</v>
      </c>
      <c r="Q415" s="7">
        <v>-19.489999999999998</v>
      </c>
      <c r="R415" s="7">
        <v>-44.02</v>
      </c>
      <c r="S415" s="7">
        <v>18.23</v>
      </c>
      <c r="T415" s="7">
        <v>42.61</v>
      </c>
      <c r="U415" s="7">
        <v>28.06</v>
      </c>
      <c r="V415" s="7">
        <v>-3.3600000000000101</v>
      </c>
      <c r="W415" s="7">
        <v>3.8499999999999699</v>
      </c>
      <c r="X415" s="7">
        <v>19.97</v>
      </c>
      <c r="Y415" s="7">
        <v>12.05</v>
      </c>
      <c r="Z415" s="9">
        <f>MAX($B$415:$Y$415)</f>
        <v>42.61</v>
      </c>
      <c r="AA415" s="9">
        <f>MIN($B$415:$Y$415)</f>
        <v>-153.22</v>
      </c>
      <c r="AB415" s="9">
        <f>AVERAGE($B$415:$Y$415)</f>
        <v>-8.5358333333333398</v>
      </c>
    </row>
    <row r="416" spans="1:28">
      <c r="A416" s="10">
        <v>45706</v>
      </c>
      <c r="B416" s="7">
        <v>5.44</v>
      </c>
      <c r="C416" s="7">
        <v>9.8000000000000096</v>
      </c>
      <c r="D416" s="7">
        <v>8.2599999999999891</v>
      </c>
      <c r="E416" s="7">
        <v>8.1300000000000008</v>
      </c>
      <c r="F416" s="7">
        <v>4.24000000000001</v>
      </c>
      <c r="G416" s="7">
        <v>1.48999999999995</v>
      </c>
      <c r="H416" s="7">
        <v>-3.5899999999999701</v>
      </c>
      <c r="I416" s="7">
        <v>-35.28</v>
      </c>
      <c r="J416" s="7">
        <v>-159.01</v>
      </c>
      <c r="K416" s="7">
        <v>-291.2</v>
      </c>
      <c r="L416" s="7">
        <v>6.7099999999999804</v>
      </c>
      <c r="M416" s="7">
        <v>2.4700000000000299</v>
      </c>
      <c r="N416" s="7">
        <v>80.67</v>
      </c>
      <c r="O416" s="7">
        <v>36.47</v>
      </c>
      <c r="P416" s="7">
        <v>14.56</v>
      </c>
      <c r="Q416" s="7">
        <v>11.85</v>
      </c>
      <c r="R416" s="7">
        <v>11.15</v>
      </c>
      <c r="S416" s="7">
        <v>8.6100000000000101</v>
      </c>
      <c r="T416" s="7">
        <v>54.73</v>
      </c>
      <c r="U416" s="7">
        <v>116.9</v>
      </c>
      <c r="V416" s="7">
        <v>56.62</v>
      </c>
      <c r="W416" s="7">
        <v>28.95</v>
      </c>
      <c r="X416" s="7">
        <v>17.649999999999999</v>
      </c>
      <c r="Y416" s="7">
        <v>9.1099999999999604</v>
      </c>
      <c r="Z416" s="9">
        <f>MAX($B$416:$Y$416)</f>
        <v>116.9</v>
      </c>
      <c r="AA416" s="9">
        <f>MIN($B$416:$Y$416)</f>
        <v>-291.2</v>
      </c>
      <c r="AB416" s="9">
        <f>AVERAGE($B$416:$Y$416)</f>
        <v>0.197083333333333</v>
      </c>
    </row>
    <row r="417" spans="1:28">
      <c r="A417" s="10">
        <v>45707</v>
      </c>
      <c r="B417" s="7">
        <v>-13.75</v>
      </c>
      <c r="C417" s="7">
        <v>5.13</v>
      </c>
      <c r="D417" s="7">
        <v>1.76999999999998</v>
      </c>
      <c r="E417" s="7">
        <v>-2.13</v>
      </c>
      <c r="F417" s="7">
        <v>2.9000000000000301</v>
      </c>
      <c r="G417" s="7">
        <v>1.24000000000001</v>
      </c>
      <c r="H417" s="7">
        <v>6.25999999999999</v>
      </c>
      <c r="I417" s="7">
        <v>-0.409999999999968</v>
      </c>
      <c r="J417" s="7">
        <v>-31.69</v>
      </c>
      <c r="K417" s="7">
        <v>17.329999999999998</v>
      </c>
      <c r="L417" s="7">
        <v>30.59</v>
      </c>
      <c r="M417" s="7">
        <v>26.47</v>
      </c>
      <c r="N417" s="7">
        <v>117.52</v>
      </c>
      <c r="O417" s="7">
        <v>141.91999999999999</v>
      </c>
      <c r="P417" s="7">
        <v>74.56</v>
      </c>
      <c r="Q417" s="7">
        <v>52.45</v>
      </c>
      <c r="R417" s="7">
        <v>35.01</v>
      </c>
      <c r="S417" s="7">
        <v>39.979999999999997</v>
      </c>
      <c r="T417" s="7">
        <v>68.73</v>
      </c>
      <c r="U417" s="7">
        <v>104.41</v>
      </c>
      <c r="V417" s="7">
        <v>44.65</v>
      </c>
      <c r="W417" s="7">
        <v>21.0700000000001</v>
      </c>
      <c r="X417" s="7">
        <v>-5.7899999999999601</v>
      </c>
      <c r="Y417" s="7">
        <v>0.439999999999998</v>
      </c>
      <c r="Z417" s="9">
        <f>MAX($B$417:$Y$417)</f>
        <v>141.91999999999999</v>
      </c>
      <c r="AA417" s="9">
        <f>MIN($B$417:$Y$417)</f>
        <v>-31.69</v>
      </c>
      <c r="AB417" s="9">
        <f>AVERAGE($B$417:$Y$417)</f>
        <v>30.7775</v>
      </c>
    </row>
    <row r="418" spans="1:28">
      <c r="A418" s="10">
        <v>45708</v>
      </c>
      <c r="B418" s="7">
        <v>2.6100000000000101</v>
      </c>
      <c r="C418" s="7">
        <v>-7.2799999999999701</v>
      </c>
      <c r="D418" s="7">
        <v>7.0000000000049994E-2</v>
      </c>
      <c r="E418" s="7">
        <v>4.9300000000000104</v>
      </c>
      <c r="F418" s="7">
        <v>4.7600000000000504</v>
      </c>
      <c r="G418" s="7">
        <v>-0.24000000000000901</v>
      </c>
      <c r="H418" s="7">
        <v>-76.45</v>
      </c>
      <c r="I418" s="7">
        <v>-82.14</v>
      </c>
      <c r="J418" s="7">
        <v>-238.56</v>
      </c>
      <c r="K418" s="7">
        <v>-59.379999999999903</v>
      </c>
      <c r="L418" s="7">
        <v>28.86</v>
      </c>
      <c r="M418" s="7">
        <v>45.880000000000102</v>
      </c>
      <c r="N418" s="7">
        <v>181.67</v>
      </c>
      <c r="O418" s="7">
        <v>100.41</v>
      </c>
      <c r="P418" s="7">
        <v>9.5399999999999601</v>
      </c>
      <c r="Q418" s="7">
        <v>-11.73</v>
      </c>
      <c r="R418" s="7">
        <v>-57.22</v>
      </c>
      <c r="S418" s="7">
        <v>-27.02</v>
      </c>
      <c r="T418" s="7">
        <v>-79.489999999999995</v>
      </c>
      <c r="U418" s="7">
        <v>-27.18</v>
      </c>
      <c r="V418" s="7">
        <v>12.77</v>
      </c>
      <c r="W418" s="7">
        <v>22.5700000000001</v>
      </c>
      <c r="X418" s="7">
        <v>10.8</v>
      </c>
      <c r="Y418" s="7">
        <v>4.4200000000000204</v>
      </c>
      <c r="Z418" s="9">
        <f>MAX($B$418:$Y$418)</f>
        <v>181.67</v>
      </c>
      <c r="AA418" s="9">
        <f>MIN($B$418:$Y$418)</f>
        <v>-238.56</v>
      </c>
      <c r="AB418" s="9">
        <f>AVERAGE($B$418:$Y$418)</f>
        <v>-9.8916666666666497</v>
      </c>
    </row>
    <row r="419" spans="1:28">
      <c r="A419" s="10">
        <v>45709</v>
      </c>
      <c r="B419" s="7">
        <v>-5.1800000000000104</v>
      </c>
      <c r="C419" s="7">
        <v>4.9400000000000004</v>
      </c>
      <c r="D419" s="7">
        <v>3.9100000000000201</v>
      </c>
      <c r="E419" s="7">
        <v>6.3399999999999697</v>
      </c>
      <c r="F419" s="7">
        <v>3.00999999999999</v>
      </c>
      <c r="G419" s="7">
        <v>5.2099999999999804</v>
      </c>
      <c r="H419" s="7">
        <v>1.54000000000002</v>
      </c>
      <c r="I419" s="7">
        <v>-62.17</v>
      </c>
      <c r="J419" s="7">
        <v>-8.8299999999999308</v>
      </c>
      <c r="K419" s="7">
        <v>-332.69</v>
      </c>
      <c r="L419" s="7">
        <v>-152</v>
      </c>
      <c r="M419" s="7">
        <v>-56.14</v>
      </c>
      <c r="N419" s="7">
        <v>-23.23</v>
      </c>
      <c r="O419" s="7">
        <v>-27.52</v>
      </c>
      <c r="P419" s="7">
        <v>-23.64</v>
      </c>
      <c r="Q419" s="7">
        <v>-21.96</v>
      </c>
      <c r="R419" s="7">
        <v>-165.03</v>
      </c>
      <c r="S419" s="7">
        <v>-43.89</v>
      </c>
      <c r="T419" s="7">
        <v>-47.26</v>
      </c>
      <c r="U419" s="7">
        <v>-152.26</v>
      </c>
      <c r="V419" s="7">
        <v>-52.18</v>
      </c>
      <c r="W419" s="7">
        <v>-35.450000000000003</v>
      </c>
      <c r="X419" s="7">
        <v>-24.21</v>
      </c>
      <c r="Y419" s="7">
        <v>-8.1099999999999604</v>
      </c>
      <c r="Z419" s="9">
        <f>MAX($B$419:$Y$419)</f>
        <v>6.3399999999999697</v>
      </c>
      <c r="AA419" s="9">
        <f>MIN($B$419:$Y$419)</f>
        <v>-332.69</v>
      </c>
      <c r="AB419" s="9">
        <f>AVERAGE($B$419:$Y$419)</f>
        <v>-50.7</v>
      </c>
    </row>
    <row r="420" spans="1:28">
      <c r="A420" s="10">
        <v>45710</v>
      </c>
      <c r="B420" s="7">
        <v>-13.53</v>
      </c>
      <c r="C420" s="7">
        <v>0.189999999999998</v>
      </c>
      <c r="D420" s="7">
        <v>-13.31</v>
      </c>
      <c r="E420" s="7">
        <v>-9.5</v>
      </c>
      <c r="F420" s="7">
        <v>-7.0699999999999896</v>
      </c>
      <c r="G420" s="7">
        <v>-9.1700000000000195</v>
      </c>
      <c r="H420" s="7">
        <v>9.7399999999999505</v>
      </c>
      <c r="I420" s="7">
        <v>13.21</v>
      </c>
      <c r="J420" s="7">
        <v>-197.56</v>
      </c>
      <c r="K420" s="7">
        <v>-316.17</v>
      </c>
      <c r="L420" s="7">
        <v>-81.28</v>
      </c>
      <c r="M420" s="7">
        <v>-153.21</v>
      </c>
      <c r="N420" s="7">
        <v>-21.94</v>
      </c>
      <c r="O420" s="7">
        <v>-29.99</v>
      </c>
      <c r="P420" s="7">
        <v>-22.92</v>
      </c>
      <c r="Q420" s="7">
        <v>-12.36</v>
      </c>
      <c r="R420" s="7">
        <v>-127.83</v>
      </c>
      <c r="S420" s="7">
        <v>-2.75999999999999</v>
      </c>
      <c r="T420" s="7">
        <v>9.1399999999999899</v>
      </c>
      <c r="U420" s="7">
        <v>5.37</v>
      </c>
      <c r="V420" s="7">
        <v>-4</v>
      </c>
      <c r="W420" s="7">
        <v>1.23000000000002</v>
      </c>
      <c r="X420" s="7">
        <v>-40.659999999999997</v>
      </c>
      <c r="Y420" s="7">
        <v>1.83000000000004</v>
      </c>
      <c r="Z420" s="9">
        <f>MAX($B$420:$Y$420)</f>
        <v>13.21</v>
      </c>
      <c r="AA420" s="9">
        <f>MIN($B$420:$Y$420)</f>
        <v>-316.17</v>
      </c>
      <c r="AB420" s="9">
        <f>AVERAGE($B$420:$Y$420)</f>
        <v>-42.606250000000003</v>
      </c>
    </row>
    <row r="421" spans="1:28">
      <c r="A421" s="10">
        <v>45711</v>
      </c>
      <c r="B421" s="7">
        <v>-49.08</v>
      </c>
      <c r="C421" s="7">
        <v>40.57</v>
      </c>
      <c r="D421" s="7">
        <v>20.2</v>
      </c>
      <c r="E421" s="7">
        <v>17.87</v>
      </c>
      <c r="F421" s="7">
        <v>14.87</v>
      </c>
      <c r="G421" s="7">
        <v>14.07</v>
      </c>
      <c r="H421" s="7">
        <v>14</v>
      </c>
      <c r="I421" s="7">
        <v>5.5900000000000301</v>
      </c>
      <c r="J421" s="7">
        <v>2.26999999999998</v>
      </c>
      <c r="K421" s="7">
        <v>31.71</v>
      </c>
      <c r="L421" s="7">
        <v>38.71</v>
      </c>
      <c r="M421" s="7">
        <v>108.55</v>
      </c>
      <c r="N421" s="7">
        <v>14.3</v>
      </c>
      <c r="O421" s="7">
        <v>0.39999999999997699</v>
      </c>
      <c r="P421" s="7">
        <v>16.809999999999999</v>
      </c>
      <c r="Q421" s="7">
        <v>29.66</v>
      </c>
      <c r="R421" s="7">
        <v>52.7</v>
      </c>
      <c r="S421" s="7">
        <v>36.369999999999997</v>
      </c>
      <c r="T421" s="7">
        <v>41.55</v>
      </c>
      <c r="U421" s="7">
        <v>160.25</v>
      </c>
      <c r="V421" s="7">
        <v>77.41</v>
      </c>
      <c r="W421" s="7">
        <v>-72.2</v>
      </c>
      <c r="X421" s="7">
        <v>-92.98</v>
      </c>
      <c r="Y421" s="7">
        <v>-3.3399999999999701</v>
      </c>
      <c r="Z421" s="9">
        <f>MAX($B$421:$Y$421)</f>
        <v>160.25</v>
      </c>
      <c r="AA421" s="9">
        <f>MIN($B$421:$Y$421)</f>
        <v>-92.98</v>
      </c>
      <c r="AB421" s="9">
        <f>AVERAGE($B$421:$Y$421)</f>
        <v>21.677499999999998</v>
      </c>
    </row>
    <row r="422" spans="1:28">
      <c r="A422" s="10">
        <v>45712</v>
      </c>
      <c r="B422" s="7">
        <v>-42.380000000000102</v>
      </c>
      <c r="C422" s="7">
        <v>23.16</v>
      </c>
      <c r="D422" s="7">
        <v>15.91</v>
      </c>
      <c r="E422" s="7">
        <v>16.440000000000001</v>
      </c>
      <c r="F422" s="7">
        <v>9.5</v>
      </c>
      <c r="G422" s="7">
        <v>9</v>
      </c>
      <c r="H422" s="7">
        <v>0.340000000000032</v>
      </c>
      <c r="I422" s="7">
        <v>-28.34</v>
      </c>
      <c r="J422" s="7">
        <v>-80.75</v>
      </c>
      <c r="K422" s="7">
        <v>165.5</v>
      </c>
      <c r="L422" s="7">
        <v>-8.44</v>
      </c>
      <c r="M422" s="7">
        <v>-36.950000000000003</v>
      </c>
      <c r="N422" s="7">
        <v>58.47</v>
      </c>
      <c r="O422" s="7">
        <v>64.88</v>
      </c>
      <c r="P422" s="7">
        <v>28.75</v>
      </c>
      <c r="Q422" s="7">
        <v>46.05</v>
      </c>
      <c r="R422" s="7">
        <v>53.73</v>
      </c>
      <c r="S422" s="7">
        <v>46.33</v>
      </c>
      <c r="T422" s="7">
        <v>1.30000000000001</v>
      </c>
      <c r="U422" s="7">
        <v>-117.8</v>
      </c>
      <c r="V422" s="7">
        <v>-22.3</v>
      </c>
      <c r="W422" s="7">
        <v>-104</v>
      </c>
      <c r="X422" s="7">
        <v>-99.77</v>
      </c>
      <c r="Y422" s="7">
        <v>5.6700000000000204</v>
      </c>
      <c r="Z422" s="9">
        <f>MAX($B$422:$Y$422)</f>
        <v>165.5</v>
      </c>
      <c r="AA422" s="9">
        <f>MIN($B$422:$Y$422)</f>
        <v>-117.8</v>
      </c>
      <c r="AB422" s="9">
        <f>AVERAGE($B$422:$Y$422)</f>
        <v>0.179166666666664</v>
      </c>
    </row>
    <row r="423" spans="1:28">
      <c r="A423" s="10">
        <v>45713</v>
      </c>
      <c r="B423" s="7">
        <v>-78.069999999999993</v>
      </c>
      <c r="C423" s="7">
        <v>-5.9899999999999496</v>
      </c>
      <c r="D423" s="7">
        <v>7.73000000000002</v>
      </c>
      <c r="E423" s="7">
        <v>-25.65</v>
      </c>
      <c r="F423" s="7">
        <v>-22.64</v>
      </c>
      <c r="G423" s="7">
        <v>-25.77</v>
      </c>
      <c r="H423" s="7">
        <v>-20.55</v>
      </c>
      <c r="I423" s="7">
        <v>-80.8</v>
      </c>
      <c r="J423" s="7">
        <v>17.829999999999998</v>
      </c>
      <c r="K423" s="7">
        <v>-70.050000000000097</v>
      </c>
      <c r="L423" s="7">
        <v>-31.5</v>
      </c>
      <c r="M423" s="7">
        <v>-120.49</v>
      </c>
      <c r="N423" s="7">
        <v>-21.31</v>
      </c>
      <c r="O423" s="7">
        <v>-81.599999999999994</v>
      </c>
      <c r="P423" s="7">
        <v>-63.15</v>
      </c>
      <c r="Q423" s="7">
        <v>-21.44</v>
      </c>
      <c r="R423" s="7">
        <v>-250.19</v>
      </c>
      <c r="S423" s="7">
        <v>-143.54</v>
      </c>
      <c r="T423" s="7">
        <v>-110.4</v>
      </c>
      <c r="U423" s="7">
        <v>-88.420000000000101</v>
      </c>
      <c r="V423" s="7">
        <v>-112.78</v>
      </c>
      <c r="W423" s="7">
        <v>-119.42</v>
      </c>
      <c r="X423" s="7">
        <v>-237.04</v>
      </c>
      <c r="Y423" s="7">
        <v>-56.52</v>
      </c>
      <c r="Z423" s="9">
        <f>MAX($B$423:$Y$423)</f>
        <v>17.829999999999998</v>
      </c>
      <c r="AA423" s="9">
        <f>MIN($B$423:$Y$423)</f>
        <v>-250.19</v>
      </c>
      <c r="AB423" s="9">
        <f>AVERAGE($B$423:$Y$423)</f>
        <v>-73.406666666666695</v>
      </c>
    </row>
    <row r="424" spans="1:28">
      <c r="A424" s="10">
        <v>45714</v>
      </c>
      <c r="B424" s="7">
        <v>-120.32</v>
      </c>
      <c r="C424" s="7">
        <v>-188.18</v>
      </c>
      <c r="D424" s="7">
        <v>-148.16</v>
      </c>
      <c r="E424" s="7">
        <v>-58.86</v>
      </c>
      <c r="F424" s="7">
        <v>-12.52</v>
      </c>
      <c r="G424" s="7">
        <v>-5.13</v>
      </c>
      <c r="H424" s="7">
        <v>-43.21</v>
      </c>
      <c r="I424" s="7">
        <v>-53.83</v>
      </c>
      <c r="J424" s="7">
        <v>-167.93</v>
      </c>
      <c r="K424" s="7">
        <v>-21.39</v>
      </c>
      <c r="L424" s="7">
        <v>-99.56</v>
      </c>
      <c r="M424" s="7">
        <v>-122.25</v>
      </c>
      <c r="N424" s="7">
        <v>-15.71</v>
      </c>
      <c r="O424" s="7">
        <v>-107.81</v>
      </c>
      <c r="P424" s="7">
        <v>-99.81</v>
      </c>
      <c r="Q424" s="7">
        <v>-21.96</v>
      </c>
      <c r="R424" s="7">
        <v>-82.04</v>
      </c>
      <c r="S424" s="7">
        <v>-153.33000000000001</v>
      </c>
      <c r="T424" s="7">
        <v>-112.54</v>
      </c>
      <c r="U424" s="7">
        <v>-133.55000000000001</v>
      </c>
      <c r="V424" s="7">
        <v>-141.06</v>
      </c>
      <c r="W424" s="7">
        <v>-124</v>
      </c>
      <c r="X424" s="7">
        <v>-146.83000000000001</v>
      </c>
      <c r="Y424" s="7">
        <v>-6.26999999999998</v>
      </c>
      <c r="Z424" s="9">
        <f>MAX($B$424:$Y$424)</f>
        <v>-5.13</v>
      </c>
      <c r="AA424" s="9">
        <f>MIN($B$424:$Y$424)</f>
        <v>-188.18</v>
      </c>
      <c r="AB424" s="9">
        <f>AVERAGE($B$424:$Y$424)</f>
        <v>-91.09375</v>
      </c>
    </row>
    <row r="425" spans="1:28">
      <c r="A425" s="10">
        <v>45715</v>
      </c>
      <c r="B425" s="7">
        <v>54.77</v>
      </c>
      <c r="C425" s="7">
        <v>132.62</v>
      </c>
      <c r="D425" s="7">
        <v>57.3</v>
      </c>
      <c r="E425" s="7">
        <v>21.869999999999902</v>
      </c>
      <c r="F425" s="7">
        <v>11.18</v>
      </c>
      <c r="G425" s="7">
        <v>21.94</v>
      </c>
      <c r="H425" s="7">
        <v>83.93</v>
      </c>
      <c r="I425" s="7">
        <v>93.47</v>
      </c>
      <c r="J425" s="7">
        <v>-40.209999999999901</v>
      </c>
      <c r="K425" s="7">
        <v>120.02</v>
      </c>
      <c r="L425" s="7">
        <v>198.8</v>
      </c>
      <c r="M425" s="7">
        <v>221.72</v>
      </c>
      <c r="N425" s="7">
        <v>103.45</v>
      </c>
      <c r="O425" s="7">
        <v>60.63</v>
      </c>
      <c r="P425" s="7">
        <v>54.65</v>
      </c>
      <c r="Q425" s="7">
        <v>102.96</v>
      </c>
      <c r="R425" s="7">
        <v>209.35</v>
      </c>
      <c r="S425" s="7">
        <v>204.21</v>
      </c>
      <c r="T425" s="7">
        <v>149.99</v>
      </c>
      <c r="U425" s="7">
        <v>142.97999999999999</v>
      </c>
      <c r="V425" s="7">
        <v>155.37</v>
      </c>
      <c r="W425" s="7">
        <v>156.38</v>
      </c>
      <c r="X425" s="7">
        <v>184.94</v>
      </c>
      <c r="Y425" s="7">
        <v>56.3200000000001</v>
      </c>
      <c r="Z425" s="9">
        <f>MAX($B$425:$Y$425)</f>
        <v>221.72</v>
      </c>
      <c r="AA425" s="9">
        <f>MIN($B$425:$Y$425)</f>
        <v>-40.209999999999901</v>
      </c>
      <c r="AB425" s="9">
        <f>AVERAGE($B$425:$Y$425)</f>
        <v>106.61</v>
      </c>
    </row>
    <row r="426" spans="1:28">
      <c r="A426" s="10">
        <v>45716</v>
      </c>
      <c r="B426" s="7">
        <v>21.57</v>
      </c>
      <c r="C426" s="7">
        <v>19.73</v>
      </c>
      <c r="D426" s="7">
        <v>10.58</v>
      </c>
      <c r="E426" s="7">
        <v>5.88</v>
      </c>
      <c r="F426" s="7">
        <v>3.45999999999998</v>
      </c>
      <c r="G426" s="7">
        <v>4.9799999999999596</v>
      </c>
      <c r="H426" s="7">
        <v>12.08</v>
      </c>
      <c r="I426" s="7">
        <v>12.31</v>
      </c>
      <c r="J426" s="7">
        <v>80.53</v>
      </c>
      <c r="K426" s="7">
        <v>163.98</v>
      </c>
      <c r="L426" s="7">
        <v>135.78</v>
      </c>
      <c r="M426" s="7">
        <v>95.56</v>
      </c>
      <c r="N426" s="7">
        <v>142.41</v>
      </c>
      <c r="O426" s="7">
        <v>55.58</v>
      </c>
      <c r="P426" s="7">
        <v>112.57</v>
      </c>
      <c r="Q426" s="7">
        <v>166.58</v>
      </c>
      <c r="R426" s="7">
        <v>61.84</v>
      </c>
      <c r="S426" s="7">
        <v>59.13</v>
      </c>
      <c r="T426" s="7">
        <v>37.630000000000003</v>
      </c>
      <c r="U426" s="7">
        <v>42.85</v>
      </c>
      <c r="V426" s="7">
        <v>67.27</v>
      </c>
      <c r="W426" s="7">
        <v>42.86</v>
      </c>
      <c r="X426" s="7">
        <v>11.82</v>
      </c>
      <c r="Y426" s="7">
        <v>-0.89999999999997704</v>
      </c>
      <c r="Z426" s="9">
        <f>MAX($B$426:$Y$426)</f>
        <v>166.58</v>
      </c>
      <c r="AA426" s="9">
        <f>MIN($B$426:$Y$426)</f>
        <v>-0.89999999999997704</v>
      </c>
      <c r="AB426" s="9">
        <f>AVERAGE($B$426:$Y$426)</f>
        <v>56.92</v>
      </c>
    </row>
    <row r="427" spans="1:28">
      <c r="A427" s="10">
        <v>45717</v>
      </c>
      <c r="B427" s="7">
        <v>-27.21</v>
      </c>
      <c r="C427" s="7">
        <v>-12.32</v>
      </c>
      <c r="D427" s="7">
        <v>-12.54</v>
      </c>
      <c r="E427" s="7">
        <v>-11.2</v>
      </c>
      <c r="F427" s="7">
        <v>-12.15</v>
      </c>
      <c r="G427" s="7">
        <v>-9.6700000000000195</v>
      </c>
      <c r="H427" s="7">
        <v>-6.38</v>
      </c>
      <c r="I427" s="7">
        <v>-16.72</v>
      </c>
      <c r="J427" s="7">
        <v>-12.57</v>
      </c>
      <c r="K427" s="7">
        <v>17.16</v>
      </c>
      <c r="L427" s="7">
        <v>19.39</v>
      </c>
      <c r="M427" s="7">
        <v>18.27</v>
      </c>
      <c r="N427" s="7">
        <v>4.4200000000000204</v>
      </c>
      <c r="O427" s="7">
        <v>2.75</v>
      </c>
      <c r="P427" s="7">
        <v>54.01</v>
      </c>
      <c r="Q427" s="7">
        <v>151.66999999999999</v>
      </c>
      <c r="R427" s="7">
        <v>150.43</v>
      </c>
      <c r="S427" s="7">
        <v>14.36</v>
      </c>
      <c r="T427" s="7">
        <v>9.2899999999999601</v>
      </c>
      <c r="U427" s="7">
        <v>-263.68</v>
      </c>
      <c r="V427" s="7">
        <v>-99.81</v>
      </c>
      <c r="W427" s="7">
        <v>-76.2</v>
      </c>
      <c r="X427" s="7">
        <v>-1.6099999999999599</v>
      </c>
      <c r="Y427" s="7">
        <v>28.42</v>
      </c>
      <c r="Z427" s="9">
        <f>MAX($B$427:$Y$427)</f>
        <v>151.66999999999999</v>
      </c>
      <c r="AA427" s="9">
        <f>MIN($B$427:$Y$427)</f>
        <v>-263.68</v>
      </c>
      <c r="AB427" s="9">
        <f>AVERAGE($B$427:$Y$427)</f>
        <v>-3.8287499999999999</v>
      </c>
    </row>
    <row r="428" spans="1:28">
      <c r="A428" s="10">
        <v>45718</v>
      </c>
      <c r="B428" s="7">
        <v>-6.9099999999999699</v>
      </c>
      <c r="C428" s="7">
        <v>5.1100000000000101</v>
      </c>
      <c r="D428" s="7">
        <v>4.23000000000002</v>
      </c>
      <c r="E428" s="7">
        <v>-4.9999999999954498E-2</v>
      </c>
      <c r="F428" s="7">
        <v>89.89</v>
      </c>
      <c r="G428" s="7">
        <v>19.3</v>
      </c>
      <c r="H428" s="7">
        <v>12.01</v>
      </c>
      <c r="I428" s="7">
        <v>5.6100000000000101</v>
      </c>
      <c r="J428" s="7">
        <v>5.2099999999999804</v>
      </c>
      <c r="K428" s="7">
        <v>26.35</v>
      </c>
      <c r="L428" s="7">
        <v>16.399999999999999</v>
      </c>
      <c r="M428" s="7">
        <v>25.43</v>
      </c>
      <c r="N428" s="7">
        <v>104.93</v>
      </c>
      <c r="O428" s="7">
        <v>-5.4699999999999704</v>
      </c>
      <c r="P428" s="7">
        <v>234.23</v>
      </c>
      <c r="Q428" s="7">
        <v>82.06</v>
      </c>
      <c r="R428" s="7">
        <v>12.47</v>
      </c>
      <c r="S428" s="7">
        <v>21.15</v>
      </c>
      <c r="T428" s="7">
        <v>-11.05</v>
      </c>
      <c r="U428" s="7">
        <v>-49.12</v>
      </c>
      <c r="V428" s="7">
        <v>-72.27</v>
      </c>
      <c r="W428" s="7">
        <v>-46.38</v>
      </c>
      <c r="X428" s="7">
        <v>-15.14</v>
      </c>
      <c r="Y428" s="7">
        <v>4.4799999999999596</v>
      </c>
      <c r="Z428" s="9">
        <f>MAX($B$428:$Y$428)</f>
        <v>234.23</v>
      </c>
      <c r="AA428" s="9">
        <f>MIN($B$428:$Y$428)</f>
        <v>-72.27</v>
      </c>
      <c r="AB428" s="9">
        <f>AVERAGE($B$428:$Y$428)</f>
        <v>19.269583333333301</v>
      </c>
    </row>
    <row r="429" spans="1:28">
      <c r="A429" s="10">
        <v>45719</v>
      </c>
      <c r="B429" s="7">
        <v>27.35</v>
      </c>
      <c r="C429" s="7">
        <v>2.55000000000001</v>
      </c>
      <c r="D429" s="7">
        <v>-2.87</v>
      </c>
      <c r="E429" s="7">
        <v>0.5</v>
      </c>
      <c r="F429" s="7">
        <v>-1.51999999999998</v>
      </c>
      <c r="G429" s="7">
        <v>-8.1499999999999808</v>
      </c>
      <c r="H429" s="7">
        <v>-24.4</v>
      </c>
      <c r="I429" s="7">
        <v>-25.57</v>
      </c>
      <c r="J429" s="7">
        <v>-218.59</v>
      </c>
      <c r="K429" s="7">
        <v>-47.63</v>
      </c>
      <c r="L429" s="7">
        <v>-45.63</v>
      </c>
      <c r="M429" s="7">
        <v>-7.92999999999995</v>
      </c>
      <c r="N429" s="7">
        <v>-15.1</v>
      </c>
      <c r="O429" s="7">
        <v>-35.43</v>
      </c>
      <c r="P429" s="7">
        <v>-53.66</v>
      </c>
      <c r="Q429" s="7">
        <v>-115.37</v>
      </c>
      <c r="R429" s="7">
        <v>-155.85</v>
      </c>
      <c r="S429" s="7">
        <v>-187.42</v>
      </c>
      <c r="T429" s="7">
        <v>-133.41999999999999</v>
      </c>
      <c r="U429" s="7">
        <v>-213.14</v>
      </c>
      <c r="V429" s="7">
        <v>-240.37</v>
      </c>
      <c r="W429" s="7">
        <v>-106.51</v>
      </c>
      <c r="X429" s="7">
        <v>-23.12</v>
      </c>
      <c r="Y429" s="7">
        <v>-3.69999999999999</v>
      </c>
      <c r="Z429" s="9">
        <f>MAX($B$429:$Y$429)</f>
        <v>27.35</v>
      </c>
      <c r="AA429" s="9">
        <f>MIN($B$429:$Y$429)</f>
        <v>-240.37</v>
      </c>
      <c r="AB429" s="9">
        <f>AVERAGE($B$429:$Y$429)</f>
        <v>-68.124166666666696</v>
      </c>
    </row>
    <row r="430" spans="1:28">
      <c r="A430" s="10">
        <v>45720</v>
      </c>
      <c r="B430" s="7">
        <v>-159.79</v>
      </c>
      <c r="C430" s="7">
        <v>-78.38</v>
      </c>
      <c r="D430" s="7">
        <v>-19.829999999999998</v>
      </c>
      <c r="E430" s="7">
        <v>-20</v>
      </c>
      <c r="F430" s="7">
        <v>-16.68</v>
      </c>
      <c r="G430" s="7">
        <v>-17.489999999999998</v>
      </c>
      <c r="H430" s="7">
        <v>-59.56</v>
      </c>
      <c r="I430" s="7">
        <v>-75.73</v>
      </c>
      <c r="J430" s="7">
        <v>-203.32</v>
      </c>
      <c r="K430" s="7">
        <v>-231.33</v>
      </c>
      <c r="L430" s="7">
        <v>-393.25</v>
      </c>
      <c r="M430" s="7">
        <v>-462.87</v>
      </c>
      <c r="N430" s="7">
        <v>-156.63999999999999</v>
      </c>
      <c r="O430" s="7">
        <v>-329.4</v>
      </c>
      <c r="P430" s="7">
        <v>-189.79</v>
      </c>
      <c r="Q430" s="7">
        <v>-172.38</v>
      </c>
      <c r="R430" s="7">
        <v>-143.57</v>
      </c>
      <c r="S430" s="7">
        <v>-97.61</v>
      </c>
      <c r="T430" s="7">
        <v>-104.98</v>
      </c>
      <c r="U430" s="7">
        <v>-92.85</v>
      </c>
      <c r="V430" s="7">
        <v>-105.65</v>
      </c>
      <c r="W430" s="7">
        <v>-109.34</v>
      </c>
      <c r="X430" s="7">
        <v>-102.23</v>
      </c>
      <c r="Y430" s="7">
        <v>-12.65</v>
      </c>
      <c r="Z430" s="9">
        <f>MAX($B$430:$Y$430)</f>
        <v>-12.65</v>
      </c>
      <c r="AA430" s="9">
        <f>MIN($B$430:$Y$430)</f>
        <v>-462.87</v>
      </c>
      <c r="AB430" s="9">
        <f>AVERAGE($B$430:$Y$430)</f>
        <v>-139.80500000000001</v>
      </c>
    </row>
    <row r="431" spans="1:28">
      <c r="A431" s="10">
        <v>45721</v>
      </c>
      <c r="B431" s="7">
        <v>-66.75</v>
      </c>
      <c r="C431" s="7">
        <v>-20.85</v>
      </c>
      <c r="D431" s="7">
        <v>-15.16</v>
      </c>
      <c r="E431" s="7">
        <v>-6.8400000000000301</v>
      </c>
      <c r="F431" s="7">
        <v>-2.48000000000002</v>
      </c>
      <c r="G431" s="7">
        <v>4.6800000000000104</v>
      </c>
      <c r="H431" s="7">
        <v>-0.59000000000003205</v>
      </c>
      <c r="I431" s="7">
        <v>-7.8000000000000096</v>
      </c>
      <c r="J431" s="7">
        <v>-118.54</v>
      </c>
      <c r="K431" s="7">
        <v>0.650000000000034</v>
      </c>
      <c r="L431" s="7">
        <v>25.99</v>
      </c>
      <c r="M431" s="7">
        <v>-80.819999999999993</v>
      </c>
      <c r="N431" s="7">
        <v>-41.84</v>
      </c>
      <c r="O431" s="7">
        <v>-114.66</v>
      </c>
      <c r="P431" s="7">
        <v>-42.58</v>
      </c>
      <c r="Q431" s="7">
        <v>-28.38</v>
      </c>
      <c r="R431" s="7">
        <v>-44.07</v>
      </c>
      <c r="S431" s="7">
        <v>-22.7</v>
      </c>
      <c r="T431" s="7">
        <v>3.79000000000002</v>
      </c>
      <c r="U431" s="7">
        <v>20.73</v>
      </c>
      <c r="V431" s="7">
        <v>30.28</v>
      </c>
      <c r="W431" s="7">
        <v>16.25</v>
      </c>
      <c r="X431" s="7">
        <v>-6.6800000000000104</v>
      </c>
      <c r="Y431" s="7">
        <v>-0.19999999999998899</v>
      </c>
      <c r="Z431" s="9">
        <f>MAX($B$431:$Y$431)</f>
        <v>30.28</v>
      </c>
      <c r="AA431" s="9">
        <f>MIN($B$431:$Y$431)</f>
        <v>-118.54</v>
      </c>
      <c r="AB431" s="9">
        <f>AVERAGE($B$431:$Y$431)</f>
        <v>-21.6070833333333</v>
      </c>
    </row>
    <row r="432" spans="1:28">
      <c r="A432" s="10">
        <v>45722</v>
      </c>
      <c r="B432" s="7">
        <v>-160.01</v>
      </c>
      <c r="C432" s="7">
        <v>33.96</v>
      </c>
      <c r="D432" s="7">
        <v>50.72</v>
      </c>
      <c r="E432" s="7">
        <v>60.4</v>
      </c>
      <c r="F432" s="7">
        <v>55.27</v>
      </c>
      <c r="G432" s="7">
        <v>43.64</v>
      </c>
      <c r="H432" s="7">
        <v>15.96</v>
      </c>
      <c r="I432" s="7">
        <v>-0.74000000000000898</v>
      </c>
      <c r="J432" s="7">
        <v>-56.65</v>
      </c>
      <c r="K432" s="7">
        <v>46.12</v>
      </c>
      <c r="L432" s="7">
        <v>17.09</v>
      </c>
      <c r="M432" s="7">
        <v>16.11</v>
      </c>
      <c r="N432" s="7">
        <v>0.87999999999999501</v>
      </c>
      <c r="O432" s="7">
        <v>-40.6</v>
      </c>
      <c r="P432" s="7">
        <v>6.75999999999999</v>
      </c>
      <c r="Q432" s="7">
        <v>-13.31</v>
      </c>
      <c r="R432" s="7">
        <v>-94.86</v>
      </c>
      <c r="S432" s="7">
        <v>-110.42</v>
      </c>
      <c r="T432" s="7">
        <v>-86.9</v>
      </c>
      <c r="U432" s="7">
        <v>-114.71</v>
      </c>
      <c r="V432" s="7">
        <v>-222.87</v>
      </c>
      <c r="W432" s="7">
        <v>-147.31</v>
      </c>
      <c r="X432" s="7">
        <v>-103.51</v>
      </c>
      <c r="Y432" s="7">
        <v>24.94</v>
      </c>
      <c r="Z432" s="9">
        <f>MAX($B$432:$Y$432)</f>
        <v>60.4</v>
      </c>
      <c r="AA432" s="9">
        <f>MIN($B$432:$Y$432)</f>
        <v>-222.87</v>
      </c>
      <c r="AB432" s="9">
        <f>AVERAGE($B$432:$Y$432)</f>
        <v>-32.501666666666701</v>
      </c>
    </row>
    <row r="433" spans="1:28">
      <c r="A433" s="10">
        <v>45723</v>
      </c>
      <c r="B433" s="7">
        <v>-6.1700000000000204</v>
      </c>
      <c r="C433" s="7">
        <v>43.65</v>
      </c>
      <c r="D433" s="7">
        <v>-2.81</v>
      </c>
      <c r="E433" s="7">
        <v>2.3999999999999799</v>
      </c>
      <c r="F433" s="7">
        <v>24.64</v>
      </c>
      <c r="G433" s="7">
        <v>22.59</v>
      </c>
      <c r="H433" s="7">
        <v>-11.93</v>
      </c>
      <c r="I433" s="7">
        <v>-44.13</v>
      </c>
      <c r="J433" s="7">
        <v>-18.87</v>
      </c>
      <c r="K433" s="7">
        <v>-123.7</v>
      </c>
      <c r="L433" s="7">
        <v>-101.88</v>
      </c>
      <c r="M433" s="7">
        <v>-209.23</v>
      </c>
      <c r="N433" s="7">
        <v>-61.21</v>
      </c>
      <c r="O433" s="7">
        <v>-167.34</v>
      </c>
      <c r="P433" s="7">
        <v>-113.45</v>
      </c>
      <c r="Q433" s="7">
        <v>-91.33</v>
      </c>
      <c r="R433" s="7">
        <v>-148.13999999999999</v>
      </c>
      <c r="S433" s="7">
        <v>-154.71</v>
      </c>
      <c r="T433" s="7">
        <v>-152.76</v>
      </c>
      <c r="U433" s="7">
        <v>-229.96</v>
      </c>
      <c r="V433" s="7">
        <v>-114.37</v>
      </c>
      <c r="W433" s="7">
        <v>-144.96</v>
      </c>
      <c r="X433" s="7">
        <v>-57.07</v>
      </c>
      <c r="Y433" s="7">
        <v>-65.94</v>
      </c>
      <c r="Z433" s="9">
        <f>MAX($B$433:$Y$433)</f>
        <v>43.65</v>
      </c>
      <c r="AA433" s="9">
        <f>MIN($B$433:$Y$433)</f>
        <v>-229.96</v>
      </c>
      <c r="AB433" s="9">
        <f>AVERAGE($B$433:$Y$433)</f>
        <v>-80.278333333333293</v>
      </c>
    </row>
    <row r="434" spans="1:28">
      <c r="A434" s="10">
        <v>45724</v>
      </c>
      <c r="B434" s="7">
        <v>-95.94</v>
      </c>
      <c r="C434" s="7">
        <v>-120.78</v>
      </c>
      <c r="D434" s="7">
        <v>-68.48</v>
      </c>
      <c r="E434" s="7">
        <v>-31.87</v>
      </c>
      <c r="F434" s="7">
        <v>-34.68</v>
      </c>
      <c r="G434" s="7">
        <v>-33.19</v>
      </c>
      <c r="H434" s="7">
        <v>-21.59</v>
      </c>
      <c r="I434" s="7">
        <v>-128.26</v>
      </c>
      <c r="J434" s="7">
        <v>-115.75</v>
      </c>
      <c r="K434" s="7">
        <v>-116.94</v>
      </c>
      <c r="L434" s="7">
        <v>-7.8999999999999799</v>
      </c>
      <c r="M434" s="7">
        <v>39.630000000000003</v>
      </c>
      <c r="N434" s="7">
        <v>16.41</v>
      </c>
      <c r="O434" s="7">
        <v>-0.97000000000002695</v>
      </c>
      <c r="P434" s="7">
        <v>44.89</v>
      </c>
      <c r="Q434" s="7">
        <v>66</v>
      </c>
      <c r="R434" s="7">
        <v>87.19</v>
      </c>
      <c r="S434" s="7">
        <v>88.23</v>
      </c>
      <c r="T434" s="7">
        <v>64.53</v>
      </c>
      <c r="U434" s="7">
        <v>62.86</v>
      </c>
      <c r="V434" s="7">
        <v>48.88</v>
      </c>
      <c r="W434" s="7">
        <v>24.18</v>
      </c>
      <c r="X434" s="7">
        <v>-7.44</v>
      </c>
      <c r="Y434" s="7">
        <v>-24.86</v>
      </c>
      <c r="Z434" s="9">
        <f>MAX($B$434:$Y$434)</f>
        <v>88.23</v>
      </c>
      <c r="AA434" s="9">
        <f>MIN($B$434:$Y$434)</f>
        <v>-128.26</v>
      </c>
      <c r="AB434" s="9">
        <f>AVERAGE($B$434:$Y$434)</f>
        <v>-11.077083333333301</v>
      </c>
    </row>
    <row r="435" spans="1:28">
      <c r="A435" s="10">
        <v>45725</v>
      </c>
      <c r="B435" s="7">
        <v>-80.36</v>
      </c>
      <c r="C435" s="7">
        <v>-13.6300000000001</v>
      </c>
      <c r="D435" s="7">
        <v>-21.08</v>
      </c>
      <c r="E435" s="7">
        <v>-10.69</v>
      </c>
      <c r="F435" s="7">
        <v>-4.5200000000000404</v>
      </c>
      <c r="G435" s="7">
        <v>-8.7800000000000296</v>
      </c>
      <c r="H435" s="7">
        <v>-1.0499999999999501</v>
      </c>
      <c r="I435" s="7">
        <v>74.83</v>
      </c>
      <c r="J435" s="7">
        <v>107.32</v>
      </c>
      <c r="K435" s="7">
        <v>112.63</v>
      </c>
      <c r="L435" s="7">
        <v>96.88</v>
      </c>
      <c r="M435" s="7">
        <v>200.7</v>
      </c>
      <c r="N435" s="7">
        <v>247.57</v>
      </c>
      <c r="O435" s="7">
        <v>255.1</v>
      </c>
      <c r="P435" s="7">
        <v>237.47</v>
      </c>
      <c r="Q435" s="7">
        <v>197.23</v>
      </c>
      <c r="R435" s="7">
        <v>14.84</v>
      </c>
      <c r="S435" s="7">
        <v>-4.6800000000000104</v>
      </c>
      <c r="T435" s="7">
        <v>-26.47</v>
      </c>
      <c r="U435" s="7">
        <v>-145.12</v>
      </c>
      <c r="V435" s="7">
        <v>-96.619999999999905</v>
      </c>
      <c r="W435" s="7">
        <v>-101.07</v>
      </c>
      <c r="X435" s="7">
        <v>-76.56</v>
      </c>
      <c r="Y435" s="7">
        <v>7.8299999999999796</v>
      </c>
      <c r="Z435" s="9">
        <f>MAX($B$435:$Y$435)</f>
        <v>255.1</v>
      </c>
      <c r="AA435" s="9">
        <f>MIN($B$435:$Y$435)</f>
        <v>-145.12</v>
      </c>
      <c r="AB435" s="9">
        <f>AVERAGE($B$435:$Y$435)</f>
        <v>40.073749999999997</v>
      </c>
    </row>
    <row r="436" spans="1:28">
      <c r="A436" s="10">
        <v>45726</v>
      </c>
      <c r="B436" s="7">
        <v>7.44</v>
      </c>
      <c r="C436" s="7">
        <v>18.14</v>
      </c>
      <c r="D436" s="7">
        <v>26.06</v>
      </c>
      <c r="E436" s="7">
        <v>8.9799999999999596</v>
      </c>
      <c r="F436" s="7">
        <v>-8.7999999999999492</v>
      </c>
      <c r="G436" s="7">
        <v>-4.1100000000000101</v>
      </c>
      <c r="H436" s="7">
        <v>-15.54</v>
      </c>
      <c r="I436" s="7">
        <v>-36.130000000000102</v>
      </c>
      <c r="J436" s="7">
        <v>-66.39</v>
      </c>
      <c r="K436" s="7">
        <v>87.48</v>
      </c>
      <c r="L436" s="7">
        <v>146.74</v>
      </c>
      <c r="M436" s="7">
        <v>138.07</v>
      </c>
      <c r="N436" s="7">
        <v>239.53</v>
      </c>
      <c r="O436" s="7">
        <v>166.04</v>
      </c>
      <c r="P436" s="7">
        <v>124.65</v>
      </c>
      <c r="Q436" s="7">
        <v>79.78</v>
      </c>
      <c r="R436" s="7">
        <v>109.28</v>
      </c>
      <c r="S436" s="7">
        <v>111.24</v>
      </c>
      <c r="T436" s="7">
        <v>89.68</v>
      </c>
      <c r="U436" s="7">
        <v>103.55</v>
      </c>
      <c r="V436" s="7">
        <v>83.71</v>
      </c>
      <c r="W436" s="7">
        <v>69.849999999999994</v>
      </c>
      <c r="X436" s="7">
        <v>55.8</v>
      </c>
      <c r="Y436" s="7">
        <v>36.01</v>
      </c>
      <c r="Z436" s="9">
        <f>MAX($B$436:$Y$436)</f>
        <v>239.53</v>
      </c>
      <c r="AA436" s="9">
        <f>MIN($B$436:$Y$436)</f>
        <v>-66.39</v>
      </c>
      <c r="AB436" s="9">
        <f>AVERAGE($B$436:$Y$436)</f>
        <v>65.460833333333298</v>
      </c>
    </row>
    <row r="437" spans="1:28">
      <c r="A437" s="10">
        <v>45727</v>
      </c>
      <c r="B437" s="7">
        <v>-24.89</v>
      </c>
      <c r="C437" s="7">
        <v>32.630000000000003</v>
      </c>
      <c r="D437" s="7">
        <v>32.65</v>
      </c>
      <c r="E437" s="7">
        <v>29.21</v>
      </c>
      <c r="F437" s="7">
        <v>31.56</v>
      </c>
      <c r="G437" s="7">
        <v>21.46</v>
      </c>
      <c r="H437" s="7">
        <v>8.6600000000000197</v>
      </c>
      <c r="I437" s="7">
        <v>7.76999999999998</v>
      </c>
      <c r="J437" s="7">
        <v>-3.69999999999999</v>
      </c>
      <c r="K437" s="7">
        <v>70.3</v>
      </c>
      <c r="L437" s="7">
        <v>130.6</v>
      </c>
      <c r="M437" s="7">
        <v>84.49</v>
      </c>
      <c r="N437" s="7">
        <v>173.04</v>
      </c>
      <c r="O437" s="7">
        <v>18.8200000000001</v>
      </c>
      <c r="P437" s="7">
        <v>-8.9900000000000109</v>
      </c>
      <c r="Q437" s="7">
        <v>4</v>
      </c>
      <c r="R437" s="7">
        <v>-17.190000000000001</v>
      </c>
      <c r="S437" s="7">
        <v>-3.8899999999999899</v>
      </c>
      <c r="T437" s="7">
        <v>-2.1400000000000401</v>
      </c>
      <c r="U437" s="7">
        <v>-43.48</v>
      </c>
      <c r="V437" s="7">
        <v>-23.65</v>
      </c>
      <c r="W437" s="7">
        <v>13.2</v>
      </c>
      <c r="X437" s="7">
        <v>25.72</v>
      </c>
      <c r="Y437" s="7">
        <v>14.92</v>
      </c>
      <c r="Z437" s="9">
        <f>MAX($B$437:$Y$437)</f>
        <v>173.04</v>
      </c>
      <c r="AA437" s="9">
        <f>MIN($B$437:$Y$437)</f>
        <v>-43.48</v>
      </c>
      <c r="AB437" s="9">
        <f>AVERAGE($B$437:$Y$437)</f>
        <v>23.795833333333299</v>
      </c>
    </row>
    <row r="438" spans="1:28">
      <c r="A438" s="10">
        <v>45728</v>
      </c>
      <c r="B438" s="7">
        <v>18.130000000000098</v>
      </c>
      <c r="C438" s="7">
        <v>40.090000000000003</v>
      </c>
      <c r="D438" s="7">
        <v>31.41</v>
      </c>
      <c r="E438" s="7">
        <v>23.62</v>
      </c>
      <c r="F438" s="7">
        <v>28.55</v>
      </c>
      <c r="G438" s="7">
        <v>7.3000000000000096</v>
      </c>
      <c r="H438" s="7">
        <v>-0.310000000000002</v>
      </c>
      <c r="I438" s="7">
        <v>12.51</v>
      </c>
      <c r="J438" s="7">
        <v>47.96</v>
      </c>
      <c r="K438" s="7">
        <v>88.38</v>
      </c>
      <c r="L438" s="7">
        <v>53.01</v>
      </c>
      <c r="M438" s="7">
        <v>26.08</v>
      </c>
      <c r="N438" s="7">
        <v>68.31</v>
      </c>
      <c r="O438" s="7">
        <v>-9.5500000000000096</v>
      </c>
      <c r="P438" s="7">
        <v>19.63</v>
      </c>
      <c r="Q438" s="7">
        <v>5.38</v>
      </c>
      <c r="R438" s="7">
        <v>-27.66</v>
      </c>
      <c r="S438" s="7">
        <v>-132.66</v>
      </c>
      <c r="T438" s="7">
        <v>-41.02</v>
      </c>
      <c r="U438" s="7">
        <v>-39.659999999999997</v>
      </c>
      <c r="V438" s="7">
        <v>10.35</v>
      </c>
      <c r="W438" s="7">
        <v>32.44</v>
      </c>
      <c r="X438" s="7">
        <v>3.06</v>
      </c>
      <c r="Y438" s="7">
        <v>-1.05000000000001</v>
      </c>
      <c r="Z438" s="9">
        <f>MAX($B$438:$Y$438)</f>
        <v>88.38</v>
      </c>
      <c r="AA438" s="9">
        <f>MIN($B$438:$Y$438)</f>
        <v>-132.66</v>
      </c>
      <c r="AB438" s="9">
        <f>AVERAGE($B$438:$Y$438)</f>
        <v>11.012499999999999</v>
      </c>
    </row>
    <row r="439" spans="1:28">
      <c r="A439" s="10">
        <v>45729</v>
      </c>
      <c r="B439" s="7">
        <v>-81.650000000000006</v>
      </c>
      <c r="C439" s="7">
        <v>-81.96</v>
      </c>
      <c r="D439" s="7">
        <v>-2.9100000000000201</v>
      </c>
      <c r="E439" s="7">
        <v>-3.3600000000000101</v>
      </c>
      <c r="F439" s="7">
        <v>0.30000000000001098</v>
      </c>
      <c r="G439" s="7">
        <v>3.20999999999998</v>
      </c>
      <c r="H439" s="7">
        <v>-50.93</v>
      </c>
      <c r="I439" s="7">
        <v>-63.58</v>
      </c>
      <c r="J439" s="7">
        <v>5.2800000000000296</v>
      </c>
      <c r="K439" s="7">
        <v>27.98</v>
      </c>
      <c r="L439" s="7">
        <v>16.02</v>
      </c>
      <c r="M439" s="7">
        <v>20.75</v>
      </c>
      <c r="N439" s="7">
        <v>10.84</v>
      </c>
      <c r="O439" s="7">
        <v>-1.7200000000000299</v>
      </c>
      <c r="P439" s="7">
        <v>18.37</v>
      </c>
      <c r="Q439" s="7">
        <v>-1.9700000000000299</v>
      </c>
      <c r="R439" s="7">
        <v>-31.56</v>
      </c>
      <c r="S439" s="7">
        <v>-28.74</v>
      </c>
      <c r="T439" s="7">
        <v>-109.18</v>
      </c>
      <c r="U439" s="7">
        <v>-109.97</v>
      </c>
      <c r="V439" s="7">
        <v>-138.4</v>
      </c>
      <c r="W439" s="7">
        <v>-142.41</v>
      </c>
      <c r="X439" s="7">
        <v>-115.93</v>
      </c>
      <c r="Y439" s="7">
        <v>-17.75</v>
      </c>
      <c r="Z439" s="9">
        <f>MAX($B$439:$Y$439)</f>
        <v>27.98</v>
      </c>
      <c r="AA439" s="9">
        <f>MIN($B$439:$Y$439)</f>
        <v>-142.41</v>
      </c>
      <c r="AB439" s="9">
        <f>AVERAGE($B$439:$Y$439)</f>
        <v>-36.636249999999997</v>
      </c>
    </row>
    <row r="440" spans="1:28">
      <c r="A440" s="10">
        <v>45730</v>
      </c>
      <c r="B440" s="7">
        <v>-70.37</v>
      </c>
      <c r="C440" s="7">
        <v>-76.56</v>
      </c>
      <c r="D440" s="7">
        <v>-41.65</v>
      </c>
      <c r="E440" s="7">
        <v>21.18</v>
      </c>
      <c r="F440" s="7">
        <v>21.78</v>
      </c>
      <c r="G440" s="7">
        <v>18.39</v>
      </c>
      <c r="H440" s="7">
        <v>5.37</v>
      </c>
      <c r="I440" s="7">
        <v>-32.979999999999997</v>
      </c>
      <c r="J440" s="7">
        <v>-23.64</v>
      </c>
      <c r="K440" s="7">
        <v>-101.29</v>
      </c>
      <c r="L440" s="7">
        <v>-61.8</v>
      </c>
      <c r="M440" s="7">
        <v>-35.270000000000003</v>
      </c>
      <c r="N440" s="7">
        <v>38.549999999999997</v>
      </c>
      <c r="O440" s="7">
        <v>-4.25</v>
      </c>
      <c r="P440" s="7">
        <v>-4.25999999999999</v>
      </c>
      <c r="Q440" s="7">
        <v>5.19</v>
      </c>
      <c r="R440" s="7">
        <v>-3.95999999999998</v>
      </c>
      <c r="S440" s="7">
        <v>-9.2799999999999692</v>
      </c>
      <c r="T440" s="7">
        <v>-12.66</v>
      </c>
      <c r="U440" s="7">
        <v>2.8199999999999901</v>
      </c>
      <c r="V440" s="7">
        <v>-26.04</v>
      </c>
      <c r="W440" s="7">
        <v>1.2799999999999701</v>
      </c>
      <c r="X440" s="7">
        <v>13.75</v>
      </c>
      <c r="Y440" s="7">
        <v>12.84</v>
      </c>
      <c r="Z440" s="9">
        <f>MAX($B$440:$Y$440)</f>
        <v>38.549999999999997</v>
      </c>
      <c r="AA440" s="9">
        <f>MIN($B$440:$Y$440)</f>
        <v>-101.29</v>
      </c>
      <c r="AB440" s="9">
        <f>AVERAGE($B$440:$Y$440)</f>
        <v>-15.1191666666667</v>
      </c>
    </row>
    <row r="441" spans="1:28">
      <c r="A441" s="10">
        <v>45731</v>
      </c>
      <c r="B441" s="7">
        <v>-4.5799999999999796</v>
      </c>
      <c r="C441" s="7">
        <v>-7.8299999999999796</v>
      </c>
      <c r="D441" s="7">
        <v>-169.49</v>
      </c>
      <c r="E441" s="7">
        <v>-189.9</v>
      </c>
      <c r="F441" s="7">
        <v>-77.23</v>
      </c>
      <c r="G441" s="7">
        <v>-50</v>
      </c>
      <c r="H441" s="7">
        <v>-157.46</v>
      </c>
      <c r="I441" s="7">
        <v>-45.75</v>
      </c>
      <c r="J441" s="7">
        <v>-138.65</v>
      </c>
      <c r="K441" s="7">
        <v>18.77</v>
      </c>
      <c r="L441" s="7">
        <v>117.34</v>
      </c>
      <c r="M441" s="7">
        <v>116.73</v>
      </c>
      <c r="N441" s="7">
        <v>14.03</v>
      </c>
      <c r="O441" s="7">
        <v>-16.61</v>
      </c>
      <c r="P441" s="7">
        <v>6.4499999999999904</v>
      </c>
      <c r="Q441" s="7">
        <v>36.090000000000003</v>
      </c>
      <c r="R441" s="7">
        <v>42.09</v>
      </c>
      <c r="S441" s="7">
        <v>47.61</v>
      </c>
      <c r="T441" s="7">
        <v>-42.74</v>
      </c>
      <c r="U441" s="7">
        <v>-15.1</v>
      </c>
      <c r="V441" s="7">
        <v>-107.79</v>
      </c>
      <c r="W441" s="7">
        <v>33.729999999999997</v>
      </c>
      <c r="X441" s="7">
        <v>11.47</v>
      </c>
      <c r="Y441" s="7">
        <v>-3.12</v>
      </c>
      <c r="Z441" s="9">
        <f>MAX($B$441:$Y$441)</f>
        <v>117.34</v>
      </c>
      <c r="AA441" s="9">
        <f>MIN($B$441:$Y$441)</f>
        <v>-189.9</v>
      </c>
      <c r="AB441" s="9">
        <f>AVERAGE($B$441:$Y$441)</f>
        <v>-24.247499999999999</v>
      </c>
    </row>
    <row r="442" spans="1:28">
      <c r="A442" s="10">
        <v>45732</v>
      </c>
      <c r="B442" s="7">
        <v>-24.26</v>
      </c>
      <c r="C442" s="7">
        <v>-48.19</v>
      </c>
      <c r="D442" s="7">
        <v>16.3</v>
      </c>
      <c r="E442" s="7">
        <v>122.93</v>
      </c>
      <c r="F442" s="7">
        <v>152.44</v>
      </c>
      <c r="G442" s="7">
        <v>102.47</v>
      </c>
      <c r="H442" s="7">
        <v>91.36</v>
      </c>
      <c r="I442" s="7">
        <v>88.07</v>
      </c>
      <c r="J442" s="7">
        <v>-26.48</v>
      </c>
      <c r="K442" s="7">
        <v>-45.54</v>
      </c>
      <c r="L442" s="7">
        <v>-160.93</v>
      </c>
      <c r="M442" s="7">
        <v>117.27</v>
      </c>
      <c r="N442" s="7">
        <v>12.5</v>
      </c>
      <c r="O442" s="7">
        <v>68.55</v>
      </c>
      <c r="P442" s="7">
        <v>82.29</v>
      </c>
      <c r="Q442" s="7">
        <v>215.97</v>
      </c>
      <c r="R442" s="7">
        <v>4.6499999999999799</v>
      </c>
      <c r="S442" s="7">
        <v>51.25</v>
      </c>
      <c r="T442" s="7">
        <v>-5.69</v>
      </c>
      <c r="U442" s="7">
        <v>11.99</v>
      </c>
      <c r="V442" s="7">
        <v>-86.28</v>
      </c>
      <c r="W442" s="7">
        <v>-33.049999999999997</v>
      </c>
      <c r="X442" s="7">
        <v>14.56</v>
      </c>
      <c r="Y442" s="7">
        <v>70.55</v>
      </c>
      <c r="Z442" s="9">
        <f>MAX($B$442:$Y$442)</f>
        <v>215.97</v>
      </c>
      <c r="AA442" s="9">
        <f>MIN($B$442:$Y$442)</f>
        <v>-160.93</v>
      </c>
      <c r="AB442" s="9">
        <f>AVERAGE($B$442:$Y$442)</f>
        <v>33.030416666666703</v>
      </c>
    </row>
    <row r="443" spans="1:28">
      <c r="A443" s="10">
        <v>45733</v>
      </c>
      <c r="B443" s="7">
        <v>-85.57</v>
      </c>
      <c r="C443" s="7">
        <v>-30.77</v>
      </c>
      <c r="D443" s="7">
        <v>21.28</v>
      </c>
      <c r="E443" s="7">
        <v>24.4</v>
      </c>
      <c r="F443" s="7">
        <v>52.08</v>
      </c>
      <c r="G443" s="7">
        <v>56.01</v>
      </c>
      <c r="H443" s="7">
        <v>0.35000000000002301</v>
      </c>
      <c r="I443" s="7">
        <v>-23.09</v>
      </c>
      <c r="J443" s="7">
        <v>-207.59</v>
      </c>
      <c r="K443" s="7">
        <v>-404.4</v>
      </c>
      <c r="L443" s="7">
        <v>-362.02</v>
      </c>
      <c r="M443" s="7">
        <v>-341.56</v>
      </c>
      <c r="N443" s="7">
        <v>-86.62</v>
      </c>
      <c r="O443" s="7">
        <v>-63.49</v>
      </c>
      <c r="P443" s="7">
        <v>11.15</v>
      </c>
      <c r="Q443" s="7">
        <v>43.76</v>
      </c>
      <c r="R443" s="7">
        <v>51.44</v>
      </c>
      <c r="S443" s="7">
        <v>5.7100000000000399</v>
      </c>
      <c r="T443" s="7">
        <v>-4.8500000000000201</v>
      </c>
      <c r="U443" s="7">
        <v>15.54</v>
      </c>
      <c r="V443" s="7">
        <v>-20.75</v>
      </c>
      <c r="W443" s="7">
        <v>-66.22</v>
      </c>
      <c r="X443" s="7">
        <v>-36.72</v>
      </c>
      <c r="Y443" s="7">
        <v>-36.78</v>
      </c>
      <c r="Z443" s="9">
        <f>MAX($B$443:$Y$443)</f>
        <v>56.01</v>
      </c>
      <c r="AA443" s="9">
        <f>MIN($B$443:$Y$443)</f>
        <v>-404.4</v>
      </c>
      <c r="AB443" s="9">
        <f>AVERAGE($B$443:$Y$443)</f>
        <v>-62.029583333333299</v>
      </c>
    </row>
    <row r="444" spans="1:28">
      <c r="A444" s="10">
        <v>45734</v>
      </c>
      <c r="B444" s="7">
        <v>5.31</v>
      </c>
      <c r="C444" s="7">
        <v>7.6599999999999699</v>
      </c>
      <c r="D444" s="7">
        <v>2.8399999999999701</v>
      </c>
      <c r="E444" s="7">
        <v>-2.7799999999999701</v>
      </c>
      <c r="F444" s="7">
        <v>-6.8899999999999899</v>
      </c>
      <c r="G444" s="7">
        <v>-7.76999999999998</v>
      </c>
      <c r="H444" s="7">
        <v>-52.65</v>
      </c>
      <c r="I444" s="7">
        <v>-264.76</v>
      </c>
      <c r="J444" s="7">
        <v>-251.75</v>
      </c>
      <c r="K444" s="7">
        <v>13.4</v>
      </c>
      <c r="L444" s="7">
        <v>25.27</v>
      </c>
      <c r="M444" s="7">
        <v>-23.24</v>
      </c>
      <c r="N444" s="7">
        <v>-69.69</v>
      </c>
      <c r="O444" s="7">
        <v>-122.18</v>
      </c>
      <c r="P444" s="7">
        <v>-61.77</v>
      </c>
      <c r="Q444" s="7">
        <v>-66.89</v>
      </c>
      <c r="R444" s="7">
        <v>23.47</v>
      </c>
      <c r="S444" s="7">
        <v>23.5</v>
      </c>
      <c r="T444" s="7">
        <v>-54.5</v>
      </c>
      <c r="U444" s="7">
        <v>-91.56</v>
      </c>
      <c r="V444" s="7">
        <v>-87.64</v>
      </c>
      <c r="W444" s="7">
        <v>-106.44</v>
      </c>
      <c r="X444" s="7">
        <v>-32.1</v>
      </c>
      <c r="Y444" s="7">
        <v>-1.71999999999997</v>
      </c>
      <c r="Z444" s="9">
        <f>MAX($B$444:$Y$444)</f>
        <v>25.27</v>
      </c>
      <c r="AA444" s="9">
        <f>MIN($B$444:$Y$444)</f>
        <v>-264.76</v>
      </c>
      <c r="AB444" s="9">
        <f>AVERAGE($B$444:$Y$444)</f>
        <v>-50.12</v>
      </c>
    </row>
    <row r="445" spans="1:28">
      <c r="A445" s="10">
        <v>45735</v>
      </c>
      <c r="B445" s="7">
        <v>-3.5699999999999901</v>
      </c>
      <c r="C445" s="7">
        <v>-13.06</v>
      </c>
      <c r="D445" s="7">
        <v>-17.12</v>
      </c>
      <c r="E445" s="7">
        <v>-14.2</v>
      </c>
      <c r="F445" s="7">
        <v>0.93999999999999795</v>
      </c>
      <c r="G445" s="7">
        <v>1.38</v>
      </c>
      <c r="H445" s="7">
        <v>-59.47</v>
      </c>
      <c r="I445" s="7">
        <v>-213.39</v>
      </c>
      <c r="J445" s="7">
        <v>9.6399999999999899</v>
      </c>
      <c r="K445" s="7">
        <v>160.75</v>
      </c>
      <c r="L445" s="7">
        <v>58.0700000000001</v>
      </c>
      <c r="M445" s="7">
        <v>106.6</v>
      </c>
      <c r="N445" s="7">
        <v>202.02</v>
      </c>
      <c r="O445" s="7">
        <v>77.41</v>
      </c>
      <c r="P445" s="7">
        <v>30.35</v>
      </c>
      <c r="Q445" s="7">
        <v>36.01</v>
      </c>
      <c r="R445" s="7">
        <v>19.63</v>
      </c>
      <c r="S445" s="7">
        <v>1.4100000000000299</v>
      </c>
      <c r="T445" s="7">
        <v>-11.03</v>
      </c>
      <c r="U445" s="7">
        <v>-36.51</v>
      </c>
      <c r="V445" s="7">
        <v>-68.06</v>
      </c>
      <c r="W445" s="7">
        <v>-39.64</v>
      </c>
      <c r="X445" s="7">
        <v>-17.03</v>
      </c>
      <c r="Y445" s="7">
        <v>-5.0500000000000096</v>
      </c>
      <c r="Z445" s="9">
        <f>MAX($B$445:$Y$445)</f>
        <v>202.02</v>
      </c>
      <c r="AA445" s="9">
        <f>MIN($B$445:$Y$445)</f>
        <v>-213.39</v>
      </c>
      <c r="AB445" s="9">
        <f>AVERAGE($B$445:$Y$445)</f>
        <v>8.5866666666666696</v>
      </c>
    </row>
    <row r="446" spans="1:28">
      <c r="A446" s="10">
        <v>45736</v>
      </c>
      <c r="B446" s="7">
        <v>-2.8900000000000401</v>
      </c>
      <c r="C446" s="7">
        <v>25.31</v>
      </c>
      <c r="D446" s="7">
        <v>32.340000000000003</v>
      </c>
      <c r="E446" s="7">
        <v>28.23</v>
      </c>
      <c r="F446" s="7">
        <v>7.1999999999999904</v>
      </c>
      <c r="G446" s="7">
        <v>8.69</v>
      </c>
      <c r="H446" s="7">
        <v>-24.24</v>
      </c>
      <c r="I446" s="7">
        <v>-16.38</v>
      </c>
      <c r="J446" s="7">
        <v>11.89</v>
      </c>
      <c r="K446" s="7">
        <v>34.6</v>
      </c>
      <c r="L446" s="7">
        <v>15.36</v>
      </c>
      <c r="M446" s="7">
        <v>14.65</v>
      </c>
      <c r="N446" s="7">
        <v>43.34</v>
      </c>
      <c r="O446" s="7">
        <v>-36.01</v>
      </c>
      <c r="P446" s="7">
        <v>14.62</v>
      </c>
      <c r="Q446" s="7">
        <v>-108.12</v>
      </c>
      <c r="R446" s="7">
        <v>-1.6499999999999799</v>
      </c>
      <c r="S446" s="7">
        <v>-2</v>
      </c>
      <c r="T446" s="7">
        <v>-5.1399999999999899</v>
      </c>
      <c r="U446" s="7">
        <v>-23.67</v>
      </c>
      <c r="V446" s="7">
        <v>-42.68</v>
      </c>
      <c r="W446" s="7">
        <v>-37.24</v>
      </c>
      <c r="X446" s="7">
        <v>11.62</v>
      </c>
      <c r="Y446" s="7">
        <v>-1.05000000000001</v>
      </c>
      <c r="Z446" s="9">
        <f>MAX($B$446:$Y$446)</f>
        <v>43.34</v>
      </c>
      <c r="AA446" s="9">
        <f>MIN($B$446:$Y$446)</f>
        <v>-108.12</v>
      </c>
      <c r="AB446" s="9">
        <f>AVERAGE($B$446:$Y$446)</f>
        <v>-2.2174999999999998</v>
      </c>
    </row>
    <row r="447" spans="1:28">
      <c r="A447" s="10">
        <v>45737</v>
      </c>
      <c r="B447" s="7">
        <v>-152.6</v>
      </c>
      <c r="C447" s="7">
        <v>-162.29</v>
      </c>
      <c r="D447" s="7">
        <v>-186.69</v>
      </c>
      <c r="E447" s="7">
        <v>-88.19</v>
      </c>
      <c r="F447" s="7">
        <v>-52.61</v>
      </c>
      <c r="G447" s="7">
        <v>-72.5</v>
      </c>
      <c r="H447" s="7">
        <v>-695.69</v>
      </c>
      <c r="I447" s="7">
        <v>-119.33</v>
      </c>
      <c r="J447" s="7">
        <v>-15.34</v>
      </c>
      <c r="K447" s="7">
        <v>29.96</v>
      </c>
      <c r="L447" s="7">
        <v>0.57999999999998397</v>
      </c>
      <c r="M447" s="7">
        <v>87.65</v>
      </c>
      <c r="N447" s="7">
        <v>214.96</v>
      </c>
      <c r="O447" s="7">
        <v>169.88</v>
      </c>
      <c r="P447" s="7">
        <v>166.03</v>
      </c>
      <c r="Q447" s="7">
        <v>7.48000000000002</v>
      </c>
      <c r="R447" s="7">
        <v>19.11</v>
      </c>
      <c r="S447" s="7">
        <v>-10.4</v>
      </c>
      <c r="T447" s="7">
        <v>2.04000000000002</v>
      </c>
      <c r="U447" s="7">
        <v>21.62</v>
      </c>
      <c r="V447" s="7">
        <v>10.29</v>
      </c>
      <c r="W447" s="7">
        <v>8.6100000000000101</v>
      </c>
      <c r="X447" s="7">
        <v>5.4200000000000204</v>
      </c>
      <c r="Y447" s="7">
        <v>4.0499999999999501</v>
      </c>
      <c r="Z447" s="9">
        <f>MAX($B$447:$Y$447)</f>
        <v>214.96</v>
      </c>
      <c r="AA447" s="9">
        <f>MIN($B$447:$Y$447)</f>
        <v>-695.69</v>
      </c>
      <c r="AB447" s="9">
        <f>AVERAGE($B$447:$Y$447)</f>
        <v>-33.664999999999999</v>
      </c>
    </row>
    <row r="448" spans="1:28">
      <c r="A448" s="10">
        <v>45738</v>
      </c>
      <c r="B448" s="7">
        <v>-110.8</v>
      </c>
      <c r="C448" s="7">
        <v>-59.52</v>
      </c>
      <c r="D448" s="7">
        <v>-13.28</v>
      </c>
      <c r="E448" s="7">
        <v>31.8</v>
      </c>
      <c r="F448" s="7">
        <v>30.04</v>
      </c>
      <c r="G448" s="7">
        <v>34.35</v>
      </c>
      <c r="H448" s="7">
        <v>-42.84</v>
      </c>
      <c r="I448" s="7">
        <v>-44.59</v>
      </c>
      <c r="J448" s="7">
        <v>-0.51999999999998203</v>
      </c>
      <c r="K448" s="7">
        <v>13</v>
      </c>
      <c r="L448" s="7">
        <v>17.12</v>
      </c>
      <c r="M448" s="7">
        <v>21.58</v>
      </c>
      <c r="N448" s="7">
        <v>125.44</v>
      </c>
      <c r="O448" s="7">
        <v>-53.74</v>
      </c>
      <c r="P448" s="7">
        <v>-34.61</v>
      </c>
      <c r="Q448" s="7">
        <v>38.04</v>
      </c>
      <c r="R448" s="7">
        <v>36.020000000000003</v>
      </c>
      <c r="S448" s="7">
        <v>32.97</v>
      </c>
      <c r="T448" s="7">
        <v>-2.4600000000000399</v>
      </c>
      <c r="U448" s="7">
        <v>-8.6499999999999808</v>
      </c>
      <c r="V448" s="7">
        <v>2.51999999999998</v>
      </c>
      <c r="W448" s="7">
        <v>5.8399999999999697</v>
      </c>
      <c r="X448" s="7">
        <v>-21.05</v>
      </c>
      <c r="Y448" s="7">
        <v>-29.37</v>
      </c>
      <c r="Z448" s="9">
        <f>MAX($B$448:$Y$448)</f>
        <v>125.44</v>
      </c>
      <c r="AA448" s="9">
        <f>MIN($B$448:$Y$448)</f>
        <v>-110.8</v>
      </c>
      <c r="AB448" s="9">
        <f>AVERAGE($B$448:$Y$448)</f>
        <v>-1.3629166666666701</v>
      </c>
    </row>
    <row r="449" spans="1:28">
      <c r="A449" s="10">
        <v>45739</v>
      </c>
      <c r="B449" s="7">
        <v>20.71</v>
      </c>
      <c r="C449" s="7">
        <v>72.48</v>
      </c>
      <c r="D449" s="7">
        <v>15.2</v>
      </c>
      <c r="E449" s="7">
        <v>6.69</v>
      </c>
      <c r="F449" s="7">
        <v>6.31</v>
      </c>
      <c r="G449" s="7">
        <v>0.86000000000001398</v>
      </c>
      <c r="H449" s="7">
        <v>-16.190000000000001</v>
      </c>
      <c r="I449" s="7">
        <v>0.12000000000000501</v>
      </c>
      <c r="J449" s="7">
        <v>71.069999999999993</v>
      </c>
      <c r="K449" s="7">
        <v>1.4300000000000099</v>
      </c>
      <c r="L449" s="7">
        <v>0.86000000000001398</v>
      </c>
      <c r="M449" s="7">
        <v>47.02</v>
      </c>
      <c r="N449" s="7">
        <v>124.17</v>
      </c>
      <c r="O449" s="7">
        <v>73.97</v>
      </c>
      <c r="P449" s="7">
        <v>-12.32</v>
      </c>
      <c r="Q449" s="7">
        <v>116.03</v>
      </c>
      <c r="R449" s="7">
        <v>10.69</v>
      </c>
      <c r="S449" s="7">
        <v>21.41</v>
      </c>
      <c r="T449" s="7">
        <v>12.59</v>
      </c>
      <c r="U449" s="7">
        <v>12.1799999999999</v>
      </c>
      <c r="V449" s="7">
        <v>1.06</v>
      </c>
      <c r="W449" s="7">
        <v>-3.2999999999999501</v>
      </c>
      <c r="X449" s="7">
        <v>-11.18</v>
      </c>
      <c r="Y449" s="7">
        <v>-3.25999999999999</v>
      </c>
      <c r="Z449" s="9">
        <f>MAX($B$449:$Y$449)</f>
        <v>124.17</v>
      </c>
      <c r="AA449" s="9">
        <f>MIN($B$449:$Y$449)</f>
        <v>-16.190000000000001</v>
      </c>
      <c r="AB449" s="9">
        <f>AVERAGE($B$449:$Y$449)</f>
        <v>23.691666666666698</v>
      </c>
    </row>
    <row r="450" spans="1:28">
      <c r="A450" s="10">
        <v>45740</v>
      </c>
      <c r="B450" s="7">
        <v>-19.23</v>
      </c>
      <c r="C450" s="7">
        <v>-15.78</v>
      </c>
      <c r="D450" s="7">
        <v>0.61000000000001398</v>
      </c>
      <c r="E450" s="7">
        <v>3.51999999999998</v>
      </c>
      <c r="F450" s="7">
        <v>-15.34</v>
      </c>
      <c r="G450" s="7">
        <v>-82.66</v>
      </c>
      <c r="H450" s="7">
        <v>-269.47000000000003</v>
      </c>
      <c r="I450" s="7">
        <v>-10.99</v>
      </c>
      <c r="J450" s="7">
        <v>-33.54</v>
      </c>
      <c r="K450" s="7">
        <v>-9.69</v>
      </c>
      <c r="L450" s="7">
        <v>16.8</v>
      </c>
      <c r="M450" s="7">
        <v>66.34</v>
      </c>
      <c r="N450" s="7">
        <v>130.56</v>
      </c>
      <c r="O450" s="7">
        <v>132.68</v>
      </c>
      <c r="P450" s="7">
        <v>50.76</v>
      </c>
      <c r="Q450" s="7">
        <v>-3.48999999999995</v>
      </c>
      <c r="R450" s="7">
        <v>15.17</v>
      </c>
      <c r="S450" s="7">
        <v>-0.79999999999995497</v>
      </c>
      <c r="T450" s="7">
        <v>-3.50999999999999</v>
      </c>
      <c r="U450" s="7">
        <v>-21.55</v>
      </c>
      <c r="V450" s="7">
        <v>-7.3999999999999799</v>
      </c>
      <c r="W450" s="7">
        <v>-8.5400000000000205</v>
      </c>
      <c r="X450" s="7">
        <v>21.88</v>
      </c>
      <c r="Y450" s="7">
        <v>17.619999999999902</v>
      </c>
      <c r="Z450" s="9">
        <f>MAX($B$450:$Y$450)</f>
        <v>132.68</v>
      </c>
      <c r="AA450" s="9">
        <f>MIN($B$450:$Y$450)</f>
        <v>-269.47000000000003</v>
      </c>
      <c r="AB450" s="9">
        <f>AVERAGE($B$450:$Y$450)</f>
        <v>-1.91875</v>
      </c>
    </row>
    <row r="451" spans="1:28">
      <c r="A451" s="10">
        <v>45741</v>
      </c>
      <c r="B451" s="7">
        <v>-11.08</v>
      </c>
      <c r="C451" s="7">
        <v>-3.74000000000001</v>
      </c>
      <c r="D451" s="7">
        <v>-3.3299999999999801</v>
      </c>
      <c r="E451" s="7">
        <v>-4.1499999999999799</v>
      </c>
      <c r="F451" s="7">
        <v>-2.98000000000002</v>
      </c>
      <c r="G451" s="7">
        <v>4.5200000000000404</v>
      </c>
      <c r="H451" s="7">
        <v>-9.76999999999998</v>
      </c>
      <c r="I451" s="7">
        <v>-6.50999999999999</v>
      </c>
      <c r="J451" s="7">
        <v>10.81</v>
      </c>
      <c r="K451" s="7">
        <v>19.41</v>
      </c>
      <c r="L451" s="7">
        <v>84.93</v>
      </c>
      <c r="M451" s="7">
        <v>39.69</v>
      </c>
      <c r="N451" s="7">
        <v>230.29</v>
      </c>
      <c r="O451" s="7">
        <v>130.35</v>
      </c>
      <c r="P451" s="7">
        <v>153.65</v>
      </c>
      <c r="Q451" s="7">
        <v>61.77</v>
      </c>
      <c r="R451" s="7">
        <v>22.44</v>
      </c>
      <c r="S451" s="7">
        <v>23.29</v>
      </c>
      <c r="T451" s="7">
        <v>16.579999999999998</v>
      </c>
      <c r="U451" s="7">
        <v>9.2199999999999704</v>
      </c>
      <c r="V451" s="7">
        <v>17.309999999999999</v>
      </c>
      <c r="W451" s="7">
        <v>2.1600000000000201</v>
      </c>
      <c r="X451" s="7">
        <v>1.69</v>
      </c>
      <c r="Y451" s="7">
        <v>-8.7199999999999704</v>
      </c>
      <c r="Z451" s="9">
        <f>MAX($B$451:$Y$451)</f>
        <v>230.29</v>
      </c>
      <c r="AA451" s="9">
        <f>MIN($B$451:$Y$451)</f>
        <v>-11.08</v>
      </c>
      <c r="AB451" s="9">
        <f>AVERAGE($B$451:$Y$451)</f>
        <v>32.409583333333302</v>
      </c>
    </row>
    <row r="452" spans="1:28">
      <c r="A452" s="10">
        <v>45742</v>
      </c>
      <c r="B452" s="7">
        <v>-71.61</v>
      </c>
      <c r="C452" s="7">
        <v>1.75</v>
      </c>
      <c r="D452" s="7">
        <v>10.65</v>
      </c>
      <c r="E452" s="7">
        <v>6.01999999999998</v>
      </c>
      <c r="F452" s="7">
        <v>3.05000000000001</v>
      </c>
      <c r="G452" s="7">
        <v>3.87</v>
      </c>
      <c r="H452" s="7">
        <v>2.1000000000000201</v>
      </c>
      <c r="I452" s="7">
        <v>-1.4200000000000199</v>
      </c>
      <c r="J452" s="7">
        <v>3.66999999999996</v>
      </c>
      <c r="K452" s="7">
        <v>73.489999999999995</v>
      </c>
      <c r="L452" s="7">
        <v>41.04</v>
      </c>
      <c r="M452" s="7">
        <v>92.6</v>
      </c>
      <c r="N452" s="7">
        <v>339.01</v>
      </c>
      <c r="O452" s="7">
        <v>180.43</v>
      </c>
      <c r="P452" s="7">
        <v>146.52000000000001</v>
      </c>
      <c r="Q452" s="7">
        <v>90.48</v>
      </c>
      <c r="R452" s="7">
        <v>40.36</v>
      </c>
      <c r="S452" s="7">
        <v>35.950000000000003</v>
      </c>
      <c r="T452" s="7">
        <v>18.5</v>
      </c>
      <c r="U452" s="7">
        <v>25.24</v>
      </c>
      <c r="V452" s="7">
        <v>16.940000000000001</v>
      </c>
      <c r="W452" s="7">
        <v>12.16</v>
      </c>
      <c r="X452" s="7">
        <v>12.46</v>
      </c>
      <c r="Y452" s="7">
        <v>17.16</v>
      </c>
      <c r="Z452" s="9">
        <f>MAX($B$452:$Y$452)</f>
        <v>339.01</v>
      </c>
      <c r="AA452" s="9">
        <f>MIN($B$452:$Y$452)</f>
        <v>-71.61</v>
      </c>
      <c r="AB452" s="9">
        <f>AVERAGE($B$452:$Y$452)</f>
        <v>45.850833333333298</v>
      </c>
    </row>
    <row r="453" spans="1:28">
      <c r="A453" s="10">
        <v>45743</v>
      </c>
      <c r="B453" s="7">
        <v>5.37</v>
      </c>
      <c r="C453" s="7">
        <v>15.11</v>
      </c>
      <c r="D453" s="7">
        <v>17.64</v>
      </c>
      <c r="E453" s="7">
        <v>15.52</v>
      </c>
      <c r="F453" s="7">
        <v>31.43</v>
      </c>
      <c r="G453" s="7">
        <v>14.5</v>
      </c>
      <c r="H453" s="7">
        <v>-2.9200000000000199</v>
      </c>
      <c r="I453" s="7">
        <v>-8.3000000000000096</v>
      </c>
      <c r="J453" s="7">
        <v>9.6699999999999608</v>
      </c>
      <c r="K453" s="7">
        <v>8.4000000000000306</v>
      </c>
      <c r="L453" s="7">
        <v>24.71</v>
      </c>
      <c r="M453" s="7">
        <v>19.600000000000001</v>
      </c>
      <c r="N453" s="7">
        <v>203.13</v>
      </c>
      <c r="O453" s="7">
        <v>125.55</v>
      </c>
      <c r="P453" s="7">
        <v>12.77</v>
      </c>
      <c r="Q453" s="7">
        <v>9.5299999999999692</v>
      </c>
      <c r="R453" s="7">
        <v>-7.4499999999999904</v>
      </c>
      <c r="S453" s="7">
        <v>-87.07</v>
      </c>
      <c r="T453" s="7">
        <v>-21.08</v>
      </c>
      <c r="U453" s="7">
        <v>-121.59</v>
      </c>
      <c r="V453" s="7">
        <v>-12</v>
      </c>
      <c r="W453" s="7">
        <v>-28.56</v>
      </c>
      <c r="X453" s="7">
        <v>-14.59</v>
      </c>
      <c r="Y453" s="7">
        <v>-6.7199999999999704</v>
      </c>
      <c r="Z453" s="9">
        <f>MAX($B$453:$Y$453)</f>
        <v>203.13</v>
      </c>
      <c r="AA453" s="9">
        <f>MIN($B$453:$Y$453)</f>
        <v>-121.59</v>
      </c>
      <c r="AB453" s="9">
        <f>AVERAGE($B$453:$Y$453)</f>
        <v>8.4437499999999996</v>
      </c>
    </row>
    <row r="454" spans="1:28">
      <c r="A454" s="10">
        <v>45744</v>
      </c>
      <c r="B454" s="7">
        <v>33.409999999999997</v>
      </c>
      <c r="C454" s="7">
        <v>9.4600000000000399</v>
      </c>
      <c r="D454" s="7">
        <v>9.76999999999998</v>
      </c>
      <c r="E454" s="7">
        <v>5.5299999999999701</v>
      </c>
      <c r="F454" s="7">
        <v>7.37</v>
      </c>
      <c r="G454" s="7">
        <v>3.4600000000000399</v>
      </c>
      <c r="H454" s="7">
        <v>-9.0099999999999891</v>
      </c>
      <c r="I454" s="7">
        <v>-33.21</v>
      </c>
      <c r="J454" s="7">
        <v>-125.87</v>
      </c>
      <c r="K454" s="7">
        <v>-136.91</v>
      </c>
      <c r="L454" s="7">
        <v>-84.87</v>
      </c>
      <c r="M454" s="7">
        <v>-113.06</v>
      </c>
      <c r="N454" s="7">
        <v>-53.74</v>
      </c>
      <c r="O454" s="7">
        <v>-49.28</v>
      </c>
      <c r="P454" s="7">
        <v>7.6800000000000104</v>
      </c>
      <c r="Q454" s="7">
        <v>6.9499999999999904</v>
      </c>
      <c r="R454" s="7">
        <v>-86.23</v>
      </c>
      <c r="S454" s="7">
        <v>-87.88</v>
      </c>
      <c r="T454" s="7">
        <v>0.67000000000001603</v>
      </c>
      <c r="U454" s="7">
        <v>39.22</v>
      </c>
      <c r="V454" s="7">
        <v>28.34</v>
      </c>
      <c r="W454" s="7">
        <v>43.19</v>
      </c>
      <c r="X454" s="7">
        <v>37.25</v>
      </c>
      <c r="Y454" s="7">
        <v>36.25</v>
      </c>
      <c r="Z454" s="9">
        <f>MAX($B$454:$Y$454)</f>
        <v>43.19</v>
      </c>
      <c r="AA454" s="9">
        <f>MIN($B$454:$Y$454)</f>
        <v>-136.91</v>
      </c>
      <c r="AB454" s="9">
        <f>AVERAGE($B$454:$Y$454)</f>
        <v>-21.312916666666698</v>
      </c>
    </row>
    <row r="455" spans="1:28">
      <c r="A455" s="10">
        <v>45745</v>
      </c>
      <c r="B455" s="7">
        <v>59.51</v>
      </c>
      <c r="C455" s="7">
        <v>35</v>
      </c>
      <c r="D455" s="7">
        <v>48.33</v>
      </c>
      <c r="E455" s="7">
        <v>49.79</v>
      </c>
      <c r="F455" s="7">
        <v>67.989999999999995</v>
      </c>
      <c r="G455" s="7">
        <v>40.29</v>
      </c>
      <c r="H455" s="7">
        <v>47.58</v>
      </c>
      <c r="I455" s="7">
        <v>23.94</v>
      </c>
      <c r="J455" s="7">
        <v>34.93</v>
      </c>
      <c r="K455" s="7">
        <v>40.21</v>
      </c>
      <c r="L455" s="7">
        <v>-17.399999999999999</v>
      </c>
      <c r="M455" s="7">
        <v>-163.66</v>
      </c>
      <c r="N455" s="7">
        <v>11.08</v>
      </c>
      <c r="O455" s="7">
        <v>-141.49</v>
      </c>
      <c r="P455" s="7">
        <v>-268.18</v>
      </c>
      <c r="Q455" s="7">
        <v>-185.22</v>
      </c>
      <c r="R455" s="7">
        <v>-96.45</v>
      </c>
      <c r="S455" s="7">
        <v>-7.1800000000000104</v>
      </c>
      <c r="T455" s="7">
        <v>-17.95</v>
      </c>
      <c r="U455" s="7">
        <v>-5.5100000000000504</v>
      </c>
      <c r="V455" s="7">
        <v>4.00999999999999</v>
      </c>
      <c r="W455" s="7">
        <v>-5.9700000000000299</v>
      </c>
      <c r="X455" s="7">
        <v>12.67</v>
      </c>
      <c r="Y455" s="7">
        <v>9.8199999999999896</v>
      </c>
      <c r="Z455" s="9">
        <f>MAX($B$455:$Y$455)</f>
        <v>67.989999999999995</v>
      </c>
      <c r="AA455" s="9">
        <f>MIN($B$455:$Y$455)</f>
        <v>-268.18</v>
      </c>
      <c r="AB455" s="9">
        <f>AVERAGE($B$455:$Y$455)</f>
        <v>-17.660833333333301</v>
      </c>
    </row>
    <row r="456" spans="1:28">
      <c r="A456" s="10">
        <v>45746</v>
      </c>
      <c r="B456" s="7">
        <v>-25.66</v>
      </c>
      <c r="C456" s="7">
        <v>4.42999999999995</v>
      </c>
      <c r="D456" s="7">
        <v>20.64</v>
      </c>
      <c r="E456" s="7">
        <v>16.62</v>
      </c>
      <c r="F456" s="7">
        <v>32.94</v>
      </c>
      <c r="G456" s="7">
        <v>114.64</v>
      </c>
      <c r="H456" s="7">
        <v>39.409999999999997</v>
      </c>
      <c r="I456" s="7">
        <v>4.6700000000000204</v>
      </c>
      <c r="J456" s="7">
        <v>-14.65</v>
      </c>
      <c r="K456" s="7">
        <v>-26.47</v>
      </c>
      <c r="L456" s="7">
        <v>-77.86</v>
      </c>
      <c r="M456" s="7">
        <v>-286.26</v>
      </c>
      <c r="N456" s="7">
        <v>-31.26</v>
      </c>
      <c r="O456" s="7">
        <v>-157.01</v>
      </c>
      <c r="P456" s="7">
        <v>-60.4</v>
      </c>
      <c r="Q456" s="7">
        <v>-0.26999999999998198</v>
      </c>
      <c r="R456" s="7">
        <v>-11.15</v>
      </c>
      <c r="S456" s="7">
        <v>-27.47</v>
      </c>
      <c r="T456" s="7">
        <v>-33.08</v>
      </c>
      <c r="U456" s="7">
        <v>-29.13</v>
      </c>
      <c r="V456" s="7">
        <v>-26.52</v>
      </c>
      <c r="W456" s="7">
        <v>-36.85</v>
      </c>
      <c r="X456" s="7">
        <v>-9.1499999999999808</v>
      </c>
      <c r="Y456" s="7">
        <v>0.54000000000002002</v>
      </c>
      <c r="Z456" s="9">
        <f>MAX($B$456:$Y$456)</f>
        <v>114.64</v>
      </c>
      <c r="AA456" s="9">
        <f>MIN($B$456:$Y$456)</f>
        <v>-286.26</v>
      </c>
      <c r="AB456" s="9">
        <f>AVERAGE($B$456:$Y$456)</f>
        <v>-25.804166666666699</v>
      </c>
    </row>
    <row r="457" spans="1:28">
      <c r="A457" s="10">
        <v>45747</v>
      </c>
      <c r="B457" s="7">
        <v>-47.45</v>
      </c>
      <c r="C457" s="7">
        <v>-14.11</v>
      </c>
      <c r="D457" s="7">
        <v>-8.6699999999999608</v>
      </c>
      <c r="E457" s="7">
        <v>15.76</v>
      </c>
      <c r="F457" s="7">
        <v>6.5899999999999697</v>
      </c>
      <c r="G457" s="7">
        <v>25.99</v>
      </c>
      <c r="H457" s="7">
        <v>0.87000000000000499</v>
      </c>
      <c r="I457" s="7">
        <v>-28.25</v>
      </c>
      <c r="J457" s="7">
        <v>-103.91</v>
      </c>
      <c r="K457" s="7">
        <v>-5.4500000000000499</v>
      </c>
      <c r="L457" s="7">
        <v>-14.34</v>
      </c>
      <c r="M457" s="7">
        <v>-31.69</v>
      </c>
      <c r="N457" s="7">
        <v>-30.15</v>
      </c>
      <c r="O457" s="7">
        <v>-61.77</v>
      </c>
      <c r="P457" s="7">
        <v>-8.5099999999999891</v>
      </c>
      <c r="Q457" s="7">
        <v>4.2100000000000399</v>
      </c>
      <c r="R457" s="7">
        <v>-19.03</v>
      </c>
      <c r="S457" s="7">
        <v>-40.79</v>
      </c>
      <c r="T457" s="7">
        <v>-14.19</v>
      </c>
      <c r="U457" s="7">
        <v>6.5</v>
      </c>
      <c r="V457" s="7">
        <v>-42.62</v>
      </c>
      <c r="W457" s="7">
        <v>-13.87</v>
      </c>
      <c r="X457" s="7">
        <v>0.81000000000000205</v>
      </c>
      <c r="Y457" s="7">
        <v>2.8800000000000501</v>
      </c>
      <c r="Z457" s="9">
        <f>MAX($B$457:$Y$457)</f>
        <v>25.99</v>
      </c>
      <c r="AA457" s="9">
        <f>MIN($B$457:$Y$457)</f>
        <v>-103.91</v>
      </c>
      <c r="AB457" s="9">
        <f>AVERAGE($B$457:$Y$457)</f>
        <v>-17.549583333333299</v>
      </c>
    </row>
    <row r="458" spans="1:28">
      <c r="A458" s="10">
        <v>45748</v>
      </c>
      <c r="B458" s="7">
        <v>-13.79</v>
      </c>
      <c r="C458" s="7">
        <v>5.5899999999999697</v>
      </c>
      <c r="D458" s="7">
        <v>-2.50999999999999</v>
      </c>
      <c r="E458" s="7">
        <v>-0.310000000000002</v>
      </c>
      <c r="F458" s="7">
        <v>5.5</v>
      </c>
      <c r="G458" s="7">
        <v>15.69</v>
      </c>
      <c r="H458" s="7">
        <v>1.9300000000000099</v>
      </c>
      <c r="I458" s="7">
        <v>-2.8499999999999699</v>
      </c>
      <c r="J458" s="7">
        <v>16.260000000000002</v>
      </c>
      <c r="K458" s="7">
        <v>59.83</v>
      </c>
      <c r="L458" s="7">
        <v>64.739999999999995</v>
      </c>
      <c r="M458" s="7">
        <v>93.79</v>
      </c>
      <c r="N458" s="7">
        <v>108.78</v>
      </c>
      <c r="O458" s="7">
        <v>174.99</v>
      </c>
      <c r="P458" s="7">
        <v>122.01</v>
      </c>
      <c r="Q458" s="7">
        <v>150.65</v>
      </c>
      <c r="R458" s="7">
        <v>58.87</v>
      </c>
      <c r="S458" s="7">
        <v>68.84</v>
      </c>
      <c r="T458" s="7">
        <v>16.98</v>
      </c>
      <c r="U458" s="7">
        <v>-61.26</v>
      </c>
      <c r="V458" s="7">
        <v>-147.66999999999999</v>
      </c>
      <c r="W458" s="7">
        <v>-192.83</v>
      </c>
      <c r="X458" s="7">
        <v>-174.63</v>
      </c>
      <c r="Y458" s="7">
        <v>-62</v>
      </c>
      <c r="Z458" s="9">
        <f>MAX($B$458:$Y$458)</f>
        <v>174.99</v>
      </c>
      <c r="AA458" s="9">
        <f>MIN($B$458:$Y$458)</f>
        <v>-192.83</v>
      </c>
      <c r="AB458" s="9">
        <f>AVERAGE($B$458:$Y$458)</f>
        <v>12.775</v>
      </c>
    </row>
    <row r="459" spans="1:28">
      <c r="A459" s="10">
        <v>45749</v>
      </c>
      <c r="B459" s="7">
        <v>-132.05000000000001</v>
      </c>
      <c r="C459" s="7">
        <v>-117.69</v>
      </c>
      <c r="D459" s="7">
        <v>-150.66999999999999</v>
      </c>
      <c r="E459" s="7">
        <v>-21.06</v>
      </c>
      <c r="F459" s="7">
        <v>8.7299999999999596</v>
      </c>
      <c r="G459" s="7">
        <v>3.38</v>
      </c>
      <c r="H459" s="7">
        <v>-136.97</v>
      </c>
      <c r="I459" s="7">
        <v>-71.11</v>
      </c>
      <c r="J459" s="7">
        <v>-3.31</v>
      </c>
      <c r="K459" s="7">
        <v>-4.9700000000000299</v>
      </c>
      <c r="L459" s="7">
        <v>-9.8899999999999899</v>
      </c>
      <c r="M459" s="7">
        <v>5.26999999999998</v>
      </c>
      <c r="N459" s="7">
        <v>188.07</v>
      </c>
      <c r="O459" s="7">
        <v>87.43</v>
      </c>
      <c r="P459" s="7">
        <v>215.6</v>
      </c>
      <c r="Q459" s="7">
        <v>128.88</v>
      </c>
      <c r="R459" s="7">
        <v>38.56</v>
      </c>
      <c r="S459" s="7">
        <v>28.36</v>
      </c>
      <c r="T459" s="7">
        <v>15.08</v>
      </c>
      <c r="U459" s="7">
        <v>-40.57</v>
      </c>
      <c r="V459" s="7">
        <v>2.87</v>
      </c>
      <c r="W459" s="7">
        <v>-1.49000000000001</v>
      </c>
      <c r="X459" s="7">
        <v>-35.6</v>
      </c>
      <c r="Y459" s="7">
        <v>-11.81</v>
      </c>
      <c r="Z459" s="9">
        <f>MAX($B$459:$Y$459)</f>
        <v>215.6</v>
      </c>
      <c r="AA459" s="9">
        <f>MIN($B$459:$Y$459)</f>
        <v>-150.66999999999999</v>
      </c>
      <c r="AB459" s="9">
        <f>AVERAGE($B$459:$Y$459)</f>
        <v>-0.62333333333333596</v>
      </c>
    </row>
    <row r="460" spans="1:28">
      <c r="A460" s="10">
        <v>45750</v>
      </c>
      <c r="B460" s="7">
        <v>19.91</v>
      </c>
      <c r="C460" s="7">
        <v>-23.2</v>
      </c>
      <c r="D460" s="7">
        <v>-61.73</v>
      </c>
      <c r="E460" s="7">
        <v>-23.5</v>
      </c>
      <c r="F460" s="7">
        <v>-40.28</v>
      </c>
      <c r="G460" s="7">
        <v>10.61</v>
      </c>
      <c r="H460" s="7">
        <v>-23.95</v>
      </c>
      <c r="I460" s="7">
        <v>-60.24</v>
      </c>
      <c r="J460" s="7">
        <v>3.5999999999999699</v>
      </c>
      <c r="K460" s="7">
        <v>32.22</v>
      </c>
      <c r="L460" s="7">
        <v>119.35</v>
      </c>
      <c r="M460" s="7">
        <v>89</v>
      </c>
      <c r="N460" s="7">
        <v>157.44999999999999</v>
      </c>
      <c r="O460" s="7">
        <v>115.83</v>
      </c>
      <c r="P460" s="7">
        <v>224.37</v>
      </c>
      <c r="Q460" s="7">
        <v>262.31</v>
      </c>
      <c r="R460" s="7">
        <v>53.85</v>
      </c>
      <c r="S460" s="7">
        <v>38.92</v>
      </c>
      <c r="T460" s="7">
        <v>-8.2299999999999596</v>
      </c>
      <c r="U460" s="7">
        <v>-10.35</v>
      </c>
      <c r="V460" s="7">
        <v>3.7899999999999601</v>
      </c>
      <c r="W460" s="7">
        <v>-40.89</v>
      </c>
      <c r="X460" s="7">
        <v>-98.13</v>
      </c>
      <c r="Y460" s="7">
        <v>6.1499999999999799</v>
      </c>
      <c r="Z460" s="9">
        <f>MAX($B$460:$Y$460)</f>
        <v>262.31</v>
      </c>
      <c r="AA460" s="9">
        <f>MIN($B$460:$Y$460)</f>
        <v>-98.13</v>
      </c>
      <c r="AB460" s="9">
        <f>AVERAGE($B$460:$Y$460)</f>
        <v>31.1191666666667</v>
      </c>
    </row>
    <row r="461" spans="1:28">
      <c r="A461" s="10">
        <v>45751</v>
      </c>
      <c r="B461" s="7">
        <v>-134.11000000000001</v>
      </c>
      <c r="C461" s="7">
        <v>-5.5699999999999896</v>
      </c>
      <c r="D461" s="7">
        <v>14.44</v>
      </c>
      <c r="E461" s="7">
        <v>49.31</v>
      </c>
      <c r="F461" s="7">
        <v>-6.76999999999998</v>
      </c>
      <c r="G461" s="7">
        <v>-27.34</v>
      </c>
      <c r="H461" s="7">
        <v>-184.21</v>
      </c>
      <c r="I461" s="7">
        <v>-66.44</v>
      </c>
      <c r="J461" s="7">
        <v>19.27</v>
      </c>
      <c r="K461" s="7">
        <v>14.55</v>
      </c>
      <c r="L461" s="7">
        <v>0</v>
      </c>
      <c r="M461" s="7">
        <v>0</v>
      </c>
      <c r="N461" s="7">
        <v>-8</v>
      </c>
      <c r="O461" s="7">
        <v>0.25</v>
      </c>
      <c r="P461" s="7">
        <v>-49.79</v>
      </c>
      <c r="Q461" s="7">
        <v>127.25</v>
      </c>
      <c r="R461" s="7">
        <v>49.73</v>
      </c>
      <c r="S461" s="7">
        <v>49.47</v>
      </c>
      <c r="T461" s="7">
        <v>88.7</v>
      </c>
      <c r="U461" s="7">
        <v>-35.64</v>
      </c>
      <c r="V461" s="7">
        <v>-17</v>
      </c>
      <c r="W461" s="7">
        <v>-27.53</v>
      </c>
      <c r="X461" s="7">
        <v>-24.14</v>
      </c>
      <c r="Y461" s="7">
        <v>-8.7599999999999891</v>
      </c>
      <c r="Z461" s="9">
        <f>MAX($B$461:$Y$461)</f>
        <v>127.25</v>
      </c>
      <c r="AA461" s="9">
        <f>MIN($B$461:$Y$461)</f>
        <v>-184.21</v>
      </c>
      <c r="AB461" s="9">
        <f>AVERAGE($B$461:$Y$461)</f>
        <v>-7.5970833333333303</v>
      </c>
    </row>
    <row r="462" spans="1:28">
      <c r="A462" s="10">
        <v>45752</v>
      </c>
      <c r="B462" s="7">
        <v>-301.11</v>
      </c>
      <c r="C462" s="7">
        <v>-107.06</v>
      </c>
      <c r="D462" s="7">
        <v>-18.940000000000001</v>
      </c>
      <c r="E462" s="7">
        <v>15.54</v>
      </c>
      <c r="F462" s="7">
        <v>5.4600000000000399</v>
      </c>
      <c r="G462" s="7">
        <v>-81.98</v>
      </c>
      <c r="H462" s="7">
        <v>-109.17</v>
      </c>
      <c r="I462" s="7">
        <v>-122.78</v>
      </c>
      <c r="J462" s="7">
        <v>11.08</v>
      </c>
      <c r="K462" s="7">
        <v>-15.25</v>
      </c>
      <c r="L462" s="7">
        <v>-27.01</v>
      </c>
      <c r="M462" s="7">
        <v>-112.84</v>
      </c>
      <c r="N462" s="7">
        <v>-153.93</v>
      </c>
      <c r="O462" s="7">
        <v>-106.3</v>
      </c>
      <c r="P462" s="7">
        <v>2.5</v>
      </c>
      <c r="Q462" s="7">
        <v>20.52</v>
      </c>
      <c r="R462" s="7">
        <v>-3.38</v>
      </c>
      <c r="S462" s="7">
        <v>-8.3400000000000301</v>
      </c>
      <c r="T462" s="7">
        <v>-12.02</v>
      </c>
      <c r="U462" s="7">
        <v>-11.93</v>
      </c>
      <c r="V462" s="7">
        <v>-43.87</v>
      </c>
      <c r="W462" s="7">
        <v>-27.11</v>
      </c>
      <c r="X462" s="7">
        <v>-17.91</v>
      </c>
      <c r="Y462" s="7">
        <v>-65.64</v>
      </c>
      <c r="Z462" s="9">
        <f>MAX($B$462:$Y$462)</f>
        <v>20.52</v>
      </c>
      <c r="AA462" s="9">
        <f>MIN($B$462:$Y$462)</f>
        <v>-301.11</v>
      </c>
      <c r="AB462" s="9">
        <f>AVERAGE($B$462:$Y$462)</f>
        <v>-53.811250000000001</v>
      </c>
    </row>
    <row r="463" spans="1:28">
      <c r="A463" s="10">
        <v>45753</v>
      </c>
      <c r="B463" s="7">
        <v>-100.65</v>
      </c>
      <c r="C463" s="7">
        <v>-51.15</v>
      </c>
      <c r="D463" s="7">
        <v>59.77</v>
      </c>
      <c r="E463" s="7">
        <v>87.25</v>
      </c>
      <c r="F463" s="7">
        <v>21.94</v>
      </c>
      <c r="G463" s="7">
        <v>-0.27999999999997299</v>
      </c>
      <c r="H463" s="7">
        <v>-78.89</v>
      </c>
      <c r="I463" s="7">
        <v>-92.87</v>
      </c>
      <c r="J463" s="7">
        <v>108.89</v>
      </c>
      <c r="K463" s="7">
        <v>17.88</v>
      </c>
      <c r="L463" s="7">
        <v>65.77</v>
      </c>
      <c r="M463" s="7">
        <v>61.07</v>
      </c>
      <c r="N463" s="7">
        <v>31.16</v>
      </c>
      <c r="O463" s="7">
        <v>13.81</v>
      </c>
      <c r="P463" s="7">
        <v>20.12</v>
      </c>
      <c r="Q463" s="7">
        <v>20.99</v>
      </c>
      <c r="R463" s="7">
        <v>17.13</v>
      </c>
      <c r="S463" s="7">
        <v>35.04</v>
      </c>
      <c r="T463" s="7">
        <v>27.94</v>
      </c>
      <c r="U463" s="7">
        <v>34.340000000000003</v>
      </c>
      <c r="V463" s="7">
        <v>3.5</v>
      </c>
      <c r="W463" s="7">
        <v>3.7899999999999601</v>
      </c>
      <c r="X463" s="7">
        <v>-1.4700000000000299</v>
      </c>
      <c r="Y463" s="7">
        <v>-44.72</v>
      </c>
      <c r="Z463" s="9">
        <f>MAX($B$463:$Y$463)</f>
        <v>108.89</v>
      </c>
      <c r="AA463" s="9">
        <f>MIN($B$463:$Y$463)</f>
        <v>-100.65</v>
      </c>
      <c r="AB463" s="9">
        <f>AVERAGE($B$463:$Y$463)</f>
        <v>10.848333333333301</v>
      </c>
    </row>
    <row r="464" spans="1:28">
      <c r="A464" s="10">
        <v>45754</v>
      </c>
      <c r="B464" s="7">
        <v>13.58</v>
      </c>
      <c r="C464" s="7">
        <v>67.87</v>
      </c>
      <c r="D464" s="7">
        <v>117.83</v>
      </c>
      <c r="E464" s="7">
        <v>79.180000000000007</v>
      </c>
      <c r="F464" s="7">
        <v>102.5</v>
      </c>
      <c r="G464" s="7">
        <v>104.58</v>
      </c>
      <c r="H464" s="7">
        <v>59.28</v>
      </c>
      <c r="I464" s="7">
        <v>84.310000000000102</v>
      </c>
      <c r="J464" s="7">
        <v>19.829999999999998</v>
      </c>
      <c r="K464" s="7">
        <v>38.07</v>
      </c>
      <c r="L464" s="7">
        <v>53.38</v>
      </c>
      <c r="M464" s="7">
        <v>95.79</v>
      </c>
      <c r="N464" s="7">
        <v>228.81</v>
      </c>
      <c r="O464" s="7">
        <v>93.85</v>
      </c>
      <c r="P464" s="7">
        <v>63.68</v>
      </c>
      <c r="Q464" s="7">
        <v>66.73</v>
      </c>
      <c r="R464" s="7">
        <v>73</v>
      </c>
      <c r="S464" s="7">
        <v>36.119999999999898</v>
      </c>
      <c r="T464" s="7">
        <v>24.58</v>
      </c>
      <c r="U464" s="7">
        <v>2.1300000000000501</v>
      </c>
      <c r="V464" s="7">
        <v>16.86</v>
      </c>
      <c r="W464" s="7">
        <v>19.39</v>
      </c>
      <c r="X464" s="7">
        <v>9.5499999999999492</v>
      </c>
      <c r="Y464" s="7">
        <v>18.47</v>
      </c>
      <c r="Z464" s="9">
        <f>MAX($B$464:$Y$464)</f>
        <v>228.81</v>
      </c>
      <c r="AA464" s="9">
        <f>MIN($B$464:$Y$464)</f>
        <v>2.1300000000000501</v>
      </c>
      <c r="AB464" s="9">
        <f>AVERAGE($B$464:$Y$464)</f>
        <v>62.057083333333303</v>
      </c>
    </row>
    <row r="465" spans="1:28">
      <c r="A465" s="10">
        <v>45755</v>
      </c>
      <c r="B465" s="7">
        <v>-6.2600000000000504</v>
      </c>
      <c r="C465" s="7">
        <v>6.23000000000002</v>
      </c>
      <c r="D465" s="7">
        <v>-24.97</v>
      </c>
      <c r="E465" s="7">
        <v>2.46999999999997</v>
      </c>
      <c r="F465" s="7">
        <v>14.19</v>
      </c>
      <c r="G465" s="7">
        <v>8.3299999999999805</v>
      </c>
      <c r="H465" s="7">
        <v>-38.85</v>
      </c>
      <c r="I465" s="7">
        <v>-2.28000000000003</v>
      </c>
      <c r="J465" s="7">
        <v>-351.47</v>
      </c>
      <c r="K465" s="7">
        <v>-253.14</v>
      </c>
      <c r="L465" s="7">
        <v>-28.91</v>
      </c>
      <c r="M465" s="7">
        <v>-42.04</v>
      </c>
      <c r="N465" s="7">
        <v>23.86</v>
      </c>
      <c r="O465" s="7">
        <v>-4.37</v>
      </c>
      <c r="P465" s="7">
        <v>18.23</v>
      </c>
      <c r="Q465" s="7">
        <v>30.6</v>
      </c>
      <c r="R465" s="7">
        <v>12.88</v>
      </c>
      <c r="S465" s="7">
        <v>-21.54</v>
      </c>
      <c r="T465" s="7">
        <v>-13.41</v>
      </c>
      <c r="U465" s="7">
        <v>-28.79</v>
      </c>
      <c r="V465" s="7">
        <v>-42.36</v>
      </c>
      <c r="W465" s="7">
        <v>-9.5200000000000404</v>
      </c>
      <c r="X465" s="7">
        <v>-2.69</v>
      </c>
      <c r="Y465" s="7">
        <v>-7.26999999999998</v>
      </c>
      <c r="Z465" s="9">
        <f>MAX($B$465:$Y$465)</f>
        <v>30.6</v>
      </c>
      <c r="AA465" s="9">
        <f>MIN($B$465:$Y$465)</f>
        <v>-351.47</v>
      </c>
      <c r="AB465" s="9">
        <f>AVERAGE($B$465:$Y$465)</f>
        <v>-31.711666666666702</v>
      </c>
    </row>
    <row r="466" spans="1:28">
      <c r="A466" s="10">
        <v>45756</v>
      </c>
      <c r="B466" s="7">
        <v>-30.84</v>
      </c>
      <c r="C466" s="7">
        <v>-33.119999999999997</v>
      </c>
      <c r="D466" s="7">
        <v>-7.9699999999999704</v>
      </c>
      <c r="E466" s="7">
        <v>-2.62</v>
      </c>
      <c r="F466" s="7">
        <v>-3.80000000000001</v>
      </c>
      <c r="G466" s="7">
        <v>-4.8900000000000396</v>
      </c>
      <c r="H466" s="7">
        <v>-25.01</v>
      </c>
      <c r="I466" s="7">
        <v>-24.05</v>
      </c>
      <c r="J466" s="7">
        <v>-4.4000000000000297</v>
      </c>
      <c r="K466" s="7">
        <v>12.8</v>
      </c>
      <c r="L466" s="7">
        <v>17.18</v>
      </c>
      <c r="M466" s="7">
        <v>28.18</v>
      </c>
      <c r="N466" s="7">
        <v>106.9</v>
      </c>
      <c r="O466" s="7">
        <v>4.5299999999999701</v>
      </c>
      <c r="P466" s="7">
        <v>33.520000000000003</v>
      </c>
      <c r="Q466" s="7">
        <v>18.32</v>
      </c>
      <c r="R466" s="7">
        <v>10.35</v>
      </c>
      <c r="S466" s="7">
        <v>9.9899999999999505</v>
      </c>
      <c r="T466" s="7">
        <v>3.1000000000000201</v>
      </c>
      <c r="U466" s="7">
        <v>-0.92999999999994998</v>
      </c>
      <c r="V466" s="7">
        <v>-10.93</v>
      </c>
      <c r="W466" s="7">
        <v>-14.9</v>
      </c>
      <c r="X466" s="7">
        <v>-9.81</v>
      </c>
      <c r="Y466" s="7">
        <v>-7.3499999999999703</v>
      </c>
      <c r="Z466" s="9">
        <f>MAX($B$466:$Y$466)</f>
        <v>106.9</v>
      </c>
      <c r="AA466" s="9">
        <f>MIN($B$466:$Y$466)</f>
        <v>-33.119999999999997</v>
      </c>
      <c r="AB466" s="9">
        <f>AVERAGE($B$466:$Y$466)</f>
        <v>2.6770833333333299</v>
      </c>
    </row>
    <row r="467" spans="1:28">
      <c r="A467" s="10">
        <v>45757</v>
      </c>
      <c r="B467" s="7">
        <v>-1.1100000000000101</v>
      </c>
      <c r="C467" s="7">
        <v>-60.98</v>
      </c>
      <c r="D467" s="7">
        <v>4.5500000000000096</v>
      </c>
      <c r="E467" s="7">
        <v>9.6300000000000008</v>
      </c>
      <c r="F467" s="7">
        <v>3.63</v>
      </c>
      <c r="G467" s="7">
        <v>2.9600000000000399</v>
      </c>
      <c r="H467" s="7">
        <v>-22.05</v>
      </c>
      <c r="I467" s="7">
        <v>-6.73000000000002</v>
      </c>
      <c r="J467" s="7">
        <v>-7.6700000000000204</v>
      </c>
      <c r="K467" s="7">
        <v>17.899999999999999</v>
      </c>
      <c r="L467" s="7">
        <v>18.38</v>
      </c>
      <c r="M467" s="7">
        <v>42.65</v>
      </c>
      <c r="N467" s="7">
        <v>119.59</v>
      </c>
      <c r="O467" s="7">
        <v>25.05</v>
      </c>
      <c r="P467" s="7">
        <v>31.74</v>
      </c>
      <c r="Q467" s="7">
        <v>6.6100000000000101</v>
      </c>
      <c r="R467" s="7">
        <v>36.29</v>
      </c>
      <c r="S467" s="7">
        <v>21.96</v>
      </c>
      <c r="T467" s="7">
        <v>9.4500000000000508</v>
      </c>
      <c r="U467" s="7">
        <v>-9.9300000000000104</v>
      </c>
      <c r="V467" s="7">
        <v>10.14</v>
      </c>
      <c r="W467" s="7">
        <v>4.1700000000000204</v>
      </c>
      <c r="X467" s="7">
        <v>18.93</v>
      </c>
      <c r="Y467" s="7">
        <v>6.94</v>
      </c>
      <c r="Z467" s="9">
        <f>MAX($B$467:$Y$467)</f>
        <v>119.59</v>
      </c>
      <c r="AA467" s="9">
        <f>MIN($B$467:$Y$467)</f>
        <v>-60.98</v>
      </c>
      <c r="AB467" s="9">
        <f>AVERAGE($B$467:$Y$467)</f>
        <v>11.7541666666667</v>
      </c>
    </row>
    <row r="468" spans="1:28">
      <c r="A468" s="10">
        <v>45758</v>
      </c>
      <c r="B468" s="7">
        <v>-22.07</v>
      </c>
      <c r="C468" s="7">
        <v>-101.84</v>
      </c>
      <c r="D468" s="7">
        <v>-27.04</v>
      </c>
      <c r="E468" s="7">
        <v>5.7999999999999501</v>
      </c>
      <c r="F468" s="7">
        <v>6.0699999999999896</v>
      </c>
      <c r="G468" s="7">
        <v>4.4699999999999704</v>
      </c>
      <c r="H468" s="7">
        <v>6.5299999999999701</v>
      </c>
      <c r="I468" s="7">
        <v>27.94</v>
      </c>
      <c r="J468" s="7">
        <v>27.45</v>
      </c>
      <c r="K468" s="7">
        <v>37.659999999999997</v>
      </c>
      <c r="L468" s="7">
        <v>33.28</v>
      </c>
      <c r="M468" s="7">
        <v>-34.450000000000003</v>
      </c>
      <c r="N468" s="7">
        <v>63.75</v>
      </c>
      <c r="O468" s="7">
        <v>-18.8</v>
      </c>
      <c r="P468" s="7">
        <v>15.3</v>
      </c>
      <c r="Q468" s="7">
        <v>14.82</v>
      </c>
      <c r="R468" s="7">
        <v>13.05</v>
      </c>
      <c r="S468" s="7">
        <v>-11.51</v>
      </c>
      <c r="T468" s="7">
        <v>14.4</v>
      </c>
      <c r="U468" s="7">
        <v>17.2</v>
      </c>
      <c r="V468" s="7">
        <v>18.940000000000001</v>
      </c>
      <c r="W468" s="7">
        <v>21.49</v>
      </c>
      <c r="X468" s="7">
        <v>17.62</v>
      </c>
      <c r="Y468" s="7">
        <v>6.6099999999999604</v>
      </c>
      <c r="Z468" s="9">
        <f>MAX($B$468:$Y$468)</f>
        <v>63.75</v>
      </c>
      <c r="AA468" s="9">
        <f>MIN($B$468:$Y$468)</f>
        <v>-101.84</v>
      </c>
      <c r="AB468" s="9">
        <f>AVERAGE($B$468:$Y$468)</f>
        <v>5.6945833333333304</v>
      </c>
    </row>
    <row r="469" spans="1:28">
      <c r="A469" s="10">
        <v>45759</v>
      </c>
      <c r="B469" s="7">
        <v>43.72</v>
      </c>
      <c r="C469" s="7">
        <v>-54.02</v>
      </c>
      <c r="D469" s="7">
        <v>1.5899999999999701</v>
      </c>
      <c r="E469" s="7">
        <v>12.27</v>
      </c>
      <c r="F469" s="7">
        <v>20.329999999999998</v>
      </c>
      <c r="G469" s="7">
        <v>2.7999999999999501</v>
      </c>
      <c r="H469" s="7">
        <v>10.63</v>
      </c>
      <c r="I469" s="7">
        <v>10.92</v>
      </c>
      <c r="J469" s="7">
        <v>-8.3500000000000192</v>
      </c>
      <c r="K469" s="7">
        <v>6.2899999999999601</v>
      </c>
      <c r="L469" s="7">
        <v>4.5299999999999701</v>
      </c>
      <c r="M469" s="7">
        <v>-92.92</v>
      </c>
      <c r="N469" s="7">
        <v>-8.81</v>
      </c>
      <c r="O469" s="7">
        <v>-58.77</v>
      </c>
      <c r="P469" s="7">
        <v>-108.89</v>
      </c>
      <c r="Q469" s="7">
        <v>-57.94</v>
      </c>
      <c r="R469" s="7">
        <v>-13.36</v>
      </c>
      <c r="S469" s="7">
        <v>9.3499999999999694</v>
      </c>
      <c r="T469" s="7">
        <v>4.74000000000001</v>
      </c>
      <c r="U469" s="7">
        <v>24.65</v>
      </c>
      <c r="V469" s="7">
        <v>26.4</v>
      </c>
      <c r="W469" s="7">
        <v>30.06</v>
      </c>
      <c r="X469" s="7">
        <v>42.67</v>
      </c>
      <c r="Y469" s="7">
        <v>110.52</v>
      </c>
      <c r="Z469" s="9">
        <f>MAX($B$469:$Y$469)</f>
        <v>110.52</v>
      </c>
      <c r="AA469" s="9">
        <f>MIN($B$469:$Y$469)</f>
        <v>-108.89</v>
      </c>
      <c r="AB469" s="9">
        <f>AVERAGE($B$469:$Y$469)</f>
        <v>-1.73291666666667</v>
      </c>
    </row>
    <row r="470" spans="1:28">
      <c r="A470" s="10">
        <v>45760</v>
      </c>
      <c r="B470" s="7">
        <v>-166.93</v>
      </c>
      <c r="C470" s="7">
        <v>19.09</v>
      </c>
      <c r="D470" s="7">
        <v>31.53</v>
      </c>
      <c r="E470" s="7">
        <v>39.229999999999997</v>
      </c>
      <c r="F470" s="7">
        <v>28.29</v>
      </c>
      <c r="G470" s="7">
        <v>20.45</v>
      </c>
      <c r="H470" s="7">
        <v>3.54000000000002</v>
      </c>
      <c r="I470" s="7">
        <v>36.28</v>
      </c>
      <c r="J470" s="7">
        <v>144.06</v>
      </c>
      <c r="K470" s="7">
        <v>24.91</v>
      </c>
      <c r="L470" s="7">
        <v>149.47</v>
      </c>
      <c r="M470" s="7">
        <v>144.44999999999999</v>
      </c>
      <c r="N470" s="7">
        <v>86.97</v>
      </c>
      <c r="O470" s="7">
        <v>3.9100000000000201</v>
      </c>
      <c r="P470" s="7">
        <v>62.16</v>
      </c>
      <c r="Q470" s="7">
        <v>31.9</v>
      </c>
      <c r="R470" s="7">
        <v>17.05</v>
      </c>
      <c r="S470" s="7">
        <v>20.420000000000002</v>
      </c>
      <c r="T470" s="7">
        <v>13.04</v>
      </c>
      <c r="U470" s="7">
        <v>12.06</v>
      </c>
      <c r="V470" s="7">
        <v>-5.37</v>
      </c>
      <c r="W470" s="7">
        <v>2.19</v>
      </c>
      <c r="X470" s="7">
        <v>3.13</v>
      </c>
      <c r="Y470" s="7">
        <v>2.48999999999995</v>
      </c>
      <c r="Z470" s="9">
        <f>MAX($B$470:$Y$470)</f>
        <v>149.47</v>
      </c>
      <c r="AA470" s="9">
        <f>MIN($B$470:$Y$470)</f>
        <v>-166.93</v>
      </c>
      <c r="AB470" s="9">
        <f>AVERAGE($B$470:$Y$470)</f>
        <v>30.18</v>
      </c>
    </row>
    <row r="471" spans="1:28">
      <c r="A471" s="10">
        <v>45761</v>
      </c>
      <c r="B471" s="7">
        <v>-58.16</v>
      </c>
      <c r="C471" s="7">
        <v>-8.9099999999999699</v>
      </c>
      <c r="D471" s="7">
        <v>-4.4300000000000104</v>
      </c>
      <c r="E471" s="7">
        <v>-3.8999999999999799</v>
      </c>
      <c r="F471" s="7">
        <v>-7</v>
      </c>
      <c r="G471" s="7">
        <v>-6.9700000000000299</v>
      </c>
      <c r="H471" s="7">
        <v>-24.44</v>
      </c>
      <c r="I471" s="7">
        <v>73.319999999999993</v>
      </c>
      <c r="J471" s="7">
        <v>37.06</v>
      </c>
      <c r="K471" s="7">
        <v>107.62</v>
      </c>
      <c r="L471" s="7">
        <v>245.32</v>
      </c>
      <c r="M471" s="7">
        <v>63.06</v>
      </c>
      <c r="N471" s="7">
        <v>122.68</v>
      </c>
      <c r="O471" s="7">
        <v>89.98</v>
      </c>
      <c r="P471" s="7">
        <v>168.15</v>
      </c>
      <c r="Q471" s="7">
        <v>55.31</v>
      </c>
      <c r="R471" s="7">
        <v>31.57</v>
      </c>
      <c r="S471" s="7">
        <v>17.690000000000001</v>
      </c>
      <c r="T471" s="7">
        <v>8.2700000000000404</v>
      </c>
      <c r="U471" s="7">
        <v>-0.73000000000001797</v>
      </c>
      <c r="V471" s="7">
        <v>1.29000000000002</v>
      </c>
      <c r="W471" s="7">
        <v>10.78</v>
      </c>
      <c r="X471" s="7">
        <v>9.2099999999999795</v>
      </c>
      <c r="Y471" s="7">
        <v>-5</v>
      </c>
      <c r="Z471" s="9">
        <f>MAX($B$471:$Y$471)</f>
        <v>245.32</v>
      </c>
      <c r="AA471" s="9">
        <f>MIN($B$471:$Y$471)</f>
        <v>-58.16</v>
      </c>
      <c r="AB471" s="9">
        <f>AVERAGE($B$471:$Y$471)</f>
        <v>38.407083333333297</v>
      </c>
    </row>
    <row r="472" spans="1:28">
      <c r="A472" s="10">
        <v>45762</v>
      </c>
      <c r="B472" s="7">
        <v>-1.97999999999996</v>
      </c>
      <c r="C472" s="7">
        <v>3.0699999999999901</v>
      </c>
      <c r="D472" s="7">
        <v>9.75</v>
      </c>
      <c r="E472" s="7">
        <v>11.23</v>
      </c>
      <c r="F472" s="7">
        <v>3.9100000000000201</v>
      </c>
      <c r="G472" s="7">
        <v>0.82000000000005002</v>
      </c>
      <c r="H472" s="7">
        <v>-3.44</v>
      </c>
      <c r="I472" s="7">
        <v>1.0900000000000301</v>
      </c>
      <c r="J472" s="7">
        <v>-7.81</v>
      </c>
      <c r="K472" s="7">
        <v>82.37</v>
      </c>
      <c r="L472" s="7">
        <v>250.93</v>
      </c>
      <c r="M472" s="7">
        <v>271.06</v>
      </c>
      <c r="N472" s="7">
        <v>178.8</v>
      </c>
      <c r="O472" s="7">
        <v>40.409999999999997</v>
      </c>
      <c r="P472" s="7">
        <v>196.32</v>
      </c>
      <c r="Q472" s="7">
        <v>22.67</v>
      </c>
      <c r="R472" s="7">
        <v>20.72</v>
      </c>
      <c r="S472" s="7">
        <v>5.38</v>
      </c>
      <c r="T472" s="7">
        <v>12.15</v>
      </c>
      <c r="U472" s="7">
        <v>3.37</v>
      </c>
      <c r="V472" s="7">
        <v>-3.52000000000004</v>
      </c>
      <c r="W472" s="7">
        <v>8.2900000000000205</v>
      </c>
      <c r="X472" s="7">
        <v>7.74000000000001</v>
      </c>
      <c r="Y472" s="7">
        <v>-2.49000000000001</v>
      </c>
      <c r="Z472" s="9">
        <f>MAX($B$472:$Y$472)</f>
        <v>271.06</v>
      </c>
      <c r="AA472" s="9">
        <f>MIN($B$472:$Y$472)</f>
        <v>-7.81</v>
      </c>
      <c r="AB472" s="9">
        <f>AVERAGE($B$472:$Y$472)</f>
        <v>46.284999999999997</v>
      </c>
    </row>
    <row r="473" spans="1:28">
      <c r="A473" s="10">
        <v>45763</v>
      </c>
      <c r="B473" s="7">
        <v>5.9599999999999804</v>
      </c>
      <c r="C473" s="7">
        <v>4.2799999999999701</v>
      </c>
      <c r="D473" s="7">
        <v>5.25999999999999</v>
      </c>
      <c r="E473" s="7">
        <v>11.03</v>
      </c>
      <c r="F473" s="7">
        <v>17.5</v>
      </c>
      <c r="G473" s="7">
        <v>10.25</v>
      </c>
      <c r="H473" s="7">
        <v>-0.65999999999996795</v>
      </c>
      <c r="I473" s="7">
        <v>8.56</v>
      </c>
      <c r="J473" s="7">
        <v>32.65</v>
      </c>
      <c r="K473" s="7">
        <v>141.78</v>
      </c>
      <c r="L473" s="7">
        <v>-17.78</v>
      </c>
      <c r="M473" s="7">
        <v>-5.3599999999999897</v>
      </c>
      <c r="N473" s="7">
        <v>-5</v>
      </c>
      <c r="O473" s="7">
        <v>-111.8</v>
      </c>
      <c r="P473" s="7">
        <v>15.8</v>
      </c>
      <c r="Q473" s="7">
        <v>140.21</v>
      </c>
      <c r="R473" s="7">
        <v>40.9</v>
      </c>
      <c r="S473" s="7">
        <v>32.15</v>
      </c>
      <c r="T473" s="7">
        <v>19.13</v>
      </c>
      <c r="U473" s="7">
        <v>18.45</v>
      </c>
      <c r="V473" s="7">
        <v>8.5999999999999694</v>
      </c>
      <c r="W473" s="7">
        <v>12.190000000000101</v>
      </c>
      <c r="X473" s="7">
        <v>10.82</v>
      </c>
      <c r="Y473" s="7">
        <v>13.21</v>
      </c>
      <c r="Z473" s="9">
        <f>MAX($B$473:$Y$473)</f>
        <v>141.78</v>
      </c>
      <c r="AA473" s="9">
        <f>MIN($B$473:$Y$473)</f>
        <v>-111.8</v>
      </c>
      <c r="AB473" s="9">
        <f>AVERAGE($B$473:$Y$473)</f>
        <v>17.005416666666701</v>
      </c>
    </row>
    <row r="474" spans="1:28">
      <c r="A474" s="10">
        <v>45764</v>
      </c>
      <c r="B474" s="7">
        <v>-25.309999999999899</v>
      </c>
      <c r="C474" s="7">
        <v>-14.33</v>
      </c>
      <c r="D474" s="7">
        <v>-15.87</v>
      </c>
      <c r="E474" s="7">
        <v>11.96</v>
      </c>
      <c r="F474" s="7">
        <v>7.4200000000000204</v>
      </c>
      <c r="G474" s="7">
        <v>2.22999999999996</v>
      </c>
      <c r="H474" s="7">
        <v>-0.85000000000002296</v>
      </c>
      <c r="I474" s="7">
        <v>-1.9700000000000299</v>
      </c>
      <c r="J474" s="7">
        <v>-17.32</v>
      </c>
      <c r="K474" s="7">
        <v>8.9999999999975003E-2</v>
      </c>
      <c r="L474" s="7">
        <v>5.3999999999999799</v>
      </c>
      <c r="M474" s="7">
        <v>-17.670000000000002</v>
      </c>
      <c r="N474" s="7">
        <v>69.290000000000006</v>
      </c>
      <c r="O474" s="7">
        <v>-16.920000000000002</v>
      </c>
      <c r="P474" s="7">
        <v>-5.1999999999999904</v>
      </c>
      <c r="Q474" s="7">
        <v>5.9599999999999804</v>
      </c>
      <c r="R474" s="7">
        <v>14.5</v>
      </c>
      <c r="S474" s="7">
        <v>2.7799999999999701</v>
      </c>
      <c r="T474" s="7">
        <v>-31.24</v>
      </c>
      <c r="U474" s="7">
        <v>-216.93</v>
      </c>
      <c r="V474" s="7">
        <v>-400.3</v>
      </c>
      <c r="W474" s="7">
        <v>-295.63</v>
      </c>
      <c r="X474" s="7">
        <v>-99.53</v>
      </c>
      <c r="Y474" s="7">
        <v>-0.76999999999998203</v>
      </c>
      <c r="Z474" s="9">
        <f>MAX($B$474:$Y$474)</f>
        <v>69.290000000000006</v>
      </c>
      <c r="AA474" s="9">
        <f>MIN($B$474:$Y$474)</f>
        <v>-400.3</v>
      </c>
      <c r="AB474" s="9">
        <f>AVERAGE($B$474:$Y$474)</f>
        <v>-43.342083333333299</v>
      </c>
    </row>
    <row r="475" spans="1:28">
      <c r="A475" s="10">
        <v>45765</v>
      </c>
      <c r="B475" s="7">
        <v>-59.98</v>
      </c>
      <c r="C475" s="7">
        <v>-92.92</v>
      </c>
      <c r="D475" s="7">
        <v>-39.520000000000003</v>
      </c>
      <c r="E475" s="7">
        <v>-0.53000000000003</v>
      </c>
      <c r="F475" s="7">
        <v>15.94</v>
      </c>
      <c r="G475" s="7">
        <v>1.5</v>
      </c>
      <c r="H475" s="7">
        <v>-32.200000000000003</v>
      </c>
      <c r="I475" s="7">
        <v>-29.39</v>
      </c>
      <c r="J475" s="7">
        <v>-352.67</v>
      </c>
      <c r="K475" s="7">
        <v>-123</v>
      </c>
      <c r="L475" s="7">
        <v>-14.04</v>
      </c>
      <c r="M475" s="7">
        <v>-22.23</v>
      </c>
      <c r="N475" s="7">
        <v>-13.7</v>
      </c>
      <c r="O475" s="7">
        <v>-156.72</v>
      </c>
      <c r="P475" s="7">
        <v>-122.06</v>
      </c>
      <c r="Q475" s="7">
        <v>-38.479999999999997</v>
      </c>
      <c r="R475" s="7">
        <v>0.310000000000002</v>
      </c>
      <c r="S475" s="7">
        <v>9.1699999999999608</v>
      </c>
      <c r="T475" s="7">
        <v>11.18</v>
      </c>
      <c r="U475" s="7">
        <v>-15.76</v>
      </c>
      <c r="V475" s="7">
        <v>7.63</v>
      </c>
      <c r="W475" s="7">
        <v>11.8</v>
      </c>
      <c r="X475" s="7">
        <v>13.96</v>
      </c>
      <c r="Y475" s="7">
        <v>5.1700000000000204</v>
      </c>
      <c r="Z475" s="9">
        <f>MAX($B$475:$Y$475)</f>
        <v>15.94</v>
      </c>
      <c r="AA475" s="9">
        <f>MIN($B$475:$Y$475)</f>
        <v>-352.67</v>
      </c>
      <c r="AB475" s="9">
        <f>AVERAGE($B$475:$Y$475)</f>
        <v>-43.189166666666701</v>
      </c>
    </row>
    <row r="476" spans="1:28">
      <c r="A476" s="10">
        <v>45766</v>
      </c>
      <c r="B476" s="7">
        <v>-69.37</v>
      </c>
      <c r="C476" s="7">
        <v>0.46000000000003599</v>
      </c>
      <c r="D476" s="7">
        <v>7.23000000000002</v>
      </c>
      <c r="E476" s="7">
        <v>14.31</v>
      </c>
      <c r="F476" s="7">
        <v>12.23</v>
      </c>
      <c r="G476" s="7">
        <v>11.93</v>
      </c>
      <c r="H476" s="7">
        <v>11.47</v>
      </c>
      <c r="I476" s="7">
        <v>6.76999999999998</v>
      </c>
      <c r="J476" s="7">
        <v>-23.82</v>
      </c>
      <c r="K476" s="7">
        <v>16.43</v>
      </c>
      <c r="L476" s="7">
        <v>-0.25</v>
      </c>
      <c r="M476" s="7">
        <v>-2.7000000000000499</v>
      </c>
      <c r="N476" s="7">
        <v>-8.98000000000002</v>
      </c>
      <c r="O476" s="7">
        <v>-83.95</v>
      </c>
      <c r="P476" s="7">
        <v>17.920000000000002</v>
      </c>
      <c r="Q476" s="7">
        <v>5.5900000000000301</v>
      </c>
      <c r="R476" s="7">
        <v>-6.6399999999999899</v>
      </c>
      <c r="S476" s="7">
        <v>-19.02</v>
      </c>
      <c r="T476" s="7">
        <v>-18.22</v>
      </c>
      <c r="U476" s="7">
        <v>-92.11</v>
      </c>
      <c r="V476" s="7">
        <v>-50.58</v>
      </c>
      <c r="W476" s="7">
        <v>-33.729999999999997</v>
      </c>
      <c r="X476" s="7">
        <v>1.0299999999999701</v>
      </c>
      <c r="Y476" s="7">
        <v>-2.78000000000003</v>
      </c>
      <c r="Z476" s="9">
        <f>MAX($B$476:$Y$476)</f>
        <v>17.920000000000002</v>
      </c>
      <c r="AA476" s="9">
        <f>MIN($B$476:$Y$476)</f>
        <v>-92.11</v>
      </c>
      <c r="AB476" s="9">
        <f>AVERAGE($B$476:$Y$476)</f>
        <v>-12.782500000000001</v>
      </c>
    </row>
    <row r="477" spans="1:28">
      <c r="A477" s="10">
        <v>45767</v>
      </c>
      <c r="B477" s="7">
        <v>-90.29</v>
      </c>
      <c r="C477" s="7">
        <v>18.04</v>
      </c>
      <c r="D477" s="7">
        <v>2.50999999999999</v>
      </c>
      <c r="E477" s="7">
        <v>3.00999999999999</v>
      </c>
      <c r="F477" s="7">
        <v>5.0599999999999996</v>
      </c>
      <c r="G477" s="7">
        <v>4.1000000000000201</v>
      </c>
      <c r="H477" s="7">
        <v>7.3000000000000096</v>
      </c>
      <c r="I477" s="7">
        <v>8.2099999999999795</v>
      </c>
      <c r="J477" s="7">
        <v>8.5999999999999694</v>
      </c>
      <c r="K477" s="7">
        <v>30.13</v>
      </c>
      <c r="L477" s="7">
        <v>45.77</v>
      </c>
      <c r="M477" s="7">
        <v>77.12</v>
      </c>
      <c r="N477" s="7">
        <v>15.01</v>
      </c>
      <c r="O477" s="7">
        <v>39.86</v>
      </c>
      <c r="P477" s="7">
        <v>55.78</v>
      </c>
      <c r="Q477" s="7">
        <v>40.07</v>
      </c>
      <c r="R477" s="7">
        <v>32.5</v>
      </c>
      <c r="S477" s="7">
        <v>13.9</v>
      </c>
      <c r="T477" s="7">
        <v>18.82</v>
      </c>
      <c r="U477" s="7">
        <v>6.48000000000002</v>
      </c>
      <c r="V477" s="7">
        <v>-3.1499999999999799</v>
      </c>
      <c r="W477" s="7">
        <v>-4.6000000000000201</v>
      </c>
      <c r="X477" s="7">
        <v>7.3299999999999796</v>
      </c>
      <c r="Y477" s="7">
        <v>6.0500000000000096</v>
      </c>
      <c r="Z477" s="9">
        <f>MAX($B$477:$Y$477)</f>
        <v>77.12</v>
      </c>
      <c r="AA477" s="9">
        <f>MIN($B$477:$Y$477)</f>
        <v>-90.29</v>
      </c>
      <c r="AB477" s="9">
        <f>AVERAGE($B$477:$Y$477)</f>
        <v>14.483750000000001</v>
      </c>
    </row>
    <row r="478" spans="1:28">
      <c r="A478" s="10">
        <v>45768</v>
      </c>
      <c r="B478" s="7">
        <v>-5.31</v>
      </c>
      <c r="C478" s="7">
        <v>1.44999999999999</v>
      </c>
      <c r="D478" s="7">
        <v>5.7199999999999704</v>
      </c>
      <c r="E478" s="7">
        <v>11.03</v>
      </c>
      <c r="F478" s="7">
        <v>38.979999999999997</v>
      </c>
      <c r="G478" s="7">
        <v>13.9</v>
      </c>
      <c r="H478" s="7">
        <v>9.4199999999999608</v>
      </c>
      <c r="I478" s="7">
        <v>3.63</v>
      </c>
      <c r="J478" s="7">
        <v>10.34</v>
      </c>
      <c r="K478" s="7">
        <v>28.71</v>
      </c>
      <c r="L478" s="7">
        <v>27.58</v>
      </c>
      <c r="M478" s="7">
        <v>33.56</v>
      </c>
      <c r="N478" s="7">
        <v>90.79</v>
      </c>
      <c r="O478" s="7">
        <v>4.1800000000000104</v>
      </c>
      <c r="P478" s="7">
        <v>19.3</v>
      </c>
      <c r="Q478" s="7">
        <v>-3.69999999999999</v>
      </c>
      <c r="R478" s="7">
        <v>-4.3400000000000301</v>
      </c>
      <c r="S478" s="7">
        <v>0.75</v>
      </c>
      <c r="T478" s="7">
        <v>-4.74000000000001</v>
      </c>
      <c r="U478" s="7">
        <v>-51.39</v>
      </c>
      <c r="V478" s="7">
        <v>-68.319999999999993</v>
      </c>
      <c r="W478" s="7">
        <v>-71.84</v>
      </c>
      <c r="X478" s="7">
        <v>-225.63</v>
      </c>
      <c r="Y478" s="7">
        <v>-52.05</v>
      </c>
      <c r="Z478" s="9">
        <f>MAX($B$478:$Y$478)</f>
        <v>90.79</v>
      </c>
      <c r="AA478" s="9">
        <f>MIN($B$478:$Y$478)</f>
        <v>-225.63</v>
      </c>
      <c r="AB478" s="9">
        <f>AVERAGE($B$478:$Y$478)</f>
        <v>-7.8324999999999996</v>
      </c>
    </row>
    <row r="479" spans="1:28">
      <c r="A479" s="10">
        <v>45769</v>
      </c>
      <c r="B479" s="7">
        <v>-82.35</v>
      </c>
      <c r="C479" s="7">
        <v>-136.88</v>
      </c>
      <c r="D479" s="7">
        <v>-294.13</v>
      </c>
      <c r="E479" s="7">
        <v>-40.26</v>
      </c>
      <c r="F479" s="7">
        <v>-49.76</v>
      </c>
      <c r="G479" s="7">
        <v>-45.71</v>
      </c>
      <c r="H479" s="7">
        <v>-166.01</v>
      </c>
      <c r="I479" s="7">
        <v>-20.94</v>
      </c>
      <c r="J479" s="7">
        <v>78.19</v>
      </c>
      <c r="K479" s="7">
        <v>182.95</v>
      </c>
      <c r="L479" s="7">
        <v>84.8</v>
      </c>
      <c r="M479" s="7">
        <v>310.69</v>
      </c>
      <c r="N479" s="7">
        <v>53.69</v>
      </c>
      <c r="O479" s="7">
        <v>264.39</v>
      </c>
      <c r="P479" s="7">
        <v>570.59</v>
      </c>
      <c r="Q479" s="7">
        <v>608.44000000000005</v>
      </c>
      <c r="R479" s="7">
        <v>544.07000000000005</v>
      </c>
      <c r="S479" s="7">
        <v>44.61</v>
      </c>
      <c r="T479" s="7">
        <v>-6.67999999999995</v>
      </c>
      <c r="U479" s="7">
        <v>-292.74</v>
      </c>
      <c r="V479" s="7">
        <v>-191.71</v>
      </c>
      <c r="W479" s="7">
        <v>-400</v>
      </c>
      <c r="X479" s="7">
        <v>-464.89</v>
      </c>
      <c r="Y479" s="7">
        <v>-64.45</v>
      </c>
      <c r="Z479" s="9">
        <f>MAX($B$479:$Y$479)</f>
        <v>608.44000000000005</v>
      </c>
      <c r="AA479" s="9">
        <f>MIN($B$479:$Y$479)</f>
        <v>-464.89</v>
      </c>
      <c r="AB479" s="9">
        <f>AVERAGE($B$479:$Y$479)</f>
        <v>20.24625</v>
      </c>
    </row>
    <row r="480" spans="1:28">
      <c r="A480" s="10">
        <v>45770</v>
      </c>
      <c r="B480" s="7">
        <v>73.75</v>
      </c>
      <c r="C480" s="7">
        <v>-152.06</v>
      </c>
      <c r="D480" s="7">
        <v>-116.21</v>
      </c>
      <c r="E480" s="7">
        <v>-42.39</v>
      </c>
      <c r="F480" s="7">
        <v>-4.8199999999999896</v>
      </c>
      <c r="G480" s="7">
        <v>-9.7299999999999596</v>
      </c>
      <c r="H480" s="7">
        <v>-175.16</v>
      </c>
      <c r="I480" s="7">
        <v>-37.53</v>
      </c>
      <c r="J480" s="7">
        <v>-57.92</v>
      </c>
      <c r="K480" s="7">
        <v>35.590000000000003</v>
      </c>
      <c r="L480" s="7">
        <v>218.64</v>
      </c>
      <c r="M480" s="7">
        <v>604.15</v>
      </c>
      <c r="N480" s="7">
        <v>268.43</v>
      </c>
      <c r="O480" s="7">
        <v>411.34</v>
      </c>
      <c r="P480" s="7">
        <v>461.07</v>
      </c>
      <c r="Q480" s="7">
        <v>234.74</v>
      </c>
      <c r="R480" s="7">
        <v>174.84</v>
      </c>
      <c r="S480" s="7">
        <v>176.78</v>
      </c>
      <c r="T480" s="7">
        <v>38.76</v>
      </c>
      <c r="U480" s="7">
        <v>25.26</v>
      </c>
      <c r="V480" s="7">
        <v>26.39</v>
      </c>
      <c r="W480" s="7">
        <v>72.61</v>
      </c>
      <c r="X480" s="7">
        <v>143.63</v>
      </c>
      <c r="Y480" s="7">
        <v>2.9700000000000299</v>
      </c>
      <c r="Z480" s="9">
        <f>MAX($B$480:$Y$480)</f>
        <v>604.15</v>
      </c>
      <c r="AA480" s="9">
        <f>MIN($B$480:$Y$480)</f>
        <v>-175.16</v>
      </c>
      <c r="AB480" s="9">
        <f>AVERAGE($B$480:$Y$480)</f>
        <v>98.880416666666704</v>
      </c>
    </row>
    <row r="481" spans="1:28">
      <c r="A481" s="10">
        <v>45771</v>
      </c>
      <c r="B481" s="7">
        <v>87.26</v>
      </c>
      <c r="C481" s="7">
        <v>46.69</v>
      </c>
      <c r="D481" s="7">
        <v>70.7</v>
      </c>
      <c r="E481" s="7">
        <v>37.28</v>
      </c>
      <c r="F481" s="7">
        <v>31.08</v>
      </c>
      <c r="G481" s="7">
        <v>19.59</v>
      </c>
      <c r="H481" s="7">
        <v>20.5</v>
      </c>
      <c r="I481" s="7">
        <v>4.0999999999999703</v>
      </c>
      <c r="J481" s="7">
        <v>156.13999999999999</v>
      </c>
      <c r="K481" s="7">
        <v>106.55</v>
      </c>
      <c r="L481" s="7">
        <v>86.87</v>
      </c>
      <c r="M481" s="7">
        <v>262.07</v>
      </c>
      <c r="N481" s="7">
        <v>76.239999999999995</v>
      </c>
      <c r="O481" s="7">
        <v>212.85</v>
      </c>
      <c r="P481" s="7">
        <v>256.62</v>
      </c>
      <c r="Q481" s="7">
        <v>154.79</v>
      </c>
      <c r="R481" s="7">
        <v>198.75</v>
      </c>
      <c r="S481" s="7">
        <v>76.430000000000007</v>
      </c>
      <c r="T481" s="7">
        <v>48.47</v>
      </c>
      <c r="U481" s="7">
        <v>92.74</v>
      </c>
      <c r="V481" s="7">
        <v>110.02</v>
      </c>
      <c r="W481" s="7">
        <v>103.51</v>
      </c>
      <c r="X481" s="7">
        <v>251.02</v>
      </c>
      <c r="Y481" s="7">
        <v>52.12</v>
      </c>
      <c r="Z481" s="9">
        <f>MAX($B$481:$Y$481)</f>
        <v>262.07</v>
      </c>
      <c r="AA481" s="9">
        <f>MIN($B$481:$Y$481)</f>
        <v>4.0999999999999703</v>
      </c>
      <c r="AB481" s="9">
        <f>AVERAGE($B$481:$Y$481)</f>
        <v>106.76625</v>
      </c>
    </row>
    <row r="482" spans="1:28">
      <c r="A482" s="10">
        <v>45772</v>
      </c>
      <c r="B482" s="7">
        <v>-36.630000000000003</v>
      </c>
      <c r="C482" s="7">
        <v>38.96</v>
      </c>
      <c r="D482" s="7">
        <v>26.96</v>
      </c>
      <c r="E482" s="7">
        <v>19.34</v>
      </c>
      <c r="F482" s="7">
        <v>13.35</v>
      </c>
      <c r="G482" s="7">
        <v>8.6100000000000101</v>
      </c>
      <c r="H482" s="7">
        <v>3.31</v>
      </c>
      <c r="I482" s="7">
        <v>3.8199999999999901</v>
      </c>
      <c r="J482" s="7">
        <v>13.68</v>
      </c>
      <c r="K482" s="7">
        <v>35.26</v>
      </c>
      <c r="L482" s="7">
        <v>6.75999999999999</v>
      </c>
      <c r="M482" s="7">
        <v>18.95</v>
      </c>
      <c r="N482" s="7">
        <v>18.52</v>
      </c>
      <c r="O482" s="7">
        <v>21.88</v>
      </c>
      <c r="P482" s="7">
        <v>82.25</v>
      </c>
      <c r="Q482" s="7">
        <v>72.62</v>
      </c>
      <c r="R482" s="7">
        <v>65.709999999999994</v>
      </c>
      <c r="S482" s="7">
        <v>44.75</v>
      </c>
      <c r="T482" s="7">
        <v>40.67</v>
      </c>
      <c r="U482" s="7">
        <v>12.08</v>
      </c>
      <c r="V482" s="7">
        <v>25.45</v>
      </c>
      <c r="W482" s="7">
        <v>24.84</v>
      </c>
      <c r="X482" s="7">
        <v>39.549999999999997</v>
      </c>
      <c r="Y482" s="7">
        <v>15.16</v>
      </c>
      <c r="Z482" s="9">
        <f>MAX($B$482:$Y$482)</f>
        <v>82.25</v>
      </c>
      <c r="AA482" s="9">
        <f>MIN($B$482:$Y$482)</f>
        <v>-36.630000000000003</v>
      </c>
      <c r="AB482" s="9">
        <f>AVERAGE($B$482:$Y$482)</f>
        <v>25.660416666666698</v>
      </c>
    </row>
    <row r="483" spans="1:28">
      <c r="A483" s="10">
        <v>45773</v>
      </c>
      <c r="B483" s="7">
        <v>-37.6</v>
      </c>
      <c r="C483" s="7">
        <v>13.46</v>
      </c>
      <c r="D483" s="7">
        <v>14.41</v>
      </c>
      <c r="E483" s="7">
        <v>20.75</v>
      </c>
      <c r="F483" s="7">
        <v>45.43</v>
      </c>
      <c r="G483" s="7">
        <v>15.69</v>
      </c>
      <c r="H483" s="7">
        <v>12.48</v>
      </c>
      <c r="I483" s="7">
        <v>8.5699999999999896</v>
      </c>
      <c r="J483" s="7">
        <v>7.1600000000000303</v>
      </c>
      <c r="K483" s="7">
        <v>48.8</v>
      </c>
      <c r="L483" s="7">
        <v>73.72</v>
      </c>
      <c r="M483" s="7">
        <v>53.28</v>
      </c>
      <c r="N483" s="7">
        <v>130.76</v>
      </c>
      <c r="O483" s="7">
        <v>35.42</v>
      </c>
      <c r="P483" s="7">
        <v>4.2099999999999804</v>
      </c>
      <c r="Q483" s="7">
        <v>68.11</v>
      </c>
      <c r="R483" s="7">
        <v>65.8</v>
      </c>
      <c r="S483" s="7">
        <v>36.32</v>
      </c>
      <c r="T483" s="7">
        <v>17.87</v>
      </c>
      <c r="U483" s="7">
        <v>18.260000000000002</v>
      </c>
      <c r="V483" s="7">
        <v>29.98</v>
      </c>
      <c r="W483" s="7">
        <v>21.96</v>
      </c>
      <c r="X483" s="7">
        <v>25.12</v>
      </c>
      <c r="Y483" s="7">
        <v>32.89</v>
      </c>
      <c r="Z483" s="9">
        <f>MAX($B$483:$Y$483)</f>
        <v>130.76</v>
      </c>
      <c r="AA483" s="9">
        <f>MIN($B$483:$Y$483)</f>
        <v>-37.6</v>
      </c>
      <c r="AB483" s="9">
        <f>AVERAGE($B$483:$Y$483)</f>
        <v>31.785416666666698</v>
      </c>
    </row>
    <row r="484" spans="1:28">
      <c r="A484" s="10">
        <v>45774</v>
      </c>
      <c r="B484" s="7">
        <v>-5.7799999999999701</v>
      </c>
      <c r="C484" s="7">
        <v>-2.05000000000001</v>
      </c>
      <c r="D484" s="7">
        <v>3</v>
      </c>
      <c r="E484" s="7">
        <v>4.9700000000000299</v>
      </c>
      <c r="F484" s="7">
        <v>9.1300000000000008</v>
      </c>
      <c r="G484" s="7">
        <v>-1.19999999999999</v>
      </c>
      <c r="H484" s="7">
        <v>-23.29</v>
      </c>
      <c r="I484" s="7">
        <v>-12.65</v>
      </c>
      <c r="J484" s="7">
        <v>-9.7900000000000205</v>
      </c>
      <c r="K484" s="7">
        <v>-18.829999999999998</v>
      </c>
      <c r="L484" s="7">
        <v>6.6700000000000204</v>
      </c>
      <c r="M484" s="7">
        <v>37.4</v>
      </c>
      <c r="N484" s="7">
        <v>7.24000000000001</v>
      </c>
      <c r="O484" s="7">
        <v>14.33</v>
      </c>
      <c r="P484" s="7">
        <v>22.15</v>
      </c>
      <c r="Q484" s="7">
        <v>16.82</v>
      </c>
      <c r="R484" s="7">
        <v>8.2299999999999596</v>
      </c>
      <c r="S484" s="7">
        <v>76.709999999999994</v>
      </c>
      <c r="T484" s="7">
        <v>10.69</v>
      </c>
      <c r="U484" s="7">
        <v>12.56</v>
      </c>
      <c r="V484" s="7">
        <v>-1.73000000000002</v>
      </c>
      <c r="W484" s="7">
        <v>12.03</v>
      </c>
      <c r="X484" s="7">
        <v>7.7900000000000196</v>
      </c>
      <c r="Y484" s="7">
        <v>2.19999999999999</v>
      </c>
      <c r="Z484" s="9">
        <f>MAX($B$484:$Y$484)</f>
        <v>76.709999999999994</v>
      </c>
      <c r="AA484" s="9">
        <f>MIN($B$484:$Y$484)</f>
        <v>-23.29</v>
      </c>
      <c r="AB484" s="9">
        <f>AVERAGE($B$484:$Y$484)</f>
        <v>7.3583333333333298</v>
      </c>
    </row>
    <row r="485" spans="1:28">
      <c r="A485" s="10">
        <v>45775</v>
      </c>
      <c r="B485" s="7">
        <v>-9.5500000000000096</v>
      </c>
      <c r="C485" s="7">
        <v>2.78000000000003</v>
      </c>
      <c r="D485" s="7">
        <v>3.54000000000002</v>
      </c>
      <c r="E485" s="7">
        <v>7.3800000000000496</v>
      </c>
      <c r="F485" s="7">
        <v>7.31</v>
      </c>
      <c r="G485" s="7">
        <v>5.48000000000002</v>
      </c>
      <c r="H485" s="7">
        <v>4.5699999999999896</v>
      </c>
      <c r="I485" s="7">
        <v>3.04000000000002</v>
      </c>
      <c r="J485" s="7">
        <v>3.6399999999999899</v>
      </c>
      <c r="K485" s="7">
        <v>72.53</v>
      </c>
      <c r="L485" s="7">
        <v>60.61</v>
      </c>
      <c r="M485" s="7">
        <v>56.79</v>
      </c>
      <c r="N485" s="7">
        <v>2.73000000000002</v>
      </c>
      <c r="O485" s="7">
        <v>48.04</v>
      </c>
      <c r="P485" s="7">
        <v>120.91</v>
      </c>
      <c r="Q485" s="7">
        <v>50.6</v>
      </c>
      <c r="R485" s="7">
        <v>33.15</v>
      </c>
      <c r="S485" s="7">
        <v>-9.75</v>
      </c>
      <c r="T485" s="7">
        <v>-3.6600000000000201</v>
      </c>
      <c r="U485" s="7">
        <v>-23.43</v>
      </c>
      <c r="V485" s="7">
        <v>-34.46</v>
      </c>
      <c r="W485" s="7">
        <v>32.54</v>
      </c>
      <c r="X485" s="7">
        <v>43.9</v>
      </c>
      <c r="Y485" s="7">
        <v>21.94</v>
      </c>
      <c r="Z485" s="9">
        <f>MAX($B$485:$Y$485)</f>
        <v>120.91</v>
      </c>
      <c r="AA485" s="9">
        <f>MIN($B$485:$Y$485)</f>
        <v>-34.46</v>
      </c>
      <c r="AB485" s="9">
        <f>AVERAGE($B$485:$Y$485)</f>
        <v>20.859583333333301</v>
      </c>
    </row>
    <row r="486" spans="1:28">
      <c r="A486" s="10">
        <v>45776</v>
      </c>
      <c r="B486" s="7">
        <v>-9.7799999999999692</v>
      </c>
      <c r="C486" s="7">
        <v>-19.760000000000002</v>
      </c>
      <c r="D486" s="7">
        <v>8.48000000000002</v>
      </c>
      <c r="E486" s="7">
        <v>5.4099999999999699</v>
      </c>
      <c r="F486" s="7">
        <v>1.3199999999999901</v>
      </c>
      <c r="G486" s="7">
        <v>-1.2100000000000399</v>
      </c>
      <c r="H486" s="7">
        <v>-10.34</v>
      </c>
      <c r="I486" s="7">
        <v>10.33</v>
      </c>
      <c r="J486" s="7">
        <v>4.5300000000000296</v>
      </c>
      <c r="K486" s="7">
        <v>62.77</v>
      </c>
      <c r="L486" s="7">
        <v>109.19</v>
      </c>
      <c r="M486" s="7">
        <v>154.69999999999999</v>
      </c>
      <c r="N486" s="7">
        <v>62.15</v>
      </c>
      <c r="O486" s="7">
        <v>-130.44</v>
      </c>
      <c r="P486" s="7">
        <v>-248.89</v>
      </c>
      <c r="Q486" s="7">
        <v>-468.52</v>
      </c>
      <c r="R486" s="7">
        <v>-105.24</v>
      </c>
      <c r="S486" s="7">
        <v>81.27</v>
      </c>
      <c r="T486" s="7">
        <v>39.36</v>
      </c>
      <c r="U486" s="7">
        <v>-10.31</v>
      </c>
      <c r="V486" s="7">
        <v>5.6999999999999904</v>
      </c>
      <c r="W486" s="7">
        <v>39.25</v>
      </c>
      <c r="X486" s="7">
        <v>28.82</v>
      </c>
      <c r="Y486" s="7">
        <v>1.25</v>
      </c>
      <c r="Z486" s="9">
        <f>MAX($B$486:$Y$486)</f>
        <v>154.69999999999999</v>
      </c>
      <c r="AA486" s="9">
        <f>MIN($B$486:$Y$486)</f>
        <v>-468.52</v>
      </c>
      <c r="AB486" s="9">
        <f>AVERAGE($B$486:$Y$486)</f>
        <v>-16.248333333333299</v>
      </c>
    </row>
    <row r="487" spans="1:28">
      <c r="A487" s="10">
        <v>45777</v>
      </c>
      <c r="B487" s="7">
        <v>-124.3</v>
      </c>
      <c r="C487" s="7">
        <v>-81.78</v>
      </c>
      <c r="D487" s="7">
        <v>-43.38</v>
      </c>
      <c r="E487" s="7">
        <v>2.6100000000000101</v>
      </c>
      <c r="F487" s="7">
        <v>-0.97000000000002695</v>
      </c>
      <c r="G487" s="7">
        <v>4.2000000000000499</v>
      </c>
      <c r="H487" s="7">
        <v>-61.85</v>
      </c>
      <c r="I487" s="7">
        <v>-27.8200000000001</v>
      </c>
      <c r="J487" s="7">
        <v>3.69999999999999</v>
      </c>
      <c r="K487" s="7">
        <v>14.02</v>
      </c>
      <c r="L487" s="7">
        <v>57.46</v>
      </c>
      <c r="M487" s="7">
        <v>196.05</v>
      </c>
      <c r="N487" s="7">
        <v>40.729999999999997</v>
      </c>
      <c r="O487" s="7">
        <v>-118.75</v>
      </c>
      <c r="P487" s="7">
        <v>-118.65</v>
      </c>
      <c r="Q487" s="7">
        <v>-98.07</v>
      </c>
      <c r="R487" s="7">
        <v>33.119999999999997</v>
      </c>
      <c r="S487" s="7">
        <v>11.71</v>
      </c>
      <c r="T487" s="7">
        <v>35.67</v>
      </c>
      <c r="U487" s="7">
        <v>19.899999999999999</v>
      </c>
      <c r="V487" s="7">
        <v>67.290000000000006</v>
      </c>
      <c r="W487" s="7">
        <v>165.52</v>
      </c>
      <c r="X487" s="7">
        <v>27.76</v>
      </c>
      <c r="Y487" s="7">
        <v>-80.94</v>
      </c>
      <c r="Z487" s="9">
        <f>MAX($B$487:$Y$487)</f>
        <v>196.05</v>
      </c>
      <c r="AA487" s="9">
        <f>MIN($B$487:$Y$487)</f>
        <v>-124.3</v>
      </c>
      <c r="AB487" s="9">
        <f>AVERAGE($B$487:$Y$487)</f>
        <v>-3.19875</v>
      </c>
    </row>
    <row r="488" spans="1:28">
      <c r="A488" s="10">
        <v>45778</v>
      </c>
      <c r="B488" s="7">
        <v>-309.51</v>
      </c>
      <c r="C488" s="7">
        <v>-629.83000000000004</v>
      </c>
      <c r="D488" s="7">
        <v>-301.72000000000003</v>
      </c>
      <c r="E488" s="7">
        <v>-21.43</v>
      </c>
      <c r="F488" s="7">
        <v>25.19</v>
      </c>
      <c r="G488" s="7">
        <v>11.67</v>
      </c>
      <c r="H488" s="7">
        <v>-12.51</v>
      </c>
      <c r="I488" s="7">
        <v>26.79</v>
      </c>
      <c r="J488" s="7">
        <v>-0.11</v>
      </c>
      <c r="K488" s="7">
        <v>-108.51</v>
      </c>
      <c r="L488" s="7">
        <v>-120.02</v>
      </c>
      <c r="M488" s="7">
        <v>-109.09</v>
      </c>
      <c r="N488" s="7">
        <v>-264.24</v>
      </c>
      <c r="O488" s="7">
        <v>-245.46</v>
      </c>
      <c r="P488" s="7">
        <v>-47.97</v>
      </c>
      <c r="Q488" s="7">
        <v>1.92</v>
      </c>
      <c r="R488" s="7">
        <v>-26.89</v>
      </c>
      <c r="S488" s="7">
        <v>12.97</v>
      </c>
      <c r="T488" s="7">
        <v>-16.27</v>
      </c>
      <c r="U488" s="7">
        <v>-221.95</v>
      </c>
      <c r="V488" s="7">
        <v>-147.09</v>
      </c>
      <c r="W488" s="7">
        <v>-184.41</v>
      </c>
      <c r="X488" s="7">
        <v>-400.91</v>
      </c>
      <c r="Y488" s="7">
        <v>-47.18</v>
      </c>
      <c r="Z488" s="9">
        <f>MAX($B$488:$Y$488)</f>
        <v>26.79</v>
      </c>
      <c r="AA488" s="9">
        <f>MIN($B$488:$Y$488)</f>
        <v>-629.83000000000004</v>
      </c>
      <c r="AB488" s="9">
        <f>AVERAGE($B$488:$Y$488)</f>
        <v>-130.69</v>
      </c>
    </row>
    <row r="489" spans="1:28">
      <c r="A489" s="10">
        <v>45779</v>
      </c>
      <c r="B489" s="7">
        <v>-184.66</v>
      </c>
      <c r="C489" s="7">
        <v>-54.56</v>
      </c>
      <c r="D489" s="7">
        <v>-84.85</v>
      </c>
      <c r="E489" s="7">
        <v>-19.84</v>
      </c>
      <c r="F489" s="7">
        <v>-24.22</v>
      </c>
      <c r="G489" s="7">
        <v>-34.28</v>
      </c>
      <c r="H489" s="7">
        <v>-64.010000000000005</v>
      </c>
      <c r="I489" s="7">
        <v>-23.69</v>
      </c>
      <c r="J489" s="7">
        <v>0.62999999999999501</v>
      </c>
      <c r="K489" s="7">
        <v>-31.92</v>
      </c>
      <c r="L489" s="7">
        <v>-58.8</v>
      </c>
      <c r="M489" s="7">
        <v>-20.46</v>
      </c>
      <c r="N489" s="7">
        <v>-117.27</v>
      </c>
      <c r="O489" s="7">
        <v>-122.29</v>
      </c>
      <c r="P489" s="7">
        <v>75.290000000000006</v>
      </c>
      <c r="Q489" s="7">
        <v>1.5699999999999901</v>
      </c>
      <c r="R489" s="7">
        <v>-14.93</v>
      </c>
      <c r="S489" s="7">
        <v>9.0400000000000205</v>
      </c>
      <c r="T489" s="7">
        <v>-29.46</v>
      </c>
      <c r="U489" s="7">
        <v>-254.35</v>
      </c>
      <c r="V489" s="7">
        <v>-100.13</v>
      </c>
      <c r="W489" s="7">
        <v>-309.02</v>
      </c>
      <c r="X489" s="7">
        <v>-428.47</v>
      </c>
      <c r="Y489" s="7">
        <v>-191</v>
      </c>
      <c r="Z489" s="9">
        <f>MAX($B$489:$Y$489)</f>
        <v>75.290000000000006</v>
      </c>
      <c r="AA489" s="9">
        <f>MIN($B$489:$Y$489)</f>
        <v>-428.47</v>
      </c>
      <c r="AB489" s="9">
        <f>AVERAGE($B$489:$Y$489)</f>
        <v>-86.736666666666693</v>
      </c>
    </row>
    <row r="490" spans="1:28">
      <c r="A490" s="10">
        <v>45780</v>
      </c>
      <c r="B490" s="7">
        <v>18.87</v>
      </c>
      <c r="C490" s="7">
        <v>-474.33</v>
      </c>
      <c r="D490" s="7">
        <v>-452.36</v>
      </c>
      <c r="E490" s="7">
        <v>-339.09</v>
      </c>
      <c r="F490" s="7">
        <v>-263.11</v>
      </c>
      <c r="G490" s="7">
        <v>-104.98</v>
      </c>
      <c r="H490" s="7">
        <v>-619.92999999999995</v>
      </c>
      <c r="I490" s="7">
        <v>-216.54</v>
      </c>
      <c r="J490" s="7">
        <v>60.9</v>
      </c>
      <c r="K490" s="7">
        <v>39.17</v>
      </c>
      <c r="L490" s="7">
        <v>93.13</v>
      </c>
      <c r="M490" s="7">
        <v>107.83</v>
      </c>
      <c r="N490" s="7">
        <v>110.06</v>
      </c>
      <c r="O490" s="7">
        <v>61.23</v>
      </c>
      <c r="P490" s="7">
        <v>43.81</v>
      </c>
      <c r="Q490" s="7">
        <v>37.75</v>
      </c>
      <c r="R490" s="7">
        <v>27.17</v>
      </c>
      <c r="S490" s="7">
        <v>33.15</v>
      </c>
      <c r="T490" s="7">
        <v>12.71</v>
      </c>
      <c r="U490" s="7">
        <v>-18.28</v>
      </c>
      <c r="V490" s="7">
        <v>-40.369999999999997</v>
      </c>
      <c r="W490" s="7">
        <v>-46.01</v>
      </c>
      <c r="X490" s="7">
        <v>-35.770000000000003</v>
      </c>
      <c r="Y490" s="7">
        <v>30.35</v>
      </c>
      <c r="Z490" s="9">
        <f>MAX($B$490:$Y$490)</f>
        <v>110.06</v>
      </c>
      <c r="AA490" s="9">
        <f>MIN($B$490:$Y$490)</f>
        <v>-619.92999999999995</v>
      </c>
      <c r="AB490" s="9">
        <f>AVERAGE($B$490:$Y$490)</f>
        <v>-80.61</v>
      </c>
    </row>
    <row r="491" spans="1:28">
      <c r="A491" s="10">
        <v>45781</v>
      </c>
      <c r="B491" s="7">
        <v>-18.059999999999999</v>
      </c>
      <c r="C491" s="7">
        <v>-31.4</v>
      </c>
      <c r="D491" s="7">
        <v>-34.24</v>
      </c>
      <c r="E491" s="7">
        <v>-23.05</v>
      </c>
      <c r="F491" s="7">
        <v>-27.03</v>
      </c>
      <c r="G491" s="7">
        <v>-20.88</v>
      </c>
      <c r="H491" s="7">
        <v>-45.09</v>
      </c>
      <c r="I491" s="7">
        <v>-5.6100000000000101</v>
      </c>
      <c r="J491" s="7">
        <v>-1.94</v>
      </c>
      <c r="K491" s="7">
        <v>21.52</v>
      </c>
      <c r="L491" s="7">
        <v>37.01</v>
      </c>
      <c r="M491" s="7">
        <v>19.73</v>
      </c>
      <c r="N491" s="7">
        <v>115.66</v>
      </c>
      <c r="O491" s="7">
        <v>-58.17</v>
      </c>
      <c r="P491" s="7">
        <v>12.91</v>
      </c>
      <c r="Q491" s="7">
        <v>-65.81</v>
      </c>
      <c r="R491" s="7">
        <v>24.04</v>
      </c>
      <c r="S491" s="7">
        <v>61.68</v>
      </c>
      <c r="T491" s="7">
        <v>34.89</v>
      </c>
      <c r="U491" s="7">
        <v>13.41</v>
      </c>
      <c r="V491" s="7">
        <v>-3.00999999999999</v>
      </c>
      <c r="W491" s="7">
        <v>-14.39</v>
      </c>
      <c r="X491" s="7">
        <v>-137.99</v>
      </c>
      <c r="Y491" s="7">
        <v>-27.52</v>
      </c>
      <c r="Z491" s="9">
        <f>MAX($B$491:$Y$491)</f>
        <v>115.66</v>
      </c>
      <c r="AA491" s="9">
        <f>MIN($B$491:$Y$491)</f>
        <v>-137.99</v>
      </c>
      <c r="AB491" s="9">
        <f>AVERAGE($B$491:$Y$491)</f>
        <v>-7.2225000000000001</v>
      </c>
    </row>
    <row r="492" spans="1:28">
      <c r="A492" s="10">
        <v>45782</v>
      </c>
      <c r="B492" s="7">
        <v>-85.77</v>
      </c>
      <c r="C492" s="7">
        <v>-46.55</v>
      </c>
      <c r="D492" s="7">
        <v>2.9200000000000199</v>
      </c>
      <c r="E492" s="7">
        <v>24.69</v>
      </c>
      <c r="F492" s="7">
        <v>14.38</v>
      </c>
      <c r="G492" s="7">
        <v>13.27</v>
      </c>
      <c r="H492" s="7">
        <v>21.65</v>
      </c>
      <c r="I492" s="7">
        <v>20.98</v>
      </c>
      <c r="J492" s="7">
        <v>13.56</v>
      </c>
      <c r="K492" s="7">
        <v>-176.97</v>
      </c>
      <c r="L492" s="7">
        <v>-76.72</v>
      </c>
      <c r="M492" s="7">
        <v>-372.29</v>
      </c>
      <c r="N492" s="7">
        <v>20.28</v>
      </c>
      <c r="O492" s="7">
        <v>-121.64</v>
      </c>
      <c r="P492" s="7">
        <v>-68.739999999999995</v>
      </c>
      <c r="Q492" s="7">
        <v>-454.23</v>
      </c>
      <c r="R492" s="7">
        <v>-478.44</v>
      </c>
      <c r="S492" s="7">
        <v>-179.19</v>
      </c>
      <c r="T492" s="7">
        <v>-27.85</v>
      </c>
      <c r="U492" s="7">
        <v>-6.4499999999999904</v>
      </c>
      <c r="V492" s="7">
        <v>-52.56</v>
      </c>
      <c r="W492" s="7">
        <v>-226.63</v>
      </c>
      <c r="X492" s="7">
        <v>24.98</v>
      </c>
      <c r="Y492" s="7">
        <v>-4.87</v>
      </c>
      <c r="Z492" s="9">
        <f>MAX($B$492:$Y$492)</f>
        <v>24.98</v>
      </c>
      <c r="AA492" s="9">
        <f>MIN($B$492:$Y$492)</f>
        <v>-478.44</v>
      </c>
      <c r="AB492" s="9">
        <f>AVERAGE($B$492:$Y$492)</f>
        <v>-92.591250000000002</v>
      </c>
    </row>
    <row r="493" spans="1:28">
      <c r="A493" s="10">
        <v>45783</v>
      </c>
      <c r="B493" s="7">
        <v>-426.39</v>
      </c>
      <c r="C493" s="7">
        <v>-609.58000000000004</v>
      </c>
      <c r="D493" s="7">
        <v>-371.11</v>
      </c>
      <c r="E493" s="7">
        <v>-218.99</v>
      </c>
      <c r="F493" s="7">
        <v>-79.55</v>
      </c>
      <c r="G493" s="7">
        <v>-120.82</v>
      </c>
      <c r="H493" s="7">
        <v>-379.39</v>
      </c>
      <c r="I493" s="7">
        <v>-17.41</v>
      </c>
      <c r="J493" s="7">
        <v>-5.5699999999999896</v>
      </c>
      <c r="K493" s="7">
        <v>62.75</v>
      </c>
      <c r="L493" s="7">
        <v>142.1</v>
      </c>
      <c r="M493" s="7">
        <v>241.87</v>
      </c>
      <c r="N493" s="7">
        <v>8.0799999999999805</v>
      </c>
      <c r="O493" s="7">
        <v>-218.45</v>
      </c>
      <c r="P493" s="7">
        <v>109.77</v>
      </c>
      <c r="Q493" s="7">
        <v>-14.77</v>
      </c>
      <c r="R493" s="7">
        <v>117.1</v>
      </c>
      <c r="S493" s="7">
        <v>-12.08</v>
      </c>
      <c r="T493" s="7">
        <v>-0.67000000000001603</v>
      </c>
      <c r="U493" s="7">
        <v>4.7600000000000504</v>
      </c>
      <c r="V493" s="7">
        <v>-53.77</v>
      </c>
      <c r="W493" s="7">
        <v>-153.94</v>
      </c>
      <c r="X493" s="7">
        <v>-241.01</v>
      </c>
      <c r="Y493" s="7">
        <v>-23.04</v>
      </c>
      <c r="Z493" s="9">
        <f>MAX($B$493:$Y$493)</f>
        <v>241.87</v>
      </c>
      <c r="AA493" s="9">
        <f>MIN($B$493:$Y$493)</f>
        <v>-609.58000000000004</v>
      </c>
      <c r="AB493" s="9">
        <f>AVERAGE($B$493:$Y$493)</f>
        <v>-94.171250000000001</v>
      </c>
    </row>
    <row r="494" spans="1:28">
      <c r="A494" s="10">
        <v>45784</v>
      </c>
      <c r="B494" s="7">
        <v>-108.1</v>
      </c>
      <c r="C494" s="7">
        <v>57.31</v>
      </c>
      <c r="D494" s="7">
        <v>148.51</v>
      </c>
      <c r="E494" s="7">
        <v>58</v>
      </c>
      <c r="F494" s="7">
        <v>28.1</v>
      </c>
      <c r="G494" s="7">
        <v>25.62</v>
      </c>
      <c r="H494" s="7">
        <v>61.2</v>
      </c>
      <c r="I494" s="7">
        <v>24.25</v>
      </c>
      <c r="J494" s="7">
        <v>32.06</v>
      </c>
      <c r="K494" s="7">
        <v>160.35</v>
      </c>
      <c r="L494" s="7">
        <v>147.71</v>
      </c>
      <c r="M494" s="7">
        <v>190.92</v>
      </c>
      <c r="N494" s="7">
        <v>43.97</v>
      </c>
      <c r="O494" s="7">
        <v>134.91</v>
      </c>
      <c r="P494" s="7">
        <v>244.06</v>
      </c>
      <c r="Q494" s="7">
        <v>117.13</v>
      </c>
      <c r="R494" s="7">
        <v>244.44</v>
      </c>
      <c r="S494" s="7">
        <v>163.72</v>
      </c>
      <c r="T494" s="7">
        <v>94.33</v>
      </c>
      <c r="U494" s="7">
        <v>133.74</v>
      </c>
      <c r="V494" s="7">
        <v>57.94</v>
      </c>
      <c r="W494" s="7">
        <v>65.36</v>
      </c>
      <c r="X494" s="7">
        <v>73</v>
      </c>
      <c r="Y494" s="7">
        <v>42.54</v>
      </c>
      <c r="Z494" s="9">
        <f>MAX($B$494:$Y$494)</f>
        <v>244.44</v>
      </c>
      <c r="AA494" s="9">
        <f>MIN($B$494:$Y$494)</f>
        <v>-108.1</v>
      </c>
      <c r="AB494" s="9">
        <f>AVERAGE($B$494:$Y$494)</f>
        <v>93.377916666666707</v>
      </c>
    </row>
    <row r="495" spans="1:28">
      <c r="A495" s="10">
        <v>45785</v>
      </c>
      <c r="B495" s="7">
        <v>5.8400000000000301</v>
      </c>
      <c r="C495" s="7">
        <v>4.87</v>
      </c>
      <c r="D495" s="7">
        <v>18.100000000000001</v>
      </c>
      <c r="E495" s="7">
        <v>20.100000000000001</v>
      </c>
      <c r="F495" s="7">
        <v>18.649999999999999</v>
      </c>
      <c r="G495" s="7">
        <v>11.59</v>
      </c>
      <c r="H495" s="7">
        <v>0.37999999999999501</v>
      </c>
      <c r="I495" s="7">
        <v>1.8199999999999901</v>
      </c>
      <c r="J495" s="7">
        <v>-94.73</v>
      </c>
      <c r="K495" s="7">
        <v>-117.18</v>
      </c>
      <c r="L495" s="7">
        <v>-164.58</v>
      </c>
      <c r="M495" s="7">
        <v>-358.06</v>
      </c>
      <c r="N495" s="7">
        <v>-23.8</v>
      </c>
      <c r="O495" s="7">
        <v>228.38</v>
      </c>
      <c r="P495" s="7">
        <v>0.12000000000000501</v>
      </c>
      <c r="Q495" s="7">
        <v>1.71999999999997</v>
      </c>
      <c r="R495" s="7">
        <v>-127.69</v>
      </c>
      <c r="S495" s="7">
        <v>-13.47</v>
      </c>
      <c r="T495" s="7">
        <v>-0.80000000000001104</v>
      </c>
      <c r="U495" s="7">
        <v>-15.91</v>
      </c>
      <c r="V495" s="7">
        <v>-72.42</v>
      </c>
      <c r="W495" s="7">
        <v>-116.04</v>
      </c>
      <c r="X495" s="7">
        <v>-8.9900000000000109</v>
      </c>
      <c r="Y495" s="7">
        <v>3.75999999999999</v>
      </c>
      <c r="Z495" s="9">
        <f>MAX($B$495:$Y$495)</f>
        <v>228.38</v>
      </c>
      <c r="AA495" s="9">
        <f>MIN($B$495:$Y$495)</f>
        <v>-358.06</v>
      </c>
      <c r="AB495" s="9">
        <f>AVERAGE($B$495:$Y$495)</f>
        <v>-33.264166666666704</v>
      </c>
    </row>
    <row r="496" spans="1:28">
      <c r="A496" s="10">
        <v>45786</v>
      </c>
      <c r="B496" s="7">
        <v>47.12</v>
      </c>
      <c r="C496" s="7">
        <v>-14.14</v>
      </c>
      <c r="D496" s="7">
        <v>-37.15</v>
      </c>
      <c r="E496" s="7">
        <v>-13.85</v>
      </c>
      <c r="F496" s="7">
        <v>5.1700000000000204</v>
      </c>
      <c r="G496" s="7">
        <v>8.1500000000000306</v>
      </c>
      <c r="H496" s="7">
        <v>-24.63</v>
      </c>
      <c r="I496" s="7">
        <v>20.72</v>
      </c>
      <c r="J496" s="7">
        <v>-120.79</v>
      </c>
      <c r="K496" s="7">
        <v>-399.64</v>
      </c>
      <c r="L496" s="7">
        <v>-116.44</v>
      </c>
      <c r="M496" s="7">
        <v>56.79</v>
      </c>
      <c r="N496" s="7">
        <v>95.77</v>
      </c>
      <c r="O496" s="7">
        <v>201.48</v>
      </c>
      <c r="P496" s="7">
        <v>147.94</v>
      </c>
      <c r="Q496" s="7">
        <v>144.38999999999999</v>
      </c>
      <c r="R496" s="7">
        <v>222.78</v>
      </c>
      <c r="S496" s="7">
        <v>184.24</v>
      </c>
      <c r="T496" s="7">
        <v>41.23</v>
      </c>
      <c r="U496" s="7">
        <v>21.95</v>
      </c>
      <c r="V496" s="7">
        <v>26.99</v>
      </c>
      <c r="W496" s="7">
        <v>35.17</v>
      </c>
      <c r="X496" s="7">
        <v>30.87</v>
      </c>
      <c r="Y496" s="7">
        <v>-154.69999999999999</v>
      </c>
      <c r="Z496" s="9">
        <f>MAX($B$496:$Y$496)</f>
        <v>222.78</v>
      </c>
      <c r="AA496" s="9">
        <f>MIN($B$496:$Y$496)</f>
        <v>-399.64</v>
      </c>
      <c r="AB496" s="9">
        <f>AVERAGE($B$496:$Y$496)</f>
        <v>17.059166666666702</v>
      </c>
    </row>
    <row r="497" spans="1:28">
      <c r="A497" s="10">
        <v>45787</v>
      </c>
      <c r="B497" s="7">
        <v>16.329999999999998</v>
      </c>
      <c r="C497" s="7">
        <v>21.27</v>
      </c>
      <c r="D497" s="7">
        <v>24.37</v>
      </c>
      <c r="E497" s="7">
        <v>15.53</v>
      </c>
      <c r="F497" s="7">
        <v>25.33</v>
      </c>
      <c r="G497" s="7">
        <v>19.760000000000002</v>
      </c>
      <c r="H497" s="7">
        <v>75.849999999999994</v>
      </c>
      <c r="I497" s="7">
        <v>41.59</v>
      </c>
      <c r="J497" s="7">
        <v>37.090000000000003</v>
      </c>
      <c r="K497" s="7">
        <v>42.27</v>
      </c>
      <c r="L497" s="7">
        <v>36.840000000000003</v>
      </c>
      <c r="M497" s="7">
        <v>27.29</v>
      </c>
      <c r="N497" s="7">
        <v>30.82</v>
      </c>
      <c r="O497" s="7">
        <v>6.3999999999999799</v>
      </c>
      <c r="P497" s="7">
        <v>-0.41999999999995902</v>
      </c>
      <c r="Q497" s="7">
        <v>-23.32</v>
      </c>
      <c r="R497" s="7">
        <v>-36.56</v>
      </c>
      <c r="S497" s="7">
        <v>-1.19999999999999</v>
      </c>
      <c r="T497" s="7">
        <v>9.7099999999999795</v>
      </c>
      <c r="U497" s="7">
        <v>19.260000000000002</v>
      </c>
      <c r="V497" s="7">
        <v>20.59</v>
      </c>
      <c r="W497" s="7">
        <v>22.07</v>
      </c>
      <c r="X497" s="7">
        <v>31.15</v>
      </c>
      <c r="Y497" s="7">
        <v>36.72</v>
      </c>
      <c r="Z497" s="9">
        <f>MAX($B$497:$Y$497)</f>
        <v>75.849999999999994</v>
      </c>
      <c r="AA497" s="9">
        <f>MIN($B$497:$Y$497)</f>
        <v>-36.56</v>
      </c>
      <c r="AB497" s="9">
        <f>AVERAGE($B$497:$Y$497)</f>
        <v>20.780833333333302</v>
      </c>
    </row>
    <row r="498" spans="1:28">
      <c r="A498" s="10">
        <v>45788</v>
      </c>
      <c r="B498" s="7">
        <v>16.5</v>
      </c>
      <c r="C498" s="7">
        <v>87.98</v>
      </c>
      <c r="D498" s="7">
        <v>67.209999999999994</v>
      </c>
      <c r="E498" s="7">
        <v>148.36000000000001</v>
      </c>
      <c r="F498" s="7">
        <v>244.4</v>
      </c>
      <c r="G498" s="7">
        <v>194.66</v>
      </c>
      <c r="H498" s="7">
        <v>120.17</v>
      </c>
      <c r="I498" s="7">
        <v>35.85</v>
      </c>
      <c r="J498" s="7">
        <v>122.3</v>
      </c>
      <c r="K498" s="7">
        <v>159.56</v>
      </c>
      <c r="L498" s="7">
        <v>114.51</v>
      </c>
      <c r="M498" s="7">
        <v>135.21</v>
      </c>
      <c r="N498" s="7">
        <v>58.73</v>
      </c>
      <c r="O498" s="7">
        <v>119.62</v>
      </c>
      <c r="P498" s="7">
        <v>200.99</v>
      </c>
      <c r="Q498" s="7">
        <v>209.43</v>
      </c>
      <c r="R498" s="7">
        <v>215.51</v>
      </c>
      <c r="S498" s="7">
        <v>54.46</v>
      </c>
      <c r="T498" s="7">
        <v>0.37000000000000499</v>
      </c>
      <c r="U498" s="7">
        <v>11.19</v>
      </c>
      <c r="V498" s="7">
        <v>11.17</v>
      </c>
      <c r="W498" s="7">
        <v>11.47</v>
      </c>
      <c r="X498" s="7">
        <v>9.1800000000000104</v>
      </c>
      <c r="Y498" s="7">
        <v>11.52</v>
      </c>
      <c r="Z498" s="9">
        <f>MAX($B$498:$Y$498)</f>
        <v>244.4</v>
      </c>
      <c r="AA498" s="9">
        <f>MIN($B$498:$Y$498)</f>
        <v>0.37000000000000499</v>
      </c>
      <c r="AB498" s="9">
        <f>AVERAGE($B$498:$Y$498)</f>
        <v>98.347916666666606</v>
      </c>
    </row>
    <row r="499" spans="1:28">
      <c r="A499" s="10">
        <v>45789</v>
      </c>
      <c r="B499" s="7">
        <v>-17.34</v>
      </c>
      <c r="C499" s="7">
        <v>-3.9500000000000499</v>
      </c>
      <c r="D499" s="7">
        <v>4.7900000000000196</v>
      </c>
      <c r="E499" s="7">
        <v>11.35</v>
      </c>
      <c r="F499" s="7">
        <v>48.82</v>
      </c>
      <c r="G499" s="7">
        <v>35.64</v>
      </c>
      <c r="H499" s="7">
        <v>-9.2900000000000205</v>
      </c>
      <c r="I499" s="7">
        <v>90.52</v>
      </c>
      <c r="J499" s="7">
        <v>146.18</v>
      </c>
      <c r="K499" s="7">
        <v>136.6</v>
      </c>
      <c r="L499" s="7">
        <v>123.69</v>
      </c>
      <c r="M499" s="7">
        <v>-27.2</v>
      </c>
      <c r="N499" s="7">
        <v>-90.22</v>
      </c>
      <c r="O499" s="7">
        <v>-83.39</v>
      </c>
      <c r="P499" s="7">
        <v>-26.51</v>
      </c>
      <c r="Q499" s="7">
        <v>153.62</v>
      </c>
      <c r="R499" s="7">
        <v>27.81</v>
      </c>
      <c r="S499" s="7">
        <v>-1.44</v>
      </c>
      <c r="T499" s="7">
        <v>-9.6199999999999992</v>
      </c>
      <c r="U499" s="7">
        <v>-8.6300000000000008</v>
      </c>
      <c r="V499" s="7">
        <v>-15.33</v>
      </c>
      <c r="W499" s="7">
        <v>-20.309999999999999</v>
      </c>
      <c r="X499" s="7">
        <v>-9.1300000000000008</v>
      </c>
      <c r="Y499" s="7">
        <v>-3.63</v>
      </c>
      <c r="Z499" s="9">
        <f>MAX($B$499:$Y$499)</f>
        <v>153.62</v>
      </c>
      <c r="AA499" s="9">
        <f>MIN($B$499:$Y$499)</f>
        <v>-90.22</v>
      </c>
      <c r="AB499" s="9">
        <f>AVERAGE($B$499:$Y$499)</f>
        <v>18.876249999999999</v>
      </c>
    </row>
    <row r="500" spans="1:28">
      <c r="A500" s="10">
        <v>45790</v>
      </c>
      <c r="B500" s="7">
        <v>-4.4799999999999596</v>
      </c>
      <c r="C500" s="7">
        <v>17.149999999999999</v>
      </c>
      <c r="D500" s="7">
        <v>31.54</v>
      </c>
      <c r="E500" s="7">
        <v>44.64</v>
      </c>
      <c r="F500" s="7">
        <v>34.130000000000003</v>
      </c>
      <c r="G500" s="7">
        <v>48.42</v>
      </c>
      <c r="H500" s="7">
        <v>36.19</v>
      </c>
      <c r="I500" s="7">
        <v>61.75</v>
      </c>
      <c r="J500" s="7">
        <v>125.18</v>
      </c>
      <c r="K500" s="7">
        <v>144.9</v>
      </c>
      <c r="L500" s="7">
        <v>82.51</v>
      </c>
      <c r="M500" s="7">
        <v>22.75</v>
      </c>
      <c r="N500" s="7">
        <v>-54.8</v>
      </c>
      <c r="O500" s="7">
        <v>-31.36</v>
      </c>
      <c r="P500" s="7">
        <v>31.48</v>
      </c>
      <c r="Q500" s="7">
        <v>24.76</v>
      </c>
      <c r="R500" s="7">
        <v>-46.21</v>
      </c>
      <c r="S500" s="7">
        <v>-120.05</v>
      </c>
      <c r="T500" s="7">
        <v>-162.41</v>
      </c>
      <c r="U500" s="7">
        <v>-132.13999999999999</v>
      </c>
      <c r="V500" s="7">
        <v>-177.96</v>
      </c>
      <c r="W500" s="7">
        <v>-106.78</v>
      </c>
      <c r="X500" s="7">
        <v>-50.6799999999999</v>
      </c>
      <c r="Y500" s="7">
        <v>-18.52</v>
      </c>
      <c r="Z500" s="9">
        <f>MAX($B$500:$Y$500)</f>
        <v>144.9</v>
      </c>
      <c r="AA500" s="9">
        <f>MIN($B$500:$Y$500)</f>
        <v>-177.96</v>
      </c>
      <c r="AB500" s="9">
        <f>AVERAGE($B$500:$Y$500)</f>
        <v>-8.3329166666666605</v>
      </c>
    </row>
    <row r="501" spans="1:28">
      <c r="A501" s="10">
        <v>45791</v>
      </c>
      <c r="B501" s="7">
        <v>-78.819999999999993</v>
      </c>
      <c r="C501" s="7">
        <v>-23.24</v>
      </c>
      <c r="D501" s="7">
        <v>-15.6300000000001</v>
      </c>
      <c r="E501" s="7">
        <v>-12.14</v>
      </c>
      <c r="F501" s="7">
        <v>-20.41</v>
      </c>
      <c r="G501" s="7">
        <v>-19.170000000000002</v>
      </c>
      <c r="H501" s="7">
        <v>-35.409999999999997</v>
      </c>
      <c r="I501" s="7">
        <v>-12.97</v>
      </c>
      <c r="J501" s="7">
        <v>-31.31</v>
      </c>
      <c r="K501" s="7">
        <v>-53.86</v>
      </c>
      <c r="L501" s="7">
        <v>-11.35</v>
      </c>
      <c r="M501" s="7">
        <v>-8.94</v>
      </c>
      <c r="N501" s="7">
        <v>-26.73</v>
      </c>
      <c r="O501" s="7">
        <v>-40.229999999999997</v>
      </c>
      <c r="P501" s="7">
        <v>-14.43</v>
      </c>
      <c r="Q501" s="7">
        <v>-30.01</v>
      </c>
      <c r="R501" s="7">
        <v>-122.35</v>
      </c>
      <c r="S501" s="7">
        <v>-63.11</v>
      </c>
      <c r="T501" s="7">
        <v>-170.68</v>
      </c>
      <c r="U501" s="7">
        <v>-219.2</v>
      </c>
      <c r="V501" s="7">
        <v>-159</v>
      </c>
      <c r="W501" s="7">
        <v>-103.76</v>
      </c>
      <c r="X501" s="7">
        <v>-27.39</v>
      </c>
      <c r="Y501" s="7">
        <v>-27.27</v>
      </c>
      <c r="Z501" s="9">
        <f>MAX($B$501:$Y$501)</f>
        <v>-8.94</v>
      </c>
      <c r="AA501" s="9">
        <f>MIN($B$501:$Y$501)</f>
        <v>-219.2</v>
      </c>
      <c r="AB501" s="9">
        <f>AVERAGE($B$501:$Y$501)</f>
        <v>-55.308750000000003</v>
      </c>
    </row>
    <row r="502" spans="1:28">
      <c r="A502" s="10">
        <v>45792</v>
      </c>
      <c r="B502" s="7">
        <v>12.94</v>
      </c>
      <c r="C502" s="7">
        <v>-30.47</v>
      </c>
      <c r="D502" s="7">
        <v>-24.32</v>
      </c>
      <c r="E502" s="7">
        <v>-31.84</v>
      </c>
      <c r="F502" s="7">
        <v>-18.59</v>
      </c>
      <c r="G502" s="7">
        <v>-25.2</v>
      </c>
      <c r="H502" s="7">
        <v>-37.53</v>
      </c>
      <c r="I502" s="7">
        <v>-9.3999999999999808</v>
      </c>
      <c r="J502" s="7">
        <v>19.559999999999999</v>
      </c>
      <c r="K502" s="7">
        <v>22.57</v>
      </c>
      <c r="L502" s="7">
        <v>41.18</v>
      </c>
      <c r="M502" s="7">
        <v>22.9</v>
      </c>
      <c r="N502" s="7">
        <v>10.81</v>
      </c>
      <c r="O502" s="7">
        <v>13.29</v>
      </c>
      <c r="P502" s="7">
        <v>16.91</v>
      </c>
      <c r="Q502" s="7">
        <v>31.86</v>
      </c>
      <c r="R502" s="7">
        <v>64.58</v>
      </c>
      <c r="S502" s="7">
        <v>81.47</v>
      </c>
      <c r="T502" s="7">
        <v>9.7400000000000109</v>
      </c>
      <c r="U502" s="7">
        <v>43.4299999999999</v>
      </c>
      <c r="V502" s="7">
        <v>-18.86</v>
      </c>
      <c r="W502" s="7">
        <v>-66.36</v>
      </c>
      <c r="X502" s="7">
        <v>-67.25</v>
      </c>
      <c r="Y502" s="7">
        <v>-14.99</v>
      </c>
      <c r="Z502" s="9">
        <f>MAX($B$502:$Y$502)</f>
        <v>81.47</v>
      </c>
      <c r="AA502" s="9">
        <f>MIN($B$502:$Y$502)</f>
        <v>-67.25</v>
      </c>
      <c r="AB502" s="9">
        <f>AVERAGE($B$502:$Y$502)</f>
        <v>1.93458333333333</v>
      </c>
    </row>
    <row r="503" spans="1:28">
      <c r="A503" s="10">
        <v>45793</v>
      </c>
      <c r="B503" s="7">
        <v>-38.979999999999997</v>
      </c>
      <c r="C503" s="7">
        <v>-48.33</v>
      </c>
      <c r="D503" s="7">
        <v>-48.95</v>
      </c>
      <c r="E503" s="7">
        <v>-34.28</v>
      </c>
      <c r="F503" s="7">
        <v>-36.28</v>
      </c>
      <c r="G503" s="7">
        <v>-23.87</v>
      </c>
      <c r="H503" s="7">
        <v>-25.76</v>
      </c>
      <c r="I503" s="7">
        <v>-27.68</v>
      </c>
      <c r="J503" s="7">
        <v>-25.12</v>
      </c>
      <c r="K503" s="7">
        <v>-33.979999999999997</v>
      </c>
      <c r="L503" s="7">
        <v>-132.34</v>
      </c>
      <c r="M503" s="7">
        <v>-75.98</v>
      </c>
      <c r="N503" s="7">
        <v>-38.82</v>
      </c>
      <c r="O503" s="7">
        <v>-86.39</v>
      </c>
      <c r="P503" s="7">
        <v>-78.319999999999993</v>
      </c>
      <c r="Q503" s="7">
        <v>-15.78</v>
      </c>
      <c r="R503" s="7">
        <v>38.99</v>
      </c>
      <c r="S503" s="7">
        <v>4.3299999999999796</v>
      </c>
      <c r="T503" s="7">
        <v>18.32</v>
      </c>
      <c r="U503" s="7">
        <v>130.24</v>
      </c>
      <c r="V503" s="7">
        <v>23.54</v>
      </c>
      <c r="W503" s="7">
        <v>-10.36</v>
      </c>
      <c r="X503" s="7">
        <v>-6.5</v>
      </c>
      <c r="Y503" s="7">
        <v>-23.24</v>
      </c>
      <c r="Z503" s="9">
        <f>MAX($B$503:$Y$503)</f>
        <v>130.24</v>
      </c>
      <c r="AA503" s="9">
        <f>MIN($B$503:$Y$503)</f>
        <v>-132.34</v>
      </c>
      <c r="AB503" s="9">
        <f>AVERAGE($B$503:$Y$503)</f>
        <v>-24.814166666666701</v>
      </c>
    </row>
    <row r="504" spans="1:28">
      <c r="A504" s="10">
        <v>45794</v>
      </c>
      <c r="B504" s="7">
        <v>-10.59</v>
      </c>
      <c r="C504" s="7">
        <v>-6.07000000000005</v>
      </c>
      <c r="D504" s="7">
        <v>1.69999999999999</v>
      </c>
      <c r="E504" s="7">
        <v>5.2100000000000399</v>
      </c>
      <c r="F504" s="7">
        <v>1.62</v>
      </c>
      <c r="G504" s="7">
        <v>14.45</v>
      </c>
      <c r="H504" s="7">
        <v>20.37</v>
      </c>
      <c r="I504" s="7">
        <v>4.1000000000000201</v>
      </c>
      <c r="J504" s="7">
        <v>-32.799999999999997</v>
      </c>
      <c r="K504" s="7">
        <v>-0.75</v>
      </c>
      <c r="L504" s="7">
        <v>-7.69</v>
      </c>
      <c r="M504" s="7">
        <v>8.8800000000000008</v>
      </c>
      <c r="N504" s="7">
        <v>10.119999999999999</v>
      </c>
      <c r="O504" s="7">
        <v>-15.53</v>
      </c>
      <c r="P504" s="7">
        <v>-67.31</v>
      </c>
      <c r="Q504" s="7">
        <v>-66.34</v>
      </c>
      <c r="R504" s="7">
        <v>-53.13</v>
      </c>
      <c r="S504" s="7">
        <v>5.88</v>
      </c>
      <c r="T504" s="7">
        <v>40.98</v>
      </c>
      <c r="U504" s="7">
        <v>114.57</v>
      </c>
      <c r="V504" s="7">
        <v>-10.24</v>
      </c>
      <c r="W504" s="7">
        <v>-0.32000000000005002</v>
      </c>
      <c r="X504" s="7">
        <v>8.4000000000000306</v>
      </c>
      <c r="Y504" s="7">
        <v>-27.07</v>
      </c>
      <c r="Z504" s="9">
        <f>MAX($B$504:$Y$504)</f>
        <v>114.57</v>
      </c>
      <c r="AA504" s="9">
        <f>MIN($B$504:$Y$504)</f>
        <v>-67.31</v>
      </c>
      <c r="AB504" s="9">
        <f>AVERAGE($B$504:$Y$504)</f>
        <v>-2.5649999999999999</v>
      </c>
    </row>
    <row r="505" spans="1:28">
      <c r="A505" s="10">
        <v>45795</v>
      </c>
      <c r="B505" s="7">
        <v>-10.81</v>
      </c>
      <c r="C505" s="7">
        <v>-26.44</v>
      </c>
      <c r="D505" s="7">
        <v>-2.6800000000000099</v>
      </c>
      <c r="E505" s="7">
        <v>-0.439999999999998</v>
      </c>
      <c r="F505" s="7">
        <v>9.06</v>
      </c>
      <c r="G505" s="7">
        <v>13.8</v>
      </c>
      <c r="H505" s="7">
        <v>8.6199999999999992</v>
      </c>
      <c r="I505" s="7">
        <v>13.45</v>
      </c>
      <c r="J505" s="7">
        <v>15.53</v>
      </c>
      <c r="K505" s="7">
        <v>26.69</v>
      </c>
      <c r="L505" s="7">
        <v>26.880000000000098</v>
      </c>
      <c r="M505" s="7">
        <v>14.07</v>
      </c>
      <c r="N505" s="7">
        <v>15.51</v>
      </c>
      <c r="O505" s="7">
        <v>-6.0899999999999697</v>
      </c>
      <c r="P505" s="7">
        <v>17</v>
      </c>
      <c r="Q505" s="7">
        <v>22.14</v>
      </c>
      <c r="R505" s="7">
        <v>14.88</v>
      </c>
      <c r="S505" s="7">
        <v>8.8800000000000008</v>
      </c>
      <c r="T505" s="7">
        <v>15.04</v>
      </c>
      <c r="U505" s="7">
        <v>50.36</v>
      </c>
      <c r="V505" s="7">
        <v>-6.4100000000000303</v>
      </c>
      <c r="W505" s="7">
        <v>-1.8900000000000401</v>
      </c>
      <c r="X505" s="7">
        <v>7.4499999999999904</v>
      </c>
      <c r="Y505" s="7">
        <v>4.23000000000002</v>
      </c>
      <c r="Z505" s="9">
        <f>MAX($B$505:$Y$505)</f>
        <v>50.36</v>
      </c>
      <c r="AA505" s="9">
        <f>MIN($B$505:$Y$505)</f>
        <v>-26.44</v>
      </c>
      <c r="AB505" s="9">
        <f>AVERAGE($B$505:$Y$505)</f>
        <v>9.5345833333333392</v>
      </c>
    </row>
    <row r="506" spans="1:28">
      <c r="A506" s="10">
        <v>45796</v>
      </c>
      <c r="B506" s="7">
        <v>10.68</v>
      </c>
      <c r="C506" s="7">
        <v>6.88</v>
      </c>
      <c r="D506" s="7">
        <v>9.5</v>
      </c>
      <c r="E506" s="7">
        <v>11.09</v>
      </c>
      <c r="F506" s="7">
        <v>7.9699999999999704</v>
      </c>
      <c r="G506" s="7">
        <v>5.94</v>
      </c>
      <c r="H506" s="7">
        <v>1.7100000000000399</v>
      </c>
      <c r="I506" s="7">
        <v>-3.1800000000000099</v>
      </c>
      <c r="J506" s="7">
        <v>-44.2</v>
      </c>
      <c r="K506" s="7">
        <v>-111.83</v>
      </c>
      <c r="L506" s="7">
        <v>-56.62</v>
      </c>
      <c r="M506" s="7">
        <v>-18.12</v>
      </c>
      <c r="N506" s="7">
        <v>15.42</v>
      </c>
      <c r="O506" s="7">
        <v>-83.54</v>
      </c>
      <c r="P506" s="7">
        <v>-70.989999999999995</v>
      </c>
      <c r="Q506" s="7">
        <v>-21.48</v>
      </c>
      <c r="R506" s="7">
        <v>25.56</v>
      </c>
      <c r="S506" s="7">
        <v>28.76</v>
      </c>
      <c r="T506" s="7">
        <v>19.309999999999999</v>
      </c>
      <c r="U506" s="7">
        <v>-179.27</v>
      </c>
      <c r="V506" s="7">
        <v>-58.82</v>
      </c>
      <c r="W506" s="7">
        <v>-1.19</v>
      </c>
      <c r="X506" s="7">
        <v>-3.44</v>
      </c>
      <c r="Y506" s="7">
        <v>14.23</v>
      </c>
      <c r="Z506" s="9">
        <f>MAX($B$506:$Y$506)</f>
        <v>28.76</v>
      </c>
      <c r="AA506" s="9">
        <f>MIN($B$506:$Y$506)</f>
        <v>-179.27</v>
      </c>
      <c r="AB506" s="9">
        <f>AVERAGE($B$506:$Y$506)</f>
        <v>-20.651250000000001</v>
      </c>
    </row>
    <row r="507" spans="1:28">
      <c r="A507" s="10">
        <v>45797</v>
      </c>
      <c r="B507" s="7">
        <v>59.07</v>
      </c>
      <c r="C507" s="7">
        <v>30.72</v>
      </c>
      <c r="D507" s="7">
        <v>27.05</v>
      </c>
      <c r="E507" s="7">
        <v>13</v>
      </c>
      <c r="F507" s="7">
        <v>16.45</v>
      </c>
      <c r="G507" s="7">
        <v>14.53</v>
      </c>
      <c r="H507" s="7">
        <v>5.81</v>
      </c>
      <c r="I507" s="7">
        <v>6.1800000000000104</v>
      </c>
      <c r="J507" s="7">
        <v>-44.39</v>
      </c>
      <c r="K507" s="7">
        <v>-9.9900000000000109</v>
      </c>
      <c r="L507" s="7">
        <v>-10.43</v>
      </c>
      <c r="M507" s="7">
        <v>-46.79</v>
      </c>
      <c r="N507" s="7">
        <v>43.73</v>
      </c>
      <c r="O507" s="7">
        <v>139.38999999999999</v>
      </c>
      <c r="P507" s="7">
        <v>156.15</v>
      </c>
      <c r="Q507" s="7">
        <v>234.01</v>
      </c>
      <c r="R507" s="7">
        <v>79.349999999999994</v>
      </c>
      <c r="S507" s="7">
        <v>-62.92</v>
      </c>
      <c r="T507" s="7">
        <v>-72.42</v>
      </c>
      <c r="U507" s="7">
        <v>-79.679999999999893</v>
      </c>
      <c r="V507" s="7">
        <v>-79.58</v>
      </c>
      <c r="W507" s="7">
        <v>-72.81</v>
      </c>
      <c r="X507" s="7">
        <v>-65.540000000000006</v>
      </c>
      <c r="Y507" s="7">
        <v>-5.4599999999999804</v>
      </c>
      <c r="Z507" s="9">
        <f>MAX($B$507:$Y$507)</f>
        <v>234.01</v>
      </c>
      <c r="AA507" s="9">
        <f>MIN($B$507:$Y$507)</f>
        <v>-79.679999999999893</v>
      </c>
      <c r="AB507" s="9">
        <f>AVERAGE($B$507:$Y$507)</f>
        <v>11.47625</v>
      </c>
    </row>
    <row r="508" spans="1:28">
      <c r="A508" s="10">
        <v>45798</v>
      </c>
      <c r="B508" s="7">
        <v>-30.11</v>
      </c>
      <c r="C508" s="7">
        <v>-6.94</v>
      </c>
      <c r="D508" s="7">
        <v>-3.54000000000002</v>
      </c>
      <c r="E508" s="7">
        <v>-1.48000000000002</v>
      </c>
      <c r="F508" s="7">
        <v>-2.73000000000002</v>
      </c>
      <c r="G508" s="7">
        <v>-2.91999999999996</v>
      </c>
      <c r="H508" s="7">
        <v>-7.5400000000000196</v>
      </c>
      <c r="I508" s="7">
        <v>3.37</v>
      </c>
      <c r="J508" s="7">
        <v>27.92</v>
      </c>
      <c r="K508" s="7">
        <v>198.68</v>
      </c>
      <c r="L508" s="7">
        <v>216.52</v>
      </c>
      <c r="M508" s="7">
        <v>222.88</v>
      </c>
      <c r="N508" s="7">
        <v>136.86000000000001</v>
      </c>
      <c r="O508" s="7">
        <v>30.58</v>
      </c>
      <c r="P508" s="7">
        <v>-14.23</v>
      </c>
      <c r="Q508" s="7">
        <v>-280.33</v>
      </c>
      <c r="R508" s="7">
        <v>-35.78</v>
      </c>
      <c r="S508" s="7">
        <v>27.71</v>
      </c>
      <c r="T508" s="7">
        <v>21.08</v>
      </c>
      <c r="U508" s="7">
        <v>-41.77</v>
      </c>
      <c r="V508" s="7">
        <v>-125.86</v>
      </c>
      <c r="W508" s="7">
        <v>-402.54</v>
      </c>
      <c r="X508" s="7">
        <v>-286.33999999999997</v>
      </c>
      <c r="Y508" s="7">
        <v>-16.73</v>
      </c>
      <c r="Z508" s="9">
        <f>MAX($B$508:$Y$508)</f>
        <v>222.88</v>
      </c>
      <c r="AA508" s="9">
        <f>MIN($B$508:$Y$508)</f>
        <v>-402.54</v>
      </c>
      <c r="AB508" s="9">
        <f>AVERAGE($B$508:$Y$508)</f>
        <v>-15.5516666666667</v>
      </c>
    </row>
    <row r="509" spans="1:28">
      <c r="A509" s="10">
        <v>45799</v>
      </c>
      <c r="B509" s="7">
        <v>-405.55</v>
      </c>
      <c r="C509" s="7">
        <v>-157.99</v>
      </c>
      <c r="D509" s="7">
        <v>-59.66</v>
      </c>
      <c r="E509" s="7">
        <v>3.5399999999999601</v>
      </c>
      <c r="F509" s="7">
        <v>13.79</v>
      </c>
      <c r="G509" s="7">
        <v>14.88</v>
      </c>
      <c r="H509" s="7">
        <v>6.3899999999999899</v>
      </c>
      <c r="I509" s="7">
        <v>12.39</v>
      </c>
      <c r="J509" s="7">
        <v>29.440000000000101</v>
      </c>
      <c r="K509" s="7">
        <v>55.42</v>
      </c>
      <c r="L509" s="7">
        <v>60.26</v>
      </c>
      <c r="M509" s="7">
        <v>102.32</v>
      </c>
      <c r="N509" s="7">
        <v>190.34</v>
      </c>
      <c r="O509" s="7">
        <v>25.96</v>
      </c>
      <c r="P509" s="7">
        <v>405.87</v>
      </c>
      <c r="Q509" s="7">
        <v>-4.1700000000000204</v>
      </c>
      <c r="R509" s="7">
        <v>-48.77</v>
      </c>
      <c r="S509" s="7">
        <v>-32.57</v>
      </c>
      <c r="T509" s="7">
        <v>33.01</v>
      </c>
      <c r="U509" s="7">
        <v>38.090000000000003</v>
      </c>
      <c r="V509" s="7">
        <v>-20.54</v>
      </c>
      <c r="W509" s="7">
        <v>8.8500000000000192</v>
      </c>
      <c r="X509" s="7">
        <v>-4.73000000000002</v>
      </c>
      <c r="Y509" s="7">
        <v>10.37</v>
      </c>
      <c r="Z509" s="9">
        <f>MAX($B$509:$Y$509)</f>
        <v>405.87</v>
      </c>
      <c r="AA509" s="9">
        <f>MIN($B$509:$Y$509)</f>
        <v>-405.55</v>
      </c>
      <c r="AB509" s="9">
        <f>AVERAGE($B$509:$Y$509)</f>
        <v>11.5391666666667</v>
      </c>
    </row>
    <row r="510" spans="1:28">
      <c r="A510" s="10">
        <v>45800</v>
      </c>
      <c r="B510" s="7">
        <v>-95.55</v>
      </c>
      <c r="C510" s="7">
        <v>-64</v>
      </c>
      <c r="D510" s="7">
        <v>-113.69</v>
      </c>
      <c r="E510" s="7">
        <v>-25.09</v>
      </c>
      <c r="F510" s="7">
        <v>-10.24</v>
      </c>
      <c r="G510" s="7">
        <v>-15.15</v>
      </c>
      <c r="H510" s="7">
        <v>-14.14</v>
      </c>
      <c r="I510" s="7">
        <v>-1.76999999999998</v>
      </c>
      <c r="J510" s="7">
        <v>-8.7900000000000205</v>
      </c>
      <c r="K510" s="7">
        <v>5.24000000000001</v>
      </c>
      <c r="L510" s="7">
        <v>12.3</v>
      </c>
      <c r="M510" s="7">
        <v>-58.8</v>
      </c>
      <c r="N510" s="7">
        <v>-6.9499999999999904</v>
      </c>
      <c r="O510" s="7">
        <v>59.19</v>
      </c>
      <c r="P510" s="7">
        <v>135.1</v>
      </c>
      <c r="Q510" s="7">
        <v>63.47</v>
      </c>
      <c r="R510" s="7">
        <v>35.42</v>
      </c>
      <c r="S510" s="7">
        <v>35.24</v>
      </c>
      <c r="T510" s="7">
        <v>31.77</v>
      </c>
      <c r="U510" s="7">
        <v>94.12</v>
      </c>
      <c r="V510" s="7">
        <v>72.61</v>
      </c>
      <c r="W510" s="7">
        <v>73.84</v>
      </c>
      <c r="X510" s="7">
        <v>48.96</v>
      </c>
      <c r="Y510" s="7">
        <v>16.53</v>
      </c>
      <c r="Z510" s="9">
        <f>MAX($B$510:$Y$510)</f>
        <v>135.1</v>
      </c>
      <c r="AA510" s="9">
        <f>MIN($B$510:$Y$510)</f>
        <v>-113.69</v>
      </c>
      <c r="AB510" s="9">
        <f>AVERAGE($B$510:$Y$510)</f>
        <v>11.234166666666701</v>
      </c>
    </row>
    <row r="511" spans="1:28">
      <c r="A511" s="10">
        <v>45801</v>
      </c>
      <c r="B511" s="7">
        <v>83.48</v>
      </c>
      <c r="C511" s="7">
        <v>62.8</v>
      </c>
      <c r="D511" s="7">
        <v>92.99</v>
      </c>
      <c r="E511" s="7">
        <v>58.48</v>
      </c>
      <c r="F511" s="7">
        <v>44.88</v>
      </c>
      <c r="G511" s="7">
        <v>39.880000000000003</v>
      </c>
      <c r="H511" s="7">
        <v>29.54</v>
      </c>
      <c r="I511" s="7">
        <v>31.58</v>
      </c>
      <c r="J511" s="7">
        <v>27.31</v>
      </c>
      <c r="K511" s="7">
        <v>52.11</v>
      </c>
      <c r="L511" s="7">
        <v>56.3200000000001</v>
      </c>
      <c r="M511" s="7">
        <v>104.98</v>
      </c>
      <c r="N511" s="7">
        <v>37.07</v>
      </c>
      <c r="O511" s="7">
        <v>82.21</v>
      </c>
      <c r="P511" s="7">
        <v>70.48</v>
      </c>
      <c r="Q511" s="7">
        <v>83.12</v>
      </c>
      <c r="R511" s="7">
        <v>109.35</v>
      </c>
      <c r="S511" s="7">
        <v>104.27</v>
      </c>
      <c r="T511" s="7">
        <v>48.42</v>
      </c>
      <c r="U511" s="7">
        <v>112.7</v>
      </c>
      <c r="V511" s="7">
        <v>86.88</v>
      </c>
      <c r="W511" s="7">
        <v>92.19</v>
      </c>
      <c r="X511" s="7">
        <v>172.04</v>
      </c>
      <c r="Y511" s="7">
        <v>28.95</v>
      </c>
      <c r="Z511" s="9">
        <f>MAX($B$511:$Y$511)</f>
        <v>172.04</v>
      </c>
      <c r="AA511" s="9">
        <f>MIN($B$511:$Y$511)</f>
        <v>27.31</v>
      </c>
      <c r="AB511" s="9">
        <f>AVERAGE($B$511:$Y$511)</f>
        <v>71.334583333333399</v>
      </c>
    </row>
    <row r="512" spans="1:28">
      <c r="A512" s="10">
        <v>45802</v>
      </c>
      <c r="B512" s="7">
        <v>37.5</v>
      </c>
      <c r="C512" s="7">
        <v>25.36</v>
      </c>
      <c r="D512" s="7">
        <v>29.3</v>
      </c>
      <c r="E512" s="7">
        <v>35.130000000000003</v>
      </c>
      <c r="F512" s="7">
        <v>23.27</v>
      </c>
      <c r="G512" s="7">
        <v>10.36</v>
      </c>
      <c r="H512" s="7">
        <v>27.01</v>
      </c>
      <c r="I512" s="7">
        <v>134.86000000000001</v>
      </c>
      <c r="J512" s="7">
        <v>124.69</v>
      </c>
      <c r="K512" s="7">
        <v>85.05</v>
      </c>
      <c r="L512" s="7">
        <v>178.95</v>
      </c>
      <c r="M512" s="7">
        <v>138.28</v>
      </c>
      <c r="N512" s="7">
        <v>110.28</v>
      </c>
      <c r="O512" s="7">
        <v>39.72</v>
      </c>
      <c r="P512" s="7">
        <v>119.11</v>
      </c>
      <c r="Q512" s="7">
        <v>78.41</v>
      </c>
      <c r="R512" s="7">
        <v>136.02000000000001</v>
      </c>
      <c r="S512" s="7">
        <v>71.38</v>
      </c>
      <c r="T512" s="7">
        <v>88.94</v>
      </c>
      <c r="U512" s="7">
        <v>29.51</v>
      </c>
      <c r="V512" s="7">
        <v>25.74</v>
      </c>
      <c r="W512" s="7">
        <v>25.37</v>
      </c>
      <c r="X512" s="7">
        <v>31</v>
      </c>
      <c r="Y512" s="7">
        <v>40.76</v>
      </c>
      <c r="Z512" s="9">
        <f>MAX($B$512:$Y$512)</f>
        <v>178.95</v>
      </c>
      <c r="AA512" s="9">
        <f>MIN($B$512:$Y$512)</f>
        <v>10.36</v>
      </c>
      <c r="AB512" s="9">
        <f>AVERAGE($B$512:$Y$512)</f>
        <v>68.5833333333333</v>
      </c>
    </row>
    <row r="513" spans="1:28">
      <c r="A513" s="10">
        <v>45803</v>
      </c>
      <c r="B513" s="7">
        <v>-37.93</v>
      </c>
      <c r="C513" s="7">
        <v>101.39</v>
      </c>
      <c r="D513" s="7">
        <v>45.42</v>
      </c>
      <c r="E513" s="7">
        <v>19.28</v>
      </c>
      <c r="F513" s="7">
        <v>69.239999999999995</v>
      </c>
      <c r="G513" s="7">
        <v>9.84</v>
      </c>
      <c r="H513" s="7">
        <v>6.37</v>
      </c>
      <c r="I513" s="7">
        <v>8.7999999999999794</v>
      </c>
      <c r="J513" s="7">
        <v>20.46</v>
      </c>
      <c r="K513" s="7">
        <v>43.88</v>
      </c>
      <c r="L513" s="7">
        <v>64.09</v>
      </c>
      <c r="M513" s="7">
        <v>14.46</v>
      </c>
      <c r="N513" s="7">
        <v>72.67</v>
      </c>
      <c r="O513" s="7">
        <v>19.43</v>
      </c>
      <c r="P513" s="7">
        <v>18.7</v>
      </c>
      <c r="Q513" s="7">
        <v>52.78</v>
      </c>
      <c r="R513" s="7">
        <v>23.92</v>
      </c>
      <c r="S513" s="7">
        <v>18.4299999999999</v>
      </c>
      <c r="T513" s="7">
        <v>22.05</v>
      </c>
      <c r="U513" s="7">
        <v>12.96</v>
      </c>
      <c r="V513" s="7">
        <v>16.41</v>
      </c>
      <c r="W513" s="7">
        <v>12.03</v>
      </c>
      <c r="X513" s="7">
        <v>6.5999999999999703</v>
      </c>
      <c r="Y513" s="7">
        <v>11.32</v>
      </c>
      <c r="Z513" s="9">
        <f>MAX($B$513:$Y$513)</f>
        <v>101.39</v>
      </c>
      <c r="AA513" s="9">
        <f>MIN($B$513:$Y$513)</f>
        <v>-37.93</v>
      </c>
      <c r="AB513" s="9">
        <f>AVERAGE($B$513:$Y$513)</f>
        <v>27.191666666666698</v>
      </c>
    </row>
    <row r="514" spans="1:28">
      <c r="A514" s="10">
        <v>45804</v>
      </c>
      <c r="B514" s="7">
        <v>7.3600000000000101</v>
      </c>
      <c r="C514" s="7">
        <v>13.64</v>
      </c>
      <c r="D514" s="7">
        <v>12.48</v>
      </c>
      <c r="E514" s="7">
        <v>18.16</v>
      </c>
      <c r="F514" s="7">
        <v>16.47</v>
      </c>
      <c r="G514" s="7">
        <v>54.75</v>
      </c>
      <c r="H514" s="7">
        <v>25.54</v>
      </c>
      <c r="I514" s="7">
        <v>89.34</v>
      </c>
      <c r="J514" s="7">
        <v>25.44</v>
      </c>
      <c r="K514" s="7">
        <v>72.45</v>
      </c>
      <c r="L514" s="7">
        <v>110.95</v>
      </c>
      <c r="M514" s="7">
        <v>-78.489999999999995</v>
      </c>
      <c r="N514" s="7">
        <v>72.92</v>
      </c>
      <c r="O514" s="7">
        <v>14.38</v>
      </c>
      <c r="P514" s="7">
        <v>22.26</v>
      </c>
      <c r="Q514" s="7">
        <v>12.64</v>
      </c>
      <c r="R514" s="7">
        <v>-2.00999999999999</v>
      </c>
      <c r="S514" s="7">
        <v>0.49000000000000898</v>
      </c>
      <c r="T514" s="7">
        <v>-30.39</v>
      </c>
      <c r="U514" s="7">
        <v>-10</v>
      </c>
      <c r="V514" s="7">
        <v>-16.61</v>
      </c>
      <c r="W514" s="7">
        <v>2.94</v>
      </c>
      <c r="X514" s="7">
        <v>11.73</v>
      </c>
      <c r="Y514" s="7">
        <v>11.33</v>
      </c>
      <c r="Z514" s="9">
        <f>MAX($B$514:$Y$514)</f>
        <v>110.95</v>
      </c>
      <c r="AA514" s="9">
        <f>MIN($B$514:$Y$514)</f>
        <v>-78.489999999999995</v>
      </c>
      <c r="AB514" s="9">
        <f>AVERAGE($B$514:$Y$514)</f>
        <v>19.07375</v>
      </c>
    </row>
    <row r="515" spans="1:28">
      <c r="A515" s="10">
        <v>45805</v>
      </c>
      <c r="B515" s="7">
        <v>8.1700000000000195</v>
      </c>
      <c r="C515" s="7">
        <v>-7.1599999999999699</v>
      </c>
      <c r="D515" s="7">
        <v>-4.4200000000000204</v>
      </c>
      <c r="E515" s="7">
        <v>3.75999999999999</v>
      </c>
      <c r="F515" s="7">
        <v>-1.66999999999996</v>
      </c>
      <c r="G515" s="7">
        <v>1.0999999999999699</v>
      </c>
      <c r="H515" s="7">
        <v>-2.75999999999999</v>
      </c>
      <c r="I515" s="7">
        <v>-10.36</v>
      </c>
      <c r="J515" s="7">
        <v>-26.19</v>
      </c>
      <c r="K515" s="7">
        <v>-1.9100000000000299</v>
      </c>
      <c r="L515" s="7">
        <v>-18.13</v>
      </c>
      <c r="M515" s="7">
        <v>-77.739999999999995</v>
      </c>
      <c r="N515" s="7">
        <v>-5.2900000000000196</v>
      </c>
      <c r="O515" s="7">
        <v>-26.84</v>
      </c>
      <c r="P515" s="7">
        <v>-50.95</v>
      </c>
      <c r="Q515" s="7">
        <v>-32.07</v>
      </c>
      <c r="R515" s="7">
        <v>-14.8</v>
      </c>
      <c r="S515" s="7">
        <v>-147.22999999999999</v>
      </c>
      <c r="T515" s="7">
        <v>-16.84</v>
      </c>
      <c r="U515" s="7">
        <v>-58.15</v>
      </c>
      <c r="V515" s="7">
        <v>-47.02</v>
      </c>
      <c r="W515" s="7">
        <v>-9.3800000000000008</v>
      </c>
      <c r="X515" s="7">
        <v>-2.5399999999999601</v>
      </c>
      <c r="Y515" s="7">
        <v>-7.16999999999996</v>
      </c>
      <c r="Z515" s="9">
        <f>MAX($B$515:$Y$515)</f>
        <v>8.1700000000000195</v>
      </c>
      <c r="AA515" s="9">
        <f>MIN($B$515:$Y$515)</f>
        <v>-147.22999999999999</v>
      </c>
      <c r="AB515" s="9">
        <f>AVERAGE($B$515:$Y$515)</f>
        <v>-23.1495833333333</v>
      </c>
    </row>
    <row r="516" spans="1:28">
      <c r="A516" s="10">
        <v>45806</v>
      </c>
      <c r="B516" s="7">
        <v>-27.25</v>
      </c>
      <c r="C516" s="7">
        <v>0.87999999999999501</v>
      </c>
      <c r="D516" s="7">
        <v>0.16999999999995899</v>
      </c>
      <c r="E516" s="7">
        <v>1.6099999999999599</v>
      </c>
      <c r="F516" s="7">
        <v>-2.26999999999998</v>
      </c>
      <c r="G516" s="7">
        <v>3.66999999999996</v>
      </c>
      <c r="H516" s="7">
        <v>-12.31</v>
      </c>
      <c r="I516" s="7">
        <v>-22.2</v>
      </c>
      <c r="J516" s="7">
        <v>-100.64</v>
      </c>
      <c r="K516" s="7">
        <v>-202.16</v>
      </c>
      <c r="L516" s="7">
        <v>-66.03</v>
      </c>
      <c r="M516" s="7">
        <v>-362.94</v>
      </c>
      <c r="N516" s="7">
        <v>-11.47</v>
      </c>
      <c r="O516" s="7">
        <v>-51.24</v>
      </c>
      <c r="P516" s="7">
        <v>-16.53</v>
      </c>
      <c r="Q516" s="7">
        <v>29.11</v>
      </c>
      <c r="R516" s="7">
        <v>-73.260000000000005</v>
      </c>
      <c r="S516" s="7">
        <v>-46.58</v>
      </c>
      <c r="T516" s="7">
        <v>-44.31</v>
      </c>
      <c r="U516" s="7">
        <v>-60.32</v>
      </c>
      <c r="V516" s="7">
        <v>-51.73</v>
      </c>
      <c r="W516" s="7">
        <v>-9.1999999999999904</v>
      </c>
      <c r="X516" s="7">
        <v>10.78</v>
      </c>
      <c r="Y516" s="7">
        <v>103.25</v>
      </c>
      <c r="Z516" s="9">
        <f>MAX($B$516:$Y$516)</f>
        <v>103.25</v>
      </c>
      <c r="AA516" s="9">
        <f>MIN($B$516:$Y$516)</f>
        <v>-362.94</v>
      </c>
      <c r="AB516" s="9">
        <f>AVERAGE($B$516:$Y$516)</f>
        <v>-42.123750000000001</v>
      </c>
    </row>
    <row r="517" spans="1:28">
      <c r="A517" s="10">
        <v>45807</v>
      </c>
      <c r="B517" s="7">
        <v>37.97</v>
      </c>
      <c r="C517" s="7">
        <v>28.48</v>
      </c>
      <c r="D517" s="7">
        <v>35.450000000000003</v>
      </c>
      <c r="E517" s="7">
        <v>41.21</v>
      </c>
      <c r="F517" s="7">
        <v>91.99</v>
      </c>
      <c r="G517" s="7">
        <v>75.19</v>
      </c>
      <c r="H517" s="7">
        <v>43.85</v>
      </c>
      <c r="I517" s="7">
        <v>156.21</v>
      </c>
      <c r="J517" s="7">
        <v>61.86</v>
      </c>
      <c r="K517" s="7">
        <v>133.5</v>
      </c>
      <c r="L517" s="7">
        <v>177.26</v>
      </c>
      <c r="M517" s="7">
        <v>103.8</v>
      </c>
      <c r="N517" s="7">
        <v>185.45</v>
      </c>
      <c r="O517" s="7">
        <v>80.13</v>
      </c>
      <c r="P517" s="7">
        <v>122.25</v>
      </c>
      <c r="Q517" s="7">
        <v>133.59</v>
      </c>
      <c r="R517" s="7">
        <v>169.32</v>
      </c>
      <c r="S517" s="7">
        <v>222.08</v>
      </c>
      <c r="T517" s="7">
        <v>174.75</v>
      </c>
      <c r="U517" s="7">
        <v>217.53</v>
      </c>
      <c r="V517" s="7">
        <v>131.24</v>
      </c>
      <c r="W517" s="7">
        <v>151.30000000000001</v>
      </c>
      <c r="X517" s="7">
        <v>126.87</v>
      </c>
      <c r="Y517" s="7">
        <v>211.72</v>
      </c>
      <c r="Z517" s="9">
        <f>MAX($B$517:$Y$517)</f>
        <v>222.08</v>
      </c>
      <c r="AA517" s="9">
        <f>MIN($B$517:$Y$517)</f>
        <v>28.48</v>
      </c>
      <c r="AB517" s="9">
        <f>AVERAGE($B$517:$Y$517)</f>
        <v>121.375</v>
      </c>
    </row>
    <row r="518" spans="1:28">
      <c r="A518" s="10">
        <v>45808</v>
      </c>
      <c r="B518" s="7">
        <v>179.46</v>
      </c>
      <c r="C518" s="7">
        <v>54.6</v>
      </c>
      <c r="D518" s="7">
        <v>37.82</v>
      </c>
      <c r="E518" s="7">
        <v>14.06</v>
      </c>
      <c r="F518" s="7">
        <v>71.73</v>
      </c>
      <c r="G518" s="7">
        <v>172.45</v>
      </c>
      <c r="H518" s="7">
        <v>108.56</v>
      </c>
      <c r="I518" s="7">
        <v>-15.53</v>
      </c>
      <c r="J518" s="7">
        <v>0</v>
      </c>
      <c r="K518" s="7">
        <v>0</v>
      </c>
      <c r="L518" s="7">
        <v>-1.55</v>
      </c>
      <c r="M518" s="7">
        <v>-4.3899999999999997</v>
      </c>
      <c r="N518" s="7">
        <v>-111.65</v>
      </c>
      <c r="O518" s="7">
        <v>-155.77000000000001</v>
      </c>
      <c r="P518" s="7">
        <v>-1.98</v>
      </c>
      <c r="Q518" s="7">
        <v>-54.98</v>
      </c>
      <c r="R518" s="7">
        <v>-2.93</v>
      </c>
      <c r="S518" s="7">
        <v>-22.3</v>
      </c>
      <c r="T518" s="7">
        <v>-8.17</v>
      </c>
      <c r="U518" s="7">
        <v>193.93</v>
      </c>
      <c r="V518" s="7">
        <v>188.85</v>
      </c>
      <c r="W518" s="7">
        <v>-61.02</v>
      </c>
      <c r="X518" s="7">
        <v>9.8199999999999896</v>
      </c>
      <c r="Y518" s="7">
        <v>137.66</v>
      </c>
      <c r="Z518" s="9">
        <f>MAX($B$518:$Y$518)</f>
        <v>193.93</v>
      </c>
      <c r="AA518" s="9">
        <f>MIN($B$518:$Y$518)</f>
        <v>-155.77000000000001</v>
      </c>
      <c r="AB518" s="9">
        <f>AVERAGE($B$518:$Y$518)</f>
        <v>30.361249999999998</v>
      </c>
    </row>
    <row r="519" spans="1:28">
      <c r="A519" s="10">
        <v>45809</v>
      </c>
      <c r="B519" s="7">
        <v>94.04</v>
      </c>
      <c r="C519" s="7">
        <v>104.98</v>
      </c>
      <c r="D519" s="7">
        <v>-17.5</v>
      </c>
      <c r="E519" s="7">
        <v>66.25</v>
      </c>
      <c r="F519" s="7">
        <v>63.75</v>
      </c>
      <c r="G519" s="7">
        <v>35</v>
      </c>
      <c r="H519" s="7">
        <v>56.3</v>
      </c>
      <c r="I519" s="7">
        <v>106.38</v>
      </c>
      <c r="J519" s="7">
        <v>76.25</v>
      </c>
      <c r="K519" s="7">
        <v>205.84</v>
      </c>
      <c r="L519" s="7">
        <v>72.5</v>
      </c>
      <c r="M519" s="7">
        <v>50.26</v>
      </c>
      <c r="N519" s="7">
        <v>-145.6</v>
      </c>
      <c r="O519" s="7">
        <v>-334.84</v>
      </c>
      <c r="P519" s="7">
        <v>96.68</v>
      </c>
      <c r="Q519" s="7">
        <v>-41.69</v>
      </c>
      <c r="R519" s="7">
        <v>-24</v>
      </c>
      <c r="S519" s="7">
        <v>-78.59</v>
      </c>
      <c r="T519" s="7">
        <v>3.2899999999999898</v>
      </c>
      <c r="U519" s="7">
        <v>-69.33</v>
      </c>
      <c r="V519" s="7">
        <v>-93.13</v>
      </c>
      <c r="W519" s="7">
        <v>-118.52</v>
      </c>
      <c r="X519" s="7">
        <v>-87.34</v>
      </c>
      <c r="Y519" s="7">
        <v>-39.83</v>
      </c>
      <c r="Z519" s="9">
        <f>MAX($B$519:$Y$519)</f>
        <v>205.84</v>
      </c>
      <c r="AA519" s="9">
        <f>MIN($B$519:$Y$519)</f>
        <v>-334.84</v>
      </c>
      <c r="AB519" s="9">
        <f>AVERAGE($B$519:$Y$519)</f>
        <v>-0.78541666666666299</v>
      </c>
    </row>
    <row r="520" spans="1:28">
      <c r="A520" s="10">
        <v>45810</v>
      </c>
      <c r="B520" s="7">
        <v>-206.95</v>
      </c>
      <c r="C520" s="7">
        <v>-68.89</v>
      </c>
      <c r="D520" s="7">
        <v>-70.06</v>
      </c>
      <c r="E520" s="7">
        <v>-62.87</v>
      </c>
      <c r="F520" s="7">
        <v>-62.27</v>
      </c>
      <c r="G520" s="7">
        <v>-62.54</v>
      </c>
      <c r="H520" s="7">
        <v>-81.38</v>
      </c>
      <c r="I520" s="7">
        <v>-71.16</v>
      </c>
      <c r="J520" s="7">
        <v>-91.72</v>
      </c>
      <c r="K520" s="7">
        <v>-617.54</v>
      </c>
      <c r="L520" s="7">
        <v>-174.37</v>
      </c>
      <c r="M520" s="7">
        <v>-333.11</v>
      </c>
      <c r="N520" s="7">
        <v>-49.17</v>
      </c>
      <c r="O520" s="7">
        <v>-293.43</v>
      </c>
      <c r="P520" s="7">
        <v>-405.57</v>
      </c>
      <c r="Q520" s="7">
        <v>-719.86</v>
      </c>
      <c r="R520" s="7">
        <v>-768.07</v>
      </c>
      <c r="S520" s="7">
        <v>-458.75</v>
      </c>
      <c r="T520" s="7">
        <v>-323.08999999999997</v>
      </c>
      <c r="U520" s="7">
        <v>-828.16</v>
      </c>
      <c r="V520" s="7">
        <v>-870.77</v>
      </c>
      <c r="W520" s="7">
        <v>-520.75</v>
      </c>
      <c r="X520" s="7">
        <v>-375.06</v>
      </c>
      <c r="Y520" s="7">
        <v>12.06</v>
      </c>
      <c r="Z520" s="9">
        <f>MAX($B$520:$Y$520)</f>
        <v>12.06</v>
      </c>
      <c r="AA520" s="9">
        <f>MIN($B$520:$Y$520)</f>
        <v>-870.77</v>
      </c>
      <c r="AB520" s="9">
        <f>AVERAGE($B$520:$Y$520)</f>
        <v>-312.64499999999998</v>
      </c>
    </row>
    <row r="521" spans="1:28">
      <c r="A521" s="10">
        <v>45811</v>
      </c>
      <c r="B521" s="7">
        <v>218.67</v>
      </c>
      <c r="C521" s="7">
        <v>142.88999999999999</v>
      </c>
      <c r="D521" s="7">
        <v>94.84</v>
      </c>
      <c r="E521" s="7">
        <v>-1.30000000000001</v>
      </c>
      <c r="F521" s="7">
        <v>10.54</v>
      </c>
      <c r="G521" s="7">
        <v>27.34</v>
      </c>
      <c r="H521" s="7">
        <v>30.2</v>
      </c>
      <c r="I521" s="7">
        <v>25.37</v>
      </c>
      <c r="J521" s="7">
        <v>-12.85</v>
      </c>
      <c r="K521" s="7">
        <v>66.900000000000006</v>
      </c>
      <c r="L521" s="7">
        <v>122.66</v>
      </c>
      <c r="M521" s="7">
        <v>172.63</v>
      </c>
      <c r="N521" s="7">
        <v>122.41</v>
      </c>
      <c r="O521" s="7">
        <v>136.88</v>
      </c>
      <c r="P521" s="7">
        <v>98.04</v>
      </c>
      <c r="Q521" s="7">
        <v>72.41</v>
      </c>
      <c r="R521" s="7">
        <v>73.7</v>
      </c>
      <c r="S521" s="7">
        <v>79.8</v>
      </c>
      <c r="T521" s="7">
        <v>35.79</v>
      </c>
      <c r="U521" s="7">
        <v>40.65</v>
      </c>
      <c r="V521" s="7">
        <v>30.01</v>
      </c>
      <c r="W521" s="7">
        <v>39.97</v>
      </c>
      <c r="X521" s="7">
        <v>85.58</v>
      </c>
      <c r="Y521" s="7">
        <v>47.37</v>
      </c>
      <c r="Z521" s="9">
        <f>MAX($B$521:$Y$521)</f>
        <v>218.67</v>
      </c>
      <c r="AA521" s="9">
        <f>MIN($B$521:$Y$521)</f>
        <v>-12.85</v>
      </c>
      <c r="AB521" s="9">
        <f>AVERAGE($B$521:$Y$521)</f>
        <v>73.3541666666667</v>
      </c>
    </row>
    <row r="522" spans="1:28">
      <c r="A522" s="10">
        <v>45812</v>
      </c>
      <c r="B522" s="7">
        <v>12.01</v>
      </c>
      <c r="C522" s="7">
        <v>29.28</v>
      </c>
      <c r="D522" s="7">
        <v>36.9</v>
      </c>
      <c r="E522" s="7">
        <v>27.64</v>
      </c>
      <c r="F522" s="7">
        <v>21.21</v>
      </c>
      <c r="G522" s="7">
        <v>20.3</v>
      </c>
      <c r="H522" s="7">
        <v>25.46</v>
      </c>
      <c r="I522" s="7">
        <v>15.45</v>
      </c>
      <c r="J522" s="7">
        <v>-9.9999999999909103E-3</v>
      </c>
      <c r="K522" s="7">
        <v>107.87</v>
      </c>
      <c r="L522" s="7">
        <v>137.52000000000001</v>
      </c>
      <c r="M522" s="7">
        <v>124.3</v>
      </c>
      <c r="N522" s="7">
        <v>23.2</v>
      </c>
      <c r="O522" s="7">
        <v>37.53</v>
      </c>
      <c r="P522" s="7">
        <v>89.23</v>
      </c>
      <c r="Q522" s="7">
        <v>53.69</v>
      </c>
      <c r="R522" s="7">
        <v>63.67</v>
      </c>
      <c r="S522" s="7">
        <v>105.23</v>
      </c>
      <c r="T522" s="7">
        <v>65.540000000000006</v>
      </c>
      <c r="U522" s="7">
        <v>94.29</v>
      </c>
      <c r="V522" s="7">
        <v>67.459999999999994</v>
      </c>
      <c r="W522" s="7">
        <v>58.06</v>
      </c>
      <c r="X522" s="7">
        <v>35.92</v>
      </c>
      <c r="Y522" s="7">
        <v>31.86</v>
      </c>
      <c r="Z522" s="9">
        <f>MAX($B$522:$Y$522)</f>
        <v>137.52000000000001</v>
      </c>
      <c r="AA522" s="9">
        <f>MIN($B$522:$Y$522)</f>
        <v>-9.9999999999909103E-3</v>
      </c>
      <c r="AB522" s="9">
        <f>AVERAGE($B$522:$Y$522)</f>
        <v>53.483750000000001</v>
      </c>
    </row>
    <row r="523" spans="1:28">
      <c r="A523" s="10">
        <v>45813</v>
      </c>
      <c r="B523" s="7">
        <v>6.3299999999999796</v>
      </c>
      <c r="C523" s="7">
        <v>6.44</v>
      </c>
      <c r="D523" s="7">
        <v>5.25999999999999</v>
      </c>
      <c r="E523" s="7">
        <v>9.4900000000000109</v>
      </c>
      <c r="F523" s="7">
        <v>7.5200000000000102</v>
      </c>
      <c r="G523" s="7">
        <v>11.95</v>
      </c>
      <c r="H523" s="7">
        <v>3.6799999999999802</v>
      </c>
      <c r="I523" s="7">
        <v>-4.6500000000000101</v>
      </c>
      <c r="J523" s="7">
        <v>-11.64</v>
      </c>
      <c r="K523" s="7">
        <v>26.9</v>
      </c>
      <c r="L523" s="7">
        <v>102.7</v>
      </c>
      <c r="M523" s="7">
        <v>41.17</v>
      </c>
      <c r="N523" s="7">
        <v>137.63</v>
      </c>
      <c r="O523" s="7">
        <v>23.75</v>
      </c>
      <c r="P523" s="7">
        <v>130.62</v>
      </c>
      <c r="Q523" s="7">
        <v>28.26</v>
      </c>
      <c r="R523" s="7">
        <v>22.28</v>
      </c>
      <c r="S523" s="7">
        <v>22.6799999999999</v>
      </c>
      <c r="T523" s="7">
        <v>32.380000000000003</v>
      </c>
      <c r="U523" s="7">
        <v>39.54</v>
      </c>
      <c r="V523" s="7">
        <v>23.71</v>
      </c>
      <c r="W523" s="7">
        <v>13.38</v>
      </c>
      <c r="X523" s="7">
        <v>4.7299999999999596</v>
      </c>
      <c r="Y523" s="7">
        <v>3.8800000000000501</v>
      </c>
      <c r="Z523" s="9">
        <f>MAX($B$523:$Y$523)</f>
        <v>137.63</v>
      </c>
      <c r="AA523" s="9">
        <f>MIN($B$523:$Y$523)</f>
        <v>-11.64</v>
      </c>
      <c r="AB523" s="9">
        <f>AVERAGE($B$523:$Y$523)</f>
        <v>28.666250000000002</v>
      </c>
    </row>
    <row r="524" spans="1:28">
      <c r="A524" s="10">
        <v>45814</v>
      </c>
      <c r="B524" s="7">
        <v>-1.55000000000001</v>
      </c>
      <c r="C524" s="7">
        <v>1.94</v>
      </c>
      <c r="D524" s="7">
        <v>0.110000000000014</v>
      </c>
      <c r="E524" s="7">
        <v>3.1399999999999899</v>
      </c>
      <c r="F524" s="7">
        <v>7.3300000000000098</v>
      </c>
      <c r="G524" s="7">
        <v>0.99000000000000898</v>
      </c>
      <c r="H524" s="7">
        <v>3.31</v>
      </c>
      <c r="I524" s="7">
        <v>-3.13</v>
      </c>
      <c r="J524" s="7">
        <v>6.83000000000004</v>
      </c>
      <c r="K524" s="7">
        <v>49.29</v>
      </c>
      <c r="L524" s="7">
        <v>36.270000000000003</v>
      </c>
      <c r="M524" s="7">
        <v>6.31</v>
      </c>
      <c r="N524" s="7">
        <v>47.41</v>
      </c>
      <c r="O524" s="7">
        <v>-0.230000000000018</v>
      </c>
      <c r="P524" s="7">
        <v>8</v>
      </c>
      <c r="Q524" s="7">
        <v>-9.0200000000000404</v>
      </c>
      <c r="R524" s="7">
        <v>-14.37</v>
      </c>
      <c r="S524" s="7">
        <v>-38.26</v>
      </c>
      <c r="T524" s="7">
        <v>-6.4699999999999704</v>
      </c>
      <c r="U524" s="7">
        <v>-144.16</v>
      </c>
      <c r="V524" s="7">
        <v>-194.84</v>
      </c>
      <c r="W524" s="7">
        <v>-50.62</v>
      </c>
      <c r="X524" s="7">
        <v>-18.55</v>
      </c>
      <c r="Y524" s="7">
        <v>-8.9100000000000197</v>
      </c>
      <c r="Z524" s="9">
        <f>MAX($B$524:$Y$524)</f>
        <v>49.29</v>
      </c>
      <c r="AA524" s="9">
        <f>MIN($B$524:$Y$524)</f>
        <v>-194.84</v>
      </c>
      <c r="AB524" s="9">
        <f>AVERAGE($B$524:$Y$524)</f>
        <v>-13.2991666666667</v>
      </c>
    </row>
    <row r="525" spans="1:28">
      <c r="A525" s="10">
        <v>45815</v>
      </c>
      <c r="B525" s="7">
        <v>-104.61</v>
      </c>
      <c r="C525" s="7">
        <v>-19.309999999999999</v>
      </c>
      <c r="D525" s="7">
        <v>-11.69</v>
      </c>
      <c r="E525" s="7">
        <v>-12.61</v>
      </c>
      <c r="F525" s="7">
        <v>-6.7899999999999601</v>
      </c>
      <c r="G525" s="7">
        <v>-4.1100000000000101</v>
      </c>
      <c r="H525" s="7">
        <v>-8.7100000000000399</v>
      </c>
      <c r="I525" s="7">
        <v>-2.51999999999998</v>
      </c>
      <c r="J525" s="7">
        <v>22.64</v>
      </c>
      <c r="K525" s="7">
        <v>34.83</v>
      </c>
      <c r="L525" s="7">
        <v>47.49</v>
      </c>
      <c r="M525" s="7">
        <v>25.78</v>
      </c>
      <c r="N525" s="7">
        <v>83.54</v>
      </c>
      <c r="O525" s="7">
        <v>-78.66</v>
      </c>
      <c r="P525" s="7">
        <v>-25.1</v>
      </c>
      <c r="Q525" s="7">
        <v>22.77</v>
      </c>
      <c r="R525" s="7">
        <v>-226.95</v>
      </c>
      <c r="S525" s="7">
        <v>-174.75</v>
      </c>
      <c r="T525" s="7">
        <v>-248.82</v>
      </c>
      <c r="U525" s="7">
        <v>-250.69</v>
      </c>
      <c r="V525" s="7">
        <v>-255.51</v>
      </c>
      <c r="W525" s="7">
        <v>-443.51</v>
      </c>
      <c r="X525" s="7">
        <v>-264.02999999999997</v>
      </c>
      <c r="Y525" s="7">
        <v>-34.71</v>
      </c>
      <c r="Z525" s="9">
        <f>MAX($B$525:$Y$525)</f>
        <v>83.54</v>
      </c>
      <c r="AA525" s="9">
        <f>MIN($B$525:$Y$525)</f>
        <v>-443.51</v>
      </c>
      <c r="AB525" s="9">
        <f>AVERAGE($B$525:$Y$525)</f>
        <v>-80.667916666666699</v>
      </c>
    </row>
    <row r="526" spans="1:28">
      <c r="A526" s="10">
        <v>45816</v>
      </c>
      <c r="B526" s="7">
        <v>-85.19</v>
      </c>
      <c r="C526" s="7">
        <v>-321.68</v>
      </c>
      <c r="D526" s="7">
        <v>-508.88</v>
      </c>
      <c r="E526" s="7">
        <v>-596.78</v>
      </c>
      <c r="F526" s="7">
        <v>-230.99</v>
      </c>
      <c r="G526" s="7">
        <v>-44.72</v>
      </c>
      <c r="H526" s="7">
        <v>-23.61</v>
      </c>
      <c r="I526" s="7">
        <v>-8.0200000000000404</v>
      </c>
      <c r="J526" s="7">
        <v>7.78</v>
      </c>
      <c r="K526" s="7">
        <v>24.05</v>
      </c>
      <c r="L526" s="7">
        <v>79.56</v>
      </c>
      <c r="M526" s="7">
        <v>42.72</v>
      </c>
      <c r="N526" s="7">
        <v>71.290000000000006</v>
      </c>
      <c r="O526" s="7">
        <v>-2.20999999999998</v>
      </c>
      <c r="P526" s="7">
        <v>26.04</v>
      </c>
      <c r="Q526" s="7">
        <v>21.17</v>
      </c>
      <c r="R526" s="7">
        <v>-20.350000000000001</v>
      </c>
      <c r="S526" s="7">
        <v>-112.94</v>
      </c>
      <c r="T526" s="7">
        <v>-123.04</v>
      </c>
      <c r="U526" s="7">
        <v>-159.44</v>
      </c>
      <c r="V526" s="7">
        <v>-338.49</v>
      </c>
      <c r="W526" s="7">
        <v>-619.51</v>
      </c>
      <c r="X526" s="7">
        <v>-667.88</v>
      </c>
      <c r="Y526" s="7">
        <v>-114.65</v>
      </c>
      <c r="Z526" s="9">
        <f>MAX($B$526:$Y$526)</f>
        <v>79.56</v>
      </c>
      <c r="AA526" s="9">
        <f>MIN($B$526:$Y$526)</f>
        <v>-667.88</v>
      </c>
      <c r="AB526" s="9">
        <f>AVERAGE($B$526:$Y$526)</f>
        <v>-154.40708333333299</v>
      </c>
    </row>
    <row r="527" spans="1:28">
      <c r="A527" s="10">
        <v>45817</v>
      </c>
      <c r="B527" s="7">
        <v>-52.36</v>
      </c>
      <c r="C527" s="7">
        <v>-169.35</v>
      </c>
      <c r="D527" s="7">
        <v>-284.54000000000002</v>
      </c>
      <c r="E527" s="7">
        <v>-96.15</v>
      </c>
      <c r="F527" s="7">
        <v>-35.58</v>
      </c>
      <c r="G527" s="7">
        <v>-26.38</v>
      </c>
      <c r="H527" s="7">
        <v>-31.08</v>
      </c>
      <c r="I527" s="7">
        <v>-8.4200000000000195</v>
      </c>
      <c r="J527" s="7">
        <v>-20.88</v>
      </c>
      <c r="K527" s="7">
        <v>13.2</v>
      </c>
      <c r="L527" s="7">
        <v>80.8</v>
      </c>
      <c r="M527" s="7">
        <v>80.290000000000006</v>
      </c>
      <c r="N527" s="7">
        <v>45.4</v>
      </c>
      <c r="O527" s="7">
        <v>87.53</v>
      </c>
      <c r="P527" s="7">
        <v>157.51</v>
      </c>
      <c r="Q527" s="7">
        <v>116.92</v>
      </c>
      <c r="R527" s="7">
        <v>143.49</v>
      </c>
      <c r="S527" s="7">
        <v>181.2</v>
      </c>
      <c r="T527" s="7">
        <v>76.42</v>
      </c>
      <c r="U527" s="7">
        <v>49.35</v>
      </c>
      <c r="V527" s="7">
        <v>-41.14</v>
      </c>
      <c r="W527" s="7">
        <v>-135.16</v>
      </c>
      <c r="X527" s="7">
        <v>-109.85</v>
      </c>
      <c r="Y527" s="7">
        <v>15.55</v>
      </c>
      <c r="Z527" s="9">
        <f>MAX($B$527:$Y$527)</f>
        <v>181.2</v>
      </c>
      <c r="AA527" s="9">
        <f>MIN($B$527:$Y$527)</f>
        <v>-284.54000000000002</v>
      </c>
      <c r="AB527" s="9">
        <f>AVERAGE($B$527:$Y$527)</f>
        <v>1.5320833333333299</v>
      </c>
    </row>
    <row r="528" spans="1:28">
      <c r="A528" s="10">
        <v>45818</v>
      </c>
      <c r="B528" s="7">
        <v>-112.21</v>
      </c>
      <c r="C528" s="7">
        <v>-140.34</v>
      </c>
      <c r="D528" s="7">
        <v>-536.99</v>
      </c>
      <c r="E528" s="7">
        <v>-296.85000000000002</v>
      </c>
      <c r="F528" s="7">
        <v>-173.15</v>
      </c>
      <c r="G528" s="7">
        <v>-107.82</v>
      </c>
      <c r="H528" s="7">
        <v>-52.64</v>
      </c>
      <c r="I528" s="7">
        <v>-0.25999999999999102</v>
      </c>
      <c r="J528" s="7">
        <v>-59.38</v>
      </c>
      <c r="K528" s="7">
        <v>-26.72</v>
      </c>
      <c r="L528" s="7">
        <v>24.05</v>
      </c>
      <c r="M528" s="7">
        <v>59.68</v>
      </c>
      <c r="N528" s="7">
        <v>24.75</v>
      </c>
      <c r="O528" s="7">
        <v>52.84</v>
      </c>
      <c r="P528" s="7">
        <v>70.84</v>
      </c>
      <c r="Q528" s="7">
        <v>70.290000000000006</v>
      </c>
      <c r="R528" s="7">
        <v>94.9</v>
      </c>
      <c r="S528" s="7">
        <v>147.51</v>
      </c>
      <c r="T528" s="7">
        <v>-17.670000000000002</v>
      </c>
      <c r="U528" s="7">
        <v>4.7099999999999804</v>
      </c>
      <c r="V528" s="7">
        <v>-43.4</v>
      </c>
      <c r="W528" s="7">
        <v>8.2400000000000109</v>
      </c>
      <c r="X528" s="7">
        <v>-25.7</v>
      </c>
      <c r="Y528" s="7">
        <v>58.82</v>
      </c>
      <c r="Z528" s="9">
        <f>MAX($B$528:$Y$528)</f>
        <v>147.51</v>
      </c>
      <c r="AA528" s="9">
        <f>MIN($B$528:$Y$528)</f>
        <v>-536.99</v>
      </c>
      <c r="AB528" s="9">
        <f>AVERAGE($B$528:$Y$528)</f>
        <v>-40.6875</v>
      </c>
    </row>
    <row r="529" spans="1:28">
      <c r="A529" s="10">
        <v>45819</v>
      </c>
      <c r="B529" s="7">
        <v>123.14</v>
      </c>
      <c r="C529" s="7">
        <v>225.49</v>
      </c>
      <c r="D529" s="7">
        <v>297.58999999999997</v>
      </c>
      <c r="E529" s="7">
        <v>193.22</v>
      </c>
      <c r="F529" s="7">
        <v>64.209999999999994</v>
      </c>
      <c r="G529" s="7">
        <v>45.61</v>
      </c>
      <c r="H529" s="7">
        <v>38</v>
      </c>
      <c r="I529" s="7">
        <v>82.8</v>
      </c>
      <c r="J529" s="7">
        <v>-3.0900000000000301</v>
      </c>
      <c r="K529" s="7">
        <v>-65.72</v>
      </c>
      <c r="L529" s="7">
        <v>-236.48</v>
      </c>
      <c r="M529" s="7">
        <v>-115.86</v>
      </c>
      <c r="N529" s="7">
        <v>-164.24</v>
      </c>
      <c r="O529" s="7">
        <v>-132.01</v>
      </c>
      <c r="P529" s="7">
        <v>-24.65</v>
      </c>
      <c r="Q529" s="7">
        <v>96.55</v>
      </c>
      <c r="R529" s="7">
        <v>217.64</v>
      </c>
      <c r="S529" s="7">
        <v>351.68</v>
      </c>
      <c r="T529" s="7">
        <v>45.11</v>
      </c>
      <c r="U529" s="7">
        <v>185.65</v>
      </c>
      <c r="V529" s="7">
        <v>120.58</v>
      </c>
      <c r="W529" s="7">
        <v>133.82</v>
      </c>
      <c r="X529" s="7">
        <v>88.91</v>
      </c>
      <c r="Y529" s="7">
        <v>80.44</v>
      </c>
      <c r="Z529" s="9">
        <f>MAX($B$529:$Y$529)</f>
        <v>351.68</v>
      </c>
      <c r="AA529" s="9">
        <f>MIN($B$529:$Y$529)</f>
        <v>-236.48</v>
      </c>
      <c r="AB529" s="9">
        <f>AVERAGE($B$529:$Y$529)</f>
        <v>68.682916666666699</v>
      </c>
    </row>
    <row r="530" spans="1:28">
      <c r="A530" s="10">
        <v>45820</v>
      </c>
      <c r="B530" s="7">
        <v>80.709999999999994</v>
      </c>
      <c r="C530" s="7">
        <v>81.59</v>
      </c>
      <c r="D530" s="7">
        <v>87</v>
      </c>
      <c r="E530" s="7">
        <v>62.93</v>
      </c>
      <c r="F530" s="7">
        <v>58.96</v>
      </c>
      <c r="G530" s="7">
        <v>54.68</v>
      </c>
      <c r="H530" s="7">
        <v>39.770000000000003</v>
      </c>
      <c r="I530" s="7">
        <v>150.4</v>
      </c>
      <c r="J530" s="7">
        <v>-77.37</v>
      </c>
      <c r="K530" s="7">
        <v>-83.27</v>
      </c>
      <c r="L530" s="7">
        <v>-4.4699999999999704</v>
      </c>
      <c r="M530" s="7">
        <v>-84.92</v>
      </c>
      <c r="N530" s="7">
        <v>-7.87</v>
      </c>
      <c r="O530" s="7">
        <v>43.28</v>
      </c>
      <c r="P530" s="7">
        <v>26.62</v>
      </c>
      <c r="Q530" s="7">
        <v>-25.09</v>
      </c>
      <c r="R530" s="7">
        <v>99.66</v>
      </c>
      <c r="S530" s="7">
        <v>249.25</v>
      </c>
      <c r="T530" s="7">
        <v>-18.46</v>
      </c>
      <c r="U530" s="7">
        <v>9.6000000000000192</v>
      </c>
      <c r="V530" s="7">
        <v>56.31</v>
      </c>
      <c r="W530" s="7">
        <v>27.89</v>
      </c>
      <c r="X530" s="7">
        <v>46.99</v>
      </c>
      <c r="Y530" s="7">
        <v>54.2</v>
      </c>
      <c r="Z530" s="9">
        <f>MAX($B$530:$Y$530)</f>
        <v>249.25</v>
      </c>
      <c r="AA530" s="9">
        <f>MIN($B$530:$Y$530)</f>
        <v>-84.92</v>
      </c>
      <c r="AB530" s="9">
        <f>AVERAGE($B$530:$Y$530)</f>
        <v>38.682916666666699</v>
      </c>
    </row>
    <row r="531" spans="1:28">
      <c r="A531" s="10">
        <v>45821</v>
      </c>
      <c r="B531" s="7">
        <v>-81.91</v>
      </c>
      <c r="C531" s="7">
        <v>14.95</v>
      </c>
      <c r="D531" s="7">
        <v>15.39</v>
      </c>
      <c r="E531" s="7">
        <v>10.85</v>
      </c>
      <c r="F531" s="7">
        <v>2.75999999999999</v>
      </c>
      <c r="G531" s="7">
        <v>-8.5500000000000096</v>
      </c>
      <c r="H531" s="7">
        <v>-3.1600000000000201</v>
      </c>
      <c r="I531" s="7">
        <v>-12.36</v>
      </c>
      <c r="J531" s="7">
        <v>8.7400000000000109</v>
      </c>
      <c r="K531" s="7">
        <v>-71.03</v>
      </c>
      <c r="L531" s="7">
        <v>-91.95</v>
      </c>
      <c r="M531" s="7">
        <v>-63.44</v>
      </c>
      <c r="N531" s="7">
        <v>14.37</v>
      </c>
      <c r="O531" s="7">
        <v>56.42</v>
      </c>
      <c r="P531" s="7">
        <v>88.64</v>
      </c>
      <c r="Q531" s="7">
        <v>64.739999999999995</v>
      </c>
      <c r="R531" s="7">
        <v>78.7</v>
      </c>
      <c r="S531" s="7">
        <v>85.97</v>
      </c>
      <c r="T531" s="7">
        <v>52.01</v>
      </c>
      <c r="U531" s="7">
        <v>100.57</v>
      </c>
      <c r="V531" s="7">
        <v>65.45</v>
      </c>
      <c r="W531" s="7">
        <v>73.099999999999994</v>
      </c>
      <c r="X531" s="7">
        <v>46.87</v>
      </c>
      <c r="Y531" s="7">
        <v>16.34</v>
      </c>
      <c r="Z531" s="9">
        <f>MAX($B$531:$Y$531)</f>
        <v>100.57</v>
      </c>
      <c r="AA531" s="9">
        <f>MIN($B$531:$Y$531)</f>
        <v>-91.95</v>
      </c>
      <c r="AB531" s="9">
        <f>AVERAGE($B$531:$Y$531)</f>
        <v>19.311250000000001</v>
      </c>
    </row>
    <row r="532" spans="1:28">
      <c r="A532" s="10">
        <v>45822</v>
      </c>
      <c r="B532" s="7">
        <v>-42.42</v>
      </c>
      <c r="C532" s="7">
        <v>1.63</v>
      </c>
      <c r="D532" s="7">
        <v>4.6999999999999904</v>
      </c>
      <c r="E532" s="7">
        <v>6.50999999999999</v>
      </c>
      <c r="F532" s="7">
        <v>9.6600000000000197</v>
      </c>
      <c r="G532" s="7">
        <v>4.1499999999999799</v>
      </c>
      <c r="H532" s="7">
        <v>2.9600000000000102</v>
      </c>
      <c r="I532" s="7">
        <v>50.1</v>
      </c>
      <c r="J532" s="7">
        <v>2.1599999999999699</v>
      </c>
      <c r="K532" s="7">
        <v>83.05</v>
      </c>
      <c r="L532" s="7">
        <v>119.12</v>
      </c>
      <c r="M532" s="7">
        <v>12.72</v>
      </c>
      <c r="N532" s="7">
        <v>29.54</v>
      </c>
      <c r="O532" s="7">
        <v>-172.42</v>
      </c>
      <c r="P532" s="7">
        <v>-82.69</v>
      </c>
      <c r="Q532" s="7">
        <v>25.24</v>
      </c>
      <c r="R532" s="7">
        <v>-49.91</v>
      </c>
      <c r="S532" s="7">
        <v>87.4</v>
      </c>
      <c r="T532" s="7">
        <v>-76.930000000000007</v>
      </c>
      <c r="U532" s="7">
        <v>-136.38</v>
      </c>
      <c r="V532" s="7">
        <v>-67.540000000000006</v>
      </c>
      <c r="W532" s="7">
        <v>8.8499999999999694</v>
      </c>
      <c r="X532" s="7">
        <v>12.55</v>
      </c>
      <c r="Y532" s="7">
        <v>12.51</v>
      </c>
      <c r="Z532" s="9">
        <f>MAX($B$532:$Y$532)</f>
        <v>119.12</v>
      </c>
      <c r="AA532" s="9">
        <f>MIN($B$532:$Y$532)</f>
        <v>-172.42</v>
      </c>
      <c r="AB532" s="9">
        <f>AVERAGE($B$532:$Y$532)</f>
        <v>-6.4766666666666701</v>
      </c>
    </row>
    <row r="533" spans="1:28">
      <c r="A533" s="10">
        <v>45823</v>
      </c>
      <c r="B533" s="7">
        <v>-23.96</v>
      </c>
      <c r="C533" s="7">
        <v>-21.4</v>
      </c>
      <c r="D533" s="7">
        <v>-31.87</v>
      </c>
      <c r="E533" s="7">
        <v>-28.23</v>
      </c>
      <c r="F533" s="7">
        <v>-78.81</v>
      </c>
      <c r="G533" s="7">
        <v>-30.61</v>
      </c>
      <c r="H533" s="7">
        <v>-62.31</v>
      </c>
      <c r="I533" s="7">
        <v>-16.489999999999998</v>
      </c>
      <c r="J533" s="7">
        <v>-46.83</v>
      </c>
      <c r="K533" s="7">
        <v>18.850000000000001</v>
      </c>
      <c r="L533" s="7">
        <v>27.79</v>
      </c>
      <c r="M533" s="7">
        <v>82.24</v>
      </c>
      <c r="N533" s="7">
        <v>17.93</v>
      </c>
      <c r="O533" s="7">
        <v>38.619999999999997</v>
      </c>
      <c r="P533" s="7">
        <v>30.1</v>
      </c>
      <c r="Q533" s="7">
        <v>49.2</v>
      </c>
      <c r="R533" s="7">
        <v>109.75</v>
      </c>
      <c r="S533" s="7">
        <v>89.29</v>
      </c>
      <c r="T533" s="7">
        <v>-10.09</v>
      </c>
      <c r="U533" s="7">
        <v>0.17999999999995001</v>
      </c>
      <c r="V533" s="7">
        <v>-22.45</v>
      </c>
      <c r="W533" s="7">
        <v>-98.13</v>
      </c>
      <c r="X533" s="7">
        <v>-35.28</v>
      </c>
      <c r="Y533" s="7">
        <v>-27.559999999999899</v>
      </c>
      <c r="Z533" s="9">
        <f>MAX($B$533:$Y$533)</f>
        <v>109.75</v>
      </c>
      <c r="AA533" s="9">
        <f>MIN($B$533:$Y$533)</f>
        <v>-98.13</v>
      </c>
      <c r="AB533" s="9">
        <f>AVERAGE($B$533:$Y$533)</f>
        <v>-2.9195833333333301</v>
      </c>
    </row>
    <row r="534" spans="1:28">
      <c r="A534" s="10">
        <v>45829</v>
      </c>
      <c r="B534" s="7">
        <v>-184.25</v>
      </c>
      <c r="C534" s="7">
        <v>-0.93000000000000704</v>
      </c>
      <c r="D534" s="7">
        <v>3.6399999999999899</v>
      </c>
      <c r="E534" s="7">
        <v>7.6999999999999904</v>
      </c>
      <c r="F534" s="7">
        <v>19.66</v>
      </c>
      <c r="G534" s="7">
        <v>16.02</v>
      </c>
      <c r="H534" s="7">
        <v>13.94</v>
      </c>
      <c r="I534" s="7">
        <v>47.3</v>
      </c>
      <c r="J534" s="7">
        <v>-12.97</v>
      </c>
      <c r="K534" s="7">
        <v>85.22</v>
      </c>
      <c r="L534" s="7">
        <v>139.83000000000001</v>
      </c>
      <c r="M534" s="7">
        <v>8.00000000000409E-2</v>
      </c>
      <c r="N534" s="7">
        <v>94.48</v>
      </c>
      <c r="O534" s="7">
        <v>-62.57</v>
      </c>
      <c r="P534" s="7">
        <v>4.4699999999999704</v>
      </c>
      <c r="Q534" s="7">
        <v>26.09</v>
      </c>
      <c r="R534" s="7">
        <v>31.369999999999902</v>
      </c>
      <c r="S534" s="7">
        <v>38.78</v>
      </c>
      <c r="T534" s="7">
        <v>31.23</v>
      </c>
      <c r="U534" s="7">
        <v>41.03</v>
      </c>
      <c r="V534" s="7">
        <v>58.99</v>
      </c>
      <c r="W534" s="7">
        <v>37.65</v>
      </c>
      <c r="X534" s="7">
        <v>16.579999999999998</v>
      </c>
      <c r="Y534" s="7">
        <v>13.04</v>
      </c>
      <c r="Z534" s="9">
        <f>MAX($B$534:$Y$534)</f>
        <v>139.83000000000001</v>
      </c>
      <c r="AA534" s="9">
        <f>MIN($B$534:$Y$534)</f>
        <v>-184.25</v>
      </c>
      <c r="AB534" s="9">
        <f>AVERAGE($B$534:$Y$534)</f>
        <v>19.432500000000001</v>
      </c>
    </row>
    <row r="535" spans="1:28">
      <c r="A535" s="10">
        <v>45830</v>
      </c>
      <c r="B535" s="7">
        <v>15.88</v>
      </c>
      <c r="C535" s="7">
        <v>17.62</v>
      </c>
      <c r="D535" s="7">
        <v>22.76</v>
      </c>
      <c r="E535" s="7">
        <v>14.74</v>
      </c>
      <c r="F535" s="7">
        <v>31.72</v>
      </c>
      <c r="G535" s="7">
        <v>34.18</v>
      </c>
      <c r="H535" s="7">
        <v>30.33</v>
      </c>
      <c r="I535" s="7">
        <v>104.65</v>
      </c>
      <c r="J535" s="7">
        <v>188.07</v>
      </c>
      <c r="K535" s="7">
        <v>157.49</v>
      </c>
      <c r="L535" s="7">
        <v>38.85</v>
      </c>
      <c r="M535" s="7">
        <v>93.67</v>
      </c>
      <c r="N535" s="7">
        <v>67.239999999999995</v>
      </c>
      <c r="O535" s="7">
        <v>38.549999999999997</v>
      </c>
      <c r="P535" s="7">
        <v>94.41</v>
      </c>
      <c r="Q535" s="7">
        <v>107.2</v>
      </c>
      <c r="R535" s="7">
        <v>88.92</v>
      </c>
      <c r="S535" s="7">
        <v>34.74</v>
      </c>
      <c r="T535" s="7">
        <v>48.69</v>
      </c>
      <c r="U535" s="7">
        <v>9.7599999999999891</v>
      </c>
      <c r="V535" s="7">
        <v>12.67</v>
      </c>
      <c r="W535" s="7">
        <v>12.05</v>
      </c>
      <c r="X535" s="7">
        <v>20.86</v>
      </c>
      <c r="Y535" s="7">
        <v>23.36</v>
      </c>
      <c r="Z535" s="9">
        <f>MAX($B$535:$Y$535)</f>
        <v>188.07</v>
      </c>
      <c r="AA535" s="9">
        <f>MIN($B$535:$Y$535)</f>
        <v>9.7599999999999891</v>
      </c>
      <c r="AB535" s="9">
        <f>AVERAGE($B$535:$Y$535)</f>
        <v>54.517083333333296</v>
      </c>
    </row>
    <row r="536" spans="1:28">
      <c r="A536" s="10">
        <v>45831</v>
      </c>
      <c r="B536" s="7">
        <v>12.88</v>
      </c>
      <c r="C536" s="7">
        <v>9.5500000000000096</v>
      </c>
      <c r="D536" s="7">
        <v>3.7899999999999601</v>
      </c>
      <c r="E536" s="7">
        <v>21.92</v>
      </c>
      <c r="F536" s="7">
        <v>32.270000000000003</v>
      </c>
      <c r="G536" s="7">
        <v>62.48</v>
      </c>
      <c r="H536" s="7">
        <v>10.67</v>
      </c>
      <c r="I536" s="7">
        <v>61.19</v>
      </c>
      <c r="J536" s="7">
        <v>-4.58000000000004</v>
      </c>
      <c r="K536" s="7">
        <v>80.900000000000006</v>
      </c>
      <c r="L536" s="7">
        <v>150.99</v>
      </c>
      <c r="M536" s="7">
        <v>42.44</v>
      </c>
      <c r="N536" s="7">
        <v>-40.1</v>
      </c>
      <c r="O536" s="7">
        <v>-10.6</v>
      </c>
      <c r="P536" s="7">
        <v>55.09</v>
      </c>
      <c r="Q536" s="7">
        <v>-22.85</v>
      </c>
      <c r="R536" s="7">
        <v>-49.5</v>
      </c>
      <c r="S536" s="7">
        <v>-11.84</v>
      </c>
      <c r="T536" s="7">
        <v>-30.37</v>
      </c>
      <c r="U536" s="7">
        <v>29.95</v>
      </c>
      <c r="V536" s="7">
        <v>13.89</v>
      </c>
      <c r="W536" s="7">
        <v>20.51</v>
      </c>
      <c r="X536" s="7">
        <v>18.04</v>
      </c>
      <c r="Y536" s="7">
        <v>16.41</v>
      </c>
      <c r="Z536" s="9">
        <f>MAX($B$536:$Y$536)</f>
        <v>150.99</v>
      </c>
      <c r="AA536" s="9">
        <f>MIN($B$536:$Y$536)</f>
        <v>-49.5</v>
      </c>
      <c r="AB536" s="9">
        <f>AVERAGE($B$536:$Y$536)</f>
        <v>19.713750000000001</v>
      </c>
    </row>
    <row r="537" spans="1:28">
      <c r="A537" s="10">
        <v>45832</v>
      </c>
      <c r="B537" s="7">
        <v>-153.26</v>
      </c>
      <c r="C537" s="7">
        <v>7.8500000000000201</v>
      </c>
      <c r="D537" s="7">
        <v>12.06</v>
      </c>
      <c r="E537" s="7">
        <v>13.29</v>
      </c>
      <c r="F537" s="7">
        <v>9.9599999999999795</v>
      </c>
      <c r="G537" s="7">
        <v>8.5800000000000392</v>
      </c>
      <c r="H537" s="7">
        <v>11.1</v>
      </c>
      <c r="I537" s="7">
        <v>30.75</v>
      </c>
      <c r="J537" s="7">
        <v>2.1400000000000401</v>
      </c>
      <c r="K537" s="7">
        <v>207.52</v>
      </c>
      <c r="L537" s="7">
        <v>244.55</v>
      </c>
      <c r="M537" s="7">
        <v>135.26</v>
      </c>
      <c r="N537" s="7">
        <v>89.56</v>
      </c>
      <c r="O537" s="7">
        <v>96.8</v>
      </c>
      <c r="P537" s="7">
        <v>168.7</v>
      </c>
      <c r="Q537" s="7">
        <v>191.86</v>
      </c>
      <c r="R537" s="7">
        <v>103.98</v>
      </c>
      <c r="S537" s="7">
        <v>75.22</v>
      </c>
      <c r="T537" s="7">
        <v>-52.83</v>
      </c>
      <c r="U537" s="7">
        <v>45.17</v>
      </c>
      <c r="V537" s="7">
        <v>14.23</v>
      </c>
      <c r="W537" s="7">
        <v>1.9500000000000499</v>
      </c>
      <c r="X537" s="7">
        <v>-2.6100000000000101</v>
      </c>
      <c r="Y537" s="7">
        <v>-12.81</v>
      </c>
      <c r="Z537" s="9">
        <f>MAX($B$537:$Y$537)</f>
        <v>244.55</v>
      </c>
      <c r="AA537" s="9">
        <f>MIN($B$537:$Y$537)</f>
        <v>-153.26</v>
      </c>
      <c r="AB537" s="9">
        <f>AVERAGE($B$537:$Y$537)</f>
        <v>52.042499999999997</v>
      </c>
    </row>
    <row r="538" spans="1:28">
      <c r="A538" s="10">
        <v>45833</v>
      </c>
      <c r="B538" s="7">
        <v>-159.88999999999999</v>
      </c>
      <c r="C538" s="7">
        <v>-124.91</v>
      </c>
      <c r="D538" s="7">
        <v>-22.15</v>
      </c>
      <c r="E538" s="7">
        <v>-6.6600000000000303</v>
      </c>
      <c r="F538" s="7">
        <v>0.50999999999999102</v>
      </c>
      <c r="G538" s="7">
        <v>-1.19999999999999</v>
      </c>
      <c r="H538" s="7">
        <v>-0.18000000000000699</v>
      </c>
      <c r="I538" s="7">
        <v>22.8</v>
      </c>
      <c r="J538" s="7">
        <v>16.37</v>
      </c>
      <c r="K538" s="7">
        <v>-17.32</v>
      </c>
      <c r="L538" s="7">
        <v>-70.36</v>
      </c>
      <c r="M538" s="7">
        <v>-149.91</v>
      </c>
      <c r="N538" s="7">
        <v>-89.69</v>
      </c>
      <c r="O538" s="7">
        <v>-197.12</v>
      </c>
      <c r="P538" s="7">
        <v>101.83</v>
      </c>
      <c r="Q538" s="7">
        <v>57.07</v>
      </c>
      <c r="R538" s="7">
        <v>148.28</v>
      </c>
      <c r="S538" s="7">
        <v>170.18</v>
      </c>
      <c r="T538" s="7">
        <v>-43.71</v>
      </c>
      <c r="U538" s="7">
        <v>-32.79</v>
      </c>
      <c r="V538" s="7">
        <v>-73.650000000000006</v>
      </c>
      <c r="W538" s="7">
        <v>-134.71</v>
      </c>
      <c r="X538" s="7">
        <v>-200.75</v>
      </c>
      <c r="Y538" s="7">
        <v>-32.590000000000003</v>
      </c>
      <c r="Z538" s="9">
        <f>MAX($B$538:$Y$538)</f>
        <v>170.18</v>
      </c>
      <c r="AA538" s="9">
        <f>MIN($B$538:$Y$538)</f>
        <v>-200.75</v>
      </c>
      <c r="AB538" s="9">
        <f>AVERAGE($B$538:$Y$538)</f>
        <v>-35.022916666666703</v>
      </c>
    </row>
    <row r="539" spans="1:28">
      <c r="A539" s="10">
        <v>45834</v>
      </c>
      <c r="B539" s="7">
        <v>-297.17</v>
      </c>
      <c r="C539" s="7">
        <v>-284.14</v>
      </c>
      <c r="D539" s="7">
        <v>-13.15</v>
      </c>
      <c r="E539" s="7">
        <v>-4.5799999999999796</v>
      </c>
      <c r="F539" s="7">
        <v>3.94999999999999</v>
      </c>
      <c r="G539" s="7">
        <v>9.8000000000000096</v>
      </c>
      <c r="H539" s="7">
        <v>13.48</v>
      </c>
      <c r="I539" s="7">
        <v>8.31</v>
      </c>
      <c r="J539" s="7">
        <v>-63.37</v>
      </c>
      <c r="K539" s="7">
        <v>-51.7</v>
      </c>
      <c r="L539" s="7">
        <v>-186.51</v>
      </c>
      <c r="M539" s="7">
        <v>-40.75</v>
      </c>
      <c r="N539" s="7">
        <v>-49.14</v>
      </c>
      <c r="O539" s="7">
        <v>-44.28</v>
      </c>
      <c r="P539" s="7">
        <v>35.22</v>
      </c>
      <c r="Q539" s="7">
        <v>30.69</v>
      </c>
      <c r="R539" s="7">
        <v>54.01</v>
      </c>
      <c r="S539" s="7">
        <v>34.700000000000003</v>
      </c>
      <c r="T539" s="7">
        <v>38.479999999999997</v>
      </c>
      <c r="U539" s="7">
        <v>-9.6999999999999904</v>
      </c>
      <c r="V539" s="7">
        <v>2.8499999999999699</v>
      </c>
      <c r="W539" s="7">
        <v>17.04</v>
      </c>
      <c r="X539" s="7">
        <v>37.520000000000003</v>
      </c>
      <c r="Y539" s="7">
        <v>22.74</v>
      </c>
      <c r="Z539" s="9">
        <f>MAX($B$539:$Y$539)</f>
        <v>54.01</v>
      </c>
      <c r="AA539" s="9">
        <f>MIN($B$539:$Y$539)</f>
        <v>-297.17</v>
      </c>
      <c r="AB539" s="9">
        <f>AVERAGE($B$539:$Y$539)</f>
        <v>-30.654166666666701</v>
      </c>
    </row>
    <row r="540" spans="1:28">
      <c r="A540" s="10">
        <v>45835</v>
      </c>
      <c r="B540" s="7">
        <v>-42.52</v>
      </c>
      <c r="C540" s="7">
        <v>-1.69999999999999</v>
      </c>
      <c r="D540" s="7">
        <v>14.22</v>
      </c>
      <c r="E540" s="7">
        <v>7.6499999999999799</v>
      </c>
      <c r="F540" s="7">
        <v>22.64</v>
      </c>
      <c r="G540" s="7">
        <v>25.6</v>
      </c>
      <c r="H540" s="7">
        <v>18.34</v>
      </c>
      <c r="I540" s="7">
        <v>27.54</v>
      </c>
      <c r="J540" s="7">
        <v>3</v>
      </c>
      <c r="K540" s="7">
        <v>32.840000000000003</v>
      </c>
      <c r="L540" s="7">
        <v>-54.09</v>
      </c>
      <c r="M540" s="7">
        <v>-41.7</v>
      </c>
      <c r="N540" s="7">
        <v>3.19999999999999</v>
      </c>
      <c r="O540" s="7">
        <v>-265.18</v>
      </c>
      <c r="P540" s="7">
        <v>-14.58</v>
      </c>
      <c r="Q540" s="7">
        <v>-8.8699999999999992</v>
      </c>
      <c r="R540" s="7">
        <v>23.2</v>
      </c>
      <c r="S540" s="7">
        <v>-55.69</v>
      </c>
      <c r="T540" s="7">
        <v>15.21</v>
      </c>
      <c r="U540" s="7">
        <v>-182.55</v>
      </c>
      <c r="V540" s="7">
        <v>-211.52</v>
      </c>
      <c r="W540" s="7">
        <v>-225.75</v>
      </c>
      <c r="X540" s="7">
        <v>-9.81</v>
      </c>
      <c r="Y540" s="7">
        <v>6.81</v>
      </c>
      <c r="Z540" s="9">
        <f>MAX($B$540:$Y$540)</f>
        <v>32.840000000000003</v>
      </c>
      <c r="AA540" s="9">
        <f>MIN($B$540:$Y$540)</f>
        <v>-265.18</v>
      </c>
      <c r="AB540" s="9">
        <f>AVERAGE($B$540:$Y$540)</f>
        <v>-38.071249999999999</v>
      </c>
    </row>
    <row r="541" spans="1:28">
      <c r="A541" s="10">
        <v>45836</v>
      </c>
      <c r="B541" s="7">
        <v>-73.78</v>
      </c>
      <c r="C541" s="7">
        <v>5.3600000000000101</v>
      </c>
      <c r="D541" s="7">
        <v>4.2099999999999804</v>
      </c>
      <c r="E541" s="7">
        <v>0.36000000000001398</v>
      </c>
      <c r="F541" s="7">
        <v>13.03</v>
      </c>
      <c r="G541" s="7">
        <v>15.8</v>
      </c>
      <c r="H541" s="7">
        <v>24.19</v>
      </c>
      <c r="I541" s="7">
        <v>18.59</v>
      </c>
      <c r="J541" s="7">
        <v>32.340000000000003</v>
      </c>
      <c r="K541" s="7">
        <v>91.85</v>
      </c>
      <c r="L541" s="7">
        <v>-43.2</v>
      </c>
      <c r="M541" s="7">
        <v>-27.16</v>
      </c>
      <c r="N541" s="7">
        <v>100.78</v>
      </c>
      <c r="O541" s="7">
        <v>-41.18</v>
      </c>
      <c r="P541" s="7">
        <v>-29.15</v>
      </c>
      <c r="Q541" s="7">
        <v>-29.85</v>
      </c>
      <c r="R541" s="7">
        <v>-2.8299999999999801</v>
      </c>
      <c r="S541" s="7">
        <v>94.13</v>
      </c>
      <c r="T541" s="7">
        <v>37.72</v>
      </c>
      <c r="U541" s="7">
        <v>-6.5500000000000096</v>
      </c>
      <c r="V541" s="7">
        <v>6.3999999999999799</v>
      </c>
      <c r="W541" s="7">
        <v>21.42</v>
      </c>
      <c r="X541" s="7">
        <v>4.7199999999999704</v>
      </c>
      <c r="Y541" s="7">
        <v>-2.7899999999999601</v>
      </c>
      <c r="Z541" s="9">
        <f>MAX($B$541:$Y$541)</f>
        <v>100.78</v>
      </c>
      <c r="AA541" s="9">
        <f>MIN($B$541:$Y$541)</f>
        <v>-73.78</v>
      </c>
      <c r="AB541" s="9">
        <f>AVERAGE($B$541:$Y$541)</f>
        <v>8.9337499999999999</v>
      </c>
    </row>
    <row r="542" spans="1:28">
      <c r="A542" s="10">
        <v>45837</v>
      </c>
      <c r="B542" s="7">
        <v>-10.81</v>
      </c>
      <c r="C542" s="7">
        <v>-7.4099999999999699</v>
      </c>
      <c r="D542" s="7">
        <v>15.26</v>
      </c>
      <c r="E542" s="7">
        <v>7.51999999999998</v>
      </c>
      <c r="F542" s="7">
        <v>11.38</v>
      </c>
      <c r="G542" s="7">
        <v>12.94</v>
      </c>
      <c r="H542" s="7">
        <v>9.1300000000000008</v>
      </c>
      <c r="I542" s="7">
        <v>55.08</v>
      </c>
      <c r="J542" s="7">
        <v>124.29</v>
      </c>
      <c r="K542" s="7">
        <v>143.44999999999999</v>
      </c>
      <c r="L542" s="7">
        <v>152.44</v>
      </c>
      <c r="M542" s="7">
        <v>105.14</v>
      </c>
      <c r="N542" s="7">
        <v>68.16</v>
      </c>
      <c r="O542" s="7">
        <v>63.3</v>
      </c>
      <c r="P542" s="7">
        <v>37.26</v>
      </c>
      <c r="Q542" s="7">
        <v>28.17</v>
      </c>
      <c r="R542" s="7">
        <v>66.36</v>
      </c>
      <c r="S542" s="7">
        <v>40.44</v>
      </c>
      <c r="T542" s="7">
        <v>5.5399999999999903</v>
      </c>
      <c r="U542" s="7">
        <v>-12.91</v>
      </c>
      <c r="V542" s="7">
        <v>-5.73000000000002</v>
      </c>
      <c r="W542" s="7">
        <v>-10.19</v>
      </c>
      <c r="X542" s="7">
        <v>-3.4200000000000199</v>
      </c>
      <c r="Y542" s="7">
        <v>-4.1700000000000204</v>
      </c>
      <c r="Z542" s="9">
        <f>MAX($B$542:$Y$542)</f>
        <v>152.44</v>
      </c>
      <c r="AA542" s="9">
        <f>MIN($B$542:$Y$542)</f>
        <v>-12.91</v>
      </c>
      <c r="AB542" s="9">
        <f>AVERAGE($B$542:$Y$542)</f>
        <v>37.134166666666701</v>
      </c>
    </row>
    <row r="543" spans="1:28">
      <c r="A543" s="10">
        <v>45838</v>
      </c>
      <c r="B543" s="7">
        <v>-17.5</v>
      </c>
      <c r="C543" s="7">
        <v>18</v>
      </c>
      <c r="D543" s="7">
        <v>28.95</v>
      </c>
      <c r="E543" s="7">
        <v>23.48</v>
      </c>
      <c r="F543" s="7">
        <v>3.66</v>
      </c>
      <c r="G543" s="7">
        <v>12.4</v>
      </c>
      <c r="H543" s="7">
        <v>18.940000000000001</v>
      </c>
      <c r="I543" s="7">
        <v>-7.6099999999999897</v>
      </c>
      <c r="J543" s="7">
        <v>-23.91</v>
      </c>
      <c r="K543" s="7">
        <v>-29.95</v>
      </c>
      <c r="L543" s="7">
        <v>-11.88</v>
      </c>
      <c r="M543" s="7">
        <v>-2.6100000000000101</v>
      </c>
      <c r="N543" s="7">
        <v>-51.91</v>
      </c>
      <c r="O543" s="7">
        <v>-0.200000000000045</v>
      </c>
      <c r="P543" s="7">
        <v>-32.880000000000003</v>
      </c>
      <c r="Q543" s="7">
        <v>0.55000000000001104</v>
      </c>
      <c r="R543" s="7">
        <v>15.23</v>
      </c>
      <c r="S543" s="7">
        <v>31.78</v>
      </c>
      <c r="T543" s="7">
        <v>18.399999999999999</v>
      </c>
      <c r="U543" s="7">
        <v>14.32</v>
      </c>
      <c r="V543" s="7">
        <v>-29.3</v>
      </c>
      <c r="W543" s="7">
        <v>-38.18</v>
      </c>
      <c r="X543" s="7">
        <v>19.02</v>
      </c>
      <c r="Y543" s="7">
        <v>-2.8199999999999901</v>
      </c>
      <c r="Z543" s="9">
        <f>MAX($B$543:$Y$543)</f>
        <v>31.78</v>
      </c>
      <c r="AA543" s="9">
        <f>MIN($B$543:$Y$543)</f>
        <v>-51.91</v>
      </c>
      <c r="AB543" s="9">
        <f>AVERAGE($B$543:$Y$543)</f>
        <v>-1.8341666666666701</v>
      </c>
    </row>
    <row r="544" spans="1:28">
      <c r="A544" s="10">
        <v>45839</v>
      </c>
      <c r="B544" s="7">
        <v>11.2</v>
      </c>
      <c r="C544" s="7">
        <v>24.27</v>
      </c>
      <c r="D544" s="7">
        <v>49.29</v>
      </c>
      <c r="E544" s="7">
        <v>34.53</v>
      </c>
      <c r="F544" s="7">
        <v>36.32</v>
      </c>
      <c r="G544" s="7">
        <v>81.819999999999993</v>
      </c>
      <c r="H544" s="7">
        <v>41.04</v>
      </c>
      <c r="I544" s="7">
        <v>26.02</v>
      </c>
      <c r="J544" s="7">
        <v>23.39</v>
      </c>
      <c r="K544" s="7">
        <v>40.86</v>
      </c>
      <c r="L544" s="7">
        <v>44.1</v>
      </c>
      <c r="M544" s="7">
        <v>60.97</v>
      </c>
      <c r="N544" s="7">
        <v>66.42</v>
      </c>
      <c r="O544" s="7">
        <v>22.77</v>
      </c>
      <c r="P544" s="7">
        <v>19.48</v>
      </c>
      <c r="Q544" s="7">
        <v>64.94</v>
      </c>
      <c r="R544" s="7">
        <v>265.48</v>
      </c>
      <c r="S544" s="7">
        <v>243.34</v>
      </c>
      <c r="T544" s="7">
        <v>112.78</v>
      </c>
      <c r="U544" s="7">
        <v>223.61</v>
      </c>
      <c r="V544" s="7">
        <v>103.54</v>
      </c>
      <c r="W544" s="7">
        <v>151.41</v>
      </c>
      <c r="X544" s="7">
        <v>30.33</v>
      </c>
      <c r="Y544" s="7">
        <v>25.46</v>
      </c>
      <c r="Z544" s="9">
        <f>MAX($B$544:$Y$544)</f>
        <v>265.48</v>
      </c>
      <c r="AA544" s="9">
        <f>MIN($B$544:$Y$544)</f>
        <v>11.2</v>
      </c>
      <c r="AB544" s="9">
        <f>AVERAGE($B$544:$Y$544)</f>
        <v>75.140416666666695</v>
      </c>
    </row>
    <row r="545" spans="1:28">
      <c r="A545" s="10">
        <v>45840</v>
      </c>
      <c r="B545" s="7">
        <v>-0.43000000000000699</v>
      </c>
      <c r="C545" s="7">
        <v>21.5</v>
      </c>
      <c r="D545" s="7">
        <v>9.9200000000000195</v>
      </c>
      <c r="E545" s="7">
        <v>4.47</v>
      </c>
      <c r="F545" s="7">
        <v>17.73</v>
      </c>
      <c r="G545" s="7">
        <v>6.25</v>
      </c>
      <c r="H545" s="7">
        <v>0.109999999999985</v>
      </c>
      <c r="I545" s="7">
        <v>9.6500000000000092</v>
      </c>
      <c r="J545" s="7">
        <v>-8.7799999999999994</v>
      </c>
      <c r="K545" s="7">
        <v>-9.5299999999999692</v>
      </c>
      <c r="L545" s="7">
        <v>-89.06</v>
      </c>
      <c r="M545" s="7">
        <v>-19.64</v>
      </c>
      <c r="N545" s="7">
        <v>5.6100000000000101</v>
      </c>
      <c r="O545" s="7">
        <v>-30.95</v>
      </c>
      <c r="P545" s="7">
        <v>-19.52</v>
      </c>
      <c r="Q545" s="7">
        <v>-7.08000000000004</v>
      </c>
      <c r="R545" s="7">
        <v>-24.36</v>
      </c>
      <c r="S545" s="7">
        <v>-36.79</v>
      </c>
      <c r="T545" s="7">
        <v>-22.13</v>
      </c>
      <c r="U545" s="7">
        <v>-342.77</v>
      </c>
      <c r="V545" s="7">
        <v>-519.77</v>
      </c>
      <c r="W545" s="7">
        <v>-277.8</v>
      </c>
      <c r="X545" s="7">
        <v>-118.6</v>
      </c>
      <c r="Y545" s="7">
        <v>-9.0399999999999601</v>
      </c>
      <c r="Z545" s="9">
        <f>MAX($B$545:$Y$545)</f>
        <v>21.5</v>
      </c>
      <c r="AA545" s="9">
        <f>MIN($B$545:$Y$545)</f>
        <v>-519.77</v>
      </c>
      <c r="AB545" s="9">
        <f>AVERAGE($B$545:$Y$545)</f>
        <v>-60.875416666666702</v>
      </c>
    </row>
    <row r="546" spans="1:28">
      <c r="A546" s="10">
        <v>45841</v>
      </c>
      <c r="B546" s="7">
        <v>55.28</v>
      </c>
      <c r="C546" s="7">
        <v>-4.6000000000000201</v>
      </c>
      <c r="D546" s="7">
        <v>-0.99000000000000898</v>
      </c>
      <c r="E546" s="7">
        <v>-0.640000000000015</v>
      </c>
      <c r="F546" s="7">
        <v>-1.45999999999998</v>
      </c>
      <c r="G546" s="7">
        <v>-0.86000000000001398</v>
      </c>
      <c r="H546" s="7">
        <v>-0.79000000000002002</v>
      </c>
      <c r="I546" s="7">
        <v>10.94</v>
      </c>
      <c r="J546" s="7">
        <v>-3.96999999999997</v>
      </c>
      <c r="K546" s="7">
        <v>27.48</v>
      </c>
      <c r="L546" s="7">
        <v>8.1500000000000306</v>
      </c>
      <c r="M546" s="7">
        <v>-44.64</v>
      </c>
      <c r="N546" s="7">
        <v>-17.68</v>
      </c>
      <c r="O546" s="7">
        <v>-11.54</v>
      </c>
      <c r="P546" s="7">
        <v>15.92</v>
      </c>
      <c r="Q546" s="7">
        <v>15.59</v>
      </c>
      <c r="R546" s="7">
        <v>110.65</v>
      </c>
      <c r="S546" s="7">
        <v>9.0600000000000591</v>
      </c>
      <c r="T546" s="7">
        <v>16.11</v>
      </c>
      <c r="U546" s="7">
        <v>6.1100000000000101</v>
      </c>
      <c r="V546" s="7">
        <v>50.13</v>
      </c>
      <c r="W546" s="7">
        <v>34.74</v>
      </c>
      <c r="X546" s="7">
        <v>-26.88</v>
      </c>
      <c r="Y546" s="7">
        <v>-34.78</v>
      </c>
      <c r="Z546" s="9">
        <f>MAX($B$546:$Y$546)</f>
        <v>110.65</v>
      </c>
      <c r="AA546" s="9">
        <f>MIN($B$546:$Y$546)</f>
        <v>-44.64</v>
      </c>
      <c r="AB546" s="9">
        <f>AVERAGE($B$546:$Y$546)</f>
        <v>8.8054166666666696</v>
      </c>
    </row>
    <row r="547" spans="1:28">
      <c r="A547" s="10">
        <v>45842</v>
      </c>
      <c r="B547" s="7">
        <v>-21.98</v>
      </c>
      <c r="C547" s="7">
        <v>4.3999999999999799</v>
      </c>
      <c r="D547" s="7">
        <v>3.13</v>
      </c>
      <c r="E547" s="7">
        <v>9.5800000000000107</v>
      </c>
      <c r="F547" s="7">
        <v>7.5799999999999796</v>
      </c>
      <c r="G547" s="7">
        <v>9.9000000000000092</v>
      </c>
      <c r="H547" s="7">
        <v>9.3499999999999908</v>
      </c>
      <c r="I547" s="7">
        <v>8.0399999999999903</v>
      </c>
      <c r="J547" s="7">
        <v>15.16</v>
      </c>
      <c r="K547" s="7">
        <v>20.8</v>
      </c>
      <c r="L547" s="7">
        <v>6.8499999999999703</v>
      </c>
      <c r="M547" s="7">
        <v>7.13</v>
      </c>
      <c r="N547" s="7">
        <v>31.12</v>
      </c>
      <c r="O547" s="7">
        <v>9.2900000000000205</v>
      </c>
      <c r="P547" s="7">
        <v>8.6700000000000195</v>
      </c>
      <c r="Q547" s="7">
        <v>30.64</v>
      </c>
      <c r="R547" s="7">
        <v>76.650000000000006</v>
      </c>
      <c r="S547" s="7">
        <v>134.63</v>
      </c>
      <c r="T547" s="7">
        <v>22.36</v>
      </c>
      <c r="U547" s="7">
        <v>97.52</v>
      </c>
      <c r="V547" s="7">
        <v>46.36</v>
      </c>
      <c r="W547" s="7">
        <v>-136.38999999999999</v>
      </c>
      <c r="X547" s="7">
        <v>-106.68</v>
      </c>
      <c r="Y547" s="7">
        <v>-80.709999999999994</v>
      </c>
      <c r="Z547" s="9">
        <f>MAX($B$547:$Y$547)</f>
        <v>134.63</v>
      </c>
      <c r="AA547" s="9">
        <f>MIN($B$547:$Y$547)</f>
        <v>-136.38999999999999</v>
      </c>
      <c r="AB547" s="9">
        <f>AVERAGE($B$547:$Y$547)</f>
        <v>8.8916666666666693</v>
      </c>
    </row>
    <row r="548" spans="1:28">
      <c r="A548" s="10">
        <v>45843</v>
      </c>
      <c r="B548" s="7">
        <v>-139.93</v>
      </c>
      <c r="C548" s="7">
        <v>-49.76</v>
      </c>
      <c r="D548" s="7">
        <v>-21.27</v>
      </c>
      <c r="E548" s="7">
        <v>-10.039999999999999</v>
      </c>
      <c r="F548" s="7">
        <v>-5.7899999999999601</v>
      </c>
      <c r="G548" s="7">
        <v>-8.0400000000000205</v>
      </c>
      <c r="H548" s="7">
        <v>-6.22</v>
      </c>
      <c r="I548" s="7">
        <v>-11.01</v>
      </c>
      <c r="J548" s="7">
        <v>-10.3</v>
      </c>
      <c r="K548" s="7">
        <v>-4.9999999999954498E-2</v>
      </c>
      <c r="L548" s="7">
        <v>24.96</v>
      </c>
      <c r="M548" s="7">
        <v>38.39</v>
      </c>
      <c r="N548" s="7">
        <v>8.1300000000000008</v>
      </c>
      <c r="O548" s="7">
        <v>-2.9099999999999699</v>
      </c>
      <c r="P548" s="7">
        <v>17.41</v>
      </c>
      <c r="Q548" s="7">
        <v>17.14</v>
      </c>
      <c r="R548" s="7">
        <v>33.4</v>
      </c>
      <c r="S548" s="7">
        <v>32.869999999999997</v>
      </c>
      <c r="T548" s="7">
        <v>15.53</v>
      </c>
      <c r="U548" s="7">
        <v>31.86</v>
      </c>
      <c r="V548" s="7">
        <v>10.220000000000001</v>
      </c>
      <c r="W548" s="7">
        <v>22.68</v>
      </c>
      <c r="X548" s="7">
        <v>-15.57</v>
      </c>
      <c r="Y548" s="7">
        <v>-2.45999999999998</v>
      </c>
      <c r="Z548" s="9">
        <f>MAX($B$548:$Y$548)</f>
        <v>38.39</v>
      </c>
      <c r="AA548" s="9">
        <f>MIN($B$548:$Y$548)</f>
        <v>-139.93</v>
      </c>
      <c r="AB548" s="9">
        <f>AVERAGE($B$548:$Y$548)</f>
        <v>-1.2816666666666601</v>
      </c>
    </row>
    <row r="549" spans="1:28">
      <c r="A549" s="10">
        <v>45844</v>
      </c>
      <c r="B549" s="7">
        <v>0.24000000000000901</v>
      </c>
      <c r="C549" s="7">
        <v>18.670000000000002</v>
      </c>
      <c r="D549" s="7">
        <v>-30.67</v>
      </c>
      <c r="E549" s="7">
        <v>6.8400000000000301</v>
      </c>
      <c r="F549" s="7">
        <v>5.69</v>
      </c>
      <c r="G549" s="7">
        <v>7.19</v>
      </c>
      <c r="H549" s="7">
        <v>3.08000000000004</v>
      </c>
      <c r="I549" s="7">
        <v>4.9600000000000097</v>
      </c>
      <c r="J549" s="7">
        <v>59.31</v>
      </c>
      <c r="K549" s="7">
        <v>72.5</v>
      </c>
      <c r="L549" s="7">
        <v>50.91</v>
      </c>
      <c r="M549" s="7">
        <v>7.8199999999999896</v>
      </c>
      <c r="N549" s="7">
        <v>67.31</v>
      </c>
      <c r="O549" s="7">
        <v>-2.97</v>
      </c>
      <c r="P549" s="7">
        <v>27.88</v>
      </c>
      <c r="Q549" s="7">
        <v>0.70999999999997998</v>
      </c>
      <c r="R549" s="7">
        <v>-40.96</v>
      </c>
      <c r="S549" s="7">
        <v>5.4200000000000204</v>
      </c>
      <c r="T549" s="7">
        <v>-19.420000000000002</v>
      </c>
      <c r="U549" s="7">
        <v>-1.5900000000000301</v>
      </c>
      <c r="V549" s="7">
        <v>62.69</v>
      </c>
      <c r="W549" s="7">
        <v>49.99</v>
      </c>
      <c r="X549" s="7">
        <v>-128.38</v>
      </c>
      <c r="Y549" s="7">
        <v>-57.74</v>
      </c>
      <c r="Z549" s="9">
        <f>MAX($B$549:$Y$549)</f>
        <v>72.5</v>
      </c>
      <c r="AA549" s="9">
        <f>MIN($B$549:$Y$549)</f>
        <v>-128.38</v>
      </c>
      <c r="AB549" s="9">
        <f>AVERAGE($B$549:$Y$549)</f>
        <v>7.0616666666666701</v>
      </c>
    </row>
    <row r="550" spans="1:28">
      <c r="A550" s="10">
        <v>45845</v>
      </c>
      <c r="B550" s="7">
        <v>-66.89</v>
      </c>
      <c r="C550" s="7">
        <v>-0.71999999999997</v>
      </c>
      <c r="D550" s="7">
        <v>6.1399999999999899</v>
      </c>
      <c r="E550" s="7">
        <v>5.0699999999999896</v>
      </c>
      <c r="F550" s="7">
        <v>5.2299999999999898</v>
      </c>
      <c r="G550" s="7">
        <v>9.4499999999999904</v>
      </c>
      <c r="H550" s="7">
        <v>0.189999999999998</v>
      </c>
      <c r="I550" s="7">
        <v>-4.5800000000000098</v>
      </c>
      <c r="J550" s="7">
        <v>-4.7199999999999704</v>
      </c>
      <c r="K550" s="7">
        <v>5.98000000000002</v>
      </c>
      <c r="L550" s="7">
        <v>-7.81</v>
      </c>
      <c r="M550" s="7">
        <v>11.16</v>
      </c>
      <c r="N550" s="7">
        <v>-56.64</v>
      </c>
      <c r="O550" s="7">
        <v>-66.92</v>
      </c>
      <c r="P550" s="7">
        <v>-19.21</v>
      </c>
      <c r="Q550" s="7">
        <v>-31.32</v>
      </c>
      <c r="R550" s="7">
        <v>-96.53</v>
      </c>
      <c r="S550" s="7">
        <v>-190.32</v>
      </c>
      <c r="T550" s="7">
        <v>-213.1</v>
      </c>
      <c r="U550" s="7">
        <v>-336.73</v>
      </c>
      <c r="V550" s="7">
        <v>-697.67</v>
      </c>
      <c r="W550" s="7">
        <v>-739.13</v>
      </c>
      <c r="X550" s="7">
        <v>-368.35</v>
      </c>
      <c r="Y550" s="7">
        <v>-64.31</v>
      </c>
      <c r="Z550" s="9">
        <f>MAX($B$550:$Y$550)</f>
        <v>11.16</v>
      </c>
      <c r="AA550" s="9">
        <f>MIN($B$550:$Y$550)</f>
        <v>-739.13</v>
      </c>
      <c r="AB550" s="9">
        <f>AVERAGE($B$550:$Y$550)</f>
        <v>-121.73875</v>
      </c>
    </row>
    <row r="551" spans="1:28">
      <c r="A551" s="10">
        <v>45846</v>
      </c>
      <c r="B551" s="7">
        <v>-0.45999999999997998</v>
      </c>
      <c r="C551" s="7">
        <v>-6.76999999999998</v>
      </c>
      <c r="D551" s="7">
        <v>-19.78</v>
      </c>
      <c r="E551" s="7">
        <v>-13.59</v>
      </c>
      <c r="F551" s="7">
        <v>-13.7</v>
      </c>
      <c r="G551" s="7">
        <v>-21.2</v>
      </c>
      <c r="H551" s="7">
        <v>-12.62</v>
      </c>
      <c r="I551" s="7">
        <v>-18.420000000000002</v>
      </c>
      <c r="J551" s="7">
        <v>-23.48</v>
      </c>
      <c r="K551" s="7">
        <v>-124.67</v>
      </c>
      <c r="L551" s="7">
        <v>-6.3199999999999896</v>
      </c>
      <c r="M551" s="7">
        <v>-0.47000000000002701</v>
      </c>
      <c r="N551" s="7">
        <v>-42.01</v>
      </c>
      <c r="O551" s="7">
        <v>-183.16</v>
      </c>
      <c r="P551" s="7">
        <v>-62.37</v>
      </c>
      <c r="Q551" s="7">
        <v>-59.49</v>
      </c>
      <c r="R551" s="7">
        <v>76.64</v>
      </c>
      <c r="S551" s="7">
        <v>67.31</v>
      </c>
      <c r="T551" s="7">
        <v>55.73</v>
      </c>
      <c r="U551" s="7">
        <v>73.59</v>
      </c>
      <c r="V551" s="7">
        <v>28.98</v>
      </c>
      <c r="W551" s="7">
        <v>16.079999999999998</v>
      </c>
      <c r="X551" s="7">
        <v>7.8000000000000096</v>
      </c>
      <c r="Y551" s="7">
        <v>-6.8999999999999799</v>
      </c>
      <c r="Z551" s="9">
        <f>MAX($B$551:$Y$551)</f>
        <v>76.64</v>
      </c>
      <c r="AA551" s="9">
        <f>MIN($B$551:$Y$551)</f>
        <v>-183.16</v>
      </c>
      <c r="AB551" s="9">
        <f>AVERAGE($B$551:$Y$551)</f>
        <v>-12.053333333333301</v>
      </c>
    </row>
    <row r="552" spans="1:28">
      <c r="A552" s="10">
        <v>45847</v>
      </c>
      <c r="B552" s="7">
        <v>86.28</v>
      </c>
      <c r="C552" s="7">
        <v>44.89</v>
      </c>
      <c r="D552" s="7">
        <v>16.78</v>
      </c>
      <c r="E552" s="7">
        <v>18.899999999999999</v>
      </c>
      <c r="F552" s="7">
        <v>18.670000000000002</v>
      </c>
      <c r="G552" s="7">
        <v>16.739999999999998</v>
      </c>
      <c r="H552" s="7">
        <v>13.9</v>
      </c>
      <c r="I552" s="7">
        <v>6.44</v>
      </c>
      <c r="J552" s="7">
        <v>-3.5699999999999901</v>
      </c>
      <c r="K552" s="7">
        <v>39.729999999999997</v>
      </c>
      <c r="L552" s="7">
        <v>35.65</v>
      </c>
      <c r="M552" s="7">
        <v>70.45</v>
      </c>
      <c r="N552" s="7">
        <v>77.7</v>
      </c>
      <c r="O552" s="7">
        <v>30.39</v>
      </c>
      <c r="P552" s="7">
        <v>110.48</v>
      </c>
      <c r="Q552" s="7">
        <v>-105.26</v>
      </c>
      <c r="R552" s="7">
        <v>-161.44999999999999</v>
      </c>
      <c r="S552" s="7">
        <v>-161.5</v>
      </c>
      <c r="T552" s="7">
        <v>-23.25</v>
      </c>
      <c r="U552" s="7">
        <v>114.24</v>
      </c>
      <c r="V552" s="7">
        <v>39.130000000000003</v>
      </c>
      <c r="W552" s="7">
        <v>-53.59</v>
      </c>
      <c r="X552" s="7">
        <v>-27.94</v>
      </c>
      <c r="Y552" s="7">
        <v>19.61</v>
      </c>
      <c r="Z552" s="9">
        <f>MAX($B$552:$Y$552)</f>
        <v>114.24</v>
      </c>
      <c r="AA552" s="9">
        <f>MIN($B$552:$Y$552)</f>
        <v>-161.5</v>
      </c>
      <c r="AB552" s="9">
        <f>AVERAGE($B$552:$Y$552)</f>
        <v>9.3091666666666608</v>
      </c>
    </row>
    <row r="553" spans="1:28">
      <c r="A553" s="10">
        <v>45848</v>
      </c>
      <c r="B553" s="7">
        <v>26.78</v>
      </c>
      <c r="C553" s="7">
        <v>1.00999999999999</v>
      </c>
      <c r="D553" s="7">
        <v>-14.35</v>
      </c>
      <c r="E553" s="7">
        <v>-6.75</v>
      </c>
      <c r="F553" s="7">
        <v>-3.6199999999999801</v>
      </c>
      <c r="G553" s="7">
        <v>-13.88</v>
      </c>
      <c r="H553" s="7">
        <v>-16.2</v>
      </c>
      <c r="I553" s="7">
        <v>-15.48</v>
      </c>
      <c r="J553" s="7">
        <v>-3.19</v>
      </c>
      <c r="K553" s="7">
        <v>51.76</v>
      </c>
      <c r="L553" s="7">
        <v>73.27</v>
      </c>
      <c r="M553" s="7">
        <v>41.08</v>
      </c>
      <c r="N553" s="7">
        <v>31.49</v>
      </c>
      <c r="O553" s="7">
        <v>124.71</v>
      </c>
      <c r="P553" s="7">
        <v>189.36</v>
      </c>
      <c r="Q553" s="7">
        <v>125.9</v>
      </c>
      <c r="R553" s="7">
        <v>93.39</v>
      </c>
      <c r="S553" s="7">
        <v>105.28</v>
      </c>
      <c r="T553" s="7">
        <v>40.46</v>
      </c>
      <c r="U553" s="7">
        <v>59.52</v>
      </c>
      <c r="V553" s="7">
        <v>54.01</v>
      </c>
      <c r="W553" s="7">
        <v>44.4</v>
      </c>
      <c r="X553" s="7">
        <v>65.14</v>
      </c>
      <c r="Y553" s="7">
        <v>9.2900000000000205</v>
      </c>
      <c r="Z553" s="9">
        <f>MAX($B$553:$Y$553)</f>
        <v>189.36</v>
      </c>
      <c r="AA553" s="9">
        <f>MIN($B$553:$Y$553)</f>
        <v>-16.2</v>
      </c>
      <c r="AB553" s="9">
        <f>AVERAGE($B$553:$Y$553)</f>
        <v>44.307499999999997</v>
      </c>
    </row>
    <row r="554" spans="1:28">
      <c r="A554" s="10">
        <v>45849</v>
      </c>
      <c r="B554" s="7">
        <v>9.6300000000000008</v>
      </c>
      <c r="C554" s="7">
        <v>5.4499999999999904</v>
      </c>
      <c r="D554" s="7">
        <v>17.32</v>
      </c>
      <c r="E554" s="7">
        <v>12.34</v>
      </c>
      <c r="F554" s="7">
        <v>8.5100000000000193</v>
      </c>
      <c r="G554" s="7">
        <v>16.73</v>
      </c>
      <c r="H554" s="7">
        <v>16.5</v>
      </c>
      <c r="I554" s="7">
        <v>13.84</v>
      </c>
      <c r="J554" s="7">
        <v>18.61</v>
      </c>
      <c r="K554" s="7">
        <v>0.72000000000002695</v>
      </c>
      <c r="L554" s="7">
        <v>45.2</v>
      </c>
      <c r="M554" s="7">
        <v>41.1</v>
      </c>
      <c r="N554" s="7">
        <v>13.14</v>
      </c>
      <c r="O554" s="7">
        <v>-13.89</v>
      </c>
      <c r="P554" s="7">
        <v>57.39</v>
      </c>
      <c r="Q554" s="7">
        <v>49.62</v>
      </c>
      <c r="R554" s="7">
        <v>52</v>
      </c>
      <c r="S554" s="7">
        <v>51.57</v>
      </c>
      <c r="T554" s="7">
        <v>-6.9999999999993207E-2</v>
      </c>
      <c r="U554" s="7">
        <v>48.64</v>
      </c>
      <c r="V554" s="7">
        <v>28.52</v>
      </c>
      <c r="W554" s="7">
        <v>21.83</v>
      </c>
      <c r="X554" s="7">
        <v>-22.17</v>
      </c>
      <c r="Y554" s="7">
        <v>12.36</v>
      </c>
      <c r="Z554" s="9">
        <f>MAX($B$554:$Y$554)</f>
        <v>57.39</v>
      </c>
      <c r="AA554" s="9">
        <f>MIN($B$554:$Y$554)</f>
        <v>-22.17</v>
      </c>
      <c r="AB554" s="9">
        <f>AVERAGE($B$554:$Y$554)</f>
        <v>21.0370833333333</v>
      </c>
    </row>
    <row r="555" spans="1:28">
      <c r="A555" s="10">
        <v>45850</v>
      </c>
      <c r="B555" s="7">
        <v>-10.02</v>
      </c>
      <c r="C555" s="7">
        <v>4.50999999999999</v>
      </c>
      <c r="D555" s="7">
        <v>3.3399999999999701</v>
      </c>
      <c r="E555" s="7">
        <v>13.2</v>
      </c>
      <c r="F555" s="7">
        <v>19.64</v>
      </c>
      <c r="G555" s="7">
        <v>-3.59</v>
      </c>
      <c r="H555" s="7">
        <v>18.420000000000002</v>
      </c>
      <c r="I555" s="7">
        <v>25.99</v>
      </c>
      <c r="J555" s="7">
        <v>-13.92</v>
      </c>
      <c r="K555" s="7">
        <v>2.28000000000003</v>
      </c>
      <c r="L555" s="7">
        <v>25.5</v>
      </c>
      <c r="M555" s="7">
        <v>24.68</v>
      </c>
      <c r="N555" s="7">
        <v>19.47</v>
      </c>
      <c r="O555" s="7">
        <v>-3.01000000000005</v>
      </c>
      <c r="P555" s="7">
        <v>13.1</v>
      </c>
      <c r="Q555" s="7">
        <v>4.01999999999998</v>
      </c>
      <c r="R555" s="7">
        <v>1.31</v>
      </c>
      <c r="S555" s="7">
        <v>13.68</v>
      </c>
      <c r="T555" s="7">
        <v>3.3600000000000101</v>
      </c>
      <c r="U555" s="7">
        <v>9.2799999999999692</v>
      </c>
      <c r="V555" s="7">
        <v>-62.17</v>
      </c>
      <c r="W555" s="7">
        <v>-74.400000000000006</v>
      </c>
      <c r="X555" s="7">
        <v>-64.98</v>
      </c>
      <c r="Y555" s="7">
        <v>-26</v>
      </c>
      <c r="Z555" s="9">
        <f>MAX($B$555:$Y$555)</f>
        <v>25.99</v>
      </c>
      <c r="AA555" s="9">
        <f>MIN($B$555:$Y$555)</f>
        <v>-74.400000000000006</v>
      </c>
      <c r="AB555" s="9">
        <f>AVERAGE($B$555:$Y$555)</f>
        <v>-2.3462499999999999</v>
      </c>
    </row>
    <row r="556" spans="1:28">
      <c r="A556" s="10">
        <v>45851</v>
      </c>
      <c r="B556" s="7">
        <v>-24.36</v>
      </c>
      <c r="C556" s="7">
        <v>-16.989999999999998</v>
      </c>
      <c r="D556" s="7">
        <v>-2.99000000000001</v>
      </c>
      <c r="E556" s="7">
        <v>10.3</v>
      </c>
      <c r="F556" s="7">
        <v>-0.40999999999999698</v>
      </c>
      <c r="G556" s="7">
        <v>0.92999999999997796</v>
      </c>
      <c r="H556" s="7">
        <v>11.99</v>
      </c>
      <c r="I556" s="7">
        <v>30.57</v>
      </c>
      <c r="J556" s="7">
        <v>57.63</v>
      </c>
      <c r="K556" s="7">
        <v>53.49</v>
      </c>
      <c r="L556" s="7">
        <v>38.840000000000003</v>
      </c>
      <c r="M556" s="7">
        <v>34.340000000000003</v>
      </c>
      <c r="N556" s="7">
        <v>-4.66</v>
      </c>
      <c r="O556" s="7">
        <v>0.72999999999998999</v>
      </c>
      <c r="P556" s="7">
        <v>12.14</v>
      </c>
      <c r="Q556" s="7">
        <v>19.86</v>
      </c>
      <c r="R556" s="7">
        <v>7.2100000000000097</v>
      </c>
      <c r="S556" s="7">
        <v>0.66999999999995896</v>
      </c>
      <c r="T556" s="7">
        <v>3.69</v>
      </c>
      <c r="U556" s="7">
        <v>-2.9700000000000299</v>
      </c>
      <c r="V556" s="7">
        <v>-16</v>
      </c>
      <c r="W556" s="7">
        <v>-10.130000000000001</v>
      </c>
      <c r="X556" s="7">
        <v>9.3400000000000301</v>
      </c>
      <c r="Y556" s="7">
        <v>2.6099999999999599</v>
      </c>
      <c r="Z556" s="9">
        <f>MAX($B$556:$Y$556)</f>
        <v>57.63</v>
      </c>
      <c r="AA556" s="9">
        <f>MIN($B$556:$Y$556)</f>
        <v>-24.36</v>
      </c>
      <c r="AB556" s="9">
        <f>AVERAGE($B$556:$Y$556)</f>
        <v>8.9929166666666607</v>
      </c>
    </row>
    <row r="557" spans="1:28">
      <c r="A557" s="10">
        <v>45852</v>
      </c>
      <c r="B557" s="7">
        <v>-16.32</v>
      </c>
      <c r="C557" s="7">
        <v>-10.8</v>
      </c>
      <c r="D557" s="7">
        <v>-8.5499999999999492</v>
      </c>
      <c r="E557" s="7">
        <v>-2.94999999999999</v>
      </c>
      <c r="F557" s="7">
        <v>-3.4200000000000199</v>
      </c>
      <c r="G557" s="7">
        <v>-3.94999999999999</v>
      </c>
      <c r="H557" s="7">
        <v>-6.8700000000000303</v>
      </c>
      <c r="I557" s="7">
        <v>-19.59</v>
      </c>
      <c r="J557" s="7">
        <v>-16.63</v>
      </c>
      <c r="K557" s="7">
        <v>-39.82</v>
      </c>
      <c r="L557" s="7">
        <v>25.9</v>
      </c>
      <c r="M557" s="7">
        <v>31.43</v>
      </c>
      <c r="N557" s="7">
        <v>22.11</v>
      </c>
      <c r="O557" s="7">
        <v>8.4300000000000104</v>
      </c>
      <c r="P557" s="7">
        <v>12.04</v>
      </c>
      <c r="Q557" s="7">
        <v>12.4</v>
      </c>
      <c r="R557" s="7">
        <v>13.26</v>
      </c>
      <c r="S557" s="7">
        <v>-96.36</v>
      </c>
      <c r="T557" s="7">
        <v>-110.23</v>
      </c>
      <c r="U557" s="7">
        <v>-516.36</v>
      </c>
      <c r="V557" s="7">
        <v>-726.73</v>
      </c>
      <c r="W557" s="7">
        <v>-684.84</v>
      </c>
      <c r="X557" s="7">
        <v>-350.65</v>
      </c>
      <c r="Y557" s="7">
        <v>-22.13</v>
      </c>
      <c r="Z557" s="9">
        <f>MAX($B$557:$Y$557)</f>
        <v>31.43</v>
      </c>
      <c r="AA557" s="9">
        <f>MIN($B$557:$Y$557)</f>
        <v>-726.73</v>
      </c>
      <c r="AB557" s="9">
        <f>AVERAGE($B$557:$Y$557)</f>
        <v>-104.60958333333301</v>
      </c>
    </row>
    <row r="558" spans="1:28">
      <c r="A558" s="10">
        <v>45853</v>
      </c>
      <c r="B558" s="7">
        <v>8.1300000000000008</v>
      </c>
      <c r="C558" s="7">
        <v>10.96</v>
      </c>
      <c r="D558" s="7">
        <v>44.77</v>
      </c>
      <c r="E558" s="7">
        <v>78.349999999999994</v>
      </c>
      <c r="F558" s="7">
        <v>7.4999999999999698</v>
      </c>
      <c r="G558" s="7">
        <v>1.31</v>
      </c>
      <c r="H558" s="7">
        <v>1.3899999999999899</v>
      </c>
      <c r="I558" s="7">
        <v>7.6100000000000101</v>
      </c>
      <c r="J558" s="7">
        <v>6.1800000000000104</v>
      </c>
      <c r="K558" s="7">
        <v>36.22</v>
      </c>
      <c r="L558" s="7">
        <v>25.95</v>
      </c>
      <c r="M558" s="7">
        <v>26.33</v>
      </c>
      <c r="N558" s="7">
        <v>49.9</v>
      </c>
      <c r="O558" s="7">
        <v>75.63</v>
      </c>
      <c r="P558" s="7">
        <v>58.61</v>
      </c>
      <c r="Q558" s="7">
        <v>75.959999999999994</v>
      </c>
      <c r="R558" s="7">
        <v>208.14</v>
      </c>
      <c r="S558" s="7">
        <v>122.22</v>
      </c>
      <c r="T558" s="7">
        <v>60.79</v>
      </c>
      <c r="U558" s="7">
        <v>152.96</v>
      </c>
      <c r="V558" s="7">
        <v>87.03</v>
      </c>
      <c r="W558" s="7">
        <v>9.6500000000000306</v>
      </c>
      <c r="X558" s="7">
        <v>41.13</v>
      </c>
      <c r="Y558" s="7">
        <v>38.08</v>
      </c>
      <c r="Z558" s="9">
        <f>MAX($B$558:$Y$558)</f>
        <v>208.14</v>
      </c>
      <c r="AA558" s="9">
        <f>MIN($B$558:$Y$558)</f>
        <v>1.31</v>
      </c>
      <c r="AB558" s="9">
        <f>AVERAGE($B$558:$Y$558)</f>
        <v>51.45</v>
      </c>
    </row>
    <row r="559" spans="1:28">
      <c r="A559" s="10">
        <v>45854</v>
      </c>
      <c r="B559" s="7">
        <v>-28.15</v>
      </c>
      <c r="C559" s="7">
        <v>-2.51999999999998</v>
      </c>
      <c r="D559" s="7">
        <v>1.3599999999999599</v>
      </c>
      <c r="E559" s="7">
        <v>4.25</v>
      </c>
      <c r="F559" s="7">
        <v>4.1900000000000004</v>
      </c>
      <c r="G559" s="7">
        <v>7.23000000000002</v>
      </c>
      <c r="H559" s="7">
        <v>3.0999999999999699</v>
      </c>
      <c r="I559" s="7">
        <v>5.4600000000000399</v>
      </c>
      <c r="J559" s="7">
        <v>5.58000000000004</v>
      </c>
      <c r="K559" s="7">
        <v>57.49</v>
      </c>
      <c r="L559" s="7">
        <v>32.61</v>
      </c>
      <c r="M559" s="7">
        <v>35.96</v>
      </c>
      <c r="N559" s="7">
        <v>22.14</v>
      </c>
      <c r="O559" s="7">
        <v>63.98</v>
      </c>
      <c r="P559" s="7">
        <v>75.989999999999995</v>
      </c>
      <c r="Q559" s="7">
        <v>72.87</v>
      </c>
      <c r="R559" s="7">
        <v>68.75</v>
      </c>
      <c r="S559" s="7">
        <v>123.49</v>
      </c>
      <c r="T559" s="7">
        <v>18.28</v>
      </c>
      <c r="U559" s="7">
        <v>66.25</v>
      </c>
      <c r="V559" s="7">
        <v>0.86000000000001398</v>
      </c>
      <c r="W559" s="7">
        <v>-110.02</v>
      </c>
      <c r="X559" s="7">
        <v>-117.29</v>
      </c>
      <c r="Y559" s="7">
        <v>-20.83</v>
      </c>
      <c r="Z559" s="9">
        <f>MAX($B$559:$Y$559)</f>
        <v>123.49</v>
      </c>
      <c r="AA559" s="9">
        <f>MIN($B$559:$Y$559)</f>
        <v>-117.29</v>
      </c>
      <c r="AB559" s="9">
        <f>AVERAGE($B$559:$Y$559)</f>
        <v>16.292916666666699</v>
      </c>
    </row>
    <row r="560" spans="1:28">
      <c r="A560" s="10">
        <v>45855</v>
      </c>
      <c r="B560" s="7">
        <v>-39.49</v>
      </c>
      <c r="C560" s="7">
        <v>-29.48</v>
      </c>
      <c r="D560" s="7">
        <v>-59.6</v>
      </c>
      <c r="E560" s="7">
        <v>-59.54</v>
      </c>
      <c r="F560" s="7">
        <v>-36.78</v>
      </c>
      <c r="G560" s="7">
        <v>-34</v>
      </c>
      <c r="H560" s="7">
        <v>-21.14</v>
      </c>
      <c r="I560" s="7">
        <v>-0.61000000000001398</v>
      </c>
      <c r="J560" s="7">
        <v>17.84</v>
      </c>
      <c r="K560" s="7">
        <v>64.38</v>
      </c>
      <c r="L560" s="7">
        <v>68.77</v>
      </c>
      <c r="M560" s="7">
        <v>117.26</v>
      </c>
      <c r="N560" s="7">
        <v>53.13</v>
      </c>
      <c r="O560" s="7">
        <v>8.4099999999999699</v>
      </c>
      <c r="P560" s="7">
        <v>66.849999999999994</v>
      </c>
      <c r="Q560" s="7">
        <v>79.260000000000005</v>
      </c>
      <c r="R560" s="7">
        <v>85.25</v>
      </c>
      <c r="S560" s="7">
        <v>58.12</v>
      </c>
      <c r="T560" s="7">
        <v>17.64</v>
      </c>
      <c r="U560" s="7">
        <v>-101.25</v>
      </c>
      <c r="V560" s="7">
        <v>-174.53</v>
      </c>
      <c r="W560" s="7">
        <v>-355.26</v>
      </c>
      <c r="X560" s="7">
        <v>-269.39</v>
      </c>
      <c r="Y560" s="7">
        <v>-81.849999999999994</v>
      </c>
      <c r="Z560" s="9">
        <f>MAX($B$560:$Y$560)</f>
        <v>117.26</v>
      </c>
      <c r="AA560" s="9">
        <f>MIN($B$560:$Y$560)</f>
        <v>-355.26</v>
      </c>
      <c r="AB560" s="9">
        <f>AVERAGE($B$560:$Y$560)</f>
        <v>-26.083749999999998</v>
      </c>
    </row>
    <row r="561" spans="1:28">
      <c r="A561" s="10">
        <v>45856</v>
      </c>
      <c r="B561" s="7">
        <v>-348.67</v>
      </c>
      <c r="C561" s="7">
        <v>-32</v>
      </c>
      <c r="D561" s="7">
        <v>-305.58</v>
      </c>
      <c r="E561" s="7">
        <v>-213.45</v>
      </c>
      <c r="F561" s="7">
        <v>-30.41</v>
      </c>
      <c r="G561" s="7">
        <v>-31.4</v>
      </c>
      <c r="H561" s="7">
        <v>-29.4299999999999</v>
      </c>
      <c r="I561" s="7">
        <v>-12.82</v>
      </c>
      <c r="J561" s="7">
        <v>-49.76</v>
      </c>
      <c r="K561" s="7">
        <v>1.6499999999999799</v>
      </c>
      <c r="L561" s="7">
        <v>140.13</v>
      </c>
      <c r="M561" s="7">
        <v>158.11000000000001</v>
      </c>
      <c r="N561" s="7">
        <v>66.790000000000006</v>
      </c>
      <c r="O561" s="7">
        <v>80.59</v>
      </c>
      <c r="P561" s="7">
        <v>274.83</v>
      </c>
      <c r="Q561" s="7">
        <v>221.11</v>
      </c>
      <c r="R561" s="7">
        <v>209.64</v>
      </c>
      <c r="S561" s="7">
        <v>235.15</v>
      </c>
      <c r="T561" s="7">
        <v>202.24</v>
      </c>
      <c r="U561" s="7">
        <v>231.39</v>
      </c>
      <c r="V561" s="7">
        <v>254.06</v>
      </c>
      <c r="W561" s="7">
        <v>304.91000000000003</v>
      </c>
      <c r="X561" s="7">
        <v>296.99</v>
      </c>
      <c r="Y561" s="7">
        <v>218.41</v>
      </c>
      <c r="Z561" s="9">
        <f>MAX($B$561:$Y$561)</f>
        <v>304.91000000000003</v>
      </c>
      <c r="AA561" s="9">
        <f>MIN($B$561:$Y$561)</f>
        <v>-348.67</v>
      </c>
      <c r="AB561" s="9">
        <f>AVERAGE($B$561:$Y$561)</f>
        <v>76.77</v>
      </c>
    </row>
    <row r="562" spans="1:28">
      <c r="A562" s="10">
        <v>45857</v>
      </c>
      <c r="B562" s="7">
        <v>124.7</v>
      </c>
      <c r="C562" s="7">
        <v>120.28</v>
      </c>
      <c r="D562" s="7">
        <v>95.16</v>
      </c>
      <c r="E562" s="7">
        <v>74.87</v>
      </c>
      <c r="F562" s="7">
        <v>58.78</v>
      </c>
      <c r="G562" s="7">
        <v>73.12</v>
      </c>
      <c r="H562" s="7">
        <v>66.37</v>
      </c>
      <c r="I562" s="7">
        <v>58.78</v>
      </c>
      <c r="J562" s="7">
        <v>73.22</v>
      </c>
      <c r="K562" s="7">
        <v>123.11</v>
      </c>
      <c r="L562" s="7">
        <v>114.66</v>
      </c>
      <c r="M562" s="7">
        <v>105.3</v>
      </c>
      <c r="N562" s="7">
        <v>99.89</v>
      </c>
      <c r="O562" s="7">
        <v>136.56</v>
      </c>
      <c r="P562" s="7">
        <v>114.8</v>
      </c>
      <c r="Q562" s="7">
        <v>84.05</v>
      </c>
      <c r="R562" s="7">
        <v>93.86</v>
      </c>
      <c r="S562" s="7">
        <v>91.28</v>
      </c>
      <c r="T562" s="7">
        <v>16.850000000000001</v>
      </c>
      <c r="U562" s="7">
        <v>155.01</v>
      </c>
      <c r="V562" s="7">
        <v>116.26</v>
      </c>
      <c r="W562" s="7">
        <v>81.849999999999994</v>
      </c>
      <c r="X562" s="7">
        <v>75.3</v>
      </c>
      <c r="Y562" s="7">
        <v>36.979999999999997</v>
      </c>
      <c r="Z562" s="9">
        <f>MAX($B$562:$Y$562)</f>
        <v>155.01</v>
      </c>
      <c r="AA562" s="9">
        <f>MIN($B$562:$Y$562)</f>
        <v>16.850000000000001</v>
      </c>
      <c r="AB562" s="9">
        <f>AVERAGE($B$562:$Y$562)</f>
        <v>91.293333333333294</v>
      </c>
    </row>
    <row r="563" spans="1:28">
      <c r="A563" s="10">
        <v>45858</v>
      </c>
      <c r="B563" s="7">
        <v>-175.04</v>
      </c>
      <c r="C563" s="7">
        <v>-41.82</v>
      </c>
      <c r="D563" s="7">
        <v>-66.08</v>
      </c>
      <c r="E563" s="7">
        <v>-44.53</v>
      </c>
      <c r="F563" s="7">
        <v>-24.15</v>
      </c>
      <c r="G563" s="7">
        <v>-21.54</v>
      </c>
      <c r="H563" s="7">
        <v>-24.76</v>
      </c>
      <c r="I563" s="7">
        <v>-18.84</v>
      </c>
      <c r="J563" s="7">
        <v>-5.75</v>
      </c>
      <c r="K563" s="7">
        <v>8.41</v>
      </c>
      <c r="L563" s="7">
        <v>64.17</v>
      </c>
      <c r="M563" s="7">
        <v>28.29</v>
      </c>
      <c r="N563" s="7">
        <v>87.37</v>
      </c>
      <c r="O563" s="7">
        <v>25.74</v>
      </c>
      <c r="P563" s="7">
        <v>85.96</v>
      </c>
      <c r="Q563" s="7">
        <v>169.42</v>
      </c>
      <c r="R563" s="7">
        <v>139.22999999999999</v>
      </c>
      <c r="S563" s="7">
        <v>33.81</v>
      </c>
      <c r="T563" s="7">
        <v>-4.99000000000001</v>
      </c>
      <c r="U563" s="7">
        <v>9.5699999999999896</v>
      </c>
      <c r="V563" s="7">
        <v>43.99</v>
      </c>
      <c r="W563" s="7">
        <v>15.68</v>
      </c>
      <c r="X563" s="7">
        <v>11.92</v>
      </c>
      <c r="Y563" s="7">
        <v>20.89</v>
      </c>
      <c r="Z563" s="9">
        <f>MAX($B$563:$Y$563)</f>
        <v>169.42</v>
      </c>
      <c r="AA563" s="9">
        <f>MIN($B$563:$Y$563)</f>
        <v>-175.04</v>
      </c>
      <c r="AB563" s="9">
        <f>AVERAGE($B$563:$Y$563)</f>
        <v>13.206250000000001</v>
      </c>
    </row>
    <row r="564" spans="1:28">
      <c r="A564" s="10">
        <v>45859</v>
      </c>
      <c r="B564" s="7">
        <v>34.04</v>
      </c>
      <c r="C564" s="7">
        <v>3.9199999999999902</v>
      </c>
      <c r="D564" s="7">
        <v>27.19</v>
      </c>
      <c r="E564" s="7">
        <v>21.74</v>
      </c>
      <c r="F564" s="7">
        <v>-5.7999999999999803</v>
      </c>
      <c r="G564" s="7">
        <v>-31.45</v>
      </c>
      <c r="H564" s="7">
        <v>-3.31</v>
      </c>
      <c r="I564" s="7">
        <v>-5.2899999999999903</v>
      </c>
      <c r="J564" s="7">
        <v>-2.3999999999999799</v>
      </c>
      <c r="K564" s="7">
        <v>-64.559999999999903</v>
      </c>
      <c r="L564" s="7">
        <v>-135.26</v>
      </c>
      <c r="M564" s="7">
        <v>-40.75</v>
      </c>
      <c r="N564" s="7">
        <v>26.68</v>
      </c>
      <c r="O564" s="7">
        <v>-181.16</v>
      </c>
      <c r="P564" s="7">
        <v>-154.58000000000001</v>
      </c>
      <c r="Q564" s="7">
        <v>-75.17</v>
      </c>
      <c r="R564" s="7">
        <v>-35.21</v>
      </c>
      <c r="S564" s="7">
        <v>-19.3200000000001</v>
      </c>
      <c r="T564" s="7">
        <v>-11.94</v>
      </c>
      <c r="U564" s="7">
        <v>11.7</v>
      </c>
      <c r="V564" s="7">
        <v>10.51</v>
      </c>
      <c r="W564" s="7">
        <v>21.4</v>
      </c>
      <c r="X564" s="7">
        <v>14.79</v>
      </c>
      <c r="Y564" s="7">
        <v>-3.3499999999999899</v>
      </c>
      <c r="Z564" s="9">
        <f>MAX($B$564:$Y$564)</f>
        <v>34.04</v>
      </c>
      <c r="AA564" s="9">
        <f>MIN($B$564:$Y$564)</f>
        <v>-181.16</v>
      </c>
      <c r="AB564" s="9">
        <f>AVERAGE($B$564:$Y$564)</f>
        <v>-24.899166666666702</v>
      </c>
    </row>
    <row r="565" spans="1:28">
      <c r="A565" s="10">
        <v>45860</v>
      </c>
      <c r="B565" s="7">
        <v>-23.63</v>
      </c>
      <c r="C565" s="7">
        <v>-8.6100000000000101</v>
      </c>
      <c r="D565" s="7">
        <v>-5.63</v>
      </c>
      <c r="E565" s="7">
        <v>-3.5499999999999798</v>
      </c>
      <c r="F565" s="7">
        <v>12.61</v>
      </c>
      <c r="G565" s="7">
        <v>15.15</v>
      </c>
      <c r="H565" s="7">
        <v>9.8499999999999908</v>
      </c>
      <c r="I565" s="7">
        <v>10.46</v>
      </c>
      <c r="J565" s="7">
        <v>-17.03</v>
      </c>
      <c r="K565" s="7">
        <v>-28.82</v>
      </c>
      <c r="L565" s="7">
        <v>-2.5299999999999701</v>
      </c>
      <c r="M565" s="7">
        <v>4.1900000000000004</v>
      </c>
      <c r="N565" s="7">
        <v>-14.06</v>
      </c>
      <c r="O565" s="7">
        <v>-3.46999999999997</v>
      </c>
      <c r="P565" s="7">
        <v>16.04</v>
      </c>
      <c r="Q565" s="7">
        <v>16.559999999999999</v>
      </c>
      <c r="R565" s="7">
        <v>-9.0500000000000096</v>
      </c>
      <c r="S565" s="7">
        <v>-40.83</v>
      </c>
      <c r="T565" s="7">
        <v>16.53</v>
      </c>
      <c r="U565" s="7">
        <v>14.51</v>
      </c>
      <c r="V565" s="7">
        <v>11.14</v>
      </c>
      <c r="W565" s="7">
        <v>11.22</v>
      </c>
      <c r="X565" s="7">
        <v>13.13</v>
      </c>
      <c r="Y565" s="7">
        <v>-2.54000000000002</v>
      </c>
      <c r="Z565" s="9">
        <f>MAX($B$565:$Y$565)</f>
        <v>16.559999999999999</v>
      </c>
      <c r="AA565" s="9">
        <f>MIN($B$565:$Y$565)</f>
        <v>-40.83</v>
      </c>
      <c r="AB565" s="9">
        <f>AVERAGE($B$565:$Y$565)</f>
        <v>-0.348333333333333</v>
      </c>
    </row>
    <row r="566" spans="1:28">
      <c r="A566" s="10">
        <v>45861</v>
      </c>
      <c r="B566" s="7">
        <v>5.63</v>
      </c>
      <c r="C566" s="7">
        <v>8.0699999999999896</v>
      </c>
      <c r="D566" s="7">
        <v>7.8999999999999799</v>
      </c>
      <c r="E566" s="7">
        <v>36.32</v>
      </c>
      <c r="F566" s="7">
        <v>9.9799999999999898</v>
      </c>
      <c r="G566" s="7">
        <v>4.6800000000000104</v>
      </c>
      <c r="H566" s="7">
        <v>10.09</v>
      </c>
      <c r="I566" s="7">
        <v>10.01</v>
      </c>
      <c r="J566" s="7">
        <v>-20.14</v>
      </c>
      <c r="K566" s="7">
        <v>33.979999999999997</v>
      </c>
      <c r="L566" s="7">
        <v>55.99</v>
      </c>
      <c r="M566" s="7">
        <v>54.11</v>
      </c>
      <c r="N566" s="7">
        <v>87.9</v>
      </c>
      <c r="O566" s="7">
        <v>41.53</v>
      </c>
      <c r="P566" s="7">
        <v>70.58</v>
      </c>
      <c r="Q566" s="7">
        <v>67.790000000000006</v>
      </c>
      <c r="R566" s="7">
        <v>92.44</v>
      </c>
      <c r="S566" s="7">
        <v>33.68</v>
      </c>
      <c r="T566" s="7">
        <v>-13.19</v>
      </c>
      <c r="U566" s="7">
        <v>47.81</v>
      </c>
      <c r="V566" s="7">
        <v>37.71</v>
      </c>
      <c r="W566" s="7">
        <v>40.82</v>
      </c>
      <c r="X566" s="7">
        <v>31.39</v>
      </c>
      <c r="Y566" s="7">
        <v>8.0099999999999891</v>
      </c>
      <c r="Z566" s="9">
        <f>MAX($B$566:$Y$566)</f>
        <v>92.44</v>
      </c>
      <c r="AA566" s="9">
        <f>MIN($B$566:$Y$566)</f>
        <v>-20.14</v>
      </c>
      <c r="AB566" s="9">
        <f>AVERAGE($B$566:$Y$566)</f>
        <v>31.7954166666667</v>
      </c>
    </row>
    <row r="567" spans="1:28">
      <c r="A567" s="10">
        <v>45862</v>
      </c>
      <c r="B567" s="7">
        <v>5.8600000000000101</v>
      </c>
      <c r="C567" s="7">
        <v>9.1499999999999808</v>
      </c>
      <c r="D567" s="7">
        <v>2.25</v>
      </c>
      <c r="E567" s="7">
        <v>2.5799999999999801</v>
      </c>
      <c r="F567" s="7">
        <v>3.04000000000002</v>
      </c>
      <c r="G567" s="7">
        <v>7.8000000000000096</v>
      </c>
      <c r="H567" s="7">
        <v>2.1100000000000101</v>
      </c>
      <c r="I567" s="7">
        <v>-0.33000000000004098</v>
      </c>
      <c r="J567" s="7">
        <v>-15.09</v>
      </c>
      <c r="K567" s="7">
        <v>-16.95</v>
      </c>
      <c r="L567" s="7">
        <v>-1.84</v>
      </c>
      <c r="M567" s="7">
        <v>37.18</v>
      </c>
      <c r="N567" s="7">
        <v>54.73</v>
      </c>
      <c r="O567" s="7">
        <v>22.12</v>
      </c>
      <c r="P567" s="7">
        <v>21.39</v>
      </c>
      <c r="Q567" s="7">
        <v>48.9</v>
      </c>
      <c r="R567" s="7">
        <v>59.84</v>
      </c>
      <c r="S567" s="7">
        <v>116.99</v>
      </c>
      <c r="T567" s="7">
        <v>49.78</v>
      </c>
      <c r="U567" s="7">
        <v>285.88</v>
      </c>
      <c r="V567" s="7">
        <v>185.08</v>
      </c>
      <c r="W567" s="7">
        <v>90.99</v>
      </c>
      <c r="X567" s="7">
        <v>52.95</v>
      </c>
      <c r="Y567" s="7">
        <v>10.95</v>
      </c>
      <c r="Z567" s="9">
        <f>MAX($B$567:$Y$567)</f>
        <v>285.88</v>
      </c>
      <c r="AA567" s="9">
        <f>MIN($B$567:$Y$567)</f>
        <v>-16.95</v>
      </c>
      <c r="AB567" s="9">
        <f>AVERAGE($B$567:$Y$567)</f>
        <v>43.14</v>
      </c>
    </row>
    <row r="568" spans="1:28">
      <c r="A568" s="10">
        <v>45863</v>
      </c>
      <c r="B568" s="7">
        <v>-2.82000000000005</v>
      </c>
      <c r="C568" s="7">
        <v>16.3</v>
      </c>
      <c r="D568" s="7">
        <v>24.09</v>
      </c>
      <c r="E568" s="7">
        <v>13.62</v>
      </c>
      <c r="F568" s="7">
        <v>12.57</v>
      </c>
      <c r="G568" s="7">
        <v>8.0799999999999805</v>
      </c>
      <c r="H568" s="7">
        <v>4.48000000000002</v>
      </c>
      <c r="I568" s="7">
        <v>7.6399999999999899</v>
      </c>
      <c r="J568" s="7">
        <v>28.04</v>
      </c>
      <c r="K568" s="7">
        <v>58.03</v>
      </c>
      <c r="L568" s="7">
        <v>41.01</v>
      </c>
      <c r="M568" s="7">
        <v>65.2</v>
      </c>
      <c r="N568" s="7">
        <v>50.49</v>
      </c>
      <c r="O568" s="7">
        <v>36.020000000000003</v>
      </c>
      <c r="P568" s="7">
        <v>-49.76</v>
      </c>
      <c r="Q568" s="7">
        <v>-18.16</v>
      </c>
      <c r="R568" s="7">
        <v>138.02000000000001</v>
      </c>
      <c r="S568" s="7">
        <v>112.32</v>
      </c>
      <c r="T568" s="7">
        <v>33.619999999999898</v>
      </c>
      <c r="U568" s="7">
        <v>187.29</v>
      </c>
      <c r="V568" s="7">
        <v>90.04</v>
      </c>
      <c r="W568" s="7">
        <v>74.27</v>
      </c>
      <c r="X568" s="7">
        <v>154.57</v>
      </c>
      <c r="Y568" s="7">
        <v>56.21</v>
      </c>
      <c r="Z568" s="9">
        <f>MAX($B$568:$Y$568)</f>
        <v>187.29</v>
      </c>
      <c r="AA568" s="9">
        <f>MIN($B$568:$Y$568)</f>
        <v>-49.76</v>
      </c>
      <c r="AB568" s="9">
        <f>AVERAGE($B$568:$Y$568)</f>
        <v>47.548749999999998</v>
      </c>
    </row>
    <row r="569" spans="1:28">
      <c r="A569" s="10">
        <v>45864</v>
      </c>
      <c r="B569" s="7">
        <v>18.18</v>
      </c>
      <c r="C569" s="7">
        <v>50.52</v>
      </c>
      <c r="D569" s="7">
        <v>33.380000000000003</v>
      </c>
      <c r="E569" s="7">
        <v>22.43</v>
      </c>
      <c r="F569" s="7">
        <v>26.98</v>
      </c>
      <c r="G569" s="7">
        <v>21.88</v>
      </c>
      <c r="H569" s="7">
        <v>14.81</v>
      </c>
      <c r="I569" s="7">
        <v>13.8</v>
      </c>
      <c r="J569" s="7">
        <v>3.9200000000000199</v>
      </c>
      <c r="K569" s="7">
        <v>28.76</v>
      </c>
      <c r="L569" s="7">
        <v>65.56</v>
      </c>
      <c r="M569" s="7">
        <v>56.72</v>
      </c>
      <c r="N569" s="7">
        <v>31.89</v>
      </c>
      <c r="O569" s="7">
        <v>55.53</v>
      </c>
      <c r="P569" s="7">
        <v>48.79</v>
      </c>
      <c r="Q569" s="7">
        <v>39.549999999999997</v>
      </c>
      <c r="R569" s="7">
        <v>64.31</v>
      </c>
      <c r="S569" s="7">
        <v>41.44</v>
      </c>
      <c r="T569" s="7">
        <v>30.72</v>
      </c>
      <c r="U569" s="7">
        <v>134.65</v>
      </c>
      <c r="V569" s="7">
        <v>48.58</v>
      </c>
      <c r="W569" s="7">
        <v>17.87</v>
      </c>
      <c r="X569" s="7">
        <v>18.88</v>
      </c>
      <c r="Y569" s="7">
        <v>13.84</v>
      </c>
      <c r="Z569" s="9">
        <f>MAX($B$569:$Y$569)</f>
        <v>134.65</v>
      </c>
      <c r="AA569" s="9">
        <f>MIN($B$569:$Y$569)</f>
        <v>3.9200000000000199</v>
      </c>
      <c r="AB569" s="9">
        <f>AVERAGE($B$569:$Y$569)</f>
        <v>37.624583333333298</v>
      </c>
    </row>
    <row r="570" spans="1:28">
      <c r="A570" s="10">
        <v>45865</v>
      </c>
      <c r="B570" s="7">
        <v>-365.18</v>
      </c>
      <c r="C570" s="7">
        <v>-92.18</v>
      </c>
      <c r="D570" s="7">
        <v>-26.56</v>
      </c>
      <c r="E570" s="7">
        <v>-8.57000000000005</v>
      </c>
      <c r="F570" s="7">
        <v>2.0000000000038699E-2</v>
      </c>
      <c r="G570" s="7">
        <v>-0.80000000000001104</v>
      </c>
      <c r="H570" s="7">
        <v>-1.5499999999999501</v>
      </c>
      <c r="I570" s="7">
        <v>8.1699999999999893</v>
      </c>
      <c r="J570" s="7">
        <v>38.61</v>
      </c>
      <c r="K570" s="7">
        <v>49.89</v>
      </c>
      <c r="L570" s="7">
        <v>98.63</v>
      </c>
      <c r="M570" s="7">
        <v>-1.8600000000000101</v>
      </c>
      <c r="N570" s="7">
        <v>-0.34999999999999398</v>
      </c>
      <c r="O570" s="7">
        <v>38.08</v>
      </c>
      <c r="P570" s="7">
        <v>50.72</v>
      </c>
      <c r="Q570" s="7">
        <v>44.52</v>
      </c>
      <c r="R570" s="7">
        <v>11.26</v>
      </c>
      <c r="S570" s="7">
        <v>19.309999999999999</v>
      </c>
      <c r="T570" s="7">
        <v>4.73000000000002</v>
      </c>
      <c r="U570" s="7">
        <v>-6.56</v>
      </c>
      <c r="V570" s="7">
        <v>-9.9499999999999904</v>
      </c>
      <c r="W570" s="7">
        <v>31.34</v>
      </c>
      <c r="X570" s="7">
        <v>31.57</v>
      </c>
      <c r="Y570" s="7">
        <v>-11.059999999999899</v>
      </c>
      <c r="Z570" s="9">
        <f>MAX($B$570:$Y$570)</f>
        <v>98.63</v>
      </c>
      <c r="AA570" s="9">
        <f>MIN($B$570:$Y$570)</f>
        <v>-365.18</v>
      </c>
      <c r="AB570" s="9">
        <f>AVERAGE($B$570:$Y$570)</f>
        <v>-4.0737499999999898</v>
      </c>
    </row>
    <row r="571" spans="1:28">
      <c r="A571" s="10">
        <v>45866</v>
      </c>
      <c r="B571" s="7">
        <v>-41.05</v>
      </c>
      <c r="C571" s="7">
        <v>-1.6600000000000299</v>
      </c>
      <c r="D571" s="7">
        <v>0.76999999999998203</v>
      </c>
      <c r="E571" s="7">
        <v>0.30000000000001098</v>
      </c>
      <c r="F571" s="7">
        <v>5.9099999999999699</v>
      </c>
      <c r="G571" s="7">
        <v>1.91999999999996</v>
      </c>
      <c r="H571" s="7">
        <v>-0.50999999999999102</v>
      </c>
      <c r="I571" s="7">
        <v>-12.38</v>
      </c>
      <c r="J571" s="7">
        <v>-19.55</v>
      </c>
      <c r="K571" s="7">
        <v>-1.9300000000000099</v>
      </c>
      <c r="L571" s="7">
        <v>19.98</v>
      </c>
      <c r="M571" s="7">
        <v>24.8</v>
      </c>
      <c r="N571" s="7">
        <v>52.71</v>
      </c>
      <c r="O571" s="7">
        <v>77.12</v>
      </c>
      <c r="P571" s="7">
        <v>115.17</v>
      </c>
      <c r="Q571" s="7">
        <v>57.35</v>
      </c>
      <c r="R571" s="7">
        <v>25.12</v>
      </c>
      <c r="S571" s="7">
        <v>-8.5799999999999805</v>
      </c>
      <c r="T571" s="7">
        <v>20.39</v>
      </c>
      <c r="U571" s="7">
        <v>68.2</v>
      </c>
      <c r="V571" s="7">
        <v>45.47</v>
      </c>
      <c r="W571" s="7">
        <v>81.97</v>
      </c>
      <c r="X571" s="7">
        <v>78.77</v>
      </c>
      <c r="Y571" s="7">
        <v>45.01</v>
      </c>
      <c r="Z571" s="9">
        <f>MAX($B$571:$Y$571)</f>
        <v>115.17</v>
      </c>
      <c r="AA571" s="9">
        <f>MIN($B$571:$Y$571)</f>
        <v>-41.05</v>
      </c>
      <c r="AB571" s="9">
        <f>AVERAGE($B$571:$Y$571)</f>
        <v>26.470833333333299</v>
      </c>
    </row>
    <row r="572" spans="1:28">
      <c r="A572" s="10">
        <v>45867</v>
      </c>
      <c r="B572" s="7">
        <v>60.3</v>
      </c>
      <c r="C572" s="7">
        <v>43.97</v>
      </c>
      <c r="D572" s="7">
        <v>27.15</v>
      </c>
      <c r="E572" s="7">
        <v>28.33</v>
      </c>
      <c r="F572" s="7">
        <v>20.93</v>
      </c>
      <c r="G572" s="7">
        <v>21.43</v>
      </c>
      <c r="H572" s="7">
        <v>14.98</v>
      </c>
      <c r="I572" s="7">
        <v>8.4100000000000197</v>
      </c>
      <c r="J572" s="7">
        <v>28.84</v>
      </c>
      <c r="K572" s="7">
        <v>69.2</v>
      </c>
      <c r="L572" s="7">
        <v>88.61</v>
      </c>
      <c r="M572" s="7">
        <v>123.07</v>
      </c>
      <c r="N572" s="7">
        <v>77.89</v>
      </c>
      <c r="O572" s="7">
        <v>146.25</v>
      </c>
      <c r="P572" s="7">
        <v>127.58</v>
      </c>
      <c r="Q572" s="7">
        <v>102.03</v>
      </c>
      <c r="R572" s="7">
        <v>80.83</v>
      </c>
      <c r="S572" s="7">
        <v>57.09</v>
      </c>
      <c r="T572" s="7">
        <v>19.170000000000002</v>
      </c>
      <c r="U572" s="7">
        <v>43.17</v>
      </c>
      <c r="V572" s="7">
        <v>25.15</v>
      </c>
      <c r="W572" s="7">
        <v>19.309999999999999</v>
      </c>
      <c r="X572" s="7">
        <v>30.52</v>
      </c>
      <c r="Y572" s="7">
        <v>-1.1800000000000099</v>
      </c>
      <c r="Z572" s="9">
        <f>MAX($B$572:$Y$572)</f>
        <v>146.25</v>
      </c>
      <c r="AA572" s="9">
        <f>MIN($B$572:$Y$572)</f>
        <v>-1.1800000000000099</v>
      </c>
      <c r="AB572" s="9">
        <f>AVERAGE($B$572:$Y$572)</f>
        <v>52.626249999999999</v>
      </c>
    </row>
    <row r="573" spans="1:28">
      <c r="A573" s="10">
        <v>45868</v>
      </c>
      <c r="B573" s="7">
        <v>-17.600000000000001</v>
      </c>
      <c r="C573" s="7">
        <v>2.55000000000001</v>
      </c>
      <c r="D573" s="7">
        <v>-3.63</v>
      </c>
      <c r="E573" s="7">
        <v>-8.9900000000000109</v>
      </c>
      <c r="F573" s="7">
        <v>-4.7099999999999804</v>
      </c>
      <c r="G573" s="7">
        <v>3.1000000000000201</v>
      </c>
      <c r="H573" s="7">
        <v>0.68000000000000704</v>
      </c>
      <c r="I573" s="7">
        <v>0.44000000000005501</v>
      </c>
      <c r="J573" s="7">
        <v>-9.31</v>
      </c>
      <c r="K573" s="7">
        <v>9.0400000000000205</v>
      </c>
      <c r="L573" s="7">
        <v>18.059999999999999</v>
      </c>
      <c r="M573" s="7">
        <v>12.53</v>
      </c>
      <c r="N573" s="7">
        <v>14.96</v>
      </c>
      <c r="O573" s="7">
        <v>0.93999999999999795</v>
      </c>
      <c r="P573" s="7">
        <v>31.26</v>
      </c>
      <c r="Q573" s="7">
        <v>-19.260000000000002</v>
      </c>
      <c r="R573" s="7">
        <v>-142.88999999999999</v>
      </c>
      <c r="S573" s="7">
        <v>-93.78</v>
      </c>
      <c r="T573" s="7">
        <v>9.0699999999999896</v>
      </c>
      <c r="U573" s="7">
        <v>4.9200000000000204</v>
      </c>
      <c r="V573" s="7">
        <v>-25.48</v>
      </c>
      <c r="W573" s="7">
        <v>-16.03</v>
      </c>
      <c r="X573" s="7">
        <v>-0.39999999999997699</v>
      </c>
      <c r="Y573" s="7">
        <v>-7.5999999999999703</v>
      </c>
      <c r="Z573" s="9">
        <f>MAX($B$573:$Y$573)</f>
        <v>31.26</v>
      </c>
      <c r="AA573" s="9">
        <f>MIN($B$573:$Y$573)</f>
        <v>-142.88999999999999</v>
      </c>
      <c r="AB573" s="9">
        <f>AVERAGE($B$573:$Y$573)</f>
        <v>-10.088749999999999</v>
      </c>
    </row>
    <row r="574" spans="1:28">
      <c r="A574" s="10">
        <v>45869</v>
      </c>
      <c r="B574" s="7">
        <v>6.13</v>
      </c>
      <c r="C574" s="7">
        <v>6.92999999999995</v>
      </c>
      <c r="D574" s="7">
        <v>8.6499999999999808</v>
      </c>
      <c r="E574" s="7">
        <v>11.43</v>
      </c>
      <c r="F574" s="7">
        <v>12.88</v>
      </c>
      <c r="G574" s="7">
        <v>13.15</v>
      </c>
      <c r="H574" s="7">
        <v>10.31</v>
      </c>
      <c r="I574" s="7">
        <v>14.12</v>
      </c>
      <c r="J574" s="7">
        <v>12.58</v>
      </c>
      <c r="K574" s="7">
        <v>32.04</v>
      </c>
      <c r="L574" s="7">
        <v>39.14</v>
      </c>
      <c r="M574" s="7">
        <v>68.94</v>
      </c>
      <c r="N574" s="7">
        <v>42.87</v>
      </c>
      <c r="O574" s="7">
        <v>44.66</v>
      </c>
      <c r="P574" s="7">
        <v>52.91</v>
      </c>
      <c r="Q574" s="7">
        <v>50.07</v>
      </c>
      <c r="R574" s="7">
        <v>46.27</v>
      </c>
      <c r="S574" s="7">
        <v>3.82000000000005</v>
      </c>
      <c r="T574" s="7">
        <v>13.52</v>
      </c>
      <c r="U574" s="7">
        <v>8.9099999999999699</v>
      </c>
      <c r="V574" s="7">
        <v>15.86</v>
      </c>
      <c r="W574" s="7">
        <v>37.18</v>
      </c>
      <c r="X574" s="7">
        <v>38.5</v>
      </c>
      <c r="Y574" s="7">
        <v>19.510000000000002</v>
      </c>
      <c r="Z574" s="9">
        <f>MAX($B$574:$Y$574)</f>
        <v>68.94</v>
      </c>
      <c r="AA574" s="9">
        <f>MIN($B$574:$Y$574)</f>
        <v>3.82000000000005</v>
      </c>
      <c r="AB574" s="9">
        <f>AVERAGE($B$574:$Y$574)</f>
        <v>25.432500000000001</v>
      </c>
    </row>
    <row r="575" spans="1:28">
      <c r="A575" s="10">
        <v>45870</v>
      </c>
      <c r="B575" s="7">
        <v>-10.08</v>
      </c>
      <c r="C575" s="7">
        <v>17.34</v>
      </c>
      <c r="D575" s="7">
        <v>13.02</v>
      </c>
      <c r="E575" s="7">
        <v>13.27</v>
      </c>
      <c r="F575" s="7">
        <v>24.01</v>
      </c>
      <c r="G575" s="7">
        <v>21.39</v>
      </c>
      <c r="H575" s="7">
        <v>16.37</v>
      </c>
      <c r="I575" s="7">
        <v>25.14</v>
      </c>
      <c r="J575" s="7">
        <v>-0.12000000000000501</v>
      </c>
      <c r="K575" s="7">
        <v>49.9</v>
      </c>
      <c r="L575" s="7">
        <v>72.41</v>
      </c>
      <c r="M575" s="7">
        <v>84.95</v>
      </c>
      <c r="N575" s="7">
        <v>89.49</v>
      </c>
      <c r="O575" s="7">
        <v>47.91</v>
      </c>
      <c r="P575" s="7">
        <v>76.08</v>
      </c>
      <c r="Q575" s="7">
        <v>70.8</v>
      </c>
      <c r="R575" s="7">
        <v>68.28</v>
      </c>
      <c r="S575" s="7">
        <v>78.739999999999995</v>
      </c>
      <c r="T575" s="7">
        <v>42.95</v>
      </c>
      <c r="U575" s="7">
        <v>194.34</v>
      </c>
      <c r="V575" s="7">
        <v>50.26</v>
      </c>
      <c r="W575" s="7">
        <v>25.28</v>
      </c>
      <c r="X575" s="7">
        <v>36.44</v>
      </c>
      <c r="Y575" s="7">
        <v>17.45</v>
      </c>
      <c r="Z575" s="9">
        <f>MAX($B$575:$Y$575)</f>
        <v>194.34</v>
      </c>
      <c r="AA575" s="9">
        <f>MIN($B$575:$Y$575)</f>
        <v>-10.08</v>
      </c>
      <c r="AB575" s="9">
        <f>AVERAGE($B$575:$Y$575)</f>
        <v>46.900833333333303</v>
      </c>
    </row>
    <row r="576" spans="1:28">
      <c r="A576" s="10">
        <v>45871</v>
      </c>
      <c r="B576" s="7">
        <v>-11.58</v>
      </c>
      <c r="C576" s="7">
        <v>1.8999999999999799</v>
      </c>
      <c r="D576" s="7">
        <v>-4.6800000000000104</v>
      </c>
      <c r="E576" s="7">
        <v>-2.99000000000001</v>
      </c>
      <c r="F576" s="7">
        <v>-2.44</v>
      </c>
      <c r="G576" s="7">
        <v>-4.3099999999999996</v>
      </c>
      <c r="H576" s="7">
        <v>-1.4700000000000299</v>
      </c>
      <c r="I576" s="7">
        <v>-3.9100000000000201</v>
      </c>
      <c r="J576" s="7">
        <v>-1.4300000000000099</v>
      </c>
      <c r="K576" s="7">
        <v>1.5799999999999801</v>
      </c>
      <c r="L576" s="7">
        <v>6.3500000000000201</v>
      </c>
      <c r="M576" s="7">
        <v>-16.28</v>
      </c>
      <c r="N576" s="7">
        <v>31.81</v>
      </c>
      <c r="O576" s="7">
        <v>6.6499999999999799</v>
      </c>
      <c r="P576" s="7">
        <v>13.6300000000001</v>
      </c>
      <c r="Q576" s="7">
        <v>26.01</v>
      </c>
      <c r="R576" s="7">
        <v>19.41</v>
      </c>
      <c r="S576" s="7">
        <v>19.489999999999998</v>
      </c>
      <c r="T576" s="7">
        <v>10.06</v>
      </c>
      <c r="U576" s="7">
        <v>20.11</v>
      </c>
      <c r="V576" s="7">
        <v>20.49</v>
      </c>
      <c r="W576" s="7">
        <v>19.96</v>
      </c>
      <c r="X576" s="7">
        <v>36.409999999999997</v>
      </c>
      <c r="Y576" s="7">
        <v>27.38</v>
      </c>
      <c r="Z576" s="9">
        <f>MAX($B$576:$Y$576)</f>
        <v>36.409999999999997</v>
      </c>
      <c r="AA576" s="9">
        <f>MIN($B$576:$Y$576)</f>
        <v>-16.28</v>
      </c>
      <c r="AB576" s="9">
        <f>AVERAGE($B$576:$Y$576)</f>
        <v>8.83958333333333</v>
      </c>
    </row>
    <row r="577" spans="1:28">
      <c r="A577" s="10">
        <v>45872</v>
      </c>
      <c r="B577" s="7">
        <v>44.34</v>
      </c>
      <c r="C577" s="7">
        <v>27.74</v>
      </c>
      <c r="D577" s="7">
        <v>24.41</v>
      </c>
      <c r="E577" s="7">
        <v>20.72</v>
      </c>
      <c r="F577" s="7">
        <v>24.5</v>
      </c>
      <c r="G577" s="7">
        <v>23.19</v>
      </c>
      <c r="H577" s="7">
        <v>24.01</v>
      </c>
      <c r="I577" s="7">
        <v>34.380000000000003</v>
      </c>
      <c r="J577" s="7">
        <v>63.68</v>
      </c>
      <c r="K577" s="7">
        <v>24.31</v>
      </c>
      <c r="L577" s="7">
        <v>34.21</v>
      </c>
      <c r="M577" s="7">
        <v>66.66</v>
      </c>
      <c r="N577" s="7">
        <v>62.25</v>
      </c>
      <c r="O577" s="7">
        <v>41.81</v>
      </c>
      <c r="P577" s="7">
        <v>60.72</v>
      </c>
      <c r="Q577" s="7">
        <v>37.89</v>
      </c>
      <c r="R577" s="7">
        <v>26.6</v>
      </c>
      <c r="S577" s="7">
        <v>27.93</v>
      </c>
      <c r="T577" s="7">
        <v>15.95</v>
      </c>
      <c r="U577" s="7">
        <v>30.87</v>
      </c>
      <c r="V577" s="7">
        <v>29.47</v>
      </c>
      <c r="W577" s="7">
        <v>41.57</v>
      </c>
      <c r="X577" s="7">
        <v>53.44</v>
      </c>
      <c r="Y577" s="7">
        <v>40.29</v>
      </c>
      <c r="Z577" s="9">
        <f>MAX($B$577:$Y$577)</f>
        <v>66.66</v>
      </c>
      <c r="AA577" s="9">
        <f>MIN($B$577:$Y$577)</f>
        <v>15.95</v>
      </c>
      <c r="AB577" s="9">
        <f>AVERAGE($B$577:$Y$577)</f>
        <v>36.705833333333302</v>
      </c>
    </row>
    <row r="578" spans="1:28">
      <c r="A578" s="10">
        <v>45873</v>
      </c>
      <c r="B578" s="7">
        <v>10.34</v>
      </c>
      <c r="C578" s="7">
        <v>14.31</v>
      </c>
      <c r="D578" s="7">
        <v>6.5500000000000096</v>
      </c>
      <c r="E578" s="7">
        <v>3.5299999999999701</v>
      </c>
      <c r="F578" s="7">
        <v>16.46</v>
      </c>
      <c r="G578" s="7">
        <v>1.72</v>
      </c>
      <c r="H578" s="7">
        <v>3.06</v>
      </c>
      <c r="I578" s="7">
        <v>-11.97</v>
      </c>
      <c r="J578" s="7">
        <v>-21.37</v>
      </c>
      <c r="K578" s="7">
        <v>-45.93</v>
      </c>
      <c r="L578" s="7">
        <v>-6.1800000000000104</v>
      </c>
      <c r="M578" s="7">
        <v>-2.3199999999999901</v>
      </c>
      <c r="N578" s="7">
        <v>13.14</v>
      </c>
      <c r="O578" s="7">
        <v>8.19</v>
      </c>
      <c r="P578" s="7">
        <v>23.85</v>
      </c>
      <c r="Q578" s="7">
        <v>24.43</v>
      </c>
      <c r="R578" s="7">
        <v>25.62</v>
      </c>
      <c r="S578" s="7">
        <v>18.91</v>
      </c>
      <c r="T578" s="7">
        <v>3.73000000000002</v>
      </c>
      <c r="U578" s="7">
        <v>-50.46</v>
      </c>
      <c r="V578" s="7">
        <v>-27.34</v>
      </c>
      <c r="W578" s="7">
        <v>-13.58</v>
      </c>
      <c r="X578" s="7">
        <v>0.51999999999998203</v>
      </c>
      <c r="Y578" s="7">
        <v>0.400000000000034</v>
      </c>
      <c r="Z578" s="9">
        <f>MAX($B$578:$Y$578)</f>
        <v>25.62</v>
      </c>
      <c r="AA578" s="9">
        <f>MIN($B$578:$Y$578)</f>
        <v>-50.46</v>
      </c>
      <c r="AB578" s="9">
        <f>AVERAGE($B$578:$Y$578)</f>
        <v>-0.18291666666666601</v>
      </c>
    </row>
    <row r="579" spans="1:28">
      <c r="A579" s="10">
        <v>45874</v>
      </c>
      <c r="B579" s="7">
        <v>5.92999999999995</v>
      </c>
      <c r="C579" s="7">
        <v>0.150000000000034</v>
      </c>
      <c r="D579" s="7">
        <v>-1.80000000000001</v>
      </c>
      <c r="E579" s="7">
        <v>0.34999999999999398</v>
      </c>
      <c r="F579" s="7">
        <v>-1.1600000000000299</v>
      </c>
      <c r="G579" s="7">
        <v>2.4199999999999902</v>
      </c>
      <c r="H579" s="7">
        <v>11.75</v>
      </c>
      <c r="I579" s="7">
        <v>3.6300000000000199</v>
      </c>
      <c r="J579" s="7">
        <v>17.920000000000002</v>
      </c>
      <c r="K579" s="7">
        <v>37.549999999999997</v>
      </c>
      <c r="L579" s="7">
        <v>-20.12</v>
      </c>
      <c r="M579" s="7">
        <v>24.64</v>
      </c>
      <c r="N579" s="7">
        <v>31.73</v>
      </c>
      <c r="O579" s="7">
        <v>29.72</v>
      </c>
      <c r="P579" s="7">
        <v>31.53</v>
      </c>
      <c r="Q579" s="7">
        <v>29.53</v>
      </c>
      <c r="R579" s="7">
        <v>35.369999999999997</v>
      </c>
      <c r="S579" s="7">
        <v>26.06</v>
      </c>
      <c r="T579" s="7">
        <v>26.34</v>
      </c>
      <c r="U579" s="7">
        <v>46.78</v>
      </c>
      <c r="V579" s="7">
        <v>11.43</v>
      </c>
      <c r="W579" s="7">
        <v>13.7</v>
      </c>
      <c r="X579" s="7">
        <v>22.34</v>
      </c>
      <c r="Y579" s="7">
        <v>2.3999999999999799</v>
      </c>
      <c r="Z579" s="9">
        <f>MAX($B$579:$Y$579)</f>
        <v>46.78</v>
      </c>
      <c r="AA579" s="9">
        <f>MIN($B$579:$Y$579)</f>
        <v>-20.12</v>
      </c>
      <c r="AB579" s="9">
        <f>AVERAGE($B$579:$Y$579)</f>
        <v>16.174583333333299</v>
      </c>
    </row>
    <row r="580" spans="1:28">
      <c r="A580" s="10">
        <v>45875</v>
      </c>
      <c r="B580" s="7">
        <v>5.7600000000000504</v>
      </c>
      <c r="C580" s="7">
        <v>-8.9099999999999699</v>
      </c>
      <c r="D580" s="7">
        <v>16.61</v>
      </c>
      <c r="E580" s="7">
        <v>21.56</v>
      </c>
      <c r="F580" s="7">
        <v>110.67</v>
      </c>
      <c r="G580" s="7">
        <v>103.56</v>
      </c>
      <c r="H580" s="7">
        <v>37.79</v>
      </c>
      <c r="I580" s="7">
        <v>6.8899999999999899</v>
      </c>
      <c r="J580" s="7">
        <v>-15.88</v>
      </c>
      <c r="K580" s="7">
        <v>-18.579999999999998</v>
      </c>
      <c r="L580" s="7">
        <v>-22.86</v>
      </c>
      <c r="M580" s="7">
        <v>9.0400000000000205</v>
      </c>
      <c r="N580" s="7">
        <v>45.68</v>
      </c>
      <c r="O580" s="7">
        <v>29.96</v>
      </c>
      <c r="P580" s="7">
        <v>63.53</v>
      </c>
      <c r="Q580" s="7">
        <v>54.84</v>
      </c>
      <c r="R580" s="7">
        <v>30.15</v>
      </c>
      <c r="S580" s="7">
        <v>29.81</v>
      </c>
      <c r="T580" s="7">
        <v>22.28</v>
      </c>
      <c r="U580" s="7">
        <v>8.69</v>
      </c>
      <c r="V580" s="7">
        <v>21.07</v>
      </c>
      <c r="W580" s="7">
        <v>11.38</v>
      </c>
      <c r="X580" s="7">
        <v>29.83</v>
      </c>
      <c r="Y580" s="7">
        <v>25.01</v>
      </c>
      <c r="Z580" s="9">
        <f>MAX($B$580:$Y$580)</f>
        <v>110.67</v>
      </c>
      <c r="AA580" s="9">
        <f>MIN($B$580:$Y$580)</f>
        <v>-22.86</v>
      </c>
      <c r="AB580" s="9">
        <f>AVERAGE($B$580:$Y$580)</f>
        <v>25.745000000000001</v>
      </c>
    </row>
    <row r="581" spans="1:28">
      <c r="A581" s="10">
        <v>45876</v>
      </c>
      <c r="B581" s="7">
        <v>-8.1399999999999899</v>
      </c>
      <c r="C581" s="7">
        <v>6.06</v>
      </c>
      <c r="D581" s="7">
        <v>0.65999999999999703</v>
      </c>
      <c r="E581" s="7">
        <v>7.5200000000000102</v>
      </c>
      <c r="F581" s="7">
        <v>10.06</v>
      </c>
      <c r="G581" s="7">
        <v>64.52</v>
      </c>
      <c r="H581" s="7">
        <v>9.3800000000000008</v>
      </c>
      <c r="I581" s="7">
        <v>-6.7000000000000197</v>
      </c>
      <c r="J581" s="7">
        <v>8.5600000000000307</v>
      </c>
      <c r="K581" s="7">
        <v>36.549999999999997</v>
      </c>
      <c r="L581" s="7">
        <v>20.86</v>
      </c>
      <c r="M581" s="7">
        <v>30.97</v>
      </c>
      <c r="N581" s="7">
        <v>24.77</v>
      </c>
      <c r="O581" s="7">
        <v>-13.57</v>
      </c>
      <c r="P581" s="7">
        <v>-6.99000000000001</v>
      </c>
      <c r="Q581" s="7">
        <v>14.77</v>
      </c>
      <c r="R581" s="7">
        <v>31.33</v>
      </c>
      <c r="S581" s="7">
        <v>-14.44</v>
      </c>
      <c r="T581" s="7">
        <v>33</v>
      </c>
      <c r="U581" s="7">
        <v>-24.46</v>
      </c>
      <c r="V581" s="7">
        <v>1.0699999999999901</v>
      </c>
      <c r="W581" s="7">
        <v>4.2900000000000196</v>
      </c>
      <c r="X581" s="7">
        <v>10.99</v>
      </c>
      <c r="Y581" s="7">
        <v>4.1000000000000201</v>
      </c>
      <c r="Z581" s="9">
        <f>MAX($B$581:$Y$581)</f>
        <v>64.52</v>
      </c>
      <c r="AA581" s="9">
        <f>MIN($B$581:$Y$581)</f>
        <v>-24.46</v>
      </c>
      <c r="AB581" s="9">
        <f>AVERAGE($B$581:$Y$581)</f>
        <v>10.215</v>
      </c>
    </row>
    <row r="582" spans="1:28">
      <c r="A582" s="10">
        <v>45877</v>
      </c>
      <c r="B582" s="7">
        <v>7.0400000000000196</v>
      </c>
      <c r="C582" s="7">
        <v>10.69</v>
      </c>
      <c r="D582" s="7">
        <v>3.3300000000000098</v>
      </c>
      <c r="E582" s="7">
        <v>14.53</v>
      </c>
      <c r="F582" s="7">
        <v>35.369999999999997</v>
      </c>
      <c r="G582" s="7">
        <v>45.87</v>
      </c>
      <c r="H582" s="7">
        <v>41.42</v>
      </c>
      <c r="I582" s="7">
        <v>26.12</v>
      </c>
      <c r="J582" s="7">
        <v>24.84</v>
      </c>
      <c r="K582" s="7">
        <v>50.15</v>
      </c>
      <c r="L582" s="7">
        <v>76.41</v>
      </c>
      <c r="M582" s="7">
        <v>-76.81</v>
      </c>
      <c r="N582" s="7">
        <v>43.08</v>
      </c>
      <c r="O582" s="7">
        <v>26.46</v>
      </c>
      <c r="P582" s="7">
        <v>21.53</v>
      </c>
      <c r="Q582" s="7">
        <v>23.96</v>
      </c>
      <c r="R582" s="7">
        <v>7.8999999999999799</v>
      </c>
      <c r="S582" s="7">
        <v>-18.649999999999999</v>
      </c>
      <c r="T582" s="7">
        <v>-7.37</v>
      </c>
      <c r="U582" s="7">
        <v>-3.0699999999999901</v>
      </c>
      <c r="V582" s="7">
        <v>-24.52</v>
      </c>
      <c r="W582" s="7">
        <v>-8.7199999999999704</v>
      </c>
      <c r="X582" s="7">
        <v>-20.95</v>
      </c>
      <c r="Y582" s="7">
        <v>-14.71</v>
      </c>
      <c r="Z582" s="9">
        <f>MAX($B$582:$Y$582)</f>
        <v>76.41</v>
      </c>
      <c r="AA582" s="9">
        <f>MIN($B$582:$Y$582)</f>
        <v>-76.81</v>
      </c>
      <c r="AB582" s="9">
        <f>AVERAGE($B$582:$Y$582)</f>
        <v>11.829166666666699</v>
      </c>
    </row>
    <row r="583" spans="1:28">
      <c r="A583" s="10">
        <v>45878</v>
      </c>
      <c r="B583" s="7">
        <v>-40.96</v>
      </c>
      <c r="C583" s="7">
        <v>-23.71</v>
      </c>
      <c r="D583" s="7">
        <v>-18.62</v>
      </c>
      <c r="E583" s="7">
        <v>-12.22</v>
      </c>
      <c r="F583" s="7">
        <v>-8.91</v>
      </c>
      <c r="G583" s="7">
        <v>-4.4500000000000197</v>
      </c>
      <c r="H583" s="7">
        <v>-8.41</v>
      </c>
      <c r="I583" s="7">
        <v>-16.809999999999999</v>
      </c>
      <c r="J583" s="7">
        <v>14.25</v>
      </c>
      <c r="K583" s="7">
        <v>36.28</v>
      </c>
      <c r="L583" s="7">
        <v>32.520000000000003</v>
      </c>
      <c r="M583" s="7">
        <v>10.29</v>
      </c>
      <c r="N583" s="7">
        <v>-32.909999999999997</v>
      </c>
      <c r="O583" s="7">
        <v>4.6099999999999897</v>
      </c>
      <c r="P583" s="7">
        <v>1.67999999999998</v>
      </c>
      <c r="Q583" s="7">
        <v>-11.75</v>
      </c>
      <c r="R583" s="7">
        <v>11.94</v>
      </c>
      <c r="S583" s="7">
        <v>1.46999999999997</v>
      </c>
      <c r="T583" s="7">
        <v>-11.33</v>
      </c>
      <c r="U583" s="7">
        <v>1.06</v>
      </c>
      <c r="V583" s="7">
        <v>-9.6100000000000101</v>
      </c>
      <c r="W583" s="7">
        <v>-38.950000000000003</v>
      </c>
      <c r="X583" s="7">
        <v>-19.25</v>
      </c>
      <c r="Y583" s="7">
        <v>6</v>
      </c>
      <c r="Z583" s="9">
        <f>MAX($B$583:$Y$583)</f>
        <v>36.28</v>
      </c>
      <c r="AA583" s="9">
        <f>MIN($B$583:$Y$583)</f>
        <v>-40.96</v>
      </c>
      <c r="AB583" s="9">
        <f>AVERAGE($B$583:$Y$583)</f>
        <v>-5.74125</v>
      </c>
    </row>
    <row r="584" spans="1:28">
      <c r="A584" s="10">
        <v>45879</v>
      </c>
      <c r="B584" s="7">
        <v>-52.08</v>
      </c>
      <c r="C584" s="7">
        <v>26</v>
      </c>
      <c r="D584" s="7">
        <v>7.23000000000002</v>
      </c>
      <c r="E584" s="7">
        <v>8.0699999999999896</v>
      </c>
      <c r="F584" s="7">
        <v>10.72</v>
      </c>
      <c r="G584" s="7">
        <v>9.1399999999999899</v>
      </c>
      <c r="H584" s="7">
        <v>9.6499999999999808</v>
      </c>
      <c r="I584" s="7">
        <v>2.74000000000001</v>
      </c>
      <c r="J584" s="7">
        <v>68.92</v>
      </c>
      <c r="K584" s="7">
        <v>36.159999999999997</v>
      </c>
      <c r="L584" s="7">
        <v>-4.0699999999999896</v>
      </c>
      <c r="M584" s="7">
        <v>29.54</v>
      </c>
      <c r="N584" s="7">
        <v>-27.14</v>
      </c>
      <c r="O584" s="7">
        <v>25.13</v>
      </c>
      <c r="P584" s="7">
        <v>-28.45</v>
      </c>
      <c r="Q584" s="7">
        <v>-40.86</v>
      </c>
      <c r="R584" s="7">
        <v>19.77</v>
      </c>
      <c r="S584" s="7">
        <v>17.989999999999998</v>
      </c>
      <c r="T584" s="7">
        <v>5.9599999999999804</v>
      </c>
      <c r="U584" s="7">
        <v>-5.7700000000000404</v>
      </c>
      <c r="V584" s="7">
        <v>-6.3500000000000201</v>
      </c>
      <c r="W584" s="7">
        <v>-11.82</v>
      </c>
      <c r="X584" s="7">
        <v>22.97</v>
      </c>
      <c r="Y584" s="7">
        <v>7.1300000000000496</v>
      </c>
      <c r="Z584" s="9">
        <f>MAX($B$584:$Y$584)</f>
        <v>68.92</v>
      </c>
      <c r="AA584" s="9">
        <f>MIN($B$584:$Y$584)</f>
        <v>-52.08</v>
      </c>
      <c r="AB584" s="9">
        <f>AVERAGE($B$584:$Y$584)</f>
        <v>5.4408333333333303</v>
      </c>
    </row>
    <row r="585" spans="1:28">
      <c r="A585" s="10">
        <v>45880</v>
      </c>
      <c r="B585" s="7">
        <v>-21.26</v>
      </c>
      <c r="C585" s="7">
        <v>-1.4600000000000399</v>
      </c>
      <c r="D585" s="7">
        <v>3.76999999999998</v>
      </c>
      <c r="E585" s="7">
        <v>2.9200000000000199</v>
      </c>
      <c r="F585" s="7">
        <v>7.4000000000000297</v>
      </c>
      <c r="G585" s="7">
        <v>3.87</v>
      </c>
      <c r="H585" s="7">
        <v>8.8600000000000101</v>
      </c>
      <c r="I585" s="7">
        <v>2.1900000000000501</v>
      </c>
      <c r="J585" s="7">
        <v>-23.940000000000101</v>
      </c>
      <c r="K585" s="7">
        <v>34.79</v>
      </c>
      <c r="L585" s="7">
        <v>24.17</v>
      </c>
      <c r="M585" s="7">
        <v>77.39</v>
      </c>
      <c r="N585" s="7">
        <v>17.03</v>
      </c>
      <c r="O585" s="7">
        <v>68.510000000000005</v>
      </c>
      <c r="P585" s="7">
        <v>55.34</v>
      </c>
      <c r="Q585" s="7">
        <v>45.88</v>
      </c>
      <c r="R585" s="7">
        <v>38.79</v>
      </c>
      <c r="S585" s="7">
        <v>67.040000000000006</v>
      </c>
      <c r="T585" s="7">
        <v>24.1</v>
      </c>
      <c r="U585" s="7">
        <v>137.71</v>
      </c>
      <c r="V585" s="7">
        <v>3.13</v>
      </c>
      <c r="W585" s="7">
        <v>0.26999999999998198</v>
      </c>
      <c r="X585" s="7">
        <v>9.51999999999998</v>
      </c>
      <c r="Y585" s="7">
        <v>-6.99000000000001</v>
      </c>
      <c r="Z585" s="9">
        <f>MAX($B$585:$Y$585)</f>
        <v>137.71</v>
      </c>
      <c r="AA585" s="9">
        <f>MIN($B$585:$Y$585)</f>
        <v>-23.940000000000101</v>
      </c>
      <c r="AB585" s="9">
        <f>AVERAGE($B$585:$Y$585)</f>
        <v>24.126249999999999</v>
      </c>
    </row>
    <row r="586" spans="1:28">
      <c r="A586" s="10">
        <v>45881</v>
      </c>
      <c r="B586" s="7">
        <v>-20.350000000000001</v>
      </c>
      <c r="C586" s="7">
        <v>-13.01</v>
      </c>
      <c r="D586" s="7">
        <v>-5.69</v>
      </c>
      <c r="E586" s="7">
        <v>7.6700000000000204</v>
      </c>
      <c r="F586" s="7">
        <v>12.15</v>
      </c>
      <c r="G586" s="7">
        <v>12.94</v>
      </c>
      <c r="H586" s="7">
        <v>12.18</v>
      </c>
      <c r="I586" s="7">
        <v>3.8899999999999899</v>
      </c>
      <c r="J586" s="7">
        <v>2.74000000000001</v>
      </c>
      <c r="K586" s="7">
        <v>21.97</v>
      </c>
      <c r="L586" s="7">
        <v>65.88</v>
      </c>
      <c r="M586" s="7">
        <v>39.200000000000003</v>
      </c>
      <c r="N586" s="7">
        <v>24.62</v>
      </c>
      <c r="O586" s="7">
        <v>12.74</v>
      </c>
      <c r="P586" s="7">
        <v>55.7</v>
      </c>
      <c r="Q586" s="7">
        <v>46.33</v>
      </c>
      <c r="R586" s="7">
        <v>14.17</v>
      </c>
      <c r="S586" s="7">
        <v>19.48</v>
      </c>
      <c r="T586" s="7">
        <v>9.6000000000000192</v>
      </c>
      <c r="U586" s="7">
        <v>25.44</v>
      </c>
      <c r="V586" s="7">
        <v>8.2199999999999704</v>
      </c>
      <c r="W586" s="7">
        <v>-111.66</v>
      </c>
      <c r="X586" s="7">
        <v>-32.61</v>
      </c>
      <c r="Y586" s="7">
        <v>-31.08</v>
      </c>
      <c r="Z586" s="9">
        <f>MAX($B$586:$Y$586)</f>
        <v>65.88</v>
      </c>
      <c r="AA586" s="9">
        <f>MIN($B$586:$Y$586)</f>
        <v>-111.66</v>
      </c>
      <c r="AB586" s="9">
        <f>AVERAGE($B$586:$Y$586)</f>
        <v>7.5216666666666701</v>
      </c>
    </row>
    <row r="587" spans="1:28">
      <c r="A587" s="10">
        <v>45882</v>
      </c>
      <c r="B587" s="7">
        <v>-43.04</v>
      </c>
      <c r="C587" s="7">
        <v>-27.23</v>
      </c>
      <c r="D587" s="7">
        <v>-23.41</v>
      </c>
      <c r="E587" s="7">
        <v>-10.59</v>
      </c>
      <c r="F587" s="7">
        <v>-3.8500000000000201</v>
      </c>
      <c r="G587" s="7">
        <v>-0.93999999999999795</v>
      </c>
      <c r="H587" s="7">
        <v>-3.5800000000000098</v>
      </c>
      <c r="I587" s="7">
        <v>-5.2999999999999803</v>
      </c>
      <c r="J587" s="7">
        <v>-5.16</v>
      </c>
      <c r="K587" s="7">
        <v>12.44</v>
      </c>
      <c r="L587" s="7">
        <v>83.12</v>
      </c>
      <c r="M587" s="7">
        <v>60.05</v>
      </c>
      <c r="N587" s="7">
        <v>61.41</v>
      </c>
      <c r="O587" s="7">
        <v>96.83</v>
      </c>
      <c r="P587" s="7">
        <v>124.33</v>
      </c>
      <c r="Q587" s="7">
        <v>186.03</v>
      </c>
      <c r="R587" s="7">
        <v>123.63</v>
      </c>
      <c r="S587" s="7">
        <v>52.53</v>
      </c>
      <c r="T587" s="7">
        <v>44.93</v>
      </c>
      <c r="U587" s="7">
        <v>-26.81</v>
      </c>
      <c r="V587" s="7">
        <v>13.64</v>
      </c>
      <c r="W587" s="7">
        <v>-1.1000000000000201</v>
      </c>
      <c r="X587" s="7">
        <v>14.07</v>
      </c>
      <c r="Y587" s="7">
        <v>40.03</v>
      </c>
      <c r="Z587" s="9">
        <f>MAX($B$587:$Y$587)</f>
        <v>186.03</v>
      </c>
      <c r="AA587" s="9">
        <f>MIN($B$587:$Y$587)</f>
        <v>-43.04</v>
      </c>
      <c r="AB587" s="9">
        <f>AVERAGE($B$587:$Y$587)</f>
        <v>31.751249999999999</v>
      </c>
    </row>
    <row r="588" spans="1:28">
      <c r="A588" s="10">
        <v>45883</v>
      </c>
      <c r="B588" s="7">
        <v>9.6800000000000104</v>
      </c>
      <c r="C588" s="7">
        <v>-139.36000000000001</v>
      </c>
      <c r="D588" s="7">
        <v>-80.3</v>
      </c>
      <c r="E588" s="7">
        <v>-41.39</v>
      </c>
      <c r="F588" s="7">
        <v>-24.95</v>
      </c>
      <c r="G588" s="7">
        <v>-13.84</v>
      </c>
      <c r="H588" s="7">
        <v>-17.559999999999999</v>
      </c>
      <c r="I588" s="7">
        <v>-5.81</v>
      </c>
      <c r="J588" s="7">
        <v>-29.4</v>
      </c>
      <c r="K588" s="7">
        <v>-72.8</v>
      </c>
      <c r="L588" s="7">
        <v>-50.8</v>
      </c>
      <c r="M588" s="7">
        <v>-66.900000000000006</v>
      </c>
      <c r="N588" s="7">
        <v>-24.39</v>
      </c>
      <c r="O588" s="7">
        <v>-8.2999999999999492</v>
      </c>
      <c r="P588" s="7">
        <v>-58.37</v>
      </c>
      <c r="Q588" s="7">
        <v>25.74</v>
      </c>
      <c r="R588" s="7">
        <v>29.4</v>
      </c>
      <c r="S588" s="7">
        <v>24.8</v>
      </c>
      <c r="T588" s="7">
        <v>15.92</v>
      </c>
      <c r="U588" s="7">
        <v>49.69</v>
      </c>
      <c r="V588" s="7">
        <v>28.53</v>
      </c>
      <c r="W588" s="7">
        <v>31.3</v>
      </c>
      <c r="X588" s="7">
        <v>29.95</v>
      </c>
      <c r="Y588" s="7">
        <v>11.56</v>
      </c>
      <c r="Z588" s="9">
        <f>MAX($B$588:$Y$588)</f>
        <v>49.69</v>
      </c>
      <c r="AA588" s="9">
        <f>MIN($B$588:$Y$588)</f>
        <v>-139.36000000000001</v>
      </c>
      <c r="AB588" s="9">
        <f>AVERAGE($B$588:$Y$588)</f>
        <v>-15.733333333333301</v>
      </c>
    </row>
    <row r="589" spans="1:28">
      <c r="A589" s="10">
        <v>45884</v>
      </c>
      <c r="B589" s="7">
        <v>48.34</v>
      </c>
      <c r="C589" s="7">
        <v>158.88999999999999</v>
      </c>
      <c r="D589" s="7">
        <v>218.25</v>
      </c>
      <c r="E589" s="7">
        <v>224</v>
      </c>
      <c r="F589" s="7">
        <v>226.45</v>
      </c>
      <c r="G589" s="7">
        <v>222.56</v>
      </c>
      <c r="H589" s="7">
        <v>206.49</v>
      </c>
      <c r="I589" s="7">
        <v>220.24</v>
      </c>
      <c r="J589" s="7">
        <v>51.04</v>
      </c>
      <c r="K589" s="7">
        <v>26.12</v>
      </c>
      <c r="L589" s="7">
        <v>43.5</v>
      </c>
      <c r="M589" s="7">
        <v>64.47</v>
      </c>
      <c r="N589" s="7">
        <v>41.05</v>
      </c>
      <c r="O589" s="7">
        <v>53.85</v>
      </c>
      <c r="P589" s="7">
        <v>38.71</v>
      </c>
      <c r="Q589" s="7">
        <v>13.29</v>
      </c>
      <c r="R589" s="7">
        <v>44.62</v>
      </c>
      <c r="S589" s="7">
        <v>30.96</v>
      </c>
      <c r="T589" s="7">
        <v>2.21999999999997</v>
      </c>
      <c r="U589" s="7">
        <v>-19.489999999999998</v>
      </c>
      <c r="V589" s="7">
        <v>0.19999999999998899</v>
      </c>
      <c r="W589" s="7">
        <v>25.03</v>
      </c>
      <c r="X589" s="7">
        <v>37.69</v>
      </c>
      <c r="Y589" s="7">
        <v>27.07</v>
      </c>
      <c r="Z589" s="9">
        <f>MAX($B$589:$Y$589)</f>
        <v>226.45</v>
      </c>
      <c r="AA589" s="9">
        <f>MIN($B$589:$Y$589)</f>
        <v>-19.489999999999998</v>
      </c>
      <c r="AB589" s="9">
        <f>AVERAGE($B$589:$Y$589)</f>
        <v>83.564583333333303</v>
      </c>
    </row>
    <row r="590" spans="1:28">
      <c r="A590" s="10">
        <v>45885</v>
      </c>
      <c r="B590" s="7">
        <v>32.36</v>
      </c>
      <c r="C590" s="7">
        <v>28.16</v>
      </c>
      <c r="D590" s="7">
        <v>16.670000000000002</v>
      </c>
      <c r="E590" s="7">
        <v>33.56</v>
      </c>
      <c r="F590" s="7">
        <v>62.67</v>
      </c>
      <c r="G590" s="7">
        <v>48.34</v>
      </c>
      <c r="H590" s="7">
        <v>23</v>
      </c>
      <c r="I590" s="7">
        <v>7.8599999999999897</v>
      </c>
      <c r="J590" s="7">
        <v>32.200000000000003</v>
      </c>
      <c r="K590" s="7">
        <v>81.05</v>
      </c>
      <c r="L590" s="7">
        <v>-6.6100000000000101</v>
      </c>
      <c r="M590" s="7">
        <v>-56.84</v>
      </c>
      <c r="N590" s="7">
        <v>-48.5</v>
      </c>
      <c r="O590" s="7">
        <v>-3.8599999999999901</v>
      </c>
      <c r="P590" s="7">
        <v>-61.86</v>
      </c>
      <c r="Q590" s="7">
        <v>48.03</v>
      </c>
      <c r="R590" s="7">
        <v>15.22</v>
      </c>
      <c r="S590" s="7">
        <v>36.11</v>
      </c>
      <c r="T590" s="7">
        <v>27.01</v>
      </c>
      <c r="U590" s="7">
        <v>92.28</v>
      </c>
      <c r="V590" s="7">
        <v>32.92</v>
      </c>
      <c r="W590" s="7">
        <v>35.53</v>
      </c>
      <c r="X590" s="7">
        <v>11.84</v>
      </c>
      <c r="Y590" s="7">
        <v>5.2099999999999804</v>
      </c>
      <c r="Z590" s="9">
        <f>MAX($B$590:$Y$590)</f>
        <v>92.28</v>
      </c>
      <c r="AA590" s="9">
        <f>MIN($B$590:$Y$590)</f>
        <v>-61.86</v>
      </c>
      <c r="AB590" s="9">
        <f>AVERAGE($B$590:$Y$590)</f>
        <v>20.514583333333299</v>
      </c>
    </row>
    <row r="591" spans="1:28">
      <c r="A591" s="10">
        <v>45886</v>
      </c>
      <c r="B591" s="7">
        <v>1.01999999999998</v>
      </c>
      <c r="C591" s="7">
        <v>3.1499999999999799</v>
      </c>
      <c r="D591" s="7">
        <v>4.51999999999998</v>
      </c>
      <c r="E591" s="7">
        <v>5.8300000000000098</v>
      </c>
      <c r="F591" s="7">
        <v>19</v>
      </c>
      <c r="G591" s="7">
        <v>17.98</v>
      </c>
      <c r="H591" s="7">
        <v>29.14</v>
      </c>
      <c r="I591" s="7">
        <v>5.6999999999999904</v>
      </c>
      <c r="J591" s="7">
        <v>57.01</v>
      </c>
      <c r="K591" s="7">
        <v>53.47</v>
      </c>
      <c r="L591" s="7">
        <v>-66.069999999999993</v>
      </c>
      <c r="M591" s="7">
        <v>2.8</v>
      </c>
      <c r="N591" s="7">
        <v>28.54</v>
      </c>
      <c r="O591" s="7">
        <v>-55.72</v>
      </c>
      <c r="P591" s="7">
        <v>-15.1</v>
      </c>
      <c r="Q591" s="7">
        <v>27.41</v>
      </c>
      <c r="R591" s="7">
        <v>64.55</v>
      </c>
      <c r="S591" s="7">
        <v>68.55</v>
      </c>
      <c r="T591" s="7">
        <v>79.959999999999994</v>
      </c>
      <c r="U591" s="7">
        <v>54.22</v>
      </c>
      <c r="V591" s="7">
        <v>51.11</v>
      </c>
      <c r="W591" s="7">
        <v>66.849999999999994</v>
      </c>
      <c r="X591" s="7">
        <v>67.7</v>
      </c>
      <c r="Y591" s="7">
        <v>64.260000000000005</v>
      </c>
      <c r="Z591" s="9">
        <f>MAX($B$591:$Y$591)</f>
        <v>79.959999999999994</v>
      </c>
      <c r="AA591" s="9">
        <f>MIN($B$591:$Y$591)</f>
        <v>-66.069999999999993</v>
      </c>
      <c r="AB591" s="9">
        <f>AVERAGE($B$591:$Y$591)</f>
        <v>26.495000000000001</v>
      </c>
    </row>
    <row r="592" spans="1:28">
      <c r="A592" s="10">
        <v>45887</v>
      </c>
      <c r="B592" s="7">
        <v>9.2799999999999994</v>
      </c>
      <c r="C592" s="7">
        <v>-0.95999999999997998</v>
      </c>
      <c r="D592" s="7">
        <v>-7.34</v>
      </c>
      <c r="E592" s="7">
        <v>6.0599999999999703</v>
      </c>
      <c r="F592" s="7">
        <v>10.36</v>
      </c>
      <c r="G592" s="7">
        <v>16.079999999999998</v>
      </c>
      <c r="H592" s="7">
        <v>56.71</v>
      </c>
      <c r="I592" s="7">
        <v>2.5299999999999998</v>
      </c>
      <c r="J592" s="7">
        <v>12.27</v>
      </c>
      <c r="K592" s="7">
        <v>11.05</v>
      </c>
      <c r="L592" s="7">
        <v>28.91</v>
      </c>
      <c r="M592" s="7">
        <v>-13.21</v>
      </c>
      <c r="N592" s="7">
        <v>40.19</v>
      </c>
      <c r="O592" s="7">
        <v>34.090000000000003</v>
      </c>
      <c r="P592" s="7">
        <v>-70.91</v>
      </c>
      <c r="Q592" s="7">
        <v>15.06</v>
      </c>
      <c r="R592" s="7">
        <v>77.02</v>
      </c>
      <c r="S592" s="7">
        <v>47.32</v>
      </c>
      <c r="T592" s="7">
        <v>21.21</v>
      </c>
      <c r="U592" s="7">
        <v>4.62</v>
      </c>
      <c r="V592" s="7">
        <v>10.85</v>
      </c>
      <c r="W592" s="7">
        <v>1.87</v>
      </c>
      <c r="X592" s="7">
        <v>23.68</v>
      </c>
      <c r="Y592" s="7">
        <v>19.39</v>
      </c>
      <c r="Z592" s="9">
        <f>MAX($B$592:$Y$592)</f>
        <v>77.02</v>
      </c>
      <c r="AA592" s="9">
        <f>MIN($B$592:$Y$592)</f>
        <v>-70.91</v>
      </c>
      <c r="AB592" s="9">
        <f>AVERAGE($B$592:$Y$592)</f>
        <v>14.838749999999999</v>
      </c>
    </row>
    <row r="593" spans="1:28">
      <c r="A593" s="10">
        <v>45888</v>
      </c>
      <c r="B593" s="7">
        <v>-12.2</v>
      </c>
      <c r="C593" s="7">
        <v>5.2099999999999804</v>
      </c>
      <c r="D593" s="7">
        <v>-6.66</v>
      </c>
      <c r="E593" s="7">
        <v>-11.04</v>
      </c>
      <c r="F593" s="7">
        <v>-9.31</v>
      </c>
      <c r="G593" s="7">
        <v>-12.86</v>
      </c>
      <c r="H593" s="7">
        <v>-12.24</v>
      </c>
      <c r="I593" s="7">
        <v>-23.61</v>
      </c>
      <c r="J593" s="7">
        <v>-24.81</v>
      </c>
      <c r="K593" s="7">
        <v>13.78</v>
      </c>
      <c r="L593" s="7">
        <v>6.5500000000000096</v>
      </c>
      <c r="M593" s="7">
        <v>-9.2099999999999795</v>
      </c>
      <c r="N593" s="7">
        <v>-9.5</v>
      </c>
      <c r="O593" s="7">
        <v>-4.2999999999999803</v>
      </c>
      <c r="P593" s="7">
        <v>9.2900000000000205</v>
      </c>
      <c r="Q593" s="7">
        <v>17.54</v>
      </c>
      <c r="R593" s="7">
        <v>9.69</v>
      </c>
      <c r="S593" s="7">
        <v>16.78</v>
      </c>
      <c r="T593" s="7">
        <v>9.2099999999999795</v>
      </c>
      <c r="U593" s="7">
        <v>5.4300000000000104</v>
      </c>
      <c r="V593" s="7">
        <v>8</v>
      </c>
      <c r="W593" s="7">
        <v>4.1900000000000501</v>
      </c>
      <c r="X593" s="7">
        <v>0.96000000000000796</v>
      </c>
      <c r="Y593" s="7">
        <v>-1.3199999999999901</v>
      </c>
      <c r="Z593" s="9">
        <f>MAX($B$593:$Y$593)</f>
        <v>17.54</v>
      </c>
      <c r="AA593" s="9">
        <f>MIN($B$593:$Y$593)</f>
        <v>-24.81</v>
      </c>
      <c r="AB593" s="9">
        <f>AVERAGE($B$593:$Y$593)</f>
        <v>-1.2679166666666599</v>
      </c>
    </row>
    <row r="594" spans="1:28">
      <c r="A594" s="10">
        <v>45889</v>
      </c>
      <c r="B594" s="7">
        <v>5.75</v>
      </c>
      <c r="C594" s="7">
        <v>4.23000000000002</v>
      </c>
      <c r="D594" s="7">
        <v>25.69</v>
      </c>
      <c r="E594" s="7">
        <v>51.01</v>
      </c>
      <c r="F594" s="7">
        <v>43.65</v>
      </c>
      <c r="G594" s="7">
        <v>60.42</v>
      </c>
      <c r="H594" s="7">
        <v>24.22</v>
      </c>
      <c r="I594" s="7">
        <v>-3.73000000000002</v>
      </c>
      <c r="J594" s="7">
        <v>3.0800000000000098</v>
      </c>
      <c r="K594" s="7">
        <v>12.09</v>
      </c>
      <c r="L594" s="7">
        <v>25.08</v>
      </c>
      <c r="M594" s="7">
        <v>36.53</v>
      </c>
      <c r="N594" s="7">
        <v>17.72</v>
      </c>
      <c r="O594" s="7">
        <v>13.23</v>
      </c>
      <c r="P594" s="7">
        <v>14.29</v>
      </c>
      <c r="Q594" s="7">
        <v>25.72</v>
      </c>
      <c r="R594" s="7">
        <v>48.46</v>
      </c>
      <c r="S594" s="7">
        <v>42.85</v>
      </c>
      <c r="T594" s="7">
        <v>-4.1500000000000297</v>
      </c>
      <c r="U594" s="7">
        <v>-17.239999999999998</v>
      </c>
      <c r="V594" s="7">
        <v>18.25</v>
      </c>
      <c r="W594" s="7">
        <v>117.73</v>
      </c>
      <c r="X594" s="7">
        <v>51.65</v>
      </c>
      <c r="Y594" s="7">
        <v>-12.37</v>
      </c>
      <c r="Z594" s="9">
        <f>MAX($B$594:$Y$594)</f>
        <v>117.73</v>
      </c>
      <c r="AA594" s="9">
        <f>MIN($B$594:$Y$594)</f>
        <v>-17.239999999999998</v>
      </c>
      <c r="AB594" s="9">
        <f>AVERAGE($B$594:$Y$594)</f>
        <v>25.1733333333333</v>
      </c>
    </row>
    <row r="595" spans="1:28">
      <c r="A595" s="10">
        <v>45890</v>
      </c>
      <c r="B595" s="7">
        <v>2.4299999999999802</v>
      </c>
      <c r="C595" s="7">
        <v>-2.4299999999999802</v>
      </c>
      <c r="D595" s="7">
        <v>-6.53</v>
      </c>
      <c r="E595" s="7">
        <v>-0.65999999999999703</v>
      </c>
      <c r="F595" s="7">
        <v>8.44</v>
      </c>
      <c r="G595" s="7">
        <v>38.01</v>
      </c>
      <c r="H595" s="7">
        <v>8.1500000000000092</v>
      </c>
      <c r="I595" s="7">
        <v>-1.19999999999999</v>
      </c>
      <c r="J595" s="7">
        <v>-0.100000000000023</v>
      </c>
      <c r="K595" s="7">
        <v>-2.62</v>
      </c>
      <c r="L595" s="7">
        <v>2.5299999999999701</v>
      </c>
      <c r="M595" s="7">
        <v>13.12</v>
      </c>
      <c r="N595" s="7">
        <v>19.760000000000002</v>
      </c>
      <c r="O595" s="7">
        <v>21.53</v>
      </c>
      <c r="P595" s="7">
        <v>22.82</v>
      </c>
      <c r="Q595" s="7">
        <v>-3.54000000000002</v>
      </c>
      <c r="R595" s="7">
        <v>8.4300000000000104</v>
      </c>
      <c r="S595" s="7">
        <v>-96.65</v>
      </c>
      <c r="T595" s="7">
        <v>-8.6099999999999604</v>
      </c>
      <c r="U595" s="7">
        <v>-146.71</v>
      </c>
      <c r="V595" s="7">
        <v>-18.57</v>
      </c>
      <c r="W595" s="7">
        <v>-3.2200000000000299</v>
      </c>
      <c r="X595" s="7">
        <v>-2.30000000000001</v>
      </c>
      <c r="Y595" s="7">
        <v>-9.0800000000000107</v>
      </c>
      <c r="Z595" s="9">
        <f>MAX($B$595:$Y$595)</f>
        <v>38.01</v>
      </c>
      <c r="AA595" s="9">
        <f>MIN($B$595:$Y$595)</f>
        <v>-146.71</v>
      </c>
      <c r="AB595" s="9">
        <f>AVERAGE($B$595:$Y$595)</f>
        <v>-6.5416666666666696</v>
      </c>
    </row>
    <row r="596" spans="1:28">
      <c r="A596" s="10">
        <v>45891</v>
      </c>
      <c r="B596" s="7">
        <v>-30.23</v>
      </c>
      <c r="C596" s="7">
        <v>-16.59</v>
      </c>
      <c r="D596" s="7">
        <v>-5.8000000000000096</v>
      </c>
      <c r="E596" s="7">
        <v>-1.7999999999999801</v>
      </c>
      <c r="F596" s="7">
        <v>3.6399999999999899</v>
      </c>
      <c r="G596" s="7">
        <v>9.3999999999999808</v>
      </c>
      <c r="H596" s="7">
        <v>2.2799999999999998</v>
      </c>
      <c r="I596" s="7">
        <v>13.96</v>
      </c>
      <c r="J596" s="7">
        <v>2.0700000000000198</v>
      </c>
      <c r="K596" s="7">
        <v>9.0900000000000301</v>
      </c>
      <c r="L596" s="7">
        <v>8.0300000000000296</v>
      </c>
      <c r="M596" s="7">
        <v>8.2799999999999994</v>
      </c>
      <c r="N596" s="7">
        <v>20.100000000000001</v>
      </c>
      <c r="O596" s="7">
        <v>32.6</v>
      </c>
      <c r="P596" s="7">
        <v>23.33</v>
      </c>
      <c r="Q596" s="7">
        <v>17</v>
      </c>
      <c r="R596" s="7">
        <v>0.68999999999999795</v>
      </c>
      <c r="S596" s="7">
        <v>-0.92000000000001603</v>
      </c>
      <c r="T596" s="7">
        <v>-20.32</v>
      </c>
      <c r="U596" s="7">
        <v>-98.23</v>
      </c>
      <c r="V596" s="7">
        <v>-41.3</v>
      </c>
      <c r="W596" s="7">
        <v>-56.28</v>
      </c>
      <c r="X596" s="7">
        <v>-36.950000000000003</v>
      </c>
      <c r="Y596" s="7">
        <v>-24.72</v>
      </c>
      <c r="Z596" s="9">
        <f>MAX($B$596:$Y$596)</f>
        <v>32.6</v>
      </c>
      <c r="AA596" s="9">
        <f>MIN($B$596:$Y$596)</f>
        <v>-98.23</v>
      </c>
      <c r="AB596" s="9">
        <f>AVERAGE($B$596:$Y$596)</f>
        <v>-7.6112500000000001</v>
      </c>
    </row>
    <row r="597" spans="1:28">
      <c r="A597" s="10">
        <v>45892</v>
      </c>
      <c r="B597" s="7">
        <v>-172.62</v>
      </c>
      <c r="C597" s="7">
        <v>-49</v>
      </c>
      <c r="D597" s="7">
        <v>-28.11</v>
      </c>
      <c r="E597" s="7">
        <v>-16.010000000000002</v>
      </c>
      <c r="F597" s="7">
        <v>-11.28</v>
      </c>
      <c r="G597" s="7">
        <v>-6.1700000000000204</v>
      </c>
      <c r="H597" s="7">
        <v>-6.9200000000000204</v>
      </c>
      <c r="I597" s="7">
        <v>-6.16</v>
      </c>
      <c r="J597" s="7">
        <v>4.6500000000000101</v>
      </c>
      <c r="K597" s="7">
        <v>2.62</v>
      </c>
      <c r="L597" s="7">
        <v>11.71</v>
      </c>
      <c r="M597" s="7">
        <v>6.2899999999999903</v>
      </c>
      <c r="N597" s="7">
        <v>12.42</v>
      </c>
      <c r="O597" s="7">
        <v>-24.77</v>
      </c>
      <c r="P597" s="7">
        <v>-10.64</v>
      </c>
      <c r="Q597" s="7">
        <v>8.0400000000000205</v>
      </c>
      <c r="R597" s="7">
        <v>4.2200000000000299</v>
      </c>
      <c r="S597" s="7">
        <v>33.43</v>
      </c>
      <c r="T597" s="7">
        <v>26.1799999999999</v>
      </c>
      <c r="U597" s="7">
        <v>-4.98000000000002</v>
      </c>
      <c r="V597" s="7">
        <v>14.58</v>
      </c>
      <c r="W597" s="7">
        <v>6.6100000000000101</v>
      </c>
      <c r="X597" s="7">
        <v>1.26999999999998</v>
      </c>
      <c r="Y597" s="7">
        <v>-1.98000000000002</v>
      </c>
      <c r="Z597" s="9">
        <f>MAX($B$597:$Y$597)</f>
        <v>33.43</v>
      </c>
      <c r="AA597" s="9">
        <f>MIN($B$597:$Y$597)</f>
        <v>-172.62</v>
      </c>
      <c r="AB597" s="9">
        <f>AVERAGE($B$597:$Y$597)</f>
        <v>-8.6091666666666704</v>
      </c>
    </row>
    <row r="598" spans="1:28">
      <c r="A598" s="10">
        <v>45893</v>
      </c>
      <c r="B598" s="7">
        <v>-12.83</v>
      </c>
      <c r="C598" s="7">
        <v>8.73000000000002</v>
      </c>
      <c r="D598" s="7">
        <v>1.06</v>
      </c>
      <c r="E598" s="7">
        <v>11.72</v>
      </c>
      <c r="F598" s="7">
        <v>24.7</v>
      </c>
      <c r="G598" s="7">
        <v>30.48</v>
      </c>
      <c r="H598" s="7">
        <v>16.61</v>
      </c>
      <c r="I598" s="7">
        <v>29.92</v>
      </c>
      <c r="J598" s="7">
        <v>66.09</v>
      </c>
      <c r="K598" s="7">
        <v>40.54</v>
      </c>
      <c r="L598" s="7">
        <v>-57.72</v>
      </c>
      <c r="M598" s="7">
        <v>-31.23</v>
      </c>
      <c r="N598" s="7">
        <v>-25.66</v>
      </c>
      <c r="O598" s="7">
        <v>10.4</v>
      </c>
      <c r="P598" s="7">
        <v>8.4600000000000097</v>
      </c>
      <c r="Q598" s="7">
        <v>32.42</v>
      </c>
      <c r="R598" s="7">
        <v>30.14</v>
      </c>
      <c r="S598" s="7">
        <v>35.520000000000003</v>
      </c>
      <c r="T598" s="7">
        <v>31.5</v>
      </c>
      <c r="U598" s="7">
        <v>16.18</v>
      </c>
      <c r="V598" s="7">
        <v>35.39</v>
      </c>
      <c r="W598" s="7">
        <v>24.82</v>
      </c>
      <c r="X598" s="7">
        <v>20.170000000000002</v>
      </c>
      <c r="Y598" s="7">
        <v>50.03</v>
      </c>
      <c r="Z598" s="9">
        <f>MAX($B$598:$Y$598)</f>
        <v>66.09</v>
      </c>
      <c r="AA598" s="9">
        <f>MIN($B$598:$Y$598)</f>
        <v>-57.72</v>
      </c>
      <c r="AB598" s="9">
        <f>AVERAGE($B$598:$Y$598)</f>
        <v>16.559999999999999</v>
      </c>
    </row>
    <row r="599" spans="1:28">
      <c r="A599" s="10">
        <v>45894</v>
      </c>
      <c r="B599" s="7">
        <v>-55.11</v>
      </c>
      <c r="C599" s="7">
        <v>38.04</v>
      </c>
      <c r="D599" s="7">
        <v>12.09</v>
      </c>
      <c r="E599" s="7">
        <v>13.66</v>
      </c>
      <c r="F599" s="7">
        <v>17.91</v>
      </c>
      <c r="G599" s="7">
        <v>35.03</v>
      </c>
      <c r="H599" s="7">
        <v>42.35</v>
      </c>
      <c r="I599" s="7">
        <v>21.84</v>
      </c>
      <c r="J599" s="7">
        <v>1.50999999999999</v>
      </c>
      <c r="K599" s="7">
        <v>27.51</v>
      </c>
      <c r="L599" s="7">
        <v>12.38</v>
      </c>
      <c r="M599" s="7">
        <v>15.09</v>
      </c>
      <c r="N599" s="7">
        <v>15.56</v>
      </c>
      <c r="O599" s="7">
        <v>-43.65</v>
      </c>
      <c r="P599" s="7">
        <v>4.5799999999999796</v>
      </c>
      <c r="Q599" s="7">
        <v>36.92</v>
      </c>
      <c r="R599" s="7">
        <v>25.49</v>
      </c>
      <c r="S599" s="7">
        <v>27.72</v>
      </c>
      <c r="T599" s="7">
        <v>-0.31999999999999301</v>
      </c>
      <c r="U599" s="7">
        <v>-5.5100000000000504</v>
      </c>
      <c r="V599" s="7">
        <v>3.7000000000000499</v>
      </c>
      <c r="W599" s="7">
        <v>29.15</v>
      </c>
      <c r="X599" s="7">
        <v>26.48</v>
      </c>
      <c r="Y599" s="7">
        <v>20.36</v>
      </c>
      <c r="Z599" s="9">
        <f>MAX($B$599:$Y$599)</f>
        <v>42.35</v>
      </c>
      <c r="AA599" s="9">
        <f>MIN($B$599:$Y$599)</f>
        <v>-55.11</v>
      </c>
      <c r="AB599" s="9">
        <f>AVERAGE($B$599:$Y$599)</f>
        <v>13.4491666666667</v>
      </c>
    </row>
    <row r="600" spans="1:28">
      <c r="A600" s="10">
        <v>45895</v>
      </c>
      <c r="B600" s="7">
        <v>23.48</v>
      </c>
      <c r="C600" s="7">
        <v>19.62</v>
      </c>
      <c r="D600" s="7">
        <v>21.67</v>
      </c>
      <c r="E600" s="7">
        <v>15.78</v>
      </c>
      <c r="F600" s="7">
        <v>30.17</v>
      </c>
      <c r="G600" s="7">
        <v>19.5</v>
      </c>
      <c r="H600" s="7">
        <v>28.55</v>
      </c>
      <c r="I600" s="7">
        <v>19.920000000000002</v>
      </c>
      <c r="J600" s="7">
        <v>8.9500000000000206</v>
      </c>
      <c r="K600" s="7">
        <v>20.87</v>
      </c>
      <c r="L600" s="7">
        <v>46.93</v>
      </c>
      <c r="M600" s="7">
        <v>35.130000000000003</v>
      </c>
      <c r="N600" s="7">
        <v>23.81</v>
      </c>
      <c r="O600" s="7">
        <v>31.6</v>
      </c>
      <c r="P600" s="7">
        <v>28.1</v>
      </c>
      <c r="Q600" s="7">
        <v>60.38</v>
      </c>
      <c r="R600" s="7">
        <v>35.880000000000003</v>
      </c>
      <c r="S600" s="7">
        <v>52.78</v>
      </c>
      <c r="T600" s="7">
        <v>20.64</v>
      </c>
      <c r="U600" s="7">
        <v>-10.199999999999999</v>
      </c>
      <c r="V600" s="7">
        <v>3.1600000000000201</v>
      </c>
      <c r="W600" s="7">
        <v>-6.49000000000001</v>
      </c>
      <c r="X600" s="7">
        <v>-22.79</v>
      </c>
      <c r="Y600" s="7">
        <v>-15.31</v>
      </c>
      <c r="Z600" s="9">
        <f>MAX($B$600:$Y$600)</f>
        <v>60.38</v>
      </c>
      <c r="AA600" s="9">
        <f>MIN($B$600:$Y$600)</f>
        <v>-22.79</v>
      </c>
      <c r="AB600" s="9">
        <f>AVERAGE($B$600:$Y$600)</f>
        <v>20.505416666666701</v>
      </c>
    </row>
    <row r="601" spans="1:28">
      <c r="A601" s="10">
        <v>45896</v>
      </c>
      <c r="B601" s="7">
        <v>-76.02</v>
      </c>
      <c r="C601" s="7">
        <v>15.84</v>
      </c>
      <c r="D601" s="7">
        <v>9.6500000000000092</v>
      </c>
      <c r="E601" s="7">
        <v>22.42</v>
      </c>
      <c r="F601" s="7">
        <v>-11.07</v>
      </c>
      <c r="G601" s="7">
        <v>-13.95</v>
      </c>
      <c r="H601" s="7">
        <v>-13.41</v>
      </c>
      <c r="I601" s="7">
        <v>-26.01</v>
      </c>
      <c r="J601" s="7">
        <v>-20.43</v>
      </c>
      <c r="K601" s="7">
        <v>11.89</v>
      </c>
      <c r="L601" s="7">
        <v>-15.45</v>
      </c>
      <c r="M601" s="7">
        <v>-29.91</v>
      </c>
      <c r="N601" s="7">
        <v>-15.27</v>
      </c>
      <c r="O601" s="7">
        <v>-22.4</v>
      </c>
      <c r="P601" s="7">
        <v>19.079999999999998</v>
      </c>
      <c r="Q601" s="7">
        <v>-11.51</v>
      </c>
      <c r="R601" s="7">
        <v>-15.4</v>
      </c>
      <c r="S601" s="7">
        <v>-1.55000000000001</v>
      </c>
      <c r="T601" s="7">
        <v>-8.81</v>
      </c>
      <c r="U601" s="7">
        <v>-73.34</v>
      </c>
      <c r="V601" s="7">
        <v>-4.5799999999999796</v>
      </c>
      <c r="W601" s="7">
        <v>10.77</v>
      </c>
      <c r="X601" s="7">
        <v>11.72</v>
      </c>
      <c r="Y601" s="7">
        <v>4.2200000000000299</v>
      </c>
      <c r="Z601" s="9">
        <f>MAX($B$601:$Y$601)</f>
        <v>22.42</v>
      </c>
      <c r="AA601" s="9">
        <f>MIN($B$601:$Y$601)</f>
        <v>-76.02</v>
      </c>
      <c r="AB601" s="9">
        <f>AVERAGE($B$601:$Y$601)</f>
        <v>-10.563333333333301</v>
      </c>
    </row>
    <row r="602" spans="1:28">
      <c r="A602" s="10">
        <v>45897</v>
      </c>
      <c r="B602" s="7">
        <v>114.24</v>
      </c>
      <c r="C602" s="7">
        <v>51.67</v>
      </c>
      <c r="D602" s="7">
        <v>107.43</v>
      </c>
      <c r="E602" s="7">
        <v>78.23</v>
      </c>
      <c r="F602" s="7">
        <v>32.619999999999997</v>
      </c>
      <c r="G602" s="7">
        <v>28.07</v>
      </c>
      <c r="H602" s="7">
        <v>24.74</v>
      </c>
      <c r="I602" s="7">
        <v>6.99000000000001</v>
      </c>
      <c r="J602" s="7">
        <v>9.91</v>
      </c>
      <c r="K602" s="7">
        <v>-7.00999999999999</v>
      </c>
      <c r="L602" s="7">
        <v>-22.51</v>
      </c>
      <c r="M602" s="7">
        <v>-21.36</v>
      </c>
      <c r="N602" s="7">
        <v>7.00999999999999</v>
      </c>
      <c r="O602" s="7">
        <v>-2.46999999999997</v>
      </c>
      <c r="P602" s="7">
        <v>32.450000000000003</v>
      </c>
      <c r="Q602" s="7">
        <v>76.400000000000006</v>
      </c>
      <c r="R602" s="7">
        <v>93.44</v>
      </c>
      <c r="S602" s="7">
        <v>56.04</v>
      </c>
      <c r="T602" s="7">
        <v>5.13</v>
      </c>
      <c r="U602" s="7">
        <v>-169.3</v>
      </c>
      <c r="V602" s="7">
        <v>-5.7900000000000196</v>
      </c>
      <c r="W602" s="7">
        <v>11.66</v>
      </c>
      <c r="X602" s="7">
        <v>8.6300000000000203</v>
      </c>
      <c r="Y602" s="7">
        <v>1.4500000000000199</v>
      </c>
      <c r="Z602" s="9">
        <f>MAX($B$602:$Y$602)</f>
        <v>114.24</v>
      </c>
      <c r="AA602" s="9">
        <f>MIN($B$602:$Y$602)</f>
        <v>-169.3</v>
      </c>
      <c r="AB602" s="9">
        <f>AVERAGE($B$602:$Y$602)</f>
        <v>21.569583333333298</v>
      </c>
    </row>
    <row r="603" spans="1:28">
      <c r="A603" s="10">
        <v>45898</v>
      </c>
      <c r="B603" s="7">
        <v>31.62</v>
      </c>
      <c r="C603" s="7">
        <v>-13.19</v>
      </c>
      <c r="D603" s="7">
        <v>11.68</v>
      </c>
      <c r="E603" s="7">
        <v>4.8299999999999796</v>
      </c>
      <c r="F603" s="7">
        <v>1.84</v>
      </c>
      <c r="G603" s="7">
        <v>0.59000000000000297</v>
      </c>
      <c r="H603" s="7">
        <v>-9.44</v>
      </c>
      <c r="I603" s="7">
        <v>3.03</v>
      </c>
      <c r="J603" s="7">
        <v>26.07</v>
      </c>
      <c r="K603" s="7">
        <v>36.64</v>
      </c>
      <c r="L603" s="7">
        <v>-16.91</v>
      </c>
      <c r="M603" s="7">
        <v>-3.66</v>
      </c>
      <c r="N603" s="7">
        <v>3.0200000000000098</v>
      </c>
      <c r="O603" s="7">
        <v>-36.78</v>
      </c>
      <c r="P603" s="7">
        <v>-6.8600000000000101</v>
      </c>
      <c r="Q603" s="7">
        <v>-51.95</v>
      </c>
      <c r="R603" s="7">
        <v>-73.010000000000005</v>
      </c>
      <c r="S603" s="7">
        <v>-3.1099999999999599</v>
      </c>
      <c r="T603" s="7">
        <v>11.11</v>
      </c>
      <c r="U603" s="7">
        <v>-30.98</v>
      </c>
      <c r="V603" s="7">
        <v>20.59</v>
      </c>
      <c r="W603" s="7">
        <v>16.739999999999998</v>
      </c>
      <c r="X603" s="7">
        <v>-8.4499999999999904</v>
      </c>
      <c r="Y603" s="7">
        <v>-18.5</v>
      </c>
      <c r="Z603" s="9">
        <f>MAX($B$603:$Y$603)</f>
        <v>36.64</v>
      </c>
      <c r="AA603" s="9">
        <f>MIN($B$603:$Y$603)</f>
        <v>-73.010000000000005</v>
      </c>
      <c r="AB603" s="9">
        <f>AVERAGE($B$603:$Y$603)</f>
        <v>-4.3783333333333303</v>
      </c>
    </row>
    <row r="604" spans="1:28">
      <c r="A604" s="10">
        <v>45899</v>
      </c>
      <c r="B604" s="7">
        <v>-61.1</v>
      </c>
      <c r="C604" s="7">
        <v>-50.43</v>
      </c>
      <c r="D604" s="7">
        <v>-12.24</v>
      </c>
      <c r="E604" s="7">
        <v>-10.28</v>
      </c>
      <c r="F604" s="7">
        <v>-1.47999999999999</v>
      </c>
      <c r="G604" s="7">
        <v>3.1100000000000101</v>
      </c>
      <c r="H604" s="7">
        <v>4.2000000000000197</v>
      </c>
      <c r="I604" s="7">
        <v>-1.8399999999999701</v>
      </c>
      <c r="J604" s="7">
        <v>6.3699999999999797</v>
      </c>
      <c r="K604" s="7">
        <v>-45.3</v>
      </c>
      <c r="L604" s="7">
        <v>-26.57</v>
      </c>
      <c r="M604" s="7">
        <v>-12.98</v>
      </c>
      <c r="N604" s="7">
        <v>-35.1</v>
      </c>
      <c r="O604" s="7">
        <v>-26.25</v>
      </c>
      <c r="P604" s="7">
        <v>4.1999999999999904</v>
      </c>
      <c r="Q604" s="7">
        <v>9.26999999999998</v>
      </c>
      <c r="R604" s="7">
        <v>27.77</v>
      </c>
      <c r="S604" s="7">
        <v>-0.61000000000001398</v>
      </c>
      <c r="T604" s="7">
        <v>2.0900000000000301</v>
      </c>
      <c r="U604" s="7">
        <v>-88.78</v>
      </c>
      <c r="V604" s="7">
        <v>-41.03</v>
      </c>
      <c r="W604" s="7">
        <v>-33.28</v>
      </c>
      <c r="X604" s="7">
        <v>-18.91</v>
      </c>
      <c r="Y604" s="7">
        <v>-0.35999999999995702</v>
      </c>
      <c r="Z604" s="9">
        <f>MAX($B$604:$Y$604)</f>
        <v>27.77</v>
      </c>
      <c r="AA604" s="9">
        <f>MIN($B$604:$Y$604)</f>
        <v>-88.78</v>
      </c>
      <c r="AB604" s="9">
        <f>AVERAGE($B$604:$Y$604)</f>
        <v>-17.063749999999999</v>
      </c>
    </row>
    <row r="605" spans="1:28">
      <c r="A605" s="10">
        <v>45900</v>
      </c>
      <c r="B605" s="7">
        <v>-86.07</v>
      </c>
      <c r="C605" s="7">
        <v>-155.18</v>
      </c>
      <c r="D605" s="7">
        <v>13.77</v>
      </c>
      <c r="E605" s="7">
        <v>-19.2</v>
      </c>
      <c r="F605" s="7">
        <v>0.38999999999998602</v>
      </c>
      <c r="G605" s="7">
        <v>-1.58000000000004</v>
      </c>
      <c r="H605" s="7">
        <v>0.71000000000003605</v>
      </c>
      <c r="I605" s="7">
        <v>-2.7600000000000202</v>
      </c>
      <c r="J605" s="7">
        <v>9.84</v>
      </c>
      <c r="K605" s="7">
        <v>2.0699999999999901</v>
      </c>
      <c r="L605" s="7">
        <v>0.25</v>
      </c>
      <c r="M605" s="7">
        <v>29.69</v>
      </c>
      <c r="N605" s="7">
        <v>25.03</v>
      </c>
      <c r="O605" s="7">
        <v>2.5599999999999699</v>
      </c>
      <c r="P605" s="7">
        <v>11.17</v>
      </c>
      <c r="Q605" s="7">
        <v>16.5</v>
      </c>
      <c r="R605" s="7">
        <v>-0.21000000000000801</v>
      </c>
      <c r="S605" s="7">
        <v>-5.6000000000000201</v>
      </c>
      <c r="T605" s="7">
        <v>-16.22</v>
      </c>
      <c r="U605" s="7">
        <v>-102.83</v>
      </c>
      <c r="V605" s="7">
        <v>-72.650000000000006</v>
      </c>
      <c r="W605" s="7">
        <v>-218.69</v>
      </c>
      <c r="X605" s="7">
        <v>-99.34</v>
      </c>
      <c r="Y605" s="7">
        <v>-9.5400000000000205</v>
      </c>
      <c r="Z605" s="9">
        <f>MAX($B$605:$Y$605)</f>
        <v>29.69</v>
      </c>
      <c r="AA605" s="9">
        <f>MIN($B$605:$Y$605)</f>
        <v>-218.69</v>
      </c>
      <c r="AB605" s="9">
        <f>AVERAGE($B$605:$Y$605)</f>
        <v>-28.245416666666699</v>
      </c>
    </row>
    <row r="606" spans="1:28">
      <c r="A606" s="10">
        <v>45901</v>
      </c>
      <c r="B606" s="7">
        <v>-79.900000000000006</v>
      </c>
      <c r="C606" s="7">
        <v>9.9700000000000308</v>
      </c>
      <c r="D606" s="7">
        <v>0.82999999999998397</v>
      </c>
      <c r="E606" s="7">
        <v>-3.26999999999998</v>
      </c>
      <c r="F606" s="7">
        <v>0.25</v>
      </c>
      <c r="G606" s="7">
        <v>-4.3400000000000301</v>
      </c>
      <c r="H606" s="7">
        <v>-8.76999999999998</v>
      </c>
      <c r="I606" s="7">
        <v>-5.8899999999999899</v>
      </c>
      <c r="J606" s="7">
        <v>15.64</v>
      </c>
      <c r="K606" s="7">
        <v>2.3400000000000301</v>
      </c>
      <c r="L606" s="7">
        <v>-1.9100000000000299</v>
      </c>
      <c r="M606" s="7">
        <v>6.6100000000000101</v>
      </c>
      <c r="N606" s="7">
        <v>31.24</v>
      </c>
      <c r="O606" s="7">
        <v>-23.61</v>
      </c>
      <c r="P606" s="7">
        <v>55.29</v>
      </c>
      <c r="Q606" s="7">
        <v>24.34</v>
      </c>
      <c r="R606" s="7">
        <v>51.6</v>
      </c>
      <c r="S606" s="7">
        <v>44.65</v>
      </c>
      <c r="T606" s="7">
        <v>-84.53</v>
      </c>
      <c r="U606" s="7">
        <v>-299.14</v>
      </c>
      <c r="V606" s="7">
        <v>-148.28</v>
      </c>
      <c r="W606" s="7">
        <v>-137.43</v>
      </c>
      <c r="X606" s="7">
        <v>-108.01</v>
      </c>
      <c r="Y606" s="7">
        <v>-25.79</v>
      </c>
      <c r="Z606" s="9">
        <f>MAX($B$606:$Y$606)</f>
        <v>55.29</v>
      </c>
      <c r="AA606" s="9">
        <f>MIN($B$606:$Y$606)</f>
        <v>-299.14</v>
      </c>
      <c r="AB606" s="9">
        <f>AVERAGE($B$606:$Y$606)</f>
        <v>-28.671250000000001</v>
      </c>
    </row>
    <row r="607" spans="1:28">
      <c r="A607" s="10">
        <v>45902</v>
      </c>
      <c r="B607" s="7">
        <v>-86.26</v>
      </c>
      <c r="C607" s="7">
        <v>-51.78</v>
      </c>
      <c r="D607" s="7">
        <v>-91.89</v>
      </c>
      <c r="E607" s="7">
        <v>-39.82</v>
      </c>
      <c r="F607" s="7">
        <v>-3.87</v>
      </c>
      <c r="G607" s="7">
        <v>-6</v>
      </c>
      <c r="H607" s="7">
        <v>-7.25999999999999</v>
      </c>
      <c r="I607" s="7">
        <v>-14.44</v>
      </c>
      <c r="J607" s="7">
        <v>-24.2</v>
      </c>
      <c r="K607" s="7">
        <v>-6.7299999999999596</v>
      </c>
      <c r="L607" s="7">
        <v>1.8299999999999801</v>
      </c>
      <c r="M607" s="7">
        <v>9.7599999999999891</v>
      </c>
      <c r="N607" s="7">
        <v>48.22</v>
      </c>
      <c r="O607" s="7">
        <v>25.99</v>
      </c>
      <c r="P607" s="7">
        <v>45.68</v>
      </c>
      <c r="Q607" s="7">
        <v>29.2</v>
      </c>
      <c r="R607" s="7">
        <v>104.17</v>
      </c>
      <c r="S607" s="7">
        <v>96.809999999999903</v>
      </c>
      <c r="T607" s="7">
        <v>4.1700000000000204</v>
      </c>
      <c r="U607" s="7">
        <v>43.58</v>
      </c>
      <c r="V607" s="7">
        <v>-90.97</v>
      </c>
      <c r="W607" s="7">
        <v>-147.9</v>
      </c>
      <c r="X607" s="7">
        <v>-39.96</v>
      </c>
      <c r="Y607" s="7">
        <v>-16.21</v>
      </c>
      <c r="Z607" s="9">
        <f>MAX($B$607:$Y$607)</f>
        <v>104.17</v>
      </c>
      <c r="AA607" s="9">
        <f>MIN($B$607:$Y$607)</f>
        <v>-147.9</v>
      </c>
      <c r="AB607" s="9">
        <f>AVERAGE($B$607:$Y$607)</f>
        <v>-9.0783333333333296</v>
      </c>
    </row>
    <row r="608" spans="1:28">
      <c r="A608" s="10">
        <v>45903</v>
      </c>
      <c r="B608" s="7">
        <v>-142.18</v>
      </c>
      <c r="C608" s="7">
        <v>-135.79</v>
      </c>
      <c r="D608" s="7">
        <v>-83.43</v>
      </c>
      <c r="E608" s="7">
        <v>109.12</v>
      </c>
      <c r="F608" s="7">
        <v>34.54</v>
      </c>
      <c r="G608" s="7">
        <v>9.0500000000000096</v>
      </c>
      <c r="H608" s="7">
        <v>1.95999999999998</v>
      </c>
      <c r="I608" s="7">
        <v>-18.39</v>
      </c>
      <c r="J608" s="7">
        <v>-12.82</v>
      </c>
      <c r="K608" s="7">
        <v>8.0699999999999896</v>
      </c>
      <c r="L608" s="7">
        <v>15.49</v>
      </c>
      <c r="M608" s="7">
        <v>64.42</v>
      </c>
      <c r="N608" s="7">
        <v>5.98000000000002</v>
      </c>
      <c r="O608" s="7">
        <v>33.32</v>
      </c>
      <c r="P608" s="7">
        <v>88.46</v>
      </c>
      <c r="Q608" s="7">
        <v>123.96</v>
      </c>
      <c r="R608" s="7">
        <v>127.4</v>
      </c>
      <c r="S608" s="7">
        <v>65.42</v>
      </c>
      <c r="T608" s="7">
        <v>-68.489999999999995</v>
      </c>
      <c r="U608" s="7">
        <v>-334.75</v>
      </c>
      <c r="V608" s="7">
        <v>-168.94</v>
      </c>
      <c r="W608" s="7">
        <v>-157.49</v>
      </c>
      <c r="X608" s="7">
        <v>-124.43</v>
      </c>
      <c r="Y608" s="7">
        <v>2.5799999999999801</v>
      </c>
      <c r="Z608" s="9">
        <f>MAX($B$608:$Y$608)</f>
        <v>127.4</v>
      </c>
      <c r="AA608" s="9">
        <f>MIN($B$608:$Y$608)</f>
        <v>-334.75</v>
      </c>
      <c r="AB608" s="9">
        <f>AVERAGE($B$608:$Y$608)</f>
        <v>-23.205833333333299</v>
      </c>
    </row>
    <row r="609" spans="1:28">
      <c r="A609" s="10">
        <v>45904</v>
      </c>
      <c r="B609" s="7">
        <v>-192.33</v>
      </c>
      <c r="C609" s="7">
        <v>-22.88</v>
      </c>
      <c r="D609" s="7">
        <v>-3.49000000000001</v>
      </c>
      <c r="E609" s="7">
        <v>3.47999999999996</v>
      </c>
      <c r="F609" s="7">
        <v>10.039999999999999</v>
      </c>
      <c r="G609" s="7">
        <v>9.2899999999999601</v>
      </c>
      <c r="H609" s="7">
        <v>8.9100000000000197</v>
      </c>
      <c r="I609" s="7">
        <v>5.4000000000000297</v>
      </c>
      <c r="J609" s="7">
        <v>12.55</v>
      </c>
      <c r="K609" s="7">
        <v>-3.7899999999999601</v>
      </c>
      <c r="L609" s="7">
        <v>-64.89</v>
      </c>
      <c r="M609" s="7">
        <v>-146.13999999999999</v>
      </c>
      <c r="N609" s="7">
        <v>4.4799999999999596</v>
      </c>
      <c r="O609" s="7">
        <v>-32.44</v>
      </c>
      <c r="P609" s="7">
        <v>61.66</v>
      </c>
      <c r="Q609" s="7">
        <v>91.35</v>
      </c>
      <c r="R609" s="7">
        <v>89.17</v>
      </c>
      <c r="S609" s="7">
        <v>35.57</v>
      </c>
      <c r="T609" s="7">
        <v>-78.290000000000006</v>
      </c>
      <c r="U609" s="7">
        <v>-247.57</v>
      </c>
      <c r="V609" s="7">
        <v>-274.44</v>
      </c>
      <c r="W609" s="7">
        <v>-397.9</v>
      </c>
      <c r="X609" s="7">
        <v>-159.99</v>
      </c>
      <c r="Y609" s="7">
        <v>-86.49</v>
      </c>
      <c r="Z609" s="9">
        <f>MAX($B$609:$Y$609)</f>
        <v>91.35</v>
      </c>
      <c r="AA609" s="9">
        <f>MIN($B$609:$Y$609)</f>
        <v>-397.9</v>
      </c>
      <c r="AB609" s="9">
        <f>AVERAGE($B$609:$Y$609)</f>
        <v>-57.447499999999998</v>
      </c>
    </row>
    <row r="610" spans="1:28">
      <c r="A610" s="10">
        <v>45905</v>
      </c>
      <c r="B610" s="7">
        <f>日前电价!B610-实时电价!B610</f>
        <v>-216.51</v>
      </c>
      <c r="C610" s="7">
        <f>日前电价!C610-实时电价!C610</f>
        <v>-173.91</v>
      </c>
      <c r="D610" s="7">
        <f>日前电价!D610-实时电价!D610</f>
        <v>-178.63</v>
      </c>
      <c r="E610" s="7">
        <f>日前电价!E610-实时电价!E610</f>
        <v>-158.65</v>
      </c>
      <c r="F610" s="7">
        <f>日前电价!F610-实时电价!F610</f>
        <v>-110.78</v>
      </c>
      <c r="G610" s="7">
        <f>日前电价!G610-实时电价!G610</f>
        <v>-73.27</v>
      </c>
      <c r="H610" s="7">
        <f>日前电价!H610-实时电价!H610</f>
        <v>-127.12</v>
      </c>
      <c r="I610" s="7">
        <f>日前电价!I610-实时电价!I610</f>
        <v>-69.72</v>
      </c>
      <c r="J610" s="7">
        <f>日前电价!J610-实时电价!J610</f>
        <v>-72.17</v>
      </c>
      <c r="K610" s="7">
        <f>日前电价!K610-实时电价!K610</f>
        <v>-3.31</v>
      </c>
      <c r="L610" s="7">
        <f>日前电价!L610-实时电价!L610</f>
        <v>-36.340000000000003</v>
      </c>
      <c r="M610" s="7">
        <f>日前电价!M610-实时电价!M610</f>
        <v>-41.69</v>
      </c>
      <c r="N610" s="7">
        <f>日前电价!N610-实时电价!N610</f>
        <v>40.119999999999997</v>
      </c>
      <c r="O610" s="7">
        <f>日前电价!O610-实时电价!O610</f>
        <v>-11.22</v>
      </c>
      <c r="P610" s="7">
        <f>日前电价!P610-实时电价!P610</f>
        <v>-14.33</v>
      </c>
      <c r="Q610" s="7">
        <f>日前电价!Q610-实时电价!Q610</f>
        <v>17.95</v>
      </c>
      <c r="R610" s="7">
        <f>日前电价!R610-实时电价!R610</f>
        <v>-104.23</v>
      </c>
      <c r="S610" s="7">
        <f>日前电价!S610-实时电价!S610</f>
        <v>-71.75</v>
      </c>
      <c r="T610" s="7">
        <f>日前电价!T610-实时电价!T610</f>
        <v>-156.81</v>
      </c>
      <c r="U610" s="7">
        <f>日前电价!U610-实时电价!U610</f>
        <v>-296.13</v>
      </c>
      <c r="V610" s="7">
        <f>日前电价!V610-实时电价!V610</f>
        <v>-346.74</v>
      </c>
      <c r="W610" s="7">
        <f>日前电价!W610-实时电价!W610</f>
        <v>-200.33</v>
      </c>
      <c r="X610" s="7">
        <f>日前电价!X610-实时电价!X610</f>
        <v>-169.71</v>
      </c>
      <c r="Y610" s="7">
        <f>日前电价!Y610-实时电价!Y610</f>
        <v>-181.25</v>
      </c>
      <c r="Z610" s="9"/>
      <c r="AA610" s="9"/>
      <c r="AB610" s="9"/>
    </row>
    <row r="611" spans="1:28">
      <c r="A611" s="10">
        <v>45906</v>
      </c>
      <c r="B611" s="7">
        <v>-76.42</v>
      </c>
      <c r="C611" s="7">
        <v>-135.97</v>
      </c>
      <c r="D611" s="7">
        <v>33.130000000000003</v>
      </c>
      <c r="E611" s="7">
        <v>-76.34</v>
      </c>
      <c r="F611" s="7">
        <v>-50.08</v>
      </c>
      <c r="G611" s="7">
        <v>12.75</v>
      </c>
      <c r="H611" s="7">
        <v>14.34</v>
      </c>
      <c r="I611" s="7">
        <v>8.3500000000000192</v>
      </c>
      <c r="J611" s="7">
        <v>-18.3</v>
      </c>
      <c r="K611" s="7">
        <v>-4.23000000000002</v>
      </c>
      <c r="L611" s="7">
        <v>15.68</v>
      </c>
      <c r="M611" s="7">
        <v>73.03</v>
      </c>
      <c r="N611" s="7">
        <v>35.96</v>
      </c>
      <c r="O611" s="7">
        <v>2.54000000000002</v>
      </c>
      <c r="P611" s="7">
        <v>-14.4</v>
      </c>
      <c r="Q611" s="7">
        <v>-26.46</v>
      </c>
      <c r="R611" s="7">
        <v>2.74000000000001</v>
      </c>
      <c r="S611" s="7">
        <v>94.06</v>
      </c>
      <c r="T611" s="7">
        <v>24.87</v>
      </c>
      <c r="U611" s="7">
        <v>-58.59</v>
      </c>
      <c r="V611" s="7">
        <v>-95.2</v>
      </c>
      <c r="W611" s="7">
        <v>-131.69999999999999</v>
      </c>
      <c r="X611" s="7">
        <v>-110.66</v>
      </c>
      <c r="Y611" s="7">
        <v>-89.04</v>
      </c>
      <c r="Z611" s="9">
        <f>MAX($B$611:$Y$611)</f>
        <v>94.06</v>
      </c>
      <c r="AA611" s="9">
        <f>MIN($B$611:$Y$611)</f>
        <v>-135.97</v>
      </c>
      <c r="AB611" s="9">
        <f>AVERAGE($B$611:$Y$611)</f>
        <v>-23.747499999999999</v>
      </c>
    </row>
    <row r="612" spans="1:28">
      <c r="A612" s="10">
        <v>45907</v>
      </c>
      <c r="B612" s="7">
        <v>-332.95</v>
      </c>
      <c r="C612" s="7">
        <v>-80.94</v>
      </c>
      <c r="D612" s="7">
        <v>-59.96</v>
      </c>
      <c r="E612" s="7">
        <v>-19.829999999999998</v>
      </c>
      <c r="F612" s="7">
        <v>-5.3999999999999799</v>
      </c>
      <c r="G612" s="7">
        <v>-4.83000000000004</v>
      </c>
      <c r="H612" s="7">
        <v>1.1299999999999999</v>
      </c>
      <c r="I612" s="7">
        <v>12.8</v>
      </c>
      <c r="J612" s="7">
        <v>13.98</v>
      </c>
      <c r="K612" s="7">
        <v>-20.77</v>
      </c>
      <c r="L612" s="7">
        <v>30.59</v>
      </c>
      <c r="M612" s="7">
        <v>49.1</v>
      </c>
      <c r="N612" s="7">
        <v>-11.02</v>
      </c>
      <c r="O612" s="7">
        <v>-22.48</v>
      </c>
      <c r="P612" s="7">
        <v>-2.75</v>
      </c>
      <c r="Q612" s="7">
        <v>1.31</v>
      </c>
      <c r="R612" s="7">
        <v>13.64</v>
      </c>
      <c r="S612" s="7">
        <v>19.8</v>
      </c>
      <c r="T612" s="7">
        <v>15.43</v>
      </c>
      <c r="U612" s="7">
        <v>14.34</v>
      </c>
      <c r="V612" s="7">
        <v>31.57</v>
      </c>
      <c r="W612" s="7">
        <v>51.36</v>
      </c>
      <c r="X612" s="7">
        <v>80.67</v>
      </c>
      <c r="Y612" s="7">
        <v>62.11</v>
      </c>
      <c r="Z612" s="9">
        <f>MAX($B$612:$Y$612)</f>
        <v>80.67</v>
      </c>
      <c r="AA612" s="9">
        <f>MIN($B$612:$Y$612)</f>
        <v>-332.95</v>
      </c>
      <c r="AB612" s="9">
        <f>AVERAGE($B$612:$Y$612)</f>
        <v>-6.7958333333333298</v>
      </c>
    </row>
    <row r="613" spans="1:28">
      <c r="A613" s="10">
        <v>45908</v>
      </c>
      <c r="B613" s="7">
        <v>44.74</v>
      </c>
      <c r="C613" s="7">
        <v>49.75</v>
      </c>
      <c r="D613" s="7">
        <v>70.489999999999995</v>
      </c>
      <c r="E613" s="7">
        <v>121.66</v>
      </c>
      <c r="F613" s="7">
        <v>47.76</v>
      </c>
      <c r="G613" s="7">
        <v>37.479999999999997</v>
      </c>
      <c r="H613" s="7">
        <v>24.28</v>
      </c>
      <c r="I613" s="7">
        <v>22.91</v>
      </c>
      <c r="J613" s="7">
        <v>-58.38</v>
      </c>
      <c r="K613" s="7">
        <v>-79.260000000000005</v>
      </c>
      <c r="L613" s="7">
        <v>-67.819999999999993</v>
      </c>
      <c r="M613" s="7">
        <v>-47.81</v>
      </c>
      <c r="N613" s="7">
        <v>15.04</v>
      </c>
      <c r="O613" s="7">
        <v>52.84</v>
      </c>
      <c r="P613" s="7">
        <v>66.19</v>
      </c>
      <c r="Q613" s="7">
        <v>12.81</v>
      </c>
      <c r="R613" s="7">
        <v>6.00999999999999</v>
      </c>
      <c r="S613" s="7">
        <v>-21.54</v>
      </c>
      <c r="T613" s="7">
        <v>5.50999999999999</v>
      </c>
      <c r="U613" s="7">
        <v>-28.38</v>
      </c>
      <c r="V613" s="7">
        <v>14.63</v>
      </c>
      <c r="W613" s="7">
        <v>33.28</v>
      </c>
      <c r="X613" s="7">
        <v>35.340000000000003</v>
      </c>
      <c r="Y613" s="7">
        <v>35.96</v>
      </c>
      <c r="Z613" s="9">
        <f>MAX($B$613:$Y$613)</f>
        <v>121.66</v>
      </c>
      <c r="AA613" s="9">
        <f>MIN($B$613:$Y$613)</f>
        <v>-79.260000000000005</v>
      </c>
      <c r="AB613" s="9">
        <f>AVERAGE($B$613:$Y$613)</f>
        <v>16.395416666666701</v>
      </c>
    </row>
    <row r="614" spans="1:28">
      <c r="A614" s="10">
        <v>45909</v>
      </c>
      <c r="B614" s="7">
        <v>53.05</v>
      </c>
      <c r="C614" s="7">
        <v>29.36</v>
      </c>
      <c r="D614" s="7">
        <v>34.79</v>
      </c>
      <c r="E614" s="7">
        <v>19.149999999999999</v>
      </c>
      <c r="F614" s="7">
        <v>27.86</v>
      </c>
      <c r="G614" s="7">
        <v>8.7200000000000006</v>
      </c>
      <c r="H614" s="7">
        <v>14.05</v>
      </c>
      <c r="I614" s="7">
        <v>-9.3800000000000008</v>
      </c>
      <c r="J614" s="7">
        <v>-8.5799999999999805</v>
      </c>
      <c r="K614" s="7">
        <v>10.18</v>
      </c>
      <c r="L614" s="7">
        <v>-4.8400000000000301</v>
      </c>
      <c r="M614" s="7">
        <v>56.86</v>
      </c>
      <c r="N614" s="7">
        <v>-12.64</v>
      </c>
      <c r="O614" s="7">
        <v>-4.7999999999999501</v>
      </c>
      <c r="P614" s="7">
        <v>47.46</v>
      </c>
      <c r="Q614" s="7">
        <v>26.53</v>
      </c>
      <c r="R614" s="7">
        <v>7.0699999999999896</v>
      </c>
      <c r="S614" s="7">
        <v>18.96</v>
      </c>
      <c r="T614" s="7">
        <v>-54.69</v>
      </c>
      <c r="U614" s="7">
        <v>-214.55</v>
      </c>
      <c r="V614" s="7">
        <v>-65.739999999999995</v>
      </c>
      <c r="W614" s="7">
        <v>-99.73</v>
      </c>
      <c r="X614" s="7">
        <v>-17.34</v>
      </c>
      <c r="Y614" s="7">
        <v>-18.63</v>
      </c>
      <c r="Z614" s="9">
        <f>MAX($B$614:$Y$614)</f>
        <v>56.86</v>
      </c>
      <c r="AA614" s="9">
        <f>MIN($B$614:$Y$614)</f>
        <v>-214.55</v>
      </c>
      <c r="AB614" s="9">
        <f>AVERAGE($B$614:$Y$614)</f>
        <v>-6.5366666666666697</v>
      </c>
    </row>
    <row r="615" spans="1:28">
      <c r="A615" s="10">
        <v>45910</v>
      </c>
      <c r="B615" s="7">
        <v>-2.4099999999999699</v>
      </c>
      <c r="C615" s="7">
        <v>-5.2099999999999804</v>
      </c>
      <c r="D615" s="7">
        <v>-2.9100000000000201</v>
      </c>
      <c r="E615" s="7">
        <v>0.93999999999999795</v>
      </c>
      <c r="F615" s="7">
        <v>2</v>
      </c>
      <c r="G615" s="7">
        <v>9.5</v>
      </c>
      <c r="H615" s="7">
        <v>-10.94</v>
      </c>
      <c r="I615" s="7">
        <v>-16.559999999999999</v>
      </c>
      <c r="J615" s="7">
        <v>-24.51</v>
      </c>
      <c r="K615" s="7">
        <v>-29.06</v>
      </c>
      <c r="L615" s="7">
        <v>-12.84</v>
      </c>
      <c r="M615" s="7">
        <v>2.1700000000000199</v>
      </c>
      <c r="N615" s="7">
        <v>-16.75</v>
      </c>
      <c r="O615" s="7">
        <v>-1.3199999999999901</v>
      </c>
      <c r="P615" s="7">
        <v>32.94</v>
      </c>
      <c r="Q615" s="7">
        <v>21.63</v>
      </c>
      <c r="R615" s="7">
        <v>27.9</v>
      </c>
      <c r="S615" s="7">
        <v>35.65</v>
      </c>
      <c r="T615" s="7">
        <v>-19.11</v>
      </c>
      <c r="U615" s="7">
        <v>-139.79</v>
      </c>
      <c r="V615" s="7">
        <v>-37.950000000000003</v>
      </c>
      <c r="W615" s="7">
        <v>-14.47</v>
      </c>
      <c r="X615" s="7">
        <v>2.8400000000000301</v>
      </c>
      <c r="Y615" s="7">
        <v>8.3600000000000101</v>
      </c>
      <c r="Z615" s="9">
        <f>MAX($B$615:$Y$615)</f>
        <v>35.65</v>
      </c>
      <c r="AA615" s="9">
        <f>MIN($B$615:$Y$615)</f>
        <v>-139.79</v>
      </c>
      <c r="AB615" s="9">
        <f>AVERAGE($B$615:$Y$615)</f>
        <v>-7.9124999999999899</v>
      </c>
    </row>
    <row r="616" spans="1:28">
      <c r="A616" s="10">
        <v>45911</v>
      </c>
      <c r="B616" s="7">
        <v>45.44</v>
      </c>
      <c r="C616" s="7">
        <v>20.170000000000002</v>
      </c>
      <c r="D616" s="7">
        <v>10.68</v>
      </c>
      <c r="E616" s="7">
        <v>12.92</v>
      </c>
      <c r="F616" s="7">
        <v>8.3800000000000008</v>
      </c>
      <c r="G616" s="7">
        <v>9.8900000000000095</v>
      </c>
      <c r="H616" s="7">
        <v>6.4599999999999804</v>
      </c>
      <c r="I616" s="7">
        <v>14.27</v>
      </c>
      <c r="J616" s="7">
        <v>6.9000000000000297</v>
      </c>
      <c r="K616" s="7">
        <v>38.549999999999997</v>
      </c>
      <c r="L616" s="7">
        <v>2.7100000000000102</v>
      </c>
      <c r="M616" s="7">
        <v>20.71</v>
      </c>
      <c r="N616" s="7">
        <v>23.99</v>
      </c>
      <c r="O616" s="7">
        <v>12.3</v>
      </c>
      <c r="P616" s="7">
        <v>37.07</v>
      </c>
      <c r="Q616" s="7">
        <v>11.47</v>
      </c>
      <c r="R616" s="7">
        <v>-13.23</v>
      </c>
      <c r="S616" s="7">
        <v>-45.71</v>
      </c>
      <c r="T616" s="7">
        <v>-233.01</v>
      </c>
      <c r="U616" s="7">
        <v>-357.77</v>
      </c>
      <c r="V616" s="7">
        <v>-8.3499999999999694</v>
      </c>
      <c r="W616" s="7">
        <v>29.48</v>
      </c>
      <c r="X616" s="7">
        <v>21.41</v>
      </c>
      <c r="Y616" s="7">
        <v>42.75</v>
      </c>
      <c r="Z616" s="9">
        <f>MAX($B$616:$Y$616)</f>
        <v>45.44</v>
      </c>
      <c r="AA616" s="9">
        <f>MIN($B$616:$Y$616)</f>
        <v>-357.77</v>
      </c>
      <c r="AB616" s="9">
        <f>AVERAGE($B$616:$Y$616)</f>
        <v>-11.7716666666667</v>
      </c>
    </row>
    <row r="617" spans="1:28">
      <c r="A617" s="10">
        <v>45912</v>
      </c>
      <c r="B617" s="7">
        <v>-102.6</v>
      </c>
      <c r="C617" s="7">
        <v>-12.63</v>
      </c>
      <c r="D617" s="7">
        <v>-4.3500000000000201</v>
      </c>
      <c r="E617" s="7">
        <v>-0.41000000000002501</v>
      </c>
      <c r="F617" s="7">
        <v>-0.80000000000001104</v>
      </c>
      <c r="G617" s="7">
        <v>-3.09</v>
      </c>
      <c r="H617" s="7">
        <v>-3.1900000000000301</v>
      </c>
      <c r="I617" s="7">
        <v>-4.38</v>
      </c>
      <c r="J617" s="7">
        <v>-10.44</v>
      </c>
      <c r="K617" s="7">
        <v>-21.28</v>
      </c>
      <c r="L617" s="7">
        <v>-6.1999999999999904</v>
      </c>
      <c r="M617" s="7">
        <v>-1.0900000000000301</v>
      </c>
      <c r="N617" s="7">
        <v>-10.01</v>
      </c>
      <c r="O617" s="7">
        <v>32.119999999999997</v>
      </c>
      <c r="P617" s="7">
        <v>43.74</v>
      </c>
      <c r="Q617" s="7">
        <v>48.11</v>
      </c>
      <c r="R617" s="7">
        <v>53.61</v>
      </c>
      <c r="S617" s="7">
        <v>43.29</v>
      </c>
      <c r="T617" s="7">
        <v>-9.2999999999999492</v>
      </c>
      <c r="U617" s="7">
        <v>-117.22</v>
      </c>
      <c r="V617" s="7">
        <v>-61.6</v>
      </c>
      <c r="W617" s="7">
        <v>-73.09</v>
      </c>
      <c r="X617" s="7">
        <v>-35.69</v>
      </c>
      <c r="Y617" s="7">
        <v>-14.74</v>
      </c>
      <c r="Z617" s="9">
        <f>MAX($B$617:$Y$617)</f>
        <v>53.61</v>
      </c>
      <c r="AA617" s="9">
        <f>MIN($B$617:$Y$617)</f>
        <v>-117.22</v>
      </c>
      <c r="AB617" s="9">
        <f>AVERAGE($B$617:$Y$617)</f>
        <v>-11.3016666666667</v>
      </c>
    </row>
    <row r="618" spans="1:28">
      <c r="A618" s="10">
        <v>45913</v>
      </c>
      <c r="B618" s="7">
        <v>-71.64</v>
      </c>
      <c r="C618" s="7">
        <v>-80.849999999999994</v>
      </c>
      <c r="D618" s="7">
        <v>-22.08</v>
      </c>
      <c r="E618" s="7">
        <v>-11.84</v>
      </c>
      <c r="F618" s="7">
        <v>-5.5399999999999601</v>
      </c>
      <c r="G618" s="7">
        <v>-3.45999999999998</v>
      </c>
      <c r="H618" s="7">
        <v>-1.91999999999996</v>
      </c>
      <c r="I618" s="7">
        <v>-2.0699999999999901</v>
      </c>
      <c r="J618" s="7">
        <v>-5.4700000000000299</v>
      </c>
      <c r="K618" s="7">
        <v>10.45</v>
      </c>
      <c r="L618" s="7">
        <v>9.25</v>
      </c>
      <c r="M618" s="7">
        <v>7.25999999999999</v>
      </c>
      <c r="N618" s="7">
        <v>-2.72</v>
      </c>
      <c r="O618" s="7">
        <v>-46.84</v>
      </c>
      <c r="P618" s="7">
        <v>16.059999999999999</v>
      </c>
      <c r="Q618" s="7">
        <v>33.06</v>
      </c>
      <c r="R618" s="7">
        <v>-0.25</v>
      </c>
      <c r="S618" s="7">
        <v>-28.28</v>
      </c>
      <c r="T618" s="7">
        <v>-67.349999999999994</v>
      </c>
      <c r="U618" s="7">
        <v>-146.19999999999999</v>
      </c>
      <c r="V618" s="7">
        <v>-18.53</v>
      </c>
      <c r="W618" s="7">
        <v>-62.84</v>
      </c>
      <c r="X618" s="7">
        <v>-19.87</v>
      </c>
      <c r="Y618" s="7">
        <v>-11.01</v>
      </c>
      <c r="Z618" s="9">
        <f>MAX($B$618:$Y$618)</f>
        <v>33.06</v>
      </c>
      <c r="AA618" s="9">
        <f>MIN($B$618:$Y$618)</f>
        <v>-146.19999999999999</v>
      </c>
      <c r="AB618" s="9">
        <f>AVERAGE($B$618:$Y$618)</f>
        <v>-22.195</v>
      </c>
    </row>
    <row r="619" spans="1:28">
      <c r="A619" s="10">
        <v>45914</v>
      </c>
      <c r="B619" s="7">
        <v>-69.680000000000007</v>
      </c>
      <c r="C619" s="7">
        <v>10.24</v>
      </c>
      <c r="D619" s="7">
        <v>-5.37</v>
      </c>
      <c r="E619" s="7">
        <v>-4.6500000000000297</v>
      </c>
      <c r="F619" s="7">
        <v>3.3299999999999801</v>
      </c>
      <c r="G619" s="7">
        <v>18.059999999999999</v>
      </c>
      <c r="H619" s="7">
        <v>-0.77000000000003899</v>
      </c>
      <c r="I619" s="7">
        <v>-0.390000000000015</v>
      </c>
      <c r="J619" s="7">
        <v>-2.37</v>
      </c>
      <c r="K619" s="7">
        <v>-11.34</v>
      </c>
      <c r="L619" s="7">
        <v>-8.94</v>
      </c>
      <c r="M619" s="7">
        <v>-14.09</v>
      </c>
      <c r="N619" s="7">
        <v>21.72</v>
      </c>
      <c r="O619" s="7">
        <v>16.190000000000001</v>
      </c>
      <c r="P619" s="7">
        <v>-4.5799999999999796</v>
      </c>
      <c r="Q619" s="7">
        <v>-11.61</v>
      </c>
      <c r="R619" s="7">
        <v>-52.68</v>
      </c>
      <c r="S619" s="7">
        <v>-58.72</v>
      </c>
      <c r="T619" s="7">
        <v>-19.86</v>
      </c>
      <c r="U619" s="7">
        <v>-65.72</v>
      </c>
      <c r="V619" s="7">
        <v>-6.7999999999999501</v>
      </c>
      <c r="W619" s="7">
        <v>-51.35</v>
      </c>
      <c r="X619" s="7">
        <v>-26.03</v>
      </c>
      <c r="Y619" s="7">
        <v>9.2899999999999601</v>
      </c>
      <c r="Z619" s="9">
        <f>MAX($B$619:$Y$619)</f>
        <v>21.72</v>
      </c>
      <c r="AA619" s="9">
        <f>MIN($B$619:$Y$619)</f>
        <v>-69.680000000000007</v>
      </c>
      <c r="AB619" s="9">
        <f>AVERAGE($B$619:$Y$619)</f>
        <v>-14.005000000000001</v>
      </c>
    </row>
    <row r="620" spans="1:28">
      <c r="A620" s="10">
        <v>45915</v>
      </c>
      <c r="B620" s="7">
        <f>日前电价!B620-实时电价!B620</f>
        <v>5.26999999999998</v>
      </c>
      <c r="C620" s="7">
        <f>日前电价!C620-实时电价!C620</f>
        <v>13.79</v>
      </c>
      <c r="D620" s="7">
        <f>日前电价!D620-实时电价!D620</f>
        <v>14.09</v>
      </c>
      <c r="E620" s="7">
        <f>日前电价!E620-实时电价!E620</f>
        <v>11.6</v>
      </c>
      <c r="F620" s="7">
        <f>日前电价!F620-实时电价!F620</f>
        <v>20.100000000000001</v>
      </c>
      <c r="G620" s="7">
        <f>日前电价!G620-实时电价!G620</f>
        <v>9.4799999999999596</v>
      </c>
      <c r="H620" s="7">
        <f>日前电价!H620-实时电价!H620</f>
        <v>-0.439999999999998</v>
      </c>
      <c r="I620" s="7">
        <f>日前电价!I620-实时电价!I620</f>
        <v>-3.94999999999999</v>
      </c>
      <c r="J620" s="7">
        <f>日前电价!J620-实时电价!J620</f>
        <v>15.3</v>
      </c>
      <c r="K620" s="7">
        <f>日前电价!K620-实时电价!K620</f>
        <v>7.5299999999999701</v>
      </c>
      <c r="L620" s="7">
        <f>日前电价!L620-实时电价!L620</f>
        <v>5.7399999999999496</v>
      </c>
      <c r="M620" s="7">
        <f>日前电价!M620-实时电价!M620</f>
        <v>0.26000000000004803</v>
      </c>
      <c r="N620" s="7">
        <f>日前电价!N620-实时电价!N620</f>
        <v>11.59</v>
      </c>
      <c r="O620" s="7">
        <f>日前电价!O620-实时电价!O620</f>
        <v>58.7</v>
      </c>
      <c r="P620" s="7">
        <f>日前电价!P620-实时电价!P620</f>
        <v>93.78</v>
      </c>
      <c r="Q620" s="7">
        <f>日前电价!Q620-实时电价!Q620</f>
        <v>46.31</v>
      </c>
      <c r="R620" s="7">
        <f>日前电价!R620-实时电价!R620</f>
        <v>107.34</v>
      </c>
      <c r="S620" s="7">
        <f>日前电价!S620-实时电价!S620</f>
        <v>96.74</v>
      </c>
      <c r="T620" s="7">
        <f>日前电价!T620-实时电价!T620</f>
        <v>15.09</v>
      </c>
      <c r="U620" s="7">
        <f>日前电价!U620-实时电价!U620</f>
        <v>25.46</v>
      </c>
      <c r="V620" s="7">
        <f>日前电价!V620-实时电价!V620</f>
        <v>41.17</v>
      </c>
      <c r="W620" s="7">
        <f>日前电价!W620-实时电价!W620</f>
        <v>35.31</v>
      </c>
      <c r="X620" s="7">
        <f>日前电价!X620-实时电价!X620</f>
        <v>30.59</v>
      </c>
      <c r="Y620" s="7">
        <f>日前电价!Y620-实时电价!Y620</f>
        <v>19.95</v>
      </c>
      <c r="Z620" s="9"/>
      <c r="AA620" s="9"/>
      <c r="AB620" s="9"/>
    </row>
    <row r="621" spans="1:28">
      <c r="A621" s="10">
        <v>45916</v>
      </c>
      <c r="B621" s="7">
        <v>12.56</v>
      </c>
      <c r="C621" s="7">
        <v>-17.559999999999999</v>
      </c>
      <c r="D621" s="7">
        <v>39.380000000000003</v>
      </c>
      <c r="E621" s="7">
        <v>34.380000000000102</v>
      </c>
      <c r="F621" s="7">
        <v>28.63</v>
      </c>
      <c r="G621" s="7">
        <v>20.54</v>
      </c>
      <c r="H621" s="7">
        <v>21.3</v>
      </c>
      <c r="I621" s="7">
        <v>15.53</v>
      </c>
      <c r="J621" s="7">
        <v>6.9599999999999804</v>
      </c>
      <c r="K621" s="7">
        <v>48.01</v>
      </c>
      <c r="L621" s="7">
        <v>43.97</v>
      </c>
      <c r="M621" s="7">
        <v>23.74</v>
      </c>
      <c r="N621" s="7">
        <v>39.950000000000003</v>
      </c>
      <c r="O621" s="7">
        <v>5.31</v>
      </c>
      <c r="P621" s="7">
        <v>42.92</v>
      </c>
      <c r="Q621" s="7">
        <v>24.41</v>
      </c>
      <c r="R621" s="7">
        <v>60.59</v>
      </c>
      <c r="S621" s="7">
        <v>104.79</v>
      </c>
      <c r="T621" s="7">
        <v>-28.66</v>
      </c>
      <c r="U621" s="7">
        <v>10.76</v>
      </c>
      <c r="V621" s="7">
        <v>30.74</v>
      </c>
      <c r="W621" s="7">
        <v>-9.0099999999999891</v>
      </c>
      <c r="X621" s="7">
        <v>0.189999999999998</v>
      </c>
      <c r="Y621" s="7">
        <v>16.760000000000002</v>
      </c>
      <c r="Z621" s="9">
        <f>MAX($B$621:$Y$621)</f>
        <v>104.79</v>
      </c>
      <c r="AA621" s="9">
        <f>MIN($B$621:$Y$621)</f>
        <v>-28.66</v>
      </c>
      <c r="AB621" s="9">
        <f>AVERAGE($B$621:$Y$621)</f>
        <v>24.007916666666699</v>
      </c>
    </row>
    <row r="622" spans="1:28">
      <c r="A622" s="10">
        <v>45917</v>
      </c>
      <c r="B622" s="7">
        <v>-47.65</v>
      </c>
      <c r="C622" s="7">
        <v>-23.62</v>
      </c>
      <c r="D622" s="7">
        <v>-11.16</v>
      </c>
      <c r="E622" s="7">
        <v>0.61000000000001398</v>
      </c>
      <c r="F622" s="7">
        <v>14.88</v>
      </c>
      <c r="G622" s="7">
        <v>14.1799999999999</v>
      </c>
      <c r="H622" s="7">
        <v>-1.03000000000003</v>
      </c>
      <c r="I622" s="7">
        <v>0.76999999999998203</v>
      </c>
      <c r="J622" s="7">
        <v>-31.26</v>
      </c>
      <c r="K622" s="7">
        <v>4.12</v>
      </c>
      <c r="L622" s="7">
        <v>9.6700000000000195</v>
      </c>
      <c r="M622" s="7">
        <v>4.8600000000000101</v>
      </c>
      <c r="N622" s="7">
        <v>-5.6700000000000204</v>
      </c>
      <c r="O622" s="7">
        <v>18.96</v>
      </c>
      <c r="P622" s="7">
        <v>-45.84</v>
      </c>
      <c r="Q622" s="7">
        <v>-46.19</v>
      </c>
      <c r="R622" s="7">
        <v>-118.09</v>
      </c>
      <c r="S622" s="7">
        <v>27.34</v>
      </c>
      <c r="T622" s="7">
        <v>52.94</v>
      </c>
      <c r="U622" s="7">
        <v>246.19</v>
      </c>
      <c r="V622" s="7">
        <v>85.37</v>
      </c>
      <c r="W622" s="7">
        <v>62.34</v>
      </c>
      <c r="X622" s="7">
        <v>76.989999999999995</v>
      </c>
      <c r="Y622" s="7">
        <v>52.41</v>
      </c>
      <c r="Z622" s="9">
        <f>MAX($B$622:$Y$622)</f>
        <v>246.19</v>
      </c>
      <c r="AA622" s="9">
        <f>MIN($B$622:$Y$622)</f>
        <v>-118.09</v>
      </c>
      <c r="AB622" s="9">
        <f>AVERAGE($B$622:$Y$622)</f>
        <v>14.213333333333299</v>
      </c>
    </row>
    <row r="623" spans="1:28">
      <c r="A623" s="10">
        <v>45918</v>
      </c>
      <c r="B623" s="7">
        <v>42.97</v>
      </c>
      <c r="C623" s="7">
        <v>32.36</v>
      </c>
      <c r="D623" s="7">
        <v>83.93</v>
      </c>
      <c r="E623" s="7">
        <v>77.83</v>
      </c>
      <c r="F623" s="7">
        <v>38.950000000000003</v>
      </c>
      <c r="G623" s="7">
        <v>11.47</v>
      </c>
      <c r="H623" s="7">
        <v>-13.12</v>
      </c>
      <c r="I623" s="7">
        <v>-4.5100000000000202</v>
      </c>
      <c r="J623" s="7">
        <v>20.88</v>
      </c>
      <c r="K623" s="7">
        <v>81.2</v>
      </c>
      <c r="L623" s="7">
        <v>47.11</v>
      </c>
      <c r="M623" s="7">
        <v>-15.88</v>
      </c>
      <c r="N623" s="7">
        <v>20.69</v>
      </c>
      <c r="O623" s="7">
        <v>130.58000000000001</v>
      </c>
      <c r="P623" s="7">
        <v>54.96</v>
      </c>
      <c r="Q623" s="7">
        <v>90.99</v>
      </c>
      <c r="R623" s="7">
        <v>37.950000000000003</v>
      </c>
      <c r="S623" s="7">
        <v>95.1</v>
      </c>
      <c r="T623" s="7">
        <v>-20.010000000000002</v>
      </c>
      <c r="U623" s="7">
        <v>65.42</v>
      </c>
      <c r="V623" s="7">
        <v>70.31</v>
      </c>
      <c r="W623" s="7">
        <v>53.44</v>
      </c>
      <c r="X623" s="7">
        <v>49.5</v>
      </c>
      <c r="Y623" s="7">
        <v>42.86</v>
      </c>
      <c r="Z623" s="9">
        <f>MAX($B$623:$Y$623)</f>
        <v>130.58000000000001</v>
      </c>
      <c r="AA623" s="9">
        <f>MIN($B$623:$Y$623)</f>
        <v>-20.010000000000002</v>
      </c>
      <c r="AB623" s="9">
        <f>AVERAGE($B$623:$Y$623)</f>
        <v>45.624166666666703</v>
      </c>
    </row>
    <row r="624" spans="1:28">
      <c r="A624" s="10">
        <v>45919</v>
      </c>
      <c r="B624" s="7">
        <v>-7.87</v>
      </c>
      <c r="C624" s="7">
        <v>20.65</v>
      </c>
      <c r="D624" s="7">
        <v>7.9499999999999904</v>
      </c>
      <c r="E624" s="7">
        <v>9.0699999999999896</v>
      </c>
      <c r="F624" s="7">
        <v>22.06</v>
      </c>
      <c r="G624" s="7">
        <v>7.88</v>
      </c>
      <c r="H624" s="7">
        <v>1.31</v>
      </c>
      <c r="I624" s="7">
        <v>-2.75999999999999</v>
      </c>
      <c r="J624" s="7">
        <v>-37.75</v>
      </c>
      <c r="K624" s="7">
        <v>-1.62</v>
      </c>
      <c r="L624" s="7">
        <v>18.809999999999999</v>
      </c>
      <c r="M624" s="7">
        <v>19.350000000000001</v>
      </c>
      <c r="N624" s="7">
        <v>15.27</v>
      </c>
      <c r="O624" s="7">
        <v>16.71</v>
      </c>
      <c r="P624" s="7">
        <v>73.09</v>
      </c>
      <c r="Q624" s="7">
        <v>84.78</v>
      </c>
      <c r="R624" s="7">
        <v>52.81</v>
      </c>
      <c r="S624" s="7">
        <v>-27.03</v>
      </c>
      <c r="T624" s="7">
        <v>-2.26000000000005</v>
      </c>
      <c r="U624" s="7">
        <v>-121.81</v>
      </c>
      <c r="V624" s="7">
        <v>-31.94</v>
      </c>
      <c r="W624" s="7">
        <v>-24.81</v>
      </c>
      <c r="X624" s="7">
        <v>4.0599999999999996</v>
      </c>
      <c r="Y624" s="7">
        <v>-4.5799999999999796</v>
      </c>
      <c r="Z624" s="9">
        <f>MAX($B$624:$Y$624)</f>
        <v>84.78</v>
      </c>
      <c r="AA624" s="9">
        <f>MIN($B$624:$Y$624)</f>
        <v>-121.81</v>
      </c>
      <c r="AB624" s="9">
        <f>AVERAGE($B$624:$Y$624)</f>
        <v>3.8070833333333298</v>
      </c>
    </row>
    <row r="625" spans="1:28">
      <c r="A625" s="10">
        <v>45920</v>
      </c>
      <c r="B625" s="7">
        <v>-49.18</v>
      </c>
      <c r="C625" s="7">
        <v>-24.98</v>
      </c>
      <c r="D625" s="7">
        <v>-5.1599999999999699</v>
      </c>
      <c r="E625" s="7">
        <v>3.5800000000000098</v>
      </c>
      <c r="F625" s="7">
        <v>12.56</v>
      </c>
      <c r="G625" s="7">
        <v>16.309999999999999</v>
      </c>
      <c r="H625" s="7">
        <v>13.2</v>
      </c>
      <c r="I625" s="7">
        <v>-9.2400000000000109</v>
      </c>
      <c r="J625" s="7">
        <v>5.78</v>
      </c>
      <c r="K625" s="7">
        <v>23.26</v>
      </c>
      <c r="L625" s="7">
        <v>0.77000000000003899</v>
      </c>
      <c r="M625" s="7">
        <v>41.41</v>
      </c>
      <c r="N625" s="7">
        <v>11.2</v>
      </c>
      <c r="O625" s="7">
        <v>17.71</v>
      </c>
      <c r="P625" s="7">
        <v>26.34</v>
      </c>
      <c r="Q625" s="7">
        <v>66.13</v>
      </c>
      <c r="R625" s="7">
        <v>22.81</v>
      </c>
      <c r="S625" s="7">
        <v>-3.19</v>
      </c>
      <c r="T625" s="7">
        <v>-9.6500000000000306</v>
      </c>
      <c r="U625" s="7">
        <v>-18.13</v>
      </c>
      <c r="V625" s="7">
        <v>30.65</v>
      </c>
      <c r="W625" s="7">
        <v>0.55000000000001104</v>
      </c>
      <c r="X625" s="7">
        <v>-7.23000000000002</v>
      </c>
      <c r="Y625" s="7">
        <v>-22.31</v>
      </c>
      <c r="Z625" s="9">
        <f>MAX($B$625:$Y$625)</f>
        <v>66.13</v>
      </c>
      <c r="AA625" s="9">
        <f>MIN($B$625:$Y$625)</f>
        <v>-49.18</v>
      </c>
      <c r="AB625" s="9">
        <f>AVERAGE($B$625:$Y$625)</f>
        <v>5.9662499999999996</v>
      </c>
    </row>
    <row r="626" spans="1:28">
      <c r="A626" s="10">
        <v>45921</v>
      </c>
      <c r="B626" s="7">
        <v>-21.96</v>
      </c>
      <c r="C626" s="7">
        <v>-0.33000000000001301</v>
      </c>
      <c r="D626" s="7">
        <v>1.7999999999999801</v>
      </c>
      <c r="E626" s="7">
        <v>45.37</v>
      </c>
      <c r="F626" s="7">
        <v>40.869999999999997</v>
      </c>
      <c r="G626" s="7">
        <v>19.14</v>
      </c>
      <c r="H626" s="7">
        <v>6.6500000000000101</v>
      </c>
      <c r="I626" s="7">
        <v>-5.5399999999999903</v>
      </c>
      <c r="J626" s="7">
        <v>48.14</v>
      </c>
      <c r="K626" s="7">
        <v>60.61</v>
      </c>
      <c r="L626" s="7">
        <v>85.8</v>
      </c>
      <c r="M626" s="7">
        <v>28.46</v>
      </c>
      <c r="N626" s="7">
        <v>39.840000000000003</v>
      </c>
      <c r="O626" s="7">
        <v>30.96</v>
      </c>
      <c r="P626" s="7">
        <v>86.1</v>
      </c>
      <c r="Q626" s="7">
        <v>80.11</v>
      </c>
      <c r="R626" s="7">
        <v>75.44</v>
      </c>
      <c r="S626" s="7">
        <v>34.74</v>
      </c>
      <c r="T626" s="7">
        <v>15.87</v>
      </c>
      <c r="U626" s="7">
        <v>-24</v>
      </c>
      <c r="V626" s="7">
        <v>3.5</v>
      </c>
      <c r="W626" s="7">
        <v>17.829999999999998</v>
      </c>
      <c r="X626" s="7">
        <v>25.67</v>
      </c>
      <c r="Y626" s="7">
        <v>21</v>
      </c>
      <c r="Z626" s="9">
        <f>MAX($B$626:$Y$626)</f>
        <v>86.1</v>
      </c>
      <c r="AA626" s="9">
        <f>MIN($B$626:$Y$626)</f>
        <v>-24</v>
      </c>
      <c r="AB626" s="9">
        <f>AVERAGE($B$626:$Y$626)</f>
        <v>29.83625</v>
      </c>
    </row>
    <row r="627" spans="1:28">
      <c r="A627" s="10">
        <v>45922</v>
      </c>
      <c r="B627" s="7">
        <v>-3.1499999999999799</v>
      </c>
      <c r="C627" s="7">
        <v>0.65000000000000602</v>
      </c>
      <c r="D627" s="7">
        <v>8.5400000000000205</v>
      </c>
      <c r="E627" s="7">
        <v>10.53</v>
      </c>
      <c r="F627" s="7">
        <v>14.03</v>
      </c>
      <c r="G627" s="7">
        <v>26.32</v>
      </c>
      <c r="H627" s="7">
        <v>9.7700000000000102</v>
      </c>
      <c r="I627" s="7">
        <v>-3.01999999999998</v>
      </c>
      <c r="J627" s="7">
        <v>18.670000000000002</v>
      </c>
      <c r="K627" s="7">
        <v>25.51</v>
      </c>
      <c r="L627" s="7">
        <v>13.36</v>
      </c>
      <c r="M627" s="7">
        <v>12.69</v>
      </c>
      <c r="N627" s="7">
        <v>-0.58000000000001295</v>
      </c>
      <c r="O627" s="7">
        <v>16.350000000000001</v>
      </c>
      <c r="P627" s="7">
        <v>36.549999999999997</v>
      </c>
      <c r="Q627" s="7">
        <v>52.75</v>
      </c>
      <c r="R627" s="7">
        <v>22.53</v>
      </c>
      <c r="S627" s="7">
        <v>-15.25</v>
      </c>
      <c r="T627" s="7">
        <v>-60.6</v>
      </c>
      <c r="U627" s="7">
        <v>-137.97</v>
      </c>
      <c r="V627" s="7">
        <v>-84.04</v>
      </c>
      <c r="W627" s="7">
        <v>-45.130000000000102</v>
      </c>
      <c r="X627" s="7">
        <v>-10.42</v>
      </c>
      <c r="Y627" s="7">
        <v>-15.91</v>
      </c>
      <c r="Z627" s="9">
        <f>MAX($B$627:$Y$627)</f>
        <v>52.75</v>
      </c>
      <c r="AA627" s="9">
        <f>MIN($B$627:$Y$627)</f>
        <v>-137.97</v>
      </c>
      <c r="AB627" s="9">
        <f>AVERAGE($B$627:$Y$627)</f>
        <v>-4.4924999999999997</v>
      </c>
    </row>
    <row r="628" spans="1:28">
      <c r="A628" s="10">
        <v>45923</v>
      </c>
      <c r="B628" s="7">
        <v>-19.559999999999999</v>
      </c>
      <c r="C628" s="7">
        <v>-6.7800000000000296</v>
      </c>
      <c r="D628" s="7">
        <v>6.5399999999999903</v>
      </c>
      <c r="E628" s="7">
        <v>26.27</v>
      </c>
      <c r="F628" s="7">
        <v>84.16</v>
      </c>
      <c r="G628" s="7">
        <v>122.78</v>
      </c>
      <c r="H628" s="7">
        <v>110.22</v>
      </c>
      <c r="I628" s="7">
        <v>120.25</v>
      </c>
      <c r="J628" s="7">
        <v>92.01</v>
      </c>
      <c r="K628" s="7">
        <v>55.69</v>
      </c>
      <c r="L628" s="7">
        <v>32.03</v>
      </c>
      <c r="M628" s="7">
        <v>41.9</v>
      </c>
      <c r="N628" s="7">
        <v>44.9</v>
      </c>
      <c r="O628" s="7">
        <v>71.97</v>
      </c>
      <c r="P628" s="7">
        <v>81.180000000000007</v>
      </c>
      <c r="Q628" s="7">
        <v>104.26</v>
      </c>
      <c r="R628" s="7">
        <v>146.19999999999999</v>
      </c>
      <c r="S628" s="7">
        <v>177.25</v>
      </c>
      <c r="T628" s="7">
        <v>113.23</v>
      </c>
      <c r="U628" s="7">
        <v>244.83</v>
      </c>
      <c r="V628" s="7">
        <v>356.14</v>
      </c>
      <c r="W628" s="7">
        <v>313.49</v>
      </c>
      <c r="X628" s="7">
        <v>210.66</v>
      </c>
      <c r="Y628" s="7">
        <v>196.03</v>
      </c>
      <c r="Z628" s="9">
        <f>MAX($B$628:$Y$628)</f>
        <v>356.14</v>
      </c>
      <c r="AA628" s="9">
        <f>MIN($B$628:$Y$628)</f>
        <v>-19.559999999999999</v>
      </c>
      <c r="AB628" s="9">
        <f>AVERAGE($B$628:$Y$628)</f>
        <v>113.56874999999999</v>
      </c>
    </row>
    <row r="629" spans="1:28">
      <c r="A629" s="10">
        <v>45924</v>
      </c>
      <c r="B629" s="7">
        <v>-181.9</v>
      </c>
      <c r="C629" s="7">
        <v>-149.1</v>
      </c>
      <c r="D629" s="7">
        <v>-92.83</v>
      </c>
      <c r="E629" s="7">
        <v>-8.3699999999999992</v>
      </c>
      <c r="F629" s="7">
        <v>-13.79</v>
      </c>
      <c r="G629" s="7">
        <v>-29.55</v>
      </c>
      <c r="H629" s="7">
        <v>-12.28</v>
      </c>
      <c r="I629" s="7">
        <v>-34.78</v>
      </c>
      <c r="J629" s="7">
        <v>-97.02</v>
      </c>
      <c r="K629" s="7">
        <v>-71.650000000000006</v>
      </c>
      <c r="L629" s="7">
        <v>-99.65</v>
      </c>
      <c r="M629" s="7">
        <v>-121.28</v>
      </c>
      <c r="N629" s="7">
        <v>-82.25</v>
      </c>
      <c r="O629" s="7">
        <v>-67.23</v>
      </c>
      <c r="P629" s="7">
        <v>-70.02</v>
      </c>
      <c r="Q629" s="7">
        <v>-88.1</v>
      </c>
      <c r="R629" s="7">
        <v>-176.09</v>
      </c>
      <c r="S629" s="7">
        <v>-296.93</v>
      </c>
      <c r="T629" s="7">
        <v>-385.77</v>
      </c>
      <c r="U629" s="7">
        <v>-681.73</v>
      </c>
      <c r="V629" s="7">
        <v>-441.49</v>
      </c>
      <c r="W629" s="7">
        <v>-392.82</v>
      </c>
      <c r="X629" s="7">
        <v>-342.7</v>
      </c>
      <c r="Y629" s="7">
        <v>-231.88</v>
      </c>
      <c r="Z629" s="9">
        <f>MAX($B$629:$Y$629)</f>
        <v>-8.3699999999999992</v>
      </c>
      <c r="AA629" s="9">
        <f>MIN($B$629:$Y$629)</f>
        <v>-681.73</v>
      </c>
      <c r="AB629" s="9">
        <f>AVERAGE($B$629:$Y$629)</f>
        <v>-173.71708333333299</v>
      </c>
    </row>
    <row r="630" spans="1:28">
      <c r="A630" s="10">
        <v>45925</v>
      </c>
      <c r="B630" s="7">
        <v>123.29</v>
      </c>
      <c r="C630" s="7">
        <v>-19.23</v>
      </c>
      <c r="D630" s="7">
        <v>-94.54</v>
      </c>
      <c r="E630" s="7">
        <v>-113.07</v>
      </c>
      <c r="F630" s="7">
        <v>-138.09</v>
      </c>
      <c r="G630" s="7">
        <v>-103.87</v>
      </c>
      <c r="H630" s="7">
        <v>-39.729999999999997</v>
      </c>
      <c r="I630" s="7">
        <v>-93.7</v>
      </c>
      <c r="J630" s="7">
        <v>-112.92</v>
      </c>
      <c r="K630" s="7">
        <v>-372.37</v>
      </c>
      <c r="L630" s="7">
        <v>-99.44</v>
      </c>
      <c r="M630" s="7">
        <v>-235.92</v>
      </c>
      <c r="N630" s="7">
        <v>-143.26</v>
      </c>
      <c r="O630" s="7">
        <v>-124.06</v>
      </c>
      <c r="P630" s="7">
        <v>-32.840000000000003</v>
      </c>
      <c r="Q630" s="7">
        <v>-38.869999999999997</v>
      </c>
      <c r="R630" s="7">
        <v>-15.56</v>
      </c>
      <c r="S630" s="7">
        <v>-76.66</v>
      </c>
      <c r="T630" s="7">
        <v>-243.85</v>
      </c>
      <c r="U630" s="7">
        <v>-284.74</v>
      </c>
      <c r="V630" s="7">
        <v>-174.49</v>
      </c>
      <c r="W630" s="7">
        <v>-77.709999999999994</v>
      </c>
      <c r="X630" s="7">
        <v>26.35</v>
      </c>
      <c r="Y630" s="7">
        <v>-35.06</v>
      </c>
      <c r="Z630" s="9">
        <f>MAX($B$630:$Y$630)</f>
        <v>123.29</v>
      </c>
      <c r="AA630" s="9">
        <f>MIN($B$630:$Y$630)</f>
        <v>-372.37</v>
      </c>
      <c r="AB630" s="9">
        <f>AVERAGE($B$630:$Y$630)</f>
        <v>-105.01416666666699</v>
      </c>
    </row>
    <row r="631" spans="1:28">
      <c r="A631" s="10">
        <v>45926</v>
      </c>
      <c r="B631" s="7">
        <v>-64.38</v>
      </c>
      <c r="C631" s="7">
        <v>-0.96999999999999897</v>
      </c>
      <c r="D631" s="7">
        <v>57.53</v>
      </c>
      <c r="E631" s="7">
        <v>52.97</v>
      </c>
      <c r="F631" s="7">
        <v>32.67</v>
      </c>
      <c r="G631" s="7">
        <v>40.869999999999997</v>
      </c>
      <c r="H631" s="7">
        <v>-1.71000000000001</v>
      </c>
      <c r="I631" s="7">
        <v>-21.92</v>
      </c>
      <c r="J631" s="7">
        <v>5.6099999999999897</v>
      </c>
      <c r="K631" s="7">
        <v>34.44</v>
      </c>
      <c r="L631" s="7">
        <v>13.95</v>
      </c>
      <c r="M631" s="7">
        <v>-80.069999999999993</v>
      </c>
      <c r="N631" s="7">
        <v>-45.17</v>
      </c>
      <c r="O631" s="7">
        <v>-16.41</v>
      </c>
      <c r="P631" s="7">
        <v>-12.25</v>
      </c>
      <c r="Q631" s="7">
        <v>-31.7</v>
      </c>
      <c r="R631" s="7">
        <v>8.1100000000000101</v>
      </c>
      <c r="S631" s="7">
        <v>-68.569999999999993</v>
      </c>
      <c r="T631" s="7">
        <v>-115.2</v>
      </c>
      <c r="U631" s="7">
        <v>-46.02</v>
      </c>
      <c r="V631" s="7">
        <v>-42.63</v>
      </c>
      <c r="W631" s="7">
        <v>-30.24</v>
      </c>
      <c r="X631" s="7">
        <v>-11.59</v>
      </c>
      <c r="Y631" s="7">
        <v>-19.86</v>
      </c>
      <c r="Z631" s="9">
        <f>MAX($B$631:$Y$631)</f>
        <v>57.53</v>
      </c>
      <c r="AA631" s="9">
        <f>MIN($B$631:$Y$631)</f>
        <v>-115.2</v>
      </c>
      <c r="AB631" s="9">
        <f>AVERAGE($B$631:$Y$631)</f>
        <v>-15.105833333333299</v>
      </c>
    </row>
    <row r="632" spans="1:28">
      <c r="A632" s="10">
        <v>45927</v>
      </c>
      <c r="B632" s="7">
        <v>-40.200000000000003</v>
      </c>
      <c r="C632" s="7">
        <v>-14.5</v>
      </c>
      <c r="D632" s="7">
        <v>-3.71999999999997</v>
      </c>
      <c r="E632" s="7">
        <v>3.87</v>
      </c>
      <c r="F632" s="7">
        <v>-2.2000000000000202</v>
      </c>
      <c r="G632" s="7">
        <v>8.5399999999999903</v>
      </c>
      <c r="H632" s="7">
        <v>19.62</v>
      </c>
      <c r="I632" s="7">
        <v>5.66</v>
      </c>
      <c r="J632" s="7">
        <v>-142.28</v>
      </c>
      <c r="K632" s="7">
        <v>-156.22</v>
      </c>
      <c r="L632" s="7">
        <v>-110.49</v>
      </c>
      <c r="M632" s="7">
        <v>-86.58</v>
      </c>
      <c r="N632" s="7">
        <v>-83.33</v>
      </c>
      <c r="O632" s="7">
        <v>-104.83</v>
      </c>
      <c r="P632" s="7">
        <v>-161.13999999999999</v>
      </c>
      <c r="Q632" s="7">
        <v>-67.959999999999994</v>
      </c>
      <c r="R632" s="7">
        <v>-40.79</v>
      </c>
      <c r="S632" s="7">
        <v>-9.8000000000000096</v>
      </c>
      <c r="T632" s="7">
        <v>-61.01</v>
      </c>
      <c r="U632" s="7">
        <v>-133.38999999999999</v>
      </c>
      <c r="V632" s="7">
        <v>-89.73</v>
      </c>
      <c r="W632" s="7">
        <v>-95.95</v>
      </c>
      <c r="X632" s="7">
        <v>16.239999999999998</v>
      </c>
      <c r="Y632" s="7">
        <v>24.17</v>
      </c>
      <c r="Z632" s="9">
        <f>MAX($B$632:$Y$632)</f>
        <v>24.17</v>
      </c>
      <c r="AA632" s="9">
        <f>MIN($B$632:$Y$632)</f>
        <v>-161.13999999999999</v>
      </c>
      <c r="AB632" s="9">
        <f>AVERAGE($B$632:$Y$632)</f>
        <v>-55.250833333333297</v>
      </c>
    </row>
    <row r="633" spans="1:28">
      <c r="A633" s="10">
        <v>45928</v>
      </c>
      <c r="B633" s="7">
        <v>12.64</v>
      </c>
      <c r="C633" s="7">
        <v>110.6</v>
      </c>
      <c r="D633" s="7">
        <v>19.489999999999998</v>
      </c>
      <c r="E633" s="7">
        <v>-6.9599999999999804</v>
      </c>
      <c r="F633" s="7">
        <v>4.6800000000000104</v>
      </c>
      <c r="G633" s="7">
        <v>-5.4500000000000197</v>
      </c>
      <c r="H633" s="7">
        <v>-15.95</v>
      </c>
      <c r="I633" s="7">
        <v>-3.2700000000000098</v>
      </c>
      <c r="J633" s="7">
        <v>-20.58</v>
      </c>
      <c r="K633" s="7">
        <v>-2.1000000000000201</v>
      </c>
      <c r="L633" s="7">
        <v>11.51</v>
      </c>
      <c r="M633" s="7">
        <v>79.81</v>
      </c>
      <c r="N633" s="7">
        <v>-12.32</v>
      </c>
      <c r="O633" s="7">
        <v>17.55</v>
      </c>
      <c r="P633" s="7">
        <v>23.44</v>
      </c>
      <c r="Q633" s="7">
        <v>57.5700000000001</v>
      </c>
      <c r="R633" s="7">
        <v>21.45</v>
      </c>
      <c r="S633" s="7">
        <v>23.28</v>
      </c>
      <c r="T633" s="7">
        <v>-0.27000000000003899</v>
      </c>
      <c r="U633" s="7">
        <v>8.0200000000000404</v>
      </c>
      <c r="V633" s="7">
        <v>22.7</v>
      </c>
      <c r="W633" s="7">
        <v>34.82</v>
      </c>
      <c r="X633" s="7">
        <v>9.4700000000000308</v>
      </c>
      <c r="Y633" s="7">
        <v>10.25</v>
      </c>
      <c r="Z633" s="9">
        <f>MAX($B$633:$Y$633)</f>
        <v>110.6</v>
      </c>
      <c r="AA633" s="9">
        <f>MIN($B$633:$Y$633)</f>
        <v>-20.58</v>
      </c>
      <c r="AB633" s="9">
        <f>AVERAGE($B$633:$Y$633)</f>
        <v>16.682500000000001</v>
      </c>
    </row>
    <row r="634" spans="1:28">
      <c r="A634" s="10">
        <v>45929</v>
      </c>
      <c r="B634" s="7">
        <v>103.54</v>
      </c>
      <c r="C634" s="7">
        <v>117.62</v>
      </c>
      <c r="D634" s="7">
        <v>84.3</v>
      </c>
      <c r="E634" s="7">
        <v>40.270000000000003</v>
      </c>
      <c r="F634" s="7">
        <v>34.06</v>
      </c>
      <c r="G634" s="7">
        <v>10.210000000000001</v>
      </c>
      <c r="H634" s="7">
        <v>21.91</v>
      </c>
      <c r="I634" s="7">
        <v>-3.57000000000005</v>
      </c>
      <c r="J634" s="7">
        <v>-138.91</v>
      </c>
      <c r="K634" s="7">
        <v>-101.44</v>
      </c>
      <c r="L634" s="7">
        <v>21.37</v>
      </c>
      <c r="M634" s="7">
        <v>51.54</v>
      </c>
      <c r="N634" s="7">
        <v>85.64</v>
      </c>
      <c r="O634" s="7">
        <v>116.3</v>
      </c>
      <c r="P634" s="7">
        <v>90.95</v>
      </c>
      <c r="Q634" s="7">
        <v>125.38</v>
      </c>
      <c r="R634" s="7">
        <v>150.54</v>
      </c>
      <c r="S634" s="7">
        <v>140.96</v>
      </c>
      <c r="T634" s="7">
        <v>67.7</v>
      </c>
      <c r="U634" s="7">
        <v>-18.77</v>
      </c>
      <c r="V634" s="7">
        <v>8.6999999999999904</v>
      </c>
      <c r="W634" s="7">
        <v>26.2</v>
      </c>
      <c r="X634" s="7">
        <v>62.22</v>
      </c>
      <c r="Y634" s="7">
        <v>1.8599999999999599</v>
      </c>
      <c r="Z634" s="9">
        <f>MAX($B$634:$Y$634)</f>
        <v>150.54</v>
      </c>
      <c r="AA634" s="9">
        <f>MIN($B$634:$Y$634)</f>
        <v>-138.91</v>
      </c>
      <c r="AB634" s="9">
        <f>AVERAGE($B$634:$Y$634)</f>
        <v>45.774166666666702</v>
      </c>
    </row>
    <row r="635" spans="1:28">
      <c r="A635" s="10">
        <v>45930</v>
      </c>
      <c r="B635" s="7">
        <v>-122.5</v>
      </c>
      <c r="C635" s="7">
        <v>48.48</v>
      </c>
      <c r="D635" s="7">
        <v>-23.18</v>
      </c>
      <c r="E635" s="7">
        <v>-27.61</v>
      </c>
      <c r="F635" s="7">
        <v>-18.3</v>
      </c>
      <c r="G635" s="7">
        <v>-14.18</v>
      </c>
      <c r="H635" s="7">
        <v>-30.75</v>
      </c>
      <c r="I635" s="7">
        <v>8.6800000000000104</v>
      </c>
      <c r="J635" s="7">
        <v>23.14</v>
      </c>
      <c r="K635" s="7">
        <v>-15.47</v>
      </c>
      <c r="L635" s="7">
        <v>-31.59</v>
      </c>
      <c r="M635" s="7">
        <v>-45.26</v>
      </c>
      <c r="N635" s="7">
        <v>-52.7</v>
      </c>
      <c r="O635" s="7">
        <v>-251.97</v>
      </c>
      <c r="P635" s="7">
        <v>-217.27</v>
      </c>
      <c r="Q635" s="7">
        <v>-104.63</v>
      </c>
      <c r="R635" s="7">
        <v>-104.32</v>
      </c>
      <c r="S635" s="7">
        <v>0.81000000000000205</v>
      </c>
      <c r="T635" s="7">
        <v>-184.38</v>
      </c>
      <c r="U635" s="7">
        <v>-262.92</v>
      </c>
      <c r="V635" s="7">
        <v>-184.49</v>
      </c>
      <c r="W635" s="7">
        <v>-119.41</v>
      </c>
      <c r="X635" s="7">
        <v>-84.15</v>
      </c>
      <c r="Y635" s="7">
        <v>-26.64</v>
      </c>
      <c r="Z635" s="9">
        <f>MAX($B$635:$Y$635)</f>
        <v>48.48</v>
      </c>
      <c r="AA635" s="9">
        <f>MIN($B$635:$Y$635)</f>
        <v>-262.92</v>
      </c>
      <c r="AB635" s="9">
        <f>AVERAGE($B$635:$Y$635)</f>
        <v>-76.6920833333334</v>
      </c>
    </row>
    <row r="636" spans="1:28">
      <c r="A636" s="10">
        <v>45931</v>
      </c>
      <c r="B636" s="7">
        <v>-260.97000000000003</v>
      </c>
      <c r="C636" s="7">
        <v>-239.61</v>
      </c>
      <c r="D636" s="7">
        <v>-139.62</v>
      </c>
      <c r="E636" s="7">
        <v>-33.700000000000003</v>
      </c>
      <c r="F636" s="7">
        <v>-20.34</v>
      </c>
      <c r="G636" s="7">
        <v>-10.029999999999999</v>
      </c>
      <c r="H636" s="7">
        <v>4.6399999999999899</v>
      </c>
      <c r="I636" s="7">
        <v>-19.86</v>
      </c>
      <c r="J636" s="7">
        <v>-11.97</v>
      </c>
      <c r="K636" s="7">
        <v>41.26</v>
      </c>
      <c r="L636" s="7">
        <v>-57.92</v>
      </c>
      <c r="M636" s="7">
        <v>-15.39</v>
      </c>
      <c r="N636" s="7">
        <v>-70.12</v>
      </c>
      <c r="O636" s="7">
        <v>-104.36</v>
      </c>
      <c r="P636" s="7">
        <v>-39.74</v>
      </c>
      <c r="Q636" s="7">
        <v>-30.44</v>
      </c>
      <c r="R636" s="7">
        <v>-84.39</v>
      </c>
      <c r="S636" s="7">
        <v>-166.55</v>
      </c>
      <c r="T636" s="7">
        <v>-190.78</v>
      </c>
      <c r="U636" s="7">
        <v>-229.9</v>
      </c>
      <c r="V636" s="7">
        <v>-104.23</v>
      </c>
      <c r="W636" s="7">
        <v>-357.75</v>
      </c>
      <c r="X636" s="7">
        <v>-253.09</v>
      </c>
      <c r="Y636" s="7">
        <v>-153.53</v>
      </c>
      <c r="Z636" s="9">
        <f>MAX($B$636:$Y$636)</f>
        <v>41.26</v>
      </c>
      <c r="AA636" s="9">
        <f>MIN($B$636:$Y$636)</f>
        <v>-357.75</v>
      </c>
      <c r="AB636" s="9">
        <f>AVERAGE($B$636:$Y$636)</f>
        <v>-106.182916666667</v>
      </c>
    </row>
    <row r="637" spans="1:28">
      <c r="A637" s="10">
        <v>45932</v>
      </c>
      <c r="B637" s="7">
        <v>-474.01</v>
      </c>
      <c r="C637" s="7">
        <v>-54.5</v>
      </c>
      <c r="D637" s="7">
        <v>-40.81</v>
      </c>
      <c r="E637" s="7">
        <v>-22.56</v>
      </c>
      <c r="F637" s="7">
        <v>-7.3999999999999799</v>
      </c>
      <c r="G637" s="7">
        <v>-26.94</v>
      </c>
      <c r="H637" s="7">
        <v>-45.68</v>
      </c>
      <c r="I637" s="7">
        <v>-17.86</v>
      </c>
      <c r="J637" s="7">
        <v>-6.98000000000002</v>
      </c>
      <c r="K637" s="7">
        <v>-22.35</v>
      </c>
      <c r="L637" s="7">
        <v>-14.11</v>
      </c>
      <c r="M637" s="7">
        <v>19.57</v>
      </c>
      <c r="N637" s="7">
        <v>1.25999999999999</v>
      </c>
      <c r="O637" s="7">
        <v>57.12</v>
      </c>
      <c r="P637" s="7">
        <v>-20.37</v>
      </c>
      <c r="Q637" s="7">
        <v>-24.4</v>
      </c>
      <c r="R637" s="7">
        <v>-10.31</v>
      </c>
      <c r="S637" s="7">
        <v>-149.69</v>
      </c>
      <c r="T637" s="7">
        <v>-182.46</v>
      </c>
      <c r="U637" s="7">
        <v>-94.08</v>
      </c>
      <c r="V637" s="7">
        <v>-72.319999999999993</v>
      </c>
      <c r="W637" s="7">
        <v>-162.72</v>
      </c>
      <c r="X637" s="7">
        <v>-110.66</v>
      </c>
      <c r="Y637" s="7">
        <v>-150.03</v>
      </c>
      <c r="Z637" s="9">
        <f>MAX($B$637:$Y$637)</f>
        <v>57.12</v>
      </c>
      <c r="AA637" s="9">
        <f>MIN($B$637:$Y$637)</f>
        <v>-474.01</v>
      </c>
      <c r="AB637" s="9">
        <f>AVERAGE($B$637:$Y$637)</f>
        <v>-68.012083333333294</v>
      </c>
    </row>
    <row r="638" spans="1:28">
      <c r="A638" s="10">
        <v>45933</v>
      </c>
      <c r="B638" s="7">
        <v>-162.93</v>
      </c>
      <c r="C638" s="7">
        <v>2.29000000000002</v>
      </c>
      <c r="D638" s="7">
        <v>-3.1599999999999699</v>
      </c>
      <c r="E638" s="7">
        <v>7.5400000000000196</v>
      </c>
      <c r="F638" s="7">
        <v>6.31</v>
      </c>
      <c r="G638" s="7">
        <v>-2.6700000000000199</v>
      </c>
      <c r="H638" s="7">
        <v>-0.25999999999999102</v>
      </c>
      <c r="I638" s="7">
        <v>7.75</v>
      </c>
      <c r="J638" s="7">
        <v>82.56</v>
      </c>
      <c r="K638" s="7">
        <v>68.92</v>
      </c>
      <c r="L638" s="7">
        <v>56.42</v>
      </c>
      <c r="M638" s="7">
        <v>77.53</v>
      </c>
      <c r="N638" s="7">
        <v>66.25</v>
      </c>
      <c r="O638" s="7">
        <v>25.39</v>
      </c>
      <c r="P638" s="7">
        <v>6.84</v>
      </c>
      <c r="Q638" s="7">
        <v>-25.26</v>
      </c>
      <c r="R638" s="7">
        <v>28.43</v>
      </c>
      <c r="S638" s="7">
        <v>16.66</v>
      </c>
      <c r="T638" s="7">
        <v>-20.45</v>
      </c>
      <c r="U638" s="7">
        <v>3.51000000000005</v>
      </c>
      <c r="V638" s="7">
        <v>7.48000000000002</v>
      </c>
      <c r="W638" s="7">
        <v>1.6399999999999899</v>
      </c>
      <c r="X638" s="7">
        <v>-43.73</v>
      </c>
      <c r="Y638" s="7">
        <v>-46.44</v>
      </c>
      <c r="Z638" s="9">
        <f>MAX($B$638:$Y$638)</f>
        <v>82.56</v>
      </c>
      <c r="AA638" s="9">
        <f>MIN($B$638:$Y$638)</f>
        <v>-162.93</v>
      </c>
      <c r="AB638" s="9">
        <f>AVERAGE($B$638:$Y$638)</f>
        <v>6.6925000000000097</v>
      </c>
    </row>
    <row r="639" spans="1:28">
      <c r="A639" s="10">
        <v>45934</v>
      </c>
      <c r="B639" s="7">
        <v>-419.84</v>
      </c>
      <c r="C639" s="7">
        <v>-242.97</v>
      </c>
      <c r="D639" s="7">
        <v>-45.41</v>
      </c>
      <c r="E639" s="7">
        <v>-10.78</v>
      </c>
      <c r="F639" s="7">
        <v>-5.0399999999999601</v>
      </c>
      <c r="G639" s="7">
        <v>-3.56</v>
      </c>
      <c r="H639" s="7">
        <v>-13.9</v>
      </c>
      <c r="I639" s="7">
        <v>-4.7800000000000296</v>
      </c>
      <c r="J639" s="7">
        <v>-22.9</v>
      </c>
      <c r="K639" s="7">
        <v>8.4600000000000097</v>
      </c>
      <c r="L639" s="7">
        <v>11.22</v>
      </c>
      <c r="M639" s="7">
        <v>25.1</v>
      </c>
      <c r="N639" s="7">
        <v>-32.43</v>
      </c>
      <c r="O639" s="7">
        <v>-62.81</v>
      </c>
      <c r="P639" s="7">
        <v>-47.73</v>
      </c>
      <c r="Q639" s="7">
        <v>-79.61</v>
      </c>
      <c r="R639" s="7">
        <v>-184.85</v>
      </c>
      <c r="S639" s="7">
        <v>-343.04</v>
      </c>
      <c r="T639" s="7">
        <v>-148.9</v>
      </c>
      <c r="U639" s="7">
        <v>-41.79</v>
      </c>
      <c r="V639" s="7">
        <v>-3.3400000000000301</v>
      </c>
      <c r="W639" s="7">
        <v>0.32999999999998397</v>
      </c>
      <c r="X639" s="7">
        <v>37.479999999999997</v>
      </c>
      <c r="Y639" s="7">
        <v>27.4</v>
      </c>
      <c r="Z639" s="9">
        <f>MAX($B$639:$Y$639)</f>
        <v>37.479999999999997</v>
      </c>
      <c r="AA639" s="9">
        <f>MIN($B$639:$Y$639)</f>
        <v>-419.84</v>
      </c>
      <c r="AB639" s="9">
        <f>AVERAGE($B$639:$Y$639)</f>
        <v>-66.820416666666702</v>
      </c>
    </row>
    <row r="640" spans="1:28">
      <c r="A640" s="10">
        <v>45935</v>
      </c>
      <c r="B640" s="7">
        <v>-24.48</v>
      </c>
      <c r="C640" s="7">
        <v>8.1599999999999699</v>
      </c>
      <c r="D640" s="7">
        <v>-6.75</v>
      </c>
      <c r="E640" s="7">
        <v>-3.9600000000000399</v>
      </c>
      <c r="F640" s="7">
        <v>-12.14</v>
      </c>
      <c r="G640" s="7">
        <v>-7.38</v>
      </c>
      <c r="H640" s="7">
        <v>-10.62</v>
      </c>
      <c r="I640" s="7">
        <v>-2.25</v>
      </c>
      <c r="J640" s="7">
        <v>89.68</v>
      </c>
      <c r="K640" s="7">
        <v>97.04</v>
      </c>
      <c r="L640" s="7">
        <v>74.16</v>
      </c>
      <c r="M640" s="7">
        <v>67.930000000000007</v>
      </c>
      <c r="N640" s="7">
        <v>57.26</v>
      </c>
      <c r="O640" s="7">
        <v>59.34</v>
      </c>
      <c r="P640" s="7">
        <v>119.49</v>
      </c>
      <c r="Q640" s="7">
        <v>142.79</v>
      </c>
      <c r="R640" s="7">
        <v>130.56</v>
      </c>
      <c r="S640" s="7">
        <v>60.22</v>
      </c>
      <c r="T640" s="7">
        <v>31.2</v>
      </c>
      <c r="U640" s="7">
        <v>50.79</v>
      </c>
      <c r="V640" s="7">
        <v>47.36</v>
      </c>
      <c r="W640" s="7">
        <v>38.01</v>
      </c>
      <c r="X640" s="7">
        <v>45.79</v>
      </c>
      <c r="Y640" s="7">
        <v>31.86</v>
      </c>
      <c r="Z640" s="9">
        <f>MAX($B$640:$Y$640)</f>
        <v>142.79</v>
      </c>
      <c r="AA640" s="9">
        <f>MIN($B$640:$Y$640)</f>
        <v>-24.48</v>
      </c>
      <c r="AB640" s="9">
        <f>AVERAGE($B$640:$Y$640)</f>
        <v>45.169166666666698</v>
      </c>
    </row>
    <row r="641" spans="1:28">
      <c r="A641" s="10">
        <v>45936</v>
      </c>
      <c r="B641" s="7">
        <v>-29.16</v>
      </c>
      <c r="C641" s="7">
        <v>12.46</v>
      </c>
      <c r="D641" s="7">
        <v>13.31</v>
      </c>
      <c r="E641" s="7">
        <v>12.5</v>
      </c>
      <c r="F641" s="7">
        <v>-5.16</v>
      </c>
      <c r="G641" s="7">
        <v>7.9499999999999904</v>
      </c>
      <c r="H641" s="7">
        <v>-21.4</v>
      </c>
      <c r="I641" s="7">
        <v>0.450000000000017</v>
      </c>
      <c r="J641" s="7">
        <v>79.06</v>
      </c>
      <c r="K641" s="7">
        <v>55.57</v>
      </c>
      <c r="L641" s="7">
        <v>-51.4</v>
      </c>
      <c r="M641" s="7">
        <v>-19.09</v>
      </c>
      <c r="N641" s="7">
        <v>2.09</v>
      </c>
      <c r="O641" s="7">
        <v>20.37</v>
      </c>
      <c r="P641" s="7">
        <v>73.13</v>
      </c>
      <c r="Q641" s="7">
        <v>23.3</v>
      </c>
      <c r="R641" s="7">
        <v>-12.2</v>
      </c>
      <c r="S641" s="7">
        <v>-23.44</v>
      </c>
      <c r="T641" s="7">
        <v>18.489999999999998</v>
      </c>
      <c r="U641" s="7">
        <v>22.95</v>
      </c>
      <c r="V641" s="7">
        <v>36.99</v>
      </c>
      <c r="W641" s="7">
        <v>36.78</v>
      </c>
      <c r="X641" s="7">
        <v>41.84</v>
      </c>
      <c r="Y641" s="7">
        <v>31.03</v>
      </c>
      <c r="Z641" s="9">
        <f>MAX($B$641:$Y$641)</f>
        <v>79.06</v>
      </c>
      <c r="AA641" s="9">
        <f>MIN($B$641:$Y$641)</f>
        <v>-51.4</v>
      </c>
      <c r="AB641" s="9">
        <f>AVERAGE($B$641:$Y$641)</f>
        <v>13.6008333333333</v>
      </c>
    </row>
    <row r="642" spans="1:28">
      <c r="A642" s="10">
        <v>45937</v>
      </c>
      <c r="B642" s="7">
        <v>-14.72</v>
      </c>
      <c r="C642" s="7">
        <v>9.4400000000000297</v>
      </c>
      <c r="D642" s="7">
        <v>6.8000000000000096</v>
      </c>
      <c r="E642" s="7">
        <v>11.95</v>
      </c>
      <c r="F642" s="7">
        <v>-21.97</v>
      </c>
      <c r="G642" s="7">
        <v>-20.07</v>
      </c>
      <c r="H642" s="7">
        <v>-21.9</v>
      </c>
      <c r="I642" s="7">
        <v>-16.04</v>
      </c>
      <c r="J642" s="7">
        <v>-40.07</v>
      </c>
      <c r="K642" s="7">
        <v>8.0299999999999994</v>
      </c>
      <c r="L642" s="7">
        <v>-33.24</v>
      </c>
      <c r="M642" s="7">
        <v>-19.55</v>
      </c>
      <c r="N642" s="7">
        <v>-45.34</v>
      </c>
      <c r="O642" s="7">
        <v>-113.42</v>
      </c>
      <c r="P642" s="7">
        <v>-18.21</v>
      </c>
      <c r="Q642" s="7">
        <v>-12.25</v>
      </c>
      <c r="R642" s="7">
        <v>-93.48</v>
      </c>
      <c r="S642" s="7">
        <v>-109.27</v>
      </c>
      <c r="T642" s="7">
        <v>-266.44</v>
      </c>
      <c r="U642" s="7">
        <v>-406.37</v>
      </c>
      <c r="V642" s="7">
        <v>-136.44</v>
      </c>
      <c r="W642" s="7">
        <v>-217.42</v>
      </c>
      <c r="X642" s="7">
        <v>-8.1600000000000197</v>
      </c>
      <c r="Y642" s="7">
        <v>-23.51</v>
      </c>
      <c r="Z642" s="9">
        <f>MAX($B$642:$Y$642)</f>
        <v>11.95</v>
      </c>
      <c r="AA642" s="9">
        <f>MIN($B$642:$Y$642)</f>
        <v>-406.37</v>
      </c>
      <c r="AB642" s="9">
        <f>AVERAGE($B$642:$Y$642)</f>
        <v>-66.735416666666694</v>
      </c>
    </row>
    <row r="643" spans="1:28">
      <c r="A643" s="10">
        <v>45938</v>
      </c>
      <c r="B643" s="7">
        <v>-507.49</v>
      </c>
      <c r="C643" s="7">
        <v>-349.79</v>
      </c>
      <c r="D643" s="7">
        <v>81.349999999999994</v>
      </c>
      <c r="E643" s="7">
        <v>164.48</v>
      </c>
      <c r="F643" s="7">
        <v>-53.22</v>
      </c>
      <c r="G643" s="7">
        <v>82.92</v>
      </c>
      <c r="H643" s="7">
        <v>100.32</v>
      </c>
      <c r="I643" s="7">
        <v>-28.28</v>
      </c>
      <c r="J643" s="7">
        <v>0.52999999999997305</v>
      </c>
      <c r="K643" s="7">
        <v>13.41</v>
      </c>
      <c r="L643" s="7">
        <v>13.53</v>
      </c>
      <c r="M643" s="7">
        <v>-8.0200000000000404</v>
      </c>
      <c r="N643" s="7">
        <v>-9.69</v>
      </c>
      <c r="O643" s="7">
        <v>-0.68000000000000704</v>
      </c>
      <c r="P643" s="7">
        <v>57.4</v>
      </c>
      <c r="Q643" s="7">
        <v>50.1</v>
      </c>
      <c r="R643" s="7">
        <v>-59.65</v>
      </c>
      <c r="S643" s="7">
        <v>-51.81</v>
      </c>
      <c r="T643" s="7">
        <v>-154.30000000000001</v>
      </c>
      <c r="U643" s="7">
        <v>-459.68</v>
      </c>
      <c r="V643" s="7">
        <v>-337.7</v>
      </c>
      <c r="W643" s="7">
        <v>-444.31</v>
      </c>
      <c r="X643" s="7">
        <v>-37.15</v>
      </c>
      <c r="Y643" s="7">
        <v>33.29</v>
      </c>
      <c r="Z643" s="9">
        <f>MAX($B$643:$Y$643)</f>
        <v>164.48</v>
      </c>
      <c r="AA643" s="9">
        <f>MIN($B$643:$Y$643)</f>
        <v>-507.49</v>
      </c>
      <c r="AB643" s="9">
        <f>AVERAGE($B$643:$Y$643)</f>
        <v>-79.351666666666702</v>
      </c>
    </row>
    <row r="644" spans="1:28">
      <c r="A644" s="10">
        <v>45939</v>
      </c>
      <c r="B644" s="7">
        <v>10.28</v>
      </c>
      <c r="C644" s="7">
        <v>29.59</v>
      </c>
      <c r="D644" s="7">
        <v>24.66</v>
      </c>
      <c r="E644" s="7">
        <v>26.18</v>
      </c>
      <c r="F644" s="7">
        <v>-2.12</v>
      </c>
      <c r="G644" s="7">
        <v>9.4900000000000109</v>
      </c>
      <c r="H644" s="7">
        <v>-34.85</v>
      </c>
      <c r="I644" s="7">
        <v>-8.6400000000000396</v>
      </c>
      <c r="J644" s="7">
        <v>13.5</v>
      </c>
      <c r="K644" s="7">
        <v>65.3</v>
      </c>
      <c r="L644" s="7">
        <v>20.380000000000098</v>
      </c>
      <c r="M644" s="7">
        <v>-23.12</v>
      </c>
      <c r="N644" s="7">
        <v>-6.2099999999999804</v>
      </c>
      <c r="O644" s="7">
        <v>26.15</v>
      </c>
      <c r="P644" s="7">
        <v>125.92</v>
      </c>
      <c r="Q644" s="7">
        <v>82.04</v>
      </c>
      <c r="R644" s="7">
        <v>85.94</v>
      </c>
      <c r="S644" s="7">
        <v>-54.31</v>
      </c>
      <c r="T644" s="7">
        <v>-211.24</v>
      </c>
      <c r="U644" s="7">
        <v>-4.4500000000000499</v>
      </c>
      <c r="V644" s="7">
        <v>61.76</v>
      </c>
      <c r="W644" s="7">
        <v>31.86</v>
      </c>
      <c r="X644" s="7">
        <v>21.79</v>
      </c>
      <c r="Y644" s="7">
        <v>20.079999999999998</v>
      </c>
      <c r="Z644" s="9">
        <f>MAX($B$644:$Y$644)</f>
        <v>125.92</v>
      </c>
      <c r="AA644" s="9">
        <f>MIN($B$644:$Y$644)</f>
        <v>-211.24</v>
      </c>
      <c r="AB644" s="9">
        <f>AVERAGE($B$644:$Y$644)</f>
        <v>12.9158333333333</v>
      </c>
    </row>
    <row r="645" spans="1:28">
      <c r="A645" s="10">
        <v>45940</v>
      </c>
      <c r="B645" s="7">
        <v>-123.42</v>
      </c>
      <c r="C645" s="7">
        <v>-364.55</v>
      </c>
      <c r="D645" s="7">
        <v>4.5799999999999796</v>
      </c>
      <c r="E645" s="7">
        <v>-18.47</v>
      </c>
      <c r="F645" s="7">
        <v>27.86</v>
      </c>
      <c r="G645" s="7">
        <v>27.7</v>
      </c>
      <c r="H645" s="7">
        <v>8.3199999999999896</v>
      </c>
      <c r="I645" s="7">
        <v>-3.9100000000000201</v>
      </c>
      <c r="J645" s="7">
        <v>51.17</v>
      </c>
      <c r="K645" s="7">
        <v>153.53</v>
      </c>
      <c r="L645" s="7">
        <v>35</v>
      </c>
      <c r="M645" s="7">
        <v>-191.17</v>
      </c>
      <c r="N645" s="7">
        <v>-120.76</v>
      </c>
      <c r="O645" s="7">
        <v>-47.56</v>
      </c>
      <c r="P645" s="7">
        <v>15.6199999999999</v>
      </c>
      <c r="Q645" s="7">
        <v>6.69</v>
      </c>
      <c r="R645" s="7">
        <v>59.37</v>
      </c>
      <c r="S645" s="7">
        <v>8.30000000000007</v>
      </c>
      <c r="T645" s="7">
        <v>-127.22</v>
      </c>
      <c r="U645" s="7">
        <v>-34.5</v>
      </c>
      <c r="V645" s="7">
        <v>-16.64</v>
      </c>
      <c r="W645" s="7">
        <v>17.75</v>
      </c>
      <c r="X645" s="7">
        <v>-5.74000000000001</v>
      </c>
      <c r="Y645" s="7">
        <v>26.53</v>
      </c>
      <c r="Z645" s="9">
        <f>MAX($B$645:$Y$645)</f>
        <v>153.53</v>
      </c>
      <c r="AA645" s="9">
        <f>MIN($B$645:$Y$645)</f>
        <v>-364.55</v>
      </c>
      <c r="AB645" s="9">
        <f>AVERAGE($B$645:$Y$645)</f>
        <v>-25.48</v>
      </c>
    </row>
    <row r="646" spans="1:28">
      <c r="A646" s="10">
        <v>45941</v>
      </c>
      <c r="B646" s="7">
        <v>-49.14</v>
      </c>
      <c r="C646" s="7">
        <v>-33.21</v>
      </c>
      <c r="D646" s="7">
        <v>-11.09</v>
      </c>
      <c r="E646" s="7">
        <v>13.07</v>
      </c>
      <c r="F646" s="7">
        <v>-9.9699999999999704</v>
      </c>
      <c r="G646" s="7">
        <v>-1.30000000000001</v>
      </c>
      <c r="H646" s="7">
        <v>-6.19</v>
      </c>
      <c r="I646" s="7">
        <v>3.9000000000000301</v>
      </c>
      <c r="J646" s="7">
        <v>-3.69</v>
      </c>
      <c r="K646" s="7">
        <v>14.01</v>
      </c>
      <c r="L646" s="7">
        <v>-14.94</v>
      </c>
      <c r="M646" s="7">
        <v>-42.73</v>
      </c>
      <c r="N646" s="7">
        <v>-82</v>
      </c>
      <c r="O646" s="7">
        <v>16.850000000000001</v>
      </c>
      <c r="P646" s="7">
        <v>102.58</v>
      </c>
      <c r="Q646" s="7">
        <v>128.91999999999999</v>
      </c>
      <c r="R646" s="7">
        <v>121.33</v>
      </c>
      <c r="S646" s="7">
        <v>49.120000000000097</v>
      </c>
      <c r="T646" s="7">
        <v>41.43</v>
      </c>
      <c r="U646" s="7">
        <v>68.449999999999903</v>
      </c>
      <c r="V646" s="7">
        <v>-18.68</v>
      </c>
      <c r="W646" s="7">
        <v>35.909999999999997</v>
      </c>
      <c r="X646" s="7">
        <v>39.049999999999997</v>
      </c>
      <c r="Y646" s="7">
        <v>1.94</v>
      </c>
      <c r="Z646" s="9">
        <f>MAX($B$646:$Y$646)</f>
        <v>128.91999999999999</v>
      </c>
      <c r="AA646" s="9">
        <f>MIN($B$646:$Y$646)</f>
        <v>-82</v>
      </c>
      <c r="AB646" s="9">
        <f>AVERAGE($B$646:$Y$646)</f>
        <v>15.150833333333299</v>
      </c>
    </row>
    <row r="647" spans="1:28">
      <c r="A647" s="10">
        <v>45942</v>
      </c>
      <c r="B647" s="7">
        <v>-256.88</v>
      </c>
      <c r="C647" s="7">
        <v>-71.349999999999994</v>
      </c>
      <c r="D647" s="7">
        <v>-95.84</v>
      </c>
      <c r="E647" s="7">
        <v>-82.14</v>
      </c>
      <c r="F647" s="7">
        <v>-35.409999999999997</v>
      </c>
      <c r="G647" s="7">
        <v>-3.6000000000000201</v>
      </c>
      <c r="H647" s="7">
        <v>-7.37</v>
      </c>
      <c r="I647" s="7">
        <v>-13.17</v>
      </c>
      <c r="J647" s="7">
        <v>-26.21</v>
      </c>
      <c r="K647" s="7">
        <v>-30.39</v>
      </c>
      <c r="L647" s="7">
        <v>-204.9</v>
      </c>
      <c r="M647" s="7">
        <v>-707.87</v>
      </c>
      <c r="N647" s="7">
        <v>-421.17</v>
      </c>
      <c r="O647" s="7">
        <v>-581.89</v>
      </c>
      <c r="P647" s="7">
        <v>-496.34</v>
      </c>
      <c r="Q647" s="7">
        <v>-594.22</v>
      </c>
      <c r="R647" s="7">
        <v>-568.54999999999995</v>
      </c>
      <c r="S647" s="7">
        <v>-550.09</v>
      </c>
      <c r="T647" s="7">
        <v>-241.45</v>
      </c>
      <c r="U647" s="7">
        <v>28.28</v>
      </c>
      <c r="V647" s="7">
        <v>29.54</v>
      </c>
      <c r="W647" s="7">
        <v>-21.9</v>
      </c>
      <c r="X647" s="7">
        <v>-55.08</v>
      </c>
      <c r="Y647" s="7">
        <v>17.13</v>
      </c>
      <c r="Z647" s="9">
        <f>MAX($B$647:$Y$647)</f>
        <v>29.54</v>
      </c>
      <c r="AA647" s="9">
        <f>MIN($B$647:$Y$647)</f>
        <v>-707.87</v>
      </c>
      <c r="AB647" s="9">
        <f>AVERAGE($B$647:$Y$647)</f>
        <v>-207.95291666666699</v>
      </c>
    </row>
    <row r="648" spans="1:28">
      <c r="A648" s="10">
        <v>45943</v>
      </c>
      <c r="B648" s="7">
        <v>18.690000000000001</v>
      </c>
      <c r="C648" s="7">
        <v>12.1</v>
      </c>
      <c r="D648" s="7">
        <v>11.83</v>
      </c>
      <c r="E648" s="7">
        <v>8.0699999999999896</v>
      </c>
      <c r="F648" s="7">
        <v>-2.56</v>
      </c>
      <c r="G648" s="7">
        <v>-5.6800000000000104</v>
      </c>
      <c r="H648" s="7">
        <v>-18.170000000000002</v>
      </c>
      <c r="I648" s="7">
        <v>-43.63</v>
      </c>
      <c r="J648" s="7">
        <v>-170.78</v>
      </c>
      <c r="K648" s="7">
        <v>-138.22999999999999</v>
      </c>
      <c r="L648" s="7">
        <v>-520.33000000000004</v>
      </c>
      <c r="M648" s="7">
        <v>-544.29</v>
      </c>
      <c r="N648" s="7">
        <v>-352.75</v>
      </c>
      <c r="O648" s="7">
        <v>-395.02</v>
      </c>
      <c r="P648" s="7">
        <v>-316.67</v>
      </c>
      <c r="Q648" s="7">
        <v>-258.70999999999998</v>
      </c>
      <c r="R648" s="7">
        <v>-380.64</v>
      </c>
      <c r="S648" s="7">
        <v>-216.29</v>
      </c>
      <c r="T648" s="7">
        <v>-234.8</v>
      </c>
      <c r="U648" s="7">
        <v>-110.85</v>
      </c>
      <c r="V648" s="7">
        <v>-88.81</v>
      </c>
      <c r="W648" s="7">
        <v>-33.619999999999997</v>
      </c>
      <c r="X648" s="7">
        <v>3.8899999999999899</v>
      </c>
      <c r="Y648" s="7">
        <v>18.34</v>
      </c>
      <c r="Z648" s="9">
        <f>MAX($B$648:$Y$648)</f>
        <v>18.690000000000001</v>
      </c>
      <c r="AA648" s="9">
        <f>MIN($B$648:$Y$648)</f>
        <v>-544.29</v>
      </c>
      <c r="AB648" s="9">
        <f>AVERAGE($B$648:$Y$648)</f>
        <v>-156.62125</v>
      </c>
    </row>
    <row r="649" spans="1:28">
      <c r="A649" s="10">
        <v>45944</v>
      </c>
      <c r="B649" s="7">
        <v>48.36</v>
      </c>
      <c r="C649" s="7">
        <v>-68.28</v>
      </c>
      <c r="D649" s="7">
        <v>30.95</v>
      </c>
      <c r="E649" s="7">
        <v>-39.81</v>
      </c>
      <c r="F649" s="7">
        <v>6.4699999999999704</v>
      </c>
      <c r="G649" s="7">
        <v>17.96</v>
      </c>
      <c r="H649" s="7">
        <v>18.760000000000002</v>
      </c>
      <c r="I649" s="7">
        <v>-29.01</v>
      </c>
      <c r="J649" s="7">
        <v>-26.89</v>
      </c>
      <c r="K649" s="7">
        <v>109.62</v>
      </c>
      <c r="L649" s="7">
        <v>151.15</v>
      </c>
      <c r="M649" s="7">
        <v>113.98</v>
      </c>
      <c r="N649" s="7">
        <v>64.63</v>
      </c>
      <c r="O649" s="7">
        <v>149.84</v>
      </c>
      <c r="P649" s="7">
        <v>224.41</v>
      </c>
      <c r="Q649" s="7">
        <v>236.9</v>
      </c>
      <c r="R649" s="7">
        <v>203.5</v>
      </c>
      <c r="S649" s="7">
        <v>94.37</v>
      </c>
      <c r="T649" s="7">
        <v>-31.9499999999999</v>
      </c>
      <c r="U649" s="7">
        <v>70.87</v>
      </c>
      <c r="V649" s="7">
        <v>83.52</v>
      </c>
      <c r="W649" s="7">
        <v>148.49</v>
      </c>
      <c r="X649" s="7">
        <v>156.5</v>
      </c>
      <c r="Y649" s="7">
        <v>64.540000000000006</v>
      </c>
      <c r="Z649" s="9">
        <f>MAX($B$649:$Y$649)</f>
        <v>236.9</v>
      </c>
      <c r="AA649" s="9">
        <f>MIN($B$649:$Y$649)</f>
        <v>-68.28</v>
      </c>
      <c r="AB649" s="9">
        <f>AVERAGE($B$649:$Y$649)</f>
        <v>74.953333333333305</v>
      </c>
    </row>
    <row r="650" spans="1:28">
      <c r="A650" s="10">
        <v>45945</v>
      </c>
      <c r="B650" s="7">
        <v>73.560000000000102</v>
      </c>
      <c r="C650" s="7">
        <v>96.88</v>
      </c>
      <c r="D650" s="7">
        <v>-5.2600000000000504</v>
      </c>
      <c r="E650" s="7">
        <v>15.39</v>
      </c>
      <c r="F650" s="7">
        <v>24.85</v>
      </c>
      <c r="G650" s="7">
        <v>-47.19</v>
      </c>
      <c r="H650" s="7">
        <v>2.6800000000000099</v>
      </c>
      <c r="I650" s="7">
        <v>20.69</v>
      </c>
      <c r="J650" s="7">
        <v>8.1500000000000306</v>
      </c>
      <c r="K650" s="7">
        <v>57.56</v>
      </c>
      <c r="L650" s="7">
        <v>175.13</v>
      </c>
      <c r="M650" s="7">
        <v>50.7</v>
      </c>
      <c r="N650" s="7">
        <v>28.05</v>
      </c>
      <c r="O650" s="7">
        <v>16.62</v>
      </c>
      <c r="P650" s="7">
        <v>106.59</v>
      </c>
      <c r="Q650" s="7">
        <v>197.15</v>
      </c>
      <c r="R650" s="7">
        <v>258.39999999999998</v>
      </c>
      <c r="S650" s="7">
        <v>148.13</v>
      </c>
      <c r="T650" s="7">
        <v>2.4099999999999699</v>
      </c>
      <c r="U650" s="7">
        <v>82.91</v>
      </c>
      <c r="V650" s="7">
        <v>-11.23</v>
      </c>
      <c r="W650" s="7">
        <v>16.53</v>
      </c>
      <c r="X650" s="7">
        <v>57.38</v>
      </c>
      <c r="Y650" s="7">
        <v>-19.3</v>
      </c>
      <c r="Z650" s="9">
        <f>MAX($B$650:$Y$650)</f>
        <v>258.39999999999998</v>
      </c>
      <c r="AA650" s="9">
        <f>MIN($B$650:$Y$650)</f>
        <v>-47.19</v>
      </c>
      <c r="AB650" s="9">
        <f>AVERAGE($B$650:$Y$650)</f>
        <v>56.532499999999999</v>
      </c>
    </row>
    <row r="651" spans="1:28">
      <c r="A651" s="10">
        <v>45946</v>
      </c>
      <c r="B651" s="11">
        <v>-14.94</v>
      </c>
      <c r="C651" s="11">
        <v>27.930000000000099</v>
      </c>
      <c r="D651" s="11">
        <v>8.5200000000000404</v>
      </c>
      <c r="E651" s="11">
        <v>31.91</v>
      </c>
      <c r="F651" s="11">
        <v>2.2899999999999601</v>
      </c>
      <c r="G651" s="11">
        <v>-8.7099999999999795</v>
      </c>
      <c r="H651" s="11">
        <v>-12.34</v>
      </c>
      <c r="I651" s="11">
        <v>17.25</v>
      </c>
      <c r="J651" s="11">
        <v>-8.5</v>
      </c>
      <c r="K651" s="11">
        <v>40.909999999999997</v>
      </c>
      <c r="L651" s="11">
        <v>155.36000000000001</v>
      </c>
      <c r="M651" s="11">
        <v>182.66</v>
      </c>
      <c r="N651" s="11">
        <v>79.28</v>
      </c>
      <c r="O651" s="11">
        <v>32.9</v>
      </c>
      <c r="P651" s="11">
        <v>99.12</v>
      </c>
      <c r="Q651" s="11">
        <v>167.09</v>
      </c>
      <c r="R651" s="11">
        <v>56.69</v>
      </c>
      <c r="S651" s="11">
        <v>77.429999999999893</v>
      </c>
      <c r="T651" s="11">
        <v>38.340000000000003</v>
      </c>
      <c r="U651" s="11">
        <v>90.42</v>
      </c>
      <c r="V651" s="11">
        <v>44.81</v>
      </c>
      <c r="W651" s="11">
        <v>28.55</v>
      </c>
      <c r="X651" s="11">
        <v>17.84</v>
      </c>
      <c r="Y651" s="11">
        <v>-12.31</v>
      </c>
      <c r="Z651" s="9">
        <f>MAX($B$651:$Y$651)</f>
        <v>182.66</v>
      </c>
      <c r="AA651" s="9">
        <f>MIN($B$651:$Y$651)</f>
        <v>-14.94</v>
      </c>
      <c r="AB651" s="9">
        <f>AVERAGE($B$651:$Y$651)</f>
        <v>47.6041666666667</v>
      </c>
    </row>
    <row r="652" spans="1:28">
      <c r="A652" s="10">
        <v>45947</v>
      </c>
      <c r="B652" s="7">
        <v>-304.57</v>
      </c>
      <c r="C652" s="7">
        <v>-73.53</v>
      </c>
      <c r="D652" s="7">
        <v>-29.02</v>
      </c>
      <c r="E652" s="7">
        <v>37.090000000000003</v>
      </c>
      <c r="F652" s="7">
        <v>14.67</v>
      </c>
      <c r="G652" s="7">
        <v>45.44</v>
      </c>
      <c r="H652" s="7">
        <v>50.22</v>
      </c>
      <c r="I652" s="7">
        <v>19.61</v>
      </c>
      <c r="J652" s="7">
        <v>-11.4299999999999</v>
      </c>
      <c r="K652" s="7">
        <v>51.55</v>
      </c>
      <c r="L652" s="7">
        <v>-8.48000000000002</v>
      </c>
      <c r="M652" s="7">
        <v>-51.45</v>
      </c>
      <c r="N652" s="7">
        <v>-29.05</v>
      </c>
      <c r="O652" s="7">
        <v>-27.78</v>
      </c>
      <c r="P652" s="7">
        <v>-4.23000000000002</v>
      </c>
      <c r="Q652" s="7">
        <v>68.3</v>
      </c>
      <c r="R652" s="7">
        <v>36.75</v>
      </c>
      <c r="S652" s="7">
        <v>31.79</v>
      </c>
      <c r="T652" s="7">
        <v>-48.63</v>
      </c>
      <c r="U652" s="7">
        <v>-19.9100000000001</v>
      </c>
      <c r="V652" s="7">
        <v>-27.86</v>
      </c>
      <c r="W652" s="7">
        <v>-85.199999999999903</v>
      </c>
      <c r="X652" s="7">
        <v>-323.83999999999997</v>
      </c>
      <c r="Y652" s="7">
        <v>-67.38</v>
      </c>
      <c r="Z652" s="9">
        <f>MAX($B$652:$Y$652)</f>
        <v>68.3</v>
      </c>
      <c r="AA652" s="9">
        <f>MIN($B$652:$Y$652)</f>
        <v>-323.83999999999997</v>
      </c>
      <c r="AB652" s="9">
        <f>AVERAGE($B$652:$Y$652)</f>
        <v>-31.539166666666699</v>
      </c>
    </row>
    <row r="653" spans="1:28">
      <c r="A653" s="10">
        <v>45948</v>
      </c>
      <c r="B653" s="7">
        <v>-387.82</v>
      </c>
      <c r="C653" s="7">
        <v>-356.5</v>
      </c>
      <c r="D653" s="7">
        <v>-299.01</v>
      </c>
      <c r="E653" s="7">
        <v>-337.18</v>
      </c>
      <c r="F653" s="7">
        <v>-58.78</v>
      </c>
      <c r="G653" s="7">
        <v>-61.76</v>
      </c>
      <c r="H653" s="7">
        <v>-57.63</v>
      </c>
      <c r="I653" s="7">
        <v>-60.43</v>
      </c>
      <c r="J653" s="7">
        <v>-67.86</v>
      </c>
      <c r="K653" s="7">
        <v>-120.66</v>
      </c>
      <c r="L653" s="7">
        <v>-84.29</v>
      </c>
      <c r="M653" s="7">
        <v>-163.72</v>
      </c>
      <c r="N653" s="7">
        <v>-127.83</v>
      </c>
      <c r="O653" s="7">
        <v>-132.69</v>
      </c>
      <c r="P653" s="7">
        <v>-87.29</v>
      </c>
      <c r="Q653" s="7">
        <v>-31.88</v>
      </c>
      <c r="R653" s="7">
        <v>-38.39</v>
      </c>
      <c r="S653" s="7">
        <v>-43.93</v>
      </c>
      <c r="T653" s="7">
        <v>-121.08</v>
      </c>
      <c r="U653" s="7">
        <v>-91.869999999999905</v>
      </c>
      <c r="V653" s="7">
        <v>-87.69</v>
      </c>
      <c r="W653" s="7">
        <v>-39.65</v>
      </c>
      <c r="X653" s="7">
        <v>-126.62</v>
      </c>
      <c r="Y653" s="7">
        <v>-33.46</v>
      </c>
      <c r="Z653" s="9">
        <f>MAX($B$653:$Y$653)</f>
        <v>-31.88</v>
      </c>
      <c r="AA653" s="9">
        <f>MIN($B$653:$Y$653)</f>
        <v>-387.82</v>
      </c>
      <c r="AB653" s="9">
        <f>AVERAGE($B$653:$Y$653)</f>
        <v>-125.75083333333301</v>
      </c>
    </row>
    <row r="654" spans="1:28">
      <c r="A654" s="10">
        <v>45949</v>
      </c>
      <c r="B654" s="7">
        <v>-227.24</v>
      </c>
      <c r="C654" s="7">
        <v>6.38</v>
      </c>
      <c r="D654" s="7">
        <v>-35.57</v>
      </c>
      <c r="E654" s="7">
        <v>-4.58000000000004</v>
      </c>
      <c r="F654" s="7">
        <v>25.77</v>
      </c>
      <c r="G654" s="7">
        <v>-12.16</v>
      </c>
      <c r="H654" s="7">
        <v>-86.44</v>
      </c>
      <c r="I654" s="7">
        <v>-43.11</v>
      </c>
      <c r="J654" s="7">
        <v>58.71</v>
      </c>
      <c r="K654" s="7">
        <v>8.0300000000000296</v>
      </c>
      <c r="L654" s="7">
        <v>13.28</v>
      </c>
      <c r="M654" s="7">
        <v>-82.31</v>
      </c>
      <c r="N654" s="7">
        <v>-98.18</v>
      </c>
      <c r="O654" s="7">
        <v>-131.21</v>
      </c>
      <c r="P654" s="7">
        <v>-120.93</v>
      </c>
      <c r="Q654" s="7">
        <v>-176.71</v>
      </c>
      <c r="R654" s="7">
        <v>-113.77</v>
      </c>
      <c r="S654" s="7">
        <v>-146.26</v>
      </c>
      <c r="T654" s="7">
        <v>-175.55</v>
      </c>
      <c r="U654" s="7">
        <v>-21.43</v>
      </c>
      <c r="V654" s="7">
        <v>-10.119999999999999</v>
      </c>
      <c r="W654" s="7">
        <v>3.31</v>
      </c>
      <c r="X654" s="7">
        <v>66.3</v>
      </c>
      <c r="Y654" s="7">
        <v>30.74</v>
      </c>
      <c r="Z654" s="9">
        <f>MAX($B$654:$Y$654)</f>
        <v>66.3</v>
      </c>
      <c r="AA654" s="9">
        <f>MIN($B$654:$Y$654)</f>
        <v>-227.24</v>
      </c>
      <c r="AB654" s="9">
        <f>AVERAGE($B$654:$Y$654)</f>
        <v>-53.043750000000003</v>
      </c>
    </row>
    <row r="655" spans="1:28">
      <c r="A655" s="10">
        <v>45950</v>
      </c>
      <c r="B655" s="7">
        <v>240.66</v>
      </c>
      <c r="C655" s="7">
        <v>232.41</v>
      </c>
      <c r="D655" s="7">
        <v>198.44</v>
      </c>
      <c r="E655" s="7">
        <v>166.16</v>
      </c>
      <c r="F655" s="7">
        <v>141.46</v>
      </c>
      <c r="G655" s="7">
        <v>87.57</v>
      </c>
      <c r="H655" s="7">
        <v>249.12</v>
      </c>
      <c r="I655" s="7">
        <v>253.9</v>
      </c>
      <c r="J655" s="7">
        <v>231.68</v>
      </c>
      <c r="K655" s="7">
        <v>314.7</v>
      </c>
      <c r="L655" s="7">
        <v>111.7</v>
      </c>
      <c r="M655" s="7">
        <v>235.05</v>
      </c>
      <c r="N655" s="7">
        <v>190.65</v>
      </c>
      <c r="O655" s="7">
        <v>268.85000000000002</v>
      </c>
      <c r="P655" s="7">
        <v>318.45999999999998</v>
      </c>
      <c r="Q655" s="7">
        <v>399.86</v>
      </c>
      <c r="R655" s="7">
        <v>203.6</v>
      </c>
      <c r="S655" s="7">
        <v>115.86</v>
      </c>
      <c r="T655" s="7">
        <v>170.04</v>
      </c>
      <c r="U655" s="7">
        <v>193.02</v>
      </c>
      <c r="V655" s="7">
        <v>175.55</v>
      </c>
      <c r="W655" s="7">
        <v>177.72</v>
      </c>
      <c r="X655" s="7">
        <v>130.47999999999999</v>
      </c>
      <c r="Y655" s="7">
        <v>37.19</v>
      </c>
      <c r="Z655" s="9">
        <f>MAX($B$655:$Y$655)</f>
        <v>399.86</v>
      </c>
      <c r="AA655" s="9">
        <f>MIN($B$655:$Y$655)</f>
        <v>37.19</v>
      </c>
      <c r="AB655" s="9">
        <f>AVERAGE($B$655:$Y$655)</f>
        <v>201.83875</v>
      </c>
    </row>
    <row r="656" spans="1:28">
      <c r="A656" s="10">
        <v>45951</v>
      </c>
      <c r="B656" s="7">
        <v>-23.79</v>
      </c>
      <c r="C656" s="7">
        <v>178.05</v>
      </c>
      <c r="D656" s="7">
        <v>185.64</v>
      </c>
      <c r="E656" s="7">
        <v>159.37</v>
      </c>
      <c r="F656" s="7">
        <v>81.3</v>
      </c>
      <c r="G656" s="7">
        <v>46.95</v>
      </c>
      <c r="H656" s="7">
        <v>108.67</v>
      </c>
      <c r="I656" s="7">
        <v>99.68</v>
      </c>
      <c r="J656" s="7">
        <v>41.119999999999898</v>
      </c>
      <c r="K656" s="7">
        <v>15.05</v>
      </c>
      <c r="L656" s="7">
        <v>114.35</v>
      </c>
      <c r="M656" s="7">
        <v>147.38999999999999</v>
      </c>
      <c r="N656" s="7">
        <v>138.46</v>
      </c>
      <c r="O656" s="7">
        <v>151.05000000000001</v>
      </c>
      <c r="P656" s="7">
        <v>104.78</v>
      </c>
      <c r="Q656" s="7">
        <v>93.45</v>
      </c>
      <c r="R656" s="7">
        <v>104.88</v>
      </c>
      <c r="S656" s="7">
        <v>89.83</v>
      </c>
      <c r="T656" s="7">
        <v>-64.14</v>
      </c>
      <c r="U656" s="7">
        <v>110.48</v>
      </c>
      <c r="V656" s="7">
        <v>76.869999999999905</v>
      </c>
      <c r="W656" s="7">
        <v>46.45</v>
      </c>
      <c r="X656" s="7">
        <v>74.92</v>
      </c>
      <c r="Y656" s="7">
        <v>199.97</v>
      </c>
      <c r="Z656" s="9">
        <f>MAX($B$656:$Y$656)</f>
        <v>199.97</v>
      </c>
      <c r="AA656" s="9">
        <f>MIN($B$656:$Y$656)</f>
        <v>-64.14</v>
      </c>
      <c r="AB656" s="9">
        <f>AVERAGE($B$656:$Y$656)</f>
        <v>95.032499999999999</v>
      </c>
    </row>
    <row r="657" spans="1:28">
      <c r="A657" s="10">
        <v>45952</v>
      </c>
      <c r="B657" s="7">
        <v>54.03</v>
      </c>
      <c r="C657" s="7">
        <v>53.26</v>
      </c>
      <c r="D657" s="7">
        <v>86.96</v>
      </c>
      <c r="E657" s="7">
        <v>107.62</v>
      </c>
      <c r="F657" s="7">
        <v>219.75</v>
      </c>
      <c r="G657" s="7">
        <v>181.08</v>
      </c>
      <c r="H657" s="7">
        <v>104.67</v>
      </c>
      <c r="I657" s="7">
        <v>69.42</v>
      </c>
      <c r="J657" s="7">
        <v>52.69</v>
      </c>
      <c r="K657" s="7">
        <v>65.41</v>
      </c>
      <c r="L657" s="7">
        <v>5.91</v>
      </c>
      <c r="M657" s="7">
        <v>131</v>
      </c>
      <c r="N657" s="7">
        <v>75.44</v>
      </c>
      <c r="O657" s="7">
        <v>60.24</v>
      </c>
      <c r="P657" s="7">
        <v>56.5</v>
      </c>
      <c r="Q657" s="7">
        <v>69.7</v>
      </c>
      <c r="R657" s="7">
        <v>54.61</v>
      </c>
      <c r="S657" s="7">
        <v>12.82</v>
      </c>
      <c r="T657" s="7">
        <v>17.440000000000001</v>
      </c>
      <c r="U657" s="7">
        <v>-28</v>
      </c>
      <c r="V657" s="7">
        <v>42.66</v>
      </c>
      <c r="W657" s="7">
        <v>31.49</v>
      </c>
      <c r="X657" s="7">
        <v>29.94</v>
      </c>
      <c r="Y657" s="7">
        <v>58.71</v>
      </c>
      <c r="Z657" s="9">
        <f>MAX($B$657:$Y$657)</f>
        <v>219.75</v>
      </c>
      <c r="AA657" s="9">
        <f>MIN($B$657:$Y$657)</f>
        <v>-28</v>
      </c>
      <c r="AB657" s="9">
        <f>AVERAGE($B$657:$Y$657)</f>
        <v>67.222916666666706</v>
      </c>
    </row>
    <row r="658" spans="1:28">
      <c r="A658" s="10">
        <v>45953</v>
      </c>
      <c r="B658" s="7">
        <v>-9.4500000000000206</v>
      </c>
      <c r="C658" s="7">
        <v>104.37</v>
      </c>
      <c r="D658" s="7">
        <v>115</v>
      </c>
      <c r="E658" s="7">
        <v>150.13999999999999</v>
      </c>
      <c r="F658" s="7">
        <v>179.97</v>
      </c>
      <c r="G658" s="7">
        <v>122.22</v>
      </c>
      <c r="H658" s="7">
        <v>57.81</v>
      </c>
      <c r="I658" s="7">
        <v>-13.8</v>
      </c>
      <c r="J658" s="7">
        <v>-26.96</v>
      </c>
      <c r="K658" s="7">
        <v>104.55</v>
      </c>
      <c r="L658" s="7">
        <v>87.93</v>
      </c>
      <c r="M658" s="7">
        <v>35.29</v>
      </c>
      <c r="N658" s="7">
        <v>121.71</v>
      </c>
      <c r="O658" s="7">
        <v>54.1</v>
      </c>
      <c r="P658" s="7">
        <v>134.15</v>
      </c>
      <c r="Q658" s="7">
        <v>33.299999999999997</v>
      </c>
      <c r="R658" s="7">
        <v>27.08</v>
      </c>
      <c r="S658" s="7">
        <v>30.51</v>
      </c>
      <c r="T658" s="7">
        <v>-21.72</v>
      </c>
      <c r="U658" s="7">
        <v>14.44</v>
      </c>
      <c r="V658" s="7">
        <v>60.93</v>
      </c>
      <c r="W658" s="7">
        <v>1.1600000000000299</v>
      </c>
      <c r="X658" s="7">
        <v>14.67</v>
      </c>
      <c r="Y658" s="7">
        <v>107.35</v>
      </c>
      <c r="Z658" s="9">
        <f>MAX($B$658:$Y$658)</f>
        <v>179.97</v>
      </c>
      <c r="AA658" s="9">
        <f>MIN($B$658:$Y$658)</f>
        <v>-26.96</v>
      </c>
      <c r="AB658" s="9">
        <f>AVERAGE($B$658:$Y$658)</f>
        <v>61.8645833333333</v>
      </c>
    </row>
    <row r="659" spans="1:28">
      <c r="A659" s="10">
        <v>45954</v>
      </c>
      <c r="B659" s="7">
        <v>-37.729999999999997</v>
      </c>
      <c r="C659" s="7">
        <v>35.380000000000003</v>
      </c>
      <c r="D659" s="7">
        <v>96.62</v>
      </c>
      <c r="E659" s="7">
        <v>271.92</v>
      </c>
      <c r="F659" s="7">
        <v>231.97</v>
      </c>
      <c r="G659" s="7">
        <v>132.71</v>
      </c>
      <c r="H659" s="7">
        <v>92.9</v>
      </c>
      <c r="I659" s="7">
        <v>-2.56</v>
      </c>
      <c r="J659" s="7">
        <v>15</v>
      </c>
      <c r="K659" s="7">
        <v>93.06</v>
      </c>
      <c r="L659" s="7">
        <v>123.45</v>
      </c>
      <c r="M659" s="7">
        <v>163.63</v>
      </c>
      <c r="N659" s="7">
        <v>127.84</v>
      </c>
      <c r="O659" s="7">
        <v>187.3</v>
      </c>
      <c r="P659" s="7">
        <v>177.76</v>
      </c>
      <c r="Q659" s="7">
        <v>96.14</v>
      </c>
      <c r="R659" s="7">
        <v>-0.77000000000003899</v>
      </c>
      <c r="S659" s="7">
        <v>-35.58</v>
      </c>
      <c r="T659" s="7">
        <v>18.899999999999999</v>
      </c>
      <c r="U659" s="7">
        <v>34.72</v>
      </c>
      <c r="V659" s="7">
        <v>20.16</v>
      </c>
      <c r="W659" s="7">
        <v>6.1800000000000104</v>
      </c>
      <c r="X659" s="7">
        <v>-4.08000000000004</v>
      </c>
      <c r="Y659" s="7">
        <v>5.1800000000000104</v>
      </c>
      <c r="Z659" s="9">
        <f>MAX($B$659:$Y$659)</f>
        <v>271.92</v>
      </c>
      <c r="AA659" s="9">
        <f>MIN($B$659:$Y$659)</f>
        <v>-37.729999999999997</v>
      </c>
      <c r="AB659" s="9">
        <f>AVERAGE($B$659:$Y$659)</f>
        <v>77.087500000000006</v>
      </c>
    </row>
    <row r="660" spans="1:28">
      <c r="A660" s="10">
        <v>45955</v>
      </c>
      <c r="B660" s="7">
        <v>-85.55</v>
      </c>
      <c r="C660" s="7">
        <v>-3.41</v>
      </c>
      <c r="D660" s="7">
        <v>7.5</v>
      </c>
      <c r="E660" s="7">
        <v>32.35</v>
      </c>
      <c r="F660" s="7">
        <v>45.15</v>
      </c>
      <c r="G660" s="7">
        <v>41.5</v>
      </c>
      <c r="H660" s="7">
        <v>95.83</v>
      </c>
      <c r="I660" s="7">
        <v>5.8899999999999899</v>
      </c>
      <c r="J660" s="7">
        <v>15.16</v>
      </c>
      <c r="K660" s="7">
        <v>6.03</v>
      </c>
      <c r="L660" s="7">
        <v>56.09</v>
      </c>
      <c r="M660" s="7">
        <v>63.96</v>
      </c>
      <c r="N660" s="7">
        <v>49.05</v>
      </c>
      <c r="O660" s="7">
        <v>32.409999999999997</v>
      </c>
      <c r="P660" s="7">
        <v>43.03</v>
      </c>
      <c r="Q660" s="7">
        <v>-121.61</v>
      </c>
      <c r="R660" s="7">
        <v>-53.89</v>
      </c>
      <c r="S660" s="7">
        <v>-22.4</v>
      </c>
      <c r="T660" s="7">
        <v>-7.3500000000000201</v>
      </c>
      <c r="U660" s="7">
        <v>11.84</v>
      </c>
      <c r="V660" s="7">
        <v>3.6600000000000201</v>
      </c>
      <c r="W660" s="7">
        <v>6.1399999999999899</v>
      </c>
      <c r="X660" s="7">
        <v>-0.189999999999998</v>
      </c>
      <c r="Y660" s="7">
        <v>-37.56</v>
      </c>
      <c r="Z660" s="9">
        <f>MAX($B$660:$Y$660)</f>
        <v>95.83</v>
      </c>
      <c r="AA660" s="9">
        <f>MIN($B$660:$Y$660)</f>
        <v>-121.61</v>
      </c>
      <c r="AB660" s="9">
        <f>AVERAGE($B$660:$Y$660)</f>
        <v>7.6512500000000001</v>
      </c>
    </row>
    <row r="661" spans="1:28">
      <c r="A661" s="10">
        <v>45956</v>
      </c>
      <c r="B661" s="7">
        <v>-52.79</v>
      </c>
      <c r="C661" s="7">
        <v>-16.010000000000002</v>
      </c>
      <c r="D661" s="7">
        <v>-3.0499999999999798</v>
      </c>
      <c r="E661" s="7">
        <v>-1.4199999999999899</v>
      </c>
      <c r="F661" s="7">
        <v>43.07</v>
      </c>
      <c r="G661" s="7">
        <v>79.569999999999993</v>
      </c>
      <c r="H661" s="7">
        <v>38.020000000000003</v>
      </c>
      <c r="I661" s="7">
        <v>6.9500000000000197</v>
      </c>
      <c r="J661" s="7">
        <v>-36.92</v>
      </c>
      <c r="K661" s="7">
        <v>-35.020000000000003</v>
      </c>
      <c r="L661" s="7">
        <v>-5.16</v>
      </c>
      <c r="M661" s="7">
        <v>-26.42</v>
      </c>
      <c r="N661" s="7">
        <v>-14.4</v>
      </c>
      <c r="O661" s="7">
        <v>-10.86</v>
      </c>
      <c r="P661" s="7">
        <v>35.549999999999997</v>
      </c>
      <c r="Q661" s="7">
        <v>52.12</v>
      </c>
      <c r="R661" s="7">
        <v>-45.3</v>
      </c>
      <c r="S661" s="7">
        <v>-149.97</v>
      </c>
      <c r="T661" s="7">
        <v>-12.8</v>
      </c>
      <c r="U661" s="7">
        <v>63.55</v>
      </c>
      <c r="V661" s="7">
        <v>8.5</v>
      </c>
      <c r="W661" s="7">
        <v>-8.3600000000000101</v>
      </c>
      <c r="X661" s="7">
        <v>8.7800000000000296</v>
      </c>
      <c r="Y661" s="7">
        <v>-0.93000000000000704</v>
      </c>
      <c r="Z661" s="9">
        <f>MAX($B$661:$Y$661)</f>
        <v>79.569999999999993</v>
      </c>
      <c r="AA661" s="9">
        <f>MIN($B$661:$Y$661)</f>
        <v>-149.97</v>
      </c>
      <c r="AB661" s="9">
        <f>AVERAGE($B$661:$Y$661)</f>
        <v>-3.4708333333333301</v>
      </c>
    </row>
    <row r="662" spans="1:28">
      <c r="A662" s="10">
        <v>45957</v>
      </c>
      <c r="B662" s="7">
        <v>-27.02</v>
      </c>
      <c r="C662" s="7">
        <v>176.2</v>
      </c>
      <c r="D662" s="7">
        <v>86.15</v>
      </c>
      <c r="E662" s="7">
        <v>75.11</v>
      </c>
      <c r="F662" s="7">
        <v>111.28</v>
      </c>
      <c r="G662" s="7">
        <v>4.8300000000000098</v>
      </c>
      <c r="H662" s="7">
        <v>41.33</v>
      </c>
      <c r="I662" s="7">
        <v>-13.96</v>
      </c>
      <c r="J662" s="7">
        <v>9.9199999999999893</v>
      </c>
      <c r="K662" s="7">
        <v>91.58</v>
      </c>
      <c r="L662" s="7">
        <v>163.22</v>
      </c>
      <c r="M662" s="7">
        <v>146.34</v>
      </c>
      <c r="N662" s="7">
        <v>-35.090000000000003</v>
      </c>
      <c r="O662" s="7">
        <v>179.13</v>
      </c>
      <c r="P662" s="7">
        <v>80.02</v>
      </c>
      <c r="Q662" s="7">
        <v>74.260000000000005</v>
      </c>
      <c r="R662" s="7">
        <v>-47.19</v>
      </c>
      <c r="S662" s="7">
        <v>-71.099999999999994</v>
      </c>
      <c r="T662" s="7">
        <v>-123.11</v>
      </c>
      <c r="U662" s="7">
        <v>-2.3399999999999701</v>
      </c>
      <c r="V662" s="7">
        <v>-37.659999999999997</v>
      </c>
      <c r="W662" s="7">
        <v>-12.85</v>
      </c>
      <c r="X662" s="7">
        <v>7.1100000000000101</v>
      </c>
      <c r="Y662" s="7">
        <v>23.45</v>
      </c>
      <c r="Z662" s="9">
        <f>MAX($B$662:$Y$662)</f>
        <v>179.13</v>
      </c>
      <c r="AA662" s="9">
        <f>MIN($B$662:$Y$662)</f>
        <v>-123.11</v>
      </c>
      <c r="AB662" s="9">
        <f>AVERAGE($B$662:$Y$662)</f>
        <v>37.483750000000001</v>
      </c>
    </row>
    <row r="663" spans="1:28">
      <c r="A663" s="10">
        <v>45958</v>
      </c>
      <c r="B663" s="7">
        <v>-11.9299999999999</v>
      </c>
      <c r="C663" s="7">
        <v>103.04</v>
      </c>
      <c r="D663" s="7">
        <v>190.29</v>
      </c>
      <c r="E663" s="7">
        <v>277.89999999999998</v>
      </c>
      <c r="F663" s="7">
        <v>172.48</v>
      </c>
      <c r="G663" s="7">
        <v>-14.84</v>
      </c>
      <c r="H663" s="7">
        <v>-23.78</v>
      </c>
      <c r="I663" s="7">
        <v>-40.68</v>
      </c>
      <c r="J663" s="7">
        <v>-5.50999999999999</v>
      </c>
      <c r="K663" s="7">
        <v>96.57</v>
      </c>
      <c r="L663" s="7">
        <v>-20.92</v>
      </c>
      <c r="M663" s="7">
        <v>6.4499999999999904</v>
      </c>
      <c r="N663" s="7">
        <v>-48.89</v>
      </c>
      <c r="O663" s="7">
        <v>-51.17</v>
      </c>
      <c r="P663" s="7">
        <v>-51.91</v>
      </c>
      <c r="Q663" s="7">
        <v>-25.49</v>
      </c>
      <c r="R663" s="7">
        <v>-4.63</v>
      </c>
      <c r="S663" s="7">
        <v>87.78</v>
      </c>
      <c r="T663" s="7">
        <v>36.03</v>
      </c>
      <c r="U663" s="7">
        <v>104.4</v>
      </c>
      <c r="V663" s="7">
        <v>36.82</v>
      </c>
      <c r="W663" s="7">
        <v>19.510000000000002</v>
      </c>
      <c r="X663" s="7">
        <v>-2.8499999999999899</v>
      </c>
      <c r="Y663" s="7">
        <v>2.81</v>
      </c>
      <c r="Z663" s="9">
        <f>MAX($B$663:$Y$663)</f>
        <v>277.89999999999998</v>
      </c>
      <c r="AA663" s="9">
        <f>MIN($B$663:$Y$663)</f>
        <v>-51.91</v>
      </c>
      <c r="AB663" s="9">
        <f>AVERAGE($B$663:$Y$663)</f>
        <v>34.645000000000003</v>
      </c>
    </row>
    <row r="664" spans="1:28">
      <c r="A664" s="10">
        <v>45959</v>
      </c>
      <c r="B664" s="7">
        <v>1.5799999999999801</v>
      </c>
      <c r="C664" s="7">
        <v>78.84</v>
      </c>
      <c r="D664" s="7">
        <v>39.89</v>
      </c>
      <c r="E664" s="7">
        <v>24.72</v>
      </c>
      <c r="F664" s="7">
        <v>10.63</v>
      </c>
      <c r="G664" s="7">
        <v>21.92</v>
      </c>
      <c r="H664" s="7">
        <v>30.06</v>
      </c>
      <c r="I664" s="7">
        <v>-1.19</v>
      </c>
      <c r="J664" s="7">
        <v>3.1399999999999899</v>
      </c>
      <c r="K664" s="7">
        <v>99.58</v>
      </c>
      <c r="L664" s="7">
        <v>151.32</v>
      </c>
      <c r="M664" s="7">
        <v>103.65</v>
      </c>
      <c r="N664" s="7">
        <v>23.48</v>
      </c>
      <c r="O664" s="7">
        <v>20.55</v>
      </c>
      <c r="P664" s="7">
        <v>37.72</v>
      </c>
      <c r="Q664" s="7">
        <v>1.5699999999999901</v>
      </c>
      <c r="R664" s="7">
        <v>1.44</v>
      </c>
      <c r="S664" s="7">
        <v>5.99000000000001</v>
      </c>
      <c r="T664" s="7">
        <v>-19.52</v>
      </c>
      <c r="U664" s="7">
        <v>37.89</v>
      </c>
      <c r="V664" s="7">
        <v>33.78</v>
      </c>
      <c r="W664" s="7">
        <v>26.9</v>
      </c>
      <c r="X664" s="7">
        <v>4.4599999999999804</v>
      </c>
      <c r="Y664" s="7">
        <v>4.78</v>
      </c>
      <c r="Z664" s="9">
        <f>MAX($B$664:$Y$664)</f>
        <v>151.32</v>
      </c>
      <c r="AA664" s="9">
        <f>MIN($B$664:$Y$664)</f>
        <v>-19.52</v>
      </c>
      <c r="AB664" s="9">
        <f>AVERAGE($B$664:$Y$664)</f>
        <v>30.9658333333333</v>
      </c>
    </row>
    <row r="665" spans="1:28">
      <c r="A665" s="10">
        <v>45960</v>
      </c>
      <c r="B665" s="7">
        <v>-9.16</v>
      </c>
      <c r="C665" s="7">
        <v>-10.51</v>
      </c>
      <c r="D665" s="7">
        <v>-53.35</v>
      </c>
      <c r="E665" s="7">
        <v>33.82</v>
      </c>
      <c r="F665" s="7">
        <v>9.2899999999999903</v>
      </c>
      <c r="G665" s="7">
        <v>-2.7899999999999898</v>
      </c>
      <c r="H665" s="7">
        <v>-20.54</v>
      </c>
      <c r="I665" s="7">
        <v>-14.68</v>
      </c>
      <c r="J665" s="7">
        <v>-40.450000000000003</v>
      </c>
      <c r="K665" s="7">
        <v>-130.97999999999999</v>
      </c>
      <c r="L665" s="7">
        <v>-94.53</v>
      </c>
      <c r="M665" s="7">
        <v>-34.56</v>
      </c>
      <c r="N665" s="7">
        <v>-3.7299999999999902</v>
      </c>
      <c r="O665" s="7">
        <v>-67.13</v>
      </c>
      <c r="P665" s="7">
        <v>-21.8</v>
      </c>
      <c r="Q665" s="7">
        <v>-51.19</v>
      </c>
      <c r="R665" s="7">
        <v>-153.15</v>
      </c>
      <c r="S665" s="7">
        <v>-5.6599999999999699</v>
      </c>
      <c r="T665" s="7">
        <v>-52.55</v>
      </c>
      <c r="U665" s="7">
        <v>132.37</v>
      </c>
      <c r="V665" s="7">
        <v>12.02</v>
      </c>
      <c r="W665" s="7">
        <v>-23.42</v>
      </c>
      <c r="X665" s="7">
        <v>-77.760000000000005</v>
      </c>
      <c r="Y665" s="7">
        <v>-27.57</v>
      </c>
      <c r="Z665" s="9">
        <f>MAX($B$665:$Y$665)</f>
        <v>132.37</v>
      </c>
      <c r="AA665" s="9">
        <f>MIN($B$665:$Y$665)</f>
        <v>-153.15</v>
      </c>
      <c r="AB665" s="9">
        <f>AVERAGE($B$665:$Y$665)</f>
        <v>-29.500416666666698</v>
      </c>
    </row>
    <row r="666" spans="1:28">
      <c r="A666" s="10">
        <v>45961</v>
      </c>
      <c r="B666" s="7">
        <v>-79.290000000000006</v>
      </c>
      <c r="C666" s="7">
        <v>-62.1</v>
      </c>
      <c r="D666" s="7">
        <v>-32.61</v>
      </c>
      <c r="E666" s="7">
        <v>-11.12</v>
      </c>
      <c r="F666" s="7">
        <v>10.8800000000001</v>
      </c>
      <c r="G666" s="7">
        <v>10.44</v>
      </c>
      <c r="H666" s="7">
        <v>14.53</v>
      </c>
      <c r="I666" s="7">
        <v>7.75</v>
      </c>
      <c r="J666" s="7">
        <v>-13.77</v>
      </c>
      <c r="K666" s="7">
        <v>-21.21</v>
      </c>
      <c r="L666" s="7">
        <v>-10.51</v>
      </c>
      <c r="M666" s="7">
        <v>4.1299999999999697</v>
      </c>
      <c r="N666" s="7">
        <v>-46.7</v>
      </c>
      <c r="O666" s="7">
        <v>-16.64</v>
      </c>
      <c r="P666" s="7">
        <v>-1.69999999999999</v>
      </c>
      <c r="Q666" s="7">
        <v>16.41</v>
      </c>
      <c r="R666" s="7">
        <v>53.43</v>
      </c>
      <c r="S666" s="7">
        <v>129.01</v>
      </c>
      <c r="T666" s="7">
        <v>188.24</v>
      </c>
      <c r="U666" s="7">
        <v>208.82</v>
      </c>
      <c r="V666" s="7">
        <v>114.67</v>
      </c>
      <c r="W666" s="7">
        <v>33.950000000000003</v>
      </c>
      <c r="X666" s="7">
        <v>29.29</v>
      </c>
      <c r="Y666" s="7">
        <v>36.71</v>
      </c>
      <c r="Z666" s="9">
        <f>MAX($B$666:$Y$666)</f>
        <v>208.82</v>
      </c>
      <c r="AA666" s="9">
        <f>MIN($B$666:$Y$666)</f>
        <v>-79.290000000000006</v>
      </c>
      <c r="AB666" s="9">
        <f>AVERAGE($B$666:$Y$666)</f>
        <v>23.442083333333301</v>
      </c>
    </row>
    <row r="667" spans="1:28">
      <c r="A667" s="10">
        <v>45962</v>
      </c>
      <c r="B667" s="7">
        <v>84.94</v>
      </c>
      <c r="C667" s="7">
        <v>205.17</v>
      </c>
      <c r="D667" s="7">
        <v>71.569999999999993</v>
      </c>
      <c r="E667" s="7">
        <v>30.45</v>
      </c>
      <c r="F667" s="7">
        <v>21.29</v>
      </c>
      <c r="G667" s="7">
        <v>218.58</v>
      </c>
      <c r="H667" s="7">
        <v>17.25</v>
      </c>
      <c r="I667" s="7">
        <v>12.34</v>
      </c>
      <c r="J667" s="7">
        <v>24.47</v>
      </c>
      <c r="K667" s="7">
        <v>70.599999999999994</v>
      </c>
      <c r="L667" s="7">
        <v>128.74</v>
      </c>
      <c r="M667" s="7">
        <v>169.39</v>
      </c>
      <c r="N667" s="7">
        <v>161.52000000000001</v>
      </c>
      <c r="O667" s="7">
        <v>74.930000000000007</v>
      </c>
      <c r="P667" s="7">
        <v>38.07</v>
      </c>
      <c r="Q667" s="7">
        <v>4.76999999999998</v>
      </c>
      <c r="R667" s="7">
        <v>33.299999999999997</v>
      </c>
      <c r="S667" s="7">
        <v>142.03</v>
      </c>
      <c r="T667" s="7">
        <v>76.959999999999994</v>
      </c>
      <c r="U667" s="7">
        <v>141.99</v>
      </c>
      <c r="V667" s="7">
        <v>133.68</v>
      </c>
      <c r="W667" s="7">
        <v>111.77</v>
      </c>
      <c r="X667" s="7">
        <v>31.9</v>
      </c>
      <c r="Y667" s="7">
        <v>16.440000000000001</v>
      </c>
      <c r="Z667" s="9">
        <f>MAX($B$667:$Y$667)</f>
        <v>218.58</v>
      </c>
      <c r="AA667" s="9">
        <f>MIN($B$667:$Y$667)</f>
        <v>4.76999999999998</v>
      </c>
      <c r="AB667" s="9">
        <f>AVERAGE($B$667:$Y$667)</f>
        <v>84.256249999999994</v>
      </c>
    </row>
    <row r="668" spans="1:28">
      <c r="A668" s="10">
        <v>45963</v>
      </c>
      <c r="B668" s="7">
        <v>-98.9</v>
      </c>
      <c r="C668" s="7">
        <v>33.28</v>
      </c>
      <c r="D668" s="7">
        <v>58.62</v>
      </c>
      <c r="E668" s="7">
        <v>41.39</v>
      </c>
      <c r="F668" s="7">
        <v>48.37</v>
      </c>
      <c r="G668" s="7">
        <v>43.4</v>
      </c>
      <c r="H668" s="7">
        <v>38.24</v>
      </c>
      <c r="I668" s="7">
        <v>87.19</v>
      </c>
      <c r="J668" s="7">
        <v>132.19</v>
      </c>
      <c r="K668" s="7">
        <v>161.6</v>
      </c>
      <c r="L668" s="7">
        <v>91.78</v>
      </c>
      <c r="M668" s="7">
        <v>94.62</v>
      </c>
      <c r="N668" s="7">
        <v>109.19</v>
      </c>
      <c r="O668" s="7">
        <v>71.239999999999995</v>
      </c>
      <c r="P668" s="7">
        <v>-33.28</v>
      </c>
      <c r="Q668" s="7">
        <v>31.63</v>
      </c>
      <c r="R668" s="7">
        <v>-18.03</v>
      </c>
      <c r="S668" s="7">
        <v>-10.31</v>
      </c>
      <c r="T668" s="7">
        <v>4.26999999999998</v>
      </c>
      <c r="U668" s="7">
        <v>-29.24</v>
      </c>
      <c r="V668" s="7">
        <v>-29.95</v>
      </c>
      <c r="W668" s="7">
        <v>13.97</v>
      </c>
      <c r="X668" s="7">
        <v>5.5799999999999796</v>
      </c>
      <c r="Y668" s="7">
        <v>15.54</v>
      </c>
      <c r="Z668" s="9">
        <f>MAX($B$668:$Y$668)</f>
        <v>161.6</v>
      </c>
      <c r="AA668" s="9">
        <f>MIN($B$668:$Y$668)</f>
        <v>-98.9</v>
      </c>
      <c r="AB668" s="9">
        <f>AVERAGE($B$668:$Y$668)</f>
        <v>35.932916666666699</v>
      </c>
    </row>
    <row r="669" spans="1:28">
      <c r="A669" s="10">
        <v>45964</v>
      </c>
      <c r="B669" s="7">
        <v>-20.440000000000001</v>
      </c>
      <c r="C669" s="7">
        <v>24.4</v>
      </c>
      <c r="D669" s="7">
        <v>7.3900000000000103</v>
      </c>
      <c r="E669" s="7">
        <v>79.459999999999994</v>
      </c>
      <c r="F669" s="7">
        <v>100.46</v>
      </c>
      <c r="G669" s="7">
        <v>115.99</v>
      </c>
      <c r="H669" s="7">
        <v>46.19</v>
      </c>
      <c r="I669" s="7">
        <v>-11.56</v>
      </c>
      <c r="J669" s="7">
        <v>-132.43</v>
      </c>
      <c r="K669" s="7">
        <v>-270.37</v>
      </c>
      <c r="L669" s="7">
        <v>-59.11</v>
      </c>
      <c r="M669" s="7">
        <v>-78.64</v>
      </c>
      <c r="N669" s="7">
        <v>-20.96</v>
      </c>
      <c r="O669" s="7">
        <v>-71.87</v>
      </c>
      <c r="P669" s="7">
        <v>-112.68</v>
      </c>
      <c r="Q669" s="7">
        <v>-43.94</v>
      </c>
      <c r="R669" s="7">
        <v>-69.37</v>
      </c>
      <c r="S669" s="7">
        <v>-124.82</v>
      </c>
      <c r="T669" s="7">
        <v>-6.5300000000000296</v>
      </c>
      <c r="U669" s="7">
        <v>-42.77</v>
      </c>
      <c r="V669" s="7">
        <v>68.66</v>
      </c>
      <c r="W669" s="7">
        <v>25.87</v>
      </c>
      <c r="X669" s="7">
        <v>19.41</v>
      </c>
      <c r="Y669" s="7">
        <v>2.06</v>
      </c>
      <c r="Z669" s="9">
        <f>MAX($B$669:$Y$669)</f>
        <v>115.99</v>
      </c>
      <c r="AA669" s="9">
        <f>MIN($B$669:$Y$669)</f>
        <v>-270.37</v>
      </c>
      <c r="AB669" s="9">
        <f>AVERAGE($B$669:$Y$669)</f>
        <v>-23.983333333333299</v>
      </c>
    </row>
    <row r="670" spans="1:28">
      <c r="A670" s="10">
        <v>45965</v>
      </c>
      <c r="B670" s="7">
        <v>-2.98000000000002</v>
      </c>
      <c r="C670" s="7">
        <v>8.3000000000000096</v>
      </c>
      <c r="D670" s="7">
        <v>12</v>
      </c>
      <c r="E670" s="7">
        <v>10.46</v>
      </c>
      <c r="F670" s="7">
        <v>15.86</v>
      </c>
      <c r="G670" s="7">
        <v>17.18</v>
      </c>
      <c r="H670" s="7">
        <v>11.86</v>
      </c>
      <c r="I670" s="7">
        <v>-61.63</v>
      </c>
      <c r="J670" s="7">
        <v>-102.63</v>
      </c>
      <c r="K670" s="7">
        <v>-18.7</v>
      </c>
      <c r="L670" s="7">
        <v>-22.83</v>
      </c>
      <c r="M670" s="7">
        <v>1.87</v>
      </c>
      <c r="N670" s="7">
        <v>-49.6</v>
      </c>
      <c r="O670" s="7">
        <v>12.16</v>
      </c>
      <c r="P670" s="7">
        <v>37.72</v>
      </c>
      <c r="Q670" s="7">
        <v>23.37</v>
      </c>
      <c r="R670" s="7">
        <v>76.489999999999995</v>
      </c>
      <c r="S670" s="7">
        <v>188.77</v>
      </c>
      <c r="T670" s="7">
        <v>183.33</v>
      </c>
      <c r="U670" s="7">
        <v>210.47</v>
      </c>
      <c r="V670" s="7">
        <v>176.41</v>
      </c>
      <c r="W670" s="7">
        <v>82.3</v>
      </c>
      <c r="X670" s="7">
        <v>31.45</v>
      </c>
      <c r="Y670" s="7">
        <v>11.39</v>
      </c>
      <c r="Z670" s="9">
        <f>MAX($B$670:$Y$670)</f>
        <v>210.47</v>
      </c>
      <c r="AA670" s="9">
        <f>MIN($B$670:$Y$670)</f>
        <v>-102.63</v>
      </c>
      <c r="AB670" s="9">
        <f>AVERAGE($B$670:$Y$670)</f>
        <v>35.542499999999997</v>
      </c>
    </row>
    <row r="671" spans="1:28">
      <c r="A671" s="10">
        <v>45966</v>
      </c>
      <c r="B671" s="7">
        <v>13.7</v>
      </c>
      <c r="C671" s="7">
        <v>20.309999999999999</v>
      </c>
      <c r="D671" s="7">
        <v>16</v>
      </c>
      <c r="E671" s="7">
        <v>13.52</v>
      </c>
      <c r="F671" s="7">
        <v>7.5399999999999601</v>
      </c>
      <c r="G671" s="7">
        <v>7.16</v>
      </c>
      <c r="H671" s="7">
        <v>8</v>
      </c>
      <c r="I671" s="7">
        <v>3.05000000000001</v>
      </c>
      <c r="J671" s="7">
        <v>38.46</v>
      </c>
      <c r="K671" s="7">
        <v>53.58</v>
      </c>
      <c r="L671" s="7">
        <v>114.05</v>
      </c>
      <c r="M671" s="7">
        <v>82.22</v>
      </c>
      <c r="N671" s="7">
        <v>138.69999999999999</v>
      </c>
      <c r="O671" s="7">
        <v>68.19</v>
      </c>
      <c r="P671" s="7">
        <v>10.67</v>
      </c>
      <c r="Q671" s="7">
        <v>11.49</v>
      </c>
      <c r="R671" s="7">
        <v>97.39</v>
      </c>
      <c r="S671" s="7">
        <v>135.28</v>
      </c>
      <c r="T671" s="7">
        <v>178.15</v>
      </c>
      <c r="U671" s="7">
        <v>237.13</v>
      </c>
      <c r="V671" s="7">
        <v>135.76</v>
      </c>
      <c r="W671" s="7">
        <v>103.01</v>
      </c>
      <c r="X671" s="7">
        <v>30.01</v>
      </c>
      <c r="Y671" s="7">
        <v>7.5500000000000096</v>
      </c>
      <c r="Z671" s="9">
        <f>MAX($B$671:$Y$671)</f>
        <v>237.13</v>
      </c>
      <c r="AA671" s="9">
        <f>MIN($B$671:$Y$671)</f>
        <v>3.05000000000001</v>
      </c>
      <c r="AB671" s="9">
        <f>AVERAGE($B$671:$Y$671)</f>
        <v>63.788333333333298</v>
      </c>
    </row>
    <row r="672" spans="1:28">
      <c r="A672" s="10">
        <v>45967</v>
      </c>
      <c r="B672" s="7">
        <v>1.98999999999995</v>
      </c>
      <c r="C672" s="7">
        <v>8.6499999999999808</v>
      </c>
      <c r="D672" s="7">
        <v>11.11</v>
      </c>
      <c r="E672" s="7">
        <v>14.1</v>
      </c>
      <c r="F672" s="7">
        <v>34.57</v>
      </c>
      <c r="G672" s="7">
        <v>14.22</v>
      </c>
      <c r="H672" s="7">
        <v>10.690000000000101</v>
      </c>
      <c r="I672" s="7">
        <v>8.9099999999999699</v>
      </c>
      <c r="J672" s="7">
        <v>4.63</v>
      </c>
      <c r="K672" s="7">
        <v>60.25</v>
      </c>
      <c r="L672" s="7">
        <v>29.81</v>
      </c>
      <c r="M672" s="7">
        <v>37.06</v>
      </c>
      <c r="N672" s="7">
        <v>87.51</v>
      </c>
      <c r="O672" s="7">
        <v>77.83</v>
      </c>
      <c r="P672" s="7">
        <v>39.65</v>
      </c>
      <c r="Q672" s="7">
        <v>29.61</v>
      </c>
      <c r="R672" s="7">
        <v>-72.459999999999994</v>
      </c>
      <c r="S672" s="7">
        <v>106.19</v>
      </c>
      <c r="T672" s="7">
        <v>148.02000000000001</v>
      </c>
      <c r="U672" s="7">
        <v>161.5</v>
      </c>
      <c r="V672" s="7">
        <v>170.67</v>
      </c>
      <c r="W672" s="7">
        <v>153.9</v>
      </c>
      <c r="X672" s="7">
        <v>53.32</v>
      </c>
      <c r="Y672" s="7">
        <v>33.69</v>
      </c>
      <c r="Z672" s="9">
        <f>MAX($B$672:$Y$672)</f>
        <v>170.67</v>
      </c>
      <c r="AA672" s="9">
        <f>MIN($B$672:$Y$672)</f>
        <v>-72.459999999999994</v>
      </c>
      <c r="AB672" s="9">
        <f>AVERAGE($B$672:$Y$672)</f>
        <v>51.059166666666698</v>
      </c>
    </row>
    <row r="673" spans="1:28">
      <c r="A673" s="10">
        <v>45968</v>
      </c>
      <c r="B673" s="7">
        <v>7.49000000000001</v>
      </c>
      <c r="C673" s="7">
        <v>7.8399999999999697</v>
      </c>
      <c r="D673" s="7">
        <v>17.760000000000002</v>
      </c>
      <c r="E673" s="7">
        <v>23.66</v>
      </c>
      <c r="F673" s="7">
        <v>65.64</v>
      </c>
      <c r="G673" s="7">
        <v>37.76</v>
      </c>
      <c r="H673" s="7">
        <v>14.49</v>
      </c>
      <c r="I673" s="7">
        <v>15.52</v>
      </c>
      <c r="J673" s="7">
        <v>22.81</v>
      </c>
      <c r="K673" s="7">
        <v>27.71</v>
      </c>
      <c r="L673" s="7">
        <v>57.65</v>
      </c>
      <c r="M673" s="7">
        <v>46.74</v>
      </c>
      <c r="N673" s="7">
        <v>22.25</v>
      </c>
      <c r="O673" s="7">
        <v>53.28</v>
      </c>
      <c r="P673" s="7">
        <v>38.89</v>
      </c>
      <c r="Q673" s="7">
        <v>27.21</v>
      </c>
      <c r="R673" s="7">
        <v>42.16</v>
      </c>
      <c r="S673" s="7">
        <v>28.03</v>
      </c>
      <c r="T673" s="7">
        <v>16.48</v>
      </c>
      <c r="U673" s="7">
        <v>83.36</v>
      </c>
      <c r="V673" s="7">
        <v>43.19</v>
      </c>
      <c r="W673" s="7">
        <v>-3.5</v>
      </c>
      <c r="X673" s="7">
        <v>-5.1399999999999899</v>
      </c>
      <c r="Y673" s="7">
        <v>-12.91</v>
      </c>
      <c r="Z673" s="9">
        <f>MAX($B$673:$Y$673)</f>
        <v>83.36</v>
      </c>
      <c r="AA673" s="9">
        <f>MIN($B$673:$Y$673)</f>
        <v>-12.91</v>
      </c>
      <c r="AB673" s="9">
        <f>AVERAGE($B$673:$Y$673)</f>
        <v>28.265416666666699</v>
      </c>
    </row>
    <row r="674" spans="1:28">
      <c r="A674" s="10">
        <v>45969</v>
      </c>
      <c r="B674" s="7">
        <v>-56.59</v>
      </c>
      <c r="C674" s="7">
        <v>-15.37</v>
      </c>
      <c r="D674" s="7">
        <v>-19.7</v>
      </c>
      <c r="E674" s="7">
        <v>-16.98</v>
      </c>
      <c r="F674" s="7">
        <v>-10.32</v>
      </c>
      <c r="G674" s="7">
        <v>-21.31</v>
      </c>
      <c r="H674" s="7">
        <v>-20.7</v>
      </c>
      <c r="I674" s="7">
        <v>-24.76</v>
      </c>
      <c r="J674" s="7">
        <v>-34.18</v>
      </c>
      <c r="K674" s="7">
        <v>-1.9200000000000199</v>
      </c>
      <c r="L674" s="7">
        <v>2.75</v>
      </c>
      <c r="M674" s="7">
        <v>2.3299999999999801</v>
      </c>
      <c r="N674" s="7">
        <v>31.13</v>
      </c>
      <c r="O674" s="7">
        <v>-0.94999999999998896</v>
      </c>
      <c r="P674" s="7">
        <v>-12.51</v>
      </c>
      <c r="Q674" s="7">
        <v>-32.909999999999997</v>
      </c>
      <c r="R674" s="7">
        <v>-54.51</v>
      </c>
      <c r="S674" s="7">
        <v>-41.27</v>
      </c>
      <c r="T674" s="7">
        <v>-7.1599999999999699</v>
      </c>
      <c r="U674" s="7">
        <v>10.11</v>
      </c>
      <c r="V674" s="7">
        <v>-13.96</v>
      </c>
      <c r="W674" s="7">
        <v>-0.12999999999999501</v>
      </c>
      <c r="X674" s="7">
        <v>1.55000000000001</v>
      </c>
      <c r="Y674" s="7">
        <v>-3.81</v>
      </c>
      <c r="Z674" s="9">
        <f>MAX($B$674:$Y$674)</f>
        <v>31.13</v>
      </c>
      <c r="AA674" s="9">
        <f>MIN($B$674:$Y$674)</f>
        <v>-56.59</v>
      </c>
      <c r="AB674" s="9">
        <f>AVERAGE($B$674:$Y$674)</f>
        <v>-14.2154166666667</v>
      </c>
    </row>
    <row r="675" spans="1:28">
      <c r="A675" s="10">
        <v>45970</v>
      </c>
      <c r="B675" s="7">
        <v>-26.29</v>
      </c>
      <c r="C675" s="7">
        <v>-11.72</v>
      </c>
      <c r="D675" s="7">
        <v>-3.0999999999999699</v>
      </c>
      <c r="E675" s="7">
        <v>-6.9599999999999804</v>
      </c>
      <c r="F675" s="7">
        <v>-11.27</v>
      </c>
      <c r="G675" s="7">
        <v>-9.32000000000005</v>
      </c>
      <c r="H675" s="7">
        <v>-7.2799999999999701</v>
      </c>
      <c r="I675" s="7">
        <v>-11.33</v>
      </c>
      <c r="J675" s="7">
        <v>8.6599999999999699</v>
      </c>
      <c r="K675" s="7">
        <v>31.18</v>
      </c>
      <c r="L675" s="7">
        <v>56.1</v>
      </c>
      <c r="M675" s="7">
        <v>34.06</v>
      </c>
      <c r="N675" s="7">
        <v>35.79</v>
      </c>
      <c r="O675" s="7">
        <v>10.96</v>
      </c>
      <c r="P675" s="7">
        <v>1</v>
      </c>
      <c r="Q675" s="7">
        <v>-19.09</v>
      </c>
      <c r="R675" s="7">
        <v>-17.829999999999998</v>
      </c>
      <c r="S675" s="7">
        <v>11.3</v>
      </c>
      <c r="T675" s="7">
        <v>41.02</v>
      </c>
      <c r="U675" s="7">
        <v>38.5</v>
      </c>
      <c r="V675" s="7">
        <v>17.52</v>
      </c>
      <c r="W675" s="7">
        <v>19.55</v>
      </c>
      <c r="X675" s="7">
        <v>20.71</v>
      </c>
      <c r="Y675" s="7">
        <v>11.15</v>
      </c>
      <c r="Z675" s="9">
        <f>MAX($B$675:$Y$675)</f>
        <v>56.1</v>
      </c>
      <c r="AA675" s="9">
        <f>MIN($B$675:$Y$675)</f>
        <v>-26.29</v>
      </c>
      <c r="AB675" s="9">
        <f>AVERAGE($B$675:$Y$675)</f>
        <v>8.8879166666666691</v>
      </c>
    </row>
    <row r="676" spans="1:28">
      <c r="A676" s="10">
        <v>45971</v>
      </c>
      <c r="B676" s="7">
        <v>2.9200000000000199</v>
      </c>
      <c r="C676" s="7">
        <v>4.83000000000004</v>
      </c>
      <c r="D676" s="7">
        <v>16.170000000000002</v>
      </c>
      <c r="E676" s="7">
        <v>30.11</v>
      </c>
      <c r="F676" s="7">
        <v>52</v>
      </c>
      <c r="G676" s="7">
        <v>69.94</v>
      </c>
      <c r="H676" s="7">
        <v>28.57</v>
      </c>
      <c r="I676" s="7">
        <v>21.41</v>
      </c>
      <c r="J676" s="7">
        <v>52.25</v>
      </c>
      <c r="K676" s="7">
        <v>119.66</v>
      </c>
      <c r="L676" s="7">
        <v>33.229999999999997</v>
      </c>
      <c r="M676" s="7">
        <v>10.49</v>
      </c>
      <c r="N676" s="7">
        <v>46.02</v>
      </c>
      <c r="O676" s="7">
        <v>67.5</v>
      </c>
      <c r="P676" s="7">
        <v>84.17</v>
      </c>
      <c r="Q676" s="7">
        <v>27.49</v>
      </c>
      <c r="R676" s="7">
        <v>20.62</v>
      </c>
      <c r="S676" s="7">
        <v>11.97</v>
      </c>
      <c r="T676" s="7">
        <v>-1.54000000000002</v>
      </c>
      <c r="U676" s="7">
        <v>19.36</v>
      </c>
      <c r="V676" s="7">
        <v>17.34</v>
      </c>
      <c r="W676" s="7">
        <v>12.18</v>
      </c>
      <c r="X676" s="7">
        <v>13.68</v>
      </c>
      <c r="Y676" s="7">
        <v>11.72</v>
      </c>
      <c r="Z676" s="9">
        <f>MAX($B$676:$Y$676)</f>
        <v>119.66</v>
      </c>
      <c r="AA676" s="9">
        <f>MIN($B$676:$Y$676)</f>
        <v>-1.54000000000002</v>
      </c>
      <c r="AB676" s="9">
        <f>AVERAGE($B$676:$Y$676)</f>
        <v>32.170416666666704</v>
      </c>
    </row>
    <row r="677" spans="1:28">
      <c r="A677" s="10">
        <v>45972</v>
      </c>
      <c r="B677" s="7">
        <v>-8.00000000000409E-2</v>
      </c>
      <c r="C677" s="7">
        <v>0.58999999999997499</v>
      </c>
      <c r="D677" s="7">
        <v>-3.29000000000002</v>
      </c>
      <c r="E677" s="7">
        <v>-2.0200000000000098</v>
      </c>
      <c r="F677" s="7">
        <v>18.87</v>
      </c>
      <c r="G677" s="7">
        <v>4.22</v>
      </c>
      <c r="H677" s="7">
        <v>8.4599999999999795</v>
      </c>
      <c r="I677" s="7">
        <v>10.43</v>
      </c>
      <c r="J677" s="7">
        <v>-4.51999999999998</v>
      </c>
      <c r="K677" s="7">
        <v>68.2</v>
      </c>
      <c r="L677" s="7">
        <v>31.53</v>
      </c>
      <c r="M677" s="7">
        <v>5.9000000000000101</v>
      </c>
      <c r="N677" s="7">
        <v>49.25</v>
      </c>
      <c r="O677" s="7">
        <v>0.230000000000018</v>
      </c>
      <c r="P677" s="7">
        <v>-22.49</v>
      </c>
      <c r="Q677" s="7">
        <v>33.57</v>
      </c>
      <c r="R677" s="7">
        <v>4.1600000000000303</v>
      </c>
      <c r="S677" s="7">
        <v>2.37</v>
      </c>
      <c r="T677" s="7">
        <v>-9.3199999999999896</v>
      </c>
      <c r="U677" s="7">
        <v>0.96999999999997</v>
      </c>
      <c r="V677" s="7">
        <v>6.4799999999999596</v>
      </c>
      <c r="W677" s="7">
        <v>8.6100000000000101</v>
      </c>
      <c r="X677" s="7">
        <v>10.96</v>
      </c>
      <c r="Y677" s="7">
        <v>62.32</v>
      </c>
      <c r="Z677" s="9">
        <f>MAX($B$677:$Y$677)</f>
        <v>68.2</v>
      </c>
      <c r="AA677" s="9">
        <f>MIN($B$677:$Y$677)</f>
        <v>-22.49</v>
      </c>
      <c r="AB677" s="9">
        <f>AVERAGE($B$677:$Y$677)</f>
        <v>11.891666666666699</v>
      </c>
    </row>
    <row r="678" spans="1:28">
      <c r="A678" s="10">
        <v>45973</v>
      </c>
      <c r="B678" s="7">
        <v>42.27</v>
      </c>
      <c r="C678" s="7">
        <v>18</v>
      </c>
      <c r="D678" s="7">
        <v>53.38</v>
      </c>
      <c r="E678" s="7">
        <v>165.46</v>
      </c>
      <c r="F678" s="7">
        <v>109.35</v>
      </c>
      <c r="G678" s="7">
        <v>123.83</v>
      </c>
      <c r="H678" s="7">
        <v>56.61</v>
      </c>
      <c r="I678" s="7">
        <v>4.75</v>
      </c>
      <c r="J678" s="7">
        <v>50.23</v>
      </c>
      <c r="K678" s="7">
        <v>109.23</v>
      </c>
      <c r="L678" s="7">
        <v>142.18</v>
      </c>
      <c r="M678" s="7">
        <v>133.91</v>
      </c>
      <c r="N678" s="7">
        <v>51.16</v>
      </c>
      <c r="O678" s="7">
        <v>21.18</v>
      </c>
      <c r="P678" s="7">
        <v>58.58</v>
      </c>
      <c r="Q678" s="7">
        <v>0.84999999999999398</v>
      </c>
      <c r="R678" s="7">
        <v>8.9200000000000195</v>
      </c>
      <c r="S678" s="7">
        <v>-9.5100000000000495</v>
      </c>
      <c r="T678" s="7">
        <v>-60.4</v>
      </c>
      <c r="U678" s="7">
        <v>-9.8499999999999694</v>
      </c>
      <c r="V678" s="7">
        <v>2.23000000000002</v>
      </c>
      <c r="W678" s="7">
        <v>7.31</v>
      </c>
      <c r="X678" s="7">
        <v>16.66</v>
      </c>
      <c r="Y678" s="7">
        <v>38</v>
      </c>
      <c r="Z678" s="9">
        <f>MAX($B$678:$Y$678)</f>
        <v>165.46</v>
      </c>
      <c r="AA678" s="9">
        <f>MIN($B$678:$Y$678)</f>
        <v>-60.4</v>
      </c>
      <c r="AB678" s="9">
        <f>AVERAGE($B$678:$Y$678)</f>
        <v>47.263750000000002</v>
      </c>
    </row>
    <row r="679" spans="1:28">
      <c r="A679" s="10">
        <v>45974</v>
      </c>
      <c r="B679" s="7">
        <v>10.76</v>
      </c>
      <c r="C679" s="7">
        <v>20.8</v>
      </c>
      <c r="D679" s="7">
        <v>49.5</v>
      </c>
      <c r="E679" s="7">
        <v>57.92</v>
      </c>
      <c r="F679" s="7">
        <v>104.84</v>
      </c>
      <c r="G679" s="7">
        <v>62.9</v>
      </c>
      <c r="H679" s="7">
        <v>15.93</v>
      </c>
      <c r="I679" s="7">
        <v>2.8499999999999899</v>
      </c>
      <c r="J679" s="7">
        <v>-17.68</v>
      </c>
      <c r="K679" s="7">
        <v>18.16</v>
      </c>
      <c r="L679" s="7">
        <v>96.81</v>
      </c>
      <c r="M679" s="7">
        <v>21.81</v>
      </c>
      <c r="N679" s="7">
        <v>5.66</v>
      </c>
      <c r="O679" s="7">
        <v>6.09</v>
      </c>
      <c r="P679" s="7">
        <v>11.45</v>
      </c>
      <c r="Q679" s="7">
        <v>9.2599999999999891</v>
      </c>
      <c r="R679" s="7">
        <v>13.49</v>
      </c>
      <c r="S679" s="7">
        <v>-32.57</v>
      </c>
      <c r="T679" s="7">
        <v>-61.72</v>
      </c>
      <c r="U679" s="7">
        <v>-1.3600000000000101</v>
      </c>
      <c r="V679" s="7">
        <v>2.3299999999999801</v>
      </c>
      <c r="W679" s="7">
        <v>1.5</v>
      </c>
      <c r="X679" s="7">
        <v>24.12</v>
      </c>
      <c r="Y679" s="7">
        <v>85.51</v>
      </c>
      <c r="Z679" s="9">
        <f>MAX($B$679:$Y$679)</f>
        <v>104.84</v>
      </c>
      <c r="AA679" s="9">
        <f>MIN($B$679:$Y$679)</f>
        <v>-61.72</v>
      </c>
      <c r="AB679" s="9">
        <f>AVERAGE($B$679:$Y$679)</f>
        <v>21.1816666666667</v>
      </c>
    </row>
    <row r="680" spans="1:28">
      <c r="A680" s="10">
        <v>45975</v>
      </c>
      <c r="B680" s="7">
        <v>9.2599999999999891</v>
      </c>
      <c r="C680" s="7">
        <v>16.5</v>
      </c>
      <c r="D680" s="7">
        <v>71.8</v>
      </c>
      <c r="E680" s="7">
        <v>113.11</v>
      </c>
      <c r="F680" s="7">
        <v>117.15</v>
      </c>
      <c r="G680" s="7">
        <v>129.34</v>
      </c>
      <c r="H680" s="7">
        <v>19.559999999999999</v>
      </c>
      <c r="I680" s="7">
        <v>13.74</v>
      </c>
      <c r="J680" s="7">
        <v>-10.54</v>
      </c>
      <c r="K680" s="7">
        <v>30.51</v>
      </c>
      <c r="L680" s="7">
        <v>79</v>
      </c>
      <c r="M680" s="7">
        <v>122.45</v>
      </c>
      <c r="N680" s="7">
        <v>81.91</v>
      </c>
      <c r="O680" s="7">
        <v>89.35</v>
      </c>
      <c r="P680" s="7">
        <v>132.24</v>
      </c>
      <c r="Q680" s="7">
        <v>48.58</v>
      </c>
      <c r="R680" s="7">
        <v>-12.53</v>
      </c>
      <c r="S680" s="7">
        <v>-12.04</v>
      </c>
      <c r="T680" s="7">
        <v>-93.2</v>
      </c>
      <c r="U680" s="7">
        <v>-41.46</v>
      </c>
      <c r="V680" s="7">
        <v>-11.26</v>
      </c>
      <c r="W680" s="7">
        <v>0.64000000000004298</v>
      </c>
      <c r="X680" s="7">
        <v>-16.8</v>
      </c>
      <c r="Y680" s="7">
        <v>-24.62</v>
      </c>
      <c r="Z680" s="9">
        <f>MAX($B$680:$Y$680)</f>
        <v>132.24</v>
      </c>
      <c r="AA680" s="9">
        <f>MIN($B$680:$Y$680)</f>
        <v>-93.2</v>
      </c>
      <c r="AB680" s="9">
        <f>AVERAGE($B$680:$Y$680)</f>
        <v>35.528750000000002</v>
      </c>
    </row>
    <row r="681" spans="1:28">
      <c r="A681" s="10">
        <v>45976</v>
      </c>
      <c r="B681" s="7">
        <v>-16.66</v>
      </c>
      <c r="C681" s="7">
        <v>-7.5999999999999703</v>
      </c>
      <c r="D681" s="7">
        <v>-9.8499999999999908</v>
      </c>
      <c r="E681" s="7">
        <v>3.31</v>
      </c>
      <c r="F681" s="7">
        <v>30.43</v>
      </c>
      <c r="G681" s="7">
        <v>82</v>
      </c>
      <c r="H681" s="7">
        <v>8.6300000000000008</v>
      </c>
      <c r="I681" s="7">
        <v>13.04</v>
      </c>
      <c r="J681" s="7">
        <v>46.21</v>
      </c>
      <c r="K681" s="7">
        <v>58.21</v>
      </c>
      <c r="L681" s="7">
        <v>46.37</v>
      </c>
      <c r="M681" s="7">
        <v>76.8</v>
      </c>
      <c r="N681" s="7">
        <v>21.69</v>
      </c>
      <c r="O681" s="7">
        <v>53.27</v>
      </c>
      <c r="P681" s="7">
        <v>83.98</v>
      </c>
      <c r="Q681" s="7">
        <v>71.739999999999995</v>
      </c>
      <c r="R681" s="7">
        <v>32.549999999999997</v>
      </c>
      <c r="S681" s="7">
        <v>-25.84</v>
      </c>
      <c r="T681" s="7">
        <v>-31.66</v>
      </c>
      <c r="U681" s="7">
        <v>-13.79</v>
      </c>
      <c r="V681" s="7">
        <v>-5.62</v>
      </c>
      <c r="W681" s="7">
        <v>-11.99</v>
      </c>
      <c r="X681" s="7">
        <v>-3.33000000000004</v>
      </c>
      <c r="Y681" s="7">
        <v>-2.8199999999999901</v>
      </c>
      <c r="Z681" s="9">
        <f>MAX($B$681:$Y$681)</f>
        <v>83.98</v>
      </c>
      <c r="AA681" s="9">
        <f>MIN($B$681:$Y$681)</f>
        <v>-31.66</v>
      </c>
      <c r="AB681" s="9">
        <f>AVERAGE($B$681:$Y$681)</f>
        <v>20.7945833333333</v>
      </c>
    </row>
    <row r="682" spans="1:28">
      <c r="A682" s="10">
        <v>45977</v>
      </c>
      <c r="B682" s="7">
        <v>-4.99000000000001</v>
      </c>
      <c r="C682" s="7">
        <v>-8.7600000000000193</v>
      </c>
      <c r="D682" s="7">
        <v>38.29</v>
      </c>
      <c r="E682" s="7">
        <v>72.319999999999993</v>
      </c>
      <c r="F682" s="7">
        <v>92.91</v>
      </c>
      <c r="G682" s="7">
        <v>104.13</v>
      </c>
      <c r="H682" s="7">
        <v>125.45</v>
      </c>
      <c r="I682" s="7">
        <v>151.68</v>
      </c>
      <c r="J682" s="7">
        <v>93.77</v>
      </c>
      <c r="K682" s="7">
        <v>55.13</v>
      </c>
      <c r="L682" s="7">
        <v>32.06</v>
      </c>
      <c r="M682" s="7">
        <v>15.41</v>
      </c>
      <c r="N682" s="7">
        <v>-4.32</v>
      </c>
      <c r="O682" s="7">
        <v>-4.49</v>
      </c>
      <c r="P682" s="7">
        <v>1.48</v>
      </c>
      <c r="Q682" s="7">
        <v>97.89</v>
      </c>
      <c r="R682" s="7">
        <v>97.37</v>
      </c>
      <c r="S682" s="7">
        <v>23.69</v>
      </c>
      <c r="T682" s="7">
        <v>-23.47</v>
      </c>
      <c r="U682" s="7">
        <v>-35.869999999999997</v>
      </c>
      <c r="V682" s="7">
        <v>-32.270000000000003</v>
      </c>
      <c r="W682" s="7">
        <v>-10.59</v>
      </c>
      <c r="X682" s="7">
        <v>5.1400000000000396</v>
      </c>
      <c r="Y682" s="7">
        <v>-8.2200000000000006</v>
      </c>
      <c r="Z682" s="9">
        <f>MAX($B$682:$Y$682)</f>
        <v>151.68</v>
      </c>
      <c r="AA682" s="9">
        <f>MIN($B$682:$Y$682)</f>
        <v>-35.869999999999997</v>
      </c>
      <c r="AB682" s="9">
        <f>AVERAGE($B$682:$Y$682)</f>
        <v>36.405833333333298</v>
      </c>
    </row>
    <row r="683" spans="1:28">
      <c r="A683" s="10">
        <v>45978</v>
      </c>
      <c r="B683" s="7">
        <v>-14.44</v>
      </c>
      <c r="C683" s="7">
        <v>-12.12</v>
      </c>
      <c r="D683" s="7">
        <v>-6.4600000000000097</v>
      </c>
      <c r="E683" s="7">
        <v>-1.3300000000000101</v>
      </c>
      <c r="F683" s="7">
        <v>-0.78000000000000103</v>
      </c>
      <c r="G683" s="7">
        <v>-10.220000000000001</v>
      </c>
      <c r="H683" s="7">
        <v>-12.46</v>
      </c>
      <c r="I683" s="7">
        <v>-9.3000000000000096</v>
      </c>
      <c r="J683" s="7">
        <v>-10.33</v>
      </c>
      <c r="K683" s="7">
        <v>8.0399999999999903</v>
      </c>
      <c r="L683" s="7">
        <v>12.15</v>
      </c>
      <c r="M683" s="7">
        <v>-27.5</v>
      </c>
      <c r="N683" s="7">
        <v>-0.29999999999999699</v>
      </c>
      <c r="O683" s="7">
        <v>2.69999999999999</v>
      </c>
      <c r="P683" s="7">
        <v>15.18</v>
      </c>
      <c r="Q683" s="7">
        <v>-3.74000000000001</v>
      </c>
      <c r="R683" s="7">
        <v>-15.26</v>
      </c>
      <c r="S683" s="7">
        <v>-27.46</v>
      </c>
      <c r="T683" s="7">
        <v>-50.24</v>
      </c>
      <c r="U683" s="7">
        <v>-21.73</v>
      </c>
      <c r="V683" s="7">
        <v>-19</v>
      </c>
      <c r="W683" s="7">
        <v>-19.68</v>
      </c>
      <c r="X683" s="7">
        <v>-18.57</v>
      </c>
      <c r="Y683" s="7">
        <v>-61.68</v>
      </c>
      <c r="Z683" s="9">
        <f>MAX($B$683:$Y$683)</f>
        <v>15.18</v>
      </c>
      <c r="AA683" s="9">
        <f>MIN($B$683:$Y$683)</f>
        <v>-61.68</v>
      </c>
      <c r="AB683" s="9">
        <f>AVERAGE($B$683:$Y$683)</f>
        <v>-12.688750000000001</v>
      </c>
    </row>
    <row r="684" spans="1:28">
      <c r="A684" s="10">
        <v>45979</v>
      </c>
      <c r="B684" s="7">
        <v>-25.26</v>
      </c>
      <c r="C684" s="7">
        <v>-14.45</v>
      </c>
      <c r="D684" s="7">
        <v>-32.979999999999997</v>
      </c>
      <c r="E684" s="7">
        <v>-32.020000000000003</v>
      </c>
      <c r="F684" s="7">
        <v>-26.35</v>
      </c>
      <c r="G684" s="7">
        <v>-3.37</v>
      </c>
      <c r="H684" s="7">
        <v>-2.4299999999999802</v>
      </c>
      <c r="I684" s="7">
        <v>14.15</v>
      </c>
      <c r="J684" s="7">
        <v>2.6099999999999901</v>
      </c>
      <c r="K684" s="7">
        <v>36.299999999999997</v>
      </c>
      <c r="L684" s="7">
        <v>93.82</v>
      </c>
      <c r="M684" s="7">
        <v>31.01</v>
      </c>
      <c r="N684" s="7">
        <v>65.19</v>
      </c>
      <c r="O684" s="7">
        <v>60.93</v>
      </c>
      <c r="P684" s="7">
        <v>49.67</v>
      </c>
      <c r="Q684" s="7">
        <v>49.24</v>
      </c>
      <c r="R684" s="7">
        <v>21.65</v>
      </c>
      <c r="S684" s="7">
        <v>8.3500000000000192</v>
      </c>
      <c r="T684" s="7">
        <v>13.19</v>
      </c>
      <c r="U684" s="7">
        <v>13.96</v>
      </c>
      <c r="V684" s="7">
        <v>10.64</v>
      </c>
      <c r="W684" s="7">
        <v>16.22</v>
      </c>
      <c r="X684" s="7">
        <v>39.43</v>
      </c>
      <c r="Y684" s="7">
        <v>60.84</v>
      </c>
      <c r="Z684" s="9">
        <f>MAX($B$684:$Y$684)</f>
        <v>93.82</v>
      </c>
      <c r="AA684" s="9">
        <f>MIN($B$684:$Y$684)</f>
        <v>-32.979999999999997</v>
      </c>
      <c r="AB684" s="9">
        <f>AVERAGE($B$684:$Y$684)</f>
        <v>18.7641666666667</v>
      </c>
    </row>
    <row r="685" spans="1:28">
      <c r="A685" s="10">
        <v>45980</v>
      </c>
      <c r="B685" s="7">
        <v>41.35</v>
      </c>
      <c r="C685" s="7">
        <v>112.22</v>
      </c>
      <c r="D685" s="7">
        <v>163.47999999999999</v>
      </c>
      <c r="E685" s="7">
        <v>110.51</v>
      </c>
      <c r="F685" s="7">
        <v>135.81</v>
      </c>
      <c r="G685" s="7">
        <v>128.9</v>
      </c>
      <c r="H685" s="7">
        <v>116.48</v>
      </c>
      <c r="I685" s="7">
        <v>72.33</v>
      </c>
      <c r="J685" s="7">
        <v>1.63</v>
      </c>
      <c r="K685" s="7">
        <v>19.95</v>
      </c>
      <c r="L685" s="7">
        <v>50.14</v>
      </c>
      <c r="M685" s="7">
        <v>73.52</v>
      </c>
      <c r="N685" s="7">
        <v>87.78</v>
      </c>
      <c r="O685" s="7">
        <v>7.6699999999999902</v>
      </c>
      <c r="P685" s="7">
        <v>50.4</v>
      </c>
      <c r="Q685" s="7">
        <v>88.16</v>
      </c>
      <c r="R685" s="7">
        <v>53.7</v>
      </c>
      <c r="S685" s="7">
        <v>70.08</v>
      </c>
      <c r="T685" s="7">
        <v>106.81</v>
      </c>
      <c r="U685" s="7">
        <v>103.27</v>
      </c>
      <c r="V685" s="7">
        <v>66.430000000000007</v>
      </c>
      <c r="W685" s="7">
        <v>38.67</v>
      </c>
      <c r="X685" s="7">
        <v>28.51</v>
      </c>
      <c r="Y685" s="7">
        <v>82.89</v>
      </c>
      <c r="Z685" s="9">
        <f>MAX($B$685:$Y$685)</f>
        <v>163.47999999999999</v>
      </c>
      <c r="AA685" s="9">
        <f>MIN($B$685:$Y$685)</f>
        <v>1.63</v>
      </c>
      <c r="AB685" s="9">
        <f>AVERAGE($B$685:$Y$685)</f>
        <v>75.445416666666702</v>
      </c>
    </row>
    <row r="686" spans="1:28">
      <c r="A686" s="10">
        <v>45981</v>
      </c>
      <c r="B686" s="7">
        <v>2.5699999999999901</v>
      </c>
      <c r="C686" s="7">
        <v>29.48</v>
      </c>
      <c r="D686" s="7">
        <v>27.84</v>
      </c>
      <c r="E686" s="7">
        <v>80.599999999999994</v>
      </c>
      <c r="F686" s="7">
        <v>112.54</v>
      </c>
      <c r="G686" s="7">
        <v>119.72</v>
      </c>
      <c r="H686" s="7">
        <v>67.709999999999994</v>
      </c>
      <c r="I686" s="7">
        <v>12.11</v>
      </c>
      <c r="J686" s="7">
        <v>3.25</v>
      </c>
      <c r="K686" s="7">
        <v>26.14</v>
      </c>
      <c r="L686" s="7">
        <v>50.59</v>
      </c>
      <c r="M686" s="7">
        <v>25.52</v>
      </c>
      <c r="N686" s="7">
        <v>80.58</v>
      </c>
      <c r="O686" s="7">
        <v>82.73</v>
      </c>
      <c r="P686" s="7">
        <v>100.94</v>
      </c>
      <c r="Q686" s="7">
        <v>126</v>
      </c>
      <c r="R686" s="7">
        <v>26.26</v>
      </c>
      <c r="S686" s="7">
        <v>-40.22</v>
      </c>
      <c r="T686" s="7">
        <v>35.72</v>
      </c>
      <c r="U686" s="7">
        <v>31.09</v>
      </c>
      <c r="V686" s="7">
        <v>1.1499999999999799</v>
      </c>
      <c r="W686" s="7">
        <v>-21.23</v>
      </c>
      <c r="X686" s="7">
        <v>13.17</v>
      </c>
      <c r="Y686" s="7">
        <v>0.92000000000001603</v>
      </c>
      <c r="Z686" s="9">
        <f>MAX($B$686:$Y$686)</f>
        <v>126</v>
      </c>
      <c r="AA686" s="9">
        <f>MIN($B$686:$Y$686)</f>
        <v>-40.22</v>
      </c>
      <c r="AB686" s="9">
        <f>AVERAGE($B$686:$Y$686)</f>
        <v>41.4658333333333</v>
      </c>
    </row>
    <row r="687" spans="1:28">
      <c r="A687" s="10">
        <v>45982</v>
      </c>
      <c r="B687" s="7">
        <v>-11.33</v>
      </c>
      <c r="C687" s="7">
        <v>-1.71000000000001</v>
      </c>
      <c r="D687" s="7">
        <v>34.94</v>
      </c>
      <c r="E687" s="7">
        <v>100.33</v>
      </c>
      <c r="F687" s="7">
        <v>42.34</v>
      </c>
      <c r="G687" s="7">
        <v>77.47</v>
      </c>
      <c r="H687" s="7">
        <v>11.78</v>
      </c>
      <c r="I687" s="7">
        <v>19.95</v>
      </c>
      <c r="J687" s="7">
        <v>31.42</v>
      </c>
      <c r="K687" s="7">
        <v>41.43</v>
      </c>
      <c r="L687" s="7">
        <v>124.57</v>
      </c>
      <c r="M687" s="7">
        <v>146.52000000000001</v>
      </c>
      <c r="N687" s="7">
        <v>70.48</v>
      </c>
      <c r="O687" s="7">
        <v>79.41</v>
      </c>
      <c r="P687" s="7">
        <v>135</v>
      </c>
      <c r="Q687" s="7">
        <v>147.63</v>
      </c>
      <c r="R687" s="7">
        <v>27.88</v>
      </c>
      <c r="S687" s="7">
        <v>10.62</v>
      </c>
      <c r="T687" s="7">
        <v>78.17</v>
      </c>
      <c r="U687" s="7">
        <v>104.72</v>
      </c>
      <c r="V687" s="7">
        <v>66.16</v>
      </c>
      <c r="W687" s="7">
        <v>31.3</v>
      </c>
      <c r="X687" s="7">
        <v>0.67000000000001603</v>
      </c>
      <c r="Y687" s="7">
        <v>-0.35999999999995702</v>
      </c>
      <c r="Z687" s="9">
        <f>MAX($B$687:$Y$687)</f>
        <v>147.63</v>
      </c>
      <c r="AA687" s="9">
        <f>MIN($B$687:$Y$687)</f>
        <v>-11.33</v>
      </c>
      <c r="AB687" s="9">
        <f>AVERAGE($B$687:$Y$687)</f>
        <v>57.057916666666699</v>
      </c>
    </row>
    <row r="688" spans="1:28">
      <c r="A688" s="10">
        <v>45983</v>
      </c>
      <c r="B688" s="7">
        <v>-8.25</v>
      </c>
      <c r="C688" s="7">
        <v>31.85</v>
      </c>
      <c r="D688" s="7">
        <v>51.69</v>
      </c>
      <c r="E688" s="7">
        <v>77.290000000000006</v>
      </c>
      <c r="F688" s="7">
        <v>55.34</v>
      </c>
      <c r="G688" s="7">
        <v>72.87</v>
      </c>
      <c r="H688" s="7">
        <v>70.03</v>
      </c>
      <c r="I688" s="7">
        <v>50.23</v>
      </c>
      <c r="J688" s="7">
        <v>31.61</v>
      </c>
      <c r="K688" s="7">
        <v>118.24</v>
      </c>
      <c r="L688" s="7">
        <v>101.88</v>
      </c>
      <c r="M688" s="7">
        <v>92.77</v>
      </c>
      <c r="N688" s="7">
        <v>3.63</v>
      </c>
      <c r="O688" s="7">
        <v>24.08</v>
      </c>
      <c r="P688" s="7">
        <v>125.28</v>
      </c>
      <c r="Q688" s="7">
        <v>42.46</v>
      </c>
      <c r="R688" s="7">
        <v>15.85</v>
      </c>
      <c r="S688" s="7">
        <v>-44.5700000000001</v>
      </c>
      <c r="T688" s="7">
        <v>104.3</v>
      </c>
      <c r="U688" s="7">
        <v>73.739999999999995</v>
      </c>
      <c r="V688" s="7">
        <v>66.650000000000006</v>
      </c>
      <c r="W688" s="7">
        <v>19.53</v>
      </c>
      <c r="X688" s="7">
        <v>-11.19</v>
      </c>
      <c r="Y688" s="7">
        <v>-0.89000000000004298</v>
      </c>
      <c r="Z688" s="9">
        <f>MAX($B$688:$Y$688)</f>
        <v>125.28</v>
      </c>
      <c r="AA688" s="9">
        <f>MIN($B$688:$Y$688)</f>
        <v>-44.5700000000001</v>
      </c>
      <c r="AB688" s="9">
        <f>AVERAGE($B$688:$Y$688)</f>
        <v>48.517499999999998</v>
      </c>
    </row>
    <row r="689" spans="1:28">
      <c r="A689" s="10">
        <v>45984</v>
      </c>
      <c r="B689" s="7">
        <v>-10.32</v>
      </c>
      <c r="C689" s="7">
        <v>-3.1599999999999699</v>
      </c>
      <c r="D689" s="7">
        <v>1.6199999999999499</v>
      </c>
      <c r="E689" s="7">
        <v>2.3999999999999799</v>
      </c>
      <c r="F689" s="7">
        <v>12.95</v>
      </c>
      <c r="G689" s="7">
        <v>83.88</v>
      </c>
      <c r="H689" s="7">
        <v>32.72</v>
      </c>
      <c r="I689" s="7">
        <v>17.350000000000001</v>
      </c>
      <c r="J689" s="7">
        <v>66.540000000000006</v>
      </c>
      <c r="K689" s="7">
        <v>197.13</v>
      </c>
      <c r="L689" s="7">
        <v>82.9</v>
      </c>
      <c r="M689" s="7">
        <v>29.48</v>
      </c>
      <c r="N689" s="7">
        <v>4.01</v>
      </c>
      <c r="O689" s="7">
        <v>23.15</v>
      </c>
      <c r="P689" s="7">
        <v>93.21</v>
      </c>
      <c r="Q689" s="7">
        <v>175.5</v>
      </c>
      <c r="R689" s="7">
        <v>10.02</v>
      </c>
      <c r="S689" s="7">
        <v>-18.18</v>
      </c>
      <c r="T689" s="7">
        <v>-25.9</v>
      </c>
      <c r="U689" s="7">
        <v>-7.7099999999999804</v>
      </c>
      <c r="V689" s="7">
        <v>-14.77</v>
      </c>
      <c r="W689" s="7">
        <v>-4.75</v>
      </c>
      <c r="X689" s="7">
        <v>5.6100000000000101</v>
      </c>
      <c r="Y689" s="7">
        <v>-3.94999999999999</v>
      </c>
      <c r="Z689" s="9">
        <f>MAX($B$689:$Y$689)</f>
        <v>197.13</v>
      </c>
      <c r="AA689" s="9">
        <f>MIN($B$689:$Y$689)</f>
        <v>-25.9</v>
      </c>
      <c r="AB689" s="9">
        <f>AVERAGE($B$689:$Y$689)</f>
        <v>31.23875</v>
      </c>
    </row>
    <row r="690" spans="1:28">
      <c r="A690" s="10">
        <v>45985</v>
      </c>
      <c r="B690" s="7">
        <v>-12.07</v>
      </c>
      <c r="C690" s="7">
        <v>-5.50999999999999</v>
      </c>
      <c r="D690" s="7">
        <v>-0.110000000000014</v>
      </c>
      <c r="E690" s="7">
        <v>4.9599999999999804</v>
      </c>
      <c r="F690" s="7">
        <v>31.03</v>
      </c>
      <c r="G690" s="7">
        <v>6.25</v>
      </c>
      <c r="H690" s="7">
        <v>0.74000000000000898</v>
      </c>
      <c r="I690" s="7">
        <v>-4.7900000000000196</v>
      </c>
      <c r="J690" s="7">
        <v>-0.409999999999968</v>
      </c>
      <c r="K690" s="7">
        <v>38.81</v>
      </c>
      <c r="L690" s="7">
        <v>105.05</v>
      </c>
      <c r="M690" s="7">
        <v>58.27</v>
      </c>
      <c r="N690" s="7">
        <v>58.71</v>
      </c>
      <c r="O690" s="7">
        <v>43.94</v>
      </c>
      <c r="P690" s="7">
        <v>84.53</v>
      </c>
      <c r="Q690" s="7">
        <v>98.08</v>
      </c>
      <c r="R690" s="7">
        <v>-4.5400000000000196</v>
      </c>
      <c r="S690" s="7">
        <v>-14.74</v>
      </c>
      <c r="T690" s="7">
        <v>26.55</v>
      </c>
      <c r="U690" s="7">
        <v>35.880000000000102</v>
      </c>
      <c r="V690" s="7">
        <v>0.58999999999997499</v>
      </c>
      <c r="W690" s="7">
        <v>-7.5100000000000504</v>
      </c>
      <c r="X690" s="7">
        <v>19.23</v>
      </c>
      <c r="Y690" s="7">
        <v>3.6500000000000101</v>
      </c>
      <c r="Z690" s="9">
        <f>MAX($B$690:$Y$690)</f>
        <v>105.05</v>
      </c>
      <c r="AA690" s="9">
        <f>MIN($B$690:$Y$690)</f>
        <v>-14.74</v>
      </c>
      <c r="AB690" s="9">
        <f>AVERAGE($B$690:$Y$690)</f>
        <v>23.6079166666667</v>
      </c>
    </row>
    <row r="691" spans="1:28">
      <c r="A691" s="10">
        <v>45986</v>
      </c>
      <c r="B691" s="7">
        <v>-45.23</v>
      </c>
      <c r="C691" s="7">
        <v>5.1600000000000303</v>
      </c>
      <c r="D691" s="7">
        <v>135.47</v>
      </c>
      <c r="E691" s="7">
        <v>147.6</v>
      </c>
      <c r="F691" s="7">
        <v>154.16999999999999</v>
      </c>
      <c r="G691" s="7">
        <v>122.45</v>
      </c>
      <c r="H691" s="7">
        <v>75.290000000000006</v>
      </c>
      <c r="I691" s="7">
        <v>11.54</v>
      </c>
      <c r="J691" s="7">
        <v>28.99</v>
      </c>
      <c r="K691" s="7">
        <v>102.68</v>
      </c>
      <c r="L691" s="7">
        <v>62.83</v>
      </c>
      <c r="M691" s="7">
        <v>28.26</v>
      </c>
      <c r="N691" s="7">
        <v>16.37</v>
      </c>
      <c r="O691" s="7">
        <v>6.28</v>
      </c>
      <c r="P691" s="7">
        <v>58.35</v>
      </c>
      <c r="Q691" s="7">
        <v>51.75</v>
      </c>
      <c r="R691" s="7">
        <v>50.42</v>
      </c>
      <c r="S691" s="7">
        <v>-9.44</v>
      </c>
      <c r="T691" s="7">
        <v>107.17</v>
      </c>
      <c r="U691" s="7">
        <v>114.76</v>
      </c>
      <c r="V691" s="7">
        <v>64.989999999999995</v>
      </c>
      <c r="W691" s="7">
        <v>14.67</v>
      </c>
      <c r="X691" s="7">
        <v>11.2</v>
      </c>
      <c r="Y691" s="7">
        <v>45.81</v>
      </c>
      <c r="Z691" s="9">
        <f>MAX($B$691:$Y$691)</f>
        <v>154.16999999999999</v>
      </c>
      <c r="AA691" s="9">
        <f>MIN($B$691:$Y$691)</f>
        <v>-45.23</v>
      </c>
      <c r="AB691" s="9">
        <f>AVERAGE($B$691:$Y$691)</f>
        <v>56.730833333333301</v>
      </c>
    </row>
    <row r="692" spans="1:28">
      <c r="A692" s="10">
        <v>45987</v>
      </c>
      <c r="B692" s="7">
        <v>-2.88</v>
      </c>
      <c r="C692" s="7">
        <v>4.7899999999999903</v>
      </c>
      <c r="D692" s="7">
        <v>35.869999999999997</v>
      </c>
      <c r="E692" s="7">
        <v>43.13</v>
      </c>
      <c r="F692" s="7">
        <v>158.58000000000001</v>
      </c>
      <c r="G692" s="7">
        <v>127.21</v>
      </c>
      <c r="H692" s="7">
        <v>58.45</v>
      </c>
      <c r="I692" s="7">
        <v>8.5399999999999903</v>
      </c>
      <c r="J692" s="7">
        <v>58.2</v>
      </c>
      <c r="K692" s="7">
        <v>106.41</v>
      </c>
      <c r="L692" s="7">
        <v>-48.1</v>
      </c>
      <c r="M692" s="7">
        <v>-84.62</v>
      </c>
      <c r="N692" s="7">
        <v>-54.05</v>
      </c>
      <c r="O692" s="7">
        <v>-2.4300000000000002</v>
      </c>
      <c r="P692" s="7">
        <v>92.58</v>
      </c>
      <c r="Q692" s="7">
        <v>152.55000000000001</v>
      </c>
      <c r="R692" s="7">
        <v>29.94</v>
      </c>
      <c r="S692" s="7">
        <v>9.1399999999999899</v>
      </c>
      <c r="T692" s="7">
        <v>-23.29</v>
      </c>
      <c r="U692" s="7">
        <v>8.3599999999999604</v>
      </c>
      <c r="V692" s="7">
        <v>17.690000000000001</v>
      </c>
      <c r="W692" s="7">
        <v>17.02</v>
      </c>
      <c r="X692" s="7">
        <v>25.33</v>
      </c>
      <c r="Y692" s="7">
        <v>118.89</v>
      </c>
      <c r="Z692" s="9">
        <f>MAX($B$692:$Y$692)</f>
        <v>158.58000000000001</v>
      </c>
      <c r="AA692" s="9">
        <f>MIN($B$692:$Y$692)</f>
        <v>-84.62</v>
      </c>
      <c r="AB692" s="9">
        <f>AVERAGE($B$692:$Y$692)</f>
        <v>35.721249999999998</v>
      </c>
    </row>
    <row r="693" spans="1:28">
      <c r="A693" s="10">
        <v>45988</v>
      </c>
      <c r="B693" s="7">
        <v>30.81</v>
      </c>
      <c r="C693" s="7">
        <v>124.26</v>
      </c>
      <c r="D693" s="7">
        <v>26.47</v>
      </c>
      <c r="E693" s="7">
        <v>102.05</v>
      </c>
      <c r="F693" s="7">
        <v>146.4</v>
      </c>
      <c r="G693" s="7">
        <v>150.58000000000001</v>
      </c>
      <c r="H693" s="7">
        <v>114.86</v>
      </c>
      <c r="I693" s="7">
        <v>40.58</v>
      </c>
      <c r="J693" s="7">
        <v>42.38</v>
      </c>
      <c r="K693" s="7">
        <v>-18.190000000000001</v>
      </c>
      <c r="L693" s="7">
        <v>-36.46</v>
      </c>
      <c r="M693" s="7">
        <v>-69.680000000000007</v>
      </c>
      <c r="N693" s="7">
        <v>-51.06</v>
      </c>
      <c r="O693" s="7">
        <v>-31.94</v>
      </c>
      <c r="P693" s="7">
        <v>-72.78</v>
      </c>
      <c r="Q693" s="7">
        <v>-17.63</v>
      </c>
      <c r="R693" s="7">
        <v>20.69</v>
      </c>
      <c r="S693" s="7">
        <v>4.0400000000000196</v>
      </c>
      <c r="T693" s="7">
        <v>-31.85</v>
      </c>
      <c r="U693" s="7">
        <v>31.84</v>
      </c>
      <c r="V693" s="7">
        <v>13.9</v>
      </c>
      <c r="W693" s="7">
        <v>13.96</v>
      </c>
      <c r="X693" s="7">
        <v>14.58</v>
      </c>
      <c r="Y693" s="7">
        <v>26.1</v>
      </c>
      <c r="Z693" s="9">
        <f>MAX($B$693:$Y$693)</f>
        <v>150.58000000000001</v>
      </c>
      <c r="AA693" s="9">
        <f>MIN($B$693:$Y$693)</f>
        <v>-72.78</v>
      </c>
      <c r="AB693" s="9">
        <f>AVERAGE($B$693:$Y$693)</f>
        <v>23.9129166666667</v>
      </c>
    </row>
    <row r="694" spans="1:28">
      <c r="A694" s="10">
        <v>45989</v>
      </c>
      <c r="B694" s="7">
        <v>12.58</v>
      </c>
      <c r="C694" s="7">
        <v>-8.9999999999975003E-2</v>
      </c>
      <c r="D694" s="7">
        <v>2.2899999999999898</v>
      </c>
      <c r="E694" s="7">
        <v>6.41</v>
      </c>
      <c r="F694" s="7">
        <v>58.47</v>
      </c>
      <c r="G694" s="7">
        <v>41.68</v>
      </c>
      <c r="H694" s="7">
        <v>20.63</v>
      </c>
      <c r="I694" s="7">
        <v>19.97</v>
      </c>
      <c r="J694" s="7">
        <v>44.02</v>
      </c>
      <c r="K694" s="7">
        <v>102.18</v>
      </c>
      <c r="L694" s="7">
        <v>28.7</v>
      </c>
      <c r="M694" s="7">
        <v>40</v>
      </c>
      <c r="N694" s="7">
        <v>-7.62</v>
      </c>
      <c r="O694" s="7">
        <v>3.17</v>
      </c>
      <c r="P694" s="7">
        <v>102.32</v>
      </c>
      <c r="Q694" s="7">
        <v>175.09</v>
      </c>
      <c r="R694" s="7">
        <v>76.67</v>
      </c>
      <c r="S694" s="7">
        <v>-119.92</v>
      </c>
      <c r="T694" s="7">
        <v>33.28</v>
      </c>
      <c r="U694" s="7">
        <v>73.55</v>
      </c>
      <c r="V694" s="7">
        <v>23.67</v>
      </c>
      <c r="W694" s="7">
        <v>42.54</v>
      </c>
      <c r="X694" s="7">
        <v>4.3900000000000396</v>
      </c>
      <c r="Y694" s="7">
        <v>-7.8400000000000301</v>
      </c>
      <c r="Z694" s="9">
        <f>MAX($B$694:$Y$694)</f>
        <v>175.09</v>
      </c>
      <c r="AA694" s="9">
        <f>MIN($B$694:$Y$694)</f>
        <v>-119.92</v>
      </c>
      <c r="AB694" s="9">
        <f>AVERAGE($B$694:$Y$694)</f>
        <v>32.339166666666699</v>
      </c>
    </row>
    <row r="695" spans="1:28">
      <c r="A695" s="10">
        <v>45990</v>
      </c>
      <c r="B695" s="7">
        <v>-6.8299999999999796</v>
      </c>
      <c r="C695" s="7">
        <v>-18.559999999999999</v>
      </c>
      <c r="D695" s="7">
        <v>-11.22</v>
      </c>
      <c r="E695" s="7">
        <v>-6.0400000000000196</v>
      </c>
      <c r="F695" s="7">
        <v>13.29</v>
      </c>
      <c r="G695" s="7">
        <v>7.01999999999998</v>
      </c>
      <c r="H695" s="7">
        <v>17.77</v>
      </c>
      <c r="I695" s="7">
        <v>28.51</v>
      </c>
      <c r="J695" s="7">
        <v>48.54</v>
      </c>
      <c r="K695" s="7">
        <v>189.59</v>
      </c>
      <c r="L695" s="7">
        <v>132.87</v>
      </c>
      <c r="M695" s="7">
        <v>71.91</v>
      </c>
      <c r="N695" s="7">
        <v>54.81</v>
      </c>
      <c r="O695" s="7">
        <v>66.58</v>
      </c>
      <c r="P695" s="7">
        <v>84.38</v>
      </c>
      <c r="Q695" s="7">
        <v>158.31</v>
      </c>
      <c r="R695" s="7">
        <v>23.27</v>
      </c>
      <c r="S695" s="7">
        <v>19.12</v>
      </c>
      <c r="T695" s="7">
        <v>140.55000000000001</v>
      </c>
      <c r="U695" s="7">
        <v>160.27000000000001</v>
      </c>
      <c r="V695" s="7">
        <v>76.44</v>
      </c>
      <c r="W695" s="7">
        <v>17.739999999999998</v>
      </c>
      <c r="X695" s="7">
        <v>21.31</v>
      </c>
      <c r="Y695" s="7">
        <v>9.01999999999998</v>
      </c>
      <c r="Z695" s="9">
        <f>MAX($B$695:$Y$695)</f>
        <v>189.59</v>
      </c>
      <c r="AA695" s="9">
        <f>MIN($B$695:$Y$695)</f>
        <v>-18.559999999999999</v>
      </c>
      <c r="AB695" s="9">
        <f>AVERAGE($B$695:$Y$695)</f>
        <v>54.110416666666701</v>
      </c>
    </row>
    <row r="696" spans="1:28">
      <c r="A696" s="10">
        <v>45991</v>
      </c>
      <c r="B696" s="7">
        <v>27.62</v>
      </c>
      <c r="C696" s="7">
        <v>13.69</v>
      </c>
      <c r="D696" s="7">
        <v>20.420000000000002</v>
      </c>
      <c r="E696" s="7">
        <v>24.48</v>
      </c>
      <c r="F696" s="7">
        <v>24.23</v>
      </c>
      <c r="G696" s="7">
        <v>25.09</v>
      </c>
      <c r="H696" s="7">
        <v>29.64</v>
      </c>
      <c r="I696" s="7">
        <v>28.53</v>
      </c>
      <c r="J696" s="7">
        <v>57.76</v>
      </c>
      <c r="K696" s="7">
        <v>41.45</v>
      </c>
      <c r="L696" s="7">
        <v>112.75</v>
      </c>
      <c r="M696" s="7">
        <v>-46.68</v>
      </c>
      <c r="N696" s="7">
        <v>-18.86</v>
      </c>
      <c r="O696" s="7">
        <v>-55.51</v>
      </c>
      <c r="P696" s="7">
        <v>18.809999999999999</v>
      </c>
      <c r="Q696" s="7">
        <v>79.88</v>
      </c>
      <c r="R696" s="7">
        <v>6.6100000000000101</v>
      </c>
      <c r="S696" s="7">
        <v>70.33</v>
      </c>
      <c r="T696" s="7">
        <v>184.51</v>
      </c>
      <c r="U696" s="7">
        <v>203.54</v>
      </c>
      <c r="V696" s="7">
        <v>196.34</v>
      </c>
      <c r="W696" s="7">
        <v>110.05</v>
      </c>
      <c r="X696" s="7">
        <v>50.98</v>
      </c>
      <c r="Y696" s="7">
        <v>16.71</v>
      </c>
      <c r="Z696" s="9">
        <f>MAX($B$696:$Y$696)</f>
        <v>203.54</v>
      </c>
      <c r="AA696" s="9">
        <f>MIN($B$696:$Y$696)</f>
        <v>-55.51</v>
      </c>
      <c r="AB696" s="9">
        <f>AVERAGE($B$696:$Y$696)</f>
        <v>50.932083333333303</v>
      </c>
    </row>
    <row r="697" spans="1:28">
      <c r="A697" s="10">
        <v>45992</v>
      </c>
      <c r="B697" s="7">
        <v>105.36</v>
      </c>
      <c r="C697" s="7">
        <v>63.74</v>
      </c>
      <c r="D697" s="7">
        <v>47.18</v>
      </c>
      <c r="E697" s="7">
        <v>39.11</v>
      </c>
      <c r="F697" s="7">
        <v>31.17</v>
      </c>
      <c r="G697" s="7">
        <v>29.2</v>
      </c>
      <c r="H697" s="7">
        <v>93.27</v>
      </c>
      <c r="I697" s="7">
        <v>122.12</v>
      </c>
      <c r="J697" s="7">
        <v>86.54</v>
      </c>
      <c r="K697" s="7">
        <v>67.23</v>
      </c>
      <c r="L697" s="7">
        <v>33.299999999999997</v>
      </c>
      <c r="M697" s="7">
        <v>84.91</v>
      </c>
      <c r="N697" s="7">
        <v>162.82</v>
      </c>
      <c r="O697" s="7">
        <v>189.01</v>
      </c>
      <c r="P697" s="7">
        <v>88.12</v>
      </c>
      <c r="Q697" s="7">
        <v>27.76</v>
      </c>
      <c r="R697" s="7">
        <v>118.43</v>
      </c>
      <c r="S697" s="7">
        <v>364.58</v>
      </c>
      <c r="T697" s="7">
        <v>366.61</v>
      </c>
      <c r="U697" s="7">
        <v>468.23</v>
      </c>
      <c r="V697" s="7">
        <v>322.97000000000003</v>
      </c>
      <c r="W697" s="7">
        <v>266.17</v>
      </c>
      <c r="X697" s="7">
        <v>157.69999999999999</v>
      </c>
      <c r="Y697" s="7">
        <v>72.599999999999994</v>
      </c>
      <c r="Z697" s="9">
        <f>MAX($B$697:$Y$697)</f>
        <v>468.23</v>
      </c>
      <c r="AA697" s="9">
        <f>MIN($B$697:$Y$697)</f>
        <v>27.76</v>
      </c>
      <c r="AB697" s="9">
        <f>AVERAGE($B$697:$Y$697)</f>
        <v>142.005416666667</v>
      </c>
    </row>
    <row r="698" spans="1:28">
      <c r="A698" s="10">
        <v>45993</v>
      </c>
      <c r="B698" s="7">
        <v>42.75</v>
      </c>
      <c r="C698" s="7">
        <v>33.619999999999997</v>
      </c>
      <c r="D698" s="7">
        <v>55.98</v>
      </c>
      <c r="E698" s="7">
        <v>59.1</v>
      </c>
      <c r="F698" s="7">
        <v>26.23</v>
      </c>
      <c r="G698" s="7">
        <v>42.75</v>
      </c>
      <c r="H698" s="7">
        <v>-8.4300000000000104</v>
      </c>
      <c r="I698" s="7">
        <v>-24.06</v>
      </c>
      <c r="J698" s="7">
        <v>-271.49</v>
      </c>
      <c r="K698" s="7">
        <v>-92.16</v>
      </c>
      <c r="L698" s="7">
        <v>-89.059999999999903</v>
      </c>
      <c r="M698" s="7">
        <v>-99.65</v>
      </c>
      <c r="N698" s="7">
        <v>-47.71</v>
      </c>
      <c r="O698" s="7">
        <v>-94.46</v>
      </c>
      <c r="P698" s="7">
        <v>-42.66</v>
      </c>
      <c r="Q698" s="7">
        <v>-86.9</v>
      </c>
      <c r="R698" s="7">
        <v>-111.89</v>
      </c>
      <c r="S698" s="7">
        <v>-10.48</v>
      </c>
      <c r="T698" s="7">
        <v>275.52999999999997</v>
      </c>
      <c r="U698" s="7">
        <v>141.01</v>
      </c>
      <c r="V698" s="7">
        <v>152.80000000000001</v>
      </c>
      <c r="W698" s="7">
        <v>100.22</v>
      </c>
      <c r="X698" s="7">
        <v>23.22</v>
      </c>
      <c r="Y698" s="7">
        <v>12.04</v>
      </c>
      <c r="Z698" s="9">
        <f>MAX($B$698:$Y$698)</f>
        <v>275.52999999999997</v>
      </c>
      <c r="AA698" s="9">
        <f>MIN($B$698:$Y$698)</f>
        <v>-271.49</v>
      </c>
      <c r="AB698" s="9">
        <f>AVERAGE($B$698:$Y$698)</f>
        <v>-0.57083333333333097</v>
      </c>
    </row>
    <row r="699" spans="1:28">
      <c r="A699" s="10">
        <v>45994</v>
      </c>
      <c r="B699" s="7">
        <v>-2.13</v>
      </c>
      <c r="C699" s="7">
        <v>4.6000000000000201</v>
      </c>
      <c r="D699" s="7">
        <v>5.8900000000000396</v>
      </c>
      <c r="E699" s="7">
        <v>6.6499999999999799</v>
      </c>
      <c r="F699" s="7">
        <v>18.73</v>
      </c>
      <c r="G699" s="7">
        <v>22.46</v>
      </c>
      <c r="H699" s="7">
        <v>14.59</v>
      </c>
      <c r="I699" s="7">
        <v>-1.1600000000000299</v>
      </c>
      <c r="J699" s="7">
        <v>8.2199999999999704</v>
      </c>
      <c r="K699" s="7">
        <v>17.48</v>
      </c>
      <c r="L699" s="7">
        <v>62.52</v>
      </c>
      <c r="M699" s="7">
        <v>139.44</v>
      </c>
      <c r="N699" s="7">
        <v>246.21</v>
      </c>
      <c r="O699" s="7">
        <v>213.78</v>
      </c>
      <c r="P699" s="7">
        <v>129.74</v>
      </c>
      <c r="Q699" s="7">
        <v>27.38</v>
      </c>
      <c r="R699" s="7">
        <v>21.38</v>
      </c>
      <c r="S699" s="7">
        <v>70.569999999999993</v>
      </c>
      <c r="T699" s="7">
        <v>80.489999999999995</v>
      </c>
      <c r="U699" s="7">
        <v>76.760000000000005</v>
      </c>
      <c r="V699" s="7">
        <v>48.89</v>
      </c>
      <c r="W699" s="7">
        <v>31.47</v>
      </c>
      <c r="X699" s="7">
        <v>32.82</v>
      </c>
      <c r="Y699" s="7">
        <v>38.76</v>
      </c>
      <c r="Z699" s="9">
        <f>MAX($B$699:$Y$699)</f>
        <v>246.21</v>
      </c>
      <c r="AA699" s="9">
        <f>MIN($B$699:$Y$699)</f>
        <v>-2.13</v>
      </c>
      <c r="AB699" s="9">
        <f>AVERAGE($B$699:$Y$699)</f>
        <v>54.814166666666701</v>
      </c>
    </row>
    <row r="700" spans="1:28">
      <c r="A700" s="10">
        <v>45995</v>
      </c>
      <c r="B700" s="7">
        <v>21.53</v>
      </c>
      <c r="C700" s="7">
        <v>19.559999999999999</v>
      </c>
      <c r="D700" s="7">
        <v>28.86</v>
      </c>
      <c r="E700" s="7">
        <v>31.57</v>
      </c>
      <c r="F700" s="7">
        <v>29.99</v>
      </c>
      <c r="G700" s="7">
        <v>18.97</v>
      </c>
      <c r="H700" s="7">
        <v>19.98</v>
      </c>
      <c r="I700" s="7">
        <v>10.74</v>
      </c>
      <c r="J700" s="7">
        <v>-19.07</v>
      </c>
      <c r="K700" s="7">
        <v>-28</v>
      </c>
      <c r="L700" s="7">
        <v>-11.39</v>
      </c>
      <c r="M700" s="7">
        <v>50.85</v>
      </c>
      <c r="N700" s="7">
        <v>36.74</v>
      </c>
      <c r="O700" s="7">
        <v>107.12</v>
      </c>
      <c r="P700" s="7">
        <v>180.43</v>
      </c>
      <c r="Q700" s="7">
        <v>67.45</v>
      </c>
      <c r="R700" s="7">
        <v>10.09</v>
      </c>
      <c r="S700" s="7">
        <v>26.26</v>
      </c>
      <c r="T700" s="7">
        <v>102.65</v>
      </c>
      <c r="U700" s="7">
        <v>125.18</v>
      </c>
      <c r="V700" s="7">
        <v>55.42</v>
      </c>
      <c r="W700" s="7">
        <v>25.53</v>
      </c>
      <c r="X700" s="7">
        <v>34.9</v>
      </c>
      <c r="Y700" s="7">
        <v>20.02</v>
      </c>
      <c r="Z700" s="9">
        <f>MAX($B$700:$Y$700)</f>
        <v>180.43</v>
      </c>
      <c r="AA700" s="9">
        <f>MIN($B$700:$Y$700)</f>
        <v>-28</v>
      </c>
      <c r="AB700" s="9">
        <f>AVERAGE($B$700:$Y$700)</f>
        <v>40.224166666666697</v>
      </c>
    </row>
    <row r="701" spans="1:28">
      <c r="A701" s="10">
        <v>45996</v>
      </c>
      <c r="B701" s="7">
        <v>7.74000000000001</v>
      </c>
      <c r="C701" s="7">
        <v>16.440000000000001</v>
      </c>
      <c r="D701" s="7">
        <v>23.6</v>
      </c>
      <c r="E701" s="7">
        <v>15.42</v>
      </c>
      <c r="F701" s="7">
        <v>9.9499999999999904</v>
      </c>
      <c r="G701" s="7">
        <v>2.8899999999999899</v>
      </c>
      <c r="H701" s="7">
        <v>18.57</v>
      </c>
      <c r="I701" s="7">
        <v>14.9</v>
      </c>
      <c r="J701" s="7">
        <v>8.1800000000000104</v>
      </c>
      <c r="K701" s="7">
        <v>36.0700000000001</v>
      </c>
      <c r="L701" s="7">
        <v>33.99</v>
      </c>
      <c r="M701" s="7">
        <v>72.209999999999994</v>
      </c>
      <c r="N701" s="7">
        <v>181.11</v>
      </c>
      <c r="O701" s="7">
        <v>294.2</v>
      </c>
      <c r="P701" s="7">
        <v>134.18</v>
      </c>
      <c r="Q701" s="7">
        <v>44.09</v>
      </c>
      <c r="R701" s="7">
        <v>23.26</v>
      </c>
      <c r="S701" s="7">
        <v>136.51</v>
      </c>
      <c r="T701" s="7">
        <v>162.79</v>
      </c>
      <c r="U701" s="7">
        <v>171.74</v>
      </c>
      <c r="V701" s="7">
        <v>169.84</v>
      </c>
      <c r="W701" s="7">
        <v>137.22</v>
      </c>
      <c r="X701" s="7">
        <v>35.090000000000003</v>
      </c>
      <c r="Y701" s="7">
        <v>7.75</v>
      </c>
      <c r="Z701" s="9">
        <f>MAX($B$701:$Y$701)</f>
        <v>294.2</v>
      </c>
      <c r="AA701" s="9">
        <f>MIN($B$701:$Y$701)</f>
        <v>2.8899999999999899</v>
      </c>
      <c r="AB701" s="9">
        <f>AVERAGE($B$701:$Y$701)</f>
        <v>73.239166666666705</v>
      </c>
    </row>
    <row r="702" spans="1:28">
      <c r="A702" s="10">
        <v>45997</v>
      </c>
      <c r="B702" s="7">
        <v>-61.36</v>
      </c>
      <c r="C702" s="7">
        <v>-36.729999999999997</v>
      </c>
      <c r="D702" s="7">
        <v>-17.2</v>
      </c>
      <c r="E702" s="7">
        <v>-22.2</v>
      </c>
      <c r="F702" s="7">
        <v>-12.89</v>
      </c>
      <c r="G702" s="7">
        <v>-2.08000000000004</v>
      </c>
      <c r="H702" s="7">
        <v>0.239999999999952</v>
      </c>
      <c r="I702" s="7">
        <v>4.82000000000005</v>
      </c>
      <c r="J702" s="7">
        <v>-5.5799999999999796</v>
      </c>
      <c r="K702" s="7">
        <v>-6.24000000000001</v>
      </c>
      <c r="L702" s="7">
        <v>0.26999999999998198</v>
      </c>
      <c r="M702" s="7">
        <v>11.45</v>
      </c>
      <c r="N702" s="7">
        <v>7.6500000000000101</v>
      </c>
      <c r="O702" s="7">
        <v>33.090000000000003</v>
      </c>
      <c r="P702" s="7">
        <v>48.8</v>
      </c>
      <c r="Q702" s="7">
        <v>16.07</v>
      </c>
      <c r="R702" s="7">
        <v>3.12</v>
      </c>
      <c r="S702" s="7">
        <v>-16.2</v>
      </c>
      <c r="T702" s="7">
        <v>-180.75</v>
      </c>
      <c r="U702" s="7">
        <v>-34.92</v>
      </c>
      <c r="V702" s="7">
        <v>17.739999999999998</v>
      </c>
      <c r="W702" s="7">
        <v>16.350000000000001</v>
      </c>
      <c r="X702" s="7">
        <v>5.98000000000002</v>
      </c>
      <c r="Y702" s="7">
        <v>2.25</v>
      </c>
      <c r="Z702" s="9">
        <f>MAX($B$702:$Y$702)</f>
        <v>48.8</v>
      </c>
      <c r="AA702" s="9">
        <f>MIN($B$702:$Y$702)</f>
        <v>-180.75</v>
      </c>
      <c r="AB702" s="9">
        <f>AVERAGE($B$702:$Y$702)</f>
        <v>-9.5133333333333407</v>
      </c>
    </row>
    <row r="703" spans="1:28">
      <c r="A703" s="10">
        <v>45998</v>
      </c>
      <c r="B703" s="7">
        <v>-5.4099999999999699</v>
      </c>
      <c r="C703" s="7">
        <v>6.0699999999999896</v>
      </c>
      <c r="D703" s="7">
        <v>6.8000000000000096</v>
      </c>
      <c r="E703" s="7">
        <v>7.00999999999999</v>
      </c>
      <c r="F703" s="7">
        <v>3.88</v>
      </c>
      <c r="G703" s="7">
        <v>6.1499999999999799</v>
      </c>
      <c r="H703" s="7">
        <v>3.0899999999999701</v>
      </c>
      <c r="I703" s="7">
        <v>2.05000000000001</v>
      </c>
      <c r="J703" s="7">
        <v>1.3600000000000101</v>
      </c>
      <c r="K703" s="7">
        <v>37.19</v>
      </c>
      <c r="L703" s="7">
        <v>125.95</v>
      </c>
      <c r="M703" s="7">
        <v>145.11000000000001</v>
      </c>
      <c r="N703" s="7">
        <v>180.87</v>
      </c>
      <c r="O703" s="7">
        <v>156.07</v>
      </c>
      <c r="P703" s="7">
        <v>195.02</v>
      </c>
      <c r="Q703" s="7">
        <v>163.91</v>
      </c>
      <c r="R703" s="7">
        <v>10.54</v>
      </c>
      <c r="S703" s="7">
        <v>-30.21</v>
      </c>
      <c r="T703" s="7">
        <v>-386.7</v>
      </c>
      <c r="U703" s="7">
        <v>-237.88</v>
      </c>
      <c r="V703" s="7">
        <v>-25.94</v>
      </c>
      <c r="W703" s="7">
        <v>-54.14</v>
      </c>
      <c r="X703" s="7">
        <v>-5.5</v>
      </c>
      <c r="Y703" s="7">
        <v>-1.98000000000002</v>
      </c>
      <c r="Z703" s="9">
        <f>MAX($B$703:$Y$703)</f>
        <v>195.02</v>
      </c>
      <c r="AA703" s="9">
        <f>MIN($B$703:$Y$703)</f>
        <v>-386.7</v>
      </c>
      <c r="AB703" s="9">
        <f>AVERAGE($B$703:$Y$703)</f>
        <v>12.637916666666699</v>
      </c>
    </row>
    <row r="704" spans="1:28">
      <c r="A704" s="10">
        <v>45999</v>
      </c>
      <c r="B704" s="7">
        <v>1.37</v>
      </c>
      <c r="C704" s="7">
        <v>6.2199999999999704</v>
      </c>
      <c r="D704" s="7">
        <v>4.5300000000000296</v>
      </c>
      <c r="E704" s="7">
        <v>11.29</v>
      </c>
      <c r="F704" s="7">
        <v>19.309999999999999</v>
      </c>
      <c r="G704" s="7">
        <v>16.22</v>
      </c>
      <c r="H704" s="7">
        <v>2.98000000000002</v>
      </c>
      <c r="I704" s="7">
        <v>-0.14999999999997701</v>
      </c>
      <c r="J704" s="7">
        <v>9.76999999999998</v>
      </c>
      <c r="K704" s="7">
        <v>82.47</v>
      </c>
      <c r="L704" s="7">
        <v>93.75</v>
      </c>
      <c r="M704" s="7">
        <v>51.83</v>
      </c>
      <c r="N704" s="7">
        <v>104.16</v>
      </c>
      <c r="O704" s="7">
        <v>84.95</v>
      </c>
      <c r="P704" s="7">
        <v>144.35</v>
      </c>
      <c r="Q704" s="7">
        <v>100.96</v>
      </c>
      <c r="R704" s="7">
        <v>1.19999999999999</v>
      </c>
      <c r="S704" s="7">
        <v>-130.46</v>
      </c>
      <c r="T704" s="7">
        <v>-650.04999999999995</v>
      </c>
      <c r="U704" s="7">
        <v>-13.86</v>
      </c>
      <c r="V704" s="7">
        <v>-22.99</v>
      </c>
      <c r="W704" s="7">
        <v>18.12</v>
      </c>
      <c r="X704" s="7">
        <v>7</v>
      </c>
      <c r="Y704" s="7">
        <v>-0.67000000000001603</v>
      </c>
      <c r="Z704" s="9">
        <f>MAX($B$704:$Y$704)</f>
        <v>144.35</v>
      </c>
      <c r="AA704" s="9">
        <f>MIN($B$704:$Y$704)</f>
        <v>-650.04999999999995</v>
      </c>
      <c r="AB704" s="9">
        <f>AVERAGE($B$704:$Y$704)</f>
        <v>-2.4041666666666699</v>
      </c>
    </row>
    <row r="705" spans="1:28">
      <c r="A705" s="10">
        <v>46000</v>
      </c>
      <c r="B705" s="7">
        <v>-5.1999999999999904</v>
      </c>
      <c r="C705" s="7">
        <v>3.5699999999999901</v>
      </c>
      <c r="D705" s="7">
        <v>7.62</v>
      </c>
      <c r="E705" s="7">
        <v>10.56</v>
      </c>
      <c r="F705" s="7">
        <v>11.89</v>
      </c>
      <c r="G705" s="7">
        <v>23.93</v>
      </c>
      <c r="H705" s="7">
        <v>0.38999999999998602</v>
      </c>
      <c r="I705" s="7">
        <v>4.83000000000004</v>
      </c>
      <c r="J705" s="7">
        <v>9.6399999999999899</v>
      </c>
      <c r="K705" s="7">
        <v>54.69</v>
      </c>
      <c r="L705" s="7">
        <v>80.81</v>
      </c>
      <c r="M705" s="7">
        <v>49.67</v>
      </c>
      <c r="N705" s="7">
        <v>106.56</v>
      </c>
      <c r="O705" s="7">
        <v>86.69</v>
      </c>
      <c r="P705" s="7">
        <v>102.37</v>
      </c>
      <c r="Q705" s="7">
        <v>70.95</v>
      </c>
      <c r="R705" s="7">
        <v>-14.81</v>
      </c>
      <c r="S705" s="7">
        <v>-105.24</v>
      </c>
      <c r="T705" s="7">
        <v>-277.95999999999998</v>
      </c>
      <c r="U705" s="7">
        <v>-89.48</v>
      </c>
      <c r="V705" s="7">
        <v>-28.87</v>
      </c>
      <c r="W705" s="7">
        <v>-16.78</v>
      </c>
      <c r="X705" s="7">
        <v>0.49000000000000898</v>
      </c>
      <c r="Y705" s="7">
        <v>-2.46999999999997</v>
      </c>
      <c r="Z705" s="9">
        <f>MAX($B$705:$Y$705)</f>
        <v>106.56</v>
      </c>
      <c r="AA705" s="9">
        <f>MIN($B$705:$Y$705)</f>
        <v>-277.95999999999998</v>
      </c>
      <c r="AB705" s="9">
        <f>AVERAGE($B$705:$Y$705)</f>
        <v>3.4937499999999999</v>
      </c>
    </row>
    <row r="706" spans="1:28">
      <c r="A706" s="10">
        <v>46001</v>
      </c>
      <c r="B706" s="7">
        <v>6.6800000000000104</v>
      </c>
      <c r="C706" s="7">
        <v>-9.8699999999999992</v>
      </c>
      <c r="D706" s="7">
        <v>4.6800000000000104</v>
      </c>
      <c r="E706" s="7">
        <v>-3.5699999999999901</v>
      </c>
      <c r="F706" s="7">
        <v>10.35</v>
      </c>
      <c r="G706" s="7">
        <v>-0.5</v>
      </c>
      <c r="H706" s="7">
        <v>-5.9700000000000299</v>
      </c>
      <c r="I706" s="7">
        <v>8.3199999999999896</v>
      </c>
      <c r="J706" s="7">
        <v>-26.5</v>
      </c>
      <c r="K706" s="7">
        <v>-55.19</v>
      </c>
      <c r="L706" s="7">
        <v>-24.43</v>
      </c>
      <c r="M706" s="7">
        <v>-15.14</v>
      </c>
      <c r="N706" s="7">
        <v>-11.86</v>
      </c>
      <c r="O706" s="7">
        <v>-15.59</v>
      </c>
      <c r="P706" s="7">
        <v>-8.2199999999999704</v>
      </c>
      <c r="Q706" s="7">
        <v>2.3999999999999799</v>
      </c>
      <c r="R706" s="7">
        <v>-4.5699999999999896</v>
      </c>
      <c r="S706" s="7">
        <v>-47.74</v>
      </c>
      <c r="T706" s="7">
        <v>-76.040000000000006</v>
      </c>
      <c r="U706" s="7">
        <v>-2.62</v>
      </c>
      <c r="V706" s="7">
        <v>-55.39</v>
      </c>
      <c r="W706" s="7">
        <v>-36.07</v>
      </c>
      <c r="X706" s="7">
        <v>-12.36</v>
      </c>
      <c r="Y706" s="7">
        <v>-9.5800000000000392</v>
      </c>
      <c r="Z706" s="9">
        <f>MAX($B$706:$Y$706)</f>
        <v>10.35</v>
      </c>
      <c r="AA706" s="9">
        <f>MIN($B$706:$Y$706)</f>
        <v>-76.040000000000006</v>
      </c>
      <c r="AB706" s="9">
        <f>AVERAGE($B$706:$Y$706)</f>
        <v>-16.199166666666699</v>
      </c>
    </row>
    <row r="707" spans="1:28">
      <c r="A707" s="10">
        <v>46002</v>
      </c>
      <c r="B707" s="7">
        <v>28.96</v>
      </c>
      <c r="C707" s="7">
        <v>12.34</v>
      </c>
      <c r="D707" s="7">
        <v>13.62</v>
      </c>
      <c r="E707" s="7">
        <v>15.71</v>
      </c>
      <c r="F707" s="7">
        <v>16.62</v>
      </c>
      <c r="G707" s="7">
        <v>7.6999999999999904</v>
      </c>
      <c r="H707" s="7">
        <v>11.02</v>
      </c>
      <c r="I707" s="7">
        <v>3.8999999999999799</v>
      </c>
      <c r="J707" s="7">
        <v>-5.0799999999999796</v>
      </c>
      <c r="K707" s="7">
        <v>-37.799999999999997</v>
      </c>
      <c r="L707" s="7">
        <v>-9.8299999999999805</v>
      </c>
      <c r="M707" s="7">
        <v>9.84</v>
      </c>
      <c r="N707" s="7">
        <v>41.23</v>
      </c>
      <c r="O707" s="7">
        <v>33.76</v>
      </c>
      <c r="P707" s="7">
        <v>7.6800000000000104</v>
      </c>
      <c r="Q707" s="7">
        <v>-2.05000000000001</v>
      </c>
      <c r="R707" s="7">
        <v>-9.5799999999999805</v>
      </c>
      <c r="S707" s="7">
        <v>-23.24</v>
      </c>
      <c r="T707" s="7">
        <v>-43.29</v>
      </c>
      <c r="U707" s="7">
        <v>15.33</v>
      </c>
      <c r="V707" s="7">
        <v>-11.57</v>
      </c>
      <c r="W707" s="7">
        <v>-14.98</v>
      </c>
      <c r="X707" s="7">
        <v>5.4099999999999699</v>
      </c>
      <c r="Y707" s="7">
        <v>2.6599999999999699</v>
      </c>
      <c r="Z707" s="9">
        <f>MAX($B$707:$Y$707)</f>
        <v>41.23</v>
      </c>
      <c r="AA707" s="9">
        <f>MIN($B$707:$Y$707)</f>
        <v>-43.29</v>
      </c>
      <c r="AB707" s="9">
        <f>AVERAGE($B$707:$Y$707)</f>
        <v>2.8483333333333301</v>
      </c>
    </row>
    <row r="708" spans="1:28">
      <c r="A708" s="10">
        <v>46003</v>
      </c>
      <c r="B708" s="7">
        <v>13.38</v>
      </c>
      <c r="C708" s="7">
        <v>12.63</v>
      </c>
      <c r="D708" s="7">
        <v>11.6</v>
      </c>
      <c r="E708" s="7">
        <v>8.9900000000000109</v>
      </c>
      <c r="F708" s="7">
        <v>10.19</v>
      </c>
      <c r="G708" s="7">
        <v>6.12</v>
      </c>
      <c r="H708" s="7">
        <v>3.3499999999999699</v>
      </c>
      <c r="I708" s="7">
        <v>-1.1499999999999799</v>
      </c>
      <c r="J708" s="7">
        <v>8.3699999999999992</v>
      </c>
      <c r="K708" s="7">
        <v>23.75</v>
      </c>
      <c r="L708" s="7">
        <v>35.89</v>
      </c>
      <c r="M708" s="7">
        <v>69.72</v>
      </c>
      <c r="N708" s="7">
        <v>170.89</v>
      </c>
      <c r="O708" s="7">
        <v>120.49</v>
      </c>
      <c r="P708" s="7">
        <v>51.6</v>
      </c>
      <c r="Q708" s="7">
        <v>15.3</v>
      </c>
      <c r="R708" s="7">
        <v>8.1100000000000101</v>
      </c>
      <c r="S708" s="7">
        <v>4.3000000000000096</v>
      </c>
      <c r="T708" s="7">
        <v>17.690000000000001</v>
      </c>
      <c r="U708" s="7">
        <v>15.03</v>
      </c>
      <c r="V708" s="7">
        <v>15.69</v>
      </c>
      <c r="W708" s="7">
        <v>31.86</v>
      </c>
      <c r="X708" s="7">
        <v>28.18</v>
      </c>
      <c r="Y708" s="7">
        <v>23.03</v>
      </c>
      <c r="Z708" s="9">
        <f>MAX($B$708:$Y$708)</f>
        <v>170.89</v>
      </c>
      <c r="AA708" s="9">
        <f>MIN($B$708:$Y$708)</f>
        <v>-1.1499999999999799</v>
      </c>
      <c r="AB708" s="9">
        <f>AVERAGE($B$708:$Y$708)</f>
        <v>29.375416666666698</v>
      </c>
    </row>
    <row r="709" spans="1:28">
      <c r="A709" s="10">
        <v>46004</v>
      </c>
      <c r="B709" s="7">
        <v>-7.6400000000000396</v>
      </c>
      <c r="C709" s="7">
        <v>-18.489999999999998</v>
      </c>
      <c r="D709" s="7">
        <v>-16.600000000000001</v>
      </c>
      <c r="E709" s="7">
        <v>-1.00999999999999</v>
      </c>
      <c r="F709" s="7">
        <v>-10.33</v>
      </c>
      <c r="G709" s="7">
        <v>-23.65</v>
      </c>
      <c r="H709" s="7">
        <v>-31.71</v>
      </c>
      <c r="I709" s="7">
        <v>-24.52</v>
      </c>
      <c r="J709" s="7">
        <v>-26.58</v>
      </c>
      <c r="K709" s="7">
        <v>3.6700000000000199</v>
      </c>
      <c r="L709" s="7">
        <v>-15.33</v>
      </c>
      <c r="M709" s="7">
        <v>-37.93</v>
      </c>
      <c r="N709" s="7">
        <v>-12.77</v>
      </c>
      <c r="O709" s="7">
        <v>-58.84</v>
      </c>
      <c r="P709" s="7">
        <v>-28.75</v>
      </c>
      <c r="Q709" s="7">
        <v>-14.4</v>
      </c>
      <c r="R709" s="7">
        <v>2.1499999999999799</v>
      </c>
      <c r="S709" s="7">
        <v>-21</v>
      </c>
      <c r="T709" s="7">
        <v>-38.03</v>
      </c>
      <c r="U709" s="7">
        <v>-19.91</v>
      </c>
      <c r="V709" s="7">
        <v>22.51</v>
      </c>
      <c r="W709" s="7">
        <v>29.75</v>
      </c>
      <c r="X709" s="7">
        <v>15.16</v>
      </c>
      <c r="Y709" s="7">
        <v>25.89</v>
      </c>
      <c r="Z709" s="9">
        <f>MAX($B$709:$Y$709)</f>
        <v>29.75</v>
      </c>
      <c r="AA709" s="9">
        <f>MIN($B$709:$Y$709)</f>
        <v>-58.84</v>
      </c>
      <c r="AB709" s="9">
        <f>AVERAGE($B$709:$Y$709)</f>
        <v>-12.848333333333301</v>
      </c>
    </row>
    <row r="710" spans="1:28">
      <c r="A710" s="10">
        <v>46005</v>
      </c>
      <c r="B710" s="7">
        <v>52.77</v>
      </c>
      <c r="C710" s="7">
        <v>42.28</v>
      </c>
      <c r="D710" s="7">
        <v>31.15</v>
      </c>
      <c r="E710" s="7">
        <v>21.39</v>
      </c>
      <c r="F710" s="7">
        <v>30.88</v>
      </c>
      <c r="G710" s="7">
        <v>24.51</v>
      </c>
      <c r="H710" s="7">
        <v>31.41</v>
      </c>
      <c r="I710" s="7">
        <v>40.98</v>
      </c>
      <c r="J710" s="7">
        <v>19.04</v>
      </c>
      <c r="K710" s="7">
        <v>24.02</v>
      </c>
      <c r="L710" s="7">
        <v>92.31</v>
      </c>
      <c r="M710" s="7">
        <v>79.11</v>
      </c>
      <c r="N710" s="7">
        <v>17.38</v>
      </c>
      <c r="O710" s="7">
        <v>23.86</v>
      </c>
      <c r="P710" s="7">
        <v>90.83</v>
      </c>
      <c r="Q710" s="7">
        <v>142.16</v>
      </c>
      <c r="R710" s="7">
        <v>27.83</v>
      </c>
      <c r="S710" s="7">
        <v>28.37</v>
      </c>
      <c r="T710" s="7">
        <v>30.85</v>
      </c>
      <c r="U710" s="7">
        <v>48.22</v>
      </c>
      <c r="V710" s="7">
        <v>45.15</v>
      </c>
      <c r="W710" s="7">
        <v>38.25</v>
      </c>
      <c r="X710" s="7">
        <v>37.270000000000003</v>
      </c>
      <c r="Y710" s="7">
        <v>24.31</v>
      </c>
      <c r="Z710" s="9">
        <f>MAX($B$710:$Y$710)</f>
        <v>142.16</v>
      </c>
      <c r="AA710" s="9">
        <f>MIN($B$710:$Y$710)</f>
        <v>17.38</v>
      </c>
      <c r="AB710" s="9">
        <f>AVERAGE($B$710:$Y$710)</f>
        <v>43.513750000000002</v>
      </c>
    </row>
    <row r="711" spans="1:28">
      <c r="A711" s="10">
        <v>46006</v>
      </c>
      <c r="B711" s="7">
        <v>16.28</v>
      </c>
      <c r="C711" s="7">
        <v>10.62</v>
      </c>
      <c r="D711" s="7">
        <v>14.35</v>
      </c>
      <c r="E711" s="7">
        <v>16.71</v>
      </c>
      <c r="F711" s="7">
        <v>17.95</v>
      </c>
      <c r="G711" s="7">
        <v>9.1500000000000306</v>
      </c>
      <c r="H711" s="7">
        <v>7.2800000000000296</v>
      </c>
      <c r="I711" s="7">
        <v>10.9</v>
      </c>
      <c r="J711" s="7">
        <v>15.7</v>
      </c>
      <c r="K711" s="7">
        <v>55.78</v>
      </c>
      <c r="L711" s="7">
        <v>76.77</v>
      </c>
      <c r="M711" s="7">
        <v>129.68</v>
      </c>
      <c r="N711" s="7">
        <v>129.71</v>
      </c>
      <c r="O711" s="7">
        <v>98.29</v>
      </c>
      <c r="P711" s="7">
        <v>127.15</v>
      </c>
      <c r="Q711" s="7">
        <v>141.91</v>
      </c>
      <c r="R711" s="7">
        <v>20</v>
      </c>
      <c r="S711" s="7">
        <v>-4.1099999999999604</v>
      </c>
      <c r="T711" s="7">
        <v>-75.510000000000005</v>
      </c>
      <c r="U711" s="7">
        <v>-82.08</v>
      </c>
      <c r="V711" s="7">
        <v>-24.35</v>
      </c>
      <c r="W711" s="7">
        <v>-50.76</v>
      </c>
      <c r="X711" s="7">
        <v>8.2100000000000399</v>
      </c>
      <c r="Y711" s="7">
        <v>-0.19999999999998899</v>
      </c>
      <c r="Z711" s="9">
        <f>MAX($B$711:$Y$711)</f>
        <v>141.91</v>
      </c>
      <c r="AA711" s="9">
        <f>MIN($B$711:$Y$711)</f>
        <v>-82.08</v>
      </c>
      <c r="AB711" s="9">
        <f>AVERAGE($B$711:$Y$711)</f>
        <v>27.8929166666667</v>
      </c>
    </row>
    <row r="712" spans="1:28">
      <c r="A712" s="10">
        <v>46007</v>
      </c>
      <c r="B712" s="7">
        <v>-3.75</v>
      </c>
      <c r="C712" s="7">
        <v>8.5699999999999896</v>
      </c>
      <c r="D712" s="7">
        <v>9.1000000000000192</v>
      </c>
      <c r="E712" s="7">
        <v>3.80000000000001</v>
      </c>
      <c r="F712" s="7">
        <v>1.8400000000000301</v>
      </c>
      <c r="G712" s="7">
        <v>2.79000000000002</v>
      </c>
      <c r="H712" s="7">
        <v>-0.62999999999999501</v>
      </c>
      <c r="I712" s="7">
        <v>1.69999999999999</v>
      </c>
      <c r="J712" s="7">
        <v>-8.8600000000000101</v>
      </c>
      <c r="K712" s="7">
        <v>32</v>
      </c>
      <c r="L712" s="7">
        <v>20.440000000000001</v>
      </c>
      <c r="M712" s="7">
        <v>43.81</v>
      </c>
      <c r="N712" s="7">
        <v>54.9</v>
      </c>
      <c r="O712" s="7">
        <v>17.850000000000001</v>
      </c>
      <c r="P712" s="7">
        <v>33.950000000000003</v>
      </c>
      <c r="Q712" s="7">
        <v>25.57</v>
      </c>
      <c r="R712" s="7">
        <v>46.59</v>
      </c>
      <c r="S712" s="7">
        <v>-66.7</v>
      </c>
      <c r="T712" s="7">
        <v>-140.35</v>
      </c>
      <c r="U712" s="7">
        <v>14.63</v>
      </c>
      <c r="V712" s="7">
        <v>49.77</v>
      </c>
      <c r="W712" s="7">
        <v>27.16</v>
      </c>
      <c r="X712" s="7">
        <v>3.24000000000001</v>
      </c>
      <c r="Y712" s="7">
        <v>14.86</v>
      </c>
      <c r="Z712" s="9">
        <f>MAX($B$712:$Y$712)</f>
        <v>54.9</v>
      </c>
      <c r="AA712" s="9">
        <f>MIN($B$712:$Y$712)</f>
        <v>-140.35</v>
      </c>
      <c r="AB712" s="9">
        <f>AVERAGE($B$712:$Y$712)</f>
        <v>8.0116666666666703</v>
      </c>
    </row>
    <row r="713" spans="1:28">
      <c r="A713" s="10">
        <v>46008</v>
      </c>
      <c r="B713" s="7">
        <v>-67.91</v>
      </c>
      <c r="C713" s="7">
        <v>-8.56</v>
      </c>
      <c r="D713" s="7">
        <v>-3</v>
      </c>
      <c r="E713" s="7">
        <v>4.4099999999999699</v>
      </c>
      <c r="F713" s="7">
        <v>5.4499999999999904</v>
      </c>
      <c r="G713" s="7">
        <v>2.6000000000000201</v>
      </c>
      <c r="H713" s="7">
        <v>-5.8500000000000201</v>
      </c>
      <c r="I713" s="7">
        <v>-18.84</v>
      </c>
      <c r="J713" s="7">
        <v>-22.53</v>
      </c>
      <c r="K713" s="7">
        <v>29.12</v>
      </c>
      <c r="L713" s="7">
        <v>74.400000000000006</v>
      </c>
      <c r="M713" s="7">
        <v>114.88</v>
      </c>
      <c r="N713" s="7">
        <v>190.15</v>
      </c>
      <c r="O713" s="7">
        <v>183.74</v>
      </c>
      <c r="P713" s="7">
        <v>206.49</v>
      </c>
      <c r="Q713" s="7">
        <v>91.19</v>
      </c>
      <c r="R713" s="7">
        <v>-19.829999999999998</v>
      </c>
      <c r="S713" s="7">
        <v>-381.4</v>
      </c>
      <c r="T713" s="7">
        <v>-250.6</v>
      </c>
      <c r="U713" s="7">
        <v>16.690000000000001</v>
      </c>
      <c r="V713" s="7">
        <v>-6.0899999999999697</v>
      </c>
      <c r="W713" s="7">
        <v>6.7899999999999601</v>
      </c>
      <c r="X713" s="7">
        <v>-4.5399999999999601</v>
      </c>
      <c r="Y713" s="7">
        <v>8.4300000000000104</v>
      </c>
      <c r="Z713" s="9">
        <f>MAX($B$713:$Y$713)</f>
        <v>206.49</v>
      </c>
      <c r="AA713" s="9">
        <f>MIN($B$713:$Y$713)</f>
        <v>-381.4</v>
      </c>
      <c r="AB713" s="9">
        <f>AVERAGE($B$713:$Y$713)</f>
        <v>6.0495833333333398</v>
      </c>
    </row>
    <row r="714" spans="1:28">
      <c r="A714" s="10">
        <v>46009</v>
      </c>
      <c r="B714" s="7">
        <v>-125.02</v>
      </c>
      <c r="C714" s="7">
        <v>-160.68</v>
      </c>
      <c r="D714" s="7">
        <v>-65.64</v>
      </c>
      <c r="E714" s="7">
        <v>-36.51</v>
      </c>
      <c r="F714" s="7">
        <v>4.3000000000000096</v>
      </c>
      <c r="G714" s="7">
        <v>-26.869999999999902</v>
      </c>
      <c r="H714" s="7">
        <v>-67.209999999999994</v>
      </c>
      <c r="I714" s="7">
        <v>-67.72</v>
      </c>
      <c r="J714" s="7">
        <v>-35.700000000000003</v>
      </c>
      <c r="K714" s="7">
        <v>27.12</v>
      </c>
      <c r="L714" s="7">
        <v>125.03</v>
      </c>
      <c r="M714" s="7">
        <v>81.59</v>
      </c>
      <c r="N714" s="7">
        <v>12.41</v>
      </c>
      <c r="O714" s="7">
        <v>72.33</v>
      </c>
      <c r="P714" s="7">
        <v>60.99</v>
      </c>
      <c r="Q714" s="7">
        <v>174.43</v>
      </c>
      <c r="R714" s="7">
        <v>22.79</v>
      </c>
      <c r="S714" s="7">
        <v>22.72</v>
      </c>
      <c r="T714" s="7">
        <v>55.45</v>
      </c>
      <c r="U714" s="7">
        <v>136.75</v>
      </c>
      <c r="V714" s="7">
        <v>80.22</v>
      </c>
      <c r="W714" s="7">
        <v>78.369999999999905</v>
      </c>
      <c r="X714" s="7">
        <v>32.659999999999997</v>
      </c>
      <c r="Y714" s="7">
        <v>2.78000000000003</v>
      </c>
      <c r="Z714" s="9">
        <f>MAX($B$714:$Y$714)</f>
        <v>174.43</v>
      </c>
      <c r="AA714" s="9">
        <f>MIN($B$714:$Y$714)</f>
        <v>-160.68</v>
      </c>
      <c r="AB714" s="9">
        <f>AVERAGE($B$714:$Y$714)</f>
        <v>16.8579166666667</v>
      </c>
    </row>
    <row r="715" spans="1:28">
      <c r="A715" s="10">
        <v>46010</v>
      </c>
      <c r="B715" s="7">
        <v>22.01</v>
      </c>
      <c r="C715" s="7">
        <v>24.09</v>
      </c>
      <c r="D715" s="7">
        <v>7.1700000000000204</v>
      </c>
      <c r="E715" s="7">
        <v>25.31</v>
      </c>
      <c r="F715" s="7">
        <v>45.64</v>
      </c>
      <c r="G715" s="7">
        <v>24.51</v>
      </c>
      <c r="H715" s="7">
        <v>20.57</v>
      </c>
      <c r="I715" s="7">
        <v>11.07</v>
      </c>
      <c r="J715" s="7">
        <v>-34.15</v>
      </c>
      <c r="K715" s="7">
        <v>-12.78</v>
      </c>
      <c r="L715" s="7">
        <v>43.57</v>
      </c>
      <c r="M715" s="7">
        <v>64.540000000000006</v>
      </c>
      <c r="N715" s="7">
        <v>75.819999999999993</v>
      </c>
      <c r="O715" s="7">
        <v>16.25</v>
      </c>
      <c r="P715" s="7">
        <v>60.25</v>
      </c>
      <c r="Q715" s="7">
        <v>2.3299999999999801</v>
      </c>
      <c r="R715" s="7">
        <v>20.41</v>
      </c>
      <c r="S715" s="7">
        <v>-25.98</v>
      </c>
      <c r="T715" s="7">
        <v>3.5799999999999299</v>
      </c>
      <c r="U715" s="7">
        <v>25.2</v>
      </c>
      <c r="V715" s="7">
        <v>64.41</v>
      </c>
      <c r="W715" s="7">
        <v>78.34</v>
      </c>
      <c r="X715" s="7">
        <v>9.4699999999999704</v>
      </c>
      <c r="Y715" s="7">
        <v>3.1100000000000101</v>
      </c>
      <c r="Z715" s="9">
        <f>MAX($B$715:$Y$715)</f>
        <v>78.34</v>
      </c>
      <c r="AA715" s="9">
        <f>MIN($B$715:$Y$715)</f>
        <v>-34.15</v>
      </c>
      <c r="AB715" s="9">
        <f>AVERAGE($B$715:$Y$715)</f>
        <v>23.947500000000002</v>
      </c>
    </row>
    <row r="716" spans="1:28">
      <c r="A716" s="10">
        <v>46011</v>
      </c>
      <c r="B716" s="7">
        <v>3.25</v>
      </c>
      <c r="C716" s="7">
        <v>-2.9300000000000099</v>
      </c>
      <c r="D716" s="7">
        <v>10.75</v>
      </c>
      <c r="E716" s="7">
        <v>-1.48999999999995</v>
      </c>
      <c r="F716" s="7">
        <v>-5.1000000000000201</v>
      </c>
      <c r="G716" s="7">
        <v>-4.4700000000000299</v>
      </c>
      <c r="H716" s="7">
        <v>9.4200000000000195</v>
      </c>
      <c r="I716" s="7">
        <v>5.0799999999999796</v>
      </c>
      <c r="J716" s="7">
        <v>-7.5500000000000096</v>
      </c>
      <c r="K716" s="7">
        <v>26.89</v>
      </c>
      <c r="L716" s="7">
        <v>8.6399999999999899</v>
      </c>
      <c r="M716" s="7">
        <v>-2.75</v>
      </c>
      <c r="N716" s="7">
        <v>11.05</v>
      </c>
      <c r="O716" s="7">
        <v>-13.35</v>
      </c>
      <c r="P716" s="7">
        <v>10.08</v>
      </c>
      <c r="Q716" s="7">
        <v>27.36</v>
      </c>
      <c r="R716" s="7">
        <v>40.79</v>
      </c>
      <c r="S716" s="7">
        <v>53.03</v>
      </c>
      <c r="T716" s="7">
        <v>-16.04</v>
      </c>
      <c r="U716" s="7">
        <v>53.91</v>
      </c>
      <c r="V716" s="7">
        <v>95.91</v>
      </c>
      <c r="W716" s="7">
        <v>94.78</v>
      </c>
      <c r="X716" s="7">
        <v>54.4299999999999</v>
      </c>
      <c r="Y716" s="7">
        <v>15.32</v>
      </c>
      <c r="Z716" s="9">
        <f>MAX($B$716:$Y$716)</f>
        <v>95.91</v>
      </c>
      <c r="AA716" s="9">
        <f>MIN($B$716:$Y$716)</f>
        <v>-16.04</v>
      </c>
      <c r="AB716" s="9">
        <f>AVERAGE($B$716:$Y$716)</f>
        <v>19.458749999999998</v>
      </c>
    </row>
    <row r="717" spans="1:28">
      <c r="A717" s="10">
        <v>46012</v>
      </c>
      <c r="B717" s="7">
        <v>-8.6700000000000195</v>
      </c>
      <c r="C717" s="7">
        <v>-10.44</v>
      </c>
      <c r="D717" s="7">
        <v>4.4300000000000104</v>
      </c>
      <c r="E717" s="7">
        <v>2.9300000000000099</v>
      </c>
      <c r="F717" s="7">
        <v>9.26999999999998</v>
      </c>
      <c r="G717" s="7">
        <v>12.62</v>
      </c>
      <c r="H717" s="7">
        <v>6.5899999999999697</v>
      </c>
      <c r="I717" s="7">
        <v>-2.87</v>
      </c>
      <c r="J717" s="7">
        <v>5.31</v>
      </c>
      <c r="K717" s="7">
        <v>218.19</v>
      </c>
      <c r="L717" s="7">
        <v>150.06</v>
      </c>
      <c r="M717" s="7">
        <v>49.83</v>
      </c>
      <c r="N717" s="7">
        <v>5.77</v>
      </c>
      <c r="O717" s="7">
        <v>21.19</v>
      </c>
      <c r="P717" s="7">
        <v>31.3</v>
      </c>
      <c r="Q717" s="7">
        <v>111.12</v>
      </c>
      <c r="R717" s="7">
        <v>135.43</v>
      </c>
      <c r="S717" s="7">
        <v>-13.81</v>
      </c>
      <c r="T717" s="7">
        <v>22.53</v>
      </c>
      <c r="U717" s="7">
        <v>35.99</v>
      </c>
      <c r="V717" s="7">
        <v>15.1</v>
      </c>
      <c r="W717" s="7">
        <v>25.65</v>
      </c>
      <c r="X717" s="7">
        <v>33.909999999999997</v>
      </c>
      <c r="Y717" s="7">
        <v>51.94</v>
      </c>
      <c r="Z717" s="9">
        <f>MAX($B$717:$Y$717)</f>
        <v>218.19</v>
      </c>
      <c r="AA717" s="9">
        <f>MIN($B$717:$Y$717)</f>
        <v>-13.81</v>
      </c>
      <c r="AB717" s="9">
        <f>AVERAGE($B$717:$Y$717)</f>
        <v>38.057083333333303</v>
      </c>
    </row>
    <row r="718" spans="1:28">
      <c r="A718" s="10">
        <v>46013</v>
      </c>
      <c r="B718" s="7">
        <v>36.89</v>
      </c>
      <c r="C718" s="7">
        <v>40.35</v>
      </c>
      <c r="D718" s="7">
        <v>36.44</v>
      </c>
      <c r="E718" s="7">
        <v>48.51</v>
      </c>
      <c r="F718" s="7">
        <v>43.32</v>
      </c>
      <c r="G718" s="7">
        <v>65.3</v>
      </c>
      <c r="H718" s="7">
        <v>52.6</v>
      </c>
      <c r="I718" s="7">
        <v>51.78</v>
      </c>
      <c r="J718" s="7">
        <v>1.4300000000000099</v>
      </c>
      <c r="K718" s="7">
        <v>-15.2</v>
      </c>
      <c r="L718" s="7">
        <v>18.27</v>
      </c>
      <c r="M718" s="7">
        <v>66.94</v>
      </c>
      <c r="N718" s="7">
        <v>-62.64</v>
      </c>
      <c r="O718" s="7">
        <v>-58.57</v>
      </c>
      <c r="P718" s="7">
        <v>4.58</v>
      </c>
      <c r="Q718" s="7">
        <v>59.8</v>
      </c>
      <c r="R718" s="7">
        <v>77.430000000000007</v>
      </c>
      <c r="S718" s="7">
        <v>77.94</v>
      </c>
      <c r="T718" s="7">
        <v>48.24</v>
      </c>
      <c r="U718" s="7">
        <v>61.15</v>
      </c>
      <c r="V718" s="7">
        <v>74.5</v>
      </c>
      <c r="W718" s="7">
        <v>92.75</v>
      </c>
      <c r="X718" s="7">
        <v>90.6</v>
      </c>
      <c r="Y718" s="7">
        <v>58.89</v>
      </c>
      <c r="Z718" s="9">
        <f>MAX($B$718:$Y$718)</f>
        <v>92.75</v>
      </c>
      <c r="AA718" s="9">
        <f>MIN($B$718:$Y$718)</f>
        <v>-62.64</v>
      </c>
      <c r="AB718" s="9">
        <f>AVERAGE($B$718:$Y$718)</f>
        <v>40.470833333333303</v>
      </c>
    </row>
    <row r="719" spans="1:28">
      <c r="A719" s="10">
        <v>46014</v>
      </c>
      <c r="B719" s="7">
        <v>52.7</v>
      </c>
      <c r="C719" s="7">
        <v>34.93</v>
      </c>
      <c r="D719" s="7">
        <v>7.7899999999999601</v>
      </c>
      <c r="E719" s="7">
        <v>19.62</v>
      </c>
      <c r="F719" s="7">
        <v>27.81</v>
      </c>
      <c r="G719" s="7">
        <v>23.54</v>
      </c>
      <c r="H719" s="7">
        <v>5.4499999999999904</v>
      </c>
      <c r="I719" s="7">
        <v>-24.88</v>
      </c>
      <c r="J719" s="7">
        <v>-1.22999999999996</v>
      </c>
      <c r="K719" s="7">
        <v>86.06</v>
      </c>
      <c r="L719" s="7">
        <v>-9.01999999999998</v>
      </c>
      <c r="M719" s="7">
        <v>-39</v>
      </c>
      <c r="N719" s="7">
        <v>46.43</v>
      </c>
      <c r="O719" s="7">
        <v>16.600000000000001</v>
      </c>
      <c r="P719" s="7">
        <v>12.44</v>
      </c>
      <c r="Q719" s="7">
        <v>-8.6300000000000008</v>
      </c>
      <c r="R719" s="7">
        <v>-7.8899999999999899</v>
      </c>
      <c r="S719" s="7">
        <v>-50.71</v>
      </c>
      <c r="T719" s="7">
        <v>-439.91</v>
      </c>
      <c r="U719" s="7">
        <v>-63.940000000000097</v>
      </c>
      <c r="V719" s="7">
        <v>4.9100000000000303</v>
      </c>
      <c r="W719" s="7">
        <v>69.790000000000006</v>
      </c>
      <c r="X719" s="7">
        <v>75.34</v>
      </c>
      <c r="Y719" s="7">
        <v>28.44</v>
      </c>
      <c r="Z719" s="9">
        <f>MAX($B$719:$Y$719)</f>
        <v>86.06</v>
      </c>
      <c r="AA719" s="9">
        <f>MIN($B$719:$Y$719)</f>
        <v>-439.91</v>
      </c>
      <c r="AB719" s="9">
        <f>AVERAGE($B$719:$Y$719)</f>
        <v>-5.5566666666666702</v>
      </c>
    </row>
    <row r="720" spans="1:28">
      <c r="A720" s="10">
        <v>46015</v>
      </c>
      <c r="B720" s="7">
        <v>28.34</v>
      </c>
      <c r="C720" s="7">
        <v>16.72</v>
      </c>
      <c r="D720" s="7">
        <v>19.940000000000001</v>
      </c>
      <c r="E720" s="7">
        <v>3.5299999999999701</v>
      </c>
      <c r="F720" s="7">
        <v>11.14</v>
      </c>
      <c r="G720" s="7">
        <v>15.96</v>
      </c>
      <c r="H720" s="7">
        <v>3.6599999999999699</v>
      </c>
      <c r="I720" s="7">
        <v>-1.0499999999999501</v>
      </c>
      <c r="J720" s="7">
        <v>11.92</v>
      </c>
      <c r="K720" s="7">
        <v>30.91</v>
      </c>
      <c r="L720" s="7">
        <v>20.5</v>
      </c>
      <c r="M720" s="7">
        <v>26.23</v>
      </c>
      <c r="N720" s="7">
        <v>64.03</v>
      </c>
      <c r="O720" s="7">
        <v>7.3999999999999799</v>
      </c>
      <c r="P720" s="7">
        <v>11.97</v>
      </c>
      <c r="Q720" s="7">
        <v>13.53</v>
      </c>
      <c r="R720" s="7">
        <v>28.48</v>
      </c>
      <c r="S720" s="7">
        <v>28.53</v>
      </c>
      <c r="T720" s="7">
        <v>35.03</v>
      </c>
      <c r="U720" s="7">
        <v>63.81</v>
      </c>
      <c r="V720" s="7">
        <v>28.06</v>
      </c>
      <c r="W720" s="7">
        <v>102.61</v>
      </c>
      <c r="X720" s="7">
        <v>52.23</v>
      </c>
      <c r="Y720" s="7">
        <v>7.3999999999999799</v>
      </c>
      <c r="Z720" s="9">
        <f>MAX($B$720:$Y$720)</f>
        <v>102.61</v>
      </c>
      <c r="AA720" s="9">
        <f>MIN($B$720:$Y$720)</f>
        <v>-1.0499999999999501</v>
      </c>
      <c r="AB720" s="9">
        <f>AVERAGE($B$720:$Y$720)</f>
        <v>26.286666666666701</v>
      </c>
    </row>
    <row r="721" spans="1:28">
      <c r="A721" s="10">
        <v>46016</v>
      </c>
      <c r="B721" s="7">
        <v>5.1100000000000101</v>
      </c>
      <c r="C721" s="7">
        <v>-22.24</v>
      </c>
      <c r="D721" s="7">
        <v>1.8500000000000201</v>
      </c>
      <c r="E721" s="7">
        <v>5.0900000000000301</v>
      </c>
      <c r="F721" s="7">
        <v>3.51999999999998</v>
      </c>
      <c r="G721" s="7">
        <v>-5.0400000000000196</v>
      </c>
      <c r="H721" s="7">
        <v>-2.96999999999997</v>
      </c>
      <c r="I721" s="7">
        <v>2.6099999999999599</v>
      </c>
      <c r="J721" s="7">
        <v>-27.27</v>
      </c>
      <c r="K721" s="7">
        <v>-7.62</v>
      </c>
      <c r="L721" s="7">
        <v>-28.4</v>
      </c>
      <c r="M721" s="7">
        <v>10.23</v>
      </c>
      <c r="N721" s="7">
        <v>69.5</v>
      </c>
      <c r="O721" s="7">
        <v>-1.66</v>
      </c>
      <c r="P721" s="7">
        <v>4.66</v>
      </c>
      <c r="Q721" s="7">
        <v>43.89</v>
      </c>
      <c r="R721" s="7">
        <v>17.239999999999998</v>
      </c>
      <c r="S721" s="7">
        <v>51.1</v>
      </c>
      <c r="T721" s="7">
        <v>91.28</v>
      </c>
      <c r="U721" s="7">
        <v>84.08</v>
      </c>
      <c r="V721" s="7">
        <v>88.75</v>
      </c>
      <c r="W721" s="7">
        <v>83.37</v>
      </c>
      <c r="X721" s="7">
        <v>39.78</v>
      </c>
      <c r="Y721" s="7">
        <v>32.5</v>
      </c>
      <c r="Z721" s="9">
        <f>MAX($B$721:$Y$721)</f>
        <v>91.28</v>
      </c>
      <c r="AA721" s="9">
        <f>MIN($B$721:$Y$721)</f>
        <v>-28.4</v>
      </c>
      <c r="AB721" s="9">
        <f>AVERAGE($B$721:$Y$721)</f>
        <v>22.473333333333301</v>
      </c>
    </row>
    <row r="722" spans="1:28">
      <c r="A722" s="10">
        <v>46017</v>
      </c>
      <c r="B722" s="7">
        <v>15</v>
      </c>
      <c r="C722" s="7">
        <v>24.79</v>
      </c>
      <c r="D722" s="7">
        <v>33.78</v>
      </c>
      <c r="E722" s="7">
        <v>35</v>
      </c>
      <c r="F722" s="7">
        <v>28.3</v>
      </c>
      <c r="G722" s="7">
        <v>14.96</v>
      </c>
      <c r="H722" s="7">
        <v>0.16999999999995899</v>
      </c>
      <c r="I722" s="7">
        <v>-5.5299999999999701</v>
      </c>
      <c r="J722" s="7">
        <v>-114.53</v>
      </c>
      <c r="K722" s="7">
        <v>-167.36</v>
      </c>
      <c r="L722" s="7">
        <v>-99.99</v>
      </c>
      <c r="M722" s="7">
        <v>-79.25</v>
      </c>
      <c r="N722" s="7">
        <v>-201.27</v>
      </c>
      <c r="O722" s="7">
        <v>-159.19</v>
      </c>
      <c r="P722" s="7">
        <v>-59.3</v>
      </c>
      <c r="Q722" s="7">
        <v>-57.18</v>
      </c>
      <c r="R722" s="7">
        <v>4.5</v>
      </c>
      <c r="S722" s="7">
        <v>-5.2999999999999501</v>
      </c>
      <c r="T722" s="7">
        <v>13.45</v>
      </c>
      <c r="U722" s="7">
        <v>-264.44</v>
      </c>
      <c r="V722" s="7">
        <v>-178.2</v>
      </c>
      <c r="W722" s="7">
        <v>-28.29</v>
      </c>
      <c r="X722" s="7">
        <v>-26.95</v>
      </c>
      <c r="Y722" s="7">
        <v>3.9300000000000099</v>
      </c>
      <c r="Z722" s="9">
        <f>MAX($B$722:$Y$722)</f>
        <v>35</v>
      </c>
      <c r="AA722" s="9">
        <f>MIN($B$722:$Y$722)</f>
        <v>-264.44</v>
      </c>
      <c r="AB722" s="9">
        <f>AVERAGE($B$722:$Y$722)</f>
        <v>-53.037500000000001</v>
      </c>
    </row>
    <row r="723" spans="1:28">
      <c r="A723" s="10">
        <v>46018</v>
      </c>
      <c r="B723" s="7">
        <v>-24.87</v>
      </c>
      <c r="C723" s="7">
        <v>-35.08</v>
      </c>
      <c r="D723" s="7">
        <v>-31.84</v>
      </c>
      <c r="E723" s="7">
        <v>-3.38</v>
      </c>
      <c r="F723" s="7">
        <v>-2.1600000000000201</v>
      </c>
      <c r="G723" s="7">
        <v>-3.70999999999998</v>
      </c>
      <c r="H723" s="7">
        <v>6.8399999999999697</v>
      </c>
      <c r="I723" s="7">
        <v>4.3800000000000496</v>
      </c>
      <c r="J723" s="7">
        <v>-2.81</v>
      </c>
      <c r="K723" s="7">
        <v>54.53</v>
      </c>
      <c r="L723" s="7">
        <v>76.86</v>
      </c>
      <c r="M723" s="7">
        <v>125.45</v>
      </c>
      <c r="N723" s="7">
        <v>107.34</v>
      </c>
      <c r="O723" s="7">
        <v>103.27</v>
      </c>
      <c r="P723" s="7">
        <v>159.36000000000001</v>
      </c>
      <c r="Q723" s="7">
        <v>74.14</v>
      </c>
      <c r="R723" s="7">
        <v>-97.27</v>
      </c>
      <c r="S723" s="7">
        <v>-57.8</v>
      </c>
      <c r="T723" s="7">
        <v>-168.35</v>
      </c>
      <c r="U723" s="7">
        <v>91.319999999999894</v>
      </c>
      <c r="V723" s="7">
        <v>15.24</v>
      </c>
      <c r="W723" s="7">
        <v>41.5</v>
      </c>
      <c r="X723" s="7">
        <v>-20.5</v>
      </c>
      <c r="Y723" s="7">
        <v>-28.13</v>
      </c>
      <c r="Z723" s="9">
        <f>MAX($B$723:$Y$723)</f>
        <v>159.36000000000001</v>
      </c>
      <c r="AA723" s="9">
        <f>MIN($B$723:$Y$723)</f>
        <v>-168.35</v>
      </c>
      <c r="AB723" s="9">
        <f>AVERAGE($B$723:$Y$723)</f>
        <v>16.013750000000002</v>
      </c>
    </row>
    <row r="724" spans="1:28">
      <c r="A724" s="10">
        <v>46019</v>
      </c>
      <c r="B724" s="7">
        <v>-134.19</v>
      </c>
      <c r="C724" s="7">
        <v>-24.05</v>
      </c>
      <c r="D724" s="7">
        <v>-13.79</v>
      </c>
      <c r="E724" s="7">
        <v>14.72</v>
      </c>
      <c r="F724" s="7">
        <v>8.8600000000000101</v>
      </c>
      <c r="G724" s="7">
        <v>1.5</v>
      </c>
      <c r="H724" s="7">
        <v>14.45</v>
      </c>
      <c r="I724" s="7">
        <v>17.93</v>
      </c>
      <c r="J724" s="7">
        <v>2.94999999999999</v>
      </c>
      <c r="K724" s="7">
        <v>40.909999999999997</v>
      </c>
      <c r="L724" s="7">
        <v>13.98</v>
      </c>
      <c r="M724" s="7">
        <v>95.7</v>
      </c>
      <c r="N724" s="7">
        <v>108.91</v>
      </c>
      <c r="O724" s="7">
        <v>-2.1699999999999902</v>
      </c>
      <c r="P724" s="7">
        <v>137.28</v>
      </c>
      <c r="Q724" s="7">
        <v>79.67</v>
      </c>
      <c r="R724" s="7">
        <v>-64.58</v>
      </c>
      <c r="S724" s="7">
        <v>-183.53</v>
      </c>
      <c r="T724" s="7">
        <v>-275.69</v>
      </c>
      <c r="U724" s="7">
        <v>-127.03</v>
      </c>
      <c r="V724" s="7">
        <v>-495.03</v>
      </c>
      <c r="W724" s="7">
        <v>-240.8</v>
      </c>
      <c r="X724" s="7">
        <v>-20.5</v>
      </c>
      <c r="Y724" s="7">
        <v>-25.44</v>
      </c>
      <c r="Z724" s="9">
        <f>MAX($B$724:$Y$724)</f>
        <v>137.28</v>
      </c>
      <c r="AA724" s="9">
        <f>MIN($B$724:$Y$724)</f>
        <v>-495.03</v>
      </c>
      <c r="AB724" s="9">
        <f>AVERAGE($B$724:$Y$724)</f>
        <v>-44.580833333333302</v>
      </c>
    </row>
    <row r="725" spans="1:28">
      <c r="A725" s="10">
        <v>46020</v>
      </c>
      <c r="B725" s="7">
        <v>-27.96</v>
      </c>
      <c r="C725" s="7">
        <v>9.7000000000000508</v>
      </c>
      <c r="D725" s="7">
        <v>8.1499999999999808</v>
      </c>
      <c r="E725" s="7">
        <v>3.33000000000004</v>
      </c>
      <c r="F725" s="7">
        <v>13.19</v>
      </c>
      <c r="G725" s="7">
        <v>13.42</v>
      </c>
      <c r="H725" s="7">
        <v>1.6599999999999699</v>
      </c>
      <c r="I725" s="7">
        <v>4.9699999999999704</v>
      </c>
      <c r="J725" s="7">
        <v>-14.2</v>
      </c>
      <c r="K725" s="7">
        <v>29.31</v>
      </c>
      <c r="L725" s="7">
        <v>19.88</v>
      </c>
      <c r="M725" s="7">
        <v>54.34</v>
      </c>
      <c r="N725" s="7">
        <v>165.93</v>
      </c>
      <c r="O725" s="7">
        <v>113.66</v>
      </c>
      <c r="P725" s="7">
        <v>40.61</v>
      </c>
      <c r="Q725" s="7">
        <v>16.489999999999998</v>
      </c>
      <c r="R725" s="7">
        <v>21.76</v>
      </c>
      <c r="S725" s="7">
        <v>13.68</v>
      </c>
      <c r="T725" s="7">
        <v>88.52</v>
      </c>
      <c r="U725" s="7">
        <v>211.63</v>
      </c>
      <c r="V725" s="7">
        <v>138.26</v>
      </c>
      <c r="W725" s="7">
        <v>-7.1399999999999899</v>
      </c>
      <c r="X725" s="7">
        <v>49.3</v>
      </c>
      <c r="Y725" s="7">
        <v>26.59</v>
      </c>
      <c r="Z725" s="9">
        <f>MAX($B$725:$Y$725)</f>
        <v>211.63</v>
      </c>
      <c r="AA725" s="9">
        <f>MIN($B$725:$Y$725)</f>
        <v>-27.96</v>
      </c>
      <c r="AB725" s="9">
        <f>AVERAGE($B$725:$Y$725)</f>
        <v>41.461666666666702</v>
      </c>
    </row>
    <row r="726" spans="1:28">
      <c r="A726" s="10">
        <v>46021</v>
      </c>
      <c r="B726" s="7">
        <v>10.77</v>
      </c>
      <c r="C726" s="7">
        <v>23.68</v>
      </c>
      <c r="D726" s="7">
        <v>26.43</v>
      </c>
      <c r="E726" s="7">
        <v>9.9600000000000399</v>
      </c>
      <c r="F726" s="7">
        <v>-2.25</v>
      </c>
      <c r="G726" s="7">
        <v>2.1100000000000101</v>
      </c>
      <c r="H726" s="7">
        <v>0.76999999999998203</v>
      </c>
      <c r="I726" s="7">
        <v>-8.2100000000000399</v>
      </c>
      <c r="J726" s="7">
        <v>19.2</v>
      </c>
      <c r="K726" s="7">
        <v>39.5</v>
      </c>
      <c r="L726" s="7">
        <v>72.58</v>
      </c>
      <c r="M726" s="7">
        <v>110.65</v>
      </c>
      <c r="N726" s="7">
        <v>183.13</v>
      </c>
      <c r="O726" s="7">
        <v>250.37</v>
      </c>
      <c r="P726" s="7">
        <v>240</v>
      </c>
      <c r="Q726" s="7">
        <v>90.28</v>
      </c>
      <c r="R726" s="7">
        <v>29.07</v>
      </c>
      <c r="S726" s="7">
        <v>18.760000000000002</v>
      </c>
      <c r="T726" s="7">
        <v>101.28</v>
      </c>
      <c r="U726" s="7">
        <v>232.57</v>
      </c>
      <c r="V726" s="7">
        <v>128.88999999999999</v>
      </c>
      <c r="W726" s="7">
        <v>70.06</v>
      </c>
      <c r="X726" s="7">
        <v>42.79</v>
      </c>
      <c r="Y726" s="7">
        <v>21.73</v>
      </c>
      <c r="Z726" s="9">
        <f>MAX($B$726:$Y$726)</f>
        <v>250.37</v>
      </c>
      <c r="AA726" s="9">
        <f>MIN($B$726:$Y$726)</f>
        <v>-8.2100000000000399</v>
      </c>
      <c r="AB726" s="9">
        <f>AVERAGE($B$726:$Y$726)</f>
        <v>71.421666666666695</v>
      </c>
    </row>
    <row r="727" spans="1:28">
      <c r="A727" s="10">
        <v>46022</v>
      </c>
      <c r="B727" s="7">
        <v>-1.26999999999998</v>
      </c>
      <c r="C727" s="7">
        <v>1.25</v>
      </c>
      <c r="D727" s="7">
        <v>10</v>
      </c>
      <c r="E727" s="7">
        <v>12.5</v>
      </c>
      <c r="F727" s="7">
        <v>13.58</v>
      </c>
      <c r="G727" s="7">
        <v>16.29</v>
      </c>
      <c r="H727" s="7">
        <v>8.1800000000000104</v>
      </c>
      <c r="I727" s="7">
        <v>4.75</v>
      </c>
      <c r="J727" s="7">
        <v>2.4200000000000199</v>
      </c>
      <c r="K727" s="7">
        <v>23.05</v>
      </c>
      <c r="L727" s="7">
        <v>74.430000000000007</v>
      </c>
      <c r="M727" s="7">
        <v>77.64</v>
      </c>
      <c r="N727" s="7">
        <v>57.01</v>
      </c>
      <c r="O727" s="7">
        <v>111.3</v>
      </c>
      <c r="P727" s="7">
        <v>183.12</v>
      </c>
      <c r="Q727" s="7">
        <v>160.88</v>
      </c>
      <c r="R727" s="7">
        <v>28.11</v>
      </c>
      <c r="S727" s="7">
        <v>20.75</v>
      </c>
      <c r="T727" s="7">
        <v>34.08</v>
      </c>
      <c r="U727" s="7">
        <v>38.1</v>
      </c>
      <c r="V727" s="7">
        <v>34.96</v>
      </c>
      <c r="W727" s="7">
        <v>36.590000000000003</v>
      </c>
      <c r="X727" s="7">
        <v>31.7</v>
      </c>
      <c r="Y727" s="7">
        <v>19.989999999999998</v>
      </c>
      <c r="Z727" s="9">
        <f>MAX($B$727:$Y$727)</f>
        <v>183.12</v>
      </c>
      <c r="AA727" s="9">
        <f>MIN($B$727:$Y$727)</f>
        <v>-1.26999999999998</v>
      </c>
      <c r="AB727" s="9">
        <f>AVERAGE($B$727:$Y$727)</f>
        <v>41.642083333333296</v>
      </c>
    </row>
    <row r="728" spans="1:28">
      <c r="A728" s="42">
        <v>46023</v>
      </c>
      <c r="B728" s="43">
        <v>-21.4</v>
      </c>
      <c r="C728" s="43">
        <v>33.44</v>
      </c>
      <c r="D728" s="43">
        <v>57.77</v>
      </c>
      <c r="E728" s="43">
        <v>41.06</v>
      </c>
      <c r="F728" s="43">
        <v>34.89</v>
      </c>
      <c r="G728" s="43">
        <v>92.48</v>
      </c>
      <c r="H728" s="43">
        <v>209.44</v>
      </c>
      <c r="I728" s="43">
        <v>251.57</v>
      </c>
      <c r="J728" s="43">
        <v>301.33999999999997</v>
      </c>
      <c r="K728" s="43">
        <v>271.3</v>
      </c>
      <c r="L728" s="43">
        <v>85.93</v>
      </c>
      <c r="M728" s="43">
        <v>2.52</v>
      </c>
      <c r="N728" s="43">
        <v>-33.340000000000003</v>
      </c>
      <c r="O728" s="43">
        <v>-17.63</v>
      </c>
      <c r="P728" s="43">
        <v>-0.62999999999999501</v>
      </c>
      <c r="Q728" s="43">
        <v>9.9999999999980105E-3</v>
      </c>
      <c r="R728" s="43">
        <v>98.08</v>
      </c>
      <c r="S728" s="43">
        <v>31.1</v>
      </c>
      <c r="T728" s="43">
        <v>22.32</v>
      </c>
      <c r="U728" s="43">
        <v>66.42</v>
      </c>
      <c r="V728" s="43">
        <v>25.64</v>
      </c>
      <c r="W728" s="43">
        <v>44.06</v>
      </c>
      <c r="X728" s="43">
        <v>17.89</v>
      </c>
      <c r="Y728" s="43">
        <v>11.85</v>
      </c>
    </row>
    <row r="729" spans="1:28">
      <c r="A729" s="42">
        <v>46024</v>
      </c>
      <c r="B729" s="43">
        <v>-50.67</v>
      </c>
      <c r="C729" s="43">
        <v>2.8499999999999899</v>
      </c>
      <c r="D729" s="43">
        <v>48.78</v>
      </c>
      <c r="E729" s="43">
        <v>195.56</v>
      </c>
      <c r="F729" s="43">
        <v>211.13</v>
      </c>
      <c r="G729" s="43">
        <v>191.65</v>
      </c>
      <c r="H729" s="43">
        <v>139.49</v>
      </c>
      <c r="I729" s="43">
        <v>49.03</v>
      </c>
      <c r="J729" s="43">
        <v>108.17</v>
      </c>
      <c r="K729" s="43">
        <v>191.28</v>
      </c>
      <c r="L729" s="43">
        <v>193.26</v>
      </c>
      <c r="M729" s="43">
        <v>251.57</v>
      </c>
      <c r="N729" s="43">
        <v>167.44</v>
      </c>
      <c r="O729" s="43">
        <v>221.79</v>
      </c>
      <c r="P729" s="43">
        <v>252.02</v>
      </c>
      <c r="Q729" s="43">
        <v>168.85</v>
      </c>
      <c r="R729" s="43">
        <v>122.09</v>
      </c>
      <c r="S729" s="43">
        <v>166.31</v>
      </c>
      <c r="T729" s="43">
        <v>98.15</v>
      </c>
      <c r="U729" s="43">
        <v>-30.079999999999899</v>
      </c>
      <c r="V729" s="43">
        <v>90.49</v>
      </c>
      <c r="W729" s="43">
        <v>38.450000000000003</v>
      </c>
      <c r="X729" s="43">
        <v>-22.79</v>
      </c>
      <c r="Y729" s="43">
        <v>-21.52</v>
      </c>
    </row>
    <row r="730" spans="1:28">
      <c r="A730" s="42">
        <v>46025</v>
      </c>
      <c r="B730" s="43">
        <v>122.68</v>
      </c>
      <c r="C730" s="43">
        <v>62.51</v>
      </c>
      <c r="D730" s="43">
        <v>-14.46</v>
      </c>
      <c r="E730" s="43">
        <v>2.78000000000003</v>
      </c>
      <c r="F730" s="43">
        <v>9.5</v>
      </c>
      <c r="G730" s="43">
        <v>-4.5399999999999601</v>
      </c>
      <c r="H730" s="43">
        <v>-26.58</v>
      </c>
      <c r="I730" s="43">
        <v>-87.48</v>
      </c>
      <c r="J730" s="43">
        <v>92.64</v>
      </c>
      <c r="K730" s="43">
        <v>183.79</v>
      </c>
      <c r="L730" s="43">
        <v>47.31</v>
      </c>
      <c r="M730" s="43">
        <v>28.92</v>
      </c>
      <c r="N730" s="43">
        <v>69.89</v>
      </c>
      <c r="O730" s="43">
        <v>41.47</v>
      </c>
      <c r="P730" s="43">
        <v>70.180000000000007</v>
      </c>
      <c r="Q730" s="43">
        <v>39.35</v>
      </c>
      <c r="R730" s="43">
        <v>138.34</v>
      </c>
      <c r="S730" s="43">
        <v>221.81</v>
      </c>
      <c r="T730" s="43">
        <v>295.18</v>
      </c>
      <c r="U730" s="43">
        <v>332.38</v>
      </c>
      <c r="V730" s="43">
        <v>278.10000000000002</v>
      </c>
      <c r="W730" s="43">
        <v>251.94</v>
      </c>
      <c r="X730" s="43">
        <v>169.46</v>
      </c>
      <c r="Y730" s="43">
        <v>-8.2000000000000508</v>
      </c>
    </row>
    <row r="731" spans="1:28">
      <c r="A731" s="42">
        <v>46026</v>
      </c>
      <c r="B731" s="43">
        <v>74.5</v>
      </c>
      <c r="C731" s="43">
        <v>3.30000000000001</v>
      </c>
      <c r="D731" s="43">
        <v>29.27</v>
      </c>
      <c r="E731" s="43">
        <v>16.010000000000002</v>
      </c>
      <c r="F731" s="43">
        <v>15.2</v>
      </c>
      <c r="G731" s="43">
        <v>-28.64</v>
      </c>
      <c r="H731" s="43">
        <v>-25.25</v>
      </c>
      <c r="I731" s="43">
        <v>-62.45</v>
      </c>
      <c r="J731" s="43">
        <v>12.06</v>
      </c>
      <c r="K731" s="43">
        <v>25.24</v>
      </c>
      <c r="L731" s="43">
        <v>56.05</v>
      </c>
      <c r="M731" s="43">
        <v>44.19</v>
      </c>
      <c r="N731" s="43">
        <v>72.98</v>
      </c>
      <c r="O731" s="43">
        <v>123.05</v>
      </c>
      <c r="P731" s="43">
        <v>192.98</v>
      </c>
      <c r="Q731" s="43">
        <v>39.729999999999997</v>
      </c>
      <c r="R731" s="43">
        <v>28.25</v>
      </c>
      <c r="S731" s="43">
        <v>94.9</v>
      </c>
      <c r="T731" s="43">
        <v>156.69999999999999</v>
      </c>
      <c r="U731" s="43">
        <v>291.76</v>
      </c>
      <c r="V731" s="43">
        <v>205.37</v>
      </c>
      <c r="W731" s="43">
        <v>148.56</v>
      </c>
      <c r="X731" s="43">
        <v>82.65</v>
      </c>
      <c r="Y731" s="43">
        <v>12.31</v>
      </c>
    </row>
    <row r="732" spans="1:28">
      <c r="A732" s="42">
        <v>46027</v>
      </c>
      <c r="B732" s="43">
        <v>-90.33</v>
      </c>
      <c r="C732" s="43">
        <v>28.97</v>
      </c>
      <c r="D732" s="43">
        <v>20.3</v>
      </c>
      <c r="E732" s="43">
        <v>15.72</v>
      </c>
      <c r="F732" s="43">
        <v>8.9499999999999904</v>
      </c>
      <c r="G732" s="43">
        <v>6.5499999999999501</v>
      </c>
      <c r="H732" s="43">
        <v>5.4499999999999904</v>
      </c>
      <c r="I732" s="43">
        <v>10</v>
      </c>
      <c r="J732" s="43">
        <v>-12.71</v>
      </c>
      <c r="K732" s="43">
        <v>1.9200000000000199</v>
      </c>
      <c r="L732" s="43">
        <v>36.729999999999997</v>
      </c>
      <c r="M732" s="43">
        <v>93.07</v>
      </c>
      <c r="N732" s="43">
        <v>101.36</v>
      </c>
      <c r="O732" s="43">
        <v>103.25</v>
      </c>
      <c r="P732" s="43">
        <v>99.14</v>
      </c>
      <c r="Q732" s="43">
        <v>18.260000000000002</v>
      </c>
      <c r="R732" s="43">
        <v>22.37</v>
      </c>
      <c r="S732" s="43">
        <v>15.34</v>
      </c>
      <c r="T732" s="43">
        <v>112.52</v>
      </c>
      <c r="U732" s="43">
        <v>187.4</v>
      </c>
      <c r="V732" s="43">
        <v>105.8</v>
      </c>
      <c r="W732" s="43">
        <v>102.82</v>
      </c>
      <c r="X732" s="43">
        <v>20.03</v>
      </c>
      <c r="Y732" s="43">
        <v>18.41</v>
      </c>
    </row>
    <row r="733" spans="1:28">
      <c r="A733" s="42">
        <v>46028</v>
      </c>
      <c r="B733" s="43">
        <v>8.0699999999999896</v>
      </c>
      <c r="C733" s="43">
        <v>8.3199999999999896</v>
      </c>
      <c r="D733" s="43">
        <v>7.9600000000000097</v>
      </c>
      <c r="E733" s="43">
        <v>7.6900000000000297</v>
      </c>
      <c r="F733" s="43">
        <v>16.11</v>
      </c>
      <c r="G733" s="43">
        <v>37.11</v>
      </c>
      <c r="H733" s="43">
        <v>4.6799999999999802</v>
      </c>
      <c r="I733" s="43">
        <v>1.4200000000000199</v>
      </c>
      <c r="J733" s="43">
        <v>-21.16</v>
      </c>
      <c r="K733" s="43">
        <v>-7.3399999999999697</v>
      </c>
      <c r="L733" s="43">
        <v>22.39</v>
      </c>
      <c r="M733" s="43">
        <v>-7.6700000000000204</v>
      </c>
      <c r="N733" s="43">
        <v>19.55</v>
      </c>
      <c r="O733" s="43">
        <v>13.11</v>
      </c>
      <c r="P733" s="43">
        <v>23.1</v>
      </c>
      <c r="Q733" s="43">
        <v>59.56</v>
      </c>
      <c r="R733" s="43">
        <v>28.74</v>
      </c>
      <c r="S733" s="43">
        <v>3.44</v>
      </c>
      <c r="T733" s="43">
        <v>18.149999999999999</v>
      </c>
      <c r="U733" s="43">
        <v>71.13</v>
      </c>
      <c r="V733" s="43">
        <v>-23.03</v>
      </c>
      <c r="W733" s="43">
        <v>-41.09</v>
      </c>
      <c r="X733" s="43">
        <v>1.3299999999999801</v>
      </c>
      <c r="Y733" s="43">
        <v>2.1399999999999899</v>
      </c>
    </row>
    <row r="734" spans="1:28">
      <c r="A734" s="42">
        <v>46029</v>
      </c>
      <c r="B734" s="43">
        <v>14.65</v>
      </c>
      <c r="C734" s="43">
        <v>13.95</v>
      </c>
      <c r="D734" s="43">
        <v>8.4200000000000195</v>
      </c>
      <c r="E734" s="43">
        <v>6.9000000000000101</v>
      </c>
      <c r="F734" s="43">
        <v>8.6699999999999893</v>
      </c>
      <c r="G734" s="43">
        <v>11.07</v>
      </c>
      <c r="H734" s="43">
        <v>6.0000000000000302</v>
      </c>
      <c r="I734" s="43">
        <v>3.25</v>
      </c>
      <c r="J734" s="43">
        <v>9.3399999999999697</v>
      </c>
      <c r="K734" s="43">
        <v>36.1</v>
      </c>
      <c r="L734" s="43">
        <v>23.75</v>
      </c>
      <c r="M734" s="43">
        <v>30.32</v>
      </c>
      <c r="N734" s="43">
        <v>14.48</v>
      </c>
      <c r="O734" s="43">
        <v>66.44</v>
      </c>
      <c r="P734" s="43">
        <v>43.92</v>
      </c>
      <c r="Q734" s="43">
        <v>67.510000000000005</v>
      </c>
      <c r="R734" s="43">
        <v>-25.34</v>
      </c>
      <c r="S734" s="43">
        <v>-87.92</v>
      </c>
      <c r="T734" s="43">
        <v>-138.56</v>
      </c>
      <c r="U734" s="43">
        <v>-91.16</v>
      </c>
      <c r="V734" s="43">
        <v>-276.31</v>
      </c>
      <c r="W734" s="43">
        <v>-221.85</v>
      </c>
      <c r="X734" s="43">
        <v>-121.72</v>
      </c>
      <c r="Y734" s="43">
        <v>-19.420000000000002</v>
      </c>
    </row>
    <row r="735" spans="1:28">
      <c r="A735" s="42">
        <v>46030</v>
      </c>
      <c r="B735" s="43">
        <v>-14.93</v>
      </c>
      <c r="C735" s="43">
        <v>-5.51999999999998</v>
      </c>
      <c r="D735" s="43">
        <v>2.3999999999999799</v>
      </c>
      <c r="E735" s="43">
        <v>10.3</v>
      </c>
      <c r="F735" s="43">
        <v>13.65</v>
      </c>
      <c r="G735" s="43">
        <v>19.920000000000002</v>
      </c>
      <c r="H735" s="43">
        <v>26.18</v>
      </c>
      <c r="I735" s="43">
        <v>7.9999999999984098E-2</v>
      </c>
      <c r="J735" s="43">
        <v>-58.1</v>
      </c>
      <c r="K735" s="43">
        <v>-3.3199999999999901</v>
      </c>
      <c r="L735" s="43">
        <v>16.43</v>
      </c>
      <c r="M735" s="43">
        <v>-34.119999999999997</v>
      </c>
      <c r="N735" s="43">
        <v>114.52</v>
      </c>
      <c r="O735" s="43">
        <v>51.75</v>
      </c>
      <c r="P735" s="43">
        <v>66.69</v>
      </c>
      <c r="Q735" s="43">
        <v>-13.38</v>
      </c>
      <c r="R735" s="43">
        <v>-9.5500000000000096</v>
      </c>
      <c r="S735" s="43">
        <v>-183.04</v>
      </c>
      <c r="T735" s="43">
        <v>-741.69</v>
      </c>
      <c r="U735" s="43">
        <v>-633.74</v>
      </c>
      <c r="V735" s="43">
        <v>-501.54</v>
      </c>
      <c r="W735" s="43">
        <v>-512.16999999999996</v>
      </c>
      <c r="X735" s="43">
        <v>37.78</v>
      </c>
      <c r="Y735" s="43">
        <v>21.89</v>
      </c>
    </row>
    <row r="736" spans="1:28">
      <c r="A736" s="42">
        <v>46031</v>
      </c>
      <c r="B736" s="43">
        <v>-0.42000000000001603</v>
      </c>
      <c r="C736" s="43">
        <v>5.0399999999999601</v>
      </c>
      <c r="D736" s="43">
        <v>15.77</v>
      </c>
      <c r="E736" s="43">
        <v>13.2</v>
      </c>
      <c r="F736" s="43">
        <v>18.95</v>
      </c>
      <c r="G736" s="43">
        <v>10.7</v>
      </c>
      <c r="H736" s="43">
        <v>20.83</v>
      </c>
      <c r="I736" s="43">
        <v>4.2299999999999596</v>
      </c>
      <c r="J736" s="43">
        <v>-10.36</v>
      </c>
      <c r="K736" s="43">
        <v>51.75</v>
      </c>
      <c r="L736" s="43">
        <v>34</v>
      </c>
      <c r="M736" s="43">
        <v>-42.22</v>
      </c>
      <c r="N736" s="43">
        <v>66.86</v>
      </c>
      <c r="O736" s="43">
        <v>17.23</v>
      </c>
      <c r="P736" s="43">
        <v>18</v>
      </c>
      <c r="Q736" s="43">
        <v>95.82</v>
      </c>
      <c r="R736" s="43">
        <v>13.57</v>
      </c>
      <c r="S736" s="43">
        <v>72.3</v>
      </c>
      <c r="T736" s="43">
        <v>171.98</v>
      </c>
      <c r="U736" s="43">
        <v>299.18</v>
      </c>
      <c r="V736" s="43">
        <v>351.84</v>
      </c>
      <c r="W736" s="43">
        <v>211.48</v>
      </c>
      <c r="X736" s="43">
        <v>8.5699999999999896</v>
      </c>
      <c r="Y736" s="43">
        <v>-47.98</v>
      </c>
    </row>
    <row r="737" spans="1:25">
      <c r="A737" s="42">
        <v>46032</v>
      </c>
      <c r="B737" s="43">
        <v>-35.71</v>
      </c>
      <c r="C737" s="43">
        <v>-5.99000000000001</v>
      </c>
      <c r="D737" s="43">
        <v>7.2600000000000504</v>
      </c>
      <c r="E737" s="43">
        <v>12.55</v>
      </c>
      <c r="F737" s="43">
        <v>8.5300000000000296</v>
      </c>
      <c r="G737" s="43">
        <v>11.6</v>
      </c>
      <c r="H737" s="43">
        <v>-2.5699999999999901</v>
      </c>
      <c r="I737" s="43">
        <v>-12.6</v>
      </c>
      <c r="J737" s="43">
        <v>-43.41</v>
      </c>
      <c r="K737" s="43">
        <v>20.62</v>
      </c>
      <c r="L737" s="43">
        <v>22.29</v>
      </c>
      <c r="M737" s="43">
        <v>-6.4600000000000097</v>
      </c>
      <c r="N737" s="43">
        <v>54.09</v>
      </c>
      <c r="O737" s="43">
        <v>-29.71</v>
      </c>
      <c r="P737" s="43">
        <v>-35.909999999999997</v>
      </c>
      <c r="Q737" s="43">
        <v>12.02</v>
      </c>
      <c r="R737" s="43">
        <v>-3.81</v>
      </c>
      <c r="S737" s="43">
        <v>-20.76</v>
      </c>
      <c r="T737" s="43">
        <v>-5.8199999999999896</v>
      </c>
      <c r="U737" s="43">
        <v>183.34</v>
      </c>
      <c r="V737" s="43">
        <v>160.43</v>
      </c>
      <c r="W737" s="43">
        <v>90.35</v>
      </c>
      <c r="X737" s="43">
        <v>12.88</v>
      </c>
      <c r="Y737" s="43">
        <v>-5.49000000000001</v>
      </c>
    </row>
    <row r="738" spans="1:25">
      <c r="A738" s="42">
        <v>46033</v>
      </c>
      <c r="B738" s="43">
        <v>14.02</v>
      </c>
      <c r="C738" s="43">
        <v>5.51999999999998</v>
      </c>
      <c r="D738" s="43">
        <v>10.220000000000001</v>
      </c>
      <c r="E738" s="43">
        <v>9.94</v>
      </c>
      <c r="F738" s="43">
        <v>11.8</v>
      </c>
      <c r="G738" s="43">
        <v>17.739999999999998</v>
      </c>
      <c r="H738" s="43">
        <v>9.9300000000000104</v>
      </c>
      <c r="I738" s="43">
        <v>-6.4700000000000299</v>
      </c>
      <c r="J738" s="43">
        <v>11.37</v>
      </c>
      <c r="K738" s="43">
        <v>50.8</v>
      </c>
      <c r="L738" s="43">
        <v>47.65</v>
      </c>
      <c r="M738" s="43">
        <v>27.32</v>
      </c>
      <c r="N738" s="43">
        <v>120.11</v>
      </c>
      <c r="O738" s="43">
        <v>145.76</v>
      </c>
      <c r="P738" s="43">
        <v>88.62</v>
      </c>
      <c r="Q738" s="43">
        <v>122.67</v>
      </c>
      <c r="R738" s="43">
        <v>14.69</v>
      </c>
      <c r="S738" s="43">
        <v>6.1900000000000501</v>
      </c>
      <c r="T738" s="43">
        <v>40.81</v>
      </c>
      <c r="U738" s="43">
        <v>30.86</v>
      </c>
      <c r="V738" s="43">
        <v>-27.05</v>
      </c>
      <c r="W738" s="43">
        <v>-88.64</v>
      </c>
      <c r="X738" s="43">
        <v>-41.27</v>
      </c>
      <c r="Y738" s="43">
        <v>-7.4899999999999496</v>
      </c>
    </row>
    <row r="739" spans="1:25">
      <c r="A739" s="42">
        <v>46034</v>
      </c>
      <c r="B739" s="43">
        <v>-12.31</v>
      </c>
      <c r="C739" s="43">
        <v>2.23999999999995</v>
      </c>
      <c r="D739" s="43">
        <v>0.50999999999999102</v>
      </c>
      <c r="E739" s="43">
        <v>2.3299999999999801</v>
      </c>
      <c r="F739" s="43">
        <v>3.30000000000001</v>
      </c>
      <c r="G739" s="43">
        <v>1.8899999999999899</v>
      </c>
      <c r="H739" s="43">
        <v>-4.8600000000000101</v>
      </c>
      <c r="I739" s="43">
        <v>-21.04</v>
      </c>
      <c r="J739" s="43">
        <v>-21.48</v>
      </c>
      <c r="K739" s="43">
        <v>43.98</v>
      </c>
      <c r="L739" s="43">
        <v>80.12</v>
      </c>
      <c r="M739" s="43">
        <v>42.18</v>
      </c>
      <c r="N739" s="43">
        <v>86.16</v>
      </c>
      <c r="O739" s="43">
        <v>51.63</v>
      </c>
      <c r="P739" s="43">
        <v>76</v>
      </c>
      <c r="Q739" s="43">
        <v>57.06</v>
      </c>
      <c r="R739" s="43">
        <v>24.56</v>
      </c>
      <c r="S739" s="43">
        <v>39.47</v>
      </c>
      <c r="T739" s="43">
        <v>-13.65</v>
      </c>
      <c r="U739" s="43">
        <v>117.66</v>
      </c>
      <c r="V739" s="43">
        <v>103.64</v>
      </c>
      <c r="W739" s="43">
        <v>119.47</v>
      </c>
      <c r="X739" s="43">
        <v>95.77</v>
      </c>
      <c r="Y739" s="43">
        <v>8.9499999999999904</v>
      </c>
    </row>
    <row r="740" spans="1:25">
      <c r="A740" s="42">
        <v>46035</v>
      </c>
      <c r="B740" s="43">
        <v>-19.489999999999998</v>
      </c>
      <c r="C740" s="43">
        <v>45.96</v>
      </c>
      <c r="D740" s="43">
        <v>58.4299999999999</v>
      </c>
      <c r="E740" s="43">
        <v>36.74</v>
      </c>
      <c r="F740" s="43">
        <v>11</v>
      </c>
      <c r="G740" s="43">
        <v>9.9499999999999904</v>
      </c>
      <c r="H740" s="43">
        <v>-3.4000000000000301</v>
      </c>
      <c r="I740" s="43">
        <v>-134.09</v>
      </c>
      <c r="J740" s="43">
        <v>-9.5500000000000096</v>
      </c>
      <c r="K740" s="43">
        <v>76.53</v>
      </c>
      <c r="L740" s="43">
        <v>22.69</v>
      </c>
      <c r="M740" s="43">
        <v>20.93</v>
      </c>
      <c r="N740" s="43">
        <v>48.33</v>
      </c>
      <c r="O740" s="43">
        <v>16.39</v>
      </c>
      <c r="P740" s="43">
        <v>14.69</v>
      </c>
      <c r="Q740" s="43">
        <v>39.75</v>
      </c>
      <c r="R740" s="43">
        <v>10.47</v>
      </c>
      <c r="S740" s="43">
        <v>139.93</v>
      </c>
      <c r="T740" s="43">
        <v>227.33</v>
      </c>
      <c r="U740" s="43">
        <v>395.98</v>
      </c>
      <c r="V740" s="43">
        <v>288.10000000000002</v>
      </c>
      <c r="W740" s="43">
        <v>196.28</v>
      </c>
      <c r="X740" s="43">
        <v>89.23</v>
      </c>
      <c r="Y740" s="43">
        <v>-2.66999999999996</v>
      </c>
    </row>
    <row r="741" spans="1:25">
      <c r="A741" s="42">
        <v>46036</v>
      </c>
      <c r="B741" s="43">
        <v>15.37</v>
      </c>
      <c r="C741" s="43">
        <v>15.37</v>
      </c>
      <c r="D741" s="43">
        <v>8.3499999999999694</v>
      </c>
      <c r="E741" s="43">
        <v>8.7599999999999891</v>
      </c>
      <c r="F741" s="43">
        <v>9.7199999999999704</v>
      </c>
      <c r="G741" s="43">
        <v>5.9899999999999496</v>
      </c>
      <c r="H741" s="43">
        <v>2.75</v>
      </c>
      <c r="I741" s="43">
        <v>15.26</v>
      </c>
      <c r="J741" s="43">
        <v>14.75</v>
      </c>
      <c r="K741" s="43">
        <v>10.199999999999999</v>
      </c>
      <c r="L741" s="43">
        <v>99.18</v>
      </c>
      <c r="M741" s="43">
        <v>70.42</v>
      </c>
      <c r="N741" s="43">
        <v>72.41</v>
      </c>
      <c r="O741" s="43">
        <v>119.74</v>
      </c>
      <c r="P741" s="43">
        <v>139.16999999999999</v>
      </c>
      <c r="Q741" s="43">
        <v>62.43</v>
      </c>
      <c r="R741" s="43">
        <v>26.49</v>
      </c>
      <c r="S741" s="43">
        <v>133.58000000000001</v>
      </c>
      <c r="T741" s="43">
        <v>220.02</v>
      </c>
      <c r="U741" s="43">
        <v>375.93</v>
      </c>
      <c r="V741" s="43">
        <v>248.64</v>
      </c>
      <c r="W741" s="43">
        <v>173.01</v>
      </c>
      <c r="X741" s="43">
        <v>94.02</v>
      </c>
      <c r="Y741" s="43">
        <v>10.06</v>
      </c>
    </row>
    <row r="742" spans="1:25">
      <c r="A742" s="42">
        <v>46037</v>
      </c>
      <c r="B742" s="43">
        <v>82.21</v>
      </c>
      <c r="C742" s="43">
        <v>104.55</v>
      </c>
      <c r="D742" s="43">
        <v>36.340000000000003</v>
      </c>
      <c r="E742" s="43">
        <v>15.71</v>
      </c>
      <c r="F742" s="43">
        <v>9.9700000000000308</v>
      </c>
      <c r="G742" s="43">
        <v>12.6199999999999</v>
      </c>
      <c r="H742" s="43">
        <v>9.1300000000000008</v>
      </c>
      <c r="I742" s="43">
        <v>53.39</v>
      </c>
      <c r="J742" s="43">
        <v>-155.66</v>
      </c>
      <c r="K742" s="43">
        <v>20.23</v>
      </c>
      <c r="L742" s="43">
        <v>14.99</v>
      </c>
      <c r="M742" s="43">
        <v>20.56</v>
      </c>
      <c r="N742" s="43">
        <v>60.22</v>
      </c>
      <c r="O742" s="43">
        <v>32.86</v>
      </c>
      <c r="P742" s="43">
        <v>39.54</v>
      </c>
      <c r="Q742" s="43">
        <v>16.239999999999998</v>
      </c>
      <c r="R742" s="43">
        <v>37.51</v>
      </c>
      <c r="S742" s="43">
        <v>153.91</v>
      </c>
      <c r="T742" s="43">
        <v>253.67</v>
      </c>
      <c r="U742" s="43">
        <v>306.8</v>
      </c>
      <c r="V742" s="43">
        <v>265.83</v>
      </c>
      <c r="W742" s="43">
        <v>203.23</v>
      </c>
      <c r="X742" s="43">
        <v>163.08000000000001</v>
      </c>
      <c r="Y742" s="43">
        <v>45.07</v>
      </c>
    </row>
    <row r="743" spans="1:25">
      <c r="A743" s="42">
        <v>46038</v>
      </c>
      <c r="B743" s="43">
        <v>137.84</v>
      </c>
      <c r="C743" s="43">
        <v>114.39</v>
      </c>
      <c r="D743" s="43">
        <v>38.42</v>
      </c>
      <c r="E743" s="43">
        <v>25.16</v>
      </c>
      <c r="F743" s="43">
        <v>15.44</v>
      </c>
      <c r="G743" s="43">
        <v>18.89</v>
      </c>
      <c r="H743" s="43">
        <v>29.48</v>
      </c>
      <c r="I743" s="43">
        <v>104.47</v>
      </c>
      <c r="J743" s="43">
        <v>157.57</v>
      </c>
      <c r="K743" s="43">
        <v>97.75</v>
      </c>
      <c r="L743" s="43">
        <v>17.13</v>
      </c>
      <c r="M743" s="43">
        <v>-0.93999999999999795</v>
      </c>
      <c r="N743" s="43">
        <v>77.67</v>
      </c>
      <c r="O743" s="43">
        <v>36.89</v>
      </c>
      <c r="P743" s="43">
        <v>17.63</v>
      </c>
      <c r="Q743" s="43">
        <v>2.2799999999999701</v>
      </c>
      <c r="R743" s="43">
        <v>26.94</v>
      </c>
      <c r="S743" s="43">
        <v>190.57</v>
      </c>
      <c r="T743" s="43">
        <v>209.03</v>
      </c>
      <c r="U743" s="43">
        <v>264.2</v>
      </c>
      <c r="V743" s="43">
        <v>245.23</v>
      </c>
      <c r="W743" s="43">
        <v>245.14</v>
      </c>
      <c r="X743" s="43">
        <v>180.19</v>
      </c>
      <c r="Y743" s="43">
        <v>44.43</v>
      </c>
    </row>
    <row r="744" spans="1:25">
      <c r="A744" s="42">
        <v>46039</v>
      </c>
      <c r="B744" s="43">
        <v>122.33</v>
      </c>
      <c r="C744" s="43">
        <v>103.13</v>
      </c>
      <c r="D744" s="43">
        <v>57.66</v>
      </c>
      <c r="E744" s="43">
        <v>8.8300000000000392</v>
      </c>
      <c r="F744" s="43">
        <v>7.4599999999999804</v>
      </c>
      <c r="G744" s="43">
        <v>8.5500000000000096</v>
      </c>
      <c r="H744" s="43">
        <v>13.1799999999999</v>
      </c>
      <c r="I744" s="43">
        <v>18.510000000000002</v>
      </c>
      <c r="J744" s="43">
        <v>52.02</v>
      </c>
      <c r="K744" s="43">
        <v>62.04</v>
      </c>
      <c r="L744" s="43">
        <v>11.13</v>
      </c>
      <c r="M744" s="43">
        <v>-8.3500000000000192</v>
      </c>
      <c r="N744" s="43">
        <v>65.13</v>
      </c>
      <c r="O744" s="43">
        <v>43.58</v>
      </c>
      <c r="P744" s="43">
        <v>33.29</v>
      </c>
      <c r="Q744" s="43">
        <v>33.86</v>
      </c>
      <c r="R744" s="43">
        <v>-64.06</v>
      </c>
      <c r="S744" s="43">
        <v>98.3</v>
      </c>
      <c r="T744" s="43">
        <v>186.16</v>
      </c>
      <c r="U744" s="43">
        <v>186.24</v>
      </c>
      <c r="V744" s="43">
        <v>158.06</v>
      </c>
      <c r="W744" s="43">
        <v>130.16</v>
      </c>
      <c r="X744" s="43">
        <v>81.33</v>
      </c>
      <c r="Y744" s="43">
        <v>0.85000000000002296</v>
      </c>
    </row>
    <row r="745" spans="1:25">
      <c r="A745" s="42">
        <v>46040</v>
      </c>
      <c r="B745" s="43">
        <v>26.49</v>
      </c>
      <c r="C745" s="43">
        <v>35.479999999999997</v>
      </c>
      <c r="D745" s="43">
        <v>29</v>
      </c>
      <c r="E745" s="43">
        <v>20.43</v>
      </c>
      <c r="F745" s="43">
        <v>18.96</v>
      </c>
      <c r="G745" s="43">
        <v>15.01</v>
      </c>
      <c r="H745" s="43">
        <v>13.42</v>
      </c>
      <c r="I745" s="43">
        <v>8.7200000000000308</v>
      </c>
      <c r="J745" s="43">
        <v>8.5999999999999694</v>
      </c>
      <c r="K745" s="43">
        <v>14.35</v>
      </c>
      <c r="L745" s="43">
        <v>43.95</v>
      </c>
      <c r="M745" s="43">
        <v>-70.510000000000005</v>
      </c>
      <c r="N745" s="43">
        <v>9.1500000000000092</v>
      </c>
      <c r="O745" s="43">
        <v>10.5</v>
      </c>
      <c r="P745" s="43">
        <v>44.04</v>
      </c>
      <c r="Q745" s="43">
        <v>41.22</v>
      </c>
      <c r="R745" s="43">
        <v>16.649999999999999</v>
      </c>
      <c r="S745" s="43">
        <v>16.670000000000002</v>
      </c>
      <c r="T745" s="43">
        <v>63.4</v>
      </c>
      <c r="U745" s="43">
        <v>55.26</v>
      </c>
      <c r="V745" s="43">
        <v>52.1</v>
      </c>
      <c r="W745" s="43">
        <v>20.73</v>
      </c>
      <c r="X745" s="43">
        <v>27.16</v>
      </c>
      <c r="Y745" s="43">
        <v>15.63</v>
      </c>
    </row>
    <row r="746" spans="1:25">
      <c r="A746" s="42">
        <v>46041</v>
      </c>
      <c r="B746" s="43">
        <v>10.27</v>
      </c>
      <c r="C746" s="43">
        <v>19.41</v>
      </c>
      <c r="D746" s="43">
        <v>16.96</v>
      </c>
      <c r="E746" s="43">
        <v>12.06</v>
      </c>
      <c r="F746" s="43">
        <v>6.9099999999999699</v>
      </c>
      <c r="G746" s="43">
        <v>3.81</v>
      </c>
      <c r="H746" s="43">
        <v>2.06</v>
      </c>
      <c r="I746" s="43">
        <v>0.61000000000001398</v>
      </c>
      <c r="J746" s="43">
        <v>-4.3599999999999604</v>
      </c>
      <c r="K746" s="43">
        <v>28.07</v>
      </c>
      <c r="L746" s="43">
        <v>58.83</v>
      </c>
      <c r="M746" s="43">
        <v>-45.88</v>
      </c>
      <c r="N746" s="43">
        <v>-62.16</v>
      </c>
      <c r="O746" s="43">
        <v>-42.28</v>
      </c>
      <c r="P746" s="43">
        <v>-1.59</v>
      </c>
      <c r="Q746" s="43">
        <v>-25.9</v>
      </c>
      <c r="R746" s="43">
        <v>15.72</v>
      </c>
      <c r="S746" s="43">
        <v>-6.44</v>
      </c>
      <c r="T746" s="43">
        <v>-5.4300000000000104</v>
      </c>
      <c r="U746" s="43">
        <v>20.75</v>
      </c>
      <c r="V746" s="43">
        <v>4.8000000000000096</v>
      </c>
      <c r="W746" s="43">
        <v>8.1399999999999899</v>
      </c>
      <c r="X746" s="43">
        <v>11.56</v>
      </c>
      <c r="Y746" s="43">
        <v>6.1499999999999799</v>
      </c>
    </row>
    <row r="747" spans="1:25">
      <c r="A747" s="42">
        <v>46042</v>
      </c>
      <c r="B747" s="43">
        <v>13.7</v>
      </c>
      <c r="C747" s="43">
        <v>16.72</v>
      </c>
      <c r="D747" s="43">
        <v>16.510000000000002</v>
      </c>
      <c r="E747" s="43">
        <v>8.51999999999998</v>
      </c>
      <c r="F747" s="43">
        <v>13.17</v>
      </c>
      <c r="G747" s="43">
        <v>7.9499999999999904</v>
      </c>
      <c r="H747" s="43">
        <v>8.0900000000000301</v>
      </c>
      <c r="I747" s="43">
        <v>-1.99000000000001</v>
      </c>
      <c r="J747" s="43">
        <v>-9.7700000000000404</v>
      </c>
      <c r="K747" s="43">
        <v>-41.99</v>
      </c>
      <c r="L747" s="43">
        <v>-42.59</v>
      </c>
      <c r="M747" s="43">
        <v>-89.81</v>
      </c>
      <c r="N747" s="43">
        <v>-121.06</v>
      </c>
      <c r="O747" s="43">
        <v>-105.39</v>
      </c>
      <c r="P747" s="43">
        <v>-57.03</v>
      </c>
      <c r="Q747" s="43">
        <v>-21.76</v>
      </c>
      <c r="R747" s="43">
        <v>-17.239999999999998</v>
      </c>
      <c r="S747" s="43">
        <v>-55.01</v>
      </c>
      <c r="T747" s="43">
        <v>-44.35</v>
      </c>
      <c r="U747" s="43">
        <v>19.420000000000002</v>
      </c>
      <c r="V747" s="43">
        <v>-78.47</v>
      </c>
      <c r="W747" s="43">
        <v>-82.74</v>
      </c>
      <c r="X747" s="43">
        <v>-28.14</v>
      </c>
      <c r="Y747" s="43">
        <v>45.96</v>
      </c>
    </row>
    <row r="748" spans="1:25">
      <c r="A748" s="42">
        <v>46043</v>
      </c>
      <c r="B748" s="43">
        <v>11.99</v>
      </c>
      <c r="C748" s="43">
        <v>19.100000000000001</v>
      </c>
      <c r="D748" s="43">
        <v>17.98</v>
      </c>
      <c r="E748" s="43">
        <v>21.39</v>
      </c>
      <c r="F748" s="43">
        <v>15.24</v>
      </c>
      <c r="G748" s="43">
        <v>-16</v>
      </c>
      <c r="H748" s="43">
        <v>-11.24</v>
      </c>
      <c r="I748" s="43">
        <v>3.8899999999999899</v>
      </c>
      <c r="J748" s="43">
        <v>14.85</v>
      </c>
      <c r="K748" s="43">
        <v>-44.38</v>
      </c>
      <c r="L748" s="43">
        <v>-60.82</v>
      </c>
      <c r="M748" s="43">
        <v>-67.709999999999994</v>
      </c>
      <c r="N748" s="43">
        <v>-60.01</v>
      </c>
      <c r="O748" s="43">
        <v>-58.44</v>
      </c>
      <c r="P748" s="43">
        <v>-24.43</v>
      </c>
      <c r="Q748" s="43">
        <v>-31.16</v>
      </c>
      <c r="R748" s="43">
        <v>-123.47</v>
      </c>
      <c r="S748" s="43">
        <v>-176.4</v>
      </c>
      <c r="T748" s="43">
        <v>-221.47</v>
      </c>
      <c r="U748" s="43">
        <v>-154.04</v>
      </c>
      <c r="V748" s="43">
        <v>-402.74</v>
      </c>
      <c r="W748" s="43">
        <v>-290.55</v>
      </c>
      <c r="X748" s="43">
        <v>-247.24</v>
      </c>
      <c r="Y748" s="43">
        <v>0.100000000000023</v>
      </c>
    </row>
    <row r="749" spans="1:25">
      <c r="A749" s="42">
        <v>46044</v>
      </c>
      <c r="B749" s="43">
        <v>-3.8400000000000301</v>
      </c>
      <c r="C749" s="43">
        <v>6.2100000000000399</v>
      </c>
      <c r="D749" s="43">
        <v>8.1600000000000197</v>
      </c>
      <c r="E749" s="43">
        <v>14.01</v>
      </c>
      <c r="F749" s="43">
        <v>12.63</v>
      </c>
      <c r="G749" s="43">
        <v>16.100000000000001</v>
      </c>
      <c r="H749" s="43">
        <v>14.42</v>
      </c>
      <c r="I749" s="43">
        <v>-49.6</v>
      </c>
      <c r="J749" s="43">
        <v>20.34</v>
      </c>
      <c r="K749" s="43">
        <v>-30.420000000000101</v>
      </c>
      <c r="L749" s="43">
        <v>-16.86</v>
      </c>
      <c r="M749" s="43">
        <v>-222.45</v>
      </c>
      <c r="N749" s="43">
        <v>-24.43</v>
      </c>
      <c r="O749" s="43">
        <v>-54.21</v>
      </c>
      <c r="P749" s="43">
        <v>-37.11</v>
      </c>
      <c r="Q749" s="43">
        <v>-27.6</v>
      </c>
      <c r="R749" s="43">
        <v>-22.51</v>
      </c>
      <c r="S749" s="43">
        <v>-37.83</v>
      </c>
      <c r="T749" s="43">
        <v>244.15</v>
      </c>
      <c r="U749" s="43">
        <v>70.949999999999903</v>
      </c>
      <c r="V749" s="43">
        <v>31.3</v>
      </c>
      <c r="W749" s="43">
        <v>-80.800000000000097</v>
      </c>
      <c r="X749" s="43">
        <v>-18.78</v>
      </c>
      <c r="Y749" s="43">
        <v>11.37</v>
      </c>
    </row>
    <row r="750" spans="1:25">
      <c r="A750" s="42">
        <v>46045</v>
      </c>
      <c r="B750" s="43">
        <v>29.33</v>
      </c>
      <c r="C750" s="43">
        <v>25.61</v>
      </c>
      <c r="D750" s="43">
        <v>6.2099999999999804</v>
      </c>
      <c r="E750" s="43">
        <v>19.87</v>
      </c>
      <c r="F750" s="43">
        <v>27</v>
      </c>
      <c r="G750" s="43">
        <v>28.92</v>
      </c>
      <c r="H750" s="43">
        <v>19.420000000000002</v>
      </c>
      <c r="I750" s="43">
        <v>-0.41999999999995902</v>
      </c>
      <c r="J750" s="43">
        <v>-205.2</v>
      </c>
      <c r="K750" s="43">
        <v>-340.81</v>
      </c>
      <c r="L750" s="43">
        <v>-233.87</v>
      </c>
      <c r="M750" s="43">
        <v>-121.7</v>
      </c>
      <c r="N750" s="43">
        <v>4.1800000000000104</v>
      </c>
      <c r="O750" s="43">
        <v>-14.63</v>
      </c>
      <c r="P750" s="43">
        <v>8.48000000000002</v>
      </c>
      <c r="Q750" s="43">
        <v>27.19</v>
      </c>
      <c r="R750" s="43">
        <v>-0.73000000000001797</v>
      </c>
      <c r="S750" s="43">
        <v>87.8</v>
      </c>
      <c r="T750" s="43">
        <v>122.52</v>
      </c>
      <c r="U750" s="43">
        <v>477.41</v>
      </c>
      <c r="V750" s="43">
        <v>296.29000000000002</v>
      </c>
      <c r="W750" s="43">
        <v>171.03</v>
      </c>
      <c r="X750" s="43">
        <v>109.53</v>
      </c>
      <c r="Y750" s="43">
        <v>36.35</v>
      </c>
    </row>
    <row r="751" spans="1:25">
      <c r="A751" s="42">
        <v>46046</v>
      </c>
      <c r="B751" s="43">
        <v>56.41</v>
      </c>
      <c r="C751" s="43">
        <v>69.56</v>
      </c>
      <c r="D751" s="43">
        <v>45.89</v>
      </c>
      <c r="E751" s="43">
        <v>26.11</v>
      </c>
      <c r="F751" s="43">
        <v>8.1699999999999608</v>
      </c>
      <c r="G751" s="43">
        <v>15.71</v>
      </c>
      <c r="H751" s="43">
        <v>19.940000000000001</v>
      </c>
      <c r="I751" s="43">
        <v>53.66</v>
      </c>
      <c r="J751" s="43">
        <v>52.91</v>
      </c>
      <c r="K751" s="43">
        <v>116.24</v>
      </c>
      <c r="L751" s="43">
        <v>20.57</v>
      </c>
      <c r="M751" s="43">
        <v>10.24</v>
      </c>
      <c r="N751" s="43">
        <v>1.69</v>
      </c>
      <c r="O751" s="43">
        <v>0.110000000000014</v>
      </c>
      <c r="P751" s="43">
        <v>12.42</v>
      </c>
      <c r="Q751" s="43">
        <v>3.94999999999999</v>
      </c>
      <c r="R751" s="43">
        <v>27.02</v>
      </c>
      <c r="S751" s="43">
        <v>171.38</v>
      </c>
      <c r="T751" s="43">
        <v>231.95</v>
      </c>
      <c r="U751" s="43">
        <v>276.73</v>
      </c>
      <c r="V751" s="43">
        <v>208.73</v>
      </c>
      <c r="W751" s="43">
        <v>193.68</v>
      </c>
      <c r="X751" s="43">
        <v>93.88</v>
      </c>
      <c r="Y751" s="43">
        <v>44.44</v>
      </c>
    </row>
    <row r="752" spans="1:25">
      <c r="A752" s="42">
        <v>46047</v>
      </c>
      <c r="B752" s="43">
        <v>65.17</v>
      </c>
      <c r="C752" s="43">
        <v>58.17</v>
      </c>
      <c r="D752" s="43">
        <v>40.99</v>
      </c>
      <c r="E752" s="43">
        <v>52.97</v>
      </c>
      <c r="F752" s="43">
        <v>30.05</v>
      </c>
      <c r="G752" s="43">
        <v>27.45</v>
      </c>
      <c r="H752" s="43">
        <v>19.48</v>
      </c>
      <c r="I752" s="43">
        <v>30.28</v>
      </c>
      <c r="J752" s="43">
        <v>29.4</v>
      </c>
      <c r="K752" s="43">
        <v>27.59</v>
      </c>
      <c r="L752" s="43">
        <v>10.31</v>
      </c>
      <c r="M752" s="43">
        <v>26.96</v>
      </c>
      <c r="N752" s="43">
        <v>114.55</v>
      </c>
      <c r="O752" s="43">
        <v>99.2</v>
      </c>
      <c r="P752" s="43">
        <v>61.09</v>
      </c>
      <c r="Q752" s="43">
        <v>51.98</v>
      </c>
      <c r="R752" s="43">
        <v>4.3099999999999996</v>
      </c>
      <c r="S752" s="43">
        <v>55.54</v>
      </c>
      <c r="T752" s="43">
        <v>129.79</v>
      </c>
      <c r="U752" s="43">
        <v>165.82</v>
      </c>
      <c r="V752" s="43">
        <v>148.21</v>
      </c>
      <c r="W752" s="43">
        <v>103.92</v>
      </c>
      <c r="X752" s="43">
        <v>64.930000000000007</v>
      </c>
      <c r="Y752" s="43">
        <v>32.78</v>
      </c>
    </row>
    <row r="753" spans="1:25">
      <c r="A753" s="42">
        <v>46048</v>
      </c>
      <c r="B753" s="43">
        <v>53.06</v>
      </c>
      <c r="C753" s="43">
        <v>19.829999999999998</v>
      </c>
      <c r="D753" s="43">
        <v>24.13</v>
      </c>
      <c r="E753" s="43">
        <v>16.920000000000002</v>
      </c>
      <c r="F753" s="43">
        <v>7.25999999999999</v>
      </c>
      <c r="G753" s="43">
        <v>10.62</v>
      </c>
      <c r="H753" s="43">
        <v>15.04</v>
      </c>
      <c r="I753" s="43">
        <v>29.91</v>
      </c>
      <c r="J753" s="43">
        <v>182.8</v>
      </c>
      <c r="K753" s="43">
        <v>185.84</v>
      </c>
      <c r="L753" s="43">
        <v>91.39</v>
      </c>
      <c r="M753" s="43">
        <v>80.28</v>
      </c>
      <c r="N753" s="43">
        <v>87.66</v>
      </c>
      <c r="O753" s="43">
        <v>73.430000000000007</v>
      </c>
      <c r="P753" s="43">
        <v>64.22</v>
      </c>
      <c r="Q753" s="43">
        <v>58.54</v>
      </c>
      <c r="R753" s="43">
        <v>65.290000000000006</v>
      </c>
      <c r="S753" s="43">
        <v>197</v>
      </c>
      <c r="T753" s="43">
        <v>279.74</v>
      </c>
      <c r="U753" s="43">
        <v>579.72</v>
      </c>
      <c r="V753" s="43">
        <v>436.98</v>
      </c>
      <c r="W753" s="43">
        <v>243.74</v>
      </c>
      <c r="X753" s="43">
        <v>99.7</v>
      </c>
      <c r="Y753" s="43">
        <v>9.1100000000000101</v>
      </c>
    </row>
    <row r="754" spans="1:25">
      <c r="A754" s="42">
        <v>46049</v>
      </c>
      <c r="B754" s="43">
        <v>42.29</v>
      </c>
      <c r="C754" s="43">
        <v>23.01</v>
      </c>
      <c r="D754" s="43">
        <v>15.58</v>
      </c>
      <c r="E754" s="43">
        <v>25.5</v>
      </c>
      <c r="F754" s="43">
        <v>33.49</v>
      </c>
      <c r="G754" s="43">
        <v>39.17</v>
      </c>
      <c r="H754" s="43">
        <v>25</v>
      </c>
      <c r="I754" s="43">
        <v>-4.0999999999999703</v>
      </c>
      <c r="J754" s="43">
        <v>49.23</v>
      </c>
      <c r="K754" s="43">
        <v>100.22</v>
      </c>
      <c r="L754" s="43">
        <v>46.97</v>
      </c>
      <c r="M754" s="43">
        <v>118.28</v>
      </c>
      <c r="N754" s="43">
        <v>197.52</v>
      </c>
      <c r="O754" s="43">
        <v>225.45</v>
      </c>
      <c r="P754" s="43">
        <v>249.87</v>
      </c>
      <c r="Q754" s="43">
        <v>150.28</v>
      </c>
      <c r="R754" s="43">
        <v>29.32</v>
      </c>
      <c r="S754" s="43">
        <v>109.85</v>
      </c>
      <c r="T754" s="43">
        <v>197.74</v>
      </c>
      <c r="U754" s="43">
        <v>376.66</v>
      </c>
      <c r="V754" s="43">
        <v>210.73</v>
      </c>
      <c r="W754" s="43">
        <v>135.79</v>
      </c>
      <c r="X754" s="43">
        <v>44.37</v>
      </c>
      <c r="Y754" s="43">
        <v>10.11</v>
      </c>
    </row>
    <row r="755" spans="1:25">
      <c r="A755" s="42">
        <v>46050</v>
      </c>
      <c r="B755" s="43">
        <v>15.4</v>
      </c>
      <c r="C755" s="43">
        <v>4.62</v>
      </c>
      <c r="D755" s="43">
        <v>24.57</v>
      </c>
      <c r="E755" s="43">
        <v>27</v>
      </c>
      <c r="F755" s="43">
        <v>29.23</v>
      </c>
      <c r="G755" s="43">
        <v>20.13</v>
      </c>
      <c r="H755" s="43">
        <v>21.23</v>
      </c>
      <c r="I755" s="43">
        <v>23.07</v>
      </c>
      <c r="J755" s="43">
        <v>22.23</v>
      </c>
      <c r="K755" s="43">
        <v>47.1</v>
      </c>
      <c r="L755" s="43">
        <v>24.37</v>
      </c>
      <c r="M755" s="43">
        <v>82.49</v>
      </c>
      <c r="N755" s="43">
        <v>113.71</v>
      </c>
      <c r="O755" s="43">
        <v>202.85</v>
      </c>
      <c r="P755" s="43">
        <v>165.33</v>
      </c>
      <c r="Q755" s="43">
        <v>107.7</v>
      </c>
      <c r="R755" s="43">
        <v>3.97999999999996</v>
      </c>
      <c r="S755" s="43">
        <v>53.25</v>
      </c>
      <c r="T755" s="43">
        <v>239.72</v>
      </c>
      <c r="U755" s="43">
        <v>228.25</v>
      </c>
      <c r="V755" s="43">
        <v>178.93</v>
      </c>
      <c r="W755" s="43">
        <v>56.73</v>
      </c>
      <c r="X755" s="43">
        <v>9.51999999999998</v>
      </c>
      <c r="Y755" s="43">
        <v>12.73</v>
      </c>
    </row>
    <row r="756" spans="1:25">
      <c r="A756" s="42">
        <v>46051</v>
      </c>
      <c r="B756" s="43">
        <v>41.2</v>
      </c>
      <c r="C756" s="43">
        <v>33.79</v>
      </c>
      <c r="D756" s="43">
        <v>29.88</v>
      </c>
      <c r="E756" s="43">
        <v>32.61</v>
      </c>
      <c r="F756" s="43">
        <v>22.29</v>
      </c>
      <c r="G756" s="43">
        <v>12.21</v>
      </c>
      <c r="H756" s="43">
        <v>30.57</v>
      </c>
      <c r="I756" s="43">
        <v>40.36</v>
      </c>
      <c r="J756" s="43">
        <v>55.62</v>
      </c>
      <c r="K756" s="43">
        <v>52.04</v>
      </c>
      <c r="L756" s="43">
        <v>25.04</v>
      </c>
      <c r="M756" s="43">
        <v>4.1799999999999802</v>
      </c>
      <c r="N756" s="43">
        <v>21.53</v>
      </c>
      <c r="O756" s="43">
        <v>51.16</v>
      </c>
      <c r="P756" s="43">
        <v>84.19</v>
      </c>
      <c r="Q756" s="43">
        <v>46.2</v>
      </c>
      <c r="R756" s="43">
        <v>27.23</v>
      </c>
      <c r="S756" s="43">
        <v>-28.8</v>
      </c>
      <c r="T756" s="43">
        <v>6.9599999999999804</v>
      </c>
      <c r="U756" s="43">
        <v>7.0799999999999796</v>
      </c>
      <c r="V756" s="43">
        <v>19.46</v>
      </c>
      <c r="W756" s="43">
        <v>41.02</v>
      </c>
      <c r="X756" s="43">
        <v>31.88</v>
      </c>
      <c r="Y756" s="43">
        <v>20.6</v>
      </c>
    </row>
    <row r="757" spans="1:25">
      <c r="A757" s="42">
        <v>46052</v>
      </c>
      <c r="B757" s="43">
        <v>3.5</v>
      </c>
      <c r="C757" s="43">
        <v>11.32</v>
      </c>
      <c r="D757" s="43">
        <v>5.4300000000000104</v>
      </c>
      <c r="E757" s="43">
        <v>-5.44</v>
      </c>
      <c r="F757" s="43">
        <v>12.86</v>
      </c>
      <c r="G757" s="43">
        <v>14.04</v>
      </c>
      <c r="H757" s="43">
        <v>18.850000000000001</v>
      </c>
      <c r="I757" s="43">
        <v>7.74000000000001</v>
      </c>
      <c r="J757" s="43">
        <v>1.95999999999998</v>
      </c>
      <c r="K757" s="43">
        <v>25.54</v>
      </c>
      <c r="L757" s="43">
        <v>12.85</v>
      </c>
      <c r="M757" s="43">
        <v>31.83</v>
      </c>
      <c r="N757" s="43">
        <v>30.75</v>
      </c>
      <c r="O757" s="43">
        <v>17.489999999999998</v>
      </c>
      <c r="P757" s="43">
        <v>0.31999999999999301</v>
      </c>
      <c r="Q757" s="43">
        <v>-3.47999999999996</v>
      </c>
      <c r="R757" s="43">
        <v>-33.049999999999997</v>
      </c>
      <c r="S757" s="43">
        <v>-84.85</v>
      </c>
      <c r="T757" s="43">
        <v>-151.69</v>
      </c>
      <c r="U757" s="43">
        <v>-197.09</v>
      </c>
      <c r="V757" s="43">
        <v>-288.88</v>
      </c>
      <c r="W757" s="43">
        <v>48.26</v>
      </c>
      <c r="X757" s="43">
        <v>40.51</v>
      </c>
      <c r="Y757" s="43">
        <v>-3.05000000000001</v>
      </c>
    </row>
    <row r="758" spans="1:25">
      <c r="A758" s="42">
        <v>46053</v>
      </c>
      <c r="B758" s="43">
        <v>-9.6999999999999904</v>
      </c>
      <c r="C758" s="43">
        <v>-0.71999999999997</v>
      </c>
      <c r="D758" s="43">
        <v>-1.95999999999998</v>
      </c>
      <c r="E758" s="43">
        <v>4.6500000000000297</v>
      </c>
      <c r="F758" s="43">
        <v>-1.53000000000003</v>
      </c>
      <c r="G758" s="43">
        <v>-6.5999999999999899</v>
      </c>
      <c r="H758" s="43">
        <v>-4.5899999999999697</v>
      </c>
      <c r="I758" s="43">
        <v>-0.88999999999998602</v>
      </c>
      <c r="J758" s="43">
        <v>-8.0899999999999697</v>
      </c>
      <c r="K758" s="43">
        <v>-5.9599999999999804</v>
      </c>
      <c r="L758" s="43">
        <v>-14.77</v>
      </c>
      <c r="M758" s="43">
        <v>-5.24000000000001</v>
      </c>
      <c r="N758" s="43">
        <v>8.8000000000000096</v>
      </c>
      <c r="O758" s="43">
        <v>17.739999999999998</v>
      </c>
      <c r="P758" s="43">
        <v>51.92</v>
      </c>
      <c r="Q758" s="43">
        <v>75.17</v>
      </c>
      <c r="R758" s="43">
        <v>65.260000000000005</v>
      </c>
      <c r="S758" s="43">
        <v>7.50999999999999</v>
      </c>
      <c r="T758" s="43">
        <v>68.2</v>
      </c>
      <c r="U758" s="43">
        <v>107.75</v>
      </c>
      <c r="V758" s="43">
        <v>42.53</v>
      </c>
      <c r="W758" s="43">
        <v>13.1</v>
      </c>
      <c r="X758" s="43">
        <v>5.6099999999999604</v>
      </c>
      <c r="Y758" s="43">
        <v>-15.4</v>
      </c>
    </row>
    <row r="759" spans="1:25">
      <c r="A759" s="44">
        <v>46054</v>
      </c>
      <c r="B759" s="45">
        <v>-27.92</v>
      </c>
      <c r="C759" s="45">
        <v>49.25</v>
      </c>
      <c r="D759" s="45">
        <v>47.84</v>
      </c>
      <c r="E759" s="45">
        <v>92.09</v>
      </c>
      <c r="F759" s="45">
        <v>90.44</v>
      </c>
      <c r="G759" s="45">
        <v>71.099999999999994</v>
      </c>
      <c r="H759" s="45">
        <v>18.170000000000002</v>
      </c>
      <c r="I759" s="45">
        <v>-5.81</v>
      </c>
      <c r="J759" s="45">
        <v>-47.14</v>
      </c>
      <c r="K759" s="45">
        <v>-43.15</v>
      </c>
      <c r="L759" s="45">
        <v>-2.12</v>
      </c>
      <c r="M759" s="45">
        <v>-16.649999999999999</v>
      </c>
      <c r="N759" s="45">
        <v>-32.130000000000003</v>
      </c>
      <c r="O759" s="45">
        <v>-11.7</v>
      </c>
      <c r="P759" s="45">
        <v>9.06</v>
      </c>
      <c r="Q759" s="45">
        <v>101.68</v>
      </c>
      <c r="R759" s="45">
        <v>-13.13</v>
      </c>
      <c r="S759" s="45">
        <v>14.79</v>
      </c>
      <c r="T759" s="45">
        <v>88.84</v>
      </c>
      <c r="U759" s="45">
        <v>-157.04</v>
      </c>
      <c r="V759" s="45">
        <v>-290.8</v>
      </c>
      <c r="W759" s="45">
        <v>-481.26</v>
      </c>
      <c r="X759" s="45">
        <v>-455.53</v>
      </c>
      <c r="Y759" s="45">
        <v>-57.43</v>
      </c>
    </row>
    <row r="760" spans="1:25">
      <c r="A760" s="44">
        <v>46055</v>
      </c>
      <c r="B760" s="45">
        <v>8.5099999999999891</v>
      </c>
      <c r="C760" s="45">
        <v>20.59</v>
      </c>
      <c r="D760" s="45">
        <v>15.94</v>
      </c>
      <c r="E760" s="45">
        <v>11.27</v>
      </c>
      <c r="F760" s="45">
        <v>21.21</v>
      </c>
      <c r="G760" s="45">
        <v>12.2</v>
      </c>
      <c r="H760" s="45">
        <v>7.5099999999999598</v>
      </c>
      <c r="I760" s="45">
        <v>23.05</v>
      </c>
      <c r="J760" s="45">
        <v>0.74000000000000898</v>
      </c>
      <c r="K760" s="45">
        <v>42.67</v>
      </c>
      <c r="L760" s="45">
        <v>90.85</v>
      </c>
      <c r="M760" s="45">
        <v>63.07</v>
      </c>
      <c r="N760" s="45">
        <v>56.92</v>
      </c>
      <c r="O760" s="45">
        <v>73.64</v>
      </c>
      <c r="P760" s="45">
        <v>206.33</v>
      </c>
      <c r="Q760" s="45">
        <v>204.54</v>
      </c>
      <c r="R760" s="45">
        <v>26.22</v>
      </c>
      <c r="S760" s="45">
        <v>102.46</v>
      </c>
      <c r="T760" s="45">
        <v>262.20999999999998</v>
      </c>
      <c r="U760" s="45">
        <v>388.46</v>
      </c>
      <c r="V760" s="45">
        <v>269.8</v>
      </c>
      <c r="W760" s="45">
        <v>207.26</v>
      </c>
      <c r="X760" s="45">
        <v>59.42</v>
      </c>
      <c r="Y760" s="45">
        <v>-2.44</v>
      </c>
    </row>
    <row r="761" spans="1:25">
      <c r="A761" s="44">
        <v>46056</v>
      </c>
      <c r="B761" s="45">
        <v>-12.85</v>
      </c>
      <c r="C761" s="45">
        <v>7.6800000000000104</v>
      </c>
      <c r="D761" s="45">
        <v>10.42</v>
      </c>
      <c r="E761" s="45">
        <v>16.690000000000001</v>
      </c>
      <c r="F761" s="45">
        <v>20.45</v>
      </c>
      <c r="G761" s="45">
        <v>21.21</v>
      </c>
      <c r="H761" s="45">
        <v>14.05</v>
      </c>
      <c r="I761" s="45">
        <v>6.5999999999999703</v>
      </c>
      <c r="J761" s="45">
        <v>-27.54</v>
      </c>
      <c r="K761" s="45">
        <v>25.61</v>
      </c>
      <c r="L761" s="45">
        <v>178.95</v>
      </c>
      <c r="M761" s="45">
        <v>168.11</v>
      </c>
      <c r="N761" s="45">
        <v>111.48</v>
      </c>
      <c r="O761" s="45">
        <v>163.5</v>
      </c>
      <c r="P761" s="45">
        <v>120.71</v>
      </c>
      <c r="Q761" s="45">
        <v>112.16</v>
      </c>
      <c r="R761" s="45">
        <v>17.41</v>
      </c>
      <c r="S761" s="45">
        <v>22.1</v>
      </c>
      <c r="T761" s="45">
        <v>67.099999999999994</v>
      </c>
      <c r="U761" s="45">
        <v>89.56</v>
      </c>
      <c r="V761" s="45">
        <v>72.84</v>
      </c>
      <c r="W761" s="45">
        <v>22.29</v>
      </c>
      <c r="X761" s="45">
        <v>-20.94</v>
      </c>
      <c r="Y761" s="45">
        <v>-14.48</v>
      </c>
    </row>
    <row r="762" spans="1:25">
      <c r="A762" s="44">
        <v>46057</v>
      </c>
      <c r="B762" s="45">
        <v>7.5200000000000404</v>
      </c>
      <c r="C762" s="45">
        <v>5.63</v>
      </c>
      <c r="D762" s="45">
        <v>9.5099999999999891</v>
      </c>
      <c r="E762" s="45">
        <v>13.93</v>
      </c>
      <c r="F762" s="45">
        <v>5.1599999999999699</v>
      </c>
      <c r="G762" s="45">
        <v>5.83000000000004</v>
      </c>
      <c r="H762" s="45">
        <v>0.76999999999998203</v>
      </c>
      <c r="I762" s="45">
        <v>8.9900000000000109</v>
      </c>
      <c r="J762" s="45">
        <v>-45.31</v>
      </c>
      <c r="K762" s="45">
        <v>-7.1100000000000101</v>
      </c>
      <c r="L762" s="45">
        <v>-7.1800000000000104</v>
      </c>
      <c r="M762" s="45">
        <v>-8.6799999999999802</v>
      </c>
      <c r="N762" s="45">
        <v>16.559999999999999</v>
      </c>
      <c r="O762" s="45">
        <v>-15.2</v>
      </c>
      <c r="P762" s="45">
        <v>-11.44</v>
      </c>
      <c r="Q762" s="45">
        <v>6.25</v>
      </c>
      <c r="R762" s="45">
        <v>-7.06</v>
      </c>
      <c r="S762" s="45">
        <v>42.12</v>
      </c>
      <c r="T762" s="45">
        <v>91.91</v>
      </c>
      <c r="U762" s="45">
        <v>159.47999999999999</v>
      </c>
      <c r="V762" s="45">
        <v>124.94</v>
      </c>
      <c r="W762" s="45">
        <v>137.22</v>
      </c>
      <c r="X762" s="45">
        <v>46.32</v>
      </c>
      <c r="Y762" s="45">
        <v>6.1399999999999899</v>
      </c>
    </row>
    <row r="763" spans="1:25">
      <c r="A763" s="44">
        <v>46058</v>
      </c>
      <c r="B763" s="45">
        <v>14.42</v>
      </c>
      <c r="C763" s="45">
        <v>16.36</v>
      </c>
      <c r="D763" s="45">
        <v>7.3900000000000396</v>
      </c>
      <c r="E763" s="45">
        <v>3.99000000000001</v>
      </c>
      <c r="F763" s="45">
        <v>3.5699999999999901</v>
      </c>
      <c r="G763" s="45">
        <v>3.6500000000000301</v>
      </c>
      <c r="H763" s="45">
        <v>2.17999999999995</v>
      </c>
      <c r="I763" s="45">
        <v>-1.96999999999997</v>
      </c>
      <c r="J763" s="45">
        <v>-9.7199999999999704</v>
      </c>
      <c r="K763" s="45">
        <v>6.1099999999999604</v>
      </c>
      <c r="L763" s="45">
        <v>1.99000000000001</v>
      </c>
      <c r="M763" s="45">
        <v>11.76</v>
      </c>
      <c r="N763" s="45">
        <v>102.12</v>
      </c>
      <c r="O763" s="45">
        <v>3.0999999999999899</v>
      </c>
      <c r="P763" s="45">
        <v>-0.55000000000001104</v>
      </c>
      <c r="Q763" s="45">
        <v>1.48000000000002</v>
      </c>
      <c r="R763" s="45">
        <v>1.17999999999995</v>
      </c>
      <c r="S763" s="45">
        <v>16.73</v>
      </c>
      <c r="T763" s="45">
        <v>54.06</v>
      </c>
      <c r="U763" s="45">
        <v>138.57</v>
      </c>
      <c r="V763" s="45">
        <v>51.55</v>
      </c>
      <c r="W763" s="45">
        <v>43.77</v>
      </c>
      <c r="X763" s="45">
        <v>7.4200000000000204</v>
      </c>
      <c r="Y763" s="45">
        <v>0.52999999999997305</v>
      </c>
    </row>
    <row r="764" spans="1:25">
      <c r="A764" s="44">
        <v>46059</v>
      </c>
      <c r="B764" s="45">
        <v>5.8399999999999697</v>
      </c>
      <c r="C764" s="45">
        <v>-2.7799999999999701</v>
      </c>
      <c r="D764" s="45">
        <v>5.5799999999999796</v>
      </c>
      <c r="E764" s="45">
        <v>6.0799999999999796</v>
      </c>
      <c r="F764" s="45">
        <v>5.00999999999999</v>
      </c>
      <c r="G764" s="45">
        <v>4.5599999999999996</v>
      </c>
      <c r="H764" s="45">
        <v>3.5999999999999699</v>
      </c>
      <c r="I764" s="45">
        <v>-5.0500000000000096</v>
      </c>
      <c r="J764" s="45">
        <v>13.52</v>
      </c>
      <c r="K764" s="45">
        <v>26.61</v>
      </c>
      <c r="L764" s="45">
        <v>46.08</v>
      </c>
      <c r="M764" s="45">
        <v>160.44999999999999</v>
      </c>
      <c r="N764" s="45">
        <v>234.54</v>
      </c>
      <c r="O764" s="45">
        <v>164.1</v>
      </c>
      <c r="P764" s="45">
        <v>273.63</v>
      </c>
      <c r="Q764" s="45">
        <v>121.65</v>
      </c>
      <c r="R764" s="45">
        <v>11.01</v>
      </c>
      <c r="S764" s="45">
        <v>0.110000000000014</v>
      </c>
      <c r="T764" s="45">
        <v>16.670000000000002</v>
      </c>
      <c r="U764" s="45">
        <v>168.93</v>
      </c>
      <c r="V764" s="45">
        <v>46</v>
      </c>
      <c r="W764" s="45">
        <v>39.119999999999898</v>
      </c>
      <c r="X764" s="45">
        <v>37.76</v>
      </c>
      <c r="Y764" s="45">
        <v>8.2900000000000205</v>
      </c>
    </row>
    <row r="765" spans="1:25">
      <c r="A765" s="44">
        <v>46060</v>
      </c>
      <c r="B765" s="45">
        <v>7.12</v>
      </c>
      <c r="C765" s="45">
        <v>11.54</v>
      </c>
      <c r="D765" s="45">
        <v>10.220000000000001</v>
      </c>
      <c r="E765" s="45">
        <v>14.73</v>
      </c>
      <c r="F765" s="45">
        <v>16.170000000000002</v>
      </c>
      <c r="G765" s="45">
        <v>32.020000000000003</v>
      </c>
      <c r="H765" s="45">
        <v>16.61</v>
      </c>
      <c r="I765" s="45">
        <v>-6.7900000000000196</v>
      </c>
      <c r="J765" s="45">
        <v>95.83</v>
      </c>
      <c r="K765" s="45">
        <v>76.78</v>
      </c>
      <c r="L765" s="45">
        <v>187.67</v>
      </c>
      <c r="M765" s="45">
        <v>233.21</v>
      </c>
      <c r="N765" s="45">
        <v>143.16999999999999</v>
      </c>
      <c r="O765" s="45">
        <v>181.33</v>
      </c>
      <c r="P765" s="45">
        <v>123.45</v>
      </c>
      <c r="Q765" s="45">
        <v>162.06</v>
      </c>
      <c r="R765" s="45">
        <v>76.91</v>
      </c>
      <c r="S765" s="45">
        <v>45.58</v>
      </c>
      <c r="T765" s="45">
        <v>23.08</v>
      </c>
      <c r="U765" s="45">
        <v>53.3</v>
      </c>
      <c r="V765" s="45">
        <v>56.85</v>
      </c>
      <c r="W765" s="45">
        <v>49.07</v>
      </c>
      <c r="X765" s="45">
        <v>75.06</v>
      </c>
      <c r="Y765" s="45">
        <v>19.16</v>
      </c>
    </row>
    <row r="766" spans="1:25">
      <c r="A766" s="44">
        <v>46061</v>
      </c>
      <c r="B766" s="45">
        <v>176.92</v>
      </c>
      <c r="C766" s="45">
        <v>146.34</v>
      </c>
      <c r="D766" s="45">
        <v>98.26</v>
      </c>
      <c r="E766" s="45">
        <v>96.78</v>
      </c>
      <c r="F766" s="45">
        <v>70.349999999999994</v>
      </c>
      <c r="G766" s="45">
        <v>90.15</v>
      </c>
      <c r="H766" s="45">
        <v>71.260000000000005</v>
      </c>
      <c r="I766" s="45">
        <v>103.86</v>
      </c>
      <c r="J766" s="45">
        <v>-20.67</v>
      </c>
      <c r="K766" s="45">
        <v>-137.52000000000001</v>
      </c>
      <c r="L766" s="45">
        <v>-50.13</v>
      </c>
      <c r="M766" s="45">
        <v>-24.47</v>
      </c>
      <c r="N766" s="45">
        <v>-11.68</v>
      </c>
      <c r="O766" s="45">
        <v>0.80000000000001104</v>
      </c>
      <c r="P766" s="45">
        <v>1.89</v>
      </c>
      <c r="Q766" s="45">
        <v>3.9300000000000099</v>
      </c>
      <c r="R766" s="45">
        <v>86.81</v>
      </c>
      <c r="S766" s="45">
        <v>135.19</v>
      </c>
      <c r="T766" s="45">
        <v>14.83</v>
      </c>
      <c r="U766" s="45">
        <v>71.319999999999993</v>
      </c>
      <c r="V766" s="45">
        <v>13.54</v>
      </c>
      <c r="W766" s="45">
        <v>15.1</v>
      </c>
      <c r="X766" s="45">
        <v>64.599999999999994</v>
      </c>
      <c r="Y766" s="45">
        <v>88.17</v>
      </c>
    </row>
    <row r="767" spans="1:25">
      <c r="A767" s="44">
        <v>46062</v>
      </c>
      <c r="B767" s="45">
        <v>27.65</v>
      </c>
      <c r="C767" s="45">
        <v>244.19</v>
      </c>
      <c r="D767" s="45">
        <v>272.87</v>
      </c>
      <c r="E767" s="45">
        <v>222.5</v>
      </c>
      <c r="F767" s="45">
        <v>169.97</v>
      </c>
      <c r="G767" s="45">
        <v>171.34</v>
      </c>
      <c r="H767" s="45">
        <v>213.8</v>
      </c>
      <c r="I767" s="45">
        <v>110.05</v>
      </c>
      <c r="J767" s="45">
        <v>196.98</v>
      </c>
      <c r="K767" s="45">
        <v>236.19</v>
      </c>
      <c r="L767" s="45">
        <v>113.46</v>
      </c>
      <c r="M767" s="45">
        <v>27.83</v>
      </c>
      <c r="N767" s="45">
        <v>-74.459999999999994</v>
      </c>
      <c r="O767" s="45">
        <v>10.02</v>
      </c>
      <c r="P767" s="45">
        <v>55.38</v>
      </c>
      <c r="Q767" s="45">
        <v>61.07</v>
      </c>
      <c r="R767" s="45">
        <v>158.43</v>
      </c>
      <c r="S767" s="45">
        <v>85.73</v>
      </c>
      <c r="T767" s="45">
        <v>36.33</v>
      </c>
      <c r="U767" s="45">
        <v>29.92</v>
      </c>
      <c r="V767" s="45">
        <v>26.72</v>
      </c>
      <c r="W767" s="45">
        <v>33.68</v>
      </c>
      <c r="X767" s="45">
        <v>36.47</v>
      </c>
      <c r="Y767" s="45">
        <v>76.44</v>
      </c>
    </row>
    <row r="768" spans="1:25">
      <c r="A768" s="44">
        <v>46063</v>
      </c>
      <c r="B768" s="45">
        <v>-52.44</v>
      </c>
      <c r="C768" s="45">
        <v>17.8</v>
      </c>
      <c r="D768" s="45">
        <v>11.17</v>
      </c>
      <c r="E768" s="45">
        <v>237.37</v>
      </c>
      <c r="F768" s="45">
        <v>232.31</v>
      </c>
      <c r="G768" s="45">
        <v>234.05</v>
      </c>
      <c r="H768" s="45">
        <v>76.91</v>
      </c>
      <c r="I768" s="45">
        <v>11.34</v>
      </c>
      <c r="J768" s="45">
        <v>73.739999999999995</v>
      </c>
      <c r="K768" s="45">
        <v>16.27</v>
      </c>
      <c r="L768" s="45">
        <v>162.44999999999999</v>
      </c>
      <c r="M768" s="45">
        <v>70.239999999999995</v>
      </c>
      <c r="N768" s="45">
        <v>70.680000000000007</v>
      </c>
      <c r="O768" s="45">
        <v>218.72</v>
      </c>
      <c r="P768" s="45">
        <v>199.71</v>
      </c>
      <c r="Q768" s="45">
        <v>206.97</v>
      </c>
      <c r="R768" s="45">
        <v>200.19</v>
      </c>
      <c r="S768" s="45">
        <v>20.59</v>
      </c>
      <c r="T768" s="45">
        <v>98.71</v>
      </c>
      <c r="U768" s="45">
        <v>142.41999999999999</v>
      </c>
      <c r="V768" s="45">
        <v>129.22</v>
      </c>
      <c r="W768" s="45">
        <v>113.85</v>
      </c>
      <c r="X768" s="45">
        <v>67.040000000000006</v>
      </c>
      <c r="Y768" s="45">
        <v>2.3499999999999699</v>
      </c>
    </row>
    <row r="769" spans="1:25">
      <c r="A769" s="44">
        <v>46064</v>
      </c>
      <c r="B769" s="45">
        <v>-5.98000000000002</v>
      </c>
      <c r="C769" s="45">
        <v>11.5</v>
      </c>
      <c r="D769" s="45">
        <v>147.08000000000001</v>
      </c>
      <c r="E769" s="45">
        <v>253.86</v>
      </c>
      <c r="F769" s="45">
        <v>219.67</v>
      </c>
      <c r="G769" s="45">
        <v>207.86</v>
      </c>
      <c r="H769" s="45">
        <v>197.87</v>
      </c>
      <c r="I769" s="45">
        <v>73.959999999999994</v>
      </c>
      <c r="J769" s="45">
        <v>84.93</v>
      </c>
      <c r="K769" s="45">
        <v>223.67</v>
      </c>
      <c r="L769" s="45">
        <v>261.3</v>
      </c>
      <c r="M769" s="45">
        <v>106.9</v>
      </c>
      <c r="N769" s="45">
        <v>134.33000000000001</v>
      </c>
      <c r="O769" s="45">
        <v>130.58000000000001</v>
      </c>
      <c r="P769" s="45">
        <v>114.9</v>
      </c>
      <c r="Q769" s="45">
        <v>139.29</v>
      </c>
      <c r="R769" s="45">
        <v>189.61</v>
      </c>
      <c r="S769" s="45">
        <v>28.28</v>
      </c>
      <c r="T769" s="45">
        <v>36.74</v>
      </c>
      <c r="U769" s="45">
        <v>66.099999999999994</v>
      </c>
      <c r="V769" s="45">
        <v>48.91</v>
      </c>
      <c r="W769" s="45">
        <v>36.46</v>
      </c>
      <c r="X769" s="45">
        <v>12.42</v>
      </c>
      <c r="Y769" s="45">
        <v>-6.4200000000000204</v>
      </c>
    </row>
    <row r="770" spans="1:25">
      <c r="A770" s="44">
        <v>46065</v>
      </c>
      <c r="B770" s="45">
        <v>-47.08</v>
      </c>
      <c r="C770" s="45">
        <v>-51.95</v>
      </c>
      <c r="D770" s="45">
        <v>-56.85</v>
      </c>
      <c r="E770" s="45">
        <v>-68.8</v>
      </c>
      <c r="F770" s="45">
        <v>-37.5</v>
      </c>
      <c r="G770" s="45">
        <v>61.37</v>
      </c>
      <c r="H770" s="45">
        <v>59.23</v>
      </c>
      <c r="I770" s="45">
        <v>-34.83</v>
      </c>
      <c r="J770" s="45">
        <v>4.5599999999999996</v>
      </c>
      <c r="K770" s="45">
        <v>53.67</v>
      </c>
      <c r="L770" s="45">
        <v>-133.19999999999999</v>
      </c>
      <c r="M770" s="45">
        <v>-189.64</v>
      </c>
      <c r="N770" s="45">
        <v>-178.7</v>
      </c>
      <c r="O770" s="45">
        <v>-159.11000000000001</v>
      </c>
      <c r="P770" s="45">
        <v>-103.71</v>
      </c>
      <c r="Q770" s="45">
        <v>-183.79</v>
      </c>
      <c r="R770" s="45">
        <v>-161.59</v>
      </c>
      <c r="S770" s="45">
        <v>-94.73</v>
      </c>
      <c r="T770" s="45">
        <v>-11.5</v>
      </c>
      <c r="U770" s="45">
        <v>-15.36</v>
      </c>
      <c r="V770" s="45">
        <v>-20.63</v>
      </c>
      <c r="W770" s="45">
        <v>56.31</v>
      </c>
      <c r="X770" s="45">
        <v>-7.98000000000002</v>
      </c>
      <c r="Y770" s="45">
        <v>-32.49</v>
      </c>
    </row>
    <row r="771" spans="1:25">
      <c r="A771" s="44">
        <v>46066</v>
      </c>
      <c r="B771" s="45">
        <v>-4.08000000000004</v>
      </c>
      <c r="C771" s="45">
        <v>75.86</v>
      </c>
      <c r="D771" s="45">
        <v>44.29</v>
      </c>
      <c r="E771" s="45">
        <v>39.659999999999997</v>
      </c>
      <c r="F771" s="45">
        <v>21.31</v>
      </c>
      <c r="G771" s="45">
        <v>16.329999999999998</v>
      </c>
      <c r="H771" s="45">
        <v>20.46</v>
      </c>
      <c r="I771" s="45">
        <v>6.6099999999999604</v>
      </c>
      <c r="J771" s="45">
        <v>-24.78</v>
      </c>
      <c r="K771" s="45">
        <v>117.11</v>
      </c>
      <c r="L771" s="45">
        <v>49.27</v>
      </c>
      <c r="M771" s="45">
        <v>58.4</v>
      </c>
      <c r="N771" s="45">
        <v>21.08</v>
      </c>
      <c r="O771" s="45">
        <v>48.63</v>
      </c>
      <c r="P771" s="45">
        <v>173.68</v>
      </c>
      <c r="Q771" s="45">
        <v>178.36</v>
      </c>
      <c r="R771" s="45">
        <v>125.32</v>
      </c>
      <c r="S771" s="45">
        <v>-14.56</v>
      </c>
      <c r="T771" s="45">
        <v>287.41000000000003</v>
      </c>
      <c r="U771" s="45">
        <v>237</v>
      </c>
      <c r="V771" s="45">
        <v>132.63999999999999</v>
      </c>
      <c r="W771" s="45">
        <v>-120.31</v>
      </c>
      <c r="X771" s="45">
        <v>-172.8</v>
      </c>
      <c r="Y771" s="45">
        <v>-67.69</v>
      </c>
    </row>
    <row r="772" spans="1:25">
      <c r="A772" s="44">
        <v>46067</v>
      </c>
      <c r="B772" s="45">
        <v>-7.29000000000008</v>
      </c>
      <c r="C772" s="45">
        <v>-22.97</v>
      </c>
      <c r="D772" s="45">
        <v>-106.48</v>
      </c>
      <c r="E772" s="45">
        <v>-25.1</v>
      </c>
      <c r="F772" s="45">
        <v>-14.72</v>
      </c>
      <c r="G772" s="45">
        <v>9.6500000000000306</v>
      </c>
      <c r="H772" s="45">
        <v>2.0900000000000301</v>
      </c>
      <c r="I772" s="45">
        <v>-20.46</v>
      </c>
      <c r="J772" s="45">
        <v>100.06</v>
      </c>
      <c r="K772" s="45">
        <v>210.26</v>
      </c>
      <c r="L772" s="45">
        <v>211.62</v>
      </c>
      <c r="M772" s="45">
        <v>153.22</v>
      </c>
      <c r="N772" s="45">
        <v>81.33</v>
      </c>
      <c r="O772" s="45">
        <v>137.94999999999999</v>
      </c>
      <c r="P772" s="45">
        <v>77.680000000000007</v>
      </c>
      <c r="Q772" s="45">
        <v>151.91999999999999</v>
      </c>
      <c r="R772" s="45">
        <v>122.67</v>
      </c>
      <c r="S772" s="45">
        <v>-10.54</v>
      </c>
      <c r="T772" s="45">
        <v>12</v>
      </c>
      <c r="U772" s="45">
        <v>71.92</v>
      </c>
      <c r="V772" s="45">
        <v>-34.159999999999997</v>
      </c>
      <c r="W772" s="45">
        <v>23.01</v>
      </c>
      <c r="X772" s="45">
        <v>-81.62</v>
      </c>
      <c r="Y772" s="45">
        <v>-6.26999999999998</v>
      </c>
    </row>
    <row r="773" spans="1:25">
      <c r="A773" s="44">
        <v>46068</v>
      </c>
      <c r="B773" s="45">
        <v>-48.15</v>
      </c>
      <c r="C773" s="45">
        <v>-16.68</v>
      </c>
      <c r="D773" s="45">
        <v>-68.11</v>
      </c>
      <c r="E773" s="45">
        <v>-28.02</v>
      </c>
      <c r="F773" s="45">
        <v>-2.6500000000000301</v>
      </c>
      <c r="G773" s="45">
        <v>-2.62</v>
      </c>
      <c r="H773" s="45">
        <v>-7.0699999999999896</v>
      </c>
      <c r="I773" s="45">
        <v>-30.33</v>
      </c>
      <c r="J773" s="45">
        <v>12.25</v>
      </c>
      <c r="K773" s="45">
        <v>154.4</v>
      </c>
      <c r="L773" s="45">
        <v>4.8500000000000201</v>
      </c>
      <c r="M773" s="45">
        <v>36.520000000000003</v>
      </c>
      <c r="N773" s="45">
        <v>77.430000000000007</v>
      </c>
      <c r="O773" s="45">
        <v>8.8999999999999897</v>
      </c>
      <c r="P773" s="45">
        <v>-29.17</v>
      </c>
      <c r="Q773" s="45">
        <v>23.71</v>
      </c>
      <c r="R773" s="45">
        <v>46.65</v>
      </c>
      <c r="S773" s="45">
        <v>32.85</v>
      </c>
      <c r="T773" s="45">
        <v>78.64</v>
      </c>
      <c r="U773" s="45">
        <v>-20.59</v>
      </c>
      <c r="V773" s="45">
        <v>-10.99</v>
      </c>
      <c r="W773" s="45">
        <v>-26.85</v>
      </c>
      <c r="X773" s="45">
        <v>-19.8</v>
      </c>
      <c r="Y773" s="45">
        <v>-73.86</v>
      </c>
    </row>
    <row r="774" spans="1:25">
      <c r="A774" s="44">
        <v>46069</v>
      </c>
      <c r="B774" s="45">
        <v>-174.27</v>
      </c>
      <c r="C774" s="45">
        <v>-96.19</v>
      </c>
      <c r="D774" s="45">
        <v>-80.28</v>
      </c>
      <c r="E774" s="45">
        <v>-36.94</v>
      </c>
      <c r="F774" s="45">
        <v>-88.68</v>
      </c>
      <c r="G774" s="45">
        <v>-59.34</v>
      </c>
      <c r="H774" s="45">
        <v>-61.44</v>
      </c>
      <c r="I774" s="45">
        <v>-129.03</v>
      </c>
      <c r="J774" s="45">
        <v>-122.28</v>
      </c>
      <c r="K774" s="45">
        <v>-18.73</v>
      </c>
      <c r="L774" s="45">
        <v>-60.39</v>
      </c>
      <c r="M774" s="45">
        <v>-97.89</v>
      </c>
      <c r="N774" s="45">
        <v>-105.51</v>
      </c>
      <c r="O774" s="45">
        <v>-27.18</v>
      </c>
      <c r="P774" s="45">
        <v>-74.819999999999993</v>
      </c>
      <c r="Q774" s="45">
        <v>-173.92</v>
      </c>
      <c r="R774" s="45">
        <v>-94.11</v>
      </c>
      <c r="S774" s="45">
        <v>8.1500000000000306</v>
      </c>
      <c r="T774" s="45">
        <v>117.8</v>
      </c>
      <c r="U774" s="45">
        <v>-30.54</v>
      </c>
      <c r="V774" s="45">
        <v>-69.069999999999993</v>
      </c>
      <c r="W774" s="45">
        <v>-20.52</v>
      </c>
      <c r="X774" s="45">
        <v>-44.94</v>
      </c>
      <c r="Y774" s="45">
        <v>-148.19999999999999</v>
      </c>
    </row>
    <row r="775" spans="1:25">
      <c r="A775" s="44">
        <v>46070</v>
      </c>
      <c r="B775" s="45">
        <v>-200.66</v>
      </c>
      <c r="C775" s="45">
        <v>-17.23</v>
      </c>
      <c r="D775" s="45">
        <v>-4.97</v>
      </c>
      <c r="E775" s="45">
        <v>-147.72</v>
      </c>
      <c r="F775" s="45">
        <v>-11.98</v>
      </c>
      <c r="G775" s="45">
        <v>-34.22</v>
      </c>
      <c r="H775" s="45">
        <v>-45.24</v>
      </c>
      <c r="I775" s="45">
        <v>-92.4</v>
      </c>
      <c r="J775" s="45">
        <v>-371.28</v>
      </c>
      <c r="K775" s="45">
        <v>-387.09</v>
      </c>
      <c r="L775" s="45">
        <v>-251.67</v>
      </c>
      <c r="M775" s="45">
        <v>-335.82</v>
      </c>
      <c r="N775" s="45">
        <v>-154.71</v>
      </c>
      <c r="O775" s="45">
        <v>-113.76</v>
      </c>
      <c r="P775" s="45">
        <v>-69.61</v>
      </c>
      <c r="Q775" s="45">
        <v>-25.03</v>
      </c>
      <c r="R775" s="45">
        <v>-36.46</v>
      </c>
      <c r="S775" s="45">
        <v>85.35</v>
      </c>
      <c r="T775" s="45">
        <v>78.959999999999994</v>
      </c>
      <c r="U775" s="45">
        <v>134.57</v>
      </c>
      <c r="V775" s="45">
        <v>17.86</v>
      </c>
      <c r="W775" s="45">
        <v>12.13</v>
      </c>
      <c r="X775" s="45">
        <v>-8.2400000000000109</v>
      </c>
      <c r="Y775" s="45">
        <v>6.0499999999999803</v>
      </c>
    </row>
    <row r="776" spans="1:25">
      <c r="A776" s="44">
        <v>46071</v>
      </c>
      <c r="B776" s="45">
        <v>130.97</v>
      </c>
      <c r="C776" s="45">
        <v>34.119999999999997</v>
      </c>
      <c r="D776" s="45">
        <v>184.83</v>
      </c>
      <c r="E776" s="45">
        <v>154.74</v>
      </c>
      <c r="F776" s="45">
        <v>104.23</v>
      </c>
      <c r="G776" s="45">
        <v>74.22</v>
      </c>
      <c r="H776" s="45">
        <v>37.57</v>
      </c>
      <c r="I776" s="45">
        <v>17.71</v>
      </c>
      <c r="J776" s="45">
        <v>-201.59</v>
      </c>
      <c r="K776" s="45">
        <v>-385.62</v>
      </c>
      <c r="L776" s="45">
        <v>-359.24</v>
      </c>
      <c r="M776" s="45">
        <v>-401.06</v>
      </c>
      <c r="N776" s="45">
        <v>-275.3</v>
      </c>
      <c r="O776" s="45">
        <v>-21.06</v>
      </c>
      <c r="P776" s="45">
        <v>-19.670000000000002</v>
      </c>
      <c r="Q776" s="45">
        <v>-46.23</v>
      </c>
      <c r="R776" s="45">
        <v>-12.1</v>
      </c>
      <c r="S776" s="45">
        <v>122.67</v>
      </c>
      <c r="T776" s="45">
        <v>-11.93</v>
      </c>
      <c r="U776" s="45">
        <v>-24.63</v>
      </c>
      <c r="V776" s="45">
        <v>-34.520000000000003</v>
      </c>
      <c r="W776" s="45">
        <v>-73.78</v>
      </c>
      <c r="X776" s="45">
        <v>-22.28</v>
      </c>
      <c r="Y776" s="45">
        <v>-8.4500000000000206</v>
      </c>
    </row>
    <row r="777" spans="1:25">
      <c r="A777" s="44">
        <v>46072</v>
      </c>
      <c r="B777" s="45">
        <v>-42.32</v>
      </c>
      <c r="C777" s="45">
        <v>-51.25</v>
      </c>
      <c r="D777" s="45">
        <v>-25.16</v>
      </c>
      <c r="E777" s="45">
        <v>-23.15</v>
      </c>
      <c r="F777" s="45">
        <v>-133.25</v>
      </c>
      <c r="G777" s="45">
        <v>-137.51</v>
      </c>
      <c r="H777" s="45">
        <v>-77.19</v>
      </c>
      <c r="I777" s="45">
        <v>-146.15</v>
      </c>
      <c r="J777" s="45">
        <v>-157.80000000000001</v>
      </c>
      <c r="K777" s="45">
        <v>-62.97</v>
      </c>
      <c r="L777" s="45">
        <v>-123.93</v>
      </c>
      <c r="M777" s="45">
        <v>-17.489999999999998</v>
      </c>
      <c r="N777" s="45">
        <v>-95.72</v>
      </c>
      <c r="O777" s="45">
        <v>-141.75</v>
      </c>
      <c r="P777" s="45">
        <v>-149.38999999999999</v>
      </c>
      <c r="Q777" s="45">
        <v>-138.85</v>
      </c>
      <c r="R777" s="45">
        <v>-143.97999999999999</v>
      </c>
      <c r="S777" s="45">
        <v>-13.64</v>
      </c>
      <c r="T777" s="45">
        <v>-36.880000000000003</v>
      </c>
      <c r="U777" s="45">
        <v>-8.2700000000000404</v>
      </c>
      <c r="V777" s="45">
        <v>-25.22</v>
      </c>
      <c r="W777" s="45">
        <v>-41.5</v>
      </c>
      <c r="X777" s="45">
        <v>-29.07</v>
      </c>
      <c r="Y777" s="45">
        <v>-23.24</v>
      </c>
    </row>
    <row r="778" spans="1:25">
      <c r="A778" s="44">
        <v>46073</v>
      </c>
      <c r="B778" s="45">
        <v>23.54</v>
      </c>
      <c r="C778" s="45">
        <v>-95.6</v>
      </c>
      <c r="D778" s="45">
        <v>-40.24</v>
      </c>
      <c r="E778" s="45">
        <v>-5.6999999999999904</v>
      </c>
      <c r="F778" s="45">
        <v>19.64</v>
      </c>
      <c r="G778" s="45">
        <v>13.01</v>
      </c>
      <c r="H778" s="45">
        <v>-16.11</v>
      </c>
      <c r="I778" s="45">
        <v>-93.45</v>
      </c>
      <c r="J778" s="45">
        <v>-74.8</v>
      </c>
      <c r="K778" s="45">
        <v>67.7</v>
      </c>
      <c r="L778" s="45">
        <v>94.47</v>
      </c>
      <c r="M778" s="45">
        <v>70.099999999999994</v>
      </c>
      <c r="N778" s="45">
        <v>-6.61</v>
      </c>
      <c r="O778" s="45">
        <v>-95.84</v>
      </c>
      <c r="P778" s="45">
        <v>-103.96</v>
      </c>
      <c r="Q778" s="45">
        <v>-38.22</v>
      </c>
      <c r="R778" s="45">
        <v>109.55</v>
      </c>
      <c r="S778" s="45">
        <v>-14.03</v>
      </c>
      <c r="T778" s="45">
        <v>24.68</v>
      </c>
      <c r="U778" s="45">
        <v>76.010000000000005</v>
      </c>
      <c r="V778" s="45">
        <v>61.62</v>
      </c>
      <c r="W778" s="45">
        <v>61.56</v>
      </c>
      <c r="X778" s="45">
        <v>40.65</v>
      </c>
      <c r="Y778" s="45">
        <v>-43.45</v>
      </c>
    </row>
    <row r="779" spans="1:25">
      <c r="A779" s="44">
        <v>46074</v>
      </c>
      <c r="B779" s="45">
        <v>-54.42</v>
      </c>
      <c r="C779" s="45">
        <v>-10.82</v>
      </c>
      <c r="D779" s="45">
        <v>3.04000000000002</v>
      </c>
      <c r="E779" s="45">
        <v>-30.04</v>
      </c>
      <c r="F779" s="45">
        <v>-12.72</v>
      </c>
      <c r="G779" s="45">
        <v>-11.14</v>
      </c>
      <c r="H779" s="45">
        <v>-71.86</v>
      </c>
      <c r="I779" s="45">
        <v>-75.680000000000007</v>
      </c>
      <c r="J779" s="45">
        <v>28.5</v>
      </c>
      <c r="K779" s="45">
        <v>111.23</v>
      </c>
      <c r="L779" s="45">
        <v>89.81</v>
      </c>
      <c r="M779" s="45">
        <v>15.57</v>
      </c>
      <c r="N779" s="45">
        <v>53.43</v>
      </c>
      <c r="O779" s="45">
        <v>117.3</v>
      </c>
      <c r="P779" s="45">
        <v>149.32</v>
      </c>
      <c r="Q779" s="45">
        <v>146.79</v>
      </c>
      <c r="R779" s="45">
        <v>94.09</v>
      </c>
      <c r="S779" s="45">
        <v>58.65</v>
      </c>
      <c r="T779" s="45">
        <v>132.29</v>
      </c>
      <c r="U779" s="45">
        <v>200.64</v>
      </c>
      <c r="V779" s="45">
        <v>130.97999999999999</v>
      </c>
      <c r="W779" s="45">
        <v>139.66999999999999</v>
      </c>
      <c r="X779" s="45">
        <v>112.46</v>
      </c>
      <c r="Y779" s="45">
        <v>3.20999999999998</v>
      </c>
    </row>
    <row r="780" spans="1:25">
      <c r="A780" s="44">
        <v>46075</v>
      </c>
      <c r="B780" s="45">
        <v>-18.63</v>
      </c>
      <c r="C780" s="45">
        <v>-108.08</v>
      </c>
      <c r="D780" s="45">
        <v>-3.9200000000000199</v>
      </c>
      <c r="E780" s="45">
        <v>-14.63</v>
      </c>
      <c r="F780" s="45">
        <v>-1.6099999999999599</v>
      </c>
      <c r="G780" s="45">
        <v>-32.33</v>
      </c>
      <c r="H780" s="45">
        <v>-44.15</v>
      </c>
      <c r="I780" s="45">
        <v>-87.71</v>
      </c>
      <c r="J780" s="45">
        <v>-32.299999999999997</v>
      </c>
      <c r="K780" s="45">
        <v>49.51</v>
      </c>
      <c r="L780" s="45">
        <v>176.9</v>
      </c>
      <c r="M780" s="45">
        <v>198.46</v>
      </c>
      <c r="N780" s="45">
        <v>156.11000000000001</v>
      </c>
      <c r="O780" s="45">
        <v>105.7</v>
      </c>
      <c r="P780" s="45">
        <v>153.93</v>
      </c>
      <c r="Q780" s="45">
        <v>180.82</v>
      </c>
      <c r="R780" s="45">
        <v>107.46</v>
      </c>
      <c r="S780" s="45">
        <v>8.4899999999999505</v>
      </c>
      <c r="T780" s="45">
        <v>122.3</v>
      </c>
      <c r="U780" s="45">
        <v>199.38</v>
      </c>
      <c r="V780" s="45">
        <v>184.6</v>
      </c>
      <c r="W780" s="45">
        <v>108.31</v>
      </c>
      <c r="X780" s="45">
        <v>68.349999999999994</v>
      </c>
      <c r="Y780" s="45">
        <v>-64.989999999999995</v>
      </c>
    </row>
    <row r="781" spans="1:25">
      <c r="A781" s="44">
        <v>46076</v>
      </c>
      <c r="B781" s="45">
        <v>-49.4</v>
      </c>
      <c r="C781" s="45">
        <v>-16.86</v>
      </c>
      <c r="D781" s="45">
        <v>-6.6500000000000297</v>
      </c>
      <c r="E781" s="45">
        <v>-0.85000000000002296</v>
      </c>
      <c r="F781" s="45">
        <v>-23.31</v>
      </c>
      <c r="G781" s="45">
        <v>-2.50999999999999</v>
      </c>
      <c r="H781" s="45">
        <v>-8.6800000000000104</v>
      </c>
      <c r="I781" s="45">
        <v>-15.39</v>
      </c>
      <c r="J781" s="45">
        <v>206.5</v>
      </c>
      <c r="K781" s="45">
        <v>61.61</v>
      </c>
      <c r="L781" s="45">
        <v>-5.67</v>
      </c>
      <c r="M781" s="45">
        <v>-73.180000000000007</v>
      </c>
      <c r="N781" s="45">
        <v>-20.440000000000001</v>
      </c>
      <c r="O781" s="45">
        <v>-44.84</v>
      </c>
      <c r="P781" s="45">
        <v>42.44</v>
      </c>
      <c r="Q781" s="45">
        <v>54.77</v>
      </c>
      <c r="R781" s="45">
        <v>97.93</v>
      </c>
      <c r="S781" s="45">
        <v>47.43</v>
      </c>
      <c r="T781" s="45">
        <v>-7.1399999999999899</v>
      </c>
      <c r="U781" s="45">
        <v>60.54</v>
      </c>
      <c r="V781" s="45">
        <v>33.21</v>
      </c>
      <c r="W781" s="45">
        <v>47.72</v>
      </c>
      <c r="X781" s="45">
        <v>37.619999999999997</v>
      </c>
      <c r="Y781" s="45">
        <v>15.79</v>
      </c>
    </row>
    <row r="782" spans="1:25">
      <c r="A782" s="44">
        <v>46077</v>
      </c>
      <c r="B782" s="45">
        <v>-50.4299999999999</v>
      </c>
      <c r="C782" s="45">
        <v>7.4200000000000204</v>
      </c>
      <c r="D782" s="45">
        <v>2.9099999999999699</v>
      </c>
      <c r="E782" s="45">
        <v>9.7700000000000404</v>
      </c>
      <c r="F782" s="45">
        <v>9.8099999999999703</v>
      </c>
      <c r="G782" s="45">
        <v>4.6499999999999799</v>
      </c>
      <c r="H782" s="45">
        <v>-7.8000000000000096</v>
      </c>
      <c r="I782" s="45">
        <v>-38.39</v>
      </c>
      <c r="J782" s="45">
        <v>-73.72</v>
      </c>
      <c r="K782" s="45">
        <v>-57.33</v>
      </c>
      <c r="L782" s="45">
        <v>-30.46</v>
      </c>
      <c r="M782" s="45">
        <v>51.91</v>
      </c>
      <c r="N782" s="45">
        <v>-16.989999999999998</v>
      </c>
      <c r="O782" s="45">
        <v>-38.630000000000003</v>
      </c>
      <c r="P782" s="45">
        <v>-66.34</v>
      </c>
      <c r="Q782" s="45">
        <v>23.73</v>
      </c>
      <c r="R782" s="45">
        <v>-39.590000000000003</v>
      </c>
      <c r="S782" s="45">
        <v>-11.71</v>
      </c>
      <c r="T782" s="45">
        <v>84.53</v>
      </c>
      <c r="U782" s="45">
        <v>127.88</v>
      </c>
      <c r="V782" s="45">
        <v>167.34</v>
      </c>
      <c r="W782" s="45">
        <v>126.82</v>
      </c>
      <c r="X782" s="45">
        <v>83.38</v>
      </c>
      <c r="Y782" s="45">
        <v>-35.69</v>
      </c>
    </row>
    <row r="783" spans="1:25">
      <c r="A783" s="44">
        <v>46078</v>
      </c>
      <c r="B783" s="45">
        <v>21.09</v>
      </c>
      <c r="C783" s="45">
        <v>0.95999999999997998</v>
      </c>
      <c r="D783" s="45">
        <v>-27.11</v>
      </c>
      <c r="E783" s="45">
        <v>-5.9000000000000297</v>
      </c>
      <c r="F783" s="45">
        <v>-7.94</v>
      </c>
      <c r="G783" s="45">
        <v>-1.8999999999999799</v>
      </c>
      <c r="H783" s="45">
        <v>-9.3000000000000096</v>
      </c>
      <c r="I783" s="45">
        <v>-39.07</v>
      </c>
      <c r="J783" s="45">
        <v>-15.8</v>
      </c>
      <c r="K783" s="45">
        <v>16.39</v>
      </c>
      <c r="L783" s="45">
        <v>79.67</v>
      </c>
      <c r="M783" s="45">
        <v>5.4000000000000101</v>
      </c>
      <c r="N783" s="45">
        <v>2.04000000000002</v>
      </c>
      <c r="O783" s="45">
        <v>-2.3499999999999899</v>
      </c>
      <c r="P783" s="45">
        <v>-1.69</v>
      </c>
      <c r="Q783" s="45">
        <v>6.0800000000000098</v>
      </c>
      <c r="R783" s="45">
        <v>-6.5</v>
      </c>
      <c r="S783" s="45">
        <v>-9.5299999999999692</v>
      </c>
      <c r="T783" s="45">
        <v>7.1599999999999699</v>
      </c>
      <c r="U783" s="45">
        <v>-24.38</v>
      </c>
      <c r="V783" s="45">
        <v>8.8900000000000396</v>
      </c>
      <c r="W783" s="45">
        <v>15.2</v>
      </c>
      <c r="X783" s="45">
        <v>18.52</v>
      </c>
      <c r="Y783" s="45">
        <v>-2.69</v>
      </c>
    </row>
    <row r="784" spans="1:25">
      <c r="A784" s="44">
        <v>46079</v>
      </c>
      <c r="B784" s="45">
        <v>-6.00999999999999</v>
      </c>
      <c r="C784" s="45">
        <v>4.0299999999999701</v>
      </c>
      <c r="D784" s="45">
        <v>4.9400000000000004</v>
      </c>
      <c r="E784" s="45">
        <v>5.2700000000000102</v>
      </c>
      <c r="F784" s="45">
        <v>5.23000000000002</v>
      </c>
      <c r="G784" s="45">
        <v>8.4500000000000206</v>
      </c>
      <c r="H784" s="45">
        <v>-1.3899999999999899</v>
      </c>
      <c r="I784" s="45">
        <v>-16.82</v>
      </c>
      <c r="J784" s="45">
        <v>-35.229999999999997</v>
      </c>
      <c r="K784" s="45">
        <v>-45.38</v>
      </c>
      <c r="L784" s="45">
        <v>-25.2</v>
      </c>
      <c r="M784" s="45">
        <v>-12.4</v>
      </c>
      <c r="N784" s="45">
        <v>-19.79</v>
      </c>
      <c r="O784" s="45">
        <v>-25.91</v>
      </c>
      <c r="P784" s="45">
        <v>-47.49</v>
      </c>
      <c r="Q784" s="45">
        <v>-16.48</v>
      </c>
      <c r="R784" s="45">
        <v>-20.11</v>
      </c>
      <c r="S784" s="45">
        <v>-26.14</v>
      </c>
      <c r="T784" s="45">
        <v>19.190000000000001</v>
      </c>
      <c r="U784" s="45">
        <v>11.86</v>
      </c>
      <c r="V784" s="45">
        <v>75.430000000000007</v>
      </c>
      <c r="W784" s="45">
        <v>68.679999999999893</v>
      </c>
      <c r="X784" s="45">
        <v>22.39</v>
      </c>
      <c r="Y784" s="45">
        <v>-19.5</v>
      </c>
    </row>
    <row r="785" spans="1:25">
      <c r="A785" s="44">
        <v>46080</v>
      </c>
      <c r="B785" s="45">
        <v>13.85</v>
      </c>
      <c r="C785" s="45">
        <v>-7.50999999999999</v>
      </c>
      <c r="D785" s="45">
        <v>-4.4799999999999596</v>
      </c>
      <c r="E785" s="45">
        <v>2.04000000000002</v>
      </c>
      <c r="F785" s="45">
        <v>3.99000000000001</v>
      </c>
      <c r="G785" s="45">
        <v>-3.05000000000001</v>
      </c>
      <c r="H785" s="45">
        <v>0.35000000000002301</v>
      </c>
      <c r="I785" s="45">
        <v>12.65</v>
      </c>
      <c r="J785" s="45">
        <v>69.64</v>
      </c>
      <c r="K785" s="45">
        <v>109.7</v>
      </c>
      <c r="L785" s="45">
        <v>115.38</v>
      </c>
      <c r="M785" s="45">
        <v>72.14</v>
      </c>
      <c r="N785" s="45">
        <v>92.07</v>
      </c>
      <c r="O785" s="45">
        <v>78.64</v>
      </c>
      <c r="P785" s="45">
        <v>59.26</v>
      </c>
      <c r="Q785" s="45">
        <v>38.31</v>
      </c>
      <c r="R785" s="45">
        <v>70.430000000000007</v>
      </c>
      <c r="S785" s="45">
        <v>82.18</v>
      </c>
      <c r="T785" s="45">
        <v>137.77000000000001</v>
      </c>
      <c r="U785" s="45">
        <v>151.11000000000001</v>
      </c>
      <c r="V785" s="45">
        <v>102.05</v>
      </c>
      <c r="W785" s="45">
        <v>100.48</v>
      </c>
      <c r="X785" s="45">
        <v>11.5</v>
      </c>
      <c r="Y785" s="45">
        <v>22.91</v>
      </c>
    </row>
    <row r="786" spans="1:25">
      <c r="A786" s="44">
        <v>46081</v>
      </c>
      <c r="B786" s="45">
        <v>36.08</v>
      </c>
      <c r="C786" s="45">
        <v>12.58</v>
      </c>
      <c r="D786" s="45">
        <v>17.12</v>
      </c>
      <c r="E786" s="45">
        <v>12.75</v>
      </c>
      <c r="F786" s="45">
        <v>10.86</v>
      </c>
      <c r="G786" s="45">
        <v>10.85</v>
      </c>
      <c r="H786" s="45">
        <v>8.5699999999999896</v>
      </c>
      <c r="I786" s="45">
        <v>10.99</v>
      </c>
      <c r="J786" s="45">
        <v>9.8299999999999805</v>
      </c>
      <c r="K786" s="45">
        <v>8.3300000000000392</v>
      </c>
      <c r="L786" s="45">
        <v>3.30000000000001</v>
      </c>
      <c r="M786" s="45">
        <v>7.0799999999999796</v>
      </c>
      <c r="N786" s="45">
        <v>16.79</v>
      </c>
      <c r="O786" s="45">
        <v>11.6</v>
      </c>
      <c r="P786" s="45">
        <v>49.38</v>
      </c>
      <c r="Q786" s="45">
        <v>4.9599999999999804</v>
      </c>
      <c r="R786" s="45">
        <v>6.31</v>
      </c>
      <c r="S786" s="45">
        <v>50.14</v>
      </c>
      <c r="T786" s="45">
        <v>69.25</v>
      </c>
      <c r="U786" s="45">
        <v>59.72</v>
      </c>
      <c r="V786" s="45">
        <v>56.77</v>
      </c>
      <c r="W786" s="45">
        <v>36.950000000000003</v>
      </c>
      <c r="X786" s="45">
        <v>18.64</v>
      </c>
      <c r="Y786" s="45">
        <v>15.59</v>
      </c>
    </row>
  </sheetData>
  <phoneticPr fontId="1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AB3"/>
  <sheetViews>
    <sheetView workbookViewId="0">
      <selection activeCell="B2" sqref="B2"/>
    </sheetView>
  </sheetViews>
  <sheetFormatPr baseColWidth="10" defaultColWidth="8.83203125" defaultRowHeight="14"/>
  <cols>
    <col min="1" max="1" width="11.83203125" customWidth="1"/>
    <col min="2" max="2" width="12.83203125"/>
  </cols>
  <sheetData>
    <row r="1" spans="1:28" s="1" customFormat="1" ht="15">
      <c r="A1" s="2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  <c r="M1" s="3" t="s">
        <v>12</v>
      </c>
      <c r="N1" s="3" t="s">
        <v>13</v>
      </c>
      <c r="O1" s="3" t="s">
        <v>14</v>
      </c>
      <c r="P1" s="3" t="s">
        <v>15</v>
      </c>
      <c r="Q1" s="3" t="s">
        <v>16</v>
      </c>
      <c r="R1" s="3" t="s">
        <v>17</v>
      </c>
      <c r="S1" s="3" t="s">
        <v>18</v>
      </c>
      <c r="T1" s="3" t="s">
        <v>19</v>
      </c>
      <c r="U1" s="3" t="s">
        <v>20</v>
      </c>
      <c r="V1" s="3" t="s">
        <v>21</v>
      </c>
      <c r="W1" s="3" t="s">
        <v>22</v>
      </c>
      <c r="X1" s="3" t="s">
        <v>23</v>
      </c>
      <c r="Y1" s="3" t="s">
        <v>24</v>
      </c>
      <c r="Z1" s="4" t="s">
        <v>63</v>
      </c>
      <c r="AA1" s="4" t="s">
        <v>64</v>
      </c>
      <c r="AB1" s="4" t="s">
        <v>29</v>
      </c>
    </row>
    <row r="2" spans="1:28">
      <c r="A2" t="s">
        <v>65</v>
      </c>
      <c r="B2" s="5">
        <f>ROUND(AVERAGE(日前电价!B368:B895),3)</f>
        <v>329.58</v>
      </c>
      <c r="C2" s="5">
        <f>ROUND(AVERAGE(日前电价!C368:C895),3)</f>
        <v>320.16899999999998</v>
      </c>
      <c r="D2" s="5">
        <f>ROUND(AVERAGE(日前电价!D368:D895),3)</f>
        <v>307.13099999999997</v>
      </c>
      <c r="E2" s="5">
        <f>ROUND(AVERAGE(日前电价!E368:E895),3)</f>
        <v>294.13499999999999</v>
      </c>
      <c r="F2" s="5">
        <f>ROUND(AVERAGE(日前电价!F368:F895),3)</f>
        <v>279.57499999999999</v>
      </c>
      <c r="G2" s="5">
        <f>ROUND(AVERAGE(日前电价!G368:G895),3)</f>
        <v>276.11700000000002</v>
      </c>
      <c r="H2" s="5">
        <f>ROUND(AVERAGE(日前电价!H368:H895),3)</f>
        <v>290.01499999999999</v>
      </c>
      <c r="I2" s="5">
        <f>ROUND(AVERAGE(日前电价!I368:I895),3)</f>
        <v>288.59500000000003</v>
      </c>
      <c r="J2" s="5">
        <f>ROUND(AVERAGE(日前电价!J368:J895),3)</f>
        <v>303.197</v>
      </c>
      <c r="K2" s="5">
        <f>ROUND(AVERAGE(日前电价!K368:K895),3)</f>
        <v>315.22000000000003</v>
      </c>
      <c r="L2" s="5">
        <f>ROUND(AVERAGE(日前电价!L368:L895),3)</f>
        <v>288.74799999999999</v>
      </c>
      <c r="M2" s="5">
        <f>ROUND(AVERAGE(日前电价!M368:M895),3)</f>
        <v>286.45600000000002</v>
      </c>
      <c r="N2" s="5">
        <f>ROUND(AVERAGE(日前电价!N368:N895),3)</f>
        <v>238.5</v>
      </c>
      <c r="O2" s="5">
        <f>ROUND(AVERAGE(日前电价!O368:O895),3)</f>
        <v>271.971</v>
      </c>
      <c r="P2" s="5">
        <f>ROUND(AVERAGE(日前电价!P368:P895),3)</f>
        <v>285.20699999999999</v>
      </c>
      <c r="Q2" s="5">
        <f>ROUND(AVERAGE(日前电价!Q368:Q895),3)</f>
        <v>299.85899999999998</v>
      </c>
      <c r="R2" s="5">
        <f>ROUND(AVERAGE(日前电价!R368:R895),3)</f>
        <v>336.92</v>
      </c>
      <c r="S2" s="5">
        <f>ROUND(AVERAGE(日前电价!S368:S895),3)</f>
        <v>357.40800000000002</v>
      </c>
      <c r="T2" s="5">
        <f>ROUND(AVERAGE(日前电价!T368:T895),3)</f>
        <v>354.572</v>
      </c>
      <c r="U2" s="5">
        <f>ROUND(AVERAGE(日前电价!U368:U895),3)</f>
        <v>388.45600000000002</v>
      </c>
      <c r="V2" s="5">
        <f>ROUND(AVERAGE(日前电价!V368:V895),3)</f>
        <v>363.98899999999998</v>
      </c>
      <c r="W2" s="5">
        <f>ROUND(AVERAGE(日前电价!W368:W895),3)</f>
        <v>356.24099999999999</v>
      </c>
      <c r="X2" s="5">
        <f>ROUND(AVERAGE(日前电价!X368:X895),3)</f>
        <v>339.26100000000002</v>
      </c>
      <c r="Y2" s="5">
        <f>ROUND(AVERAGE(日前电价!Y368:Y895),3)</f>
        <v>302.34399999999999</v>
      </c>
    </row>
    <row r="3" spans="1:28">
      <c r="A3" t="s">
        <v>66</v>
      </c>
    </row>
  </sheetData>
  <phoneticPr fontId="12" type="noConversion"/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日前电价</vt:lpstr>
      <vt:lpstr>实时电价</vt:lpstr>
      <vt:lpstr>日前实时价差</vt:lpstr>
      <vt:lpstr>现货均价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李俊明</dc:creator>
  <cp:lastModifiedBy>一鸣 李</cp:lastModifiedBy>
  <dcterms:created xsi:type="dcterms:W3CDTF">2023-05-12T11:15:00Z</dcterms:created>
  <dcterms:modified xsi:type="dcterms:W3CDTF">2026-03-12T09:03:08Z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2052-12.1.0.24034</vt:lpwstr>
  </property>
  <property fmtid="{D5CDD505-2E9C-101B-9397-08002B2CF9AE}" pid="3" name="ICV">
    <vt:lpwstr>38AC6F76CE5B4B4985746F7D4EE9F070_13</vt:lpwstr>
  </property>
  <property fmtid="{D5CDD505-2E9C-101B-9397-08002B2CF9AE}" pid="4" name="CalculationRule">
    <vt:i4>0</vt:i4>
  </property>
</Properties>
</file>